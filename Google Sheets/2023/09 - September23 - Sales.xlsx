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ummary" sheetId="2" r:id="rId6"/>
    <sheet state="visible" name="DTC - P&amp;L" sheetId="3" r:id="rId7"/>
    <sheet state="visible" name="AMAZON - P&amp;L" sheetId="4" r:id="rId8"/>
    <sheet state="visible" name="App - P&amp;L" sheetId="5" r:id="rId9"/>
    <sheet state="visible" name="Digital Marketplaces" sheetId="6" r:id="rId10"/>
    <sheet state="visible" name="DATA - P&amp;L" sheetId="7" r:id="rId11"/>
    <sheet state="visible" name="OLD Sales" sheetId="8" r:id="rId12"/>
    <sheet state="visible" name="OLD Detailed Report" sheetId="9" r:id="rId13"/>
    <sheet state="visible" name="OLD  Formulas" sheetId="10" r:id="rId14"/>
    <sheet state="visible" name="OLD AMAZON Detailed Report" sheetId="11" r:id="rId15"/>
    <sheet state="visible" name="Forecast projection" sheetId="12" r:id="rId16"/>
    <sheet state="hidden" name="SupermetricsQueries" sheetId="13" r:id="rId17"/>
    <sheet state="visible" name="Business Metrics US" sheetId="14" r:id="rId18"/>
    <sheet state="visible" name="Business Metrics Canada" sheetId="15" r:id="rId19"/>
    <sheet state="hidden" name="MTD &amp; YTD CS realization" sheetId="16" r:id="rId20"/>
    <sheet state="hidden" name="Ziga - TEST by prod." sheetId="17" r:id="rId21"/>
  </sheets>
  <definedNames>
    <definedName localSheetId="14" name="rdataslayer_d70e473bcafe40a3aa834ce157fb2ba3">'Business Metrics Canada'!$C$16:$D$17</definedName>
    <definedName localSheetId="13" name="zsupermetrics_xwoIpANxRm908eDp5oKTwQpEI8gvD4">'Business Metrics US'!$A$5</definedName>
    <definedName name="zsupermetrics_ru0GDtbZzDLHQOQtJJ6K08MvUDyyp7">#REF!</definedName>
    <definedName localSheetId="13" name="zsupermetrics_iNpyVy90bWCI0yUaFQpxOtzWMa6sW4">'Business Metrics US'!$A$5:$A$12</definedName>
    <definedName localSheetId="9" name="zsupermetrics_DQl8lUbpTRu3fayaJJi7lVfOGKjNU4">'OLD  Formulas'!$A$3:$A$4</definedName>
    <definedName localSheetId="14" name="zsupermetrics_NugLlrQxlKiqhxQae8EFpITBm1pLCj">'Business Metrics Canada'!$B$15:$C$23</definedName>
    <definedName localSheetId="14" name="rdataslayer_4a0f150f4f2f4e4f85c890c75b7a1fa4">'Business Metrics Canada'!$D$5:$E$12</definedName>
    <definedName localSheetId="9" name="zsupermetrics_BioPyGBzcBsy60UCQmPcTuFReEmghI">'OLD  Formulas'!$B$2:$B$3</definedName>
    <definedName name="zsupermetrics_refreshAll">SupermetricsQueries!$H$5</definedName>
    <definedName localSheetId="14" name="zsupermetrics_DQl8lUbpTRu3fayaJJi7lVfOGKjNU4">'Business Metrics Canada'!$A$2:$A$13</definedName>
    <definedName name="zsupermetrics_n3GtLgiKpTmd2pYmQNMuq6TPD0qE0b">#REF!</definedName>
    <definedName localSheetId="13" name="zsupermetrics_9i4W4hgd80uRpQLMeX0eRnESN8gjyv">'Business Metrics US'!$C$23</definedName>
    <definedName localSheetId="14" name="zsupermetrics_qWp7V908pNEYMtfv8QZvSTeDnBAHOU">'Business Metrics Canada'!$B$14:$C$23</definedName>
    <definedName name="zsupermetrics_refreshAllSilent">SupermetricsQueries!$H$6</definedName>
    <definedName name="zsupermetrics_Mgms9p0QzysYvrIhnsKACeVBVxfIEO">#REF!</definedName>
    <definedName localSheetId="13" name="rdataslayer_4a0f150f4f2f4e4f85c890c75b7a1fa4">'Business Metrics US'!$D$5:$E$12</definedName>
    <definedName localSheetId="14" name="zsupermetrics_lx4cNai7gT6tH4j08ZRkI21Qlpjioi">'Business Metrics Canada'!$B$13:$C$23</definedName>
    <definedName localSheetId="9" name="zsupermetrics_Mgms9p0QzysYvrIhnsKACeVBVxfIEO">'OLD  Formulas'!$A$2:$A$3</definedName>
    <definedName name="zsupermetrics_forceRefresh">SupermetricsQueries!$H$4</definedName>
    <definedName name="zsupermetrics_wbYMmT0YL9bAN0yhimW0ziPFnia9Dx">#REF!</definedName>
    <definedName name="zsupermetrics_iNpyVy90bWCI0yUaFQpxOtzWMa6sW4">#REF!</definedName>
    <definedName localSheetId="14" name="zsupermetrics_xwoIpANxRm908eDp5oKTwQpEI8gvD4">'Business Metrics Canada'!$A$5</definedName>
    <definedName localSheetId="9" name="zsupermetrics_xwoIpANxRm908eDp5oKTwQpEI8gvD4">#REF!</definedName>
    <definedName localSheetId="13" name="rdataslayer_3753ddf3234e496aa261974a0222e193">'Business Metrics US'!$H$5:$I$5</definedName>
    <definedName localSheetId="14" name="zsupermetrics_4VkB7ij7WO0JjKBEgvjB2GHjSy2Egm">'Business Metrics Canada'!$B$13:$C$17</definedName>
    <definedName localSheetId="9" name="zsupermetrics_n3GtLgiKpTmd2pYmQNMuq6TPD0qE0b">'OLD  Formulas'!$B$4:$B$5</definedName>
    <definedName localSheetId="9" name="rdataslayer_42b112e4e4be4305bb4c1be75e2dd549">'OLD  Formulas'!$B$2:$C$3</definedName>
    <definedName localSheetId="14" name="zsupermetrics_wbYMmT0YL9bAN0yhimW0ziPFnia9Dx">'Business Metrics Canada'!$A$5:$A$12</definedName>
    <definedName name="zsupermetrics_9i4W4hgd80uRpQLMeX0eRnESN8gjyv">#REF!</definedName>
    <definedName localSheetId="13" name="zsupermetrics_YsFuuYtr8vOdNXCCPiFJIO38NP4b2T">'Business Metrics US'!$B$13:$C$23</definedName>
    <definedName name="zsupermetrics_5bmwtOpHUbSYmDMeuCPkrxaojTprPP">#REF!</definedName>
    <definedName localSheetId="14" name="rdataslayer_adf57e64065742daa5b4161161b1c3ca">'Business Metrics Canada'!$B$13:$D$14</definedName>
    <definedName localSheetId="14" name="zsupermetrics_9i4W4hgd80uRpQLMeX0eRnESN8gjyv">'Business Metrics Canada'!$C$23</definedName>
    <definedName localSheetId="9" name="rdataslayer_3753ddf3234e496aa261974a0222e193">'OLD  Formulas'!$H$2:$I$2</definedName>
    <definedName localSheetId="13" name="zsupermetrics_4VkB7ij7WO0JjKBEgvjB2GHjSy2Egm">'Business Metrics US'!$B$13:$C$17</definedName>
    <definedName name="zsupermetrics_SGBxROnInO9rFyh3H7j2Lldx0Bdc5v">#REF!</definedName>
    <definedName name="zsupermetrics_pxuhRTEmIU93xSgKclyxajD0fCZ6rF">#REF!</definedName>
    <definedName localSheetId="9" name="zsupermetrics_ru0GDtbZzDLHQOQtJJ6K08MvUDyyp7">'OLD  Formulas'!$B$4:$B$5</definedName>
    <definedName localSheetId="9" name="zsupermetrics_qWp7V908pNEYMtfv8QZvSTeDnBAHOU">'OLD  Formulas'!$B$5:$C$13</definedName>
    <definedName localSheetId="13" name="zsupermetrics_wbYMmT0YL9bAN0yhimW0ziPFnia9Dx">'Business Metrics US'!$A$5:$A$12</definedName>
    <definedName name="rdataslayer_4a0f150f4f2f4e4f85c890c75b7a1fa4">#REF!</definedName>
    <definedName localSheetId="14" name="zsupermetrics_iNpyVy90bWCI0yUaFQpxOtzWMa6sW4">'Business Metrics Canada'!$A$5:$A$12</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9" name="zsupermetrics_9i4W4hgd80uRpQLMeX0eRnESN8gjyv">'OLD  Formulas'!$C$13</definedName>
    <definedName localSheetId="13" name="zsupermetrics_Mgms9p0QzysYvrIhnsKACeVBVxfIEO">'Business Metrics US'!$A$5:$A$12</definedName>
    <definedName name="zsupermetrics_lx4cNai7gT6tH4j08ZRkI21Qlpjioi">#REF!</definedName>
    <definedName localSheetId="13" name="zsupermetrics_BioPyGBzcBsy60UCQmPcTuFReEmghI">'Business Metrics US'!$B$5:$B$12</definedName>
    <definedName localSheetId="13" name="zsupermetrics_qWp7V908pNEYMtfv8QZvSTeDnBAHOU">'Business Metrics US'!$B$14:$C$23</definedName>
    <definedName localSheetId="13" name="rdataslayer_adf57e64065742daa5b4161161b1c3ca">'Business Metrics US'!$B$13:$D$14</definedName>
    <definedName name="rdataslayer_d70e473bcafe40a3aa834ce157fb2ba3">#REF!</definedName>
    <definedName localSheetId="9" name="zsupermetrics_NugLlrQxlKiqhxQae8EFpITBm1pLCj">'OLD  Formulas'!$B$6:$C$13</definedName>
    <definedName name="zsupermetrics_8xojRjNDjo2jWHGDWjFEhflhyIq3Hq">'OLD Sales'!$K$8:$K$23</definedName>
    <definedName localSheetId="14" name="rdataslayer_42b112e4e4be4305bb4c1be75e2dd549">'Business Metrics Canada'!$B$5:$C$12</definedName>
    <definedName localSheetId="13" name="rdataslayer_d70e473bcafe40a3aa834ce157fb2ba3">'Business Metrics US'!$C$16:$D$17</definedName>
    <definedName name="rdataslayer_3753ddf3234e496aa261974a0222e193">#REF!</definedName>
    <definedName localSheetId="14" name="zsupermetrics_BioPyGBzcBsy60UCQmPcTuFReEmghI">'Business Metrics Canada'!$B$5:$B$12</definedName>
    <definedName localSheetId="13" name="zsupermetrics_DQl8lUbpTRu3fayaJJi7lVfOGKjNU4">'Business Metrics US'!$A$2:$A$13</definedName>
    <definedName localSheetId="13" name="zsupermetrics_HgZqhorObHOtZHuyJjpmyYaEPoYntx">'Business Metrics US'!$B$13:$B$14</definedName>
    <definedName localSheetId="9" name="zsupermetrics_iNpyVy90bWCI0yUaFQpxOtzWMa6sW4">'OLD  Formulas'!$A$2:$A$3</definedName>
    <definedName localSheetId="9" name="rdataslayer_4a0f150f4f2f4e4f85c890c75b7a1fa4">'OLD  Formulas'!$D$2:$E$3</definedName>
    <definedName name="zsupermetrics_BioPyGBzcBsy60UCQmPcTuFReEmghI">#REF!</definedName>
    <definedName name="zsupermetrics_qWp7V908pNEYMtfv8QZvSTeDnBAHOU">#REF!</definedName>
    <definedName localSheetId="13" name="zsupermetrics_NugLlrQxlKiqhxQae8EFpITBm1pLCj">'Business Metrics US'!$B$15:$C$23</definedName>
    <definedName localSheetId="14" name="rdataslayer_3753ddf3234e496aa261974a0222e193">'Business Metrics Canada'!$H$5:$I$5</definedName>
    <definedName localSheetId="13" name="zsupermetrics_n3GtLgiKpTmd2pYmQNMuq6TPD0qE0b">'Business Metrics US'!$B$13:$B$14</definedName>
    <definedName localSheetId="13" name="rdataslayer_42b112e4e4be4305bb4c1be75e2dd549">'Business Metrics US'!$B$5:$C$12</definedName>
    <definedName localSheetId="13" name="zsupermetrics_lx4cNai7gT6tH4j08ZRkI21Qlpjioi">'Business Metrics US'!$B$13:$C$23</definedName>
    <definedName localSheetId="9" name="zsupermetrics_wbYMmT0YL9bAN0yhimW0ziPFnia9Dx">'OLD  Formulas'!$A$2:$A$3</definedName>
    <definedName localSheetId="9" name="zsupermetrics_4VkB7ij7WO0JjKBEgvjB2GHjSy2Egm">'OLD  Formulas'!$B$4:$C$10</definedName>
    <definedName localSheetId="9" name="zsupermetrics_lx4cNai7gT6tH4j08ZRkI21Qlpjioi">'OLD  Formulas'!$B$4:$C$13</definedName>
    <definedName name="rdataslayer_42b112e4e4be4305bb4c1be75e2dd549">#REF!</definedName>
    <definedName localSheetId="14" name="zsupermetrics_n3GtLgiKpTmd2pYmQNMuq6TPD0qE0b">'Business Metrics Canada'!$B$13:$B$14</definedName>
    <definedName name="rdataslayer_adf57e64065742daa5b4161161b1c3ca">#REF!</definedName>
    <definedName localSheetId="9" name="rdataslayer_adf57e64065742daa5b4161161b1c3ca">'OLD  Formulas'!$B$4:$D$5</definedName>
    <definedName localSheetId="14" name="zsupermetrics_ru0GDtbZzDLHQOQtJJ6K08MvUDyyp7">'Business Metrics Canada'!$B$13:$B$14</definedName>
    <definedName localSheetId="14" name="zsupermetrics_HgZqhorObHOtZHuyJjpmyYaEPoYntx">'Business Metrics Canada'!$B$13:$B$14</definedName>
    <definedName localSheetId="14" name="zsupermetrics_Mgms9p0QzysYvrIhnsKACeVBVxfIEO">'Business Metrics Canada'!$A$5:$A$12</definedName>
    <definedName name="zsupermetrics_NugLlrQxlKiqhxQae8EFpITBm1pLCj">#REF!</definedName>
    <definedName name="zsupermetrics_xwoIpANxRm908eDp5oKTwQpEI8gvD4">#REF!</definedName>
    <definedName localSheetId="9" name="zsupermetrics_YsFuuYtr8vOdNXCCPiFJIO38NP4b2T">'OLD  Formulas'!$B$4:$C$13</definedName>
    <definedName localSheetId="9" name="rdataslayer_d70e473bcafe40a3aa834ce157fb2ba3">'OLD  Formulas'!$C$8:$D$9</definedName>
    <definedName localSheetId="13" name="zsupermetrics_ru0GDtbZzDLHQOQtJJ6K08MvUDyyp7">'Business Metrics US'!$B$13:$B$14</definedName>
    <definedName localSheetId="9" name="zsupermetrics_HgZqhorObHOtZHuyJjpmyYaEPoYntx">'OLD  Formulas'!$B$4:$B$5</definedName>
    <definedName localSheetId="14" name="zsupermetrics_YsFuuYtr8vOdNXCCPiFJIO38NP4b2T">'Business Metrics Canada'!$B$13:$C$23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tc={26cbae3a-7cbb-4576-9934-e673cd206a78}</author>
    <author>tc={5025eab5-2e96-4fc2-a14a-c71d1b23c59f}</author>
    <author>tc={ee401c8c-c089-4153-95e5-96ca62953b78}</author>
  </authors>
  <commentList>
    <comment authorId="0" xr:uid="{26cbae3a-7cbb-4576-9934-e673cd206a78}" ref="A32">
      <text>
        <t xml:space="preserve">[Threaded comment]
 Your version of Excel allows you to read this threaded comment; however, any edits to it will get removed if the file is opened in a newer version of Excel. Learn more: https://go.microsoft.com/fwlink/?linkid=870924
Comment:
	@peter@mybirdbuddy.com - Tole sem še dodal za spremljati. Število novih orderjev za subscriptione. Treba paziti na Databox.
Assigned to peter@mybirdbuddy.com
</t>
      </text>
    </comment>
    <comment authorId="1" xr:uid="{5025eab5-2e96-4fc2-a14a-c71d1b23c59f}" ref="A40">
      <text>
        <t xml:space="preserve">[Threaded comment]
 Your version of Excel allows you to read this threaded comment; however, any edits to it will get removed if the file is opened in a newer version of Excel. Learn more: https://go.microsoft.com/fwlink/?linkid=870924
Comment:
	@peter@mybirdbuddy.com - Do we have report on this? Day by day.
Assigned to peter@mybirdbuddy.com
</t>
      </text>
    </comment>
    <comment authorId="2" xr:uid="{ee401c8c-c089-4153-95e5-96ca62953b78}" ref="A15">
      <text>
        <t xml:space="preserve">[Threaded comment]
 Your version of Excel allows you to read this threaded comment; however, any edits to it will get removed if the file is opened in a newer version of Excel. Learn more: https://go.microsoft.com/fwlink/?linkid=870924
Comment:
	@ziga.skrabl@mybirdbuddy.com
Assigned to ziga.skrabl@mybirdbuddy.com
Reply:
	popravljeno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tc={045b66e1-fb30-4ddd-a00f-6ccddd5176d3}</author>
    <author>tc={d28ef614-9645-4e8b-8cea-462a4f7f2253}</author>
  </authors>
  <commentList>
    <comment authorId="0" xr:uid="{045b66e1-fb30-4ddd-a00f-6ccddd5176d3}" ref="A145">
      <text>
        <t xml:space="preserve">[Threaded comment]
 Your version of Excel allows you to read this threaded comment; however, any edits to it will get removed if the file is opened in a newer version of Excel. Learn more: https://go.microsoft.com/fwlink/?linkid=870924
Comment:
	colors
</t>
      </text>
    </comment>
    <comment authorId="1" xr:uid="{d28ef614-9645-4e8b-8cea-462a4f7f2253}" ref="A154">
      <text>
        <t xml:space="preserve">[Threaded comment]
 Your version of Excel allows you to read this threaded comment; however, any edits to it will get removed if the file is opened in a newer version of Excel. Learn more: https://go.microsoft.com/fwlink/?linkid=870924
Comment:
	colors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
      <text>
        <t xml:space="preserve">Average order value</t>
      </text>
    </comment>
    <comment authorId="0" ref="A25">
      <text>
        <t xml:space="preserve">Customer acquisition cost per unit
</t>
      </text>
    </comment>
    <comment authorId="0" ref="A24">
      <text>
        <t xml:space="preserve">Customer acquisition cost per order</t>
      </text>
    </comment>
    <comment authorId="0" ref="A23">
      <text>
        <t xml:space="preserve">E-commerce conversion rate</t>
      </text>
    </comment>
    <comment authorId="0" ref="A20">
      <text>
        <t xml:space="preserve">A session is a period of time during which a user interacts with our website</t>
      </text>
    </comment>
    <comment authorId="0" ref="A18">
      <text>
        <t xml:space="preserve">Returned product, replaced with new one</t>
      </text>
    </comment>
    <comment authorId="0" ref="A16">
      <text>
        <t xml:space="preserve">Refunded orders after receiving the product</t>
      </text>
    </comment>
    <comment authorId="0" ref="A15">
      <text>
        <t xml:space="preserve">cancelled orders during purchase journey / before receiving the product</t>
      </text>
    </comment>
    <comment authorId="0" ref="A14">
      <text>
        <t xml:space="preserve">sum of grouped complaints</t>
      </text>
    </comment>
    <comment authorId="0" ref="A13">
      <text>
        <t xml:space="preserve">taxes from different regions
</t>
      </text>
    </comment>
    <comment authorId="0" ref="A12">
      <text>
        <t xml:space="preserve">cost of goods sold + taxes + duties + other product related fees</t>
      </text>
    </comment>
    <comment authorId="0" ref="A11">
      <text>
        <t xml:space="preserve">e-commerce fees</t>
      </text>
    </comment>
    <comment authorId="0" ref="A10">
      <text>
        <t xml:space="preserve">shipping from supplier to seller + shipping from seller to consumer</t>
      </text>
    </comment>
    <comment authorId="0" ref="A9">
      <text>
        <t xml:space="preserve">advertising costs</t>
      </text>
    </comment>
    <comment authorId="0" ref="A8">
      <text>
        <t xml:space="preserve">sum of grouped costs</t>
      </text>
    </comment>
    <comment authorId="0" ref="A7">
      <text>
        <t xml:space="preserve">The difference between sales revenues, the cost of sold goods and marketing costs. 
Calculated as: Net Order no VAT Value – Purchase Value of Sold Products (COGS) – Marketing Costs</t>
      </text>
    </comment>
    <comment authorId="0" ref="A6">
      <text>
        <t xml:space="preserve">The difference between revenue and cost before accounting other costs, calculated as the selling price of an item, less the cost of goods sold.
Calculated as: Net order no VAT Value – Purchase Value of Sold Products (COGS)</t>
      </text>
    </comment>
    <comment authorId="0" ref="A5">
      <text>
        <t xml:space="preserve">Net Order value = excluding VAT,
 including estimated complaints.</t>
      </text>
    </comment>
    <comment authorId="0" ref="A4">
      <text>
        <t xml:space="preserve">Total Order value including complaints.</t>
      </text>
    </comment>
  </commentList>
</comments>
</file>

<file path=xl/sharedStrings.xml><?xml version="1.0" encoding="utf-8"?>
<sst xmlns="http://schemas.openxmlformats.org/spreadsheetml/2006/main" count="3672" uniqueCount="1480">
  <si>
    <t>Query UUID</t>
  </si>
  <si>
    <t>SEPTEMBER</t>
  </si>
  <si>
    <t>JANUARY</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</si>
  <si>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</si>
  <si>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</si>
  <si>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</si>
  <si>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</si>
  <si>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</si>
  <si>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</si>
  <si>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</si>
  <si>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</si>
  <si>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</si>
  <si>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</si>
  <si>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</si>
  <si>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</si>
  <si>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</si>
  <si>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</si>
  <si>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</si>
  <si>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</si>
  <si>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</si>
  <si>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</si>
  <si>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</si>
  <si>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</si>
  <si>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</si>
  <si>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</si>
  <si>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</si>
  <si>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</si>
  <si>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</si>
  <si>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</si>
  <si>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</si>
  <si>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</si>
  <si>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</si>
  <si>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</si>
  <si>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</si>
  <si>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</si>
  <si>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</si>
  <si>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</si>
  <si>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</si>
  <si>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</si>
  <si>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</si>
  <si>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</si>
  <si>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</si>
  <si>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</si>
  <si>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</si>
  <si>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DAY</t>
  </si>
  <si>
    <t>There is no data for the specified input</t>
  </si>
  <si>
    <t>FRI</t>
  </si>
  <si>
    <t>TABLE</t>
  </si>
  <si>
    <t>SAT</t>
  </si>
  <si>
    <t>facebook</t>
  </si>
  <si>
    <t>yesterday</t>
  </si>
  <si>
    <t>SUN</t>
  </si>
  <si>
    <t>MON</t>
  </si>
  <si>
    <t>[{"profile_id":"","name":"si_Bird buddy Inc_US &amp;amp; CA_BirdBuddy","id":"act_273249767551281","account_name":"","advertiser_id":""}]</t>
  </si>
  <si>
    <t>[{"id":"spend","name":"Total Cost"}]</t>
  </si>
  <si>
    <t>TUE</t>
  </si>
  <si>
    <t>[{"id":"date","name":"Date"}]</t>
  </si>
  <si>
    <t>WED</t>
  </si>
  <si>
    <t>THU</t>
  </si>
  <si>
    <t>[]</t>
  </si>
  <si>
    <t>{}</t>
  </si>
  <si>
    <t>User_Kumalic_Benjamin</t>
  </si>
  <si>
    <t>benjamin@mybirdbuddy.com</t>
  </si>
  <si>
    <t>4a0f150f4f2f4e4f85c890c75b7a1fa4</t>
  </si>
  <si>
    <t>[{"account_name":"","advertiser_id":"","id":"act_273249767551281","profile_id":"","name":"si_Bird buddy Inc_US &amp;amp; CA_BirdBuddy"}]</t>
  </si>
  <si>
    <t>COMMENT</t>
  </si>
  <si>
    <t>adf57e64065742daa5b4161161b1c3ca</t>
  </si>
  <si>
    <t>[{"name":"si_Bird buddy Inc_US &amp;amp; CA_BirdBuddy","id":"act_273249767551281","profile_id":"","account_name":"","advertiser_id":""}]</t>
  </si>
  <si>
    <t>[{"id":"spend","name":"Total Cost"},{"id":"cpm","name":"CPM"}]</t>
  </si>
  <si>
    <t>Orders</t>
  </si>
  <si>
    <t>d70e473bcafe40a3aa834ce157fb2ba3</t>
  </si>
  <si>
    <t>Weekend Work</t>
  </si>
  <si>
    <t>Peco</t>
  </si>
  <si>
    <t>Meta</t>
  </si>
  <si>
    <t>[{"advertiser_id":"","name":"si_Bird buddy Inc_US &amp;amp; CA_BirdBuddy","id":"act_273249767551281","account_name":"","profile_id":""}]</t>
  </si>
  <si>
    <t>Peter</t>
  </si>
  <si>
    <t>3753ddf3234e496aa261974a0222e193</t>
  </si>
  <si>
    <t>Notes</t>
  </si>
  <si>
    <t>[{"profile_id":"","account_name":"","advertiser_id":"","name":"si_Bird buddy Inc_US &amp;amp; CA_BirdBuddy","id":"act_273249767551281"}]</t>
  </si>
  <si>
    <t>Amazon (market place)</t>
  </si>
  <si>
    <t>{"exclude_header_row":true}</t>
  </si>
  <si>
    <t>PRO Subscription Launch</t>
  </si>
  <si>
    <t>SKU3 ABC Test - Testing availability</t>
  </si>
  <si>
    <t>Labor Day</t>
  </si>
  <si>
    <t>Google</t>
  </si>
  <si>
    <t>10% off Sitewide</t>
  </si>
  <si>
    <t>Keynote</t>
  </si>
  <si>
    <t>IGG Launch</t>
  </si>
  <si>
    <t>TikTok</t>
  </si>
  <si>
    <t>Perch Extender Launch</t>
  </si>
  <si>
    <t>Existing users email sent at 15:35</t>
  </si>
  <si>
    <t>Bing</t>
  </si>
  <si>
    <t>DTC Revenue</t>
  </si>
  <si>
    <t>Nextdoor</t>
  </si>
  <si>
    <t>Affiliates (Refersion)</t>
  </si>
  <si>
    <t>All</t>
  </si>
  <si>
    <t>Email</t>
  </si>
  <si>
    <t xml:space="preserve">   - Hardware</t>
  </si>
  <si>
    <t>Revenue</t>
  </si>
  <si>
    <t xml:space="preserve">   - Add-ons</t>
  </si>
  <si>
    <t xml:space="preserve">   - Merch</t>
  </si>
  <si>
    <t xml:space="preserve">   - Seeds</t>
  </si>
  <si>
    <t xml:space="preserve">   - Taxes</t>
  </si>
  <si>
    <t xml:space="preserve">   - Shipping</t>
  </si>
  <si>
    <t>Amazon Revenue</t>
  </si>
  <si>
    <t>Media Cost</t>
  </si>
  <si>
    <t>Amazon Spend</t>
  </si>
  <si>
    <t xml:space="preserve">   - Tax</t>
  </si>
  <si>
    <t>Gross Revenue</t>
  </si>
  <si>
    <t>Amazon Platform Fee (15 %)</t>
  </si>
  <si>
    <t>Apple Store Sales</t>
  </si>
  <si>
    <t xml:space="preserve">   - Gift Wrap</t>
  </si>
  <si>
    <t>Digital Marketplaces Revenue</t>
  </si>
  <si>
    <t xml:space="preserve">   - Yearly Subscription</t>
  </si>
  <si>
    <t xml:space="preserve">   - Monthly Subscription</t>
  </si>
  <si>
    <t>Google Store Sales</t>
  </si>
  <si>
    <t>Rachio</t>
  </si>
  <si>
    <t>SUM</t>
  </si>
  <si>
    <t>Gross Orders</t>
  </si>
  <si>
    <t>Weatherflow</t>
  </si>
  <si>
    <t>Amazon Orders</t>
  </si>
  <si>
    <t>Apple Store Orders</t>
  </si>
  <si>
    <t>Hardware</t>
  </si>
  <si>
    <t>Google Store Orders</t>
  </si>
  <si>
    <t>IndieGoGo</t>
  </si>
  <si>
    <t>Addons</t>
  </si>
  <si>
    <t xml:space="preserve">Tax </t>
  </si>
  <si>
    <t>Total Revenue</t>
  </si>
  <si>
    <t>App Revenue</t>
  </si>
  <si>
    <t xml:space="preserve">Shipping </t>
  </si>
  <si>
    <t xml:space="preserve">  - Google Store</t>
  </si>
  <si>
    <t>Refunded Revenue</t>
  </si>
  <si>
    <t>Gift Wrap Price</t>
  </si>
  <si>
    <t xml:space="preserve">  - Apple Store</t>
  </si>
  <si>
    <t>Affiliate Fee (20%)</t>
  </si>
  <si>
    <t>All Amazon</t>
  </si>
  <si>
    <t xml:space="preserve">  - Comission</t>
  </si>
  <si>
    <t>Units Sold (Gross)</t>
  </si>
  <si>
    <r>
      <rPr>
        <rFont val="Arial"/>
        <color theme="1"/>
        <sz val="12.0"/>
      </rPr>
      <t xml:space="preserve">SKU 1 - </t>
    </r>
    <r>
      <rPr>
        <rFont val="Arial"/>
        <b/>
        <color theme="1"/>
        <sz val="12.0"/>
      </rPr>
      <t>Blue</t>
    </r>
  </si>
  <si>
    <t xml:space="preserve">  - Tax</t>
  </si>
  <si>
    <t>Refunded Orders</t>
  </si>
  <si>
    <r>
      <rPr>
        <rFont val="Arial"/>
        <color theme="1"/>
        <sz val="12.0"/>
      </rPr>
      <t xml:space="preserve">SKU 2 - </t>
    </r>
    <r>
      <rPr>
        <rFont val="Arial"/>
        <b/>
        <color theme="1"/>
        <sz val="12.0"/>
      </rPr>
      <t>Yellow</t>
    </r>
  </si>
  <si>
    <t>Apple Store orders</t>
  </si>
  <si>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</si>
  <si>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</si>
  <si>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</si>
  <si>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t>Revenue Woocommerce (Platform)</t>
  </si>
  <si>
    <t>Wall Mount</t>
  </si>
  <si>
    <t>Google Store orders</t>
  </si>
  <si>
    <t>DTC Orders</t>
  </si>
  <si>
    <t>Suet Ball Holder</t>
  </si>
  <si>
    <t xml:space="preserve">   - Hardware (units sold)</t>
  </si>
  <si>
    <r>
      <rPr>
        <rFont val="Arial"/>
        <color theme="1"/>
        <sz val="12.0"/>
      </rPr>
      <t xml:space="preserve">3-in-1 Nutrition Set - </t>
    </r>
    <r>
      <rPr>
        <rFont val="Arial"/>
        <b/>
        <color theme="1"/>
        <sz val="12.0"/>
      </rPr>
      <t>Blue</t>
    </r>
  </si>
  <si>
    <t xml:space="preserve">   - Add-ons (units sold)</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</si>
  <si>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</si>
  <si>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</si>
  <si>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</si>
  <si>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</si>
  <si>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</si>
  <si>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SUM (Add-ons)</t>
  </si>
  <si>
    <t>Digital Marketplaces Orders</t>
  </si>
  <si>
    <t>Orders Woocommerce (Platform)</t>
  </si>
  <si>
    <t>Net Revenue</t>
  </si>
  <si>
    <t>Units Sold by country (Gross) - Only selling in US</t>
  </si>
  <si>
    <t>Rachio Orders</t>
  </si>
  <si>
    <t>Apple Store</t>
  </si>
  <si>
    <t>Weatherflow Orders</t>
  </si>
  <si>
    <t>Bird Buddy - Blue - AMAZON.US</t>
  </si>
  <si>
    <r>
      <rPr>
        <rFont val="Arial"/>
        <color theme="1"/>
        <sz val="13.0"/>
      </rPr>
      <t xml:space="preserve">Bird Buddy - Yellow - </t>
    </r>
    <r>
      <rPr>
        <rFont val="Arial"/>
        <color rgb="FF000000"/>
        <sz val="13.0"/>
      </rPr>
      <t>AMAZON.US</t>
    </r>
  </si>
  <si>
    <t>IndieGoGo Orders</t>
  </si>
  <si>
    <t>Bird Buddy with Solar Roof Blue - AMAZON.US</t>
  </si>
  <si>
    <t>Bird Buddy with Solar Roof Yellow - AMAZON.US</t>
  </si>
  <si>
    <t>Bird Buddy - AMAZON.EU</t>
  </si>
  <si>
    <t>Total Orders</t>
  </si>
  <si>
    <t>Bird Buddy with Solar Roof - AMAZON.EU</t>
  </si>
  <si>
    <t>Bird Buddy - AMAZON (OTHER1)</t>
  </si>
  <si>
    <t>Google Store</t>
  </si>
  <si>
    <t>Breakdown</t>
  </si>
  <si>
    <t>Bird Buddy with Solar Roof - AMAZON (OTHER1)</t>
  </si>
  <si>
    <t>All Bird Buddy</t>
  </si>
  <si>
    <t>App Orders</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</si>
  <si>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</si>
  <si>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</si>
  <si>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</si>
  <si>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</si>
  <si>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</si>
  <si>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t>Net Orders</t>
  </si>
  <si>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</si>
  <si>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</si>
  <si>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</si>
  <si>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</si>
  <si>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</si>
  <si>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</si>
  <si>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</si>
  <si>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Meta Spend EUR</t>
  </si>
  <si>
    <t>All AMAZON.EU</t>
  </si>
  <si>
    <t>Wall Mount - AMAZON (OTHER1)</t>
  </si>
  <si>
    <t>Fence Mount - AMAZON (OTHER1)</t>
  </si>
  <si>
    <t>Suet Ball Holder - AMAZON (OTHER1)</t>
  </si>
  <si>
    <t>3-in-1 Nutrition Set - AMAZON (OTHER1)</t>
  </si>
  <si>
    <t>Currency rate</t>
  </si>
  <si>
    <t>Solar Roof Single - AMAZON (OTHER1)</t>
  </si>
  <si>
    <t>All AMAZON (OTHER1)</t>
  </si>
  <si>
    <t>IndieGoGo Spend EUR</t>
  </si>
  <si>
    <t>Commision Fees &amp; Taxes</t>
  </si>
  <si>
    <t>Meta Spend</t>
  </si>
  <si>
    <r>
      <rPr>
        <rFont val="Arial"/>
        <color theme="1"/>
        <sz val="12.0"/>
      </rPr>
      <t xml:space="preserve">Estimated Apple Store Commision Fee (30%) </t>
    </r>
    <r>
      <rPr>
        <rFont val="Arial"/>
        <color theme="1"/>
        <sz val="9.0"/>
      </rPr>
      <t>--&gt; check again after 1. mil.</t>
    </r>
  </si>
  <si>
    <t>Revenue by country (Gross) - Only selling in US</t>
  </si>
  <si>
    <r>
      <rPr>
        <rFont val="Arial"/>
        <color theme="1"/>
        <sz val="12.0"/>
      </rPr>
      <t xml:space="preserve">Bird Buddy - </t>
    </r>
    <r>
      <rPr>
        <rFont val="Arial"/>
        <color rgb="FF000000"/>
        <sz val="12.0"/>
      </rPr>
      <t>AMAZON.US</t>
    </r>
  </si>
  <si>
    <r>
      <rPr>
        <rFont val="Arial"/>
        <color theme="1"/>
        <sz val="12.0"/>
      </rPr>
      <t xml:space="preserve">SKU 1 - </t>
    </r>
    <r>
      <rPr>
        <rFont val="Arial"/>
        <b/>
        <color theme="1"/>
        <sz val="12.0"/>
      </rPr>
      <t>Blue</t>
    </r>
  </si>
  <si>
    <t>Estimated Apple Store Taxes</t>
  </si>
  <si>
    <t>Google Spend</t>
  </si>
  <si>
    <t>Bird Buddy with Solar Roof - AMAZON.US</t>
  </si>
  <si>
    <r>
      <rPr>
        <rFont val="Arial"/>
        <color theme="1"/>
        <sz val="12.0"/>
      </rPr>
      <t>Estimated Google Store Commision Fee (15%)</t>
    </r>
    <r>
      <rPr>
        <rFont val="Arial"/>
        <color theme="1"/>
        <sz val="9.0"/>
      </rPr>
      <t xml:space="preserve"> --&gt; check again after 1. mil.</t>
    </r>
  </si>
  <si>
    <t>Bing Spend</t>
  </si>
  <si>
    <r>
      <rPr>
        <rFont val="Arial"/>
        <color theme="1"/>
        <sz val="12.0"/>
      </rPr>
      <t xml:space="preserve">SKU 2 - </t>
    </r>
    <r>
      <rPr>
        <rFont val="Arial"/>
        <b/>
        <color theme="1"/>
        <sz val="12.0"/>
      </rPr>
      <t>Yellow</t>
    </r>
  </si>
  <si>
    <t>TikTok Spend</t>
  </si>
  <si>
    <r>
      <rPr>
        <rFont val="Arial"/>
        <color theme="1"/>
        <sz val="12.0"/>
      </rPr>
      <t xml:space="preserve">SKU 3 - </t>
    </r>
    <r>
      <rPr>
        <rFont val="Arial"/>
        <b/>
        <color theme="1"/>
        <sz val="12.0"/>
      </rPr>
      <t>Blue w/ Solar</t>
    </r>
  </si>
  <si>
    <t xml:space="preserve">Estimated Google Store Taxes </t>
  </si>
  <si>
    <t>Nextdoor Spend</t>
  </si>
  <si>
    <t>Estimated SUM Store Commision Fees</t>
  </si>
  <si>
    <t>IndieGoGo Spend</t>
  </si>
  <si>
    <r>
      <rPr>
        <rFont val="Arial"/>
        <color theme="1"/>
        <sz val="12.0"/>
      </rPr>
      <t xml:space="preserve">SKU 4 - </t>
    </r>
    <r>
      <rPr>
        <rFont val="Arial"/>
        <b/>
        <color theme="1"/>
        <sz val="12.0"/>
      </rPr>
      <t>Yellow w/ Solar</t>
    </r>
  </si>
  <si>
    <t>Estimated SUM Store Taxes</t>
  </si>
  <si>
    <t>Affiliate Fees</t>
  </si>
  <si>
    <t>Rachio Fees</t>
  </si>
  <si>
    <t>Advertising</t>
  </si>
  <si>
    <r>
      <rPr>
        <rFont val="Arial"/>
        <color theme="1"/>
        <sz val="12.0"/>
      </rPr>
      <t xml:space="preserve">Wall Mount - </t>
    </r>
    <r>
      <rPr>
        <rFont val="Arial"/>
        <color rgb="FF000000"/>
        <sz val="12.0"/>
      </rPr>
      <t>AMAZON.US</t>
    </r>
  </si>
  <si>
    <t>Weatherflow Fees</t>
  </si>
  <si>
    <r>
      <rPr>
        <rFont val="Arial"/>
        <color theme="1"/>
        <sz val="12.0"/>
      </rPr>
      <t xml:space="preserve">Fence Mount - </t>
    </r>
    <r>
      <rPr>
        <rFont val="Arial"/>
        <color rgb="FF000000"/>
        <sz val="12.0"/>
      </rPr>
      <t>AMAZON.US</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</si>
  <si>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</si>
  <si>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</si>
  <si>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3-in-1 Nutrition Set - </t>
    </r>
    <r>
      <rPr>
        <rFont val="Arial"/>
        <color rgb="FF000000"/>
        <sz val="12.0"/>
      </rPr>
      <t>AMAZON.US</t>
    </r>
  </si>
  <si>
    <t>Total DTC Spend</t>
  </si>
  <si>
    <r>
      <rPr>
        <rFont val="Arial"/>
        <color theme="1"/>
        <sz val="12.0"/>
      </rPr>
      <t xml:space="preserve">Solar Roof Single - </t>
    </r>
    <r>
      <rPr>
        <rFont val="Arial"/>
        <color rgb="FF000000"/>
        <sz val="12.0"/>
      </rPr>
      <t>AMAZON.US</t>
    </r>
  </si>
  <si>
    <r>
      <rPr>
        <rFont val="Arial"/>
        <color theme="1"/>
        <sz val="12.0"/>
      </rPr>
      <t xml:space="preserve">Solar Roof Single - </t>
    </r>
    <r>
      <rPr>
        <rFont val="Arial"/>
        <b/>
        <color theme="1"/>
        <sz val="12.0"/>
      </rPr>
      <t>Blue</t>
    </r>
  </si>
  <si>
    <r>
      <rPr>
        <rFont val="Arial"/>
        <color theme="1"/>
        <sz val="12.0"/>
      </rPr>
      <t xml:space="preserve">All </t>
    </r>
    <r>
      <rPr>
        <rFont val="Arial"/>
        <color rgb="FF000000"/>
        <sz val="12.0"/>
      </rPr>
      <t>AMAZON.US</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</si>
  <si>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</si>
  <si>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</si>
  <si>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Apple Spend</t>
  </si>
  <si>
    <t>Total Spend</t>
  </si>
  <si>
    <r>
      <rPr>
        <rFont val="Arial"/>
        <color theme="1"/>
        <sz val="12.0"/>
      </rPr>
      <t xml:space="preserve">Perch Extender - </t>
    </r>
    <r>
      <rPr>
        <rFont val="Arial"/>
        <b/>
        <color theme="1"/>
        <sz val="12.0"/>
      </rPr>
      <t>Yellow</t>
    </r>
  </si>
  <si>
    <t>App Spend</t>
  </si>
  <si>
    <t>Merch Units Sold (Gross)</t>
  </si>
  <si>
    <t>Merch Units</t>
  </si>
  <si>
    <t>First-time Customers</t>
  </si>
  <si>
    <r>
      <rPr>
        <rFont val="Arial"/>
        <color theme="1"/>
        <sz val="12.0"/>
      </rPr>
      <t xml:space="preserve">SKU 1 - </t>
    </r>
    <r>
      <rPr>
        <rFont val="Arial"/>
        <b/>
        <color theme="1"/>
        <sz val="12.0"/>
      </rPr>
      <t>Blue</t>
    </r>
  </si>
  <si>
    <t>Total APP Spend</t>
  </si>
  <si>
    <t>Estimated Subscription Profit</t>
  </si>
  <si>
    <t>Blended ROAS</t>
  </si>
  <si>
    <r>
      <rPr>
        <rFont val="Arial"/>
        <color theme="1"/>
        <sz val="12.0"/>
      </rPr>
      <t xml:space="preserve">SKU 2 - </t>
    </r>
    <r>
      <rPr>
        <rFont val="Arial"/>
        <b/>
        <color theme="1"/>
        <sz val="12.0"/>
      </rPr>
      <t>Yellow</t>
    </r>
  </si>
  <si>
    <t xml:space="preserve">   - Estimated Apple Store profit</t>
  </si>
  <si>
    <t>Units Cancelled (Gross)</t>
  </si>
  <si>
    <r>
      <rPr>
        <rFont val="Arial"/>
        <color theme="1"/>
        <sz val="12.0"/>
      </rPr>
      <t xml:space="preserve">SKU 3 - </t>
    </r>
    <r>
      <rPr>
        <rFont val="Arial"/>
        <b/>
        <color theme="1"/>
        <sz val="12.0"/>
      </rPr>
      <t>Blue w/ Solar</t>
    </r>
  </si>
  <si>
    <r>
      <rPr>
        <rFont val="Arial"/>
        <color theme="1"/>
        <sz val="12.0"/>
      </rPr>
      <t xml:space="preserve">   SKU 1 - </t>
    </r>
    <r>
      <rPr>
        <rFont val="Arial"/>
        <b/>
        <color theme="1"/>
        <sz val="12.0"/>
      </rPr>
      <t>Blue</t>
    </r>
  </si>
  <si>
    <t>wROAS</t>
  </si>
  <si>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</si>
  <si>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</si>
  <si>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</si>
  <si>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   SKU 4 - </t>
    </r>
    <r>
      <rPr>
        <rFont val="Arial"/>
        <b/>
        <color theme="1"/>
        <sz val="12.0"/>
      </rPr>
      <t>Yellow w/ Solar</t>
    </r>
  </si>
  <si>
    <t>aROAS</t>
  </si>
  <si>
    <t>SUM (SKU 1 + SKU 2)</t>
  </si>
  <si>
    <t>appROAS</t>
  </si>
  <si>
    <t>SUM (SKU 3 + SKU 4)</t>
  </si>
  <si>
    <t xml:space="preserve">   - Estimated Google Store profit</t>
  </si>
  <si>
    <t>Blended Spend per Unit</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</si>
  <si>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</si>
  <si>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</si>
  <si>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</si>
  <si>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</si>
  <si>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</si>
  <si>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</si>
  <si>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</si>
  <si>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   Perch Extender - </t>
    </r>
    <r>
      <rPr>
        <rFont val="Arial"/>
        <b/>
        <color theme="1"/>
        <sz val="12.0"/>
      </rPr>
      <t>Blue</t>
    </r>
  </si>
  <si>
    <t>Estimated SUM Profit</t>
  </si>
  <si>
    <r>
      <rPr>
        <rFont val="Arial"/>
        <color theme="1"/>
        <sz val="12.0"/>
      </rPr>
      <t xml:space="preserve">   Perch Extender - </t>
    </r>
    <r>
      <rPr>
        <rFont val="Arial"/>
        <b/>
        <color theme="1"/>
        <sz val="12.0"/>
      </rPr>
      <t>Yellow</t>
    </r>
  </si>
  <si>
    <r>
      <rPr>
        <rFont val="Arial"/>
        <color theme="1"/>
        <sz val="12.0"/>
      </rPr>
      <t xml:space="preserve">3-in-1 Nutrition Set - </t>
    </r>
    <r>
      <rPr>
        <rFont val="Arial"/>
        <b/>
        <color theme="1"/>
        <sz val="12.0"/>
      </rPr>
      <t>Yellow</t>
    </r>
  </si>
  <si>
    <t>Units Returned for Refund (Gross)</t>
  </si>
  <si>
    <r>
      <rPr>
        <rFont val="Arial"/>
        <color theme="1"/>
        <sz val="12.0"/>
      </rPr>
      <t xml:space="preserve">Solar Roof Single - </t>
    </r>
    <r>
      <rPr>
        <rFont val="Arial"/>
        <b/>
        <color theme="1"/>
        <sz val="12.0"/>
      </rPr>
      <t>Blue</t>
    </r>
  </si>
  <si>
    <t>wSPU</t>
  </si>
  <si>
    <r>
      <rPr>
        <rFont val="Arial"/>
        <color theme="1"/>
        <sz val="12.0"/>
      </rPr>
      <t xml:space="preserve">   SKU 1 - </t>
    </r>
    <r>
      <rPr>
        <rFont val="Arial"/>
        <b/>
        <color theme="1"/>
        <sz val="12.0"/>
      </rPr>
      <t>Blue</t>
    </r>
  </si>
  <si>
    <t>Gross Sales Profit</t>
  </si>
  <si>
    <r>
      <rPr>
        <rFont val="Arial"/>
        <color theme="1"/>
        <sz val="12.0"/>
      </rPr>
      <t xml:space="preserve">Solar Roof Single - </t>
    </r>
    <r>
      <rPr>
        <rFont val="Arial"/>
        <b/>
        <color theme="1"/>
        <sz val="12.0"/>
      </rPr>
      <t>Yellow</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</si>
  <si>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</si>
  <si>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</si>
  <si>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t>Gross Sales Margin</t>
  </si>
  <si>
    <r>
      <rPr>
        <rFont val="Arial"/>
        <color theme="1"/>
        <sz val="12.0"/>
      </rPr>
      <t xml:space="preserve">Perch Extender - </t>
    </r>
    <r>
      <rPr>
        <rFont val="Arial"/>
        <b/>
        <color theme="1"/>
        <sz val="12.0"/>
      </rPr>
      <t>Blue</t>
    </r>
  </si>
  <si>
    <r>
      <rPr>
        <rFont val="Arial"/>
        <color theme="1"/>
        <sz val="12.0"/>
      </rPr>
      <t xml:space="preserve">   SKU 4 - </t>
    </r>
    <r>
      <rPr>
        <rFont val="Arial"/>
        <b/>
        <color theme="1"/>
        <sz val="12.0"/>
      </rPr>
      <t>Yellow w/ Solar</t>
    </r>
  </si>
  <si>
    <t>aSPU</t>
  </si>
  <si>
    <t>For summary</t>
  </si>
  <si>
    <r>
      <rPr>
        <rFont val="Arial"/>
        <color theme="1"/>
        <sz val="12.0"/>
      </rPr>
      <t xml:space="preserve">Perch Extender - </t>
    </r>
    <r>
      <rPr>
        <rFont val="Arial"/>
        <b/>
        <color theme="1"/>
        <sz val="12.0"/>
      </rPr>
      <t>Yellow</t>
    </r>
  </si>
  <si>
    <t>Apple</t>
  </si>
  <si>
    <t>appCAC</t>
  </si>
  <si>
    <t>Returning Customers</t>
  </si>
  <si>
    <r>
      <rPr>
        <rFont val="Arial"/>
        <color theme="1"/>
        <sz val="12.0"/>
      </rPr>
      <t xml:space="preserve">   3-in-1 Nutrition Set - </t>
    </r>
    <r>
      <rPr>
        <rFont val="Arial"/>
        <b/>
        <color theme="1"/>
        <sz val="12.0"/>
      </rPr>
      <t>Blue</t>
    </r>
  </si>
  <si>
    <r>
      <rPr>
        <rFont val="Arial"/>
        <color theme="1"/>
        <sz val="12.0"/>
      </rPr>
      <t xml:space="preserve">SKU 1 -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</si>
  <si>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</si>
  <si>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SKU 2 - </t>
    </r>
    <r>
      <rPr>
        <rFont val="Arial"/>
        <b/>
        <color theme="1"/>
        <sz val="12.0"/>
      </rPr>
      <t>Yellow</t>
    </r>
  </si>
  <si>
    <r>
      <rPr>
        <rFont val="Arial"/>
        <color theme="1"/>
        <sz val="12.0"/>
      </rPr>
      <t xml:space="preserve">   Solar Roof Single - </t>
    </r>
    <r>
      <rPr>
        <rFont val="Arial"/>
        <b/>
        <color theme="1"/>
        <sz val="12.0"/>
      </rPr>
      <t>Blue</t>
    </r>
  </si>
  <si>
    <t>Web CR</t>
  </si>
  <si>
    <r>
      <rPr>
        <rFont val="Arial"/>
        <color theme="1"/>
        <sz val="12.0"/>
      </rPr>
      <t xml:space="preserve">   Solar Roof Single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</si>
  <si>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</si>
  <si>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   Perch Extender - </t>
    </r>
    <r>
      <rPr>
        <rFont val="Arial"/>
        <b/>
        <color theme="1"/>
        <sz val="12.0"/>
      </rPr>
      <t>Blue</t>
    </r>
  </si>
  <si>
    <r>
      <rPr>
        <rFont val="Arial"/>
        <color theme="1"/>
        <sz val="12.0"/>
      </rPr>
      <t xml:space="preserve">SKU 4 - </t>
    </r>
    <r>
      <rPr>
        <rFont val="Arial"/>
        <b/>
        <color theme="1"/>
        <sz val="12.0"/>
      </rPr>
      <t>Yellow w/ Solar</t>
    </r>
  </si>
  <si>
    <r>
      <rPr>
        <rFont val="Arial"/>
        <color theme="1"/>
        <sz val="12.0"/>
      </rPr>
      <t xml:space="preserve">   Perch Extender - </t>
    </r>
    <r>
      <rPr>
        <rFont val="Arial"/>
        <b/>
        <color theme="1"/>
        <sz val="12.0"/>
      </rPr>
      <t>Yellow</t>
    </r>
  </si>
  <si>
    <t>Web AOV</t>
  </si>
  <si>
    <t>Revenue Cancelled (Gross)</t>
  </si>
  <si>
    <t>fAOV</t>
  </si>
  <si>
    <t>Hardware - AMAZON.US</t>
  </si>
  <si>
    <r>
      <rPr>
        <rFont val="Arial"/>
        <color theme="1"/>
        <sz val="12.0"/>
      </rPr>
      <t xml:space="preserve">3-in-1 Nutrition Set - </t>
    </r>
    <r>
      <rPr>
        <rFont val="Arial"/>
        <b/>
        <color theme="1"/>
        <sz val="12.0"/>
      </rPr>
      <t>Blue</t>
    </r>
  </si>
  <si>
    <t>rAOV</t>
  </si>
  <si>
    <r>
      <rPr>
        <rFont val="Arial"/>
        <color theme="1"/>
        <sz val="12.0"/>
      </rPr>
      <t xml:space="preserve">3-in-1 Nutrition Set - </t>
    </r>
    <r>
      <rPr>
        <rFont val="Arial"/>
        <b/>
        <color theme="1"/>
        <sz val="12.0"/>
      </rPr>
      <t>Yellow</t>
    </r>
  </si>
  <si>
    <r>
      <rPr>
        <rFont val="Arial"/>
        <color theme="1"/>
        <sz val="12.0"/>
      </rPr>
      <t xml:space="preserve">Shipping - </t>
    </r>
    <r>
      <rPr>
        <rFont val="Arial"/>
        <color rgb="FF000000"/>
        <sz val="12.0"/>
      </rPr>
      <t>AMAZON.US</t>
    </r>
  </si>
  <si>
    <r>
      <rPr>
        <rFont val="Arial"/>
        <color theme="1"/>
        <sz val="12.0"/>
      </rPr>
      <t xml:space="preserve">Solar Roof Single - </t>
    </r>
    <r>
      <rPr>
        <rFont val="Arial"/>
        <b/>
        <color theme="1"/>
        <sz val="12.0"/>
      </rPr>
      <t>Blue</t>
    </r>
  </si>
  <si>
    <t>Customers</t>
  </si>
  <si>
    <r>
      <rPr>
        <rFont val="Arial"/>
        <color theme="1"/>
        <sz val="12.0"/>
      </rPr>
      <t xml:space="preserve">Solar Roof Single - </t>
    </r>
    <r>
      <rPr>
        <rFont val="Arial"/>
        <b/>
        <color theme="1"/>
        <sz val="12.0"/>
      </rPr>
      <t>Yellow</t>
    </r>
  </si>
  <si>
    <t>Returning</t>
  </si>
  <si>
    <r>
      <rPr>
        <rFont val="Arial"/>
        <color theme="1"/>
        <sz val="12.0"/>
      </rPr>
      <t xml:space="preserve">Taxes - </t>
    </r>
    <r>
      <rPr>
        <rFont val="Arial"/>
        <color rgb="FF000000"/>
        <sz val="12.0"/>
      </rPr>
      <t>AMAZON.US</t>
    </r>
  </si>
  <si>
    <r>
      <rPr>
        <rFont val="Arial"/>
        <color theme="1"/>
        <sz val="12.0"/>
      </rPr>
      <t xml:space="preserve">Perch Extender - </t>
    </r>
    <r>
      <rPr>
        <rFont val="Arial"/>
        <b/>
        <color theme="1"/>
        <sz val="12.0"/>
      </rPr>
      <t>Blue</t>
    </r>
  </si>
  <si>
    <t>First-time</t>
  </si>
  <si>
    <r>
      <rPr>
        <rFont val="Arial"/>
        <color theme="1"/>
        <sz val="12.0"/>
      </rPr>
      <t xml:space="preserve">Perch Extender - </t>
    </r>
    <r>
      <rPr>
        <rFont val="Arial"/>
        <b/>
        <color theme="1"/>
        <sz val="12.0"/>
      </rPr>
      <t>Yellow</t>
    </r>
  </si>
  <si>
    <r>
      <rPr>
        <rFont val="Arial"/>
        <color theme="1"/>
        <sz val="12.0"/>
      </rPr>
      <t xml:space="preserve">Gift Wrap Price - </t>
    </r>
    <r>
      <rPr>
        <rFont val="Arial"/>
        <color rgb="FF000000"/>
        <sz val="12.0"/>
      </rPr>
      <t>AMAZON.US</t>
    </r>
  </si>
  <si>
    <t>Goal</t>
  </si>
  <si>
    <t>% of Goal</t>
  </si>
  <si>
    <r>
      <rPr>
        <rFont val="Arial"/>
        <color theme="1"/>
        <sz val="12.0"/>
      </rPr>
      <t xml:space="preserve">All </t>
    </r>
    <r>
      <rPr>
        <rFont val="Arial"/>
        <color rgb="FF000000"/>
        <sz val="12.0"/>
      </rPr>
      <t>AMAZON.US</t>
    </r>
  </si>
  <si>
    <t>Units Sold (Net)</t>
  </si>
  <si>
    <r>
      <rPr>
        <rFont val="Arial"/>
        <color theme="1"/>
        <sz val="12.0"/>
      </rPr>
      <t xml:space="preserve">SKU 1 - </t>
    </r>
    <r>
      <rPr>
        <rFont val="Arial"/>
        <b/>
        <color theme="1"/>
        <sz val="12.0"/>
      </rPr>
      <t>Blue</t>
    </r>
  </si>
  <si>
    <t>Spend</t>
  </si>
  <si>
    <t>ROAS</t>
  </si>
  <si>
    <t>Revenue Refunded (Net)</t>
  </si>
  <si>
    <r>
      <rPr>
        <rFont val="Arial"/>
        <color theme="1"/>
        <sz val="12.0"/>
      </rPr>
      <t xml:space="preserve">Hardware - </t>
    </r>
    <r>
      <rPr>
        <rFont val="Arial"/>
        <color rgb="FF000000"/>
        <sz val="12.0"/>
      </rPr>
      <t>AMAZON.US</t>
    </r>
  </si>
  <si>
    <t>Spend per Unit</t>
  </si>
  <si>
    <r>
      <rPr>
        <rFont val="Arial"/>
        <color theme="1"/>
        <sz val="12.0"/>
      </rPr>
      <t xml:space="preserve">SKU 2 - </t>
    </r>
    <r>
      <rPr>
        <rFont val="Arial"/>
        <b/>
        <color theme="1"/>
        <sz val="12.0"/>
      </rPr>
      <t>Yellow</t>
    </r>
  </si>
  <si>
    <r>
      <rPr>
        <rFont val="Arial"/>
        <color theme="1"/>
        <sz val="12.0"/>
      </rPr>
      <t xml:space="preserve">Shipping - </t>
    </r>
    <r>
      <rPr>
        <rFont val="Arial"/>
        <color rgb="FF000000"/>
        <sz val="12.0"/>
      </rPr>
      <t>AMAZON.US</t>
    </r>
  </si>
  <si>
    <t xml:space="preserve"> </t>
  </si>
  <si>
    <t>CR</t>
  </si>
  <si>
    <t>Taxes - AMAZON.US</t>
  </si>
  <si>
    <t>AOV</t>
  </si>
  <si>
    <r>
      <rPr>
        <rFont val="Arial"/>
        <color theme="1"/>
        <sz val="12.0"/>
      </rPr>
      <t xml:space="preserve">Gift Wrap Price - </t>
    </r>
    <r>
      <rPr>
        <rFont val="Arial"/>
        <color rgb="FF000000"/>
        <sz val="12.0"/>
      </rPr>
      <t>AMAZON.US</t>
    </r>
  </si>
  <si>
    <r>
      <rPr>
        <rFont val="Arial"/>
        <color theme="1"/>
        <sz val="12.0"/>
      </rPr>
      <t xml:space="preserve">SKU 3 - </t>
    </r>
    <r>
      <rPr>
        <rFont val="Arial"/>
        <b/>
        <color theme="1"/>
        <sz val="12.0"/>
      </rPr>
      <t>Blue w/ Solar</t>
    </r>
  </si>
  <si>
    <r>
      <rPr>
        <rFont val="Arial"/>
        <color theme="1"/>
        <sz val="12.0"/>
      </rPr>
      <t xml:space="preserve">All </t>
    </r>
    <r>
      <rPr>
        <rFont val="Arial"/>
        <color rgb="FF000000"/>
        <sz val="12.0"/>
      </rPr>
      <t>AMAZON.US</t>
    </r>
  </si>
  <si>
    <r>
      <rPr>
        <rFont val="Arial"/>
        <color theme="1"/>
        <sz val="12.0"/>
      </rPr>
      <t xml:space="preserve">SKU 4 - </t>
    </r>
    <r>
      <rPr>
        <rFont val="Arial"/>
        <b/>
        <color theme="1"/>
        <sz val="12.0"/>
      </rPr>
      <t>Yellow w/ Solar</t>
    </r>
  </si>
  <si>
    <t>Units Sold</t>
  </si>
  <si>
    <t>CAC per Unit</t>
  </si>
  <si>
    <t>RETURN (Replacement Units &amp; Claims) Amazon</t>
  </si>
  <si>
    <t>karotenoid</t>
  </si>
  <si>
    <t>First-time customers</t>
  </si>
  <si>
    <r>
      <rPr>
        <rFont val="Arial"/>
        <color theme="1"/>
        <sz val="12.0"/>
      </rPr>
      <t xml:space="preserve">   SKU 1 - </t>
    </r>
    <r>
      <rPr>
        <rFont val="Arial"/>
        <b/>
        <color theme="1"/>
        <sz val="12.0"/>
      </rPr>
      <t>Blue</t>
    </r>
  </si>
  <si>
    <t>Returning customers</t>
  </si>
  <si>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</si>
  <si>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</si>
  <si>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</si>
  <si>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</si>
  <si>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   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</si>
  <si>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</si>
  <si>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</si>
  <si>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</si>
  <si>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</si>
  <si>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</si>
  <si>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</si>
  <si>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</si>
  <si>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</si>
  <si>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</si>
  <si>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Parts</t>
  </si>
  <si>
    <t>Housing - Blue</t>
  </si>
  <si>
    <t>Housing - Yellow</t>
  </si>
  <si>
    <r>
      <rPr>
        <rFont val="Arial"/>
        <color theme="1"/>
        <sz val="12.0"/>
      </rPr>
      <t xml:space="preserve">Perch Extender - </t>
    </r>
    <r>
      <rPr>
        <rFont val="Arial"/>
        <b/>
        <color theme="1"/>
        <sz val="12.0"/>
      </rPr>
      <t>Yellow</t>
    </r>
  </si>
  <si>
    <t>Camera Module</t>
  </si>
  <si>
    <t>Orders Replaced NA</t>
  </si>
  <si>
    <t>Chargebacks</t>
  </si>
  <si>
    <t>Number of chargebacks</t>
  </si>
  <si>
    <t>Units Sold by Country (Gross)</t>
  </si>
  <si>
    <t>Gross Cost</t>
  </si>
  <si>
    <t>US &amp; CA - Main</t>
  </si>
  <si>
    <t>Media Spend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</si>
  <si>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</si>
  <si>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</si>
  <si>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</si>
  <si>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</si>
  <si>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Platform Fees</t>
  </si>
  <si>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</si>
  <si>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</si>
  <si>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</si>
  <si>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COGS Bird Buddy ($86.90)</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</si>
  <si>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</si>
  <si>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</si>
  <si>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COGS Bird Buddy with Solar Roof ($97.61)</t>
  </si>
  <si>
    <t>US &amp; CA - Add-ons</t>
  </si>
  <si>
    <t>COGS Wall Mount ($5.49)</t>
  </si>
  <si>
    <t>COGS Suet Ball ($1.19)</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</si>
  <si>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</si>
  <si>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</si>
  <si>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</si>
  <si>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t>COGS 3-in-1 Nutrition Set ($6.66)</t>
  </si>
  <si>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</si>
  <si>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</si>
  <si>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t>COGS Solar Roof Single ($13.44)</t>
  </si>
  <si>
    <r>
      <rPr>
        <rFont val="Arial"/>
        <color theme="1"/>
        <sz val="12.0"/>
      </rPr>
      <t xml:space="preserve">   Perch Extender - </t>
    </r>
    <r>
      <rPr>
        <rFont val="Arial"/>
        <b/>
        <color theme="1"/>
        <sz val="12.0"/>
      </rPr>
      <t>Yellow</t>
    </r>
  </si>
  <si>
    <t>COGS Perch Extender ($6.00)</t>
  </si>
  <si>
    <r>
      <rPr>
        <rFont val="Arial"/>
        <color theme="1"/>
        <sz val="12.0"/>
      </rPr>
      <t>Europe</t>
    </r>
    <r>
      <rPr>
        <rFont val="Arial"/>
        <color theme="1"/>
        <sz val="12.0"/>
      </rPr>
      <t xml:space="preserve"> - Add-ons</t>
    </r>
  </si>
  <si>
    <t>Inbound Shipping BB units ($11.94)</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</si>
  <si>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</si>
  <si>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</si>
  <si>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</si>
  <si>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</si>
  <si>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</si>
  <si>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</si>
  <si>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Outbound Shipping BB units (FBA Fee + Outbound Shipping)</t>
  </si>
  <si>
    <t>Revenue by Country (Gross)</t>
  </si>
  <si>
    <r>
      <rPr>
        <rFont val="Arial"/>
        <color theme="1"/>
        <sz val="12.0"/>
      </rPr>
      <t xml:space="preserve">   SKU 1 - </t>
    </r>
    <r>
      <rPr>
        <rFont val="Arial"/>
        <b/>
        <color theme="1"/>
        <sz val="12.0"/>
      </rPr>
      <t>Blue</t>
    </r>
  </si>
  <si>
    <t>Inbound Shipping Add-ons ($2.27)</t>
  </si>
  <si>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</si>
  <si>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</si>
  <si>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</si>
  <si>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Outbound Shipping Add-ons (FBA Fee + Outbound Shipping)</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</si>
  <si>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</si>
  <si>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</si>
  <si>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</si>
  <si>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</si>
  <si>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Storage Fee ($0.24)</t>
  </si>
  <si>
    <t>(All sales) US VAT (AMZN)</t>
  </si>
  <si>
    <t>(All sales) Shipping</t>
  </si>
  <si>
    <r>
      <rPr>
        <rFont val="Arial"/>
        <color theme="1"/>
        <sz val="12.0"/>
      </rPr>
      <t xml:space="preserve">   3-in-1 Nutrition Set - </t>
    </r>
    <r>
      <rPr>
        <rFont val="Arial"/>
        <b/>
        <color theme="1"/>
        <sz val="12.0"/>
      </rPr>
      <t>Blue</t>
    </r>
  </si>
  <si>
    <t>(All sales) Gift Wrap</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</si>
  <si>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</si>
  <si>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</si>
  <si>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t>ALL</t>
  </si>
  <si>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</si>
  <si>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</si>
  <si>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</si>
  <si>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</si>
  <si>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</si>
  <si>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</si>
  <si>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</si>
  <si>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</si>
  <si>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</si>
  <si>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</si>
  <si>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Merch - US &amp; CA</t>
  </si>
  <si>
    <t>Daily ROAS</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</si>
  <si>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</si>
  <si>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</si>
  <si>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</si>
  <si>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</si>
  <si>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</si>
  <si>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Total Complaints</t>
  </si>
  <si>
    <r>
      <rPr>
        <rFont val="Arial"/>
        <color theme="1"/>
        <sz val="12.0"/>
      </rPr>
      <t xml:space="preserve">   SKU 1 - </t>
    </r>
    <r>
      <rPr>
        <rFont val="Arial"/>
        <b/>
        <color theme="1"/>
        <sz val="12.0"/>
      </rPr>
      <t>Blue</t>
    </r>
  </si>
  <si>
    <t>Cancellations (Ex. "Refunds")</t>
  </si>
  <si>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</si>
  <si>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</si>
  <si>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</si>
  <si>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</si>
  <si>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</si>
  <si>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</si>
  <si>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</si>
  <si>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</si>
  <si>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</si>
  <si>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</si>
  <si>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</si>
  <si>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</si>
  <si>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</si>
  <si>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</si>
  <si>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</si>
  <si>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</si>
  <si>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 Cancelled by country (Gross)</t>
  </si>
  <si>
    <t>Total - US &amp; CA</t>
  </si>
  <si>
    <t>Inbound Shipping Add-ons ($1.44)</t>
  </si>
  <si>
    <t>SUM - US &amp; CA</t>
  </si>
  <si>
    <t>Cancellations value</t>
  </si>
  <si>
    <t>Hardware - Europe</t>
  </si>
  <si>
    <t>Returns for Refund (Ex. "Return") (56% adjusted)</t>
  </si>
  <si>
    <t>Shipping - Europe</t>
  </si>
  <si>
    <t xml:space="preserve">VAT - Europe </t>
  </si>
  <si>
    <t xml:space="preserve">COGS Bird Buddy ($86.90) </t>
  </si>
  <si>
    <t>SUM - Europe</t>
  </si>
  <si>
    <t>Units - Return for Refund by country (Gross)</t>
  </si>
  <si>
    <t xml:space="preserve">COGS Bird Buddy with Solar Roof ($97.61)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</si>
  <si>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</si>
  <si>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</si>
  <si>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</si>
  <si>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</si>
  <si>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</si>
  <si>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t xml:space="preserve">COGS Wall Mount ($5.49) </t>
  </si>
  <si>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</si>
  <si>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</si>
  <si>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</si>
  <si>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 xml:space="preserve">COGS Suet Ball ($1.19) </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</si>
  <si>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</si>
  <si>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</si>
  <si>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</si>
  <si>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</si>
  <si>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</si>
  <si>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</si>
  <si>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</si>
  <si>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</si>
  <si>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</si>
  <si>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</si>
  <si>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</si>
  <si>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</si>
  <si>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Return for Refund - US &amp; CA</t>
  </si>
  <si>
    <t>Orders Return for Refund - Europe</t>
  </si>
  <si>
    <t>Removal Fee</t>
  </si>
  <si>
    <t>Revenue - Returned for Refund by country (Gross)</t>
  </si>
  <si>
    <t>Refunds value</t>
  </si>
  <si>
    <t>Returns for Replacement and Claims (46% adjusted)</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</si>
  <si>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</si>
  <si>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</si>
  <si>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</si>
  <si>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</si>
  <si>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</si>
  <si>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</si>
  <si>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</si>
  <si>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</si>
  <si>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</si>
  <si>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</si>
  <si>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</si>
  <si>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</si>
  <si>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</si>
  <si>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</si>
  <si>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</si>
  <si>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</si>
  <si>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</si>
  <si>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</si>
  <si>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</si>
  <si>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</si>
  <si>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</si>
  <si>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</si>
  <si>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</si>
  <si>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</si>
  <si>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t xml:space="preserve">Rachio (Shopify) </t>
  </si>
  <si>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</si>
  <si>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</si>
  <si>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</si>
  <si>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</si>
  <si>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Returns for Replacement and Claims (New Items, 100%)</t>
  </si>
  <si>
    <t>Orders Return for Replacement - US &amp; CA</t>
  </si>
  <si>
    <t>Orders Return for Replacement - Europe</t>
  </si>
  <si>
    <t xml:space="preserve">  - Shipping</t>
  </si>
  <si>
    <t>Undeliverables</t>
  </si>
  <si>
    <t>Orders - Undelivered - US &amp; CA</t>
  </si>
  <si>
    <t>Orders - Undelivered - Europe</t>
  </si>
  <si>
    <t xml:space="preserve">Number of Chargebacks </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</si>
  <si>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</si>
  <si>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</si>
  <si>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</si>
  <si>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</si>
  <si>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t>Media Fees</t>
  </si>
  <si>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</si>
  <si>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</si>
  <si>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b/>
        <color theme="1"/>
        <sz val="12.0"/>
      </rPr>
      <t xml:space="preserve">COGS Bird Buddy </t>
    </r>
    <r>
      <rPr>
        <rFont val="Arial"/>
        <b val="0"/>
        <color theme="1"/>
        <sz val="12.0"/>
      </rPr>
      <t>($86.90)</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</si>
  <si>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</si>
  <si>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</si>
  <si>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</si>
  <si>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b/>
        <color theme="1"/>
        <sz val="12.0"/>
      </rPr>
      <t xml:space="preserve">COGS Bird Buddy with Solar Roof </t>
    </r>
    <r>
      <rPr>
        <rFont val="Arial"/>
        <b val="0"/>
        <color theme="1"/>
        <sz val="12.0"/>
      </rPr>
      <t>($97.61)</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</si>
  <si>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</si>
  <si>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</si>
  <si>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</si>
  <si>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</si>
  <si>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</si>
  <si>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</si>
  <si>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b/>
        <color theme="1"/>
        <sz val="12.0"/>
      </rPr>
      <t xml:space="preserve">COGS Wall Mount </t>
    </r>
    <r>
      <rPr>
        <rFont val="Arial"/>
        <b val="0"/>
        <color theme="1"/>
        <sz val="12.0"/>
      </rPr>
      <t>($5.49)</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</si>
  <si>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</si>
  <si>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</si>
  <si>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t>Chargebacks Fee</t>
  </si>
  <si>
    <r>
      <rPr>
        <rFont val="Arial"/>
        <color theme="1"/>
        <sz val="12.0"/>
      </rPr>
      <t xml:space="preserve">   SKU 4 - </t>
    </r>
    <r>
      <rPr>
        <rFont val="Arial"/>
        <b/>
        <color theme="1"/>
        <sz val="12.0"/>
      </rPr>
      <t>Yellow w/ Solar</t>
    </r>
  </si>
  <si>
    <t>Compensations</t>
  </si>
  <si>
    <r>
      <rPr>
        <rFont val="Arial"/>
        <b/>
        <color theme="1"/>
        <sz val="12.0"/>
      </rPr>
      <t xml:space="preserve">COGS Suet Ball </t>
    </r>
    <r>
      <rPr>
        <rFont val="Arial"/>
        <b val="0"/>
        <color theme="1"/>
        <sz val="12.0"/>
      </rPr>
      <t>($1.19)</t>
    </r>
  </si>
  <si>
    <t>Cash Out</t>
  </si>
  <si>
    <t>Total Cost</t>
  </si>
  <si>
    <r>
      <rPr>
        <rFont val="Arial"/>
        <b/>
        <color theme="1"/>
        <sz val="12.0"/>
      </rPr>
      <t>COGS 3-in-1 Nutrition Set</t>
    </r>
    <r>
      <rPr>
        <rFont val="Arial"/>
        <b val="0"/>
        <color theme="1"/>
        <sz val="12.0"/>
      </rPr>
      <t xml:space="preserve"> ($6.66)</t>
    </r>
  </si>
  <si>
    <r>
      <rPr>
        <rFont val="Arial"/>
        <color theme="1"/>
        <sz val="12.0"/>
      </rPr>
      <t xml:space="preserve">   3-in-1 Nutrition Set - </t>
    </r>
    <r>
      <rPr>
        <rFont val="Arial"/>
        <b/>
        <color theme="1"/>
        <sz val="12.0"/>
      </rPr>
      <t>Blue</t>
    </r>
  </si>
  <si>
    <t>NET Sales Profit</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</si>
  <si>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</si>
  <si>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</si>
  <si>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</si>
  <si>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</si>
  <si>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</si>
  <si>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Net Sales Margin</t>
  </si>
  <si>
    <r>
      <rPr>
        <rFont val="Arial"/>
        <b/>
        <color theme="1"/>
        <sz val="12.0"/>
      </rPr>
      <t xml:space="preserve">COGS Solar Roof Single </t>
    </r>
    <r>
      <rPr>
        <rFont val="Arial"/>
        <b val="0"/>
        <color theme="1"/>
        <sz val="12.0"/>
      </rPr>
      <t>($13.44)</t>
    </r>
  </si>
  <si>
    <t>Revenue Cancelled (Gross) - Rachio</t>
  </si>
  <si>
    <t xml:space="preserve">Hardware </t>
  </si>
  <si>
    <t xml:space="preserve">Taxes </t>
  </si>
  <si>
    <t>All NA</t>
  </si>
  <si>
    <r>
      <rPr>
        <rFont val="Arial"/>
        <b/>
        <color theme="1"/>
        <sz val="12.0"/>
      </rPr>
      <t>COGS Perch Extender</t>
    </r>
    <r>
      <rPr>
        <rFont val="Arial"/>
        <b val="0"/>
        <color theme="1"/>
        <sz val="12.0"/>
      </rPr>
      <t xml:space="preserve"> ($6.00)</t>
    </r>
  </si>
  <si>
    <t>All EU</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</si>
  <si>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</si>
  <si>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</si>
  <si>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</si>
  <si>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</si>
  <si>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b/>
        <color theme="1"/>
        <sz val="12.0"/>
      </rPr>
      <t>COGS Merch</t>
    </r>
    <r>
      <rPr>
        <rFont val="Arial"/>
        <b val="0"/>
        <color theme="1"/>
        <sz val="12.0"/>
      </rPr>
      <t xml:space="preserve"> (Average)</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</si>
  <si>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</si>
  <si>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</si>
  <si>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b/>
        <color theme="1"/>
        <sz val="12.0"/>
      </rPr>
      <t>Processing Fee</t>
    </r>
    <r>
      <rPr>
        <rFont val="Arial"/>
        <b val="0"/>
        <color theme="1"/>
        <sz val="12.0"/>
      </rPr>
      <t xml:space="preserve"> (2,90%) </t>
    </r>
    <r>
      <rPr>
        <rFont val="Arial"/>
        <b val="0"/>
        <color theme="1"/>
        <sz val="10.0"/>
      </rPr>
      <t>stripe vs. affirm %</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</si>
  <si>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</si>
  <si>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</si>
  <si>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</si>
  <si>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</si>
  <si>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</si>
  <si>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</si>
  <si>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</si>
  <si>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r>
      <rPr>
        <rFont val="Arial"/>
        <b/>
        <color theme="1"/>
        <sz val="12.0"/>
      </rPr>
      <t xml:space="preserve">Transaction Fee </t>
    </r>
    <r>
      <rPr>
        <rFont val="Arial"/>
        <b val="0"/>
        <color theme="1"/>
        <sz val="12.0"/>
      </rPr>
      <t xml:space="preserve">($0.30) </t>
    </r>
    <r>
      <rPr>
        <rFont val="Arial"/>
        <b val="0"/>
        <color theme="1"/>
        <sz val="10.0"/>
      </rPr>
      <t>stripe vs. affirm %</t>
    </r>
  </si>
  <si>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</si>
  <si>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</si>
  <si>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</si>
  <si>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</si>
  <si>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</si>
  <si>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b/>
        <color theme="1"/>
        <sz val="12.0"/>
      </rPr>
      <t xml:space="preserve">Inbound Shipping BB units </t>
    </r>
    <r>
      <rPr>
        <rFont val="Arial"/>
        <b val="0"/>
        <color theme="1"/>
        <sz val="12.0"/>
      </rPr>
      <t>($11.94)</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</si>
  <si>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</si>
  <si>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</si>
  <si>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</si>
  <si>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</si>
  <si>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b/>
        <color theme="1"/>
        <sz val="12.0"/>
      </rPr>
      <t>Outbound Shipping BB units</t>
    </r>
    <r>
      <rPr>
        <rFont val="Arial"/>
        <b val="0"/>
        <color theme="1"/>
        <sz val="12.0"/>
      </rPr>
      <t xml:space="preserve"> ($11.94)</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</si>
  <si>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</si>
  <si>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</si>
  <si>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Business Metrics</t>
  </si>
  <si>
    <t>Source</t>
  </si>
  <si>
    <t>COGS</t>
  </si>
  <si>
    <t>Attachment Rates</t>
  </si>
  <si>
    <t>Marketing Averages (per first-time order)</t>
  </si>
  <si>
    <t>Fees</t>
  </si>
  <si>
    <t>VAT Averages</t>
  </si>
  <si>
    <t>30 Day Returns</t>
  </si>
  <si>
    <t>Digital Market Places &amp; B2B</t>
  </si>
  <si>
    <t>Bird Buddy</t>
  </si>
  <si>
    <t>Solar Roof</t>
  </si>
  <si>
    <t xml:space="preserve">Weatherflow (Shopify) </t>
  </si>
  <si>
    <t>Stripe Processing Fee</t>
  </si>
  <si>
    <r>
      <rPr>
        <rFont val="Arial"/>
        <b/>
        <color theme="1"/>
        <sz val="12.0"/>
      </rPr>
      <t>Inbound Shipping Add-ons</t>
    </r>
    <r>
      <rPr>
        <rFont val="Arial"/>
        <b val="0"/>
        <color theme="1"/>
        <sz val="12.0"/>
      </rPr>
      <t xml:space="preserve"> ($1.44)</t>
    </r>
  </si>
  <si>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</si>
  <si>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</si>
  <si>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</si>
  <si>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</si>
  <si>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</si>
  <si>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</si>
  <si>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</si>
  <si>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</si>
  <si>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</si>
  <si>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</si>
  <si>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</si>
  <si>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</si>
  <si>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</si>
  <si>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</si>
  <si>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Weatherflow Fees (15%)</t>
  </si>
  <si>
    <t>Taxes and VAT</t>
  </si>
  <si>
    <t>HMF</t>
  </si>
  <si>
    <t>Money Return</t>
  </si>
  <si>
    <t>3-in-1</t>
  </si>
  <si>
    <t>China Tax (7.5%)</t>
  </si>
  <si>
    <t>MPF</t>
  </si>
  <si>
    <t>Units Sold (Gross) - Weatherflow</t>
  </si>
  <si>
    <t>Bird Buddy w/ Solar</t>
  </si>
  <si>
    <t>Duty (3.4%)</t>
  </si>
  <si>
    <t>Solar Roof China Tax</t>
  </si>
  <si>
    <r>
      <rPr>
        <rFont val="Arial"/>
        <color theme="1"/>
        <sz val="12.0"/>
      </rPr>
      <t xml:space="preserve">SKU 1 - </t>
    </r>
    <r>
      <rPr>
        <rFont val="Arial"/>
        <b/>
        <color theme="1"/>
        <sz val="12.0"/>
      </rPr>
      <t>Blue</t>
    </r>
  </si>
  <si>
    <t>3-in-1 Nutrition Set</t>
  </si>
  <si>
    <t>Processing Fee (2,90%)</t>
  </si>
  <si>
    <t>Solar Roof Duty</t>
  </si>
  <si>
    <r>
      <rPr>
        <rFont val="Arial"/>
        <color theme="1"/>
        <sz val="12.0"/>
      </rPr>
      <t xml:space="preserve">SKU 2 - </t>
    </r>
    <r>
      <rPr>
        <rFont val="Arial"/>
        <b/>
        <color theme="1"/>
        <sz val="12.0"/>
      </rPr>
      <t>Yellow</t>
    </r>
  </si>
  <si>
    <t>Perch Extender</t>
  </si>
  <si>
    <t>Transaction Fee ($0.30)</t>
  </si>
  <si>
    <t>Chargeback Fee (Stripe)</t>
  </si>
  <si>
    <r>
      <rPr>
        <rFont val="Arial"/>
        <color theme="1"/>
        <sz val="12.0"/>
      </rPr>
      <t xml:space="preserve">SKU 3 - </t>
    </r>
    <r>
      <rPr>
        <rFont val="Arial"/>
        <b/>
        <color theme="1"/>
        <sz val="12.0"/>
      </rPr>
      <t>Blue w/ Solar</t>
    </r>
  </si>
  <si>
    <t>Avg. Merch Cost</t>
  </si>
  <si>
    <t>OTHER 2</t>
  </si>
  <si>
    <t>OTHER 1</t>
  </si>
  <si>
    <r>
      <rPr>
        <rFont val="Arial"/>
        <color theme="1"/>
        <sz val="12.0"/>
      </rPr>
      <t xml:space="preserve">SKU 4 - </t>
    </r>
    <r>
      <rPr>
        <rFont val="Arial"/>
        <b/>
        <color theme="1"/>
        <sz val="12.0"/>
      </rPr>
      <t>Yellow w/ Solar</t>
    </r>
  </si>
  <si>
    <t>Avg. Merch Cost without Calendar</t>
  </si>
  <si>
    <t>OTHER 3</t>
  </si>
  <si>
    <t>Stripe</t>
  </si>
  <si>
    <t>SBF Housing</t>
  </si>
  <si>
    <t>OTHER 4</t>
  </si>
  <si>
    <t>Affirm</t>
  </si>
  <si>
    <t>SBF Camera</t>
  </si>
  <si>
    <t>OTHER 5</t>
  </si>
  <si>
    <t>Affirm processing fee</t>
  </si>
  <si>
    <t>Affirm transaction fee</t>
  </si>
  <si>
    <r>
      <rPr>
        <rFont val="Arial"/>
        <b/>
        <color theme="1"/>
        <sz val="12.0"/>
      </rPr>
      <t xml:space="preserve">Outbound Shipping Add-ons </t>
    </r>
    <r>
      <rPr>
        <rFont val="Arial"/>
        <b val="0"/>
        <color theme="1"/>
        <sz val="12.0"/>
      </rPr>
      <t>($6.16)</t>
    </r>
  </si>
  <si>
    <r>
      <rPr>
        <rFont val="Arial"/>
        <color theme="1"/>
        <sz val="12.0"/>
      </rPr>
      <t xml:space="preserve">3-in-1 Nutrition Set - </t>
    </r>
    <r>
      <rPr>
        <rFont val="Arial"/>
        <b/>
        <color theme="1"/>
        <sz val="12.0"/>
      </rPr>
      <t>Blue</t>
    </r>
  </si>
  <si>
    <t>Outbound shipping</t>
  </si>
  <si>
    <t>Bird buddy</t>
  </si>
  <si>
    <t>Add-ons</t>
  </si>
  <si>
    <t>Merch</t>
  </si>
  <si>
    <t>*w/o CA weight</t>
  </si>
  <si>
    <t>Outbound (NA)</t>
  </si>
  <si>
    <r>
      <rPr>
        <rFont val="Arial"/>
        <color theme="1"/>
        <sz val="12.0"/>
      </rPr>
      <t xml:space="preserve">3-in-1 Nutrition Set - </t>
    </r>
    <r>
      <rPr>
        <rFont val="Arial"/>
        <b/>
        <color theme="1"/>
        <sz val="12.0"/>
      </rPr>
      <t>Yellow</t>
    </r>
  </si>
  <si>
    <t>App Advertising</t>
  </si>
  <si>
    <t>Outbound (Europe)</t>
  </si>
  <si>
    <t>Meta Share to Apple Store</t>
  </si>
  <si>
    <r>
      <rPr>
        <rFont val="Arial"/>
        <color theme="1"/>
        <sz val="12.0"/>
      </rPr>
      <t xml:space="preserve">Solar Roof Single - </t>
    </r>
    <r>
      <rPr>
        <rFont val="Arial"/>
        <b/>
        <color theme="1"/>
        <sz val="12.0"/>
      </rPr>
      <t>Blue</t>
    </r>
  </si>
  <si>
    <t>Outbound (ROW)</t>
  </si>
  <si>
    <t>Meta Share to Google Store</t>
  </si>
  <si>
    <r>
      <rPr>
        <rFont val="Arial"/>
        <color theme="1"/>
        <sz val="12.0"/>
      </rPr>
      <t xml:space="preserve">Solar Roof Single - </t>
    </r>
    <r>
      <rPr>
        <rFont val="Arial"/>
        <b/>
        <color theme="1"/>
        <sz val="12.0"/>
      </rPr>
      <t>Yellow</t>
    </r>
  </si>
  <si>
    <t>3PL Costs</t>
  </si>
  <si>
    <r>
      <rPr>
        <rFont val="Arial"/>
        <color theme="1"/>
        <sz val="12.0"/>
      </rPr>
      <t xml:space="preserve">Perch Extender - </t>
    </r>
    <r>
      <rPr>
        <rFont val="Arial"/>
        <b/>
        <color theme="1"/>
        <sz val="12.0"/>
      </rPr>
      <t>Blue</t>
    </r>
  </si>
  <si>
    <t>Handling Fee</t>
  </si>
  <si>
    <r>
      <rPr>
        <rFont val="Arial"/>
        <color theme="1"/>
        <sz val="12.0"/>
      </rPr>
      <t xml:space="preserve">Perch Extender - </t>
    </r>
    <r>
      <rPr>
        <rFont val="Arial"/>
        <b/>
        <color theme="1"/>
        <sz val="12.0"/>
      </rPr>
      <t>Yellow</t>
    </r>
  </si>
  <si>
    <t>Serial Capture</t>
  </si>
  <si>
    <t>Storage</t>
  </si>
  <si>
    <t>Supplies cost</t>
  </si>
  <si>
    <t>Pick charge</t>
  </si>
  <si>
    <t>Pollybag cost</t>
  </si>
  <si>
    <t>Carton cost</t>
  </si>
  <si>
    <t>Units and Revenue Cancelled &amp; Refunds - Weatherflow</t>
  </si>
  <si>
    <t>Total outbound (NA)</t>
  </si>
  <si>
    <r>
      <rPr>
        <rFont val="Arial"/>
        <b/>
        <color theme="1"/>
        <sz val="12.0"/>
      </rPr>
      <t>Outbound Shipping - Merch</t>
    </r>
    <r>
      <rPr>
        <rFont val="Arial"/>
        <b val="0"/>
        <color theme="1"/>
        <sz val="12.0"/>
      </rPr>
      <t xml:space="preserve"> (Average)</t>
    </r>
  </si>
  <si>
    <t>Total outbound (Europe)</t>
  </si>
  <si>
    <t>Units Cancelled (Gross) - Weatherflow</t>
  </si>
  <si>
    <t>Total outbound (ROW)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</si>
  <si>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</si>
  <si>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</si>
  <si>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</si>
  <si>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t>Inbound shipping</t>
  </si>
  <si>
    <r>
      <rPr>
        <rFont val="Arial"/>
        <color theme="1"/>
        <sz val="12.0"/>
      </rPr>
      <t xml:space="preserve">   SKU 4 - </t>
    </r>
    <r>
      <rPr>
        <rFont val="Arial"/>
        <b/>
        <color theme="1"/>
        <sz val="12.0"/>
      </rPr>
      <t>Yellow w/ Solar</t>
    </r>
  </si>
  <si>
    <t>Inbound (NA)</t>
  </si>
  <si>
    <t>Inbound (Europe)</t>
  </si>
  <si>
    <t>Inbound (ROW)</t>
  </si>
  <si>
    <r>
      <rPr>
        <rFont val="Arial"/>
        <b/>
        <color theme="1"/>
        <sz val="12.0"/>
      </rPr>
      <t>(All sales) US VAT</t>
    </r>
    <r>
      <rPr>
        <rFont val="Arial"/>
        <b val="0"/>
        <color theme="1"/>
        <sz val="12.0"/>
      </rPr>
      <t xml:space="preserve"> (Woo)</t>
    </r>
  </si>
  <si>
    <t>AMAZON Logistics</t>
  </si>
  <si>
    <t>https://docs.google.com/spreadsheets/d/1Dn0q7h1bHxXdG0N9KpcqzFo0tWUWYXOrRX7yxv3G1E0/edit#gid=1264242332</t>
  </si>
  <si>
    <t>Inbound</t>
  </si>
  <si>
    <r>
      <rPr>
        <rFont val="Arial"/>
        <b/>
        <color theme="1"/>
        <sz val="12.0"/>
      </rPr>
      <t xml:space="preserve">(All sales) Europe VAT </t>
    </r>
    <r>
      <rPr>
        <rFont val="Arial"/>
        <b val="0"/>
        <color theme="1"/>
        <sz val="12.0"/>
      </rPr>
      <t>(EU, UK, NOR, SWI) - 22%</t>
    </r>
  </si>
  <si>
    <t>Storage Fee</t>
  </si>
  <si>
    <t>AMAZON Fees</t>
  </si>
  <si>
    <r>
      <rPr>
        <rFont val="Arial"/>
        <color theme="1"/>
        <sz val="12.0"/>
      </rPr>
      <t xml:space="preserve">   3-in-1 Nutrition Set - </t>
    </r>
    <r>
      <rPr>
        <rFont val="Arial"/>
        <b/>
        <color theme="1"/>
        <sz val="12.0"/>
      </rPr>
      <t>Blue</t>
    </r>
  </si>
  <si>
    <t>FBA fee for units</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</si>
  <si>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</si>
  <si>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</si>
  <si>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t>FBA fee for addons</t>
  </si>
  <si>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</si>
  <si>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</si>
  <si>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t>Sales Fee</t>
  </si>
  <si>
    <r>
      <rPr>
        <rFont val="Arial"/>
        <color theme="1"/>
        <sz val="12.0"/>
      </rPr>
      <t xml:space="preserve">   Perch Extender - </t>
    </r>
    <r>
      <rPr>
        <rFont val="Arial"/>
        <b/>
        <color theme="1"/>
        <sz val="12.0"/>
      </rPr>
      <t>Yellow</t>
    </r>
  </si>
  <si>
    <t>AMAZON Shipping</t>
  </si>
  <si>
    <t>BB units Shipping</t>
  </si>
  <si>
    <t>Addons Shipping</t>
  </si>
  <si>
    <t>Revenue Cancelled (Gross) - Weatherflow</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</si>
  <si>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</si>
  <si>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</si>
  <si>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</si>
  <si>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</si>
  <si>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</si>
  <si>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</si>
  <si>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</si>
  <si>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</si>
  <si>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</si>
  <si>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</si>
  <si>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t>Units Refund (Gross) - Weatherflow</t>
  </si>
  <si>
    <t>Full Price Template for cancelled orders</t>
  </si>
  <si>
    <t>item-tax</t>
  </si>
  <si>
    <r>
      <rPr>
        <rFont val="Arial"/>
        <color theme="1"/>
        <sz val="12.0"/>
      </rPr>
      <t xml:space="preserve">   SKU 1 - </t>
    </r>
    <r>
      <rPr>
        <rFont val="Arial"/>
        <b/>
        <color theme="1"/>
        <sz val="12.0"/>
      </rPr>
      <t>Blue</t>
    </r>
  </si>
  <si>
    <t>shipping-price</t>
  </si>
  <si>
    <t>shipping-tax</t>
  </si>
  <si>
    <t>gift-wrap-price</t>
  </si>
  <si>
    <r>
      <rPr>
        <rFont val="Arial"/>
        <color theme="1"/>
        <sz val="12.0"/>
      </rPr>
      <t xml:space="preserve">   SKU 2 - </t>
    </r>
    <r>
      <rPr>
        <rFont val="Arial"/>
        <b/>
        <color theme="1"/>
        <sz val="12.0"/>
      </rPr>
      <t>Yellow</t>
    </r>
  </si>
  <si>
    <t>gift-wrap-tax</t>
  </si>
  <si>
    <t>item-promotion-discount</t>
  </si>
  <si>
    <r>
      <rPr>
        <rFont val="Arial"/>
        <color theme="1"/>
        <sz val="12.0"/>
      </rPr>
      <t xml:space="preserve">   SKU 3 - </t>
    </r>
    <r>
      <rPr>
        <rFont val="Arial"/>
        <b/>
        <color theme="1"/>
        <sz val="12.0"/>
      </rPr>
      <t>Blue w/ Solar</t>
    </r>
  </si>
  <si>
    <t>ship-promotion-discount</t>
  </si>
  <si>
    <r>
      <rPr>
        <rFont val="Arial"/>
        <color theme="1"/>
        <sz val="12.0"/>
      </rPr>
      <t xml:space="preserve">   SKU 4 - </t>
    </r>
    <r>
      <rPr>
        <rFont val="Arial"/>
        <b/>
        <color theme="1"/>
        <sz val="12.0"/>
      </rPr>
      <t>Yellow w/ Solar</t>
    </r>
  </si>
  <si>
    <t>B2B</t>
  </si>
  <si>
    <t>Agency Fee</t>
  </si>
  <si>
    <t>NET NET</t>
  </si>
  <si>
    <t>Agency transportation best buy</t>
  </si>
  <si>
    <t>*Dejan sporoči</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</si>
  <si>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</si>
  <si>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</si>
  <si>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</si>
  <si>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</si>
  <si>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</si>
  <si>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</si>
  <si>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</si>
  <si>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Gross Complaints</t>
  </si>
  <si>
    <t xml:space="preserve">Cancellations </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</si>
  <si>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</si>
  <si>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</si>
  <si>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</si>
  <si>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</si>
  <si>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</si>
  <si>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</si>
  <si>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</si>
  <si>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</si>
  <si>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</si>
  <si>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</si>
  <si>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</si>
  <si>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</si>
  <si>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</si>
  <si>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</si>
  <si>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</si>
  <si>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</si>
  <si>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</si>
  <si>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</si>
  <si>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</si>
  <si>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</si>
  <si>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</si>
  <si>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</si>
  <si>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</si>
  <si>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</si>
  <si>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</si>
  <si>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</si>
  <si>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</si>
  <si>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</si>
  <si>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t xml:space="preserve">Outbound Shipping BB units </t>
  </si>
  <si>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</si>
  <si>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</si>
  <si>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</si>
  <si>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t>Outbound Shipping Add-ons ($6.16)</t>
  </si>
  <si>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</si>
  <si>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</si>
  <si>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Returns for Refund </t>
    </r>
    <r>
      <rPr>
        <rFont val="Arial"/>
        <b val="0"/>
        <color theme="1"/>
        <sz val="12.0"/>
      </rPr>
      <t>(25% adjusted)</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</si>
  <si>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</si>
  <si>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</si>
  <si>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</si>
  <si>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</si>
  <si>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</si>
  <si>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</si>
  <si>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</si>
  <si>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</si>
  <si>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</si>
  <si>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</si>
  <si>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</si>
  <si>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</si>
  <si>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</si>
  <si>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30 days return shipping</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</si>
  <si>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</si>
  <si>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</si>
  <si>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</si>
  <si>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COGS Housing</t>
  </si>
  <si>
    <t>COGS Camera Module</t>
  </si>
  <si>
    <t>FB (US &amp; CA)</t>
  </si>
  <si>
    <t>MNTN TV</t>
  </si>
  <si>
    <t>FB (Internal Paid)</t>
  </si>
  <si>
    <t>FB (EU &amp; UK)</t>
  </si>
  <si>
    <r>
      <rPr>
        <rFont val="Arial"/>
        <b/>
        <color theme="1"/>
        <sz val="12.0"/>
      </rPr>
      <t xml:space="preserve">Returns for Replacements and Claims </t>
    </r>
    <r>
      <rPr>
        <rFont val="Arial"/>
        <b val="0"/>
        <color theme="1"/>
        <sz val="12.0"/>
      </rPr>
      <t>(10% adjusted)</t>
    </r>
  </si>
  <si>
    <t>FB Spend (US &amp; CA)</t>
  </si>
  <si>
    <t>Inbound Shipping Housing</t>
  </si>
  <si>
    <t>Inbound Shipping Camera Module</t>
  </si>
  <si>
    <t>Return Shipping</t>
  </si>
  <si>
    <t>Fee 15% Purchase (Backerkit)</t>
  </si>
  <si>
    <t>Google Management Fee</t>
  </si>
  <si>
    <t>Affiliates Agency Payment (Grovia)</t>
  </si>
  <si>
    <t>Affiliate Fee 20% (Grovia)</t>
  </si>
  <si>
    <t xml:space="preserve">   - Returns for Replacement and Claims (New Items, 100%)</t>
  </si>
  <si>
    <t>FB Spend (Internal Paid)</t>
  </si>
  <si>
    <t>FB Spend (EU &amp; UK)</t>
  </si>
  <si>
    <t>Pinterest Spend</t>
  </si>
  <si>
    <t>Amazon (market place) Spend</t>
  </si>
  <si>
    <t>Amazon (market place) Sales Fee (10-15 %)</t>
  </si>
  <si>
    <t xml:space="preserve">   - COGS Bird Buddy ($86.90)</t>
  </si>
  <si>
    <t>Platform Fee (6,90%)</t>
  </si>
  <si>
    <t xml:space="preserve">   - COGS Bird Buddy with Solar Roof ($97.61)</t>
  </si>
  <si>
    <t>Cost</t>
  </si>
  <si>
    <t>Average COGS ($92.18)</t>
  </si>
  <si>
    <t>Average Inbound Shipping ($13.06)</t>
  </si>
  <si>
    <t xml:space="preserve">   - COGS Wall Mount ($5.49)</t>
  </si>
  <si>
    <t>Average Outbound Shipping ($15.06)</t>
  </si>
  <si>
    <t xml:space="preserve">   - COGS Suet Ball ($1.19)</t>
  </si>
  <si>
    <t>Average Taxes ($16.81)</t>
  </si>
  <si>
    <t xml:space="preserve">   - COGS 3-in-1 Nutrition Set ($6.66)</t>
  </si>
  <si>
    <t xml:space="preserve">   - COGS Solar Roof Single ($13.44)</t>
  </si>
  <si>
    <t>Partial Profit</t>
  </si>
  <si>
    <t xml:space="preserve">   - COGS Perch Extender ($6.00)</t>
  </si>
  <si>
    <t>Performance Facebook US &amp; CA</t>
  </si>
  <si>
    <t>PROFIT</t>
  </si>
  <si>
    <t xml:space="preserve">   - COGS Housing</t>
  </si>
  <si>
    <t>CPO</t>
  </si>
  <si>
    <t>MER</t>
  </si>
  <si>
    <t xml:space="preserve">   - COGS Camera Module</t>
  </si>
  <si>
    <t>Performance Google</t>
  </si>
  <si>
    <t xml:space="preserve">   - Inbound Shipping BB units ($11.94)</t>
  </si>
  <si>
    <t xml:space="preserve">   - Outbound Shipping BB units </t>
  </si>
  <si>
    <t>Performance TikTok</t>
  </si>
  <si>
    <t xml:space="preserve">   - Inbound Shipping Add-ons ($1.44)</t>
  </si>
  <si>
    <t xml:space="preserve">   - Outbound Shipping Add-ons ($6.16)</t>
  </si>
  <si>
    <t>Performance Bing</t>
  </si>
  <si>
    <t xml:space="preserve">   - Inbound Shipping Housing</t>
  </si>
  <si>
    <t xml:space="preserve">   - Outbound Shipping Housing</t>
  </si>
  <si>
    <t xml:space="preserve">   - Inbound Shipping Camera Module</t>
  </si>
  <si>
    <t>Affiliates (Grovia)</t>
  </si>
  <si>
    <t xml:space="preserve">   - Outbound Shipping Camera Module</t>
  </si>
  <si>
    <t>Performance Internal Paid</t>
  </si>
  <si>
    <t>Performance EU &amp; UK</t>
  </si>
  <si>
    <t>Outbound Shipping Cost</t>
  </si>
  <si>
    <t>Performance Email</t>
  </si>
  <si>
    <t>Chargebacks fee</t>
  </si>
  <si>
    <t>AMAZON (marketplace)</t>
  </si>
  <si>
    <t>Revenue - All</t>
  </si>
  <si>
    <t>Gross profit per order</t>
  </si>
  <si>
    <t>Net profit per order</t>
  </si>
  <si>
    <t>Orders - All</t>
  </si>
  <si>
    <t>Total Cash Out</t>
  </si>
  <si>
    <t>Woocommerce Platform</t>
  </si>
  <si>
    <t>Revenue Woocommerce (gross)</t>
  </si>
  <si>
    <t>Discounts</t>
  </si>
  <si>
    <t>Shipping Woocommerce</t>
  </si>
  <si>
    <t>Tax Woocommerce</t>
  </si>
  <si>
    <t>All Woocommerce</t>
  </si>
  <si>
    <t>Revenue &amp; Orders (Platform) - ALL</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</si>
  <si>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</si>
  <si>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</si>
  <si>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</si>
  <si>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</si>
  <si>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</si>
  <si>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</si>
  <si>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Gross Sales Margin Total</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</si>
  <si>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</si>
  <si>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</si>
  <si>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</si>
  <si>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</si>
  <si>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</si>
  <si>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</si>
  <si>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PRO Subscription</t>
  </si>
  <si>
    <t>Seeds Subscription</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</si>
  <si>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</si>
  <si>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</si>
  <si>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</si>
  <si>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</si>
  <si>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</si>
  <si>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</si>
  <si>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</si>
  <si>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</si>
  <si>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</si>
  <si>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</si>
  <si>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</si>
  <si>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</si>
  <si>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</si>
  <si>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</si>
  <si>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</si>
  <si>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</si>
  <si>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</si>
  <si>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</si>
  <si>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</si>
  <si>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</si>
  <si>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</si>
  <si>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</si>
  <si>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</si>
  <si>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</si>
  <si>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</si>
  <si>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</si>
  <si>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</si>
  <si>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</si>
  <si>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</si>
  <si>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</si>
  <si>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t>
  </si>
  <si>
    <r>
      <rPr>
        <rFont val="Arial"/>
        <color theme="1"/>
        <sz val="12.0"/>
      </rPr>
      <t xml:space="preserve">BB + BBSF | </t>
    </r>
    <r>
      <rPr>
        <rFont val="Arial"/>
        <b/>
        <color theme="1"/>
        <sz val="12.0"/>
      </rPr>
      <t>NA (United States + Canada)</t>
    </r>
  </si>
  <si>
    <r>
      <rPr>
        <rFont val="Arial"/>
        <color theme="1"/>
        <sz val="12.0"/>
      </rPr>
      <t xml:space="preserve">BB </t>
    </r>
    <r>
      <rPr>
        <rFont val="Arial"/>
        <b/>
        <color theme="1"/>
        <sz val="12.0"/>
      </rPr>
      <t>Blue</t>
    </r>
    <r>
      <rPr>
        <rFont val="Arial"/>
        <color theme="1"/>
        <sz val="12.0"/>
      </rPr>
      <t xml:space="preserve"> - NA (United States + Canada)</t>
    </r>
  </si>
  <si>
    <r>
      <rPr>
        <rFont val="Arial"/>
        <color theme="1"/>
        <sz val="12.0"/>
      </rPr>
      <t xml:space="preserve">BB </t>
    </r>
    <r>
      <rPr>
        <rFont val="Arial"/>
        <b/>
        <color theme="1"/>
        <sz val="12.0"/>
      </rPr>
      <t>Yellow</t>
    </r>
    <r>
      <rPr>
        <rFont val="Arial"/>
        <color theme="1"/>
        <sz val="12.0"/>
      </rPr>
      <t xml:space="preserve"> - NA (United States + Canada)</t>
    </r>
  </si>
  <si>
    <r>
      <rPr>
        <rFont val="Arial"/>
        <color theme="1"/>
        <sz val="12.0"/>
      </rPr>
      <t xml:space="preserve">BB with SR </t>
    </r>
    <r>
      <rPr>
        <rFont val="Arial"/>
        <b/>
        <color theme="1"/>
        <sz val="12.0"/>
      </rPr>
      <t>Blue</t>
    </r>
    <r>
      <rPr>
        <rFont val="Arial"/>
        <color theme="1"/>
        <sz val="12.0"/>
      </rPr>
      <t xml:space="preserve"> - NA (United States + Canada)</t>
    </r>
  </si>
  <si>
    <r>
      <rPr>
        <rFont val="Arial"/>
        <color theme="1"/>
        <sz val="12.0"/>
      </rPr>
      <t xml:space="preserve">BB with SR </t>
    </r>
    <r>
      <rPr>
        <rFont val="Arial"/>
        <b/>
        <color theme="1"/>
        <sz val="12.0"/>
      </rPr>
      <t>Yellow</t>
    </r>
    <r>
      <rPr>
        <rFont val="Arial"/>
        <color theme="1"/>
        <sz val="12.0"/>
      </rPr>
      <t xml:space="preserve"> - NA (United States + Canada)</t>
    </r>
  </si>
  <si>
    <r>
      <rPr>
        <rFont val="Arial"/>
        <color theme="1"/>
        <sz val="12.0"/>
      </rPr>
      <t xml:space="preserve">BB + BBSF | </t>
    </r>
    <r>
      <rPr>
        <rFont val="Arial"/>
        <b/>
        <color theme="1"/>
        <sz val="12.0"/>
      </rPr>
      <t>Europe (EU, UK, NOR, SWI)</t>
    </r>
  </si>
  <si>
    <r>
      <rPr>
        <rFont val="Arial"/>
        <color theme="1"/>
        <sz val="12.0"/>
      </rPr>
      <t xml:space="preserve">BB </t>
    </r>
    <r>
      <rPr>
        <rFont val="Arial"/>
        <b/>
        <color theme="1"/>
        <sz val="12.0"/>
      </rPr>
      <t>Blue</t>
    </r>
    <r>
      <rPr>
        <rFont val="Arial"/>
        <color theme="1"/>
        <sz val="12.0"/>
      </rPr>
      <t xml:space="preserve"> - Europe (EU, UK, NOR, SWI)</t>
    </r>
  </si>
  <si>
    <r>
      <rPr>
        <rFont val="Arial"/>
        <color theme="1"/>
        <sz val="12.0"/>
      </rPr>
      <t xml:space="preserve">BB </t>
    </r>
    <r>
      <rPr>
        <rFont val="Arial"/>
        <b/>
        <color theme="1"/>
        <sz val="12.0"/>
      </rPr>
      <t>Yellow</t>
    </r>
    <r>
      <rPr>
        <rFont val="Arial"/>
        <color theme="1"/>
        <sz val="12.0"/>
      </rPr>
      <t xml:space="preserve"> - Europe (EU, UK, NOR, SWI)</t>
    </r>
  </si>
  <si>
    <r>
      <rPr>
        <rFont val="Arial"/>
        <color theme="1"/>
        <sz val="12.0"/>
      </rPr>
      <t xml:space="preserve">BB with SR </t>
    </r>
    <r>
      <rPr>
        <rFont val="Arial"/>
        <b/>
        <color theme="1"/>
        <sz val="12.0"/>
      </rPr>
      <t>Blue</t>
    </r>
    <r>
      <rPr>
        <rFont val="Arial"/>
        <color theme="1"/>
        <sz val="12.0"/>
      </rPr>
      <t xml:space="preserve">  - Europe (EU, UK, NOR, SWI)</t>
    </r>
  </si>
  <si>
    <r>
      <rPr>
        <rFont val="Arial"/>
        <color theme="1"/>
        <sz val="12.0"/>
      </rPr>
      <t xml:space="preserve">BB with SR </t>
    </r>
    <r>
      <rPr>
        <rFont val="Arial"/>
        <b/>
        <color theme="1"/>
        <sz val="12.0"/>
      </rPr>
      <t>Yellow</t>
    </r>
    <r>
      <rPr>
        <rFont val="Arial"/>
        <color theme="1"/>
        <sz val="12.0"/>
      </rPr>
      <t xml:space="preserve"> - Europe (EU, UK, NOR, SWI)</t>
    </r>
  </si>
  <si>
    <r>
      <rPr>
        <rFont val="Arial"/>
        <color theme="1"/>
        <sz val="12.0"/>
      </rPr>
      <t xml:space="preserve">BB + BBSF | </t>
    </r>
    <r>
      <rPr>
        <rFont val="Arial"/>
        <b/>
        <color theme="1"/>
        <sz val="12.0"/>
      </rPr>
      <t xml:space="preserve">ROW </t>
    </r>
  </si>
  <si>
    <r>
      <rPr>
        <rFont val="Arial"/>
        <color theme="1"/>
        <sz val="12.0"/>
      </rPr>
      <t xml:space="preserve">BB </t>
    </r>
    <r>
      <rPr>
        <rFont val="Arial"/>
        <b/>
        <color theme="1"/>
        <sz val="12.0"/>
      </rPr>
      <t>Blue</t>
    </r>
    <r>
      <rPr>
        <rFont val="Arial"/>
        <color theme="1"/>
        <sz val="12.0"/>
      </rPr>
      <t xml:space="preserve"> - ROW</t>
    </r>
  </si>
  <si>
    <r>
      <rPr>
        <rFont val="Arial"/>
        <color theme="1"/>
        <sz val="12.0"/>
      </rPr>
      <t xml:space="preserve">BB </t>
    </r>
    <r>
      <rPr>
        <rFont val="Arial"/>
        <b/>
        <color theme="1"/>
        <sz val="12.0"/>
      </rPr>
      <t>Yellow</t>
    </r>
    <r>
      <rPr>
        <rFont val="Arial"/>
        <color theme="1"/>
        <sz val="12.0"/>
      </rPr>
      <t xml:space="preserve"> - ROW</t>
    </r>
  </si>
  <si>
    <r>
      <rPr>
        <rFont val="Arial"/>
        <color theme="1"/>
        <sz val="12.0"/>
      </rPr>
      <t xml:space="preserve">BB with SF </t>
    </r>
    <r>
      <rPr>
        <rFont val="Arial"/>
        <b/>
        <color theme="1"/>
        <sz val="12.0"/>
      </rPr>
      <t>Blue</t>
    </r>
    <r>
      <rPr>
        <rFont val="Arial"/>
        <color theme="1"/>
        <sz val="12.0"/>
      </rPr>
      <t xml:space="preserve"> - ROW</t>
    </r>
  </si>
  <si>
    <r>
      <rPr>
        <rFont val="Arial"/>
        <color theme="1"/>
        <sz val="12.0"/>
      </rPr>
      <t xml:space="preserve">BB with SF </t>
    </r>
    <r>
      <rPr>
        <rFont val="Arial"/>
        <b/>
        <color theme="1"/>
        <sz val="12.0"/>
      </rPr>
      <t>Yellow</t>
    </r>
    <r>
      <rPr>
        <rFont val="Arial"/>
        <color theme="1"/>
        <sz val="12.0"/>
      </rPr>
      <t xml:space="preserve"> - ROW</t>
    </r>
  </si>
  <si>
    <r>
      <rPr>
        <rFont val="Arial"/>
        <b/>
        <color theme="1"/>
        <sz val="12.0"/>
      </rPr>
      <t>NA</t>
    </r>
    <r>
      <rPr>
        <rFont val="Arial"/>
        <color theme="1"/>
        <sz val="12.0"/>
      </rPr>
      <t xml:space="preserve"> Countries (Units Sold)</t>
    </r>
  </si>
  <si>
    <t>Wall Mount - NA</t>
  </si>
  <si>
    <t>Fence Mount - NA</t>
  </si>
  <si>
    <t>Suet Ball Holder - NA</t>
  </si>
  <si>
    <r>
      <rPr>
        <rFont val="Arial"/>
        <color theme="1"/>
        <sz val="12.0"/>
      </rPr>
      <t xml:space="preserve">3-in-1 Nutrition Set </t>
    </r>
    <r>
      <rPr>
        <rFont val="Arial"/>
        <b/>
        <color theme="1"/>
        <sz val="12.0"/>
      </rPr>
      <t>Blue</t>
    </r>
    <r>
      <rPr>
        <rFont val="Arial"/>
        <color theme="1"/>
        <sz val="12.0"/>
      </rPr>
      <t xml:space="preserve"> - NA</t>
    </r>
  </si>
  <si>
    <r>
      <rPr>
        <rFont val="Arial"/>
        <color theme="1"/>
        <sz val="12.0"/>
      </rPr>
      <t xml:space="preserve">3-in-1 Nutrition Set </t>
    </r>
    <r>
      <rPr>
        <rFont val="Arial"/>
        <b/>
        <color theme="1"/>
        <sz val="12.0"/>
      </rPr>
      <t>Yellow</t>
    </r>
    <r>
      <rPr>
        <rFont val="Arial"/>
        <color theme="1"/>
        <sz val="12.0"/>
      </rPr>
      <t xml:space="preserve"> - NA</t>
    </r>
  </si>
  <si>
    <r>
      <rPr>
        <rFont val="Arial"/>
        <color theme="1"/>
        <sz val="12.0"/>
      </rPr>
      <t xml:space="preserve">Solar Roof Single </t>
    </r>
    <r>
      <rPr>
        <rFont val="Arial"/>
        <b/>
        <color theme="1"/>
        <sz val="12.0"/>
      </rPr>
      <t>Blue</t>
    </r>
    <r>
      <rPr>
        <rFont val="Arial"/>
        <color theme="1"/>
        <sz val="12.0"/>
      </rPr>
      <t xml:space="preserve"> - NA</t>
    </r>
  </si>
  <si>
    <r>
      <rPr>
        <rFont val="Arial"/>
        <color theme="1"/>
        <sz val="12.0"/>
      </rPr>
      <t xml:space="preserve">Solar Roof Single </t>
    </r>
    <r>
      <rPr>
        <rFont val="Arial"/>
        <b/>
        <color theme="1"/>
        <sz val="12.0"/>
      </rPr>
      <t>Yellow</t>
    </r>
    <r>
      <rPr>
        <rFont val="Arial"/>
        <color theme="1"/>
        <sz val="12.0"/>
      </rPr>
      <t xml:space="preserve"> - NA</t>
    </r>
  </si>
  <si>
    <r>
      <rPr>
        <rFont val="Arial"/>
        <color theme="1"/>
        <sz val="12.0"/>
      </rPr>
      <t xml:space="preserve">Perch Extender </t>
    </r>
    <r>
      <rPr>
        <rFont val="Arial"/>
        <b/>
        <color theme="1"/>
        <sz val="12.0"/>
      </rPr>
      <t>Blue</t>
    </r>
    <r>
      <rPr>
        <rFont val="Arial"/>
        <color theme="1"/>
        <sz val="12.0"/>
      </rPr>
      <t xml:space="preserve"> - NA</t>
    </r>
  </si>
  <si>
    <r>
      <rPr>
        <rFont val="Arial"/>
        <color theme="1"/>
        <sz val="12.0"/>
      </rPr>
      <t xml:space="preserve">Perch Extender </t>
    </r>
    <r>
      <rPr>
        <rFont val="Arial"/>
        <b/>
        <color theme="1"/>
        <sz val="12.0"/>
      </rPr>
      <t>Yellow</t>
    </r>
    <r>
      <rPr>
        <rFont val="Arial"/>
        <color theme="1"/>
        <sz val="12.0"/>
      </rPr>
      <t xml:space="preserve"> - NA</t>
    </r>
  </si>
  <si>
    <r>
      <rPr>
        <rFont val="Arial"/>
        <b/>
        <color theme="1"/>
        <sz val="12.0"/>
      </rPr>
      <t>EUROPE</t>
    </r>
    <r>
      <rPr>
        <rFont val="Arial"/>
        <color theme="1"/>
        <sz val="12.0"/>
      </rPr>
      <t xml:space="preserve"> Countries (Units Sold)</t>
    </r>
  </si>
  <si>
    <t>Wall Mount - Europe</t>
  </si>
  <si>
    <t>Fence Mount - Europe</t>
  </si>
  <si>
    <t>Suet Ball Holder - Europe</t>
  </si>
  <si>
    <r>
      <rPr>
        <rFont val="Arial"/>
        <color theme="1"/>
        <sz val="12.0"/>
      </rPr>
      <t xml:space="preserve">3-in-1 Nutrition Set </t>
    </r>
    <r>
      <rPr>
        <rFont val="Arial"/>
        <b/>
        <color theme="1"/>
        <sz val="12.0"/>
      </rPr>
      <t>Blue</t>
    </r>
    <r>
      <rPr>
        <rFont val="Arial"/>
        <color theme="1"/>
        <sz val="12.0"/>
      </rPr>
      <t xml:space="preserve"> - Europe</t>
    </r>
  </si>
  <si>
    <r>
      <rPr>
        <rFont val="Arial"/>
        <color theme="1"/>
        <sz val="12.0"/>
      </rPr>
      <t xml:space="preserve">3-in-1 Nutrition Set </t>
    </r>
    <r>
      <rPr>
        <rFont val="Arial"/>
        <b/>
        <color theme="1"/>
        <sz val="12.0"/>
      </rPr>
      <t>Yellow</t>
    </r>
    <r>
      <rPr>
        <rFont val="Arial"/>
        <color theme="1"/>
        <sz val="12.0"/>
      </rPr>
      <t xml:space="preserve"> - Europe</t>
    </r>
  </si>
  <si>
    <r>
      <rPr>
        <rFont val="Arial"/>
        <color theme="1"/>
        <sz val="12.0"/>
      </rPr>
      <t xml:space="preserve">Solar Roof Single </t>
    </r>
    <r>
      <rPr>
        <rFont val="Arial"/>
        <b/>
        <color theme="1"/>
        <sz val="12.0"/>
      </rPr>
      <t>Blue</t>
    </r>
    <r>
      <rPr>
        <rFont val="Arial"/>
        <color theme="1"/>
        <sz val="12.0"/>
      </rPr>
      <t xml:space="preserve"> - Europe</t>
    </r>
  </si>
  <si>
    <r>
      <rPr>
        <rFont val="Arial"/>
        <color theme="1"/>
        <sz val="12.0"/>
      </rPr>
      <t xml:space="preserve">Solar Roof Single </t>
    </r>
    <r>
      <rPr>
        <rFont val="Arial"/>
        <b/>
        <color theme="1"/>
        <sz val="12.0"/>
      </rPr>
      <t>Yellow</t>
    </r>
    <r>
      <rPr>
        <rFont val="Arial"/>
        <color theme="1"/>
        <sz val="12.0"/>
      </rPr>
      <t xml:space="preserve"> - Europe</t>
    </r>
  </si>
  <si>
    <r>
      <rPr>
        <rFont val="Arial"/>
        <color theme="1"/>
        <sz val="12.0"/>
      </rPr>
      <t xml:space="preserve">Perch Extender </t>
    </r>
    <r>
      <rPr>
        <rFont val="Arial"/>
        <b/>
        <color theme="1"/>
        <sz val="12.0"/>
      </rPr>
      <t>Blue</t>
    </r>
    <r>
      <rPr>
        <rFont val="Arial"/>
        <color theme="1"/>
        <sz val="12.0"/>
      </rPr>
      <t xml:space="preserve"> - Europe</t>
    </r>
  </si>
  <si>
    <r>
      <rPr>
        <rFont val="Arial"/>
        <color theme="1"/>
        <sz val="12.0"/>
      </rPr>
      <t xml:space="preserve">Perch Extender </t>
    </r>
    <r>
      <rPr>
        <rFont val="Arial"/>
        <b/>
        <color theme="1"/>
        <sz val="12.0"/>
      </rPr>
      <t>Yellow</t>
    </r>
    <r>
      <rPr>
        <rFont val="Arial"/>
        <color theme="1"/>
        <sz val="12.0"/>
      </rPr>
      <t xml:space="preserve"> - Europe</t>
    </r>
  </si>
  <si>
    <t>All Europe</t>
  </si>
  <si>
    <r>
      <rPr>
        <rFont val="Arial"/>
        <b/>
        <color theme="1"/>
        <sz val="12.0"/>
      </rPr>
      <t>ROW</t>
    </r>
    <r>
      <rPr>
        <rFont val="Arial"/>
        <color theme="1"/>
        <sz val="12.0"/>
      </rPr>
      <t xml:space="preserve"> Countries (Units Sold)</t>
    </r>
  </si>
  <si>
    <t>Wall Mount - ROW</t>
  </si>
  <si>
    <t>Fence Mount - ROW</t>
  </si>
  <si>
    <t>Suet Ball Holder - ROW</t>
  </si>
  <si>
    <r>
      <rPr>
        <rFont val="Arial"/>
        <color theme="1"/>
        <sz val="12.0"/>
      </rPr>
      <t xml:space="preserve">3-in-1 Nutrition Set </t>
    </r>
    <r>
      <rPr>
        <rFont val="Arial"/>
        <b/>
        <color theme="1"/>
        <sz val="12.0"/>
      </rPr>
      <t>Blue</t>
    </r>
    <r>
      <rPr>
        <rFont val="Arial"/>
        <color theme="1"/>
        <sz val="12.0"/>
      </rPr>
      <t xml:space="preserve"> - ROW</t>
    </r>
  </si>
  <si>
    <r>
      <rPr>
        <rFont val="Arial"/>
        <color theme="1"/>
        <sz val="12.0"/>
      </rPr>
      <t xml:space="preserve">3-in-1 Nutrition Set </t>
    </r>
    <r>
      <rPr>
        <rFont val="Arial"/>
        <b/>
        <color theme="1"/>
        <sz val="12.0"/>
      </rPr>
      <t>Yellow</t>
    </r>
    <r>
      <rPr>
        <rFont val="Arial"/>
        <color theme="1"/>
        <sz val="12.0"/>
      </rPr>
      <t xml:space="preserve"> - ROW</t>
    </r>
  </si>
  <si>
    <r>
      <rPr>
        <rFont val="Arial"/>
        <color theme="1"/>
        <sz val="12.0"/>
      </rPr>
      <t xml:space="preserve">Solar Roof Single </t>
    </r>
    <r>
      <rPr>
        <rFont val="Arial"/>
        <b/>
        <color theme="1"/>
        <sz val="12.0"/>
      </rPr>
      <t>Blue</t>
    </r>
    <r>
      <rPr>
        <rFont val="Arial"/>
        <color theme="1"/>
        <sz val="12.0"/>
      </rPr>
      <t xml:space="preserve"> - ROW</t>
    </r>
  </si>
  <si>
    <r>
      <rPr>
        <rFont val="Arial"/>
        <color theme="1"/>
        <sz val="12.0"/>
      </rPr>
      <t xml:space="preserve">Solar Roof Single </t>
    </r>
    <r>
      <rPr>
        <rFont val="Arial"/>
        <b/>
        <color theme="1"/>
        <sz val="12.0"/>
      </rPr>
      <t>Yellow</t>
    </r>
    <r>
      <rPr>
        <rFont val="Arial"/>
        <color theme="1"/>
        <sz val="12.0"/>
      </rPr>
      <t xml:space="preserve"> - ROW</t>
    </r>
  </si>
  <si>
    <r>
      <rPr>
        <rFont val="Arial"/>
        <color theme="1"/>
        <sz val="12.0"/>
      </rPr>
      <t xml:space="preserve">Perch Extender </t>
    </r>
    <r>
      <rPr>
        <rFont val="Arial"/>
        <b/>
        <color theme="1"/>
        <sz val="12.0"/>
      </rPr>
      <t>Blue</t>
    </r>
    <r>
      <rPr>
        <rFont val="Arial"/>
        <color theme="1"/>
        <sz val="12.0"/>
      </rPr>
      <t xml:space="preserve"> - ROW</t>
    </r>
  </si>
  <si>
    <r>
      <rPr>
        <rFont val="Arial"/>
        <color theme="1"/>
        <sz val="12.0"/>
      </rPr>
      <t xml:space="preserve">Perch Extender </t>
    </r>
    <r>
      <rPr>
        <rFont val="Arial"/>
        <b/>
        <color theme="1"/>
        <sz val="12.0"/>
      </rPr>
      <t>Yellow</t>
    </r>
    <r>
      <rPr>
        <rFont val="Arial"/>
        <color theme="1"/>
        <sz val="12.0"/>
      </rPr>
      <t xml:space="preserve"> - ROW</t>
    </r>
  </si>
  <si>
    <t>All ROW</t>
  </si>
  <si>
    <t>Revenue by country (Gross)</t>
  </si>
  <si>
    <r>
      <rPr>
        <rFont val="Arial"/>
        <color theme="1"/>
        <sz val="12.0"/>
      </rPr>
      <t xml:space="preserve">BB + BBSF | </t>
    </r>
    <r>
      <rPr>
        <rFont val="Arial"/>
        <b/>
        <color theme="1"/>
        <sz val="12.0"/>
      </rPr>
      <t>NA (United States + Canada)</t>
    </r>
  </si>
  <si>
    <r>
      <rPr>
        <rFont val="Arial"/>
        <color theme="1"/>
        <sz val="12.0"/>
      </rPr>
      <t xml:space="preserve">BB </t>
    </r>
    <r>
      <rPr>
        <rFont val="Arial"/>
        <b/>
        <color theme="1"/>
        <sz val="12.0"/>
      </rPr>
      <t>Blue</t>
    </r>
    <r>
      <rPr>
        <rFont val="Arial"/>
        <color theme="1"/>
        <sz val="12.0"/>
      </rPr>
      <t xml:space="preserve"> - NA (United States + Canada)</t>
    </r>
  </si>
  <si>
    <r>
      <rPr>
        <rFont val="Arial"/>
        <color theme="1"/>
        <sz val="12.0"/>
      </rPr>
      <t xml:space="preserve">BB </t>
    </r>
    <r>
      <rPr>
        <rFont val="Arial"/>
        <b/>
        <color theme="1"/>
        <sz val="12.0"/>
      </rPr>
      <t>Yellow</t>
    </r>
    <r>
      <rPr>
        <rFont val="Arial"/>
        <color theme="1"/>
        <sz val="12.0"/>
      </rPr>
      <t xml:space="preserve"> - NA (United States + Canada)</t>
    </r>
  </si>
  <si>
    <r>
      <rPr>
        <rFont val="Arial"/>
        <color theme="1"/>
        <sz val="12.0"/>
      </rPr>
      <t xml:space="preserve">BB with SR </t>
    </r>
    <r>
      <rPr>
        <rFont val="Arial"/>
        <b/>
        <color theme="1"/>
        <sz val="12.0"/>
      </rPr>
      <t>Blue</t>
    </r>
    <r>
      <rPr>
        <rFont val="Arial"/>
        <color theme="1"/>
        <sz val="12.0"/>
      </rPr>
      <t xml:space="preserve"> - NA (United States + Canada)</t>
    </r>
  </si>
  <si>
    <r>
      <rPr>
        <rFont val="Arial"/>
        <color theme="1"/>
        <sz val="12.0"/>
      </rPr>
      <t xml:space="preserve">BB with SR </t>
    </r>
    <r>
      <rPr>
        <rFont val="Arial"/>
        <b/>
        <color theme="1"/>
        <sz val="12.0"/>
      </rPr>
      <t>Yellow</t>
    </r>
    <r>
      <rPr>
        <rFont val="Arial"/>
        <color theme="1"/>
        <sz val="12.0"/>
      </rPr>
      <t xml:space="preserve"> - NA (United States + Canada)</t>
    </r>
  </si>
  <si>
    <r>
      <rPr>
        <rFont val="Arial"/>
        <color theme="1"/>
        <sz val="12.0"/>
      </rPr>
      <t xml:space="preserve">BB + BBSF | </t>
    </r>
    <r>
      <rPr>
        <rFont val="Arial"/>
        <b/>
        <color theme="1"/>
        <sz val="12.0"/>
      </rPr>
      <t>Europe (EU, UK, NOR, SWI)</t>
    </r>
  </si>
  <si>
    <r>
      <rPr>
        <rFont val="Arial"/>
        <color theme="1"/>
        <sz val="12.0"/>
      </rPr>
      <t xml:space="preserve">BB </t>
    </r>
    <r>
      <rPr>
        <rFont val="Arial"/>
        <b/>
        <color theme="1"/>
        <sz val="12.0"/>
      </rPr>
      <t>Blue</t>
    </r>
    <r>
      <rPr>
        <rFont val="Arial"/>
        <color theme="1"/>
        <sz val="12.0"/>
      </rPr>
      <t xml:space="preserve"> - Europe (EU, UK, NOR, SWI)</t>
    </r>
  </si>
  <si>
    <r>
      <rPr>
        <rFont val="Arial"/>
        <color theme="1"/>
        <sz val="12.0"/>
      </rPr>
      <t xml:space="preserve">BB </t>
    </r>
    <r>
      <rPr>
        <rFont val="Arial"/>
        <b/>
        <color theme="1"/>
        <sz val="12.0"/>
      </rPr>
      <t>Yellow</t>
    </r>
    <r>
      <rPr>
        <rFont val="Arial"/>
        <color theme="1"/>
        <sz val="12.0"/>
      </rPr>
      <t xml:space="preserve"> - Europe (EU, UK, NOR, SWI)</t>
    </r>
  </si>
  <si>
    <r>
      <rPr>
        <rFont val="Arial"/>
        <color theme="1"/>
        <sz val="12.0"/>
      </rPr>
      <t xml:space="preserve">BB with SR </t>
    </r>
    <r>
      <rPr>
        <rFont val="Arial"/>
        <b/>
        <color theme="1"/>
        <sz val="12.0"/>
      </rPr>
      <t>Blue</t>
    </r>
    <r>
      <rPr>
        <rFont val="Arial"/>
        <color theme="1"/>
        <sz val="12.0"/>
      </rPr>
      <t xml:space="preserve">  - Europe (EU, UK, NOR, SWI)</t>
    </r>
  </si>
  <si>
    <r>
      <rPr>
        <rFont val="Arial"/>
        <color theme="1"/>
        <sz val="12.0"/>
      </rPr>
      <t xml:space="preserve">BB with SR </t>
    </r>
    <r>
      <rPr>
        <rFont val="Arial"/>
        <b/>
        <color theme="1"/>
        <sz val="12.0"/>
      </rPr>
      <t>Yellow</t>
    </r>
    <r>
      <rPr>
        <rFont val="Arial"/>
        <color theme="1"/>
        <sz val="12.0"/>
      </rPr>
      <t xml:space="preserve"> - Europe (EU, UK, NOR, SWI)</t>
    </r>
  </si>
  <si>
    <r>
      <rPr>
        <rFont val="Arial"/>
        <color theme="1"/>
        <sz val="12.0"/>
      </rPr>
      <t xml:space="preserve">BB + BBSF | </t>
    </r>
    <r>
      <rPr>
        <rFont val="Arial"/>
        <b/>
        <color theme="1"/>
        <sz val="12.0"/>
      </rPr>
      <t xml:space="preserve">ROW </t>
    </r>
  </si>
  <si>
    <r>
      <rPr>
        <rFont val="Arial"/>
        <color theme="1"/>
        <sz val="12.0"/>
      </rPr>
      <t xml:space="preserve">BB </t>
    </r>
    <r>
      <rPr>
        <rFont val="Arial"/>
        <b/>
        <color theme="1"/>
        <sz val="12.0"/>
      </rPr>
      <t>Blue</t>
    </r>
    <r>
      <rPr>
        <rFont val="Arial"/>
        <color theme="1"/>
        <sz val="12.0"/>
      </rPr>
      <t xml:space="preserve"> - ROW</t>
    </r>
  </si>
  <si>
    <r>
      <rPr>
        <rFont val="Arial"/>
        <color theme="1"/>
        <sz val="12.0"/>
      </rPr>
      <t xml:space="preserve">BB </t>
    </r>
    <r>
      <rPr>
        <rFont val="Arial"/>
        <b/>
        <color theme="1"/>
        <sz val="12.0"/>
      </rPr>
      <t>Yellow</t>
    </r>
    <r>
      <rPr>
        <rFont val="Arial"/>
        <color theme="1"/>
        <sz val="12.0"/>
      </rPr>
      <t xml:space="preserve"> - ROW</t>
    </r>
  </si>
  <si>
    <r>
      <rPr>
        <rFont val="Arial"/>
        <color theme="1"/>
        <sz val="12.0"/>
      </rPr>
      <t xml:space="preserve">BB with SF </t>
    </r>
    <r>
      <rPr>
        <rFont val="Arial"/>
        <b/>
        <color theme="1"/>
        <sz val="12.0"/>
      </rPr>
      <t>Blue</t>
    </r>
    <r>
      <rPr>
        <rFont val="Arial"/>
        <color theme="1"/>
        <sz val="12.0"/>
      </rPr>
      <t xml:space="preserve"> - ROW</t>
    </r>
  </si>
  <si>
    <r>
      <rPr>
        <rFont val="Arial"/>
        <color theme="1"/>
        <sz val="12.0"/>
      </rPr>
      <t xml:space="preserve">BB with SF </t>
    </r>
    <r>
      <rPr>
        <rFont val="Arial"/>
        <b/>
        <color theme="1"/>
        <sz val="12.0"/>
      </rPr>
      <t>Yellow</t>
    </r>
    <r>
      <rPr>
        <rFont val="Arial"/>
        <color theme="1"/>
        <sz val="12.0"/>
      </rPr>
      <t xml:space="preserve"> - ROW</t>
    </r>
  </si>
  <si>
    <t>All Solar Roof</t>
  </si>
  <si>
    <r>
      <rPr>
        <rFont val="Arial"/>
        <b/>
        <color theme="1"/>
        <sz val="12.0"/>
      </rPr>
      <t>NA</t>
    </r>
    <r>
      <rPr>
        <rFont val="Arial"/>
        <color theme="1"/>
        <sz val="12.0"/>
      </rPr>
      <t xml:space="preserve"> Countries (Revenue)</t>
    </r>
  </si>
  <si>
    <r>
      <rPr>
        <rFont val="Arial"/>
        <color theme="1"/>
        <sz val="12.0"/>
      </rPr>
      <t xml:space="preserve">3-in-1 Nutrition Set </t>
    </r>
    <r>
      <rPr>
        <rFont val="Arial"/>
        <b/>
        <color theme="1"/>
        <sz val="12.0"/>
      </rPr>
      <t>Blue</t>
    </r>
    <r>
      <rPr>
        <rFont val="Arial"/>
        <color theme="1"/>
        <sz val="12.0"/>
      </rPr>
      <t xml:space="preserve"> - NA</t>
    </r>
  </si>
  <si>
    <r>
      <rPr>
        <rFont val="Arial"/>
        <color theme="1"/>
        <sz val="12.0"/>
      </rPr>
      <t xml:space="preserve">3-in-1 Nutrition Set </t>
    </r>
    <r>
      <rPr>
        <rFont val="Arial"/>
        <b/>
        <color theme="1"/>
        <sz val="12.0"/>
      </rPr>
      <t>Yellow</t>
    </r>
    <r>
      <rPr>
        <rFont val="Arial"/>
        <color theme="1"/>
        <sz val="12.0"/>
      </rPr>
      <t xml:space="preserve"> - NA</t>
    </r>
  </si>
  <si>
    <r>
      <rPr>
        <rFont val="Arial"/>
        <color theme="1"/>
        <sz val="12.0"/>
      </rPr>
      <t xml:space="preserve">Solar Roof Single </t>
    </r>
    <r>
      <rPr>
        <rFont val="Arial"/>
        <b/>
        <color theme="1"/>
        <sz val="12.0"/>
      </rPr>
      <t>Blue</t>
    </r>
    <r>
      <rPr>
        <rFont val="Arial"/>
        <color theme="1"/>
        <sz val="12.0"/>
      </rPr>
      <t xml:space="preserve"> - NA</t>
    </r>
  </si>
  <si>
    <r>
      <rPr>
        <rFont val="Arial"/>
        <color theme="1"/>
        <sz val="12.0"/>
      </rPr>
      <t xml:space="preserve">Solar Roof Single </t>
    </r>
    <r>
      <rPr>
        <rFont val="Arial"/>
        <b/>
        <color theme="1"/>
        <sz val="12.0"/>
      </rPr>
      <t>Yellow</t>
    </r>
    <r>
      <rPr>
        <rFont val="Arial"/>
        <color theme="1"/>
        <sz val="12.0"/>
      </rPr>
      <t xml:space="preserve"> - NA</t>
    </r>
  </si>
  <si>
    <r>
      <rPr>
        <rFont val="Arial"/>
        <color theme="1"/>
        <sz val="12.0"/>
      </rPr>
      <t xml:space="preserve">Perch Extender </t>
    </r>
    <r>
      <rPr>
        <rFont val="Arial"/>
        <b/>
        <color theme="1"/>
        <sz val="12.0"/>
      </rPr>
      <t>Blue</t>
    </r>
    <r>
      <rPr>
        <rFont val="Arial"/>
        <color theme="1"/>
        <sz val="12.0"/>
      </rPr>
      <t xml:space="preserve"> - NA</t>
    </r>
  </si>
  <si>
    <r>
      <rPr>
        <rFont val="Arial"/>
        <color theme="1"/>
        <sz val="12.0"/>
      </rPr>
      <t xml:space="preserve">Perch Extender </t>
    </r>
    <r>
      <rPr>
        <rFont val="Arial"/>
        <b/>
        <color theme="1"/>
        <sz val="12.0"/>
      </rPr>
      <t>Yellow</t>
    </r>
    <r>
      <rPr>
        <rFont val="Arial"/>
        <color theme="1"/>
        <sz val="12.0"/>
      </rPr>
      <t xml:space="preserve"> - NA</t>
    </r>
  </si>
  <si>
    <r>
      <rPr>
        <rFont val="Arial"/>
        <b/>
        <color theme="1"/>
        <sz val="12.0"/>
      </rPr>
      <t>EUROPE</t>
    </r>
    <r>
      <rPr>
        <rFont val="Arial"/>
        <color theme="1"/>
        <sz val="12.0"/>
      </rPr>
      <t xml:space="preserve"> Countries (Revenue)</t>
    </r>
  </si>
  <si>
    <r>
      <rPr>
        <rFont val="Arial"/>
        <color theme="1"/>
        <sz val="12.0"/>
      </rPr>
      <t xml:space="preserve">3-in-1 Nutrition Set </t>
    </r>
    <r>
      <rPr>
        <rFont val="Arial"/>
        <b/>
        <color theme="1"/>
        <sz val="12.0"/>
      </rPr>
      <t>Blue</t>
    </r>
    <r>
      <rPr>
        <rFont val="Arial"/>
        <color theme="1"/>
        <sz val="12.0"/>
      </rPr>
      <t xml:space="preserve"> - Europe</t>
    </r>
  </si>
  <si>
    <r>
      <rPr>
        <rFont val="Arial"/>
        <color theme="1"/>
        <sz val="12.0"/>
      </rPr>
      <t xml:space="preserve">3-in-1 Nutrition Set </t>
    </r>
    <r>
      <rPr>
        <rFont val="Arial"/>
        <b/>
        <color theme="1"/>
        <sz val="12.0"/>
      </rPr>
      <t>Yellow</t>
    </r>
    <r>
      <rPr>
        <rFont val="Arial"/>
        <color theme="1"/>
        <sz val="12.0"/>
      </rPr>
      <t xml:space="preserve"> - Europe</t>
    </r>
  </si>
  <si>
    <r>
      <rPr>
        <rFont val="Arial"/>
        <color theme="1"/>
        <sz val="12.0"/>
      </rPr>
      <t xml:space="preserve">Solar Roof Single </t>
    </r>
    <r>
      <rPr>
        <rFont val="Arial"/>
        <b/>
        <color theme="1"/>
        <sz val="12.0"/>
      </rPr>
      <t>Blue</t>
    </r>
    <r>
      <rPr>
        <rFont val="Arial"/>
        <color theme="1"/>
        <sz val="12.0"/>
      </rPr>
      <t xml:space="preserve"> - Europe</t>
    </r>
  </si>
  <si>
    <r>
      <rPr>
        <rFont val="Arial"/>
        <color theme="1"/>
        <sz val="12.0"/>
      </rPr>
      <t xml:space="preserve">Solar Roof Single </t>
    </r>
    <r>
      <rPr>
        <rFont val="Arial"/>
        <b/>
        <color theme="1"/>
        <sz val="12.0"/>
      </rPr>
      <t>Yellow</t>
    </r>
    <r>
      <rPr>
        <rFont val="Arial"/>
        <color theme="1"/>
        <sz val="12.0"/>
      </rPr>
      <t xml:space="preserve"> - Europe</t>
    </r>
  </si>
  <si>
    <r>
      <rPr>
        <rFont val="Arial"/>
        <color theme="1"/>
        <sz val="12.0"/>
      </rPr>
      <t xml:space="preserve">Perch Extender </t>
    </r>
    <r>
      <rPr>
        <rFont val="Arial"/>
        <b/>
        <color theme="1"/>
        <sz val="12.0"/>
      </rPr>
      <t>Blue</t>
    </r>
    <r>
      <rPr>
        <rFont val="Arial"/>
        <color theme="1"/>
        <sz val="12.0"/>
      </rPr>
      <t xml:space="preserve"> - Europe</t>
    </r>
  </si>
  <si>
    <r>
      <rPr>
        <rFont val="Arial"/>
        <color theme="1"/>
        <sz val="12.0"/>
      </rPr>
      <t xml:space="preserve">Perch Extender </t>
    </r>
    <r>
      <rPr>
        <rFont val="Arial"/>
        <b/>
        <color theme="1"/>
        <sz val="12.0"/>
      </rPr>
      <t>Yellow</t>
    </r>
    <r>
      <rPr>
        <rFont val="Arial"/>
        <color theme="1"/>
        <sz val="12.0"/>
      </rPr>
      <t xml:space="preserve"> - Europe</t>
    </r>
  </si>
  <si>
    <r>
      <rPr>
        <rFont val="Arial"/>
        <b/>
        <color theme="1"/>
        <sz val="12.0"/>
      </rPr>
      <t>ROW</t>
    </r>
    <r>
      <rPr>
        <rFont val="Arial"/>
        <color theme="1"/>
        <sz val="12.0"/>
      </rPr>
      <t xml:space="preserve"> Countries (Revenue)</t>
    </r>
  </si>
  <si>
    <r>
      <rPr>
        <rFont val="Arial"/>
        <color theme="1"/>
        <sz val="12.0"/>
      </rPr>
      <t xml:space="preserve">3-in-1 Nutrition Set </t>
    </r>
    <r>
      <rPr>
        <rFont val="Arial"/>
        <b/>
        <color theme="1"/>
        <sz val="12.0"/>
      </rPr>
      <t>Blue</t>
    </r>
    <r>
      <rPr>
        <rFont val="Arial"/>
        <color theme="1"/>
        <sz val="12.0"/>
      </rPr>
      <t xml:space="preserve"> - ROW</t>
    </r>
  </si>
  <si>
    <r>
      <rPr>
        <rFont val="Arial"/>
        <color theme="1"/>
        <sz val="12.0"/>
      </rPr>
      <t xml:space="preserve">3-in-1 Nutrition Set </t>
    </r>
    <r>
      <rPr>
        <rFont val="Arial"/>
        <b/>
        <color theme="1"/>
        <sz val="12.0"/>
      </rPr>
      <t>Yellow</t>
    </r>
    <r>
      <rPr>
        <rFont val="Arial"/>
        <color theme="1"/>
        <sz val="12.0"/>
      </rPr>
      <t xml:space="preserve"> - ROW</t>
    </r>
  </si>
  <si>
    <r>
      <rPr>
        <rFont val="Arial"/>
        <color theme="1"/>
        <sz val="12.0"/>
      </rPr>
      <t xml:space="preserve">Solar Roof Single </t>
    </r>
    <r>
      <rPr>
        <rFont val="Arial"/>
        <b/>
        <color theme="1"/>
        <sz val="12.0"/>
      </rPr>
      <t>Blue</t>
    </r>
    <r>
      <rPr>
        <rFont val="Arial"/>
        <color theme="1"/>
        <sz val="12.0"/>
      </rPr>
      <t xml:space="preserve"> - ROW</t>
    </r>
  </si>
  <si>
    <r>
      <rPr>
        <rFont val="Arial"/>
        <color theme="1"/>
        <sz val="12.0"/>
      </rPr>
      <t xml:space="preserve">Solar Roof Single </t>
    </r>
    <r>
      <rPr>
        <rFont val="Arial"/>
        <b/>
        <color theme="1"/>
        <sz val="12.0"/>
      </rPr>
      <t>Yellow</t>
    </r>
    <r>
      <rPr>
        <rFont val="Arial"/>
        <color theme="1"/>
        <sz val="12.0"/>
      </rPr>
      <t xml:space="preserve"> - ROW</t>
    </r>
  </si>
  <si>
    <r>
      <rPr>
        <rFont val="Arial"/>
        <color theme="1"/>
        <sz val="12.0"/>
      </rPr>
      <t xml:space="preserve">Perch Extender </t>
    </r>
    <r>
      <rPr>
        <rFont val="Arial"/>
        <b/>
        <color theme="1"/>
        <sz val="12.0"/>
      </rPr>
      <t>Blue</t>
    </r>
    <r>
      <rPr>
        <rFont val="Arial"/>
        <color theme="1"/>
        <sz val="12.0"/>
      </rPr>
      <t xml:space="preserve"> - ROW</t>
    </r>
  </si>
  <si>
    <r>
      <rPr>
        <rFont val="Arial"/>
        <color theme="1"/>
        <sz val="12.0"/>
      </rPr>
      <t xml:space="preserve">Perch Extender </t>
    </r>
    <r>
      <rPr>
        <rFont val="Arial"/>
        <b/>
        <color theme="1"/>
        <sz val="12.0"/>
      </rPr>
      <t>Yellow</t>
    </r>
    <r>
      <rPr>
        <rFont val="Arial"/>
        <color theme="1"/>
        <sz val="12.0"/>
      </rPr>
      <t xml:space="preserve"> - ROW</t>
    </r>
  </si>
  <si>
    <t>PRO Subscription - WW</t>
  </si>
  <si>
    <t>Seeds Subscription - WW</t>
  </si>
  <si>
    <t>Units Cancelled by country (Gross)</t>
  </si>
  <si>
    <t>Bird Buddy - NA (United States + Canada)</t>
  </si>
  <si>
    <t>Bird Buddy with Solar Roof- NA (United States + Canada)</t>
  </si>
  <si>
    <t>Bird Buddy - Europe (EU, UK, NOR, SWI)</t>
  </si>
  <si>
    <t>Bird Buddy with Solar Roof - Europe (EU, UK, NOR, SWI)</t>
  </si>
  <si>
    <t>Bird Buddy - ROW</t>
  </si>
  <si>
    <t>Bird Buddy with Solar Roof - ROW</t>
  </si>
  <si>
    <t>3-in-1 Nutrition Set - NA</t>
  </si>
  <si>
    <t>Solar Roof Single - NA</t>
  </si>
  <si>
    <t>Perch Extender - NA</t>
  </si>
  <si>
    <t>3-in-1 Nutrition Set - Europe</t>
  </si>
  <si>
    <t>Solar Roof Single - Europe</t>
  </si>
  <si>
    <t>Perch Extender - Europe</t>
  </si>
  <si>
    <t>3-in-1 Nutrition Set - ROW</t>
  </si>
  <si>
    <t>Solar Roof Single - ROW</t>
  </si>
  <si>
    <t>Perch Extender - ROW</t>
  </si>
  <si>
    <t>Units Refund by country (Gross)</t>
  </si>
  <si>
    <t>Premium Subscription - WW</t>
  </si>
  <si>
    <r>
      <rPr>
        <rFont val="Arial"/>
        <color theme="1"/>
        <sz val="12.0"/>
      </rPr>
      <t xml:space="preserve">Orders Refund NA </t>
    </r>
    <r>
      <rPr>
        <rFont val="Arial"/>
        <color theme="1"/>
        <sz val="10.0"/>
      </rPr>
      <t>(ex. "return")</t>
    </r>
  </si>
  <si>
    <r>
      <rPr>
        <rFont val="Arial"/>
        <color theme="1"/>
        <sz val="12.0"/>
      </rPr>
      <t xml:space="preserve">Orders Refund EU </t>
    </r>
    <r>
      <rPr>
        <rFont val="Arial"/>
        <color theme="1"/>
        <sz val="10.0"/>
      </rPr>
      <t>(ex. "return")</t>
    </r>
  </si>
  <si>
    <r>
      <rPr>
        <rFont val="Arial"/>
        <color theme="1"/>
        <sz val="12.0"/>
      </rPr>
      <t xml:space="preserve">Orders Refund ROW </t>
    </r>
    <r>
      <rPr>
        <rFont val="Arial"/>
        <color theme="1"/>
        <sz val="10.0"/>
      </rPr>
      <t>(ex. "return")</t>
    </r>
  </si>
  <si>
    <t>Revenue Cancelled by country (Gross)</t>
  </si>
  <si>
    <t>Hardware - NA</t>
  </si>
  <si>
    <t>Shipping - NA</t>
  </si>
  <si>
    <t>Taxes - NA</t>
  </si>
  <si>
    <t>Hardware - ROW</t>
  </si>
  <si>
    <t>Shipping - ROW</t>
  </si>
  <si>
    <t>Taxes - ROW</t>
  </si>
  <si>
    <t>Revenue Refunded by country (Gross)</t>
  </si>
  <si>
    <t>Marketing Averages (per order)</t>
  </si>
  <si>
    <t>Post-purchase Survey</t>
  </si>
  <si>
    <t>Processing Fee</t>
  </si>
  <si>
    <t>Facebook / Instagram</t>
  </si>
  <si>
    <t>Friends / Family</t>
  </si>
  <si>
    <t>RETURN (Replacement Units &amp; Claims) by country</t>
  </si>
  <si>
    <t>TV / Radio</t>
  </si>
  <si>
    <t>US+CA</t>
  </si>
  <si>
    <t>Blog / Article</t>
  </si>
  <si>
    <t>*from july.23</t>
  </si>
  <si>
    <t>EUROPE</t>
  </si>
  <si>
    <t>Reddit</t>
  </si>
  <si>
    <t>Google, Youtube</t>
  </si>
  <si>
    <t>Yahoo, Bing</t>
  </si>
  <si>
    <t>jan.23-jun.23 AOV</t>
  </si>
  <si>
    <t>Total submissions:</t>
  </si>
  <si>
    <t>NA (cca 6 %)</t>
  </si>
  <si>
    <t>Percentage</t>
  </si>
  <si>
    <t>Europe (22 %)</t>
  </si>
  <si>
    <t>Refunds</t>
  </si>
  <si>
    <t>Sales Margin %</t>
  </si>
  <si>
    <t>Units Sold by country (Net)</t>
  </si>
  <si>
    <t>KCTC (additionally for first 3.000 items)</t>
  </si>
  <si>
    <t>*KCTC = China -&gt; LA with Air fraight</t>
  </si>
  <si>
    <t>Logistics</t>
  </si>
  <si>
    <t>Label Handling</t>
  </si>
  <si>
    <t>FBA fees</t>
  </si>
  <si>
    <t>*for first milion is 10 % than 15 %</t>
  </si>
  <si>
    <t>- Hardware</t>
  </si>
  <si>
    <t>- Add-ons</t>
  </si>
  <si>
    <t>- Merch</t>
  </si>
  <si>
    <t>- Taxes</t>
  </si>
  <si>
    <t>- Shipping</t>
  </si>
  <si>
    <t>IndieGoGo Revenue</t>
  </si>
  <si>
    <t>- Tax</t>
  </si>
  <si>
    <t>- Gift Wrap</t>
  </si>
  <si>
    <t>Rachio Revenue</t>
  </si>
  <si>
    <t>Net PRO Subscription Revenue</t>
  </si>
  <si>
    <t>- Hardware (units sold)</t>
  </si>
  <si>
    <t>- Add-ons (units sold)</t>
  </si>
  <si>
    <t>- Merch (units sold)</t>
  </si>
  <si>
    <t>Net PRO Subscription Orders</t>
  </si>
  <si>
    <t>FB - US &amp; CA</t>
  </si>
  <si>
    <t>Google - WW</t>
  </si>
  <si>
    <t>Bing - WW</t>
  </si>
  <si>
    <t>TikTok - US &amp; CA</t>
  </si>
  <si>
    <t>Affiliate Fees - US</t>
  </si>
  <si>
    <t>Total Web Spend</t>
  </si>
  <si>
    <t>igROAS</t>
  </si>
  <si>
    <t>Blended CAC</t>
  </si>
  <si>
    <t>wCAC</t>
  </si>
  <si>
    <t>aCAC</t>
  </si>
  <si>
    <t>COGS Bird Buddy ($81.22)</t>
  </si>
  <si>
    <t>igCAC</t>
  </si>
  <si>
    <t>Bird Buddy China Tax (7.5%)</t>
  </si>
  <si>
    <t>COGS Bird Buddy with Solar Roof ($91.14)</t>
  </si>
  <si>
    <t>Bird Buddy with Solar Roof China Tax (7.5%)</t>
  </si>
  <si>
    <t>COGS Fence Mount ($6.37)</t>
  </si>
  <si>
    <t>Fence Mount China Tax (7.5%)</t>
  </si>
  <si>
    <t>Fence Mount Duty (3.4%)</t>
  </si>
  <si>
    <t>COGS Wall Mount ($4.93)</t>
  </si>
  <si>
    <t>Wall Mount China Tax (7.5%)</t>
  </si>
  <si>
    <t>CAC</t>
  </si>
  <si>
    <t>Wall Mount Duty (3.4%)</t>
  </si>
  <si>
    <t>COGS Suet Ball ($1.07)</t>
  </si>
  <si>
    <t>Suet Ball China Tax (7.5%)</t>
  </si>
  <si>
    <t>Suet Ball Duty (3.4%)</t>
  </si>
  <si>
    <t>COGS 3-in-1 Nutrition Set ($5.98)</t>
  </si>
  <si>
    <t>COGS 3-in-1 Nutrition Set China Tax (7.5%)</t>
  </si>
  <si>
    <t>September</t>
  </si>
  <si>
    <t>COGS 3-in-1 Nutrition Set Duty (3.4%)</t>
  </si>
  <si>
    <t>COGS Solar Roof Single ($10.50)</t>
  </si>
  <si>
    <t>Solar Roof Single China Tax (7.5%)</t>
  </si>
  <si>
    <t>Start date:</t>
  </si>
  <si>
    <t>End date:</t>
  </si>
  <si>
    <t>30/09/2023</t>
  </si>
  <si>
    <t>Solar Roof Single Duty (2.5%)</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</si>
  <si>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</si>
  <si>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</si>
  <si>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</si>
  <si>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</si>
  <si>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</si>
  <si>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</si>
  <si>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</si>
  <si>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</si>
  <si>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</si>
  <si>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</si>
  <si>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</si>
  <si>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</si>
  <si>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</si>
  <si>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</si>
  <si>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</si>
  <si>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</si>
  <si>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</si>
  <si>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</si>
  <si>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</si>
  <si>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Harbor Maintenance Fees (0.125%)</t>
  </si>
  <si>
    <t>AVG ROAS per month</t>
  </si>
  <si>
    <t>AVG CPO per month</t>
  </si>
  <si>
    <t>AVG CR per month</t>
  </si>
  <si>
    <t>0,91%</t>
  </si>
  <si>
    <t>AVG AOV per month</t>
  </si>
  <si>
    <t>How can we achieve the plan? (KPI-s perspective) - MTD</t>
  </si>
  <si>
    <t>Planned MTD (WEB)</t>
  </si>
  <si>
    <t>Actuals MTD (WEB)</t>
  </si>
  <si>
    <t>WEB Realization %</t>
  </si>
  <si>
    <t>Planned revenue</t>
  </si>
  <si>
    <t xml:space="preserve">Platform Fee </t>
  </si>
  <si>
    <t>Merchandise Processing Fees (0.3464%)*</t>
  </si>
  <si>
    <t>Planned orders</t>
  </si>
  <si>
    <t>Planned investments (marketing activites)</t>
  </si>
  <si>
    <r>
      <rPr>
        <rFont val="Arial"/>
        <color theme="1"/>
        <sz val="12.0"/>
      </rPr>
      <t xml:space="preserve">Processing Fee (2,90%) </t>
    </r>
    <r>
      <rPr>
        <rFont val="Arial"/>
        <color theme="1"/>
        <sz val="10.0"/>
      </rPr>
      <t>stripe vs. affirm %</t>
    </r>
  </si>
  <si>
    <t>Planned ROAS</t>
  </si>
  <si>
    <t>Average COGS ($92.26)</t>
  </si>
  <si>
    <t>Planned CPO</t>
  </si>
  <si>
    <t>Planned CR</t>
  </si>
  <si>
    <t>Planned AOV</t>
  </si>
  <si>
    <t>Planned Website traffic</t>
  </si>
  <si>
    <t>Average Inbound Shipping ($11.94+KCTC)</t>
  </si>
  <si>
    <t>Legend:</t>
  </si>
  <si>
    <t>plan input data</t>
  </si>
  <si>
    <t>formulas</t>
  </si>
  <si>
    <r>
      <rPr>
        <rFont val="Arial"/>
        <color theme="1"/>
        <sz val="12.0"/>
      </rPr>
      <t xml:space="preserve">Transaction Fee ($0.30) </t>
    </r>
    <r>
      <rPr>
        <rFont val="Arial"/>
        <color theme="1"/>
        <sz val="10.0"/>
      </rPr>
      <t>stripe vs. affirm %</t>
    </r>
  </si>
  <si>
    <t>Average Amazon Inbound</t>
  </si>
  <si>
    <t>TOTAL</t>
  </si>
  <si>
    <t>Average Amazon Storage fee</t>
  </si>
  <si>
    <t>INVESTMENTS</t>
  </si>
  <si>
    <t>Inbound Shipping BB units</t>
  </si>
  <si>
    <t>INVESTMENT PLAN</t>
  </si>
  <si>
    <t>Average FBA fee ($11.94)</t>
  </si>
  <si>
    <t>Average Sales fee</t>
  </si>
  <si>
    <t>Outbound Shipping BB units</t>
  </si>
  <si>
    <t>TRAFFIC (Sessions GA4)</t>
  </si>
  <si>
    <t>Inbound Shipping Add-ons</t>
  </si>
  <si>
    <t>TRAFFIC PLAN</t>
  </si>
  <si>
    <t>Outbound Shipping Add-ons</t>
  </si>
  <si>
    <t>(All sales) US VAT (Shopify)</t>
  </si>
  <si>
    <t>(All sales) Europe VAT (EU, UK, NOR, SWI) - 22%</t>
  </si>
  <si>
    <t>(All sales) Rest of World VAT - 13%</t>
  </si>
  <si>
    <t>Supermetrics Queries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</si>
  <si>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</si>
  <si>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</si>
  <si>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All the queries created by Supermetrics are stored here, each in its own row.</t>
  </si>
  <si>
    <t>30 days return shipping ($10)</t>
  </si>
  <si>
    <t>On this sheet you can:</t>
  </si>
  <si>
    <t>1. Modify the parameters of a query. Any changes will be visible when you run a refresh.</t>
  </si>
  <si>
    <t>2. Remove a query by deleting its row</t>
  </si>
  <si>
    <t>Europe/Paris</t>
  </si>
  <si>
    <t>3PLHandling Fee</t>
  </si>
  <si>
    <t>3. Add new queries: type a range address and query parameters, leave the query ID empty. The query will be added when you run a refresh. (Of course, it's much easier to use the sidebar to add new queries.)</t>
  </si>
  <si>
    <t>3PL costs BB unit</t>
  </si>
  <si>
    <t>3PLSerial Capture BB unit</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</si>
  <si>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</si>
  <si>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3PLStorage BB unit</t>
  </si>
  <si>
    <t>Don't delete or rename this sheet. If you delete or rename it, your existing queries can no longer be refreshed. Hiding the sheet is OK. Also, don't delete any rows above row 21.</t>
  </si>
  <si>
    <t>3PLSupplies cost BB unit</t>
  </si>
  <si>
    <t>Query ID</t>
  </si>
  <si>
    <r>
      <rPr>
        <rFont val="Arial"/>
        <color theme="1"/>
        <sz val="12.0"/>
      </rPr>
      <t xml:space="preserve">Bird Buddy - </t>
    </r>
    <r>
      <rPr>
        <rFont val="Arial"/>
        <color rgb="FF000000"/>
        <sz val="12.0"/>
      </rPr>
      <t>AMAZON.US</t>
    </r>
  </si>
  <si>
    <t>3PLPick charge BB unit</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</si>
  <si>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</si>
  <si>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</si>
  <si>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</si>
  <si>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</si>
  <si>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</si>
  <si>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</si>
  <si>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</si>
  <si>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</si>
  <si>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</si>
  <si>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</si>
  <si>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</si>
  <si>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</si>
  <si>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</si>
  <si>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</si>
  <si>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</si>
  <si>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</si>
  <si>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</si>
  <si>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</si>
  <si>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</si>
  <si>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</si>
  <si>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</si>
  <si>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</si>
  <si>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</si>
  <si>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</si>
  <si>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</si>
  <si>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</si>
  <si>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</si>
  <si>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</si>
  <si>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</si>
  <si>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</si>
  <si>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</si>
  <si>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</si>
  <si>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</si>
  <si>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</si>
  <si>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</si>
  <si>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</si>
  <si>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</si>
  <si>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</si>
  <si>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</si>
  <si>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</si>
  <si>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</si>
  <si>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</si>
  <si>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</si>
  <si>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3PLPollybag cost BB unit</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</si>
  <si>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</si>
  <si>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</si>
  <si>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t>3PLCarton cost BB unit</t>
  </si>
  <si>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</si>
  <si>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</si>
  <si>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</si>
  <si>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3PL costs Addons</t>
  </si>
  <si>
    <t>3PLSerial Capture addons</t>
  </si>
  <si>
    <t>3PLStorage addons</t>
  </si>
  <si>
    <t>3PLSupplies cost addons</t>
  </si>
  <si>
    <r>
      <rPr>
        <rFont val="Arial"/>
        <color theme="1"/>
        <sz val="12.0"/>
      </rPr>
      <t xml:space="preserve">Bird Buddy - </t>
    </r>
    <r>
      <rPr>
        <rFont val="Arial"/>
        <color rgb="FF000000"/>
        <sz val="12.0"/>
      </rPr>
      <t>AMAZON.US</t>
    </r>
  </si>
  <si>
    <t>United States</t>
  </si>
  <si>
    <t>Product</t>
  </si>
  <si>
    <t>Hummingbird Feeder</t>
  </si>
  <si>
    <t>Pole System</t>
  </si>
  <si>
    <t>Category</t>
  </si>
  <si>
    <t>Bird Feeder</t>
  </si>
  <si>
    <t>Add-on</t>
  </si>
  <si>
    <t>Owner</t>
  </si>
  <si>
    <t>Nick Koukourakis</t>
  </si>
  <si>
    <t>Controller #1</t>
  </si>
  <si>
    <t>Diana Spiewak</t>
  </si>
  <si>
    <t>Controller #2</t>
  </si>
  <si>
    <t>Eric Malkowski</t>
  </si>
  <si>
    <t>Batch</t>
  </si>
  <si>
    <t>Batch Timeline</t>
  </si>
  <si>
    <t>April - November</t>
  </si>
  <si>
    <t>Chip</t>
  </si>
  <si>
    <t>Other Component</t>
  </si>
  <si>
    <t>BOM Margin</t>
  </si>
  <si>
    <t>Packaging and Accessories</t>
  </si>
  <si>
    <t>Package Margin</t>
  </si>
  <si>
    <t>3PLPick charge addons</t>
  </si>
  <si>
    <t>Total Product Cost</t>
  </si>
  <si>
    <t>Finance fee</t>
  </si>
  <si>
    <t>PPV cost component</t>
  </si>
  <si>
    <t>BOM Margin (%)</t>
  </si>
  <si>
    <t>Package Margin (%)</t>
  </si>
  <si>
    <t>Duty Rate</t>
  </si>
  <si>
    <t>Tarrif Rate</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</si>
  <si>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</si>
  <si>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</si>
  <si>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t>Total Port Cost</t>
  </si>
  <si>
    <t>Duty Rate (%)</t>
  </si>
  <si>
    <t>Tarrif Rate (%)</t>
  </si>
  <si>
    <t>3PLPollybag cost addons</t>
  </si>
  <si>
    <t>HMF (%)</t>
  </si>
  <si>
    <r>
      <rPr>
        <rFont val="Arial"/>
        <color theme="1"/>
        <sz val="12.0"/>
      </rPr>
      <t xml:space="preserve">3-in-1 Nutrition Set - </t>
    </r>
    <r>
      <rPr>
        <rFont val="Arial"/>
        <color rgb="FF000000"/>
        <sz val="12.0"/>
      </rPr>
      <t>AMAZON.US</t>
    </r>
  </si>
  <si>
    <t>MPF (%)</t>
  </si>
  <si>
    <r>
      <rPr>
        <rFont val="Arial"/>
        <color theme="1"/>
        <sz val="12.0"/>
      </rPr>
      <t xml:space="preserve">Solar Roof Single - </t>
    </r>
    <r>
      <rPr>
        <rFont val="Arial"/>
        <color rgb="FF000000"/>
        <sz val="12.0"/>
      </rPr>
      <t>AMAZON.US</t>
    </r>
  </si>
  <si>
    <t>Judy Stanis</t>
  </si>
  <si>
    <r>
      <rPr>
        <rFont val="Arial"/>
        <color theme="1"/>
        <sz val="12.0"/>
      </rPr>
      <t xml:space="preserve">All </t>
    </r>
    <r>
      <rPr>
        <rFont val="Arial"/>
        <color rgb="FF000000"/>
        <sz val="12.0"/>
      </rPr>
      <t>AMAZON.US</t>
    </r>
  </si>
  <si>
    <t>Air Freight</t>
  </si>
  <si>
    <t>Fast Ocean</t>
  </si>
  <si>
    <t>Ocean</t>
  </si>
  <si>
    <t>Total Inbound Cost</t>
  </si>
  <si>
    <t>Air Freight (%)</t>
  </si>
  <si>
    <t>Fast Ocean (%)</t>
  </si>
  <si>
    <t>Ocean (%)</t>
  </si>
  <si>
    <t>3PLCarton cost addons</t>
  </si>
  <si>
    <t>Remzo Hotić</t>
  </si>
  <si>
    <t>Customs and Duty</t>
  </si>
  <si>
    <t>Supplies Cost</t>
  </si>
  <si>
    <t>Pick Charge</t>
  </si>
  <si>
    <t>Pallet Cost</t>
  </si>
  <si>
    <t>PollyBag Cost</t>
  </si>
  <si>
    <t>Carton Cost</t>
  </si>
  <si>
    <t>VAS</t>
  </si>
  <si>
    <t>Storage Cost</t>
  </si>
  <si>
    <t>Total Outbound Cost</t>
  </si>
  <si>
    <t>Returns and Replacements</t>
  </si>
  <si>
    <t>80 units per pallet</t>
  </si>
  <si>
    <t>720 per pallet</t>
  </si>
  <si>
    <t>450 per pallet</t>
  </si>
  <si>
    <t>2940 per pallet</t>
  </si>
  <si>
    <t>640 per pallet</t>
  </si>
  <si>
    <t>Bird Buddy - AMAZON.US</t>
  </si>
  <si>
    <t>Canada</t>
  </si>
  <si>
    <t>Wall Mount - AMAZON.US</t>
  </si>
  <si>
    <t>Fence Mount - AMAZON.US</t>
  </si>
  <si>
    <t>3-in-1 Nutrition Set - AMAZON.US</t>
  </si>
  <si>
    <t>Solar Roof Single - AMAZON.US</t>
  </si>
  <si>
    <t>All AMAZON.US</t>
  </si>
  <si>
    <t>Price</t>
  </si>
  <si>
    <t>Shipping</t>
  </si>
  <si>
    <t>Tax</t>
  </si>
  <si>
    <t>Total</t>
  </si>
  <si>
    <t>FINANCE REPORT July 2023</t>
  </si>
  <si>
    <t>MTD History</t>
  </si>
  <si>
    <t>MTD Actuals</t>
  </si>
  <si>
    <t>MTD Plan</t>
  </si>
  <si>
    <t>Actuals VS Plan</t>
  </si>
  <si>
    <t>GROWTH</t>
  </si>
  <si>
    <t>Jul.22</t>
  </si>
  <si>
    <t>Jul.23</t>
  </si>
  <si>
    <t>Growth YOY (%)</t>
  </si>
  <si>
    <t>Planned Growth (%)</t>
  </si>
  <si>
    <t>Contribution statment</t>
  </si>
  <si>
    <t>MTD EUR</t>
  </si>
  <si>
    <t>MTD EUR % TR</t>
  </si>
  <si>
    <t>Plan realization (%)</t>
  </si>
  <si>
    <t>Plan realization diff.</t>
  </si>
  <si>
    <r>
      <rPr>
        <rFont val="Calibri, sans-serif"/>
        <b/>
        <color rgb="FF000000"/>
        <sz val="11.0"/>
      </rPr>
      <t xml:space="preserve">TOTAL REVENUES </t>
    </r>
    <r>
      <rPr>
        <rFont val="Calibri, sans-serif"/>
        <b/>
        <i/>
        <color rgb="FF000000"/>
        <sz val="9.0"/>
      </rPr>
      <t>(Order value)</t>
    </r>
  </si>
  <si>
    <r>
      <rPr>
        <rFont val="Calibri, sans-serif"/>
        <b/>
        <color rgb="FF134F5C"/>
        <sz val="11.0"/>
      </rPr>
      <t xml:space="preserve">TOTAL REVENUES </t>
    </r>
    <r>
      <rPr>
        <rFont val="Calibri, sans-serif"/>
        <b/>
        <i/>
        <color rgb="FF134F5C"/>
        <sz val="9.0"/>
      </rPr>
      <t>(Net order value)</t>
    </r>
  </si>
  <si>
    <r>
      <rPr>
        <rFont val="Calibri, sans-serif"/>
        <b/>
        <color rgb="FF45818E"/>
        <sz val="11.0"/>
      </rPr>
      <t>GROSS MARGIN</t>
    </r>
    <r>
      <rPr>
        <rFont val="Calibri, sans-serif"/>
        <b/>
        <color rgb="FF45818E"/>
        <sz val="10.0"/>
      </rPr>
      <t xml:space="preserve"> </t>
    </r>
    <r>
      <rPr>
        <rFont val="Calibri, sans-serif"/>
        <b/>
        <i/>
        <color rgb="FF45818E"/>
        <sz val="9.0"/>
      </rPr>
      <t>(Net order value)</t>
    </r>
  </si>
  <si>
    <r>
      <rPr>
        <rFont val="Calibri, sans-serif"/>
        <b/>
        <color rgb="FF45818E"/>
        <sz val="11.0"/>
      </rPr>
      <t xml:space="preserve">MEDIA GROSS PROFIT </t>
    </r>
    <r>
      <rPr>
        <rFont val="Calibri, sans-serif"/>
        <b/>
        <i/>
        <color rgb="FF45818E"/>
        <sz val="9.0"/>
      </rPr>
      <t>(Net order value)</t>
    </r>
  </si>
  <si>
    <t>TOTAL COSTS</t>
  </si>
  <si>
    <t>Media mix costs</t>
  </si>
  <si>
    <r>
      <rPr>
        <rFont val="Arial"/>
        <color theme="1"/>
        <sz val="12.0"/>
      </rPr>
      <t xml:space="preserve">Orders Refund - </t>
    </r>
    <r>
      <rPr>
        <rFont val="Arial"/>
        <color rgb="FF000000"/>
        <sz val="12.0"/>
      </rPr>
      <t>AMAZON.US</t>
    </r>
  </si>
  <si>
    <r>
      <rPr>
        <rFont val="Calibri, sans-serif"/>
        <color rgb="FF4C1130"/>
        <sz val="11.0"/>
      </rPr>
      <t xml:space="preserve">Shipping costs </t>
    </r>
    <r>
      <rPr>
        <rFont val="Calibri, sans-serif"/>
        <i/>
        <color rgb="FF4C1130"/>
        <sz val="9.0"/>
      </rPr>
      <t>(inbound &amp; outbound)</t>
    </r>
  </si>
  <si>
    <r>
      <rPr>
        <rFont val="Calibri, sans-serif"/>
        <color rgb="FF4C1130"/>
        <sz val="11.0"/>
      </rPr>
      <t xml:space="preserve">Fee costs </t>
    </r>
    <r>
      <rPr>
        <rFont val="Calibri, sans-serif"/>
        <color rgb="FF4C1130"/>
        <sz val="9.0"/>
      </rPr>
      <t>(processing &amp; transaction fees)</t>
    </r>
  </si>
  <si>
    <t>Orders Refund - AMAZON.EU</t>
  </si>
  <si>
    <t>Orders Refund - AMAZON (OTHER1)</t>
  </si>
  <si>
    <t>Taxes</t>
  </si>
  <si>
    <t>TOTAL REFUNDS (complaints)</t>
  </si>
  <si>
    <t>Refunds + Shipping</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</si>
  <si>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</si>
  <si>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</si>
  <si>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t>Returns &amp; Replacements</t>
  </si>
  <si>
    <r>
      <rPr>
        <rFont val="Arial"/>
        <color theme="1"/>
        <sz val="12.0"/>
      </rPr>
      <t xml:space="preserve">All </t>
    </r>
    <r>
      <rPr>
        <rFont val="Arial"/>
        <color rgb="FF000000"/>
        <sz val="12.0"/>
      </rPr>
      <t>AMAZON.US</t>
    </r>
  </si>
  <si>
    <t>Sales profit</t>
  </si>
  <si>
    <t>Hardware - AMAZON.EU</t>
  </si>
  <si>
    <t>Shipping - AMAZON.EU</t>
  </si>
  <si>
    <t>Sessions</t>
  </si>
  <si>
    <t>VAT - AMAZON.EU</t>
  </si>
  <si>
    <t>Units sold</t>
  </si>
  <si>
    <t>CAC per order</t>
  </si>
  <si>
    <t>Hardware - AMAZON (OTHER1)</t>
  </si>
  <si>
    <t>CAC per unit</t>
  </si>
  <si>
    <t>Shipping - AMAZON (OTHER1)</t>
  </si>
  <si>
    <t>Taxes - AMAZON (OTHER1)</t>
  </si>
  <si>
    <t>Revenue Per Session</t>
  </si>
  <si>
    <t>Cost Per Session (media mix costs)</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</si>
  <si>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</si>
  <si>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</si>
  <si>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r>
      <rPr>
        <rFont val="Arial"/>
        <color theme="1"/>
        <sz val="12.0"/>
      </rPr>
      <t xml:space="preserve">All </t>
    </r>
    <r>
      <rPr>
        <rFont val="Arial"/>
        <color rgb="FF000000"/>
        <sz val="12.0"/>
      </rPr>
      <t>AMAZON.US</t>
    </r>
  </si>
  <si>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</si>
  <si>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</si>
  <si>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</si>
  <si>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</si>
  <si>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</si>
  <si>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</si>
  <si>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</si>
  <si>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</si>
  <si>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</si>
  <si>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</si>
  <si>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</si>
  <si>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</si>
  <si>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</si>
  <si>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</si>
  <si>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</si>
  <si>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</si>
  <si>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</si>
  <si>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</si>
  <si>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</si>
  <si>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</si>
  <si>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</si>
  <si>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</si>
  <si>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</si>
  <si>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</si>
  <si>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</si>
  <si>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</si>
  <si>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</si>
  <si>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</si>
  <si>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</si>
  <si>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</si>
  <si>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</si>
  <si>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</si>
  <si>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</si>
  <si>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</si>
  <si>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</si>
  <si>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</si>
  <si>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</si>
  <si>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</si>
  <si>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</si>
  <si>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</si>
  <si>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</si>
  <si>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</si>
  <si>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</si>
  <si>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</si>
  <si>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</si>
  <si>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</si>
  <si>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</si>
  <si>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</si>
  <si>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</si>
  <si>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</si>
  <si>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</si>
  <si>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</si>
  <si>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</si>
  <si>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</si>
  <si>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</si>
  <si>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</si>
  <si>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</si>
  <si>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</si>
  <si>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</si>
  <si>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</si>
  <si>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</si>
  <si>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</si>
  <si>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</si>
  <si>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</si>
  <si>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</si>
  <si>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</si>
  <si>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</si>
  <si>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</si>
  <si>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</si>
  <si>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</si>
  <si>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</si>
  <si>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</si>
  <si>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</si>
  <si>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</si>
  <si>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</si>
  <si>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Margin</t>
  </si>
  <si>
    <t>Daily Sales Margin %</t>
  </si>
  <si>
    <t>Daily NET ROAS</t>
  </si>
  <si>
    <t>Sales KPI-s by product (ROW)</t>
  </si>
  <si>
    <t>US VAT (Amazon)</t>
  </si>
  <si>
    <t>Total Refunds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</si>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</sst>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mmmm yyyy"/>
    <numFmt numFmtId="165" formatCode="M/d/yyyy"/>
    <numFmt numFmtId="166" formatCode="yyyy-mm-dd h:mm:ss"/>
    <numFmt numFmtId="167" formatCode="&quot;$&quot;#,##0.00"/>
    <numFmt numFmtId="168" formatCode="[$€]#,##0.00"/>
    <numFmt numFmtId="169" formatCode="_-[$$-409]* #,##0.00_ ;_-[$$-409]* \-#,##0.00\ ;_-[$$-409]* &quot;-&quot;??_ ;_-@_ "/>
    <numFmt numFmtId="170" formatCode="_-[$$-409]* #,##0.00_ ;_-[$$-409]* \-#,##0.00\ ;_-[$$-409]* &quot;-&quot;??.00_ ;_-@_ "/>
    <numFmt numFmtId="171" formatCode="_-[$€-2]\ * #,##0.00_-;\-[$€-2]\ * #,##0.00_-;_-[$€-2]\ * &quot;-&quot;??_-;_-@"/>
    <numFmt numFmtId="172" formatCode="#,##0.0000"/>
    <numFmt numFmtId="173" formatCode="mmm yyyy"/>
    <numFmt numFmtId="174" formatCode="&quot;$&quot;#,##0"/>
    <numFmt numFmtId="175" formatCode="_(&quot;$&quot;* #,##0.00_);_(&quot;$&quot;* \(#,##0.00\);_(&quot;$&quot;* &quot;-&quot;??_);_(@_)"/>
    <numFmt numFmtId="176" formatCode="0.000%"/>
    <numFmt numFmtId="177" formatCode="0.0000%"/>
    <numFmt numFmtId="178" formatCode="0.0%"/>
    <numFmt numFmtId="179" formatCode="yyyy-mm-dd"/>
    <numFmt numFmtId="180" formatCode="#,##0&quot;$&quot;"/>
    <numFmt numFmtId="181" formatCode="0.0"/>
    <numFmt numFmtId="182" formatCode="_-&quot;€&quot;* #,##0.00_-;\-&quot;€&quot;* #,##0.00_-;_-&quot;€&quot;* &quot;-&quot;??_-;_-@"/>
    <numFmt numFmtId="183" formatCode="&quot;$&quot;#,##0.000"/>
    <numFmt numFmtId="184" formatCode="mm/dd/yyyy"/>
    <numFmt numFmtId="185" formatCode="_([$€-2]\ * #,##0.00_);_([$€-2]\ * \(#,##0.00\);_([$€-2]\ * &quot;-&quot;??_);_(@_)"/>
  </numFmts>
  <fonts count="91">
    <font>
      <sz val="10.0"/>
      <color rgb="FF000000"/>
      <name val="Arial"/>
      <scheme val="minor"/>
    </font>
    <font>
      <color theme="1"/>
      <name val="Arial"/>
      <scheme val="minor"/>
    </font>
    <font>
      <sz val="12.0"/>
      <color rgb="FFFFFFFF"/>
      <name val="Arial"/>
    </font>
    <font>
      <color theme="1"/>
      <name val="Arial"/>
    </font>
    <font>
      <sz val="12.0"/>
      <color theme="1"/>
      <name val="Arial"/>
    </font>
    <font>
      <b/>
      <i/>
      <sz val="12.0"/>
      <color theme="1"/>
      <name val="Arial"/>
    </font>
    <font>
      <color rgb="FF202223"/>
      <name val="Arial"/>
    </font>
    <font>
      <b/>
      <sz val="12.0"/>
      <color theme="1"/>
      <name val="Arial"/>
    </font>
    <font>
      <sz val="9.0"/>
      <color rgb="FFFFFFFF"/>
      <name val="Arial"/>
    </font>
    <font>
      <color rgb="FFFFFFFF"/>
      <name val="Arial"/>
    </font>
    <font>
      <sz val="13.0"/>
      <color rgb="FFFFFFFF"/>
      <name val="Arial"/>
    </font>
    <font>
      <sz val="13.0"/>
      <color theme="1"/>
      <name val="Arial"/>
    </font>
    <font>
      <sz val="9.0"/>
      <color rgb="FFEFEFEF"/>
      <name val="Arial"/>
    </font>
    <font>
      <sz val="9.0"/>
      <color rgb="FFB7B7B7"/>
      <name val="Arial"/>
    </font>
    <font>
      <color rgb="FFD9D9D9"/>
      <name val="Arial"/>
    </font>
    <font>
      <b/>
      <sz val="12.0"/>
      <color rgb="FFFFFFFF"/>
      <name val="Arial"/>
    </font>
    <font>
      <sz val="12.0"/>
      <color theme="1"/>
      <name val="Arial"/>
      <scheme val="minor"/>
    </font>
    <font>
      <b/>
      <sz val="12.0"/>
      <color rgb="FFFFFFFF"/>
      <name val="Unbounded"/>
    </font>
    <font/>
    <font>
      <u/>
      <color rgb="FF1155CC"/>
      <name val="Arial"/>
    </font>
    <font>
      <i/>
      <sz val="8.0"/>
      <color theme="1"/>
      <name val="Arial"/>
    </font>
    <font>
      <b/>
      <sz val="14.0"/>
      <color rgb="FFFFFFFF"/>
      <name val="Unbounded"/>
    </font>
    <font>
      <u/>
      <color rgb="FF1155CC"/>
      <name val="Arial"/>
    </font>
    <font>
      <b/>
      <color theme="1"/>
      <name val="Arial"/>
    </font>
    <font>
      <u/>
      <color rgb="FF1155CC"/>
      <name val="Arial"/>
    </font>
    <font>
      <u/>
      <color rgb="FF1155CC"/>
      <name val="Arial"/>
    </font>
    <font>
      <color rgb="FFF6B26B"/>
      <name val="Arial"/>
    </font>
    <font>
      <sz val="12.0"/>
      <color rgb="FFA5A5A5"/>
      <name val="Arial"/>
    </font>
    <font>
      <sz val="12.0"/>
      <color rgb="FF000000"/>
      <name val="Arial"/>
    </font>
    <font>
      <i/>
      <sz val="12.0"/>
      <color theme="1"/>
      <name val="Arial"/>
    </font>
    <font>
      <sz val="12.0"/>
      <color rgb="FF999999"/>
      <name val="Arial"/>
    </font>
    <font>
      <i/>
      <color theme="1"/>
      <name val="Arial"/>
    </font>
    <font>
      <sz val="12.0"/>
      <color rgb="FF1F2124"/>
      <name val="Arial"/>
    </font>
    <font>
      <sz val="12.0"/>
      <color rgb="FF202223"/>
      <name val="Arial"/>
    </font>
    <font>
      <sz val="11.0"/>
      <color rgb="FF202223"/>
      <name val="Arial"/>
    </font>
    <font>
      <sz val="12.0"/>
      <color rgb="FF202223"/>
      <name val="Arial"/>
      <scheme val="minor"/>
    </font>
    <font>
      <sz val="12.0"/>
      <color rgb="FF000000"/>
      <name val="Inherit"/>
    </font>
    <font>
      <sz val="13.0"/>
      <color theme="1"/>
      <name val="Arial"/>
      <scheme val="minor"/>
    </font>
    <font>
      <u/>
      <color rgb="FF0000FF"/>
    </font>
    <font>
      <color theme="0"/>
      <name val="Arial"/>
      <scheme val="minor"/>
    </font>
    <font>
      <color rgb="FFFFFFFF"/>
      <name val="Arial"/>
      <scheme val="minor"/>
    </font>
    <font>
      <b/>
      <color theme="1"/>
      <name val="Arial"/>
      <scheme val="minor"/>
    </font>
    <font>
      <b/>
      <color rgb="FFFFFFFF"/>
      <name val="Arial"/>
    </font>
    <font>
      <color rgb="FF000000"/>
      <name val="Arial"/>
      <scheme val="minor"/>
    </font>
    <font>
      <i/>
      <sz val="8.0"/>
      <color theme="1"/>
      <name val="Arial"/>
      <scheme val="minor"/>
    </font>
    <font>
      <i/>
      <color theme="1"/>
      <name val="Arial"/>
      <scheme val="minor"/>
    </font>
    <font>
      <u/>
      <color rgb="FF0000FF"/>
    </font>
    <font>
      <i/>
      <sz val="8.0"/>
      <color rgb="FF000000"/>
      <name val="Arial"/>
      <scheme val="minor"/>
    </font>
    <font>
      <b/>
      <sz val="9.0"/>
      <color theme="1"/>
      <name val="Arial"/>
      <scheme val="minor"/>
    </font>
    <font>
      <sz val="10.0"/>
      <color rgb="FF202223"/>
      <name val="Arial"/>
      <scheme val="minor"/>
    </font>
    <font>
      <color rgb="FF1E1E1E"/>
      <name val="-apple-system"/>
    </font>
    <font>
      <color rgb="FF002F36"/>
      <name val="&quot;Amazon Ember&quot;"/>
    </font>
    <font>
      <color rgb="FF002F36"/>
      <name val="Arial"/>
    </font>
    <font>
      <color theme="1"/>
      <name val="Google Sans"/>
    </font>
    <font>
      <sz val="10.0"/>
      <color rgb="FF212B36"/>
      <name val="-apple-system"/>
    </font>
    <font>
      <color rgb="FFD9D9D9"/>
      <name val="Arial"/>
      <scheme val="minor"/>
    </font>
    <font>
      <sz val="8.0"/>
      <color rgb="FF333333"/>
      <name val="Latoregula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b/>
      <sz val="20.0"/>
      <color theme="1"/>
      <name val="Arial"/>
      <scheme val="minor"/>
    </font>
    <font>
      <color rgb="FFEEEEEE"/>
      <name val="Arial"/>
      <scheme val="minor"/>
    </font>
    <font>
      <u/>
      <color rgb="FF0000FF"/>
    </font>
    <font>
      <sz val="13.0"/>
      <color rgb="FF000000"/>
      <name val="Inherit"/>
    </font>
    <font>
      <sz val="12.0"/>
      <color theme="1"/>
      <name val="Calibri"/>
    </font>
    <font>
      <b/>
      <sz val="11.0"/>
      <color rgb="FF134F5C"/>
      <name val="Calibri"/>
    </font>
    <font>
      <b/>
      <sz val="11.0"/>
      <color rgb="FF45818E"/>
      <name val="Calibri"/>
    </font>
    <font>
      <b/>
      <sz val="11.0"/>
      <color rgb="FF4C1130"/>
      <name val="Calibri"/>
    </font>
    <font>
      <sz val="11.0"/>
      <color rgb="FF4C1130"/>
      <name val="Calibri"/>
    </font>
    <font>
      <b/>
      <sz val="11.0"/>
      <color rgb="FF980000"/>
      <name val="Calibri"/>
    </font>
    <font>
      <sz val="11.0"/>
      <color rgb="FF980000"/>
      <name val="Calibri"/>
    </font>
    <font>
      <sz val="11.0"/>
      <color rgb="FF000000"/>
      <name val="Calibri"/>
    </font>
    <font>
      <sz val="8.0"/>
      <color theme="1"/>
      <name val="Arial"/>
      <scheme val="minor"/>
    </font>
    <font>
      <b/>
      <sz val="12.0"/>
      <color theme="1"/>
      <name val="Arial"/>
      <scheme val="minor"/>
    </font>
    <font>
      <b/>
      <sz val="8.0"/>
      <color theme="1"/>
      <name val="Arial"/>
    </font>
    <font>
      <sz val="8.0"/>
      <color rgb="FF000000"/>
      <name val="Calibri"/>
    </font>
    <font>
      <sz val="12.0"/>
      <color rgb="FFAEABAB"/>
      <name val="Arial"/>
    </font>
    <font>
      <sz val="12.0"/>
      <color rgb="FF006100"/>
      <name val="Arial"/>
    </font>
    <font>
      <sz val="13.0"/>
      <color rgb="FF000000"/>
      <name val="Arial"/>
    </font>
  </fonts>
  <fills count="370">
    <fill>
      <patternFill patternType="none"/>
    </fill>
    <fill>
      <patternFill patternType="lightGray"/>
    </fill>
    <fill>
      <patternFill patternType="solid">
        <fgColor rgb="FF1F3864"/>
        <bgColor rgb="FF1F3864"/>
      </patternFill>
    </fill>
    <fill>
      <patternFill patternType="solid">
        <fgColor rgb="FFD9D9D9"/>
        <bgColor rgb="FFD9D9D9"/>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F3F3F3"/>
        <bgColor rgb="FFF3F3F3"/>
      </patternFill>
    </fill>
    <fill>
      <patternFill patternType="solid">
        <fgColor rgb="FFFFFFFF"/>
        <bgColor rgb="FFFFFFFF"/>
      </patternFill>
    </fill>
    <fill>
      <patternFill patternType="solid">
        <fgColor rgb="FFCCCCCC"/>
        <bgColor rgb="FFCCCCCC"/>
      </patternFill>
    </fill>
    <fill>
      <patternFill patternType="solid">
        <fgColor rgb="FFA8D08D"/>
        <bgColor rgb="FFA8D08D"/>
      </patternFill>
    </fill>
    <fill>
      <patternFill patternType="solid">
        <fgColor rgb="FFFF7E79"/>
        <bgColor rgb="FFFF7E79"/>
      </patternFill>
    </fill>
    <fill>
      <patternFill patternType="solid">
        <fgColor rgb="FF3F3F3F"/>
        <bgColor rgb="FF3F3F3F"/>
      </patternFill>
    </fill>
    <fill>
      <patternFill patternType="solid">
        <fgColor rgb="FFFEF2CB"/>
        <bgColor rgb="FFFEF2CB"/>
      </patternFill>
    </fill>
    <fill>
      <patternFill patternType="solid">
        <fgColor rgb="FFFFE598"/>
        <bgColor rgb="FFFFE598"/>
      </patternFill>
    </fill>
    <fill>
      <patternFill patternType="solid">
        <fgColor rgb="FFBFBFBF"/>
        <bgColor rgb="FFBFBFBF"/>
      </patternFill>
    </fill>
    <fill>
      <patternFill patternType="solid">
        <fgColor rgb="FFFFF2CC"/>
        <bgColor rgb="FFFFF2CC"/>
      </patternFill>
    </fill>
    <fill>
      <patternFill patternType="solid">
        <fgColor rgb="FFB6D7A8"/>
        <bgColor rgb="FFB6D7A8"/>
      </patternFill>
    </fill>
    <fill>
      <patternFill patternType="solid">
        <fgColor rgb="FFF4CCCC"/>
        <bgColor rgb="FFF4CCCC"/>
      </patternFill>
    </fill>
    <fill>
      <patternFill patternType="solid">
        <fgColor rgb="FFFFE599"/>
        <bgColor rgb="FFFFE599"/>
      </patternFill>
    </fill>
    <fill>
      <patternFill patternType="solid">
        <fgColor rgb="FFEA9999"/>
        <bgColor rgb="FFEA9999"/>
      </patternFill>
    </fill>
    <fill>
      <patternFill patternType="solid">
        <fgColor rgb="FFE7E6E6"/>
        <bgColor rgb="FFE7E6E6"/>
      </patternFill>
    </fill>
    <fill>
      <patternFill patternType="solid">
        <fgColor rgb="FF57BB8A"/>
        <bgColor rgb="FF57BB8A"/>
      </patternFill>
    </fill>
    <fill>
      <patternFill patternType="solid">
        <fgColor rgb="FFD9EAD3"/>
        <bgColor rgb="FFD9EAD3"/>
      </patternFill>
    </fill>
    <fill>
      <patternFill patternType="solid">
        <fgColor rgb="FFC9DAF8"/>
        <bgColor rgb="FFC9DAF8"/>
      </patternFill>
    </fill>
    <fill>
      <patternFill patternType="solid">
        <fgColor rgb="FF6D9EEB"/>
        <bgColor rgb="FF6D9EEB"/>
      </patternFill>
    </fill>
    <fill>
      <patternFill patternType="solid">
        <fgColor rgb="FFE4F5ED"/>
        <bgColor rgb="FFE4F5ED"/>
      </patternFill>
    </fill>
    <fill>
      <patternFill patternType="solid">
        <fgColor rgb="FFEEF9F3"/>
        <bgColor rgb="FFEEF9F3"/>
      </patternFill>
    </fill>
    <fill>
      <patternFill patternType="solid">
        <fgColor rgb="FFF3FBF7"/>
        <bgColor rgb="FFF3FBF7"/>
      </patternFill>
    </fill>
    <fill>
      <patternFill patternType="solid">
        <fgColor rgb="FFF4FBF7"/>
        <bgColor rgb="FFF4FBF7"/>
      </patternFill>
    </fill>
    <fill>
      <patternFill patternType="solid">
        <fgColor rgb="FFF2FAF6"/>
        <bgColor rgb="FFF2FAF6"/>
      </patternFill>
    </fill>
    <fill>
      <patternFill patternType="solid">
        <fgColor rgb="FFEFF9F4"/>
        <bgColor rgb="FFEFF9F4"/>
      </patternFill>
    </fill>
    <fill>
      <patternFill patternType="solid">
        <fgColor rgb="FFF7FCF9"/>
        <bgColor rgb="FFF7FCF9"/>
      </patternFill>
    </fill>
    <fill>
      <patternFill patternType="solid">
        <fgColor rgb="FFF7FCFA"/>
        <bgColor rgb="FFF7FCFA"/>
      </patternFill>
    </fill>
    <fill>
      <patternFill patternType="solid">
        <fgColor rgb="FFF9FDFB"/>
        <bgColor rgb="FFF9FDFB"/>
      </patternFill>
    </fill>
    <fill>
      <patternFill patternType="solid">
        <fgColor rgb="FFFBFEFC"/>
        <bgColor rgb="FFFBFEFC"/>
      </patternFill>
    </fill>
    <fill>
      <patternFill patternType="solid">
        <fgColor rgb="FFF6FCF9"/>
        <bgColor rgb="FFF6FCF9"/>
      </patternFill>
    </fill>
    <fill>
      <patternFill patternType="solid">
        <fgColor rgb="FFF8FCFA"/>
        <bgColor rgb="FFF8FCFA"/>
      </patternFill>
    </fill>
    <fill>
      <patternFill patternType="solid">
        <fgColor rgb="FF93C47D"/>
        <bgColor rgb="FF93C47D"/>
      </patternFill>
    </fill>
    <fill>
      <patternFill patternType="solid">
        <fgColor rgb="FFFCFEFD"/>
        <bgColor rgb="FFFCFEFD"/>
      </patternFill>
    </fill>
    <fill>
      <patternFill patternType="solid">
        <fgColor rgb="FFF8FDFB"/>
        <bgColor rgb="FFF8FDFB"/>
      </patternFill>
    </fill>
    <fill>
      <patternFill patternType="solid">
        <fgColor rgb="FFFAFDFC"/>
        <bgColor rgb="FFFAFDFC"/>
      </patternFill>
    </fill>
    <fill>
      <patternFill patternType="solid">
        <fgColor rgb="FFF5FBF8"/>
        <bgColor rgb="FFF5FBF8"/>
      </patternFill>
    </fill>
    <fill>
      <patternFill patternType="solid">
        <fgColor rgb="FF73C69D"/>
        <bgColor rgb="FF73C69D"/>
      </patternFill>
    </fill>
    <fill>
      <patternFill patternType="solid">
        <fgColor rgb="FFADDEC6"/>
        <bgColor rgb="FFADDEC6"/>
      </patternFill>
    </fill>
    <fill>
      <patternFill patternType="solid">
        <fgColor rgb="FFB8E3CE"/>
        <bgColor rgb="FFB8E3CE"/>
      </patternFill>
    </fill>
    <fill>
      <patternFill patternType="solid">
        <fgColor rgb="FFC1E6D4"/>
        <bgColor rgb="FFC1E6D4"/>
      </patternFill>
    </fill>
    <fill>
      <patternFill patternType="solid">
        <fgColor rgb="FFB9E3CE"/>
        <bgColor rgb="FFB9E3CE"/>
      </patternFill>
    </fill>
    <fill>
      <patternFill patternType="solid">
        <fgColor rgb="FFA5DBC1"/>
        <bgColor rgb="FFA5DBC1"/>
      </patternFill>
    </fill>
    <fill>
      <patternFill patternType="solid">
        <fgColor rgb="FFA7DCC2"/>
        <bgColor rgb="FFA7DCC2"/>
      </patternFill>
    </fill>
    <fill>
      <patternFill patternType="solid">
        <fgColor rgb="FFC8E9D9"/>
        <bgColor rgb="FFC8E9D9"/>
      </patternFill>
    </fill>
    <fill>
      <patternFill patternType="solid">
        <fgColor rgb="FFD3EDE0"/>
        <bgColor rgb="FFD3EDE0"/>
      </patternFill>
    </fill>
    <fill>
      <patternFill patternType="solid">
        <fgColor rgb="FFDAF0E6"/>
        <bgColor rgb="FFDAF0E6"/>
      </patternFill>
    </fill>
    <fill>
      <patternFill patternType="solid">
        <fgColor rgb="FFE1F3EA"/>
        <bgColor rgb="FFE1F3EA"/>
      </patternFill>
    </fill>
    <fill>
      <patternFill patternType="solid">
        <fgColor rgb="FFDEF2E8"/>
        <bgColor rgb="FFDEF2E8"/>
      </patternFill>
    </fill>
    <fill>
      <patternFill patternType="solid">
        <fgColor rgb="FFD4EEE1"/>
        <bgColor rgb="FFD4EEE1"/>
      </patternFill>
    </fill>
    <fill>
      <patternFill patternType="solid">
        <fgColor rgb="FFC9EADA"/>
        <bgColor rgb="FFC9EADA"/>
      </patternFill>
    </fill>
    <fill>
      <patternFill patternType="solid">
        <fgColor rgb="FFE1F3EB"/>
        <bgColor rgb="FFE1F3EB"/>
      </patternFill>
    </fill>
    <fill>
      <patternFill patternType="solid">
        <fgColor rgb="FFE4F4EC"/>
        <bgColor rgb="FFE4F4EC"/>
      </patternFill>
    </fill>
    <fill>
      <patternFill patternType="solid">
        <fgColor rgb="FFE7F6EF"/>
        <bgColor rgb="FFE7F6EF"/>
      </patternFill>
    </fill>
    <fill>
      <patternFill patternType="solid">
        <fgColor rgb="FFD6EFE3"/>
        <bgColor rgb="FFD6EFE3"/>
      </patternFill>
    </fill>
    <fill>
      <patternFill patternType="solid">
        <fgColor rgb="FFCFECDE"/>
        <bgColor rgb="FFCFECDE"/>
      </patternFill>
    </fill>
    <fill>
      <patternFill patternType="solid">
        <fgColor rgb="FFDAF0E5"/>
        <bgColor rgb="FFDAF0E5"/>
      </patternFill>
    </fill>
    <fill>
      <patternFill patternType="solid">
        <fgColor rgb="FFE0F3EA"/>
        <bgColor rgb="FFE0F3EA"/>
      </patternFill>
    </fill>
    <fill>
      <patternFill patternType="solid">
        <fgColor rgb="FFCEEBDD"/>
        <bgColor rgb="FFCEEBDD"/>
      </patternFill>
    </fill>
    <fill>
      <patternFill patternType="solid">
        <fgColor rgb="FFD2EDDF"/>
        <bgColor rgb="FFD2EDDF"/>
      </patternFill>
    </fill>
    <fill>
      <patternFill patternType="solid">
        <fgColor rgb="FFC6E8D8"/>
        <bgColor rgb="FFC6E8D8"/>
      </patternFill>
    </fill>
    <fill>
      <patternFill patternType="solid">
        <fgColor rgb="FF9CD7BA"/>
        <bgColor rgb="FF9CD7BA"/>
      </patternFill>
    </fill>
    <fill>
      <patternFill patternType="solid">
        <fgColor rgb="FFACDEC5"/>
        <bgColor rgb="FFACDEC5"/>
      </patternFill>
    </fill>
    <fill>
      <patternFill patternType="solid">
        <fgColor rgb="FFB5E1CC"/>
        <bgColor rgb="FFB5E1CC"/>
      </patternFill>
    </fill>
    <fill>
      <patternFill patternType="solid">
        <fgColor rgb="FF97D5B7"/>
        <bgColor rgb="FF97D5B7"/>
      </patternFill>
    </fill>
    <fill>
      <patternFill patternType="solid">
        <fgColor rgb="FFBDE5D1"/>
        <bgColor rgb="FFBDE5D1"/>
      </patternFill>
    </fill>
    <fill>
      <patternFill patternType="solid">
        <fgColor rgb="FFCAEADA"/>
        <bgColor rgb="FFCAEADA"/>
      </patternFill>
    </fill>
    <fill>
      <patternFill patternType="solid">
        <fgColor rgb="FFD2EDE0"/>
        <bgColor rgb="FFD2EDE0"/>
      </patternFill>
    </fill>
    <fill>
      <patternFill patternType="solid">
        <fgColor rgb="FFCDEBDD"/>
        <bgColor rgb="FFCDEBDD"/>
      </patternFill>
    </fill>
    <fill>
      <patternFill patternType="solid">
        <fgColor rgb="FFC0E6D3"/>
        <bgColor rgb="FFC0E6D3"/>
      </patternFill>
    </fill>
    <fill>
      <patternFill patternType="solid">
        <fgColor rgb="FFDDF2E8"/>
        <bgColor rgb="FFDDF2E8"/>
      </patternFill>
    </fill>
    <fill>
      <patternFill patternType="solid">
        <fgColor rgb="FFCAEADB"/>
        <bgColor rgb="FFCAEADB"/>
      </patternFill>
    </fill>
    <fill>
      <patternFill patternType="solid">
        <fgColor rgb="FFC6E8D7"/>
        <bgColor rgb="FFC6E8D7"/>
      </patternFill>
    </fill>
    <fill>
      <patternFill patternType="solid">
        <fgColor rgb="FFE2F3EB"/>
        <bgColor rgb="FFE2F3EB"/>
      </patternFill>
    </fill>
    <fill>
      <patternFill patternType="solid">
        <fgColor rgb="FFDBF1E6"/>
        <bgColor rgb="FFDBF1E6"/>
      </patternFill>
    </fill>
    <fill>
      <patternFill patternType="solid">
        <fgColor rgb="FFC7E9D8"/>
        <bgColor rgb="FFC7E9D8"/>
      </patternFill>
    </fill>
    <fill>
      <patternFill patternType="solid">
        <fgColor rgb="FFBCE4D0"/>
        <bgColor rgb="FFBCE4D0"/>
      </patternFill>
    </fill>
    <fill>
      <patternFill patternType="solid">
        <fgColor rgb="FF999999"/>
        <bgColor rgb="FF999999"/>
      </patternFill>
    </fill>
    <fill>
      <patternFill patternType="solid">
        <fgColor rgb="FFB4A7D6"/>
        <bgColor rgb="FFB4A7D6"/>
      </patternFill>
    </fill>
    <fill>
      <patternFill patternType="solid">
        <fgColor rgb="FFA4C2F4"/>
        <bgColor rgb="FFA4C2F4"/>
      </patternFill>
    </fill>
    <fill>
      <patternFill patternType="solid">
        <fgColor rgb="FFF0F9F5"/>
        <bgColor rgb="FFF0F9F5"/>
      </patternFill>
    </fill>
    <fill>
      <patternFill patternType="solid">
        <fgColor rgb="FFDFF2E9"/>
        <bgColor rgb="FFDFF2E9"/>
      </patternFill>
    </fill>
    <fill>
      <patternFill patternType="solid">
        <fgColor rgb="FF9DD7BB"/>
        <bgColor rgb="FF9DD7BB"/>
      </patternFill>
    </fill>
    <fill>
      <patternFill patternType="solid">
        <fgColor rgb="FFBBE4D0"/>
        <bgColor rgb="FFBBE4D0"/>
      </patternFill>
    </fill>
    <fill>
      <patternFill patternType="solid">
        <fgColor rgb="FFA3DABF"/>
        <bgColor rgb="FFA3DABF"/>
      </patternFill>
    </fill>
    <fill>
      <patternFill patternType="solid">
        <fgColor rgb="FF5DBE8F"/>
        <bgColor rgb="FF5DBE8F"/>
      </patternFill>
    </fill>
    <fill>
      <patternFill patternType="solid">
        <fgColor rgb="FF7AC9A2"/>
        <bgColor rgb="FF7AC9A2"/>
      </patternFill>
    </fill>
    <fill>
      <patternFill patternType="solid">
        <fgColor rgb="FFC3E7D5"/>
        <bgColor rgb="FFC3E7D5"/>
      </patternFill>
    </fill>
    <fill>
      <patternFill patternType="solid">
        <fgColor rgb="FF8DD1B0"/>
        <bgColor rgb="FF8DD1B0"/>
      </patternFill>
    </fill>
    <fill>
      <patternFill patternType="solid">
        <fgColor rgb="FFB2E0CA"/>
        <bgColor rgb="FFB2E0CA"/>
      </patternFill>
    </fill>
    <fill>
      <patternFill patternType="solid">
        <fgColor rgb="FFABDDC5"/>
        <bgColor rgb="FFABDDC5"/>
      </patternFill>
    </fill>
    <fill>
      <patternFill patternType="solid">
        <fgColor rgb="FF63C093"/>
        <bgColor rgb="FF63C093"/>
      </patternFill>
    </fill>
    <fill>
      <patternFill patternType="solid">
        <fgColor rgb="FFA2DABE"/>
        <bgColor rgb="FFA2DABE"/>
      </patternFill>
    </fill>
    <fill>
      <patternFill patternType="solid">
        <fgColor rgb="FF9BD7BA"/>
        <bgColor rgb="FF9BD7BA"/>
      </patternFill>
    </fill>
    <fill>
      <patternFill patternType="solid">
        <fgColor rgb="FFBEE5D2"/>
        <bgColor rgb="FFBEE5D2"/>
      </patternFill>
    </fill>
    <fill>
      <patternFill patternType="solid">
        <fgColor rgb="FFB4E1CB"/>
        <bgColor rgb="FFB4E1CB"/>
      </patternFill>
    </fill>
    <fill>
      <patternFill patternType="solid">
        <fgColor rgb="FFDCF1E7"/>
        <bgColor rgb="FFDCF1E7"/>
      </patternFill>
    </fill>
    <fill>
      <patternFill patternType="solid">
        <fgColor rgb="FFC3E7D6"/>
        <bgColor rgb="FFC3E7D6"/>
      </patternFill>
    </fill>
    <fill>
      <patternFill patternType="solid">
        <fgColor rgb="FFB3E0CA"/>
        <bgColor rgb="FFB3E0CA"/>
      </patternFill>
    </fill>
    <fill>
      <patternFill patternType="solid">
        <fgColor rgb="FFDADADA"/>
        <bgColor rgb="FFDADADA"/>
      </patternFill>
    </fill>
    <fill>
      <patternFill patternType="solid">
        <fgColor rgb="FFACDEC6"/>
        <bgColor rgb="FFACDEC6"/>
      </patternFill>
    </fill>
    <fill>
      <patternFill patternType="solid">
        <fgColor rgb="FF96D5B6"/>
        <bgColor rgb="FF96D5B6"/>
      </patternFill>
    </fill>
    <fill>
      <patternFill patternType="solid">
        <fgColor rgb="FFD8EFE4"/>
        <bgColor rgb="FFD8EFE4"/>
      </patternFill>
    </fill>
    <fill>
      <patternFill patternType="solid">
        <fgColor rgb="FFDFF3E9"/>
        <bgColor rgb="FFDFF3E9"/>
      </patternFill>
    </fill>
    <fill>
      <patternFill patternType="solid">
        <fgColor rgb="FFD0ECDF"/>
        <bgColor rgb="FFD0ECDF"/>
      </patternFill>
    </fill>
    <fill>
      <patternFill patternType="solid">
        <fgColor rgb="FFC9E9D9"/>
        <bgColor rgb="FFC9E9D9"/>
      </patternFill>
    </fill>
    <fill>
      <patternFill patternType="solid">
        <fgColor rgb="FF9DD8BB"/>
        <bgColor rgb="FF9DD8BB"/>
      </patternFill>
    </fill>
    <fill>
      <patternFill patternType="solid">
        <fgColor rgb="FFC5E8D7"/>
        <bgColor rgb="FFC5E8D7"/>
      </patternFill>
    </fill>
    <fill>
      <patternFill patternType="solid">
        <fgColor rgb="FF9FD9BC"/>
        <bgColor rgb="FF9FD9BC"/>
      </patternFill>
    </fill>
    <fill>
      <patternFill patternType="solid">
        <fgColor rgb="FF67C295"/>
        <bgColor rgb="FF67C295"/>
      </patternFill>
    </fill>
    <fill>
      <patternFill patternType="solid">
        <fgColor rgb="FFB0DFC8"/>
        <bgColor rgb="FFB0DFC8"/>
      </patternFill>
    </fill>
    <fill>
      <patternFill patternType="solid">
        <fgColor rgb="FFE6F5EE"/>
        <bgColor rgb="FFE6F5EE"/>
      </patternFill>
    </fill>
    <fill>
      <patternFill patternType="solid">
        <fgColor rgb="FF9ED8BC"/>
        <bgColor rgb="FF9ED8BC"/>
      </patternFill>
    </fill>
    <fill>
      <patternFill patternType="solid">
        <fgColor rgb="FFC2E7D5"/>
        <bgColor rgb="FFC2E7D5"/>
      </patternFill>
    </fill>
    <fill>
      <patternFill patternType="solid">
        <fgColor rgb="FFB2E0C9"/>
        <bgColor rgb="FFB2E0C9"/>
      </patternFill>
    </fill>
    <fill>
      <patternFill patternType="solid">
        <fgColor rgb="FF9FD8BC"/>
        <bgColor rgb="FF9FD8BC"/>
      </patternFill>
    </fill>
    <fill>
      <patternFill patternType="solid">
        <fgColor rgb="FF82CDA8"/>
        <bgColor rgb="FF82CDA8"/>
      </patternFill>
    </fill>
    <fill>
      <patternFill patternType="solid">
        <fgColor rgb="FF90D2B2"/>
        <bgColor rgb="FF90D2B2"/>
      </patternFill>
    </fill>
    <fill>
      <patternFill patternType="solid">
        <fgColor rgb="FF72C69D"/>
        <bgColor rgb="FF72C69D"/>
      </patternFill>
    </fill>
    <fill>
      <patternFill patternType="solid">
        <fgColor rgb="FFD1EDDF"/>
        <bgColor rgb="FFD1EDDF"/>
      </patternFill>
    </fill>
    <fill>
      <patternFill patternType="solid">
        <fgColor rgb="FF9ED8BB"/>
        <bgColor rgb="FF9ED8BB"/>
      </patternFill>
    </fill>
    <fill>
      <patternFill patternType="solid">
        <fgColor rgb="FF76C8A0"/>
        <bgColor rgb="FF76C8A0"/>
      </patternFill>
    </fill>
    <fill>
      <patternFill patternType="solid">
        <fgColor rgb="FF84CEAA"/>
        <bgColor rgb="FF84CEAA"/>
      </patternFill>
    </fill>
    <fill>
      <patternFill patternType="solid">
        <fgColor rgb="FF7DCBA5"/>
        <bgColor rgb="FF7DCBA5"/>
      </patternFill>
    </fill>
    <fill>
      <patternFill patternType="solid">
        <fgColor rgb="FF5ABC8C"/>
        <bgColor rgb="FF5ABC8C"/>
      </patternFill>
    </fill>
    <fill>
      <patternFill patternType="solid">
        <fgColor rgb="FFB5E2CC"/>
        <bgColor rgb="FFB5E2CC"/>
      </patternFill>
    </fill>
    <fill>
      <patternFill patternType="solid">
        <fgColor rgb="FF75C89F"/>
        <bgColor rgb="FF75C89F"/>
      </patternFill>
    </fill>
    <fill>
      <patternFill patternType="solid">
        <fgColor rgb="FFCCEBDC"/>
        <bgColor rgb="FFCCEBDC"/>
      </patternFill>
    </fill>
    <fill>
      <patternFill patternType="solid">
        <fgColor rgb="FFAEDFC7"/>
        <bgColor rgb="FFAEDFC7"/>
      </patternFill>
    </fill>
    <fill>
      <patternFill patternType="solid">
        <fgColor rgb="FFD3EEE1"/>
        <bgColor rgb="FFD3EEE1"/>
      </patternFill>
    </fill>
    <fill>
      <patternFill patternType="solid">
        <fgColor rgb="FFB3E1CA"/>
        <bgColor rgb="FFB3E1CA"/>
      </patternFill>
    </fill>
    <fill>
      <patternFill patternType="solid">
        <fgColor rgb="FFA5DBC0"/>
        <bgColor rgb="FFA5DBC0"/>
      </patternFill>
    </fill>
    <fill>
      <patternFill patternType="solid">
        <fgColor rgb="FFB1E0C9"/>
        <bgColor rgb="FFB1E0C9"/>
      </patternFill>
    </fill>
    <fill>
      <patternFill patternType="solid">
        <fgColor rgb="FF8FD2B1"/>
        <bgColor rgb="FF8FD2B1"/>
      </patternFill>
    </fill>
    <fill>
      <patternFill patternType="solid">
        <fgColor rgb="FFEAF7F1"/>
        <bgColor rgb="FFEAF7F1"/>
      </patternFill>
    </fill>
    <fill>
      <patternFill patternType="solid">
        <fgColor rgb="FF73C79E"/>
        <bgColor rgb="FF73C79E"/>
      </patternFill>
    </fill>
    <fill>
      <patternFill patternType="solid">
        <fgColor rgb="FFE0F3E9"/>
        <bgColor rgb="FFE0F3E9"/>
      </patternFill>
    </fill>
    <fill>
      <patternFill patternType="solid">
        <fgColor rgb="FFE8867D"/>
        <bgColor rgb="FFE8867D"/>
      </patternFill>
    </fill>
    <fill>
      <patternFill patternType="solid">
        <fgColor rgb="FFE67C73"/>
        <bgColor rgb="FFE67C73"/>
      </patternFill>
    </fill>
    <fill>
      <patternFill patternType="solid">
        <fgColor rgb="FFED9E97"/>
        <bgColor rgb="FFED9E97"/>
      </patternFill>
    </fill>
    <fill>
      <patternFill patternType="solid">
        <fgColor rgb="FFF4C5C1"/>
        <bgColor rgb="FFF4C5C1"/>
      </patternFill>
    </fill>
    <fill>
      <patternFill patternType="solid">
        <fgColor rgb="FFF2B9B4"/>
        <bgColor rgb="FFF2B9B4"/>
      </patternFill>
    </fill>
    <fill>
      <patternFill patternType="solid">
        <fgColor rgb="FFFCEEED"/>
        <bgColor rgb="FFFCEEED"/>
      </patternFill>
    </fill>
    <fill>
      <patternFill patternType="solid">
        <fgColor rgb="FFF7D2CF"/>
        <bgColor rgb="FFF7D2CF"/>
      </patternFill>
    </fill>
    <fill>
      <patternFill patternType="solid">
        <fgColor rgb="FFF7D4D1"/>
        <bgColor rgb="FFF7D4D1"/>
      </patternFill>
    </fill>
    <fill>
      <patternFill patternType="solid">
        <fgColor rgb="FFF6CDCA"/>
        <bgColor rgb="FFF6CDCA"/>
      </patternFill>
    </fill>
    <fill>
      <patternFill patternType="solid">
        <fgColor rgb="FFF4C3BF"/>
        <bgColor rgb="FFF4C3BF"/>
      </patternFill>
    </fill>
    <fill>
      <patternFill patternType="solid">
        <fgColor rgb="FFF7D3D0"/>
        <bgColor rgb="FFF7D3D0"/>
      </patternFill>
    </fill>
    <fill>
      <patternFill patternType="solid">
        <fgColor rgb="FFF5C9C5"/>
        <bgColor rgb="FFF5C9C5"/>
      </patternFill>
    </fill>
    <fill>
      <patternFill patternType="solid">
        <fgColor rgb="FFF6CCC8"/>
        <bgColor rgb="FFF6CCC8"/>
      </patternFill>
    </fill>
    <fill>
      <patternFill patternType="solid">
        <fgColor rgb="FFF6CECA"/>
        <bgColor rgb="FFF6CECA"/>
      </patternFill>
    </fill>
    <fill>
      <patternFill patternType="solid">
        <fgColor rgb="FFF6D0CC"/>
        <bgColor rgb="FFF6D0CC"/>
      </patternFill>
    </fill>
    <fill>
      <patternFill patternType="solid">
        <fgColor rgb="FFF6CDC9"/>
        <bgColor rgb="FFF6CDC9"/>
      </patternFill>
    </fill>
    <fill>
      <patternFill patternType="solid">
        <fgColor rgb="FFF3BFBB"/>
        <bgColor rgb="FFF3BFBB"/>
      </patternFill>
    </fill>
    <fill>
      <patternFill patternType="solid">
        <fgColor rgb="FFF2B8B3"/>
        <bgColor rgb="FFF2B8B3"/>
      </patternFill>
    </fill>
    <fill>
      <patternFill patternType="solid">
        <fgColor rgb="FFF9DDDB"/>
        <bgColor rgb="FFF9DDDB"/>
      </patternFill>
    </fill>
    <fill>
      <patternFill patternType="solid">
        <fgColor rgb="FFF9DBD9"/>
        <bgColor rgb="FFF9DBD9"/>
      </patternFill>
    </fill>
    <fill>
      <patternFill patternType="solid">
        <fgColor rgb="FFF8DAD7"/>
        <bgColor rgb="FFF8DAD7"/>
      </patternFill>
    </fill>
    <fill>
      <patternFill patternType="solid">
        <fgColor rgb="FFEDA19A"/>
        <bgColor rgb="FFEDA19A"/>
      </patternFill>
    </fill>
    <fill>
      <patternFill patternType="solid">
        <fgColor rgb="FFE8847B"/>
        <bgColor rgb="FFE8847B"/>
      </patternFill>
    </fill>
    <fill>
      <patternFill patternType="solid">
        <fgColor rgb="FFEDA09A"/>
        <bgColor rgb="FFEDA09A"/>
      </patternFill>
    </fill>
    <fill>
      <patternFill patternType="solid">
        <fgColor rgb="FFEFA7A1"/>
        <bgColor rgb="FFEFA7A1"/>
      </patternFill>
    </fill>
    <fill>
      <patternFill patternType="solid">
        <fgColor rgb="FFCFE2F3"/>
        <bgColor rgb="FFCFE2F3"/>
      </patternFill>
    </fill>
    <fill>
      <patternFill patternType="solid">
        <fgColor rgb="FFD9D2E9"/>
        <bgColor rgb="FFD9D2E9"/>
      </patternFill>
    </fill>
    <fill>
      <patternFill patternType="solid">
        <fgColor rgb="FFFCE5CD"/>
        <bgColor rgb="FFFCE5CD"/>
      </patternFill>
    </fill>
    <fill>
      <patternFill patternType="solid">
        <fgColor rgb="FFFBE7E5"/>
        <bgColor rgb="FFFBE7E5"/>
      </patternFill>
    </fill>
    <fill>
      <patternFill patternType="solid">
        <fgColor rgb="FFF2B8B4"/>
        <bgColor rgb="FFF2B8B4"/>
      </patternFill>
    </fill>
    <fill>
      <patternFill patternType="solid">
        <fgColor rgb="FFF1B5B0"/>
        <bgColor rgb="FFF1B5B0"/>
      </patternFill>
    </fill>
    <fill>
      <patternFill patternType="solid">
        <fgColor rgb="FFFCEBEA"/>
        <bgColor rgb="FFFCEBEA"/>
      </patternFill>
    </fill>
    <fill>
      <patternFill patternType="solid">
        <fgColor rgb="FFFEF5F4"/>
        <bgColor rgb="FFFEF5F4"/>
      </patternFill>
    </fill>
    <fill>
      <patternFill patternType="solid">
        <fgColor rgb="FFFCECEB"/>
        <bgColor rgb="FFFCECEB"/>
      </patternFill>
    </fill>
    <fill>
      <patternFill patternType="solid">
        <fgColor rgb="FFFCEFEE"/>
        <bgColor rgb="FFFCEFEE"/>
      </patternFill>
    </fill>
    <fill>
      <patternFill patternType="solid">
        <fgColor rgb="FFFBE5E4"/>
        <bgColor rgb="FFFBE5E4"/>
      </patternFill>
    </fill>
    <fill>
      <patternFill patternType="solid">
        <fgColor rgb="FFFAE5E3"/>
        <bgColor rgb="FFFAE5E3"/>
      </patternFill>
    </fill>
    <fill>
      <patternFill patternType="solid">
        <fgColor rgb="FFFCECEA"/>
        <bgColor rgb="FFFCECEA"/>
      </patternFill>
    </fill>
    <fill>
      <patternFill patternType="solid">
        <fgColor rgb="FFFDF3F2"/>
        <bgColor rgb="FFFDF3F2"/>
      </patternFill>
    </fill>
    <fill>
      <patternFill patternType="solid">
        <fgColor rgb="FFFDF1F0"/>
        <bgColor rgb="FFFDF1F0"/>
      </patternFill>
    </fill>
    <fill>
      <patternFill patternType="solid">
        <fgColor rgb="FFFCEDEC"/>
        <bgColor rgb="FFFCEDEC"/>
      </patternFill>
    </fill>
    <fill>
      <patternFill patternType="solid">
        <fgColor rgb="FFFEF8F8"/>
        <bgColor rgb="FFFEF8F8"/>
      </patternFill>
    </fill>
    <fill>
      <patternFill patternType="solid">
        <fgColor rgb="FFF8D6D3"/>
        <bgColor rgb="FFF8D6D3"/>
      </patternFill>
    </fill>
    <fill>
      <patternFill patternType="solid">
        <fgColor rgb="FFEEA49E"/>
        <bgColor rgb="FFEEA49E"/>
      </patternFill>
    </fill>
    <fill>
      <patternFill patternType="solid">
        <fgColor rgb="FFEB958E"/>
        <bgColor rgb="FFEB958E"/>
      </patternFill>
    </fill>
    <fill>
      <patternFill patternType="solid">
        <fgColor rgb="FFF2B7B2"/>
        <bgColor rgb="FFF2B7B2"/>
      </patternFill>
    </fill>
    <fill>
      <patternFill patternType="solid">
        <fgColor rgb="FFF9DFDD"/>
        <bgColor rgb="FFF9DFDD"/>
      </patternFill>
    </fill>
    <fill>
      <patternFill patternType="solid">
        <fgColor rgb="FFFAE1DF"/>
        <bgColor rgb="FFFAE1DF"/>
      </patternFill>
    </fill>
    <fill>
      <patternFill patternType="solid">
        <fgColor rgb="FFF3C1BC"/>
        <bgColor rgb="FFF3C1BC"/>
      </patternFill>
    </fill>
    <fill>
      <patternFill patternType="solid">
        <fgColor rgb="FFEEA6A0"/>
        <bgColor rgb="FFEEA6A0"/>
      </patternFill>
    </fill>
    <fill>
      <patternFill patternType="solid">
        <fgColor rgb="FFEB928B"/>
        <bgColor rgb="FFEB928B"/>
      </patternFill>
    </fill>
    <fill>
      <patternFill patternType="solid">
        <fgColor rgb="FFF1B5AF"/>
        <bgColor rgb="FFF1B5AF"/>
      </patternFill>
    </fill>
    <fill>
      <patternFill patternType="solid">
        <fgColor rgb="FF87CFAC"/>
        <bgColor rgb="FF87CFAC"/>
      </patternFill>
    </fill>
    <fill>
      <patternFill patternType="solid">
        <fgColor rgb="FF95D4B5"/>
        <bgColor rgb="FF95D4B5"/>
      </patternFill>
    </fill>
    <fill>
      <patternFill patternType="solid">
        <fgColor rgb="FF8AD0AD"/>
        <bgColor rgb="FF8AD0AD"/>
      </patternFill>
    </fill>
    <fill>
      <patternFill patternType="solid">
        <fgColor rgb="FF7FCCA6"/>
        <bgColor rgb="FF7FCCA6"/>
      </patternFill>
    </fill>
    <fill>
      <patternFill patternType="solid">
        <fgColor rgb="FF61BF91"/>
        <bgColor rgb="FF61BF91"/>
      </patternFill>
    </fill>
    <fill>
      <patternFill patternType="solid">
        <fgColor rgb="FF8ED2B1"/>
        <bgColor rgb="FF8ED2B1"/>
      </patternFill>
    </fill>
    <fill>
      <patternFill patternType="solid">
        <fgColor rgb="FF84CDA9"/>
        <bgColor rgb="FF84CDA9"/>
      </patternFill>
    </fill>
    <fill>
      <patternFill patternType="solid">
        <fgColor rgb="FF94D4B5"/>
        <bgColor rgb="FF94D4B5"/>
      </patternFill>
    </fill>
    <fill>
      <patternFill patternType="solid">
        <fgColor rgb="FF92D3B3"/>
        <bgColor rgb="FF92D3B3"/>
      </patternFill>
    </fill>
    <fill>
      <patternFill patternType="solid">
        <fgColor rgb="FF9AD6B9"/>
        <bgColor rgb="FF9AD6B9"/>
      </patternFill>
    </fill>
    <fill>
      <patternFill patternType="solid">
        <fgColor rgb="FF93D4B4"/>
        <bgColor rgb="FF93D4B4"/>
      </patternFill>
    </fill>
    <fill>
      <patternFill patternType="solid">
        <fgColor rgb="FF91D3B2"/>
        <bgColor rgb="FF91D3B2"/>
      </patternFill>
    </fill>
    <fill>
      <patternFill patternType="solid">
        <fgColor rgb="FF8BD1AF"/>
        <bgColor rgb="FF8BD1AF"/>
      </patternFill>
    </fill>
    <fill>
      <patternFill patternType="solid">
        <fgColor rgb="FF6FC59B"/>
        <bgColor rgb="FF6FC59B"/>
      </patternFill>
    </fill>
    <fill>
      <patternFill patternType="solid">
        <fgColor rgb="FF5ABD8C"/>
        <bgColor rgb="FF5ABD8C"/>
      </patternFill>
    </fill>
    <fill>
      <patternFill patternType="solid">
        <fgColor rgb="FF7FCBA6"/>
        <bgColor rgb="FF7FCBA6"/>
      </patternFill>
    </fill>
    <fill>
      <patternFill patternType="solid">
        <fgColor rgb="FF6DC499"/>
        <bgColor rgb="FF6DC499"/>
      </patternFill>
    </fill>
    <fill>
      <patternFill patternType="solid">
        <fgColor rgb="FF7CCAA4"/>
        <bgColor rgb="FF7CCAA4"/>
      </patternFill>
    </fill>
    <fill>
      <patternFill patternType="solid">
        <fgColor rgb="FF79C9A2"/>
        <bgColor rgb="FF79C9A2"/>
      </patternFill>
    </fill>
    <fill>
      <patternFill patternType="solid">
        <fgColor rgb="FF6EC59A"/>
        <bgColor rgb="FF6EC59A"/>
      </patternFill>
    </fill>
    <fill>
      <patternFill patternType="solid">
        <fgColor rgb="FF8BD0AF"/>
        <bgColor rgb="FF8BD0AF"/>
      </patternFill>
    </fill>
    <fill>
      <patternFill patternType="solid">
        <fgColor rgb="FF78C8A1"/>
        <bgColor rgb="FF78C8A1"/>
      </patternFill>
    </fill>
    <fill>
      <patternFill patternType="solid">
        <fgColor rgb="FF60BF90"/>
        <bgColor rgb="FF60BF90"/>
      </patternFill>
    </fill>
    <fill>
      <patternFill patternType="solid">
        <fgColor rgb="FF5CBD8E"/>
        <bgColor rgb="FF5CBD8E"/>
      </patternFill>
    </fill>
    <fill>
      <patternFill patternType="solid">
        <fgColor rgb="FF71C69C"/>
        <bgColor rgb="FF71C69C"/>
      </patternFill>
    </fill>
    <fill>
      <patternFill patternType="solid">
        <fgColor rgb="FF68C296"/>
        <bgColor rgb="FF68C296"/>
      </patternFill>
    </fill>
    <fill>
      <patternFill patternType="solid">
        <fgColor rgb="FF7BCAA3"/>
        <bgColor rgb="FF7BCAA3"/>
      </patternFill>
    </fill>
    <fill>
      <patternFill patternType="solid">
        <fgColor rgb="FF75C79F"/>
        <bgColor rgb="FF75C79F"/>
      </patternFill>
    </fill>
    <fill>
      <patternFill patternType="solid">
        <fgColor rgb="FF7ECBA5"/>
        <bgColor rgb="FF7ECBA5"/>
      </patternFill>
    </fill>
    <fill>
      <patternFill patternType="solid">
        <fgColor rgb="FF74C79F"/>
        <bgColor rgb="FF74C79F"/>
      </patternFill>
    </fill>
    <fill>
      <patternFill patternType="solid">
        <fgColor rgb="FF70C69C"/>
        <bgColor rgb="FF70C69C"/>
      </patternFill>
    </fill>
    <fill>
      <patternFill patternType="solid">
        <fgColor rgb="FF6EC49A"/>
        <bgColor rgb="FF6EC49A"/>
      </patternFill>
    </fill>
    <fill>
      <patternFill patternType="solid">
        <fgColor rgb="FF64C093"/>
        <bgColor rgb="FF64C093"/>
      </patternFill>
    </fill>
    <fill>
      <patternFill patternType="solid">
        <fgColor rgb="FF6AC398"/>
        <bgColor rgb="FF6AC398"/>
      </patternFill>
    </fill>
    <fill>
      <patternFill patternType="solid">
        <fgColor rgb="FF74C79E"/>
        <bgColor rgb="FF74C79E"/>
      </patternFill>
    </fill>
    <fill>
      <patternFill patternType="solid">
        <fgColor rgb="FF6BC398"/>
        <bgColor rgb="FF6BC398"/>
      </patternFill>
    </fill>
    <fill>
      <patternFill patternType="solid">
        <fgColor rgb="FFEBF7F1"/>
        <bgColor rgb="FFEBF7F1"/>
      </patternFill>
    </fill>
    <fill>
      <patternFill patternType="solid">
        <fgColor rgb="FFEDF8F2"/>
        <bgColor rgb="FFEDF8F2"/>
      </patternFill>
    </fill>
    <fill>
      <patternFill patternType="solid">
        <fgColor rgb="FFECF8F2"/>
        <bgColor rgb="FFECF8F2"/>
      </patternFill>
    </fill>
    <fill>
      <patternFill patternType="solid">
        <fgColor rgb="FFE2F4EB"/>
        <bgColor rgb="FFE2F4EB"/>
      </patternFill>
    </fill>
    <fill>
      <patternFill patternType="solid">
        <fgColor rgb="FFD5EEE2"/>
        <bgColor rgb="FFD5EEE2"/>
      </patternFill>
    </fill>
    <fill>
      <patternFill patternType="solid">
        <fgColor rgb="FFCBEADB"/>
        <bgColor rgb="FFCBEADB"/>
      </patternFill>
    </fill>
    <fill>
      <patternFill patternType="solid">
        <fgColor rgb="FFD9F0E4"/>
        <bgColor rgb="FFD9F0E4"/>
      </patternFill>
    </fill>
    <fill>
      <patternFill patternType="solid">
        <fgColor rgb="FFE9F6F0"/>
        <bgColor rgb="FFE9F6F0"/>
      </patternFill>
    </fill>
    <fill>
      <patternFill patternType="solid">
        <fgColor rgb="FFD6EFE2"/>
        <bgColor rgb="FFD6EFE2"/>
      </patternFill>
    </fill>
    <fill>
      <patternFill patternType="solid">
        <fgColor rgb="FFE7F5EE"/>
        <bgColor rgb="FFE7F5EE"/>
      </patternFill>
    </fill>
    <fill>
      <patternFill patternType="solid">
        <fgColor rgb="FFFFD966"/>
        <bgColor rgb="FFFFD966"/>
      </patternFill>
    </fill>
    <fill>
      <patternFill patternType="solid">
        <fgColor rgb="FFE98A82"/>
        <bgColor rgb="FFE98A82"/>
      </patternFill>
    </fill>
    <fill>
      <patternFill patternType="solid">
        <fgColor rgb="FFEA9189"/>
        <bgColor rgb="FFEA9189"/>
      </patternFill>
    </fill>
    <fill>
      <patternFill patternType="solid">
        <fgColor rgb="FFEB948C"/>
        <bgColor rgb="FFEB948C"/>
      </patternFill>
    </fill>
    <fill>
      <patternFill patternType="solid">
        <fgColor rgb="FFEB968F"/>
        <bgColor rgb="FFEB968F"/>
      </patternFill>
    </fill>
    <fill>
      <patternFill patternType="solid">
        <fgColor rgb="FFEC9992"/>
        <bgColor rgb="FFEC9992"/>
      </patternFill>
    </fill>
    <fill>
      <patternFill patternType="solid">
        <fgColor rgb="FFEB938B"/>
        <bgColor rgb="FFEB938B"/>
      </patternFill>
    </fill>
    <fill>
      <patternFill patternType="solid">
        <fgColor rgb="FFEC9790"/>
        <bgColor rgb="FFEC9790"/>
      </patternFill>
    </fill>
    <fill>
      <patternFill patternType="solid">
        <fgColor rgb="FFEEA39C"/>
        <bgColor rgb="FFEEA39C"/>
      </patternFill>
    </fill>
    <fill>
      <patternFill patternType="solid">
        <fgColor rgb="FFF0B0AB"/>
        <bgColor rgb="FFF0B0AB"/>
      </patternFill>
    </fill>
    <fill>
      <patternFill patternType="solid">
        <fgColor rgb="FFEFAAA4"/>
        <bgColor rgb="FFEFAAA4"/>
      </patternFill>
    </fill>
    <fill>
      <patternFill patternType="solid">
        <fgColor rgb="FFEA9089"/>
        <bgColor rgb="FFEA9089"/>
      </patternFill>
    </fill>
    <fill>
      <patternFill patternType="solid">
        <fgColor rgb="FFF5CBCC"/>
        <bgColor rgb="FFF5CBCC"/>
      </patternFill>
    </fill>
    <fill>
      <patternFill patternType="solid">
        <fgColor rgb="FFD0ECDE"/>
        <bgColor rgb="FFD0ECDE"/>
      </patternFill>
    </fill>
    <fill>
      <patternFill patternType="solid">
        <fgColor rgb="FFF0F9F4"/>
        <bgColor rgb="FFF0F9F4"/>
      </patternFill>
    </fill>
    <fill>
      <patternFill patternType="solid">
        <fgColor rgb="FFE5F5ED"/>
        <bgColor rgb="FFE5F5ED"/>
      </patternFill>
    </fill>
    <fill>
      <patternFill patternType="solid">
        <fgColor rgb="FFBFE5D3"/>
        <bgColor rgb="FFBFE5D3"/>
      </patternFill>
    </fill>
    <fill>
      <patternFill patternType="solid">
        <fgColor rgb="FFBAE3CF"/>
        <bgColor rgb="FFBAE3CF"/>
      </patternFill>
    </fill>
    <fill>
      <patternFill patternType="solid">
        <fgColor rgb="FFA6DBC1"/>
        <bgColor rgb="FFA6DBC1"/>
      </patternFill>
    </fill>
    <fill>
      <patternFill patternType="solid">
        <fgColor rgb="FFAFDFC7"/>
        <bgColor rgb="FFAFDFC7"/>
      </patternFill>
    </fill>
    <fill>
      <patternFill patternType="solid">
        <fgColor rgb="FFBFE5D2"/>
        <bgColor rgb="FFBFE5D2"/>
      </patternFill>
    </fill>
    <fill>
      <patternFill patternType="solid">
        <fgColor rgb="FF81CCA8"/>
        <bgColor rgb="FF81CCA8"/>
      </patternFill>
    </fill>
    <fill>
      <patternFill patternType="solid">
        <fgColor rgb="FF78C9A1"/>
        <bgColor rgb="FF78C9A1"/>
      </patternFill>
    </fill>
    <fill>
      <patternFill patternType="solid">
        <fgColor rgb="FFAEDEC6"/>
        <bgColor rgb="FFAEDEC6"/>
      </patternFill>
    </fill>
    <fill>
      <patternFill patternType="solid">
        <fgColor rgb="FF94D4B4"/>
        <bgColor rgb="FF94D4B4"/>
      </patternFill>
    </fill>
    <fill>
      <patternFill patternType="solid">
        <fgColor rgb="FFE8F6EF"/>
        <bgColor rgb="FFE8F6EF"/>
      </patternFill>
    </fill>
    <fill>
      <patternFill patternType="solid">
        <fgColor rgb="FFB3E1CB"/>
        <bgColor rgb="FFB3E1CB"/>
      </patternFill>
    </fill>
    <fill>
      <patternFill patternType="solid">
        <fgColor rgb="FF80CCA6"/>
        <bgColor rgb="FF80CCA6"/>
      </patternFill>
    </fill>
    <fill>
      <patternFill patternType="solid">
        <fgColor rgb="FFA2D9BE"/>
        <bgColor rgb="FFA2D9BE"/>
      </patternFill>
    </fill>
    <fill>
      <patternFill patternType="solid">
        <fgColor rgb="FF7ECBA6"/>
        <bgColor rgb="FF7ECBA6"/>
      </patternFill>
    </fill>
    <fill>
      <patternFill patternType="solid">
        <fgColor rgb="FF8CD1AF"/>
        <bgColor rgb="FF8CD1AF"/>
      </patternFill>
    </fill>
    <fill>
      <patternFill patternType="solid">
        <fgColor rgb="FF81CCA7"/>
        <bgColor rgb="FF81CCA7"/>
      </patternFill>
    </fill>
    <fill>
      <patternFill patternType="solid">
        <fgColor rgb="FFA0D9BD"/>
        <bgColor rgb="FFA0D9BD"/>
      </patternFill>
    </fill>
    <fill>
      <patternFill patternType="solid">
        <fgColor rgb="FFB7E2CD"/>
        <bgColor rgb="FFB7E2CD"/>
      </patternFill>
    </fill>
    <fill>
      <patternFill patternType="solid">
        <fgColor rgb="FF9CC2E5"/>
        <bgColor rgb="FF9CC2E5"/>
      </patternFill>
    </fill>
    <fill>
      <patternFill patternType="solid">
        <fgColor rgb="FF4A86E8"/>
        <bgColor rgb="FF4A86E8"/>
      </patternFill>
    </fill>
    <fill>
      <patternFill patternType="solid">
        <fgColor rgb="FFFFFF00"/>
        <bgColor rgb="FFFFFF00"/>
      </patternFill>
    </fill>
    <fill>
      <patternFill patternType="solid">
        <fgColor rgb="FFB7B7B7"/>
        <bgColor rgb="FFB7B7B7"/>
      </patternFill>
    </fill>
    <fill>
      <patternFill patternType="solid">
        <fgColor rgb="FF000000"/>
        <bgColor rgb="FF000000"/>
      </patternFill>
    </fill>
    <fill>
      <patternFill patternType="solid">
        <fgColor rgb="FFB5E1CB"/>
        <bgColor rgb="FFB5E1CB"/>
      </patternFill>
    </fill>
    <fill>
      <patternFill patternType="solid">
        <fgColor rgb="FF8BD0AE"/>
        <bgColor rgb="FF8BD0AE"/>
      </patternFill>
    </fill>
    <fill>
      <patternFill patternType="solid">
        <fgColor rgb="FFCDEBDC"/>
        <bgColor rgb="FFCDEBDC"/>
      </patternFill>
    </fill>
    <fill>
      <patternFill patternType="solid">
        <fgColor rgb="FFE4F4ED"/>
        <bgColor rgb="FFE4F4ED"/>
      </patternFill>
    </fill>
    <fill>
      <patternFill patternType="solid">
        <fgColor rgb="FFF1FAF6"/>
        <bgColor rgb="FFF1FAF6"/>
      </patternFill>
    </fill>
    <fill>
      <patternFill patternType="solid">
        <fgColor rgb="FFF4FBF8"/>
        <bgColor rgb="FFF4FBF8"/>
      </patternFill>
    </fill>
    <fill>
      <patternFill patternType="solid">
        <fgColor rgb="FFEDF8F3"/>
        <bgColor rgb="FFEDF8F3"/>
      </patternFill>
    </fill>
    <fill>
      <patternFill patternType="solid">
        <fgColor rgb="FF9AD7B9"/>
        <bgColor rgb="FF9AD7B9"/>
      </patternFill>
    </fill>
    <fill>
      <patternFill patternType="solid">
        <fgColor rgb="FF86CEAB"/>
        <bgColor rgb="FF86CEAB"/>
      </patternFill>
    </fill>
    <fill>
      <patternFill patternType="solid">
        <fgColor rgb="FF70C59B"/>
        <bgColor rgb="FF70C59B"/>
      </patternFill>
    </fill>
    <fill>
      <patternFill patternType="solid">
        <fgColor rgb="FF65C194"/>
        <bgColor rgb="FF65C194"/>
      </patternFill>
    </fill>
    <fill>
      <patternFill patternType="solid">
        <fgColor rgb="FF6CC499"/>
        <bgColor rgb="FF6CC499"/>
      </patternFill>
    </fill>
    <fill>
      <patternFill patternType="solid">
        <fgColor rgb="FFA4DBC0"/>
        <bgColor rgb="FFA4DBC0"/>
      </patternFill>
    </fill>
    <fill>
      <patternFill patternType="solid">
        <fgColor rgb="FF434343"/>
        <bgColor rgb="FF434343"/>
      </patternFill>
    </fill>
    <fill>
      <patternFill patternType="solid">
        <fgColor rgb="FFFFF3CC"/>
        <bgColor rgb="FFFFF3CC"/>
      </patternFill>
    </fill>
    <fill>
      <patternFill patternType="solid">
        <fgColor rgb="FFA5A5A5"/>
        <bgColor rgb="FFA5A5A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BE2626"/>
        <bgColor rgb="FFBE2626"/>
      </patternFill>
    </fill>
    <fill>
      <patternFill patternType="solid">
        <fgColor rgb="FF833C0B"/>
        <bgColor rgb="FF833C0B"/>
      </patternFill>
    </fill>
    <fill>
      <patternFill patternType="solid">
        <fgColor rgb="FFFEF9F8"/>
        <bgColor rgb="FFFEF9F8"/>
      </patternFill>
    </fill>
    <fill>
      <patternFill patternType="solid">
        <fgColor rgb="FFFBE6E4"/>
        <bgColor rgb="FFFBE6E4"/>
      </patternFill>
    </fill>
    <fill>
      <patternFill patternType="solid">
        <fgColor rgb="FFF8D8D5"/>
        <bgColor rgb="FFF8D8D5"/>
      </patternFill>
    </fill>
    <fill>
      <patternFill patternType="solid">
        <fgColor rgb="FFE78178"/>
        <bgColor rgb="FFE78178"/>
      </patternFill>
    </fill>
    <fill>
      <patternFill patternType="solid">
        <fgColor rgb="FFFEFAFA"/>
        <bgColor rgb="FFFEFAFA"/>
      </patternFill>
    </fill>
    <fill>
      <patternFill patternType="solid">
        <fgColor rgb="FFFAE2E0"/>
        <bgColor rgb="FFFAE2E0"/>
      </patternFill>
    </fill>
    <fill>
      <patternFill patternType="solid">
        <fgColor rgb="FFF8D6D4"/>
        <bgColor rgb="FFF8D6D4"/>
      </patternFill>
    </fill>
    <fill>
      <patternFill patternType="solid">
        <fgColor rgb="FFE8837A"/>
        <bgColor rgb="FFE8837A"/>
      </patternFill>
    </fill>
    <fill>
      <patternFill patternType="solid">
        <fgColor rgb="FFF9DCDA"/>
        <bgColor rgb="FFF9DCDA"/>
      </patternFill>
    </fill>
    <fill>
      <patternFill patternType="solid">
        <fgColor rgb="FFFFFCFB"/>
        <bgColor rgb="FFFFFCFB"/>
      </patternFill>
    </fill>
    <fill>
      <patternFill patternType="solid">
        <fgColor rgb="FFA64D79"/>
        <bgColor rgb="FFA64D79"/>
      </patternFill>
    </fill>
    <fill>
      <patternFill patternType="solid">
        <fgColor rgb="FFFEF6F6"/>
        <bgColor rgb="FFFEF6F6"/>
      </patternFill>
    </fill>
    <fill>
      <patternFill patternType="solid">
        <fgColor rgb="FFAFDFC8"/>
        <bgColor rgb="FFAFDFC8"/>
      </patternFill>
    </fill>
    <fill>
      <patternFill patternType="solid">
        <fgColor rgb="FFBCE4D1"/>
        <bgColor rgb="FFBCE4D1"/>
      </patternFill>
    </fill>
    <fill>
      <patternFill patternType="solid">
        <fgColor rgb="FFBDE4D1"/>
        <bgColor rgb="FFBDE4D1"/>
      </patternFill>
    </fill>
    <fill>
      <patternFill patternType="solid">
        <fgColor rgb="FF8AD0AE"/>
        <bgColor rgb="FF8AD0AE"/>
      </patternFill>
    </fill>
    <fill>
      <patternFill patternType="solid">
        <fgColor rgb="FF93D3B4"/>
        <bgColor rgb="FF93D3B4"/>
      </patternFill>
    </fill>
    <fill>
      <patternFill patternType="solid">
        <fgColor rgb="FFA4DAC0"/>
        <bgColor rgb="FFA4DAC0"/>
      </patternFill>
    </fill>
    <fill>
      <patternFill patternType="solid">
        <fgColor rgb="FFAEDEC7"/>
        <bgColor rgb="FFAEDEC7"/>
      </patternFill>
    </fill>
    <fill>
      <patternFill patternType="solid">
        <fgColor rgb="FFB6E2CC"/>
        <bgColor rgb="FFB6E2CC"/>
      </patternFill>
    </fill>
    <fill>
      <patternFill patternType="solid">
        <fgColor rgb="FFC7E8D8"/>
        <bgColor rgb="FFC7E8D8"/>
      </patternFill>
    </fill>
    <fill>
      <patternFill patternType="solid">
        <fgColor rgb="FFCEECDD"/>
        <bgColor rgb="FFCEECDD"/>
      </patternFill>
    </fill>
    <fill>
      <patternFill patternType="solid">
        <fgColor rgb="FFEEF8F3"/>
        <bgColor rgb="FFEEF8F3"/>
      </patternFill>
    </fill>
    <fill>
      <patternFill patternType="solid">
        <fgColor rgb="FFF1F9F5"/>
        <bgColor rgb="FFF1F9F5"/>
      </patternFill>
    </fill>
    <fill>
      <patternFill patternType="solid">
        <fgColor rgb="FF6DC49A"/>
        <bgColor rgb="FF6DC49A"/>
      </patternFill>
    </fill>
    <fill>
      <patternFill patternType="solid">
        <fgColor rgb="FF80CCA7"/>
        <bgColor rgb="FF80CCA7"/>
      </patternFill>
    </fill>
    <fill>
      <patternFill patternType="solid">
        <fgColor rgb="FF66C194"/>
        <bgColor rgb="FF66C194"/>
      </patternFill>
    </fill>
    <fill>
      <patternFill patternType="solid">
        <fgColor rgb="FFA1D9BE"/>
        <bgColor rgb="FFA1D9BE"/>
      </patternFill>
    </fill>
    <fill>
      <patternFill patternType="solid">
        <fgColor rgb="FF67C296"/>
        <bgColor rgb="FF67C296"/>
      </patternFill>
    </fill>
    <fill>
      <patternFill patternType="solid">
        <fgColor rgb="FF59BC8C"/>
        <bgColor rgb="FF59BC8C"/>
      </patternFill>
    </fill>
    <fill>
      <patternFill patternType="solid">
        <fgColor rgb="FFB7E1CD"/>
        <bgColor rgb="FFB7E1CD"/>
      </patternFill>
    </fill>
    <fill>
      <patternFill patternType="solid">
        <fgColor theme="0"/>
        <bgColor theme="0"/>
      </patternFill>
    </fill>
    <fill>
      <patternFill patternType="solid">
        <fgColor rgb="FFFCFCFF"/>
        <bgColor rgb="FFFCFCFF"/>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D0E0E3"/>
        <bgColor rgb="FFD0E0E3"/>
      </patternFill>
    </fill>
    <fill>
      <patternFill patternType="solid">
        <fgColor rgb="FFF2F2F2"/>
        <bgColor rgb="FFF2F2F2"/>
      </patternFill>
    </fill>
    <fill>
      <patternFill patternType="solid">
        <fgColor rgb="FFE2EFDA"/>
        <bgColor rgb="FFE2EFDA"/>
      </patternFill>
    </fill>
    <fill>
      <patternFill patternType="solid">
        <fgColor rgb="FFF6B26B"/>
        <bgColor rgb="FFF6B26B"/>
      </patternFill>
    </fill>
    <fill>
      <patternFill patternType="solid">
        <fgColor rgb="FFEDEDED"/>
        <bgColor rgb="FFEDEDED"/>
      </patternFill>
    </fill>
    <fill>
      <patternFill patternType="solid">
        <fgColor rgb="FFEAD1DC"/>
        <bgColor rgb="FFEAD1DC"/>
      </patternFill>
    </fill>
    <fill>
      <patternFill patternType="solid">
        <fgColor rgb="FFB45F06"/>
        <bgColor rgb="FFB45F06"/>
      </patternFill>
    </fill>
    <fill>
      <patternFill patternType="solid">
        <fgColor rgb="FFDBDBDB"/>
        <bgColor rgb="FFDBDBDB"/>
      </patternFill>
    </fill>
    <fill>
      <patternFill patternType="solid">
        <fgColor rgb="FFC6EFCE"/>
        <bgColor rgb="FFC6EFCE"/>
      </patternFill>
    </fill>
  </fills>
  <borders count="49">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B7B7B7"/>
      </bottom>
    </border>
    <border>
      <left style="medium">
        <color rgb="FF000000"/>
      </left>
    </border>
    <border>
      <left style="thin">
        <color rgb="FF000000"/>
      </left>
      <right style="thin">
        <color rgb="FF000000"/>
      </right>
    </border>
    <border>
      <right style="medium">
        <color rgb="FF434343"/>
      </right>
    </border>
    <border>
      <left style="thin">
        <color rgb="FF000000"/>
      </left>
      <right style="thin">
        <color rgb="FF000000"/>
      </right>
      <top style="thin">
        <color rgb="FF000000"/>
      </top>
    </border>
    <border>
      <top style="thin">
        <color rgb="FF000000"/>
      </top>
    </border>
    <border>
      <right style="thin">
        <color rgb="FF000000"/>
      </right>
      <bottom style="thick">
        <color rgb="FF000000"/>
      </bottom>
    </border>
    <border>
      <bottom style="thick">
        <color rgb="FF000000"/>
      </bottom>
    </border>
    <border>
      <left style="thin">
        <color rgb="FF000000"/>
      </left>
      <bottom style="thick">
        <color rgb="FF000000"/>
      </bottom>
    </border>
    <border>
      <left style="medium">
        <color rgb="FF000000"/>
      </left>
      <bottom style="thin">
        <color rgb="FF000000"/>
      </bottom>
    </border>
    <border>
      <left style="thin">
        <color rgb="FF000000"/>
      </left>
      <right style="thin">
        <color rgb="FF000000"/>
      </right>
      <top style="thin">
        <color rgb="FF000000"/>
      </top>
      <bottom style="thin">
        <color rgb="FF000000"/>
      </bottom>
    </border>
    <border>
      <left style="medium">
        <color rgb="FF000000"/>
      </left>
      <top style="thin">
        <color rgb="FF000000"/>
      </top>
    </border>
    <border>
      <left style="medium">
        <color rgb="FF000000"/>
      </left>
      <bottom style="medium">
        <color rgb="FF434343"/>
      </bottom>
    </border>
    <border>
      <right style="thin">
        <color rgb="FF000000"/>
      </right>
      <bottom style="medium">
        <color rgb="FF434343"/>
      </bottom>
    </border>
    <border>
      <bottom style="medium">
        <color rgb="FF434343"/>
      </bottom>
    </border>
    <border>
      <right style="thin">
        <color rgb="FF000000"/>
      </right>
      <top style="thick">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ttom style="thin">
        <color rgb="FF000000"/>
      </bottom>
    </border>
    <border>
      <right style="thin">
        <color rgb="FF000000"/>
      </right>
      <top style="thin">
        <color rgb="FF000000"/>
      </top>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A6A6A6"/>
      </left>
      <right style="thin">
        <color rgb="FF000000"/>
      </right>
      <top style="thin">
        <color rgb="FF000000"/>
      </top>
      <bottom style="thin">
        <color rgb="FFA6A6A6"/>
      </bottom>
    </border>
    <border>
      <left style="thin">
        <color rgb="FFA6A6A6"/>
      </left>
      <right style="thin">
        <color rgb="FF000000"/>
      </right>
    </border>
    <border>
      <left style="thin">
        <color rgb="FFA6A6A6"/>
      </left>
      <right style="thin">
        <color rgb="FF000000"/>
      </right>
      <bottom style="thin">
        <color rgb="FF000000"/>
      </bottom>
    </border>
    <border>
      <left style="thin">
        <color rgb="FFA6A6A6"/>
      </left>
      <right style="thin">
        <color rgb="FF000000"/>
      </right>
      <bottom style="thin">
        <color rgb="FFA6A6A6"/>
      </bottom>
    </border>
    <border>
      <left style="thin">
        <color rgb="FFA6A6A6"/>
      </left>
      <bottom style="thin">
        <color rgb="FFA6A6A6"/>
      </bottom>
    </border>
    <border>
      <left style="thin">
        <color rgb="FFA6A6A6"/>
      </left>
      <right style="thin">
        <color rgb="FF000000"/>
      </right>
      <top style="thin">
        <color rgb="FFA6A6A6"/>
      </top>
      <bottom style="thin">
        <color rgb="FF000000"/>
      </bottom>
    </border>
  </borders>
  <cellStyleXfs count="1">
    <xf borderId="0" fillId="0" fontId="0" numFmtId="0" applyAlignment="1" applyFont="1"/>
  </cellStyleXfs>
  <cellXfs count="1559">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3" fontId="3" numFmtId="164" xfId="0" applyAlignment="1" applyFill="1" applyFont="1" applyNumberFormat="1">
      <alignment horizontal="left" readingOrder="0" vertical="bottom"/>
    </xf>
    <xf borderId="1" fillId="2" fontId="2" numFmtId="0" xfId="0" applyAlignment="1" applyBorder="1" applyFont="1">
      <alignment vertical="bottom"/>
    </xf>
    <xf borderId="0" fillId="3" fontId="3" numFmtId="165" xfId="0" applyAlignment="1" applyFont="1" applyNumberFormat="1">
      <alignment horizontal="left" readingOrder="0" vertical="bottom"/>
    </xf>
    <xf borderId="0" fillId="2" fontId="2" numFmtId="165" xfId="0" applyAlignment="1" applyFont="1" applyNumberFormat="1">
      <alignment horizontal="center" readingOrder="0" vertical="bottom"/>
    </xf>
    <xf borderId="2" fillId="4" fontId="3" numFmtId="0" xfId="0" applyAlignment="1" applyBorder="1" applyFill="1" applyFont="1">
      <alignment vertical="bottom"/>
    </xf>
    <xf borderId="1" fillId="2" fontId="2" numFmtId="165" xfId="0" applyAlignment="1" applyBorder="1" applyFont="1" applyNumberFormat="1">
      <alignment horizontal="center" readingOrder="0" vertical="bottom"/>
    </xf>
    <xf borderId="0" fillId="0" fontId="1" numFmtId="166" xfId="0" applyAlignment="1" applyFont="1" applyNumberFormat="1">
      <alignment readingOrder="0"/>
    </xf>
    <xf borderId="1" fillId="5" fontId="2" numFmtId="0" xfId="0" applyAlignment="1" applyBorder="1" applyFill="1" applyFont="1">
      <alignment readingOrder="0" vertical="bottom"/>
    </xf>
    <xf borderId="0" fillId="4" fontId="3" numFmtId="0" xfId="0" applyAlignment="1" applyFont="1">
      <alignment vertical="bottom"/>
    </xf>
    <xf borderId="0" fillId="0" fontId="1" numFmtId="0" xfId="0" applyAlignment="1" applyFont="1">
      <alignment readingOrder="0"/>
    </xf>
    <xf borderId="0" fillId="5" fontId="2" numFmtId="0" xfId="0" applyAlignment="1" applyFont="1">
      <alignment horizontal="center" readingOrder="0" vertical="bottom"/>
    </xf>
    <xf borderId="1" fillId="5" fontId="2" numFmtId="0" xfId="0" applyAlignment="1" applyBorder="1" applyFont="1">
      <alignment vertical="bottom"/>
    </xf>
    <xf borderId="0" fillId="4" fontId="3" numFmtId="0" xfId="0" applyAlignment="1" applyFont="1">
      <alignment readingOrder="0" vertical="bottom"/>
    </xf>
    <xf borderId="1" fillId="6" fontId="2" numFmtId="0" xfId="0" applyAlignment="1" applyBorder="1" applyFill="1" applyFont="1">
      <alignment vertical="bottom"/>
    </xf>
    <xf borderId="0" fillId="0" fontId="3" numFmtId="0" xfId="0" applyAlignment="1" applyFont="1">
      <alignment vertical="bottom"/>
    </xf>
    <xf borderId="1" fillId="5" fontId="2" numFmtId="0" xfId="0" applyAlignment="1" applyBorder="1" applyFont="1">
      <alignment horizontal="center" readingOrder="0" vertical="bottom"/>
    </xf>
    <xf borderId="1" fillId="7" fontId="4" numFmtId="0" xfId="0" applyAlignment="1" applyBorder="1" applyFill="1" applyFont="1">
      <alignment vertical="bottom"/>
    </xf>
    <xf borderId="1" fillId="0" fontId="4" numFmtId="0" xfId="0" applyAlignment="1" applyBorder="1" applyFont="1">
      <alignment vertical="bottom"/>
    </xf>
    <xf borderId="0" fillId="0" fontId="3" numFmtId="0" xfId="0" applyAlignment="1" applyFont="1">
      <alignment readingOrder="0" vertical="bottom"/>
    </xf>
    <xf borderId="0" fillId="8" fontId="4" numFmtId="0" xfId="0" applyAlignment="1" applyFill="1" applyFont="1">
      <alignment readingOrder="0" vertical="bottom"/>
    </xf>
    <xf borderId="0" fillId="3" fontId="4" numFmtId="0" xfId="0" applyAlignment="1" applyFont="1">
      <alignment readingOrder="0" vertical="bottom"/>
    </xf>
    <xf borderId="1" fillId="0" fontId="3" numFmtId="0" xfId="0" applyAlignment="1" applyBorder="1" applyFont="1">
      <alignment vertical="bottom"/>
    </xf>
    <xf borderId="0" fillId="9" fontId="3" numFmtId="0" xfId="0" applyAlignment="1" applyFill="1" applyFont="1">
      <alignment horizontal="center" shrinkToFit="0" vertical="bottom" wrapText="1"/>
    </xf>
    <xf borderId="0" fillId="8" fontId="4" numFmtId="3" xfId="0" applyAlignment="1" applyFont="1" applyNumberFormat="1">
      <alignment readingOrder="0" vertical="bottom"/>
    </xf>
    <xf borderId="0" fillId="0" fontId="1" numFmtId="0" xfId="0" applyAlignment="1" applyFont="1">
      <alignment horizontal="center" readingOrder="0"/>
    </xf>
    <xf borderId="3" fillId="0" fontId="4" numFmtId="0" xfId="0" applyAlignment="1" applyBorder="1" applyFont="1">
      <alignment vertical="bottom"/>
    </xf>
    <xf borderId="0" fillId="3" fontId="1" numFmtId="0" xfId="0" applyAlignment="1" applyFont="1">
      <alignment horizontal="center" readingOrder="0" shrinkToFit="0" wrapText="1"/>
    </xf>
    <xf borderId="0" fillId="0"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0" fontId="1" numFmtId="0" xfId="0" applyAlignment="1" applyFont="1">
      <alignment horizontal="center" readingOrder="0" shrinkToFit="0" wrapText="1"/>
    </xf>
    <xf borderId="2" fillId="4" fontId="5" numFmtId="0" xfId="0" applyAlignment="1" applyBorder="1" applyFont="1">
      <alignment horizontal="right" vertical="bottom"/>
    </xf>
    <xf borderId="0" fillId="0" fontId="1" numFmtId="0" xfId="0" applyAlignment="1" applyFont="1">
      <alignment readingOrder="0" shrinkToFit="0" wrapText="1"/>
    </xf>
    <xf borderId="4" fillId="0" fontId="4" numFmtId="1" xfId="0" applyAlignment="1" applyBorder="1" applyFont="1" applyNumberFormat="1">
      <alignment horizontal="right" vertical="bottom"/>
    </xf>
    <xf borderId="0" fillId="0" fontId="1" numFmtId="10" xfId="0" applyAlignment="1" applyFont="1" applyNumberFormat="1">
      <alignment readingOrder="0" shrinkToFit="0" wrapText="1"/>
    </xf>
    <xf borderId="2" fillId="4" fontId="5" numFmtId="1" xfId="0" applyAlignment="1" applyBorder="1" applyFont="1" applyNumberFormat="1">
      <alignment horizontal="right" vertical="bottom"/>
    </xf>
    <xf borderId="0" fillId="3" fontId="1" numFmtId="0" xfId="0" applyAlignment="1" applyFont="1">
      <alignment readingOrder="0" shrinkToFit="0" wrapText="1"/>
    </xf>
    <xf borderId="0" fillId="10" fontId="3" numFmtId="0" xfId="0" applyAlignment="1" applyFill="1" applyFont="1">
      <alignment horizontal="center" vertical="bottom"/>
    </xf>
    <xf borderId="0" fillId="0" fontId="3" numFmtId="0" xfId="0" applyFont="1"/>
    <xf borderId="0" fillId="11" fontId="3" numFmtId="0" xfId="0" applyAlignment="1" applyFill="1" applyFont="1">
      <alignment vertical="bottom"/>
    </xf>
    <xf borderId="3" fillId="0" fontId="4" numFmtId="1" xfId="0" applyAlignment="1" applyBorder="1" applyFont="1" applyNumberFormat="1">
      <alignment horizontal="right" vertical="bottom"/>
    </xf>
    <xf borderId="4" fillId="4" fontId="3" numFmtId="0" xfId="0" applyAlignment="1" applyBorder="1" applyFont="1">
      <alignment vertical="bottom"/>
    </xf>
    <xf borderId="0" fillId="0" fontId="6" numFmtId="167" xfId="0" applyAlignment="1" applyFont="1" applyNumberFormat="1">
      <alignment horizontal="right" vertical="bottom"/>
    </xf>
    <xf borderId="1" fillId="0" fontId="7" numFmtId="0" xfId="0" applyAlignment="1" applyBorder="1" applyFont="1">
      <alignment vertical="bottom"/>
    </xf>
    <xf borderId="0" fillId="0" fontId="7" numFmtId="1" xfId="0" applyAlignment="1" applyFont="1" applyNumberFormat="1">
      <alignment horizontal="right" vertical="bottom"/>
    </xf>
    <xf borderId="5" fillId="0" fontId="4" numFmtId="0" xfId="0" applyAlignment="1" applyBorder="1" applyFont="1">
      <alignment vertical="bottom"/>
    </xf>
    <xf borderId="4" fillId="8" fontId="4" numFmtId="0" xfId="0" applyAlignment="1" applyBorder="1" applyFont="1">
      <alignment readingOrder="0" vertical="bottom"/>
    </xf>
    <xf borderId="4" fillId="3" fontId="4" numFmtId="0" xfId="0" applyAlignment="1" applyBorder="1" applyFont="1">
      <alignment readingOrder="0" vertical="bottom"/>
    </xf>
    <xf borderId="1" fillId="0" fontId="7" numFmtId="1" xfId="0" applyAlignment="1" applyBorder="1" applyFont="1" applyNumberFormat="1">
      <alignment horizontal="right" vertical="bottom"/>
    </xf>
    <xf borderId="0" fillId="4" fontId="5" numFmtId="1" xfId="0" applyAlignment="1" applyFont="1" applyNumberFormat="1">
      <alignment horizontal="right" vertical="bottom"/>
    </xf>
    <xf borderId="6" fillId="4" fontId="5" numFmtId="0" xfId="0" applyAlignment="1" applyBorder="1" applyFont="1">
      <alignment horizontal="right" vertical="bottom"/>
    </xf>
    <xf borderId="0" fillId="9" fontId="3" numFmtId="0" xfId="0" applyAlignment="1" applyFont="1">
      <alignment vertical="bottom"/>
    </xf>
    <xf borderId="1" fillId="12" fontId="4" numFmtId="0" xfId="0" applyAlignment="1" applyBorder="1" applyFill="1" applyFont="1">
      <alignment vertical="bottom"/>
    </xf>
    <xf borderId="0" fillId="9" fontId="6" numFmtId="167" xfId="0" applyAlignment="1" applyFont="1" applyNumberFormat="1">
      <alignment horizontal="right" readingOrder="0" vertical="bottom"/>
    </xf>
    <xf borderId="0" fillId="9" fontId="3" numFmtId="167" xfId="0" applyAlignment="1" applyFont="1" applyNumberFormat="1">
      <alignment horizontal="right" readingOrder="0" vertical="bottom"/>
    </xf>
    <xf borderId="4" fillId="0" fontId="4" numFmtId="167" xfId="0" applyAlignment="1" applyBorder="1" applyFont="1" applyNumberFormat="1">
      <alignment horizontal="right" vertical="bottom"/>
    </xf>
    <xf borderId="0" fillId="3" fontId="3" numFmtId="0" xfId="0" applyAlignment="1" applyFont="1">
      <alignment vertical="bottom"/>
    </xf>
    <xf borderId="0" fillId="3" fontId="3" numFmtId="167" xfId="0" applyAlignment="1" applyFont="1" applyNumberFormat="1">
      <alignment vertical="bottom"/>
    </xf>
    <xf borderId="0" fillId="0" fontId="8" numFmtId="168" xfId="0" applyAlignment="1" applyFont="1" applyNumberFormat="1">
      <alignment readingOrder="0" vertical="bottom"/>
    </xf>
    <xf borderId="0" fillId="8" fontId="4" numFmtId="167" xfId="0" applyAlignment="1" applyFont="1" applyNumberFormat="1">
      <alignment readingOrder="0" vertical="bottom"/>
    </xf>
    <xf borderId="3" fillId="0" fontId="4" numFmtId="167" xfId="0" applyAlignment="1" applyBorder="1" applyFont="1" applyNumberFormat="1">
      <alignment horizontal="right" vertical="bottom"/>
    </xf>
    <xf borderId="0" fillId="0" fontId="7" numFmtId="169" xfId="0" applyAlignment="1" applyFont="1" applyNumberFormat="1">
      <alignment horizontal="right" vertical="bottom"/>
    </xf>
    <xf borderId="1" fillId="0" fontId="7" numFmtId="169" xfId="0" applyAlignment="1" applyBorder="1" applyFont="1" applyNumberFormat="1">
      <alignment horizontal="right" vertical="bottom"/>
    </xf>
    <xf borderId="0" fillId="4" fontId="5" numFmtId="169" xfId="0" applyAlignment="1" applyFont="1" applyNumberFormat="1">
      <alignment horizontal="right" vertical="bottom"/>
    </xf>
    <xf borderId="1" fillId="13" fontId="4" numFmtId="0" xfId="0" applyAlignment="1" applyBorder="1" applyFill="1" applyFont="1">
      <alignment vertical="bottom"/>
    </xf>
    <xf borderId="2" fillId="4" fontId="5" numFmtId="167" xfId="0" applyAlignment="1" applyBorder="1" applyFont="1" applyNumberFormat="1">
      <alignment horizontal="right" vertical="bottom"/>
    </xf>
    <xf borderId="0" fillId="9" fontId="3" numFmtId="167" xfId="0" applyAlignment="1" applyFont="1" applyNumberFormat="1">
      <alignment readingOrder="0" vertical="bottom"/>
    </xf>
    <xf borderId="1" fillId="2" fontId="9" numFmtId="0" xfId="0" applyAlignment="1" applyBorder="1" applyFont="1">
      <alignment readingOrder="0" vertical="bottom"/>
    </xf>
    <xf borderId="0" fillId="0" fontId="4" numFmtId="169" xfId="0" applyAlignment="1" applyFont="1" applyNumberFormat="1">
      <alignment horizontal="right" vertical="bottom"/>
    </xf>
    <xf borderId="0" fillId="3" fontId="4" numFmtId="167" xfId="0" applyAlignment="1" applyFont="1" applyNumberFormat="1">
      <alignment readingOrder="0" vertical="bottom"/>
    </xf>
    <xf borderId="0" fillId="0" fontId="3" numFmtId="3" xfId="0" applyAlignment="1" applyFont="1" applyNumberFormat="1">
      <alignment vertical="bottom"/>
    </xf>
    <xf borderId="1" fillId="14" fontId="2" numFmtId="0" xfId="0" applyAlignment="1" applyBorder="1" applyFill="1" applyFont="1">
      <alignment vertical="bottom"/>
    </xf>
    <xf borderId="1" fillId="0" fontId="4" numFmtId="169" xfId="0" applyAlignment="1" applyBorder="1" applyFont="1" applyNumberFormat="1">
      <alignment horizontal="right" vertical="bottom"/>
    </xf>
    <xf borderId="4" fillId="8" fontId="4" numFmtId="167" xfId="0" applyAlignment="1" applyBorder="1" applyFont="1" applyNumberFormat="1">
      <alignment readingOrder="0" vertical="bottom"/>
    </xf>
    <xf borderId="4" fillId="3" fontId="4" numFmtId="167" xfId="0" applyAlignment="1" applyBorder="1" applyFont="1" applyNumberFormat="1">
      <alignment readingOrder="0" vertical="bottom"/>
    </xf>
    <xf borderId="0" fillId="4" fontId="3" numFmtId="169" xfId="0" applyAlignment="1" applyFont="1" applyNumberFormat="1">
      <alignment vertical="bottom"/>
    </xf>
    <xf borderId="1" fillId="15" fontId="4" numFmtId="0" xfId="0" applyAlignment="1" applyBorder="1" applyFill="1" applyFont="1">
      <alignment vertical="bottom"/>
    </xf>
    <xf borderId="4" fillId="8" fontId="4" numFmtId="167" xfId="0" applyAlignment="1" applyBorder="1" applyFont="1" applyNumberFormat="1">
      <alignment readingOrder="0" vertical="bottom"/>
    </xf>
    <xf borderId="0" fillId="0" fontId="4" numFmtId="170" xfId="0" applyAlignment="1" applyFont="1" applyNumberFormat="1">
      <alignment horizontal="right" readingOrder="0" vertical="bottom"/>
    </xf>
    <xf borderId="4" fillId="0" fontId="4" numFmtId="169" xfId="0" applyAlignment="1" applyBorder="1" applyFont="1" applyNumberFormat="1">
      <alignment horizontal="right" vertical="bottom"/>
    </xf>
    <xf borderId="4" fillId="8" fontId="4" numFmtId="4" xfId="0" applyAlignment="1" applyBorder="1" applyFont="1" applyNumberFormat="1">
      <alignment readingOrder="0" vertical="bottom"/>
    </xf>
    <xf borderId="6" fillId="4" fontId="5" numFmtId="167" xfId="0" applyAlignment="1" applyBorder="1" applyFont="1" applyNumberFormat="1">
      <alignment horizontal="right" vertical="bottom"/>
    </xf>
    <xf borderId="4" fillId="11" fontId="3" numFmtId="0" xfId="0" applyAlignment="1" applyBorder="1" applyFont="1">
      <alignment vertical="bottom"/>
    </xf>
    <xf borderId="0" fillId="0" fontId="5" numFmtId="167" xfId="0" applyAlignment="1" applyFont="1" applyNumberFormat="1">
      <alignment horizontal="right" vertical="bottom"/>
    </xf>
    <xf borderId="4" fillId="0" fontId="6" numFmtId="167" xfId="0" applyAlignment="1" applyBorder="1" applyFont="1" applyNumberFormat="1">
      <alignment horizontal="right" vertical="bottom"/>
    </xf>
    <xf borderId="2" fillId="4" fontId="5" numFmtId="169" xfId="0" applyAlignment="1" applyBorder="1" applyFont="1" applyNumberFormat="1">
      <alignment horizontal="right" vertical="bottom"/>
    </xf>
    <xf borderId="0" fillId="9" fontId="6" numFmtId="167" xfId="0" applyAlignment="1" applyFont="1" applyNumberFormat="1">
      <alignment horizontal="right" vertical="bottom"/>
    </xf>
    <xf borderId="3" fillId="0" fontId="4" numFmtId="169" xfId="0" applyAlignment="1" applyBorder="1" applyFont="1" applyNumberFormat="1">
      <alignment horizontal="right" vertical="bottom"/>
    </xf>
    <xf borderId="0" fillId="8" fontId="4" numFmtId="169" xfId="0" applyAlignment="1" applyFont="1" applyNumberFormat="1">
      <alignment vertical="bottom"/>
    </xf>
    <xf borderId="1" fillId="16" fontId="7" numFmtId="0" xfId="0" applyAlignment="1" applyBorder="1" applyFill="1" applyFont="1">
      <alignment vertical="bottom"/>
    </xf>
    <xf borderId="0" fillId="16" fontId="7" numFmtId="169" xfId="0" applyAlignment="1" applyFont="1" applyNumberFormat="1">
      <alignment horizontal="right" shrinkToFit="0" vertical="bottom" wrapText="1"/>
    </xf>
    <xf borderId="0" fillId="0" fontId="6" numFmtId="167" xfId="0" applyAlignment="1" applyFont="1" applyNumberFormat="1">
      <alignment horizontal="right" readingOrder="0" vertical="bottom"/>
    </xf>
    <xf borderId="0" fillId="9" fontId="3" numFmtId="167" xfId="0" applyAlignment="1" applyFont="1" applyNumberFormat="1">
      <alignment vertical="bottom"/>
    </xf>
    <xf borderId="1" fillId="17" fontId="3" numFmtId="0" xfId="0" applyAlignment="1" applyBorder="1" applyFill="1" applyFont="1">
      <alignment vertical="bottom"/>
    </xf>
    <xf borderId="0" fillId="16" fontId="5" numFmtId="167" xfId="0" applyAlignment="1" applyFont="1" applyNumberFormat="1">
      <alignment horizontal="right" vertical="bottom"/>
    </xf>
    <xf borderId="0" fillId="17" fontId="3" numFmtId="0" xfId="0" applyAlignment="1" applyFont="1">
      <alignment vertical="bottom"/>
    </xf>
    <xf borderId="0" fillId="3" fontId="6" numFmtId="167" xfId="0" applyAlignment="1" applyFont="1" applyNumberFormat="1">
      <alignment horizontal="right" vertical="bottom"/>
    </xf>
    <xf borderId="0" fillId="8" fontId="4" numFmtId="169" xfId="0" applyAlignment="1" applyFont="1" applyNumberFormat="1">
      <alignment horizontal="right" vertical="bottom"/>
    </xf>
    <xf borderId="0" fillId="0" fontId="4" numFmtId="0" xfId="0" applyAlignment="1" applyFont="1">
      <alignment horizontal="right" vertical="bottom"/>
    </xf>
    <xf borderId="1" fillId="18" fontId="4" numFmtId="0" xfId="0" applyAlignment="1" applyBorder="1" applyFill="1" applyFont="1">
      <alignment vertical="bottom"/>
    </xf>
    <xf borderId="0" fillId="0" fontId="4" numFmtId="167" xfId="0" applyAlignment="1" applyFont="1" applyNumberFormat="1">
      <alignment horizontal="right" vertical="bottom"/>
    </xf>
    <xf borderId="0" fillId="0" fontId="5" numFmtId="3" xfId="0" applyAlignment="1" applyFont="1" applyNumberFormat="1">
      <alignment horizontal="right" vertical="bottom"/>
    </xf>
    <xf borderId="0" fillId="0" fontId="4" numFmtId="0" xfId="0" applyAlignment="1" applyFont="1">
      <alignment horizontal="right" readingOrder="0" vertical="bottom"/>
    </xf>
    <xf borderId="1" fillId="0" fontId="4" numFmtId="167" xfId="0" applyAlignment="1" applyBorder="1" applyFont="1" applyNumberFormat="1">
      <alignment horizontal="right" vertical="bottom"/>
    </xf>
    <xf borderId="0" fillId="10" fontId="4" numFmtId="0" xfId="0" applyAlignment="1" applyFont="1">
      <alignment horizontal="right" vertical="bottom"/>
    </xf>
    <xf borderId="0" fillId="10" fontId="3" numFmtId="0" xfId="0" applyAlignment="1" applyFont="1">
      <alignment vertical="bottom"/>
    </xf>
    <xf borderId="0" fillId="0" fontId="3" numFmtId="167" xfId="0" applyAlignment="1" applyFont="1" applyNumberFormat="1">
      <alignment horizontal="right" readingOrder="0" vertical="bottom"/>
    </xf>
    <xf borderId="0" fillId="10" fontId="4" numFmtId="0" xfId="0" applyAlignment="1" applyFont="1">
      <alignment horizontal="right" readingOrder="0" vertical="bottom"/>
    </xf>
    <xf borderId="0" fillId="16" fontId="7" numFmtId="0" xfId="0" applyAlignment="1" applyFont="1">
      <alignment horizontal="right" vertical="bottom"/>
    </xf>
    <xf borderId="0" fillId="19" fontId="3" numFmtId="0" xfId="0" applyAlignment="1" applyFill="1" applyFont="1">
      <alignment vertical="bottom"/>
    </xf>
    <xf borderId="0" fillId="19" fontId="3" numFmtId="167" xfId="0" applyAlignment="1" applyFont="1" applyNumberFormat="1">
      <alignment horizontal="right" vertical="bottom"/>
    </xf>
    <xf borderId="1" fillId="16" fontId="7" numFmtId="0" xfId="0" applyAlignment="1" applyBorder="1" applyFont="1">
      <alignment horizontal="right" vertical="bottom"/>
    </xf>
    <xf borderId="1" fillId="9" fontId="4" numFmtId="0" xfId="0" applyAlignment="1" applyBorder="1" applyFont="1">
      <alignment vertical="bottom"/>
    </xf>
    <xf borderId="0" fillId="0" fontId="3" numFmtId="169" xfId="0" applyAlignment="1" applyFont="1" applyNumberFormat="1">
      <alignment horizontal="right" vertical="bottom"/>
    </xf>
    <xf borderId="1" fillId="20" fontId="4" numFmtId="0" xfId="0" applyAlignment="1" applyBorder="1" applyFill="1" applyFont="1">
      <alignment vertical="bottom"/>
    </xf>
    <xf borderId="0" fillId="10" fontId="4" numFmtId="167" xfId="0" applyAlignment="1" applyFont="1" applyNumberFormat="1">
      <alignment horizontal="right" vertical="bottom"/>
    </xf>
    <xf borderId="0" fillId="0" fontId="5" numFmtId="167" xfId="0" applyAlignment="1" applyFont="1" applyNumberFormat="1">
      <alignment horizontal="right" vertical="bottom"/>
    </xf>
    <xf borderId="0" fillId="10" fontId="4" numFmtId="167" xfId="0" applyAlignment="1" applyFont="1" applyNumberFormat="1">
      <alignment horizontal="right" readingOrder="0" vertical="bottom"/>
    </xf>
    <xf borderId="3" fillId="10" fontId="4" numFmtId="0" xfId="0" applyAlignment="1" applyBorder="1" applyFont="1">
      <alignment vertical="bottom"/>
    </xf>
    <xf borderId="4" fillId="3" fontId="4" numFmtId="169" xfId="0" applyAlignment="1" applyBorder="1" applyFont="1" applyNumberFormat="1">
      <alignment vertical="bottom"/>
    </xf>
    <xf borderId="0" fillId="0" fontId="4" numFmtId="167" xfId="0" applyAlignment="1" applyFont="1" applyNumberFormat="1">
      <alignment horizontal="right" vertical="bottom"/>
    </xf>
    <xf borderId="1" fillId="21" fontId="4" numFmtId="0" xfId="0" applyAlignment="1" applyBorder="1" applyFill="1" applyFont="1">
      <alignment vertical="bottom"/>
    </xf>
    <xf borderId="0" fillId="0" fontId="4" numFmtId="167" xfId="0" applyAlignment="1" applyFont="1" applyNumberFormat="1">
      <alignment horizontal="right" readingOrder="0" vertical="bottom"/>
    </xf>
    <xf borderId="0" fillId="21" fontId="4" numFmtId="167" xfId="0" applyAlignment="1" applyFont="1" applyNumberFormat="1">
      <alignment horizontal="right" vertical="bottom"/>
    </xf>
    <xf borderId="1" fillId="22" fontId="7" numFmtId="1" xfId="0" applyAlignment="1" applyBorder="1" applyFill="1" applyFont="1" applyNumberFormat="1">
      <alignment vertical="bottom"/>
    </xf>
    <xf borderId="1" fillId="21" fontId="4" numFmtId="167" xfId="0" applyAlignment="1" applyBorder="1" applyFont="1" applyNumberFormat="1">
      <alignment horizontal="right" vertical="bottom"/>
    </xf>
    <xf borderId="0" fillId="22" fontId="7" numFmtId="167" xfId="0" applyAlignment="1" applyFont="1" applyNumberFormat="1">
      <alignment horizontal="right" vertical="bottom"/>
    </xf>
    <xf borderId="6" fillId="4" fontId="5" numFmtId="169" xfId="0" applyAlignment="1" applyBorder="1" applyFont="1" applyNumberFormat="1">
      <alignment horizontal="right" vertical="bottom"/>
    </xf>
    <xf borderId="0" fillId="0" fontId="3" numFmtId="1" xfId="0" applyAlignment="1" applyFont="1" applyNumberFormat="1">
      <alignment vertical="bottom"/>
    </xf>
    <xf borderId="0" fillId="4" fontId="4" numFmtId="1" xfId="0" applyAlignment="1" applyFont="1" applyNumberFormat="1">
      <alignment horizontal="right" readingOrder="0" vertical="bottom"/>
    </xf>
    <xf borderId="0" fillId="4" fontId="4" numFmtId="1" xfId="0" applyAlignment="1" applyFont="1" applyNumberFormat="1">
      <alignment horizontal="right" vertical="bottom"/>
    </xf>
    <xf borderId="0" fillId="22" fontId="5" numFmtId="167" xfId="0" applyAlignment="1" applyFont="1" applyNumberFormat="1">
      <alignment horizontal="right" vertical="bottom"/>
    </xf>
    <xf borderId="1" fillId="4" fontId="4" numFmtId="1" xfId="0" applyAlignment="1" applyBorder="1" applyFont="1" applyNumberFormat="1">
      <alignment horizontal="right" vertical="bottom"/>
    </xf>
    <xf borderId="0" fillId="4" fontId="5" numFmtId="3" xfId="0" applyAlignment="1" applyFont="1" applyNumberFormat="1">
      <alignment horizontal="right" vertical="bottom"/>
    </xf>
    <xf borderId="0" fillId="10" fontId="4" numFmtId="1" xfId="0" applyAlignment="1" applyFont="1" applyNumberFormat="1">
      <alignment horizontal="right" readingOrder="0" vertical="bottom"/>
    </xf>
    <xf borderId="1" fillId="0" fontId="3" numFmtId="2" xfId="0" applyAlignment="1" applyBorder="1" applyFont="1" applyNumberFormat="1">
      <alignment vertical="bottom"/>
    </xf>
    <xf borderId="0" fillId="0" fontId="3" numFmtId="2" xfId="0" applyAlignment="1" applyFont="1" applyNumberFormat="1">
      <alignment vertical="bottom"/>
    </xf>
    <xf borderId="1" fillId="10" fontId="4" numFmtId="1" xfId="0" applyAlignment="1" applyBorder="1" applyFont="1" applyNumberFormat="1">
      <alignment horizontal="right" readingOrder="0" vertical="bottom"/>
    </xf>
    <xf borderId="2" fillId="4" fontId="3" numFmtId="169" xfId="0" applyAlignment="1" applyBorder="1" applyFont="1" applyNumberFormat="1">
      <alignment vertical="bottom"/>
    </xf>
    <xf borderId="0" fillId="3" fontId="4" numFmtId="1" xfId="0" applyAlignment="1" applyFont="1" applyNumberFormat="1">
      <alignment horizontal="right" readingOrder="0" vertical="bottom"/>
    </xf>
    <xf borderId="0" fillId="3" fontId="4" numFmtId="1" xfId="0" applyAlignment="1" applyFont="1" applyNumberFormat="1">
      <alignment horizontal="right" vertical="bottom"/>
    </xf>
    <xf borderId="0" fillId="0" fontId="3" numFmtId="171" xfId="0" applyAlignment="1" applyFont="1" applyNumberFormat="1">
      <alignment vertical="bottom"/>
    </xf>
    <xf borderId="1" fillId="3" fontId="4" numFmtId="1" xfId="0" applyAlignment="1" applyBorder="1" applyFont="1" applyNumberFormat="1">
      <alignment horizontal="right" vertical="bottom"/>
    </xf>
    <xf borderId="0" fillId="16" fontId="4" numFmtId="1" xfId="0" applyAlignment="1" applyFont="1" applyNumberFormat="1">
      <alignment horizontal="right" vertical="bottom"/>
    </xf>
    <xf borderId="0" fillId="19" fontId="3" numFmtId="169" xfId="0" applyAlignment="1" applyFont="1" applyNumberFormat="1">
      <alignment horizontal="right" vertical="bottom"/>
    </xf>
    <xf borderId="1" fillId="8" fontId="4" numFmtId="0" xfId="0" applyAlignment="1" applyBorder="1" applyFont="1">
      <alignment vertical="bottom"/>
    </xf>
    <xf borderId="0" fillId="10" fontId="3" numFmtId="0" xfId="0" applyAlignment="1" applyFont="1">
      <alignment horizontal="right" readingOrder="0" vertical="bottom"/>
    </xf>
    <xf borderId="0" fillId="4" fontId="3" numFmtId="1" xfId="0" applyAlignment="1" applyFont="1" applyNumberFormat="1">
      <alignment vertical="bottom"/>
    </xf>
    <xf borderId="1" fillId="4" fontId="3" numFmtId="0" xfId="0" applyAlignment="1" applyBorder="1" applyFont="1">
      <alignment vertical="bottom"/>
    </xf>
    <xf borderId="0" fillId="9" fontId="3" numFmtId="0" xfId="0" applyAlignment="1" applyFont="1">
      <alignment horizontal="right" readingOrder="0" vertical="bottom"/>
    </xf>
    <xf borderId="1" fillId="4" fontId="3" numFmtId="1" xfId="0" applyAlignment="1" applyBorder="1" applyFont="1" applyNumberFormat="1">
      <alignment vertical="bottom"/>
    </xf>
    <xf borderId="0" fillId="10" fontId="3" numFmtId="0" xfId="0" applyAlignment="1" applyFont="1">
      <alignment readingOrder="0" vertical="bottom"/>
    </xf>
    <xf borderId="0" fillId="10" fontId="3" numFmtId="3" xfId="0" applyAlignment="1" applyFont="1" applyNumberFormat="1">
      <alignment readingOrder="0" vertical="bottom"/>
    </xf>
    <xf borderId="2" fillId="4" fontId="5" numFmtId="3" xfId="0" applyAlignment="1" applyBorder="1" applyFont="1" applyNumberFormat="1">
      <alignment horizontal="right" vertical="bottom"/>
    </xf>
    <xf borderId="1" fillId="8" fontId="7" numFmtId="0" xfId="0" applyAlignment="1" applyBorder="1" applyFont="1">
      <alignment vertical="bottom"/>
    </xf>
    <xf borderId="0" fillId="9" fontId="3" numFmtId="1" xfId="0" applyAlignment="1" applyFont="1" applyNumberFormat="1">
      <alignment vertical="bottom"/>
    </xf>
    <xf borderId="0" fillId="9" fontId="3" numFmtId="1" xfId="0" applyAlignment="1" applyFont="1" applyNumberFormat="1">
      <alignment readingOrder="0" vertical="bottom"/>
    </xf>
    <xf borderId="0" fillId="23" fontId="7" numFmtId="169" xfId="0" applyAlignment="1" applyFill="1" applyFont="1" applyNumberFormat="1">
      <alignment horizontal="right" shrinkToFit="0" vertical="bottom" wrapText="1"/>
    </xf>
    <xf borderId="0" fillId="22" fontId="7" numFmtId="0" xfId="0" applyAlignment="1" applyFont="1">
      <alignment horizontal="right" vertical="bottom"/>
    </xf>
    <xf borderId="4" fillId="10" fontId="6" numFmtId="3" xfId="0" applyAlignment="1" applyBorder="1" applyFont="1" applyNumberFormat="1">
      <alignment horizontal="right" vertical="bottom"/>
    </xf>
    <xf borderId="1" fillId="16" fontId="4" numFmtId="1" xfId="0" applyAlignment="1" applyBorder="1" applyFont="1" applyNumberFormat="1">
      <alignment horizontal="right" vertical="bottom"/>
    </xf>
    <xf borderId="4" fillId="24" fontId="6" numFmtId="3" xfId="0" applyAlignment="1" applyBorder="1" applyFill="1" applyFont="1" applyNumberFormat="1">
      <alignment horizontal="right" vertical="bottom"/>
    </xf>
    <xf borderId="0" fillId="22" fontId="5" numFmtId="3" xfId="0" applyAlignment="1" applyFont="1" applyNumberFormat="1">
      <alignment horizontal="right" vertical="bottom"/>
    </xf>
    <xf borderId="0" fillId="4" fontId="3" numFmtId="3" xfId="0" applyAlignment="1" applyFont="1" applyNumberFormat="1">
      <alignment vertical="bottom"/>
    </xf>
    <xf borderId="1" fillId="23" fontId="4" numFmtId="0" xfId="0" applyAlignment="1" applyBorder="1" applyFont="1">
      <alignment vertical="bottom"/>
    </xf>
    <xf borderId="0" fillId="0" fontId="4" numFmtId="3" xfId="0" applyAlignment="1" applyFont="1" applyNumberFormat="1">
      <alignment vertical="bottom"/>
    </xf>
    <xf borderId="1" fillId="14" fontId="10" numFmtId="0" xfId="0" applyAlignment="1" applyBorder="1" applyFont="1">
      <alignment vertical="bottom"/>
    </xf>
    <xf borderId="1" fillId="25" fontId="4" numFmtId="0" xfId="0" applyAlignment="1" applyBorder="1" applyFill="1" applyFont="1">
      <alignment vertical="bottom"/>
    </xf>
    <xf borderId="4" fillId="9" fontId="3" numFmtId="0" xfId="0" applyAlignment="1" applyBorder="1" applyFont="1">
      <alignment vertical="bottom"/>
    </xf>
    <xf borderId="1" fillId="26" fontId="11" numFmtId="0" xfId="0" applyAlignment="1" applyBorder="1" applyFill="1" applyFont="1">
      <alignment vertical="bottom"/>
    </xf>
    <xf borderId="0" fillId="0" fontId="3" numFmtId="3" xfId="0" applyAlignment="1" applyFont="1" applyNumberFormat="1">
      <alignment horizontal="right" readingOrder="0" vertical="bottom"/>
    </xf>
    <xf borderId="0" fillId="10" fontId="4" numFmtId="169" xfId="0" applyAlignment="1" applyFont="1" applyNumberFormat="1">
      <alignment horizontal="right" vertical="bottom"/>
    </xf>
    <xf borderId="1" fillId="23" fontId="7" numFmtId="0" xfId="0" applyAlignment="1" applyBorder="1" applyFont="1">
      <alignment vertical="bottom"/>
    </xf>
    <xf borderId="0" fillId="23" fontId="7" numFmtId="3" xfId="0" applyAlignment="1" applyFont="1" applyNumberFormat="1">
      <alignment horizontal="right" vertical="bottom"/>
    </xf>
    <xf borderId="0" fillId="19" fontId="3" numFmtId="3" xfId="0" applyAlignment="1" applyFont="1" applyNumberFormat="1">
      <alignment horizontal="right" vertical="bottom"/>
    </xf>
    <xf borderId="0" fillId="4" fontId="3" numFmtId="2" xfId="0" applyAlignment="1" applyFont="1" applyNumberFormat="1">
      <alignment vertical="bottom"/>
    </xf>
    <xf borderId="1" fillId="27" fontId="11" numFmtId="0" xfId="0" applyAlignment="1" applyBorder="1" applyFill="1" applyFont="1">
      <alignment vertical="bottom"/>
    </xf>
    <xf borderId="0" fillId="27" fontId="4" numFmtId="1" xfId="0" applyAlignment="1" applyFont="1" applyNumberFormat="1">
      <alignment horizontal="right" vertical="bottom"/>
    </xf>
    <xf borderId="0" fillId="28" fontId="3" numFmtId="0" xfId="0" applyAlignment="1" applyFill="1" applyFont="1">
      <alignment horizontal="right" vertical="bottom"/>
    </xf>
    <xf borderId="0" fillId="29" fontId="3" numFmtId="0" xfId="0" applyAlignment="1" applyFill="1" applyFont="1">
      <alignment horizontal="right" vertical="bottom"/>
    </xf>
    <xf borderId="1" fillId="27" fontId="4" numFmtId="1" xfId="0" applyAlignment="1" applyBorder="1" applyFont="1" applyNumberFormat="1">
      <alignment horizontal="right" vertical="bottom"/>
    </xf>
    <xf borderId="0" fillId="30" fontId="3" numFmtId="0" xfId="0" applyAlignment="1" applyFill="1" applyFont="1">
      <alignment horizontal="right" vertical="bottom"/>
    </xf>
    <xf borderId="0" fillId="31" fontId="3" numFmtId="0" xfId="0" applyAlignment="1" applyFill="1" applyFont="1">
      <alignment horizontal="right" vertical="bottom"/>
    </xf>
    <xf borderId="0" fillId="32" fontId="3" numFmtId="0" xfId="0" applyAlignment="1" applyFill="1" applyFont="1">
      <alignment horizontal="right" vertical="bottom"/>
    </xf>
    <xf borderId="0" fillId="33" fontId="3" numFmtId="0" xfId="0" applyAlignment="1" applyFill="1" applyFont="1">
      <alignment horizontal="right" vertical="bottom"/>
    </xf>
    <xf borderId="0" fillId="34" fontId="3" numFmtId="0" xfId="0" applyAlignment="1" applyFill="1" applyFont="1">
      <alignment horizontal="right" vertical="bottom"/>
    </xf>
    <xf borderId="0" fillId="35" fontId="3" numFmtId="0" xfId="0" applyAlignment="1" applyFill="1" applyFont="1">
      <alignment horizontal="right" vertical="bottom"/>
    </xf>
    <xf borderId="0" fillId="36" fontId="3" numFmtId="0" xfId="0" applyAlignment="1" applyFill="1" applyFont="1">
      <alignment horizontal="right" vertical="bottom"/>
    </xf>
    <xf borderId="0" fillId="37" fontId="3" numFmtId="0" xfId="0" applyAlignment="1" applyFill="1" applyFont="1">
      <alignment horizontal="right" vertical="bottom"/>
    </xf>
    <xf borderId="0" fillId="38" fontId="3" numFmtId="0" xfId="0" applyAlignment="1" applyFill="1" applyFont="1">
      <alignment horizontal="right" vertical="bottom"/>
    </xf>
    <xf borderId="0" fillId="39" fontId="3" numFmtId="0" xfId="0" applyAlignment="1" applyFill="1" applyFont="1">
      <alignment horizontal="right" vertical="bottom"/>
    </xf>
    <xf borderId="1" fillId="40" fontId="7" numFmtId="0" xfId="0" applyAlignment="1" applyBorder="1" applyFill="1" applyFont="1">
      <alignment vertical="bottom"/>
    </xf>
    <xf borderId="0" fillId="41" fontId="3" numFmtId="0" xfId="0" applyAlignment="1" applyFill="1" applyFont="1">
      <alignment horizontal="right" vertical="bottom"/>
    </xf>
    <xf borderId="0" fillId="40" fontId="7" numFmtId="169" xfId="0" applyAlignment="1" applyFont="1" applyNumberFormat="1">
      <alignment horizontal="right" vertical="bottom"/>
    </xf>
    <xf borderId="0" fillId="42" fontId="3" numFmtId="0" xfId="0" applyAlignment="1" applyFill="1" applyFont="1">
      <alignment horizontal="right" vertical="bottom"/>
    </xf>
    <xf borderId="0" fillId="43" fontId="3" numFmtId="0" xfId="0" applyAlignment="1" applyFill="1" applyFont="1">
      <alignment horizontal="right" vertical="bottom"/>
    </xf>
    <xf borderId="0" fillId="44" fontId="3" numFmtId="0" xfId="0" applyAlignment="1" applyFill="1" applyFont="1">
      <alignment horizontal="right" vertical="bottom"/>
    </xf>
    <xf borderId="0" fillId="10" fontId="3" numFmtId="0" xfId="0" applyAlignment="1" applyFont="1">
      <alignment horizontal="right" vertical="bottom"/>
    </xf>
    <xf borderId="0" fillId="40" fontId="5" numFmtId="167" xfId="0" applyAlignment="1" applyFont="1" applyNumberFormat="1">
      <alignment horizontal="right" vertical="bottom"/>
    </xf>
    <xf borderId="0" fillId="45" fontId="3" numFmtId="0" xfId="0" applyAlignment="1" applyFill="1" applyFont="1">
      <alignment horizontal="right" vertical="bottom"/>
    </xf>
    <xf borderId="0" fillId="46" fontId="3" numFmtId="0" xfId="0" applyAlignment="1" applyFill="1" applyFont="1">
      <alignment horizontal="right" vertical="bottom"/>
    </xf>
    <xf borderId="0" fillId="47" fontId="3" numFmtId="0" xfId="0" applyAlignment="1" applyFill="1" applyFont="1">
      <alignment horizontal="right" vertical="bottom"/>
    </xf>
    <xf borderId="0" fillId="0" fontId="3" numFmtId="167" xfId="0" applyAlignment="1" applyFont="1" applyNumberFormat="1">
      <alignment vertical="bottom"/>
    </xf>
    <xf borderId="0" fillId="48" fontId="3" numFmtId="0" xfId="0" applyAlignment="1" applyFill="1" applyFont="1">
      <alignment horizontal="right" vertical="bottom"/>
    </xf>
    <xf borderId="0" fillId="49" fontId="3" numFmtId="0" xfId="0" applyAlignment="1" applyFill="1" applyFont="1">
      <alignment horizontal="right" vertical="bottom"/>
    </xf>
    <xf borderId="0" fillId="50" fontId="3" numFmtId="0" xfId="0" applyAlignment="1" applyFill="1" applyFont="1">
      <alignment horizontal="right" vertical="bottom"/>
    </xf>
    <xf borderId="0" fillId="51" fontId="3" numFmtId="0" xfId="0" applyAlignment="1" applyFill="1" applyFont="1">
      <alignment horizontal="right" vertical="bottom"/>
    </xf>
    <xf borderId="0" fillId="52" fontId="3" numFmtId="0" xfId="0" applyAlignment="1" applyFill="1" applyFont="1">
      <alignment horizontal="right" vertical="bottom"/>
    </xf>
    <xf borderId="0" fillId="53" fontId="3" numFmtId="0" xfId="0" applyAlignment="1" applyFill="1" applyFont="1">
      <alignment horizontal="right" vertical="bottom"/>
    </xf>
    <xf borderId="0" fillId="54" fontId="3" numFmtId="0" xfId="0" applyAlignment="1" applyFill="1" applyFont="1">
      <alignment horizontal="right" vertical="bottom"/>
    </xf>
    <xf borderId="0" fillId="55" fontId="3" numFmtId="0" xfId="0" applyAlignment="1" applyFill="1" applyFont="1">
      <alignment horizontal="right" vertical="bottom"/>
    </xf>
    <xf borderId="0" fillId="56" fontId="3" numFmtId="0" xfId="0" applyAlignment="1" applyFill="1" applyFont="1">
      <alignment horizontal="right" vertical="bottom"/>
    </xf>
    <xf borderId="0" fillId="18" fontId="3" numFmtId="167" xfId="0" applyAlignment="1" applyFont="1" applyNumberFormat="1">
      <alignment vertical="bottom"/>
    </xf>
    <xf borderId="0" fillId="57" fontId="3" numFmtId="0" xfId="0" applyAlignment="1" applyFill="1" applyFont="1">
      <alignment horizontal="right" vertical="bottom"/>
    </xf>
    <xf borderId="0" fillId="58" fontId="3" numFmtId="0" xfId="0" applyAlignment="1" applyFill="1" applyFont="1">
      <alignment horizontal="right" vertical="bottom"/>
    </xf>
    <xf borderId="0" fillId="59" fontId="3" numFmtId="0" xfId="0" applyAlignment="1" applyFill="1" applyFont="1">
      <alignment horizontal="right" vertical="bottom"/>
    </xf>
    <xf borderId="0" fillId="60" fontId="3" numFmtId="0" xfId="0" applyAlignment="1" applyFill="1" applyFont="1">
      <alignment horizontal="right" vertical="bottom"/>
    </xf>
    <xf borderId="0" fillId="61" fontId="3" numFmtId="0" xfId="0" applyAlignment="1" applyFill="1" applyFont="1">
      <alignment horizontal="right" vertical="bottom"/>
    </xf>
    <xf borderId="0" fillId="62" fontId="3" numFmtId="0" xfId="0" applyAlignment="1" applyFill="1" applyFont="1">
      <alignment horizontal="right" vertical="bottom"/>
    </xf>
    <xf borderId="0" fillId="63" fontId="3" numFmtId="0" xfId="0" applyAlignment="1" applyFill="1" applyFont="1">
      <alignment horizontal="right" vertical="bottom"/>
    </xf>
    <xf borderId="0" fillId="64" fontId="3" numFmtId="0" xfId="0" applyAlignment="1" applyFill="1" applyFont="1">
      <alignment horizontal="right" vertical="bottom"/>
    </xf>
    <xf borderId="0" fillId="65" fontId="3" numFmtId="0" xfId="0" applyAlignment="1" applyFill="1" applyFont="1">
      <alignment horizontal="right" vertical="bottom"/>
    </xf>
    <xf borderId="0" fillId="66" fontId="3" numFmtId="0" xfId="0" applyAlignment="1" applyFill="1" applyFont="1">
      <alignment horizontal="right" vertical="bottom"/>
    </xf>
    <xf borderId="0" fillId="67" fontId="3" numFmtId="0" xfId="0" applyAlignment="1" applyFill="1" applyFont="1">
      <alignment horizontal="right" vertical="bottom"/>
    </xf>
    <xf borderId="0" fillId="68" fontId="3" numFmtId="0" xfId="0" applyAlignment="1" applyFill="1" applyFont="1">
      <alignment horizontal="right" vertical="bottom"/>
    </xf>
    <xf borderId="0" fillId="24" fontId="3" numFmtId="0" xfId="0" applyAlignment="1" applyFont="1">
      <alignment horizontal="right" vertical="bottom"/>
    </xf>
    <xf borderId="0" fillId="69" fontId="3" numFmtId="0" xfId="0" applyAlignment="1" applyFill="1" applyFont="1">
      <alignment horizontal="right" vertical="bottom"/>
    </xf>
    <xf borderId="0" fillId="70" fontId="3" numFmtId="0" xfId="0" applyAlignment="1" applyFill="1" applyFont="1">
      <alignment horizontal="right" vertical="bottom"/>
    </xf>
    <xf borderId="0" fillId="71" fontId="3" numFmtId="0" xfId="0" applyAlignment="1" applyFill="1" applyFont="1">
      <alignment horizontal="right" vertical="bottom"/>
    </xf>
    <xf borderId="0" fillId="72" fontId="3" numFmtId="0" xfId="0" applyAlignment="1" applyFill="1" applyFont="1">
      <alignment horizontal="right" vertical="bottom"/>
    </xf>
    <xf borderId="0" fillId="73" fontId="3" numFmtId="0" xfId="0" applyAlignment="1" applyFill="1" applyFont="1">
      <alignment horizontal="right" vertical="bottom"/>
    </xf>
    <xf borderId="0" fillId="74" fontId="3" numFmtId="0" xfId="0" applyAlignment="1" applyFill="1" applyFont="1">
      <alignment horizontal="right" vertical="bottom"/>
    </xf>
    <xf borderId="0" fillId="75" fontId="3" numFmtId="0" xfId="0" applyAlignment="1" applyFill="1" applyFont="1">
      <alignment horizontal="right" vertical="bottom"/>
    </xf>
    <xf borderId="0" fillId="10" fontId="4" numFmtId="167" xfId="0" applyAlignment="1" applyFont="1" applyNumberFormat="1">
      <alignment vertical="bottom"/>
    </xf>
    <xf borderId="0" fillId="76" fontId="3" numFmtId="0" xfId="0" applyAlignment="1" applyFill="1" applyFont="1">
      <alignment horizontal="right" vertical="bottom"/>
    </xf>
    <xf borderId="0" fillId="77" fontId="3" numFmtId="0" xfId="0" applyAlignment="1" applyFill="1" applyFont="1">
      <alignment horizontal="right" vertical="bottom"/>
    </xf>
    <xf borderId="0" fillId="78" fontId="3" numFmtId="0" xfId="0" applyAlignment="1" applyFill="1" applyFont="1">
      <alignment horizontal="right" vertical="bottom"/>
    </xf>
    <xf borderId="0" fillId="79" fontId="3" numFmtId="0" xfId="0" applyAlignment="1" applyFill="1" applyFont="1">
      <alignment horizontal="right" vertical="bottom"/>
    </xf>
    <xf borderId="0" fillId="80" fontId="3" numFmtId="0" xfId="0" applyAlignment="1" applyFill="1" applyFont="1">
      <alignment horizontal="right" vertical="bottom"/>
    </xf>
    <xf borderId="0" fillId="81" fontId="3" numFmtId="0" xfId="0" applyAlignment="1" applyFill="1" applyFont="1">
      <alignment horizontal="right" vertical="bottom"/>
    </xf>
    <xf borderId="0" fillId="82" fontId="3" numFmtId="0" xfId="0" applyAlignment="1" applyFill="1" applyFont="1">
      <alignment horizontal="right" vertical="bottom"/>
    </xf>
    <xf borderId="0" fillId="83" fontId="3" numFmtId="0" xfId="0" applyAlignment="1" applyFill="1" applyFont="1">
      <alignment horizontal="right" vertical="bottom"/>
    </xf>
    <xf borderId="0" fillId="84" fontId="3" numFmtId="0" xfId="0" applyAlignment="1" applyFill="1" applyFont="1">
      <alignment horizontal="right" vertical="bottom"/>
    </xf>
    <xf borderId="0" fillId="0" fontId="12" numFmtId="0" xfId="0" applyAlignment="1" applyFont="1">
      <alignment readingOrder="0" vertical="bottom"/>
    </xf>
    <xf borderId="0" fillId="27" fontId="11" numFmtId="1" xfId="0" applyAlignment="1" applyFont="1" applyNumberFormat="1">
      <alignment vertical="bottom"/>
    </xf>
    <xf borderId="0" fillId="0" fontId="8" numFmtId="168" xfId="0" applyAlignment="1" applyFont="1" applyNumberFormat="1">
      <alignment vertical="bottom"/>
    </xf>
    <xf borderId="0" fillId="40" fontId="7" numFmtId="0" xfId="0" applyAlignment="1" applyFont="1">
      <alignment horizontal="right" vertical="bottom"/>
    </xf>
    <xf borderId="0" fillId="40" fontId="5" numFmtId="3" xfId="0" applyAlignment="1" applyFont="1" applyNumberFormat="1">
      <alignment horizontal="right" vertical="bottom"/>
    </xf>
    <xf borderId="7" fillId="0" fontId="13" numFmtId="0" xfId="0" applyAlignment="1" applyBorder="1" applyFont="1">
      <alignment vertical="bottom"/>
    </xf>
    <xf borderId="7" fillId="0" fontId="13" numFmtId="172" xfId="0" applyAlignment="1" applyBorder="1" applyFont="1" applyNumberFormat="1">
      <alignment horizontal="right" readingOrder="0" vertical="bottom"/>
    </xf>
    <xf borderId="1" fillId="85" fontId="3" numFmtId="0" xfId="0" applyAlignment="1" applyBorder="1" applyFill="1" applyFont="1">
      <alignment vertical="bottom"/>
    </xf>
    <xf borderId="0" fillId="85" fontId="3" numFmtId="0" xfId="0" applyAlignment="1" applyFont="1">
      <alignment vertical="bottom"/>
    </xf>
    <xf borderId="1" fillId="21" fontId="7" numFmtId="0" xfId="0" applyAlignment="1" applyBorder="1" applyFont="1">
      <alignment vertical="bottom"/>
    </xf>
    <xf borderId="7" fillId="0" fontId="13" numFmtId="172" xfId="0" applyAlignment="1" applyBorder="1" applyFont="1" applyNumberFormat="1">
      <alignment readingOrder="0" vertical="bottom"/>
    </xf>
    <xf borderId="0" fillId="21" fontId="7" numFmtId="167" xfId="0" applyAlignment="1" applyFont="1" applyNumberFormat="1">
      <alignment horizontal="right" vertical="bottom"/>
    </xf>
    <xf borderId="0" fillId="0" fontId="3" numFmtId="167" xfId="0" applyAlignment="1" applyFont="1" applyNumberFormat="1">
      <alignment horizontal="right" vertical="bottom"/>
    </xf>
    <xf borderId="2" fillId="4" fontId="3" numFmtId="3" xfId="0" applyAlignment="1" applyBorder="1" applyFont="1" applyNumberFormat="1">
      <alignment vertical="bottom"/>
    </xf>
    <xf borderId="1" fillId="26" fontId="4" numFmtId="0" xfId="0" applyAlignment="1" applyBorder="1" applyFont="1">
      <alignment vertical="bottom"/>
    </xf>
    <xf borderId="0" fillId="0" fontId="5" numFmtId="169" xfId="0" applyAlignment="1" applyFont="1" applyNumberFormat="1">
      <alignment horizontal="right" vertical="bottom"/>
    </xf>
    <xf borderId="0" fillId="4" fontId="3" numFmtId="167" xfId="0" applyAlignment="1" applyFont="1" applyNumberFormat="1">
      <alignment vertical="bottom"/>
    </xf>
    <xf borderId="0" fillId="0" fontId="4" numFmtId="1" xfId="0" applyAlignment="1" applyFont="1" applyNumberFormat="1">
      <alignment horizontal="right" readingOrder="0" vertical="bottom"/>
    </xf>
    <xf borderId="0" fillId="0" fontId="4" numFmtId="167" xfId="0" applyAlignment="1" applyFont="1" applyNumberFormat="1">
      <alignment horizontal="right" readingOrder="0" vertical="bottom"/>
    </xf>
    <xf borderId="0" fillId="0" fontId="3" numFmtId="167" xfId="0" applyAlignment="1" applyFont="1" applyNumberFormat="1">
      <alignment readingOrder="0" vertical="bottom"/>
    </xf>
    <xf borderId="0" fillId="0" fontId="4" numFmtId="3" xfId="0" applyAlignment="1" applyFont="1" applyNumberFormat="1">
      <alignment horizontal="right" readingOrder="0" vertical="bottom"/>
    </xf>
    <xf borderId="1" fillId="4" fontId="3" numFmtId="167" xfId="0" applyAlignment="1" applyBorder="1" applyFont="1" applyNumberFormat="1">
      <alignment vertical="bottom"/>
    </xf>
    <xf borderId="0" fillId="4" fontId="5" numFmtId="167" xfId="0" applyAlignment="1" applyFont="1" applyNumberFormat="1">
      <alignment horizontal="right" vertical="bottom"/>
    </xf>
    <xf borderId="0" fillId="4" fontId="4" numFmtId="167" xfId="0" applyAlignment="1" applyFont="1" applyNumberFormat="1">
      <alignment horizontal="right" vertical="bottom"/>
    </xf>
    <xf borderId="1" fillId="4" fontId="4" numFmtId="167" xfId="0" applyAlignment="1" applyBorder="1" applyFont="1" applyNumberFormat="1">
      <alignment horizontal="right" vertical="bottom"/>
    </xf>
    <xf borderId="0" fillId="0" fontId="3" numFmtId="167" xfId="0" applyAlignment="1" applyFont="1" applyNumberFormat="1">
      <alignment readingOrder="0" vertical="bottom"/>
    </xf>
    <xf borderId="1" fillId="22" fontId="7" numFmtId="0" xfId="0" applyAlignment="1" applyBorder="1" applyFont="1">
      <alignment vertical="bottom"/>
    </xf>
    <xf borderId="0" fillId="22" fontId="7" numFmtId="167" xfId="0" applyAlignment="1" applyFont="1" applyNumberFormat="1">
      <alignment horizontal="right" vertical="bottom"/>
    </xf>
    <xf borderId="1" fillId="27" fontId="4" numFmtId="0" xfId="0" applyAlignment="1" applyBorder="1" applyFont="1">
      <alignment vertical="bottom"/>
    </xf>
    <xf borderId="0" fillId="27" fontId="4" numFmtId="167" xfId="0" applyAlignment="1" applyFont="1" applyNumberFormat="1">
      <alignment horizontal="right" vertical="bottom"/>
    </xf>
    <xf borderId="0" fillId="16" fontId="7" numFmtId="1" xfId="0" applyAlignment="1" applyFont="1" applyNumberFormat="1">
      <alignment horizontal="right" vertical="bottom"/>
    </xf>
    <xf borderId="0" fillId="22" fontId="5" numFmtId="169" xfId="0" applyAlignment="1" applyFont="1" applyNumberFormat="1">
      <alignment horizontal="right" vertical="bottom"/>
    </xf>
    <xf borderId="1" fillId="27" fontId="4" numFmtId="167" xfId="0" applyAlignment="1" applyBorder="1" applyFont="1" applyNumberFormat="1">
      <alignment horizontal="right" vertical="bottom"/>
    </xf>
    <xf borderId="1" fillId="0" fontId="3" numFmtId="167" xfId="0" applyAlignment="1" applyBorder="1" applyFont="1" applyNumberFormat="1">
      <alignment vertical="bottom"/>
    </xf>
    <xf borderId="0" fillId="20" fontId="3" numFmtId="0" xfId="0" applyAlignment="1" applyFont="1">
      <alignment vertical="bottom"/>
    </xf>
    <xf borderId="0" fillId="20" fontId="3" numFmtId="167" xfId="0" applyAlignment="1" applyFont="1" applyNumberFormat="1">
      <alignment horizontal="right" vertical="bottom"/>
    </xf>
    <xf borderId="0" fillId="22" fontId="3" numFmtId="0" xfId="0" applyAlignment="1" applyFont="1">
      <alignment vertical="bottom"/>
    </xf>
    <xf borderId="0" fillId="22" fontId="3" numFmtId="167" xfId="0" applyAlignment="1" applyFont="1" applyNumberFormat="1">
      <alignment horizontal="right" vertical="bottom"/>
    </xf>
    <xf borderId="1" fillId="86" fontId="7" numFmtId="0" xfId="0" applyAlignment="1" applyBorder="1" applyFill="1" applyFont="1">
      <alignment vertical="bottom"/>
    </xf>
    <xf borderId="0" fillId="27" fontId="4" numFmtId="1" xfId="0" applyAlignment="1" applyFont="1" applyNumberFormat="1">
      <alignment vertical="bottom"/>
    </xf>
    <xf borderId="0" fillId="86" fontId="3" numFmtId="0" xfId="0" applyAlignment="1" applyFont="1">
      <alignment vertical="bottom"/>
    </xf>
    <xf borderId="0" fillId="0" fontId="4" numFmtId="1" xfId="0" applyAlignment="1" applyFont="1" applyNumberFormat="1">
      <alignment horizontal="right" vertical="bottom"/>
    </xf>
    <xf borderId="0" fillId="87" fontId="3" numFmtId="0" xfId="0" applyAlignment="1" applyFill="1" applyFont="1">
      <alignment vertical="bottom"/>
    </xf>
    <xf borderId="0" fillId="88" fontId="3" numFmtId="2" xfId="0" applyAlignment="1" applyFill="1" applyFont="1" applyNumberFormat="1">
      <alignment horizontal="right" vertical="bottom"/>
    </xf>
    <xf borderId="0" fillId="89" fontId="3" numFmtId="2" xfId="0" applyAlignment="1" applyFill="1" applyFont="1" applyNumberFormat="1">
      <alignment horizontal="right" vertical="bottom"/>
    </xf>
    <xf borderId="0" fillId="90" fontId="3" numFmtId="2" xfId="0" applyAlignment="1" applyFill="1" applyFont="1" applyNumberFormat="1">
      <alignment horizontal="right" vertical="bottom"/>
    </xf>
    <xf borderId="0" fillId="91" fontId="3" numFmtId="2" xfId="0" applyAlignment="1" applyFill="1" applyFont="1" applyNumberFormat="1">
      <alignment horizontal="right" vertical="bottom"/>
    </xf>
    <xf borderId="0" fillId="92" fontId="3" numFmtId="2" xfId="0" applyAlignment="1" applyFill="1" applyFont="1" applyNumberFormat="1">
      <alignment horizontal="right" vertical="bottom"/>
    </xf>
    <xf borderId="0" fillId="24" fontId="3" numFmtId="2" xfId="0" applyAlignment="1" applyFont="1" applyNumberFormat="1">
      <alignment horizontal="right" vertical="bottom"/>
    </xf>
    <xf borderId="0" fillId="93" fontId="3" numFmtId="2" xfId="0" applyAlignment="1" applyFill="1" applyFont="1" applyNumberFormat="1">
      <alignment horizontal="right" vertical="bottom"/>
    </xf>
    <xf borderId="0" fillId="94" fontId="3" numFmtId="2" xfId="0" applyAlignment="1" applyFill="1" applyFont="1" applyNumberFormat="1">
      <alignment horizontal="right" vertical="bottom"/>
    </xf>
    <xf borderId="0" fillId="75" fontId="3" numFmtId="2" xfId="0" applyAlignment="1" applyFont="1" applyNumberFormat="1">
      <alignment horizontal="right" vertical="bottom"/>
    </xf>
    <xf borderId="0" fillId="95" fontId="3" numFmtId="2" xfId="0" applyAlignment="1" applyFill="1" applyFont="1" applyNumberFormat="1">
      <alignment horizontal="right" vertical="bottom"/>
    </xf>
    <xf borderId="0" fillId="96" fontId="3" numFmtId="2" xfId="0" applyAlignment="1" applyFill="1" applyFont="1" applyNumberFormat="1">
      <alignment horizontal="right" vertical="bottom"/>
    </xf>
    <xf borderId="0" fillId="10" fontId="3" numFmtId="2" xfId="0" applyAlignment="1" applyFont="1" applyNumberFormat="1">
      <alignment horizontal="right" vertical="bottom"/>
    </xf>
    <xf borderId="0" fillId="31" fontId="3" numFmtId="2" xfId="0" applyAlignment="1" applyFont="1" applyNumberFormat="1">
      <alignment horizontal="right" vertical="bottom"/>
    </xf>
    <xf borderId="0" fillId="97" fontId="3" numFmtId="2" xfId="0" applyAlignment="1" applyFill="1" applyFont="1" applyNumberFormat="1">
      <alignment horizontal="right" vertical="bottom"/>
    </xf>
    <xf borderId="0" fillId="98" fontId="3" numFmtId="2" xfId="0" applyAlignment="1" applyFill="1" applyFont="1" applyNumberFormat="1">
      <alignment horizontal="right" vertical="bottom"/>
    </xf>
    <xf borderId="0" fillId="99" fontId="3" numFmtId="2" xfId="0" applyAlignment="1" applyFill="1" applyFont="1" applyNumberFormat="1">
      <alignment horizontal="right" vertical="bottom"/>
    </xf>
    <xf borderId="0" fillId="72" fontId="3" numFmtId="2" xfId="0" applyAlignment="1" applyFont="1" applyNumberFormat="1">
      <alignment horizontal="right" vertical="bottom"/>
    </xf>
    <xf borderId="0" fillId="100" fontId="3" numFmtId="2" xfId="0" applyAlignment="1" applyFill="1" applyFont="1" applyNumberFormat="1">
      <alignment horizontal="right" vertical="bottom"/>
    </xf>
    <xf borderId="0" fillId="101" fontId="3" numFmtId="2" xfId="0" applyAlignment="1" applyFill="1" applyFont="1" applyNumberFormat="1">
      <alignment horizontal="right" vertical="bottom"/>
    </xf>
    <xf borderId="0" fillId="36" fontId="3" numFmtId="2" xfId="0" applyAlignment="1" applyFont="1" applyNumberFormat="1">
      <alignment horizontal="right" vertical="bottom"/>
    </xf>
    <xf borderId="0" fillId="102" fontId="3" numFmtId="2" xfId="0" applyAlignment="1" applyFill="1" applyFont="1" applyNumberFormat="1">
      <alignment horizontal="right" vertical="bottom"/>
    </xf>
    <xf borderId="0" fillId="103" fontId="3" numFmtId="2" xfId="0" applyAlignment="1" applyFill="1" applyFont="1" applyNumberFormat="1">
      <alignment horizontal="right" vertical="bottom"/>
    </xf>
    <xf borderId="0" fillId="63" fontId="3" numFmtId="2" xfId="0" applyAlignment="1" applyFont="1" applyNumberFormat="1">
      <alignment horizontal="right" vertical="bottom"/>
    </xf>
    <xf borderId="0" fillId="104" fontId="3" numFmtId="2" xfId="0" applyAlignment="1" applyFill="1" applyFont="1" applyNumberFormat="1">
      <alignment horizontal="right" vertical="bottom"/>
    </xf>
    <xf borderId="0" fillId="105" fontId="3" numFmtId="2" xfId="0" applyAlignment="1" applyFill="1" applyFont="1" applyNumberFormat="1">
      <alignment horizontal="right" vertical="bottom"/>
    </xf>
    <xf borderId="0" fillId="83" fontId="3" numFmtId="2" xfId="0" applyAlignment="1" applyFont="1" applyNumberFormat="1">
      <alignment horizontal="right" vertical="bottom"/>
    </xf>
    <xf borderId="0" fillId="0" fontId="3" numFmtId="2" xfId="0" applyAlignment="1" applyFont="1" applyNumberFormat="1">
      <alignment horizontal="center" vertical="bottom"/>
    </xf>
    <xf borderId="1" fillId="0" fontId="4" numFmtId="1" xfId="0" applyAlignment="1" applyBorder="1" applyFont="1" applyNumberFormat="1">
      <alignment horizontal="right" readingOrder="0" vertical="bottom"/>
    </xf>
    <xf borderId="0" fillId="0" fontId="3" numFmtId="2" xfId="0" applyAlignment="1" applyFont="1" applyNumberFormat="1">
      <alignment horizontal="right" vertical="bottom"/>
    </xf>
    <xf borderId="0" fillId="22" fontId="4" numFmtId="1" xfId="0" applyAlignment="1" applyFont="1" applyNumberFormat="1">
      <alignment horizontal="right" vertical="bottom"/>
    </xf>
    <xf borderId="0" fillId="0" fontId="3" numFmtId="4" xfId="0" applyAlignment="1" applyFont="1" applyNumberFormat="1">
      <alignment horizontal="right" vertical="bottom"/>
    </xf>
    <xf borderId="1" fillId="22" fontId="4" numFmtId="1" xfId="0" applyAlignment="1" applyBorder="1" applyFont="1" applyNumberFormat="1">
      <alignment horizontal="right" vertical="bottom"/>
    </xf>
    <xf borderId="0" fillId="0" fontId="3" numFmtId="4" xfId="0" applyAlignment="1" applyFont="1" applyNumberFormat="1">
      <alignment horizontal="center" vertical="bottom"/>
    </xf>
    <xf borderId="0" fillId="87" fontId="3" numFmtId="0" xfId="0" applyAlignment="1" applyFont="1">
      <alignment readingOrder="0" vertical="bottom"/>
    </xf>
    <xf borderId="0" fillId="106" fontId="3" numFmtId="167" xfId="0" applyAlignment="1" applyFill="1" applyFont="1" applyNumberFormat="1">
      <alignment horizontal="right" vertical="bottom"/>
    </xf>
    <xf borderId="1" fillId="19" fontId="7" numFmtId="0" xfId="0" applyAlignment="1" applyBorder="1" applyFont="1">
      <alignment vertical="bottom"/>
    </xf>
    <xf borderId="0" fillId="19" fontId="7" numFmtId="167" xfId="0" applyAlignment="1" applyFont="1" applyNumberFormat="1">
      <alignment horizontal="right" vertical="bottom"/>
    </xf>
    <xf borderId="1" fillId="107" fontId="4" numFmtId="0" xfId="0" applyAlignment="1" applyBorder="1" applyFill="1" applyFont="1">
      <alignment vertical="bottom"/>
    </xf>
    <xf borderId="0" fillId="9" fontId="3" numFmtId="0" xfId="0" applyAlignment="1" applyFont="1">
      <alignment readingOrder="0" vertical="bottom"/>
    </xf>
    <xf borderId="1" fillId="0" fontId="3" numFmtId="0" xfId="0" applyAlignment="1" applyBorder="1" applyFont="1">
      <alignment readingOrder="0" vertical="bottom"/>
    </xf>
    <xf borderId="1" fillId="0" fontId="4" numFmtId="167" xfId="0" applyAlignment="1" applyBorder="1" applyFont="1" applyNumberFormat="1">
      <alignment horizontal="right" vertical="bottom"/>
    </xf>
    <xf borderId="1" fillId="0" fontId="4" numFmtId="10" xfId="0" applyAlignment="1" applyBorder="1" applyFont="1" applyNumberFormat="1">
      <alignment horizontal="right" vertical="bottom"/>
    </xf>
    <xf borderId="1" fillId="3" fontId="3" numFmtId="167" xfId="0" applyAlignment="1" applyBorder="1" applyFont="1" applyNumberFormat="1">
      <alignment vertical="bottom"/>
    </xf>
    <xf borderId="0" fillId="0" fontId="4" numFmtId="1" xfId="0" applyAlignment="1" applyFont="1" applyNumberFormat="1">
      <alignment readingOrder="0" vertical="bottom"/>
    </xf>
    <xf borderId="0" fillId="0" fontId="4" numFmtId="0" xfId="0" applyAlignment="1" applyFont="1">
      <alignment readingOrder="0" vertical="bottom"/>
    </xf>
    <xf borderId="0" fillId="0" fontId="3" numFmtId="167" xfId="0" applyAlignment="1" applyFont="1" applyNumberFormat="1">
      <alignment horizontal="center" vertical="bottom"/>
    </xf>
    <xf borderId="0" fillId="0" fontId="3" numFmtId="10" xfId="0" applyAlignment="1" applyFont="1" applyNumberFormat="1">
      <alignment vertical="bottom"/>
    </xf>
    <xf borderId="0" fillId="88" fontId="3" numFmtId="10" xfId="0" applyAlignment="1" applyFont="1" applyNumberFormat="1">
      <alignment readingOrder="0" vertical="bottom"/>
    </xf>
    <xf borderId="0" fillId="0" fontId="3" numFmtId="10" xfId="0" applyAlignment="1" applyFont="1" applyNumberFormat="1">
      <alignment readingOrder="0" vertical="bottom"/>
    </xf>
    <xf borderId="0" fillId="10" fontId="3" numFmtId="10" xfId="0" applyAlignment="1" applyFont="1" applyNumberFormat="1">
      <alignment readingOrder="0" vertical="bottom"/>
    </xf>
    <xf borderId="0" fillId="32" fontId="3" numFmtId="10" xfId="0" applyAlignment="1" applyFont="1" applyNumberFormat="1">
      <alignment readingOrder="0" vertical="bottom"/>
    </xf>
    <xf borderId="0" fillId="108" fontId="3" numFmtId="10" xfId="0" applyAlignment="1" applyFill="1" applyFont="1" applyNumberFormat="1">
      <alignment readingOrder="0" vertical="bottom"/>
    </xf>
    <xf borderId="0" fillId="109" fontId="3" numFmtId="10" xfId="0" applyAlignment="1" applyFill="1" applyFont="1" applyNumberFormat="1">
      <alignment readingOrder="0" vertical="bottom"/>
    </xf>
    <xf borderId="0" fillId="24" fontId="3" numFmtId="10" xfId="0" applyAlignment="1" applyFont="1" applyNumberFormat="1">
      <alignment readingOrder="0" vertical="bottom"/>
    </xf>
    <xf borderId="0" fillId="110" fontId="3" numFmtId="10" xfId="0" applyAlignment="1" applyFill="1" applyFont="1" applyNumberFormat="1">
      <alignment readingOrder="0" vertical="bottom"/>
    </xf>
    <xf borderId="0" fillId="111" fontId="3" numFmtId="10" xfId="0" applyAlignment="1" applyFill="1" applyFont="1" applyNumberFormat="1">
      <alignment readingOrder="0" vertical="bottom"/>
    </xf>
    <xf borderId="0" fillId="92" fontId="3" numFmtId="10" xfId="0" applyAlignment="1" applyFont="1" applyNumberFormat="1">
      <alignment readingOrder="0" vertical="bottom"/>
    </xf>
    <xf borderId="0" fillId="112" fontId="3" numFmtId="10" xfId="0" applyAlignment="1" applyFill="1" applyFont="1" applyNumberFormat="1">
      <alignment readingOrder="0" vertical="bottom"/>
    </xf>
    <xf borderId="0" fillId="113" fontId="3" numFmtId="10" xfId="0" applyAlignment="1" applyFill="1" applyFont="1" applyNumberFormat="1">
      <alignment readingOrder="0" vertical="bottom"/>
    </xf>
    <xf borderId="0" fillId="73" fontId="3" numFmtId="10" xfId="0" applyAlignment="1" applyFont="1" applyNumberFormat="1">
      <alignment readingOrder="0" vertical="bottom"/>
    </xf>
    <xf borderId="0" fillId="104" fontId="3" numFmtId="10" xfId="0" applyAlignment="1" applyFont="1" applyNumberFormat="1">
      <alignment readingOrder="0" vertical="bottom"/>
    </xf>
    <xf borderId="0" fillId="114" fontId="3" numFmtId="10" xfId="0" applyAlignment="1" applyFill="1" applyFont="1" applyNumberFormat="1">
      <alignment readingOrder="0" vertical="bottom"/>
    </xf>
    <xf borderId="0" fillId="57" fontId="3" numFmtId="10" xfId="0" applyAlignment="1" applyFont="1" applyNumberFormat="1">
      <alignment readingOrder="0" vertical="bottom"/>
    </xf>
    <xf borderId="0" fillId="115" fontId="3" numFmtId="10" xfId="0" applyAlignment="1" applyFill="1" applyFont="1" applyNumberFormat="1">
      <alignment readingOrder="0" vertical="bottom"/>
    </xf>
    <xf borderId="0" fillId="116" fontId="3" numFmtId="10" xfId="0" applyAlignment="1" applyFill="1" applyFont="1" applyNumberFormat="1">
      <alignment readingOrder="0" vertical="bottom"/>
    </xf>
    <xf borderId="0" fillId="75" fontId="3" numFmtId="10" xfId="0" applyAlignment="1" applyFont="1" applyNumberFormat="1">
      <alignment readingOrder="0" vertical="bottom"/>
    </xf>
    <xf borderId="0" fillId="117" fontId="3" numFmtId="10" xfId="0" applyAlignment="1" applyFill="1" applyFont="1" applyNumberFormat="1">
      <alignment readingOrder="0" vertical="bottom"/>
    </xf>
    <xf borderId="0" fillId="118" fontId="3" numFmtId="10" xfId="0" applyAlignment="1" applyFill="1" applyFont="1" applyNumberFormat="1">
      <alignment readingOrder="0" vertical="bottom"/>
    </xf>
    <xf borderId="0" fillId="83" fontId="3" numFmtId="10" xfId="0" applyAlignment="1" applyFont="1" applyNumberFormat="1">
      <alignment readingOrder="0" vertical="bottom"/>
    </xf>
    <xf borderId="0" fillId="51" fontId="3" numFmtId="10" xfId="0" applyAlignment="1" applyFont="1" applyNumberFormat="1">
      <alignment readingOrder="0" vertical="bottom"/>
    </xf>
    <xf borderId="0" fillId="119" fontId="3" numFmtId="167" xfId="0" applyAlignment="1" applyFill="1" applyFont="1" applyNumberFormat="1">
      <alignment horizontal="right" vertical="bottom"/>
    </xf>
    <xf borderId="0" fillId="46" fontId="3" numFmtId="167" xfId="0" applyAlignment="1" applyFont="1" applyNumberFormat="1">
      <alignment horizontal="right" vertical="bottom"/>
    </xf>
    <xf borderId="0" fillId="100" fontId="3" numFmtId="167" xfId="0" applyAlignment="1" applyFont="1" applyNumberFormat="1">
      <alignment horizontal="right" vertical="bottom"/>
    </xf>
    <xf borderId="0" fillId="120" fontId="3" numFmtId="167" xfId="0" applyAlignment="1" applyFill="1" applyFont="1" applyNumberFormat="1">
      <alignment horizontal="right" vertical="bottom"/>
    </xf>
    <xf borderId="0" fillId="121" fontId="3" numFmtId="167" xfId="0" applyAlignment="1" applyFill="1" applyFont="1" applyNumberFormat="1">
      <alignment horizontal="right" vertical="bottom"/>
    </xf>
    <xf borderId="0" fillId="122" fontId="3" numFmtId="167" xfId="0" applyAlignment="1" applyFill="1" applyFont="1" applyNumberFormat="1">
      <alignment horizontal="right" vertical="bottom"/>
    </xf>
    <xf borderId="0" fillId="48" fontId="3" numFmtId="167" xfId="0" applyAlignment="1" applyFont="1" applyNumberFormat="1">
      <alignment horizontal="right" vertical="bottom"/>
    </xf>
    <xf borderId="0" fillId="123" fontId="3" numFmtId="167" xfId="0" applyAlignment="1" applyFill="1" applyFont="1" applyNumberFormat="1">
      <alignment horizontal="right" vertical="bottom"/>
    </xf>
    <xf borderId="0" fillId="94" fontId="3" numFmtId="167" xfId="0" applyAlignment="1" applyFont="1" applyNumberFormat="1">
      <alignment horizontal="right" vertical="bottom"/>
    </xf>
    <xf borderId="0" fillId="124" fontId="3" numFmtId="167" xfId="0" applyAlignment="1" applyFill="1" applyFont="1" applyNumberFormat="1">
      <alignment horizontal="right" vertical="bottom"/>
    </xf>
    <xf borderId="0" fillId="125" fontId="3" numFmtId="167" xfId="0" applyAlignment="1" applyFill="1" applyFont="1" applyNumberFormat="1">
      <alignment horizontal="right" vertical="bottom"/>
    </xf>
    <xf borderId="0" fillId="126" fontId="3" numFmtId="167" xfId="0" applyAlignment="1" applyFill="1" applyFont="1" applyNumberFormat="1">
      <alignment horizontal="right" vertical="bottom"/>
    </xf>
    <xf borderId="0" fillId="92" fontId="3" numFmtId="167" xfId="0" applyAlignment="1" applyFont="1" applyNumberFormat="1">
      <alignment horizontal="right" vertical="bottom"/>
    </xf>
    <xf borderId="0" fillId="127" fontId="3" numFmtId="167" xfId="0" applyAlignment="1" applyFill="1" applyFont="1" applyNumberFormat="1">
      <alignment horizontal="right" vertical="bottom"/>
    </xf>
    <xf borderId="0" fillId="72" fontId="3" numFmtId="167" xfId="0" applyAlignment="1" applyFont="1" applyNumberFormat="1">
      <alignment horizontal="right" vertical="bottom"/>
    </xf>
    <xf borderId="0" fillId="128" fontId="3" numFmtId="167" xfId="0" applyAlignment="1" applyFill="1" applyFont="1" applyNumberFormat="1">
      <alignment horizontal="right" vertical="bottom"/>
    </xf>
    <xf borderId="0" fillId="129" fontId="3" numFmtId="167" xfId="0" applyAlignment="1" applyFill="1" applyFont="1" applyNumberFormat="1">
      <alignment horizontal="right" vertical="bottom"/>
    </xf>
    <xf borderId="0" fillId="24" fontId="3" numFmtId="167" xfId="0" applyAlignment="1" applyFont="1" applyNumberFormat="1">
      <alignment horizontal="right" vertical="bottom"/>
    </xf>
    <xf borderId="0" fillId="130" fontId="3" numFmtId="167" xfId="0" applyAlignment="1" applyFill="1" applyFont="1" applyNumberFormat="1">
      <alignment horizontal="right" vertical="bottom"/>
    </xf>
    <xf borderId="0" fillId="131" fontId="3" numFmtId="167" xfId="0" applyAlignment="1" applyFill="1" applyFont="1" applyNumberFormat="1">
      <alignment horizontal="right" vertical="bottom"/>
    </xf>
    <xf borderId="0" fillId="10" fontId="3" numFmtId="167" xfId="0" applyAlignment="1" applyFont="1" applyNumberFormat="1">
      <alignment horizontal="right" vertical="bottom"/>
    </xf>
    <xf borderId="0" fillId="70" fontId="3" numFmtId="167" xfId="0" applyAlignment="1" applyFont="1" applyNumberFormat="1">
      <alignment horizontal="right" vertical="bottom"/>
    </xf>
    <xf borderId="0" fillId="132" fontId="3" numFmtId="167" xfId="0" applyAlignment="1" applyFill="1" applyFont="1" applyNumberFormat="1">
      <alignment horizontal="right" vertical="bottom"/>
    </xf>
    <xf borderId="0" fillId="102" fontId="3" numFmtId="167" xfId="0" applyAlignment="1" applyFont="1" applyNumberFormat="1">
      <alignment horizontal="right" vertical="bottom"/>
    </xf>
    <xf borderId="0" fillId="133" fontId="3" numFmtId="167" xfId="0" applyAlignment="1" applyFill="1" applyFont="1" applyNumberFormat="1">
      <alignment horizontal="right" vertical="bottom"/>
    </xf>
    <xf borderId="0" fillId="10" fontId="3" numFmtId="167" xfId="0" applyAlignment="1" applyFont="1" applyNumberFormat="1">
      <alignment readingOrder="0" vertical="bottom"/>
    </xf>
    <xf borderId="1" fillId="0" fontId="4" numFmtId="167" xfId="0" applyAlignment="1" applyBorder="1" applyFont="1" applyNumberFormat="1">
      <alignment horizontal="right" readingOrder="0" vertical="bottom"/>
    </xf>
    <xf borderId="0" fillId="102" fontId="3" numFmtId="10" xfId="0" applyAlignment="1" applyFont="1" applyNumberFormat="1">
      <alignment readingOrder="0" vertical="bottom"/>
    </xf>
    <xf borderId="0" fillId="98" fontId="3" numFmtId="10" xfId="0" applyAlignment="1" applyFont="1" applyNumberFormat="1">
      <alignment readingOrder="0" vertical="bottom"/>
    </xf>
    <xf borderId="0" fillId="35" fontId="3" numFmtId="10" xfId="0" applyAlignment="1" applyFont="1" applyNumberFormat="1">
      <alignment readingOrder="0" vertical="bottom"/>
    </xf>
    <xf borderId="0" fillId="52" fontId="3" numFmtId="10" xfId="0" applyAlignment="1" applyFont="1" applyNumberFormat="1">
      <alignment readingOrder="0" vertical="bottom"/>
    </xf>
    <xf borderId="0" fillId="97" fontId="3" numFmtId="10" xfId="0" applyAlignment="1" applyFont="1" applyNumberFormat="1">
      <alignment readingOrder="0" vertical="bottom"/>
    </xf>
    <xf borderId="0" fillId="134" fontId="3" numFmtId="10" xfId="0" applyAlignment="1" applyFill="1" applyFont="1" applyNumberFormat="1">
      <alignment readingOrder="0" vertical="bottom"/>
    </xf>
    <xf borderId="0" fillId="135" fontId="3" numFmtId="10" xfId="0" applyAlignment="1" applyFill="1" applyFont="1" applyNumberFormat="1">
      <alignment readingOrder="0" vertical="bottom"/>
    </xf>
    <xf borderId="0" fillId="41" fontId="3" numFmtId="10" xfId="0" applyAlignment="1" applyFont="1" applyNumberFormat="1">
      <alignment readingOrder="0" vertical="bottom"/>
    </xf>
    <xf borderId="0" fillId="136" fontId="3" numFmtId="10" xfId="0" applyAlignment="1" applyFill="1" applyFont="1" applyNumberFormat="1">
      <alignment readingOrder="0" vertical="bottom"/>
    </xf>
    <xf borderId="0" fillId="137" fontId="3" numFmtId="10" xfId="0" applyAlignment="1" applyFill="1" applyFont="1" applyNumberFormat="1">
      <alignment readingOrder="0" vertical="bottom"/>
    </xf>
    <xf borderId="0" fillId="138" fontId="3" numFmtId="10" xfId="0" applyAlignment="1" applyFill="1" applyFont="1" applyNumberFormat="1">
      <alignment readingOrder="0" vertical="bottom"/>
    </xf>
    <xf borderId="0" fillId="95" fontId="3" numFmtId="10" xfId="0" applyAlignment="1" applyFont="1" applyNumberFormat="1">
      <alignment readingOrder="0" vertical="bottom"/>
    </xf>
    <xf borderId="0" fillId="139" fontId="3" numFmtId="10" xfId="0" applyAlignment="1" applyFill="1" applyFont="1" applyNumberFormat="1">
      <alignment readingOrder="0" vertical="bottom"/>
    </xf>
    <xf borderId="0" fillId="140" fontId="3" numFmtId="10" xfId="0" applyAlignment="1" applyFill="1" applyFont="1" applyNumberFormat="1">
      <alignment readingOrder="0" vertical="bottom"/>
    </xf>
    <xf borderId="0" fillId="141" fontId="3" numFmtId="10" xfId="0" applyAlignment="1" applyFill="1" applyFont="1" applyNumberFormat="1">
      <alignment readingOrder="0" vertical="bottom"/>
    </xf>
    <xf borderId="0" fillId="142" fontId="3" numFmtId="10" xfId="0" applyAlignment="1" applyFill="1" applyFont="1" applyNumberFormat="1">
      <alignment readingOrder="0" vertical="bottom"/>
    </xf>
    <xf borderId="0" fillId="125" fontId="3" numFmtId="10" xfId="0" applyAlignment="1" applyFont="1" applyNumberFormat="1">
      <alignment readingOrder="0" vertical="bottom"/>
    </xf>
    <xf borderId="0" fillId="143" fontId="3" numFmtId="10" xfId="0" applyAlignment="1" applyFill="1" applyFont="1" applyNumberFormat="1">
      <alignment readingOrder="0" vertical="bottom"/>
    </xf>
    <xf borderId="0" fillId="91" fontId="3" numFmtId="10" xfId="0" applyAlignment="1" applyFont="1" applyNumberFormat="1">
      <alignment readingOrder="0" vertical="bottom"/>
    </xf>
    <xf borderId="0" fillId="144" fontId="3" numFmtId="10" xfId="0" applyAlignment="1" applyFill="1" applyFont="1" applyNumberFormat="1">
      <alignment readingOrder="0" vertical="bottom"/>
    </xf>
    <xf borderId="0" fillId="47" fontId="3" numFmtId="10" xfId="0" applyAlignment="1" applyFont="1" applyNumberFormat="1">
      <alignment readingOrder="0" vertical="bottom"/>
    </xf>
    <xf borderId="0" fillId="80" fontId="3" numFmtId="10" xfId="0" applyAlignment="1" applyFont="1" applyNumberFormat="1">
      <alignment readingOrder="0" vertical="bottom"/>
    </xf>
    <xf borderId="0" fillId="0" fontId="3" numFmtId="10" xfId="0" applyAlignment="1" applyFont="1" applyNumberFormat="1">
      <alignment horizontal="right" vertical="bottom"/>
    </xf>
    <xf borderId="0" fillId="3" fontId="3" numFmtId="173" xfId="0" applyAlignment="1" applyFont="1" applyNumberFormat="1">
      <alignment horizontal="right" readingOrder="0" vertical="bottom"/>
    </xf>
    <xf borderId="0" fillId="3" fontId="3" numFmtId="0" xfId="0" applyAlignment="1" applyFont="1">
      <alignment horizontal="right" vertical="bottom"/>
    </xf>
    <xf borderId="1" fillId="22" fontId="4" numFmtId="1" xfId="0" applyAlignment="1" applyBorder="1" applyFont="1" applyNumberFormat="1">
      <alignment vertical="bottom"/>
    </xf>
    <xf borderId="0" fillId="22" fontId="4" numFmtId="167" xfId="0" applyAlignment="1" applyFont="1" applyNumberFormat="1">
      <alignment horizontal="right" vertical="bottom"/>
    </xf>
    <xf borderId="0" fillId="0" fontId="14" numFmtId="174" xfId="0" applyAlignment="1" applyFont="1" applyNumberFormat="1">
      <alignment horizontal="right" vertical="bottom"/>
    </xf>
    <xf borderId="0" fillId="0" fontId="14" numFmtId="10" xfId="0" applyAlignment="1" applyFont="1" applyNumberFormat="1">
      <alignment horizontal="right" vertical="bottom"/>
    </xf>
    <xf borderId="1" fillId="22" fontId="4" numFmtId="167" xfId="0" applyAlignment="1" applyBorder="1" applyFont="1" applyNumberFormat="1">
      <alignment horizontal="right" vertical="bottom"/>
    </xf>
    <xf borderId="0" fillId="0" fontId="4" numFmtId="3" xfId="0" applyAlignment="1" applyFont="1" applyNumberFormat="1">
      <alignment horizontal="right" vertical="bottom"/>
    </xf>
    <xf borderId="0" fillId="0" fontId="14" numFmtId="2" xfId="0" applyAlignment="1" applyFont="1" applyNumberFormat="1">
      <alignment horizontal="right" vertical="bottom"/>
    </xf>
    <xf borderId="0" fillId="0" fontId="3" numFmtId="3" xfId="0" applyAlignment="1" applyFont="1" applyNumberFormat="1">
      <alignment horizontal="right" vertical="bottom"/>
    </xf>
    <xf borderId="0" fillId="10" fontId="3" numFmtId="3" xfId="0" applyAlignment="1" applyFont="1" applyNumberFormat="1">
      <alignment horizontal="right" vertical="bottom"/>
    </xf>
    <xf borderId="0" fillId="0" fontId="14" numFmtId="3" xfId="0" applyAlignment="1" applyFont="1" applyNumberFormat="1">
      <alignment horizontal="right" vertical="bottom"/>
    </xf>
    <xf borderId="0" fillId="0" fontId="9" numFmtId="0" xfId="0" applyAlignment="1" applyFont="1">
      <alignment vertical="bottom"/>
    </xf>
    <xf borderId="0" fillId="0" fontId="3" numFmtId="167" xfId="0" applyAlignment="1" applyFont="1" applyNumberFormat="1">
      <alignment vertical="bottom"/>
    </xf>
    <xf borderId="1" fillId="0" fontId="3" numFmtId="1" xfId="0" applyAlignment="1" applyBorder="1" applyFont="1" applyNumberFormat="1">
      <alignment vertical="bottom"/>
    </xf>
    <xf borderId="0" fillId="22" fontId="3" numFmtId="1" xfId="0" applyAlignment="1" applyFont="1" applyNumberFormat="1">
      <alignment vertical="bottom"/>
    </xf>
    <xf borderId="1" fillId="22" fontId="3" numFmtId="1" xfId="0" applyAlignment="1" applyBorder="1" applyFont="1" applyNumberFormat="1">
      <alignment vertical="bottom"/>
    </xf>
    <xf borderId="0" fillId="22" fontId="4" numFmtId="1" xfId="0" applyAlignment="1" applyFont="1" applyNumberFormat="1">
      <alignment horizontal="right" readingOrder="0" vertical="bottom"/>
    </xf>
    <xf borderId="1" fillId="22" fontId="4" numFmtId="1" xfId="0" applyAlignment="1" applyBorder="1" applyFont="1" applyNumberFormat="1">
      <alignment horizontal="right" readingOrder="0" vertical="bottom"/>
    </xf>
    <xf borderId="0" fillId="26" fontId="3" numFmtId="1" xfId="0" applyAlignment="1" applyFont="1" applyNumberFormat="1">
      <alignment vertical="bottom"/>
    </xf>
    <xf borderId="0" fillId="145" fontId="4" numFmtId="169" xfId="0" applyAlignment="1" applyFill="1" applyFont="1" applyNumberFormat="1">
      <alignment horizontal="right" vertical="bottom"/>
    </xf>
    <xf borderId="0" fillId="146" fontId="4" numFmtId="169" xfId="0" applyAlignment="1" applyFill="1" applyFont="1" applyNumberFormat="1">
      <alignment horizontal="right" vertical="bottom"/>
    </xf>
    <xf borderId="0" fillId="147" fontId="4" numFmtId="169" xfId="0" applyAlignment="1" applyFill="1" applyFont="1" applyNumberFormat="1">
      <alignment horizontal="right" vertical="bottom"/>
    </xf>
    <xf borderId="0" fillId="148" fontId="4" numFmtId="169" xfId="0" applyAlignment="1" applyFill="1" applyFont="1" applyNumberFormat="1">
      <alignment horizontal="right" vertical="bottom"/>
    </xf>
    <xf borderId="0" fillId="149" fontId="4" numFmtId="169" xfId="0" applyAlignment="1" applyFill="1" applyFont="1" applyNumberFormat="1">
      <alignment horizontal="right" vertical="bottom"/>
    </xf>
    <xf borderId="0" fillId="150" fontId="4" numFmtId="169" xfId="0" applyAlignment="1" applyFill="1" applyFont="1" applyNumberFormat="1">
      <alignment horizontal="right" vertical="bottom"/>
    </xf>
    <xf borderId="0" fillId="151" fontId="4" numFmtId="169" xfId="0" applyAlignment="1" applyFill="1" applyFont="1" applyNumberFormat="1">
      <alignment horizontal="right" vertical="bottom"/>
    </xf>
    <xf borderId="0" fillId="152" fontId="4" numFmtId="169" xfId="0" applyAlignment="1" applyFill="1" applyFont="1" applyNumberFormat="1">
      <alignment horizontal="right" vertical="bottom"/>
    </xf>
    <xf borderId="0" fillId="153" fontId="4" numFmtId="169" xfId="0" applyAlignment="1" applyFill="1" applyFont="1" applyNumberFormat="1">
      <alignment horizontal="right" vertical="bottom"/>
    </xf>
    <xf borderId="0" fillId="154" fontId="4" numFmtId="169" xfId="0" applyAlignment="1" applyFill="1" applyFont="1" applyNumberFormat="1">
      <alignment horizontal="right" vertical="bottom"/>
    </xf>
    <xf borderId="0" fillId="155" fontId="4" numFmtId="169" xfId="0" applyAlignment="1" applyFill="1" applyFont="1" applyNumberFormat="1">
      <alignment horizontal="right" vertical="bottom"/>
    </xf>
    <xf borderId="0" fillId="156" fontId="4" numFmtId="169" xfId="0" applyAlignment="1" applyFill="1" applyFont="1" applyNumberFormat="1">
      <alignment horizontal="right" vertical="bottom"/>
    </xf>
    <xf borderId="0" fillId="157" fontId="4" numFmtId="169" xfId="0" applyAlignment="1" applyFill="1" applyFont="1" applyNumberFormat="1">
      <alignment horizontal="right" vertical="bottom"/>
    </xf>
    <xf borderId="0" fillId="158" fontId="4" numFmtId="169" xfId="0" applyAlignment="1" applyFill="1" applyFont="1" applyNumberFormat="1">
      <alignment horizontal="right" vertical="bottom"/>
    </xf>
    <xf borderId="0" fillId="159" fontId="4" numFmtId="169" xfId="0" applyAlignment="1" applyFill="1" applyFont="1" applyNumberFormat="1">
      <alignment horizontal="right" vertical="bottom"/>
    </xf>
    <xf borderId="0" fillId="160" fontId="4" numFmtId="169" xfId="0" applyAlignment="1" applyFill="1" applyFont="1" applyNumberFormat="1">
      <alignment horizontal="right" vertical="bottom"/>
    </xf>
    <xf borderId="0" fillId="161" fontId="4" numFmtId="169" xfId="0" applyAlignment="1" applyFill="1" applyFont="1" applyNumberFormat="1">
      <alignment horizontal="right" vertical="bottom"/>
    </xf>
    <xf borderId="0" fillId="162" fontId="4" numFmtId="169" xfId="0" applyAlignment="1" applyFill="1" applyFont="1" applyNumberFormat="1">
      <alignment horizontal="right" vertical="bottom"/>
    </xf>
    <xf borderId="0" fillId="163" fontId="4" numFmtId="169" xfId="0" applyAlignment="1" applyFill="1" applyFont="1" applyNumberFormat="1">
      <alignment horizontal="right" vertical="bottom"/>
    </xf>
    <xf borderId="0" fillId="164" fontId="4" numFmtId="169" xfId="0" applyAlignment="1" applyFill="1" applyFont="1" applyNumberFormat="1">
      <alignment horizontal="right" vertical="bottom"/>
    </xf>
    <xf borderId="0" fillId="165" fontId="4" numFmtId="169" xfId="0" applyAlignment="1" applyFill="1" applyFont="1" applyNumberFormat="1">
      <alignment horizontal="right" vertical="bottom"/>
    </xf>
    <xf borderId="0" fillId="166" fontId="4" numFmtId="169" xfId="0" applyAlignment="1" applyFill="1" applyFont="1" applyNumberFormat="1">
      <alignment horizontal="right" vertical="bottom"/>
    </xf>
    <xf borderId="0" fillId="167" fontId="4" numFmtId="169" xfId="0" applyAlignment="1" applyFill="1" applyFont="1" applyNumberFormat="1">
      <alignment horizontal="right" vertical="bottom"/>
    </xf>
    <xf borderId="0" fillId="168" fontId="4" numFmtId="169" xfId="0" applyAlignment="1" applyFill="1" applyFont="1" applyNumberFormat="1">
      <alignment horizontal="right" vertical="bottom"/>
    </xf>
    <xf borderId="1" fillId="169" fontId="4" numFmtId="169" xfId="0" applyAlignment="1" applyBorder="1" applyFill="1" applyFont="1" applyNumberFormat="1">
      <alignment horizontal="right" vertical="bottom"/>
    </xf>
    <xf borderId="1" fillId="170" fontId="7" numFmtId="0" xfId="0" applyAlignment="1" applyBorder="1" applyFill="1" applyFont="1">
      <alignment vertical="bottom"/>
    </xf>
    <xf borderId="1" fillId="27" fontId="15" numFmtId="0" xfId="0" applyAlignment="1" applyBorder="1" applyFont="1">
      <alignment vertical="bottom"/>
    </xf>
    <xf borderId="0" fillId="27" fontId="7" numFmtId="1" xfId="0" applyAlignment="1" applyFont="1" applyNumberFormat="1">
      <alignment horizontal="right" vertical="bottom"/>
    </xf>
    <xf borderId="0" fillId="0" fontId="4" numFmtId="175" xfId="0" applyAlignment="1" applyFont="1" applyNumberFormat="1">
      <alignment horizontal="right" vertical="bottom"/>
    </xf>
    <xf borderId="1" fillId="0" fontId="4" numFmtId="175" xfId="0" applyAlignment="1" applyBorder="1" applyFont="1" applyNumberFormat="1">
      <alignment horizontal="right" vertical="bottom"/>
    </xf>
    <xf borderId="1" fillId="171" fontId="4" numFmtId="0" xfId="0" applyAlignment="1" applyBorder="1" applyFill="1" applyFont="1">
      <alignment vertical="bottom"/>
    </xf>
    <xf borderId="2" fillId="4" fontId="3" numFmtId="167" xfId="0" applyAlignment="1" applyBorder="1" applyFont="1" applyNumberFormat="1">
      <alignment vertical="bottom"/>
    </xf>
    <xf borderId="0" fillId="27" fontId="7" numFmtId="167" xfId="0" applyAlignment="1" applyFont="1" applyNumberFormat="1">
      <alignment horizontal="right" vertical="bottom"/>
    </xf>
    <xf borderId="1" fillId="172" fontId="4" numFmtId="0" xfId="0" applyAlignment="1" applyBorder="1" applyFill="1" applyFont="1">
      <alignment vertical="bottom"/>
    </xf>
    <xf borderId="0" fillId="0" fontId="3" numFmtId="169" xfId="0" applyAlignment="1" applyFont="1" applyNumberFormat="1">
      <alignment vertical="bottom"/>
    </xf>
    <xf borderId="1" fillId="0" fontId="3" numFmtId="169" xfId="0" applyAlignment="1" applyBorder="1" applyFont="1" applyNumberFormat="1">
      <alignment vertical="bottom"/>
    </xf>
    <xf borderId="0" fillId="173" fontId="4" numFmtId="169" xfId="0" applyAlignment="1" applyFill="1" applyFont="1" applyNumberFormat="1">
      <alignment horizontal="right" vertical="bottom"/>
    </xf>
    <xf borderId="0" fillId="174" fontId="4" numFmtId="169" xfId="0" applyAlignment="1" applyFill="1" applyFont="1" applyNumberFormat="1">
      <alignment horizontal="right" vertical="bottom"/>
    </xf>
    <xf borderId="0" fillId="175" fontId="4" numFmtId="169" xfId="0" applyAlignment="1" applyFill="1" applyFont="1" applyNumberFormat="1">
      <alignment horizontal="right" vertical="bottom"/>
    </xf>
    <xf borderId="0" fillId="176" fontId="4" numFmtId="169" xfId="0" applyAlignment="1" applyFill="1" applyFont="1" applyNumberFormat="1">
      <alignment horizontal="right" vertical="bottom"/>
    </xf>
    <xf borderId="0" fillId="177" fontId="4" numFmtId="169" xfId="0" applyAlignment="1" applyFill="1" applyFont="1" applyNumberFormat="1">
      <alignment horizontal="right" vertical="bottom"/>
    </xf>
    <xf borderId="0" fillId="178" fontId="4" numFmtId="169" xfId="0" applyAlignment="1" applyFill="1" applyFont="1" applyNumberFormat="1">
      <alignment horizontal="right" vertical="bottom"/>
    </xf>
    <xf borderId="0" fillId="179" fontId="4" numFmtId="169" xfId="0" applyAlignment="1" applyFill="1" applyFont="1" applyNumberFormat="1">
      <alignment horizontal="right" vertical="bottom"/>
    </xf>
    <xf borderId="0" fillId="180" fontId="4" numFmtId="169" xfId="0" applyAlignment="1" applyFill="1" applyFont="1" applyNumberFormat="1">
      <alignment horizontal="right" vertical="bottom"/>
    </xf>
    <xf borderId="0" fillId="181" fontId="4" numFmtId="169" xfId="0" applyAlignment="1" applyFill="1" applyFont="1" applyNumberFormat="1">
      <alignment horizontal="right" vertical="bottom"/>
    </xf>
    <xf borderId="0" fillId="182" fontId="4" numFmtId="169" xfId="0" applyAlignment="1" applyFill="1" applyFont="1" applyNumberFormat="1">
      <alignment horizontal="right" vertical="bottom"/>
    </xf>
    <xf borderId="0" fillId="183" fontId="4" numFmtId="169" xfId="0" applyAlignment="1" applyFill="1" applyFont="1" applyNumberFormat="1">
      <alignment horizontal="right" vertical="bottom"/>
    </xf>
    <xf borderId="0" fillId="184" fontId="4" numFmtId="169" xfId="0" applyAlignment="1" applyFill="1" applyFont="1" applyNumberFormat="1">
      <alignment horizontal="right" vertical="bottom"/>
    </xf>
    <xf borderId="0" fillId="185" fontId="4" numFmtId="169" xfId="0" applyAlignment="1" applyFill="1" applyFont="1" applyNumberFormat="1">
      <alignment horizontal="right" vertical="bottom"/>
    </xf>
    <xf borderId="0" fillId="186" fontId="4" numFmtId="169" xfId="0" applyAlignment="1" applyFill="1" applyFont="1" applyNumberFormat="1">
      <alignment horizontal="right" vertical="bottom"/>
    </xf>
    <xf borderId="0" fillId="187" fontId="4" numFmtId="169" xfId="0" applyAlignment="1" applyFill="1" applyFont="1" applyNumberFormat="1">
      <alignment horizontal="right" vertical="bottom"/>
    </xf>
    <xf borderId="0" fillId="188" fontId="4" numFmtId="169" xfId="0" applyAlignment="1" applyFill="1" applyFont="1" applyNumberFormat="1">
      <alignment horizontal="right" vertical="bottom"/>
    </xf>
    <xf borderId="0" fillId="189" fontId="4" numFmtId="169" xfId="0" applyAlignment="1" applyFill="1" applyFont="1" applyNumberFormat="1">
      <alignment horizontal="right" vertical="bottom"/>
    </xf>
    <xf borderId="0" fillId="190" fontId="4" numFmtId="169" xfId="0" applyAlignment="1" applyFill="1" applyFont="1" applyNumberFormat="1">
      <alignment horizontal="right" vertical="bottom"/>
    </xf>
    <xf borderId="0" fillId="191" fontId="4" numFmtId="169" xfId="0" applyAlignment="1" applyFill="1" applyFont="1" applyNumberFormat="1">
      <alignment horizontal="right" vertical="bottom"/>
    </xf>
    <xf borderId="0" fillId="192" fontId="4" numFmtId="169" xfId="0" applyAlignment="1" applyFill="1" applyFont="1" applyNumberFormat="1">
      <alignment horizontal="right" vertical="bottom"/>
    </xf>
    <xf borderId="0" fillId="193" fontId="4" numFmtId="169" xfId="0" applyAlignment="1" applyFill="1" applyFont="1" applyNumberFormat="1">
      <alignment horizontal="right" vertical="bottom"/>
    </xf>
    <xf borderId="0" fillId="194" fontId="4" numFmtId="169" xfId="0" applyAlignment="1" applyFill="1" applyFont="1" applyNumberFormat="1">
      <alignment horizontal="right" vertical="bottom"/>
    </xf>
    <xf borderId="0" fillId="195" fontId="4" numFmtId="169" xfId="0" applyAlignment="1" applyFill="1" applyFont="1" applyNumberFormat="1">
      <alignment horizontal="right" vertical="bottom"/>
    </xf>
    <xf borderId="1" fillId="196" fontId="4" numFmtId="169" xfId="0" applyAlignment="1" applyBorder="1" applyFill="1" applyFont="1" applyNumberFormat="1">
      <alignment horizontal="right" vertical="bottom"/>
    </xf>
    <xf borderId="0" fillId="0" fontId="4" numFmtId="174" xfId="0" applyAlignment="1" applyFont="1" applyNumberFormat="1">
      <alignment horizontal="right" readingOrder="0" vertical="bottom"/>
    </xf>
    <xf borderId="0" fillId="97" fontId="4" numFmtId="169" xfId="0" applyAlignment="1" applyFont="1" applyNumberFormat="1">
      <alignment horizontal="right" vertical="bottom"/>
    </xf>
    <xf borderId="0" fillId="69" fontId="4" numFmtId="169" xfId="0" applyAlignment="1" applyFont="1" applyNumberFormat="1">
      <alignment horizontal="right" vertical="bottom"/>
    </xf>
    <xf borderId="0" fillId="197" fontId="4" numFmtId="169" xfId="0" applyAlignment="1" applyFill="1" applyFont="1" applyNumberFormat="1">
      <alignment horizontal="right" vertical="bottom"/>
    </xf>
    <xf borderId="0" fillId="198" fontId="4" numFmtId="169" xfId="0" applyAlignment="1" applyFill="1" applyFont="1" applyNumberFormat="1">
      <alignment horizontal="right" vertical="bottom"/>
    </xf>
    <xf borderId="0" fillId="141" fontId="4" numFmtId="169" xfId="0" applyAlignment="1" applyFont="1" applyNumberFormat="1">
      <alignment horizontal="right" vertical="bottom"/>
    </xf>
    <xf borderId="0" fillId="199" fontId="4" numFmtId="169" xfId="0" applyAlignment="1" applyFill="1" applyFont="1" applyNumberFormat="1">
      <alignment horizontal="right" vertical="bottom"/>
    </xf>
    <xf borderId="0" fillId="200" fontId="4" numFmtId="169" xfId="0" applyAlignment="1" applyFill="1" applyFont="1" applyNumberFormat="1">
      <alignment horizontal="right" vertical="bottom"/>
    </xf>
    <xf borderId="0" fillId="201" fontId="4" numFmtId="169" xfId="0" applyAlignment="1" applyFill="1" applyFont="1" applyNumberFormat="1">
      <alignment horizontal="right" vertical="bottom"/>
    </xf>
    <xf borderId="0" fillId="202" fontId="4" numFmtId="169" xfId="0" applyAlignment="1" applyFill="1" applyFont="1" applyNumberFormat="1">
      <alignment horizontal="right" vertical="bottom"/>
    </xf>
    <xf borderId="0" fillId="96" fontId="4" numFmtId="169" xfId="0" applyAlignment="1" applyFont="1" applyNumberFormat="1">
      <alignment horizontal="right" vertical="bottom"/>
    </xf>
    <xf borderId="0" fillId="203" fontId="4" numFmtId="169" xfId="0" applyAlignment="1" applyFill="1" applyFont="1" applyNumberFormat="1">
      <alignment horizontal="right" vertical="bottom"/>
    </xf>
    <xf borderId="0" fillId="204" fontId="4" numFmtId="169" xfId="0" applyAlignment="1" applyFill="1" applyFont="1" applyNumberFormat="1">
      <alignment horizontal="right" vertical="bottom"/>
    </xf>
    <xf borderId="0" fillId="205" fontId="4" numFmtId="169" xfId="0" applyAlignment="1" applyFill="1" applyFont="1" applyNumberFormat="1">
      <alignment horizontal="right" vertical="bottom"/>
    </xf>
    <xf borderId="0" fillId="206" fontId="4" numFmtId="169" xfId="0" applyAlignment="1" applyFill="1" applyFont="1" applyNumberFormat="1">
      <alignment horizontal="right" vertical="bottom"/>
    </xf>
    <xf borderId="0" fillId="207" fontId="4" numFmtId="169" xfId="0" applyAlignment="1" applyFill="1" applyFont="1" applyNumberFormat="1">
      <alignment horizontal="right" vertical="bottom"/>
    </xf>
    <xf borderId="0" fillId="125" fontId="4" numFmtId="169" xfId="0" applyAlignment="1" applyFont="1" applyNumberFormat="1">
      <alignment horizontal="right" vertical="bottom"/>
    </xf>
    <xf borderId="0" fillId="208" fontId="4" numFmtId="169" xfId="0" applyAlignment="1" applyFill="1" applyFont="1" applyNumberFormat="1">
      <alignment horizontal="right" vertical="bottom"/>
    </xf>
    <xf borderId="0" fillId="209" fontId="4" numFmtId="169" xfId="0" applyAlignment="1" applyFill="1" applyFont="1" applyNumberFormat="1">
      <alignment horizontal="right" vertical="bottom"/>
    </xf>
    <xf borderId="0" fillId="210" fontId="4" numFmtId="169" xfId="0" applyAlignment="1" applyFill="1" applyFont="1" applyNumberFormat="1">
      <alignment horizontal="right" vertical="bottom"/>
    </xf>
    <xf borderId="0" fillId="211" fontId="4" numFmtId="169" xfId="0" applyAlignment="1" applyFill="1" applyFont="1" applyNumberFormat="1">
      <alignment horizontal="right" vertical="bottom"/>
    </xf>
    <xf borderId="0" fillId="212" fontId="4" numFmtId="169" xfId="0" applyAlignment="1" applyFill="1" applyFont="1" applyNumberFormat="1">
      <alignment horizontal="right" vertical="bottom"/>
    </xf>
    <xf borderId="0" fillId="213" fontId="4" numFmtId="169" xfId="0" applyAlignment="1" applyFill="1" applyFont="1" applyNumberFormat="1">
      <alignment horizontal="right" vertical="bottom"/>
    </xf>
    <xf borderId="0" fillId="214" fontId="4" numFmtId="169" xfId="0" applyAlignment="1" applyFill="1" applyFont="1" applyNumberFormat="1">
      <alignment horizontal="right" vertical="bottom"/>
    </xf>
    <xf borderId="0" fillId="215" fontId="4" numFmtId="169" xfId="0" applyAlignment="1" applyFill="1" applyFont="1" applyNumberFormat="1">
      <alignment horizontal="right" vertical="bottom"/>
    </xf>
    <xf borderId="0" fillId="216" fontId="4" numFmtId="169" xfId="0" applyAlignment="1" applyFill="1" applyFont="1" applyNumberFormat="1">
      <alignment horizontal="right" vertical="bottom"/>
    </xf>
    <xf borderId="0" fillId="24" fontId="4" numFmtId="169" xfId="0" applyAlignment="1" applyFont="1" applyNumberFormat="1">
      <alignment horizontal="right" vertical="bottom"/>
    </xf>
    <xf borderId="1" fillId="124" fontId="4" numFmtId="169" xfId="0" applyAlignment="1" applyBorder="1" applyFont="1" applyNumberFormat="1">
      <alignment horizontal="right" vertical="bottom"/>
    </xf>
    <xf borderId="1" fillId="0" fontId="3" numFmtId="10" xfId="0" applyAlignment="1" applyBorder="1" applyFont="1" applyNumberFormat="1">
      <alignment vertical="bottom"/>
    </xf>
    <xf borderId="0" fillId="46" fontId="4" numFmtId="10" xfId="0" applyAlignment="1" applyFont="1" applyNumberFormat="1">
      <alignment horizontal="right" vertical="bottom"/>
    </xf>
    <xf borderId="0" fillId="217" fontId="4" numFmtId="10" xfId="0" applyAlignment="1" applyFill="1" applyFont="1" applyNumberFormat="1">
      <alignment horizontal="right" vertical="bottom"/>
    </xf>
    <xf borderId="0" fillId="94" fontId="4" numFmtId="10" xfId="0" applyAlignment="1" applyFont="1" applyNumberFormat="1">
      <alignment horizontal="right" vertical="bottom"/>
    </xf>
    <xf borderId="0" fillId="215" fontId="4" numFmtId="10" xfId="0" applyAlignment="1" applyFont="1" applyNumberFormat="1">
      <alignment horizontal="right" vertical="bottom"/>
    </xf>
    <xf borderId="0" fillId="218" fontId="4" numFmtId="10" xfId="0" applyAlignment="1" applyFill="1" applyFont="1" applyNumberFormat="1">
      <alignment horizontal="right" vertical="bottom"/>
    </xf>
    <xf borderId="0" fillId="219" fontId="4" numFmtId="10" xfId="0" applyAlignment="1" applyFill="1" applyFont="1" applyNumberFormat="1">
      <alignment horizontal="right" vertical="bottom"/>
    </xf>
    <xf borderId="0" fillId="220" fontId="4" numFmtId="10" xfId="0" applyAlignment="1" applyFill="1" applyFont="1" applyNumberFormat="1">
      <alignment horizontal="right" vertical="bottom"/>
    </xf>
    <xf borderId="0" fillId="24" fontId="4" numFmtId="10" xfId="0" applyAlignment="1" applyFont="1" applyNumberFormat="1">
      <alignment horizontal="right" vertical="bottom"/>
    </xf>
    <xf borderId="0" fillId="221" fontId="4" numFmtId="10" xfId="0" applyAlignment="1" applyFill="1" applyFont="1" applyNumberFormat="1">
      <alignment horizontal="right" vertical="bottom"/>
    </xf>
    <xf borderId="0" fillId="216" fontId="4" numFmtId="10" xfId="0" applyAlignment="1" applyFont="1" applyNumberFormat="1">
      <alignment horizontal="right" vertical="bottom"/>
    </xf>
    <xf borderId="0" fillId="222" fontId="4" numFmtId="10" xfId="0" applyAlignment="1" applyFill="1" applyFont="1" applyNumberFormat="1">
      <alignment horizontal="right" vertical="bottom"/>
    </xf>
    <xf borderId="0" fillId="223" fontId="4" numFmtId="10" xfId="0" applyAlignment="1" applyFill="1" applyFont="1" applyNumberFormat="1">
      <alignment horizontal="right" vertical="bottom"/>
    </xf>
    <xf borderId="0" fillId="224" fontId="4" numFmtId="10" xfId="0" applyAlignment="1" applyFill="1" applyFont="1" applyNumberFormat="1">
      <alignment horizontal="right" vertical="bottom"/>
    </xf>
    <xf borderId="0" fillId="225" fontId="4" numFmtId="10" xfId="0" applyAlignment="1" applyFill="1" applyFont="1" applyNumberFormat="1">
      <alignment horizontal="right" vertical="bottom"/>
    </xf>
    <xf borderId="0" fillId="226" fontId="4" numFmtId="10" xfId="0" applyAlignment="1" applyFill="1" applyFont="1" applyNumberFormat="1">
      <alignment horizontal="right" vertical="bottom"/>
    </xf>
    <xf borderId="0" fillId="227" fontId="4" numFmtId="10" xfId="0" applyAlignment="1" applyFill="1" applyFont="1" applyNumberFormat="1">
      <alignment horizontal="right" vertical="bottom"/>
    </xf>
    <xf borderId="0" fillId="171" fontId="3" numFmtId="1" xfId="0" applyAlignment="1" applyFont="1" applyNumberFormat="1">
      <alignment vertical="bottom"/>
    </xf>
    <xf borderId="0" fillId="134" fontId="4" numFmtId="10" xfId="0" applyAlignment="1" applyFont="1" applyNumberFormat="1">
      <alignment horizontal="right" vertical="bottom"/>
    </xf>
    <xf borderId="0" fillId="228" fontId="4" numFmtId="10" xfId="0" applyAlignment="1" applyFill="1" applyFont="1" applyNumberFormat="1">
      <alignment horizontal="right" vertical="bottom"/>
    </xf>
    <xf borderId="0" fillId="117" fontId="4" numFmtId="10" xfId="0" applyAlignment="1" applyFont="1" applyNumberFormat="1">
      <alignment horizontal="right" vertical="bottom"/>
    </xf>
    <xf borderId="0" fillId="201" fontId="4" numFmtId="10" xfId="0" applyAlignment="1" applyFont="1" applyNumberFormat="1">
      <alignment horizontal="right" vertical="bottom"/>
    </xf>
    <xf borderId="0" fillId="229" fontId="4" numFmtId="10" xfId="0" applyAlignment="1" applyFill="1" applyFont="1" applyNumberFormat="1">
      <alignment horizontal="right" vertical="bottom"/>
    </xf>
    <xf borderId="1" fillId="86" fontId="15" numFmtId="167" xfId="0" applyAlignment="1" applyBorder="1" applyFont="1" applyNumberFormat="1">
      <alignment vertical="bottom"/>
    </xf>
    <xf borderId="0" fillId="230" fontId="4" numFmtId="10" xfId="0" applyAlignment="1" applyFill="1" applyFont="1" applyNumberFormat="1">
      <alignment horizontal="right" vertical="bottom"/>
    </xf>
    <xf borderId="0" fillId="86" fontId="3" numFmtId="167" xfId="0" applyAlignment="1" applyFont="1" applyNumberFormat="1">
      <alignment vertical="bottom"/>
    </xf>
    <xf borderId="0" fillId="210" fontId="4" numFmtId="10" xfId="0" applyAlignment="1" applyFont="1" applyNumberFormat="1">
      <alignment horizontal="right" vertical="bottom"/>
    </xf>
    <xf borderId="0" fillId="231" fontId="4" numFmtId="10" xfId="0" applyAlignment="1" applyFill="1" applyFont="1" applyNumberFormat="1">
      <alignment horizontal="right" vertical="bottom"/>
    </xf>
    <xf borderId="0" fillId="232" fontId="4" numFmtId="10" xfId="0" applyAlignment="1" applyFill="1" applyFont="1" applyNumberFormat="1">
      <alignment horizontal="right" vertical="bottom"/>
    </xf>
    <xf borderId="1" fillId="129" fontId="4" numFmtId="10" xfId="0" applyAlignment="1" applyBorder="1" applyFont="1" applyNumberFormat="1">
      <alignment horizontal="right" vertical="bottom"/>
    </xf>
    <xf borderId="1" fillId="14" fontId="15" numFmtId="0" xfId="0" applyAlignment="1" applyBorder="1" applyFont="1">
      <alignment vertical="bottom"/>
    </xf>
    <xf borderId="0" fillId="10" fontId="4" numFmtId="2" xfId="0" applyAlignment="1" applyFont="1" applyNumberFormat="1">
      <alignment horizontal="right" vertical="bottom"/>
    </xf>
    <xf borderId="0" fillId="14" fontId="3" numFmtId="2" xfId="0" applyAlignment="1" applyFont="1" applyNumberFormat="1">
      <alignment vertical="bottom"/>
    </xf>
    <xf borderId="0" fillId="38" fontId="4" numFmtId="2" xfId="0" applyAlignment="1" applyFont="1" applyNumberFormat="1">
      <alignment horizontal="right" vertical="bottom"/>
    </xf>
    <xf borderId="0" fillId="14" fontId="3" numFmtId="0" xfId="0" applyAlignment="1" applyFont="1">
      <alignment vertical="bottom"/>
    </xf>
    <xf borderId="0" fillId="233" fontId="4" numFmtId="2" xfId="0" applyAlignment="1" applyFill="1" applyFont="1" applyNumberFormat="1">
      <alignment horizontal="right" vertical="bottom"/>
    </xf>
    <xf borderId="0" fillId="234" fontId="4" numFmtId="2" xfId="0" applyAlignment="1" applyFill="1" applyFont="1" applyNumberFormat="1">
      <alignment horizontal="right" vertical="bottom"/>
    </xf>
    <xf borderId="0" fillId="235" fontId="4" numFmtId="2" xfId="0" applyAlignment="1" applyFill="1" applyFont="1" applyNumberFormat="1">
      <alignment horizontal="right" vertical="bottom"/>
    </xf>
    <xf borderId="0" fillId="0" fontId="4" numFmtId="2" xfId="0" applyAlignment="1" applyFont="1" applyNumberFormat="1">
      <alignment horizontal="right" vertical="bottom"/>
    </xf>
    <xf borderId="0" fillId="24" fontId="4" numFmtId="2" xfId="0" applyAlignment="1" applyFont="1" applyNumberFormat="1">
      <alignment horizontal="right" vertical="bottom"/>
    </xf>
    <xf borderId="0" fillId="236" fontId="4" numFmtId="2" xfId="0" applyAlignment="1" applyFill="1" applyFont="1" applyNumberFormat="1">
      <alignment horizontal="right" vertical="bottom"/>
    </xf>
    <xf borderId="0" fillId="59" fontId="4" numFmtId="2" xfId="0" applyAlignment="1" applyFont="1" applyNumberFormat="1">
      <alignment horizontal="right" vertical="bottom"/>
    </xf>
    <xf borderId="0" fillId="144" fontId="4" numFmtId="2" xfId="0" applyAlignment="1" applyFont="1" applyNumberFormat="1">
      <alignment horizontal="right" vertical="bottom"/>
    </xf>
    <xf borderId="0" fillId="33" fontId="4" numFmtId="2" xfId="0" applyAlignment="1" applyFont="1" applyNumberFormat="1">
      <alignment horizontal="right" vertical="bottom"/>
    </xf>
    <xf borderId="0" fillId="142" fontId="4" numFmtId="2" xfId="0" applyAlignment="1" applyFont="1" applyNumberFormat="1">
      <alignment horizontal="right" vertical="bottom"/>
    </xf>
    <xf borderId="0" fillId="119" fontId="4" numFmtId="2" xfId="0" applyAlignment="1" applyFont="1" applyNumberFormat="1">
      <alignment horizontal="right" vertical="bottom"/>
    </xf>
    <xf borderId="0" fillId="237" fontId="4" numFmtId="2" xfId="0" applyAlignment="1" applyFill="1" applyFont="1" applyNumberFormat="1">
      <alignment horizontal="right" vertical="bottom"/>
    </xf>
    <xf borderId="0" fillId="238" fontId="4" numFmtId="2" xfId="0" applyAlignment="1" applyFill="1" applyFont="1" applyNumberFormat="1">
      <alignment horizontal="right" vertical="bottom"/>
    </xf>
    <xf borderId="0" fillId="123" fontId="4" numFmtId="2" xfId="0" applyAlignment="1" applyFont="1" applyNumberFormat="1">
      <alignment horizontal="right" vertical="bottom"/>
    </xf>
    <xf borderId="0" fillId="58" fontId="4" numFmtId="2" xfId="0" applyAlignment="1" applyFont="1" applyNumberFormat="1">
      <alignment horizontal="right" vertical="bottom"/>
    </xf>
    <xf borderId="0" fillId="133" fontId="4" numFmtId="2" xfId="0" applyAlignment="1" applyFont="1" applyNumberFormat="1">
      <alignment horizontal="right" vertical="bottom"/>
    </xf>
    <xf borderId="0" fillId="110" fontId="4" numFmtId="2" xfId="0" applyAlignment="1" applyFont="1" applyNumberFormat="1">
      <alignment horizontal="right" vertical="bottom"/>
    </xf>
    <xf borderId="0" fillId="239" fontId="4" numFmtId="2" xfId="0" applyAlignment="1" applyFill="1" applyFont="1" applyNumberFormat="1">
      <alignment horizontal="right" vertical="bottom"/>
    </xf>
    <xf borderId="0" fillId="60" fontId="4" numFmtId="2" xfId="0" applyAlignment="1" applyFont="1" applyNumberFormat="1">
      <alignment horizontal="right" vertical="bottom"/>
    </xf>
    <xf borderId="0" fillId="240" fontId="4" numFmtId="2" xfId="0" applyAlignment="1" applyFill="1" applyFont="1" applyNumberFormat="1">
      <alignment horizontal="right" vertical="bottom"/>
    </xf>
    <xf borderId="0" fillId="241" fontId="4" numFmtId="2" xfId="0" applyAlignment="1" applyFill="1" applyFont="1" applyNumberFormat="1">
      <alignment horizontal="right" vertical="bottom"/>
    </xf>
    <xf borderId="1" fillId="242" fontId="4" numFmtId="2" xfId="0" applyAlignment="1" applyBorder="1" applyFill="1" applyFont="1" applyNumberFormat="1">
      <alignment horizontal="right" vertical="bottom"/>
    </xf>
    <xf borderId="3" fillId="20" fontId="4" numFmtId="0" xfId="0" applyAlignment="1" applyBorder="1" applyFont="1">
      <alignment vertical="bottom"/>
    </xf>
    <xf borderId="0" fillId="20" fontId="4" numFmtId="0" xfId="0" applyAlignment="1" applyFont="1">
      <alignment vertical="bottom"/>
    </xf>
    <xf borderId="1" fillId="20" fontId="7" numFmtId="0" xfId="0" applyAlignment="1" applyBorder="1" applyFont="1">
      <alignment vertical="bottom"/>
    </xf>
    <xf borderId="0" fillId="3" fontId="4" numFmtId="169" xfId="0" applyAlignment="1" applyFont="1" applyNumberFormat="1">
      <alignment horizontal="right" vertical="bottom"/>
    </xf>
    <xf borderId="1" fillId="3" fontId="4" numFmtId="169" xfId="0" applyAlignment="1" applyBorder="1" applyFont="1" applyNumberFormat="1">
      <alignment horizontal="right" vertical="bottom"/>
    </xf>
    <xf borderId="0" fillId="22" fontId="7" numFmtId="1" xfId="0" applyAlignment="1" applyFont="1" applyNumberFormat="1">
      <alignment horizontal="right" vertical="bottom"/>
    </xf>
    <xf borderId="0" fillId="0" fontId="4" numFmtId="167" xfId="0" applyAlignment="1" applyFont="1" applyNumberFormat="1">
      <alignment readingOrder="0" vertical="bottom"/>
    </xf>
    <xf borderId="0" fillId="0" fontId="4" numFmtId="167" xfId="0" applyAlignment="1" applyFont="1" applyNumberFormat="1">
      <alignment vertical="bottom"/>
    </xf>
    <xf borderId="0" fillId="0" fontId="16" numFmtId="0" xfId="0" applyAlignment="1" applyFont="1">
      <alignment readingOrder="0"/>
    </xf>
    <xf borderId="0" fillId="0" fontId="4" numFmtId="0" xfId="0" applyAlignment="1" applyFont="1">
      <alignment vertical="bottom"/>
    </xf>
    <xf borderId="0" fillId="20" fontId="3" numFmtId="1" xfId="0" applyAlignment="1" applyFont="1" applyNumberFormat="1">
      <alignment vertical="bottom"/>
    </xf>
    <xf borderId="0" fillId="10" fontId="4" numFmtId="1" xfId="0" applyAlignment="1" applyFont="1" applyNumberFormat="1">
      <alignment readingOrder="0" vertical="bottom"/>
    </xf>
    <xf borderId="8" fillId="4" fontId="4" numFmtId="0" xfId="0" applyAlignment="1" applyBorder="1" applyFont="1">
      <alignment vertical="bottom"/>
    </xf>
    <xf borderId="0" fillId="5" fontId="2" numFmtId="0" xfId="0" applyAlignment="1" applyFont="1">
      <alignment horizontal="center" vertical="bottom"/>
    </xf>
    <xf borderId="1" fillId="14" fontId="17" numFmtId="0" xfId="0" applyAlignment="1" applyBorder="1" applyFont="1">
      <alignment horizontal="center" vertical="bottom"/>
    </xf>
    <xf borderId="0" fillId="14" fontId="4" numFmtId="0" xfId="0" applyAlignment="1" applyFont="1">
      <alignment vertical="bottom"/>
    </xf>
    <xf borderId="0" fillId="14" fontId="4" numFmtId="3" xfId="0" applyAlignment="1" applyFont="1" applyNumberFormat="1">
      <alignment vertical="bottom"/>
    </xf>
    <xf borderId="8" fillId="4" fontId="4" numFmtId="3" xfId="0" applyAlignment="1" applyBorder="1" applyFont="1" applyNumberFormat="1">
      <alignment vertical="bottom"/>
    </xf>
    <xf borderId="8" fillId="4" fontId="5" numFmtId="167" xfId="0" applyAlignment="1" applyBorder="1" applyFont="1" applyNumberFormat="1">
      <alignment horizontal="right" vertical="bottom"/>
    </xf>
    <xf borderId="1" fillId="3" fontId="4" numFmtId="0" xfId="0" applyAlignment="1" applyBorder="1" applyFont="1">
      <alignment vertical="bottom"/>
    </xf>
    <xf borderId="0" fillId="3" fontId="4" numFmtId="169" xfId="0" applyAlignment="1" applyFont="1" applyNumberFormat="1">
      <alignment vertical="bottom"/>
    </xf>
    <xf borderId="0" fillId="22" fontId="4" numFmtId="1" xfId="0" applyAlignment="1" applyFont="1" applyNumberFormat="1">
      <alignment readingOrder="0" vertical="bottom"/>
    </xf>
    <xf borderId="0" fillId="0" fontId="4" numFmtId="169" xfId="0" applyAlignment="1" applyFont="1" applyNumberFormat="1">
      <alignment vertical="bottom"/>
    </xf>
    <xf borderId="0" fillId="22" fontId="7" numFmtId="1" xfId="0" applyAlignment="1" applyFont="1" applyNumberFormat="1">
      <alignment horizontal="right" readingOrder="0" vertical="bottom"/>
    </xf>
    <xf borderId="0" fillId="3" fontId="4" numFmtId="0" xfId="0" applyAlignment="1" applyFont="1">
      <alignment vertical="bottom"/>
    </xf>
    <xf borderId="0" fillId="22" fontId="4" numFmtId="0" xfId="0" applyAlignment="1" applyFont="1">
      <alignment readingOrder="0" vertical="bottom"/>
    </xf>
    <xf borderId="8" fillId="4" fontId="5" numFmtId="3" xfId="0" applyAlignment="1" applyBorder="1" applyFont="1" applyNumberFormat="1">
      <alignment horizontal="right" vertical="bottom"/>
    </xf>
    <xf borderId="3" fillId="243" fontId="4" numFmtId="0" xfId="0" applyAlignment="1" applyBorder="1" applyFill="1" applyFont="1">
      <alignment vertical="bottom"/>
    </xf>
    <xf borderId="4" fillId="0" fontId="3" numFmtId="0" xfId="0" applyAlignment="1" applyBorder="1" applyFont="1">
      <alignment vertical="bottom"/>
    </xf>
    <xf borderId="6" fillId="4" fontId="3" numFmtId="0" xfId="0" applyAlignment="1" applyBorder="1" applyFont="1">
      <alignment vertical="bottom"/>
    </xf>
    <xf borderId="1" fillId="18" fontId="7" numFmtId="0" xfId="0" applyAlignment="1" applyBorder="1" applyFont="1">
      <alignment vertical="bottom"/>
    </xf>
    <xf borderId="0" fillId="244" fontId="4" numFmtId="169" xfId="0" applyAlignment="1" applyFill="1" applyFont="1" applyNumberFormat="1">
      <alignment horizontal="right" vertical="bottom"/>
    </xf>
    <xf borderId="0" fillId="245" fontId="4" numFmtId="169" xfId="0" applyAlignment="1" applyFill="1" applyFont="1" applyNumberFormat="1">
      <alignment horizontal="right" vertical="bottom"/>
    </xf>
    <xf borderId="0" fillId="246" fontId="4" numFmtId="169" xfId="0" applyAlignment="1" applyFill="1" applyFont="1" applyNumberFormat="1">
      <alignment horizontal="right" vertical="bottom"/>
    </xf>
    <xf borderId="0" fillId="247" fontId="4" numFmtId="169" xfId="0" applyAlignment="1" applyFill="1" applyFont="1" applyNumberFormat="1">
      <alignment horizontal="right" vertical="bottom"/>
    </xf>
    <xf borderId="0" fillId="248" fontId="4" numFmtId="169" xfId="0" applyAlignment="1" applyFill="1" applyFont="1" applyNumberFormat="1">
      <alignment horizontal="right" vertical="bottom"/>
    </xf>
    <xf borderId="0" fillId="0" fontId="4" numFmtId="1" xfId="0" applyAlignment="1" applyFont="1" applyNumberFormat="1">
      <alignment vertical="bottom"/>
    </xf>
    <xf borderId="0" fillId="249" fontId="4" numFmtId="169" xfId="0" applyAlignment="1" applyFill="1" applyFont="1" applyNumberFormat="1">
      <alignment horizontal="right" vertical="bottom"/>
    </xf>
    <xf borderId="0" fillId="250" fontId="4" numFmtId="169" xfId="0" applyAlignment="1" applyFill="1" applyFont="1" applyNumberFormat="1">
      <alignment horizontal="right" vertical="bottom"/>
    </xf>
    <xf borderId="0" fillId="251" fontId="4" numFmtId="169" xfId="0" applyAlignment="1" applyFill="1" applyFont="1" applyNumberFormat="1">
      <alignment horizontal="right" vertical="bottom"/>
    </xf>
    <xf borderId="0" fillId="252" fontId="4" numFmtId="169" xfId="0" applyAlignment="1" applyFill="1" applyFont="1" applyNumberFormat="1">
      <alignment horizontal="right" vertical="bottom"/>
    </xf>
    <xf borderId="0" fillId="3" fontId="4" numFmtId="0" xfId="0" applyAlignment="1" applyFont="1">
      <alignment horizontal="right" vertical="bottom"/>
    </xf>
    <xf borderId="0" fillId="253" fontId="4" numFmtId="169" xfId="0" applyAlignment="1" applyFill="1" applyFont="1" applyNumberFormat="1">
      <alignment horizontal="right" vertical="bottom"/>
    </xf>
    <xf borderId="0" fillId="254" fontId="4" numFmtId="169" xfId="0" applyAlignment="1" applyFill="1" applyFont="1" applyNumberFormat="1">
      <alignment horizontal="right" vertical="bottom"/>
    </xf>
    <xf borderId="3" fillId="18" fontId="7" numFmtId="0" xfId="0" applyAlignment="1" applyBorder="1" applyFont="1">
      <alignment vertical="bottom"/>
    </xf>
    <xf borderId="4" fillId="0" fontId="3" numFmtId="169" xfId="0" applyAlignment="1" applyBorder="1" applyFont="1" applyNumberFormat="1">
      <alignment vertical="bottom"/>
    </xf>
    <xf borderId="0" fillId="16" fontId="7" numFmtId="0" xfId="0" applyAlignment="1" applyFont="1">
      <alignment vertical="bottom"/>
    </xf>
    <xf borderId="1" fillId="255" fontId="7" numFmtId="0" xfId="0" applyAlignment="1" applyBorder="1" applyFill="1" applyFont="1">
      <alignment vertical="bottom"/>
    </xf>
    <xf borderId="0" fillId="255" fontId="4" numFmtId="0" xfId="0" applyAlignment="1" applyFont="1">
      <alignment vertical="bottom"/>
    </xf>
    <xf borderId="0" fillId="14" fontId="4" numFmtId="2" xfId="0" applyAlignment="1" applyFont="1" applyNumberFormat="1">
      <alignment vertical="bottom"/>
    </xf>
    <xf borderId="0" fillId="3" fontId="4" numFmtId="1" xfId="0" applyAlignment="1" applyFont="1" applyNumberFormat="1">
      <alignment vertical="bottom"/>
    </xf>
    <xf borderId="0" fillId="0" fontId="3" numFmtId="175" xfId="0" applyAlignment="1" applyFont="1" applyNumberFormat="1">
      <alignment vertical="bottom"/>
    </xf>
    <xf borderId="1" fillId="0" fontId="3" numFmtId="175" xfId="0" applyAlignment="1" applyBorder="1" applyFont="1" applyNumberFormat="1">
      <alignment vertical="bottom"/>
    </xf>
    <xf borderId="0" fillId="3" fontId="4" numFmtId="2" xfId="0" applyAlignment="1" applyFont="1" applyNumberFormat="1">
      <alignment vertical="bottom"/>
    </xf>
    <xf borderId="0" fillId="3" fontId="4" numFmtId="3" xfId="0" applyAlignment="1" applyFont="1" applyNumberFormat="1">
      <alignment vertical="bottom"/>
    </xf>
    <xf borderId="0" fillId="256" fontId="4" numFmtId="169" xfId="0" applyAlignment="1" applyFill="1" applyFont="1" applyNumberFormat="1">
      <alignment horizontal="right" vertical="bottom"/>
    </xf>
    <xf borderId="0" fillId="257" fontId="4" numFmtId="169" xfId="0" applyAlignment="1" applyFill="1" applyFont="1" applyNumberFormat="1">
      <alignment horizontal="right" vertical="bottom"/>
    </xf>
    <xf borderId="0" fillId="258" fontId="4" numFmtId="169" xfId="0" applyAlignment="1" applyFill="1" applyFont="1" applyNumberFormat="1">
      <alignment horizontal="right" vertical="bottom"/>
    </xf>
    <xf borderId="0" fillId="80" fontId="4" numFmtId="169" xfId="0" applyAlignment="1" applyFont="1" applyNumberFormat="1">
      <alignment horizontal="right" vertical="bottom"/>
    </xf>
    <xf borderId="0" fillId="259" fontId="4" numFmtId="169" xfId="0" applyAlignment="1" applyFill="1" applyFont="1" applyNumberFormat="1">
      <alignment horizontal="right" vertical="bottom"/>
    </xf>
    <xf borderId="0" fillId="260" fontId="4" numFmtId="169" xfId="0" applyAlignment="1" applyFill="1" applyFont="1" applyNumberFormat="1">
      <alignment horizontal="right" vertical="bottom"/>
    </xf>
    <xf borderId="0" fillId="238" fontId="4" numFmtId="169" xfId="0" applyAlignment="1" applyFont="1" applyNumberFormat="1">
      <alignment horizontal="right" vertical="bottom"/>
    </xf>
    <xf borderId="0" fillId="48" fontId="4" numFmtId="169" xfId="0" applyAlignment="1" applyFont="1" applyNumberFormat="1">
      <alignment horizontal="right" vertical="bottom"/>
    </xf>
    <xf borderId="0" fillId="136" fontId="4" numFmtId="169" xfId="0" applyAlignment="1" applyFont="1" applyNumberFormat="1">
      <alignment horizontal="right" vertical="bottom"/>
    </xf>
    <xf borderId="0" fillId="106" fontId="4" numFmtId="169" xfId="0" applyAlignment="1" applyFont="1" applyNumberFormat="1">
      <alignment horizontal="right" vertical="bottom"/>
    </xf>
    <xf borderId="0" fillId="95" fontId="4" numFmtId="169" xfId="0" applyAlignment="1" applyFont="1" applyNumberFormat="1">
      <alignment horizontal="right" vertical="bottom"/>
    </xf>
    <xf borderId="0" fillId="51" fontId="4" numFmtId="169" xfId="0" applyAlignment="1" applyFont="1" applyNumberFormat="1">
      <alignment horizontal="right" vertical="bottom"/>
    </xf>
    <xf borderId="0" fillId="261" fontId="4" numFmtId="169" xfId="0" applyAlignment="1" applyFill="1" applyFont="1" applyNumberFormat="1">
      <alignment horizontal="right" vertical="bottom"/>
    </xf>
    <xf borderId="0" fillId="262" fontId="4" numFmtId="169" xfId="0" applyAlignment="1" applyFill="1" applyFont="1" applyNumberFormat="1">
      <alignment horizontal="right" vertical="bottom"/>
    </xf>
    <xf borderId="0" fillId="263" fontId="4" numFmtId="169" xfId="0" applyAlignment="1" applyFill="1" applyFont="1" applyNumberFormat="1">
      <alignment horizontal="right" vertical="bottom"/>
    </xf>
    <xf borderId="0" fillId="264" fontId="4" numFmtId="169" xfId="0" applyAlignment="1" applyFill="1" applyFont="1" applyNumberFormat="1">
      <alignment horizontal="right" vertical="bottom"/>
    </xf>
    <xf borderId="0" fillId="265" fontId="4" numFmtId="169" xfId="0" applyAlignment="1" applyFill="1" applyFont="1" applyNumberFormat="1">
      <alignment horizontal="right" vertical="bottom"/>
    </xf>
    <xf borderId="0" fillId="120" fontId="4" numFmtId="169" xfId="0" applyAlignment="1" applyFont="1" applyNumberFormat="1">
      <alignment horizontal="right" vertical="bottom"/>
    </xf>
    <xf borderId="0" fillId="266" fontId="4" numFmtId="169" xfId="0" applyAlignment="1" applyFill="1" applyFont="1" applyNumberFormat="1">
      <alignment horizontal="right" vertical="bottom"/>
    </xf>
    <xf borderId="0" fillId="267" fontId="4" numFmtId="169" xfId="0" applyAlignment="1" applyFill="1" applyFont="1" applyNumberFormat="1">
      <alignment horizontal="right" vertical="bottom"/>
    </xf>
    <xf borderId="0" fillId="221" fontId="4" numFmtId="169" xfId="0" applyAlignment="1" applyFont="1" applyNumberFormat="1">
      <alignment horizontal="right" vertical="bottom"/>
    </xf>
    <xf borderId="1" fillId="238" fontId="4" numFmtId="169" xfId="0" applyAlignment="1" applyBorder="1" applyFont="1" applyNumberFormat="1">
      <alignment horizontal="right" vertical="bottom"/>
    </xf>
    <xf borderId="0" fillId="33" fontId="4" numFmtId="10" xfId="0" applyAlignment="1" applyFont="1" applyNumberFormat="1">
      <alignment horizontal="right" vertical="bottom"/>
    </xf>
    <xf borderId="0" fillId="0" fontId="4" numFmtId="2" xfId="0" applyAlignment="1" applyFont="1" applyNumberFormat="1">
      <alignment vertical="bottom"/>
    </xf>
    <xf borderId="0" fillId="268" fontId="4" numFmtId="10" xfId="0" applyAlignment="1" applyFill="1" applyFont="1" applyNumberFormat="1">
      <alignment horizontal="right" vertical="bottom"/>
    </xf>
    <xf borderId="0" fillId="235" fontId="4" numFmtId="10" xfId="0" applyAlignment="1" applyFont="1" applyNumberFormat="1">
      <alignment horizontal="right" vertical="bottom"/>
    </xf>
    <xf borderId="0" fillId="10" fontId="4" numFmtId="10" xfId="0" applyAlignment="1" applyFont="1" applyNumberFormat="1">
      <alignment horizontal="right" vertical="bottom"/>
    </xf>
    <xf borderId="0" fillId="48" fontId="4" numFmtId="10" xfId="0" applyAlignment="1" applyFont="1" applyNumberFormat="1">
      <alignment horizontal="right" vertical="bottom"/>
    </xf>
    <xf borderId="0" fillId="115" fontId="4" numFmtId="10" xfId="0" applyAlignment="1" applyFont="1" applyNumberFormat="1">
      <alignment horizontal="right" vertical="bottom"/>
    </xf>
    <xf borderId="0" fillId="269" fontId="4" numFmtId="10" xfId="0" applyAlignment="1" applyFill="1" applyFont="1" applyNumberFormat="1">
      <alignment horizontal="right" vertical="bottom"/>
    </xf>
    <xf borderId="0" fillId="270" fontId="4" numFmtId="10" xfId="0" applyAlignment="1" applyFill="1" applyFont="1" applyNumberFormat="1">
      <alignment horizontal="right" vertical="bottom"/>
    </xf>
    <xf borderId="0" fillId="256" fontId="4" numFmtId="10" xfId="0" applyAlignment="1" applyFont="1" applyNumberFormat="1">
      <alignment horizontal="right" vertical="bottom"/>
    </xf>
    <xf borderId="0" fillId="50" fontId="4" numFmtId="10" xfId="0" applyAlignment="1" applyFont="1" applyNumberFormat="1">
      <alignment horizontal="right" vertical="bottom"/>
    </xf>
    <xf borderId="0" fillId="102" fontId="4" numFmtId="10" xfId="0" applyAlignment="1" applyFont="1" applyNumberFormat="1">
      <alignment horizontal="right" vertical="bottom"/>
    </xf>
    <xf borderId="0" fillId="271" fontId="4" numFmtId="10" xfId="0" applyAlignment="1" applyFill="1" applyFont="1" applyNumberFormat="1">
      <alignment horizontal="right" vertical="bottom"/>
    </xf>
    <xf borderId="0" fillId="108" fontId="4" numFmtId="10" xfId="0" applyAlignment="1" applyFont="1" applyNumberFormat="1">
      <alignment horizontal="right" vertical="bottom"/>
    </xf>
    <xf borderId="0" fillId="83" fontId="4" numFmtId="10" xfId="0" applyAlignment="1" applyFont="1" applyNumberFormat="1">
      <alignment horizontal="right" vertical="bottom"/>
    </xf>
    <xf borderId="0" fillId="3" fontId="4" numFmtId="167" xfId="0" applyAlignment="1" applyFont="1" applyNumberFormat="1">
      <alignment vertical="bottom"/>
    </xf>
    <xf borderId="0" fillId="109" fontId="4" numFmtId="10" xfId="0" applyAlignment="1" applyFont="1" applyNumberFormat="1">
      <alignment horizontal="right" vertical="bottom"/>
    </xf>
    <xf borderId="0" fillId="204" fontId="4" numFmtId="10" xfId="0" applyAlignment="1" applyFont="1" applyNumberFormat="1">
      <alignment horizontal="right" vertical="bottom"/>
    </xf>
    <xf borderId="0" fillId="139" fontId="4" numFmtId="10" xfId="0" applyAlignment="1" applyFont="1" applyNumberFormat="1">
      <alignment horizontal="right" vertical="bottom"/>
    </xf>
    <xf borderId="0" fillId="103" fontId="4" numFmtId="10" xfId="0" applyAlignment="1" applyFont="1" applyNumberFormat="1">
      <alignment horizontal="right" vertical="bottom"/>
    </xf>
    <xf borderId="0" fillId="130" fontId="4" numFmtId="10" xfId="0" applyAlignment="1" applyFont="1" applyNumberFormat="1">
      <alignment horizontal="right" vertical="bottom"/>
    </xf>
    <xf borderId="0" fillId="272" fontId="4" numFmtId="10" xfId="0" applyAlignment="1" applyFill="1" applyFont="1" applyNumberFormat="1">
      <alignment horizontal="right" vertical="bottom"/>
    </xf>
    <xf borderId="0" fillId="126" fontId="4" numFmtId="10" xfId="0" applyAlignment="1" applyFont="1" applyNumberFormat="1">
      <alignment horizontal="right" vertical="bottom"/>
    </xf>
    <xf borderId="0" fillId="273" fontId="4" numFmtId="10" xfId="0" applyAlignment="1" applyFill="1" applyFont="1" applyNumberFormat="1">
      <alignment horizontal="right" vertical="bottom"/>
    </xf>
    <xf borderId="0" fillId="274" fontId="4" numFmtId="10" xfId="0" applyAlignment="1" applyFill="1" applyFont="1" applyNumberFormat="1">
      <alignment horizontal="right" vertical="bottom"/>
    </xf>
    <xf borderId="0" fillId="123" fontId="4" numFmtId="10" xfId="0" applyAlignment="1" applyFont="1" applyNumberFormat="1">
      <alignment horizontal="right" vertical="bottom"/>
    </xf>
    <xf borderId="0" fillId="203" fontId="4" numFmtId="10" xfId="0" applyAlignment="1" applyFont="1" applyNumberFormat="1">
      <alignment horizontal="right" vertical="bottom"/>
    </xf>
    <xf borderId="0" fillId="275" fontId="4" numFmtId="10" xfId="0" applyAlignment="1" applyFill="1" applyFont="1" applyNumberFormat="1">
      <alignment horizontal="right" vertical="bottom"/>
    </xf>
    <xf borderId="0" fillId="141" fontId="4" numFmtId="10" xfId="0" applyAlignment="1" applyFont="1" applyNumberFormat="1">
      <alignment horizontal="right" vertical="bottom"/>
    </xf>
    <xf borderId="0" fillId="265" fontId="4" numFmtId="10" xfId="0" applyAlignment="1" applyFont="1" applyNumberFormat="1">
      <alignment horizontal="right" vertical="bottom"/>
    </xf>
    <xf borderId="1" fillId="276" fontId="4" numFmtId="10" xfId="0" applyAlignment="1" applyBorder="1" applyFill="1" applyFont="1" applyNumberFormat="1">
      <alignment horizontal="right" vertical="bottom"/>
    </xf>
    <xf borderId="0" fillId="8" fontId="4" numFmtId="167" xfId="0" applyAlignment="1" applyFont="1" applyNumberFormat="1">
      <alignment vertical="bottom"/>
    </xf>
    <xf borderId="3" fillId="0" fontId="3" numFmtId="0" xfId="0" applyAlignment="1" applyBorder="1" applyFont="1">
      <alignment vertical="bottom"/>
    </xf>
    <xf borderId="4" fillId="0" fontId="3" numFmtId="2" xfId="0" applyAlignment="1" applyBorder="1" applyFont="1" applyNumberFormat="1">
      <alignment vertical="bottom"/>
    </xf>
    <xf borderId="4" fillId="0" fontId="3" numFmtId="3" xfId="0" applyAlignment="1" applyBorder="1" applyFont="1" applyNumberFormat="1">
      <alignment vertical="bottom"/>
    </xf>
    <xf borderId="8" fillId="4" fontId="3" numFmtId="3" xfId="0" applyAlignment="1" applyBorder="1" applyFont="1" applyNumberFormat="1">
      <alignment vertical="bottom"/>
    </xf>
    <xf borderId="9" fillId="20" fontId="4" numFmtId="0" xfId="0" applyAlignment="1" applyBorder="1" applyFont="1">
      <alignment vertical="bottom"/>
    </xf>
    <xf borderId="0" fillId="8" fontId="3" numFmtId="1" xfId="0" applyAlignment="1" applyFont="1" applyNumberFormat="1">
      <alignment vertical="bottom"/>
    </xf>
    <xf borderId="3" fillId="22" fontId="4" numFmtId="1" xfId="0" applyAlignment="1" applyBorder="1" applyFont="1" applyNumberFormat="1">
      <alignment vertical="bottom"/>
    </xf>
    <xf borderId="4" fillId="22" fontId="4" numFmtId="167" xfId="0" applyAlignment="1" applyBorder="1" applyFont="1" applyNumberFormat="1">
      <alignment horizontal="right" vertical="bottom"/>
    </xf>
    <xf borderId="10" fillId="14" fontId="4" numFmtId="0" xfId="0" applyAlignment="1" applyBorder="1" applyFont="1">
      <alignment vertical="bottom"/>
    </xf>
    <xf borderId="4" fillId="0" fontId="4" numFmtId="175" xfId="0" applyAlignment="1" applyBorder="1" applyFont="1" applyNumberFormat="1">
      <alignment horizontal="right" vertical="bottom"/>
    </xf>
    <xf borderId="3" fillId="0" fontId="4" numFmtId="175" xfId="0" applyAlignment="1" applyBorder="1" applyFont="1" applyNumberFormat="1">
      <alignment horizontal="right" vertical="bottom"/>
    </xf>
    <xf borderId="0" fillId="20" fontId="3" numFmtId="3" xfId="0" applyAlignment="1" applyFont="1" applyNumberFormat="1">
      <alignment vertical="bottom"/>
    </xf>
    <xf borderId="0" fillId="8" fontId="4" numFmtId="1" xfId="0" applyAlignment="1" applyFont="1" applyNumberFormat="1">
      <alignment vertical="bottom"/>
    </xf>
    <xf borderId="1" fillId="20" fontId="4" numFmtId="0" xfId="0" applyAlignment="1" applyBorder="1" applyFont="1">
      <alignment vertical="bottom"/>
    </xf>
    <xf borderId="9" fillId="20" fontId="4" numFmtId="0" xfId="0" applyAlignment="1" applyBorder="1" applyFont="1">
      <alignment vertical="bottom"/>
    </xf>
    <xf borderId="0" fillId="255" fontId="4" numFmtId="1" xfId="0" applyAlignment="1" applyFont="1" applyNumberFormat="1">
      <alignment vertical="bottom"/>
    </xf>
    <xf borderId="0" fillId="255" fontId="4" numFmtId="167" xfId="0" applyAlignment="1" applyFont="1" applyNumberFormat="1">
      <alignment vertical="bottom"/>
    </xf>
    <xf borderId="1" fillId="20" fontId="4" numFmtId="1" xfId="0" applyAlignment="1" applyBorder="1" applyFont="1" applyNumberFormat="1">
      <alignment vertical="bottom"/>
    </xf>
    <xf borderId="2" fillId="0" fontId="3" numFmtId="0" xfId="0" applyAlignment="1" applyBorder="1" applyFont="1">
      <alignment vertical="bottom"/>
    </xf>
    <xf borderId="0" fillId="22" fontId="4" numFmtId="1" xfId="0" applyAlignment="1" applyFont="1" applyNumberFormat="1">
      <alignment vertical="bottom"/>
    </xf>
    <xf borderId="4" fillId="277" fontId="3" numFmtId="0" xfId="0" applyAlignment="1" applyBorder="1" applyFill="1" applyFont="1">
      <alignment horizontal="center" vertical="bottom"/>
    </xf>
    <xf borderId="4" fillId="0" fontId="18" numFmtId="0" xfId="0" applyBorder="1" applyFont="1"/>
    <xf borderId="0" fillId="277" fontId="3" numFmtId="0" xfId="0" applyAlignment="1" applyFont="1">
      <alignment vertical="bottom"/>
    </xf>
    <xf borderId="4" fillId="277" fontId="3" numFmtId="0" xfId="0" applyAlignment="1" applyBorder="1" applyFont="1">
      <alignment vertical="bottom"/>
    </xf>
    <xf borderId="1" fillId="10" fontId="19" numFmtId="0" xfId="0" applyAlignment="1" applyBorder="1" applyFont="1">
      <alignment vertical="bottom"/>
    </xf>
    <xf borderId="4" fillId="278" fontId="9" numFmtId="0" xfId="0" applyAlignment="1" applyBorder="1" applyFill="1" applyFont="1">
      <alignment horizontal="center" vertical="bottom"/>
    </xf>
    <xf borderId="3" fillId="0" fontId="18" numFmtId="0" xfId="0" applyBorder="1" applyFont="1"/>
    <xf borderId="1" fillId="10" fontId="3" numFmtId="0" xfId="0" applyAlignment="1" applyBorder="1" applyFont="1">
      <alignment vertical="bottom"/>
    </xf>
    <xf borderId="1" fillId="10" fontId="3" numFmtId="167" xfId="0" applyAlignment="1" applyBorder="1" applyFont="1" applyNumberFormat="1">
      <alignment vertical="bottom"/>
    </xf>
    <xf borderId="3" fillId="10" fontId="3" numFmtId="0" xfId="0" applyAlignment="1" applyBorder="1" applyFont="1">
      <alignment vertical="bottom"/>
    </xf>
    <xf borderId="3" fillId="25" fontId="3" numFmtId="167" xfId="0" applyAlignment="1" applyBorder="1" applyFont="1" applyNumberFormat="1">
      <alignment horizontal="center" vertical="bottom"/>
    </xf>
    <xf borderId="1" fillId="0" fontId="20" numFmtId="167" xfId="0" applyAlignment="1" applyBorder="1" applyFont="1" applyNumberFormat="1">
      <alignment horizontal="center" vertical="bottom"/>
    </xf>
    <xf borderId="8" fillId="4" fontId="4" numFmtId="167" xfId="0" applyAlignment="1" applyBorder="1" applyFont="1" applyNumberFormat="1">
      <alignment vertical="bottom"/>
    </xf>
    <xf borderId="3" fillId="25" fontId="3" numFmtId="10" xfId="0" applyAlignment="1" applyBorder="1" applyFont="1" applyNumberFormat="1">
      <alignment horizontal="center" vertical="bottom"/>
    </xf>
    <xf borderId="1" fillId="14" fontId="21" numFmtId="0" xfId="0" applyAlignment="1" applyBorder="1" applyFont="1">
      <alignment horizontal="center" vertical="center"/>
    </xf>
    <xf borderId="0" fillId="14" fontId="4" numFmtId="1" xfId="0" applyAlignment="1" applyFont="1" applyNumberFormat="1">
      <alignment vertical="bottom"/>
    </xf>
    <xf borderId="0" fillId="14" fontId="4" numFmtId="167" xfId="0" applyAlignment="1" applyFont="1" applyNumberFormat="1">
      <alignment vertical="bottom"/>
    </xf>
    <xf borderId="1" fillId="10" fontId="20" numFmtId="167" xfId="0" applyAlignment="1" applyBorder="1" applyFont="1" applyNumberFormat="1">
      <alignment horizontal="center" vertical="bottom"/>
    </xf>
    <xf borderId="3" fillId="279" fontId="3" numFmtId="10" xfId="0" applyAlignment="1" applyBorder="1" applyFill="1" applyFont="1" applyNumberFormat="1">
      <alignment horizontal="center" vertical="bottom"/>
    </xf>
    <xf borderId="3" fillId="25" fontId="3" numFmtId="174" xfId="0" applyAlignment="1" applyBorder="1" applyFont="1" applyNumberFormat="1">
      <alignment horizontal="center" vertical="bottom"/>
    </xf>
    <xf borderId="1" fillId="10" fontId="3" numFmtId="174" xfId="0" applyAlignment="1" applyBorder="1" applyFont="1" applyNumberFormat="1">
      <alignment vertical="bottom"/>
    </xf>
    <xf borderId="3" fillId="0" fontId="3" numFmtId="174" xfId="0" applyAlignment="1" applyBorder="1" applyFont="1" applyNumberFormat="1">
      <alignment vertical="bottom"/>
    </xf>
    <xf borderId="0" fillId="10" fontId="22" numFmtId="0" xfId="0" applyAlignment="1" applyFont="1">
      <alignment horizontal="center" vertical="bottom"/>
    </xf>
    <xf borderId="0" fillId="10" fontId="3" numFmtId="174" xfId="0" applyAlignment="1" applyFont="1" applyNumberFormat="1">
      <alignment vertical="bottom"/>
    </xf>
    <xf borderId="3" fillId="280" fontId="3" numFmtId="0" xfId="0" applyAlignment="1" applyBorder="1" applyFill="1" applyFont="1">
      <alignment vertical="bottom"/>
    </xf>
    <xf borderId="1" fillId="8" fontId="4" numFmtId="1" xfId="0" applyAlignment="1" applyBorder="1" applyFont="1" applyNumberFormat="1">
      <alignment vertical="bottom"/>
    </xf>
    <xf borderId="3" fillId="280" fontId="3" numFmtId="10" xfId="0" applyAlignment="1" applyBorder="1" applyFont="1" applyNumberFormat="1">
      <alignment horizontal="center" vertical="bottom"/>
    </xf>
    <xf borderId="3" fillId="4" fontId="3" numFmtId="167" xfId="0" applyAlignment="1" applyBorder="1" applyFont="1" applyNumberFormat="1">
      <alignment vertical="bottom"/>
    </xf>
    <xf borderId="3" fillId="25" fontId="3" numFmtId="176" xfId="0" applyAlignment="1" applyBorder="1" applyFont="1" applyNumberFormat="1">
      <alignment horizontal="center" vertical="bottom"/>
    </xf>
    <xf borderId="3" fillId="25" fontId="3" numFmtId="9" xfId="0" applyAlignment="1" applyBorder="1" applyFont="1" applyNumberFormat="1">
      <alignment horizontal="center" vertical="bottom"/>
    </xf>
    <xf borderId="0" fillId="10" fontId="3" numFmtId="9" xfId="0" applyAlignment="1" applyFont="1" applyNumberFormat="1">
      <alignment vertical="bottom"/>
    </xf>
    <xf borderId="3" fillId="280" fontId="3" numFmtId="167" xfId="0" applyAlignment="1" applyBorder="1" applyFont="1" applyNumberFormat="1">
      <alignment horizontal="center" vertical="bottom"/>
    </xf>
    <xf borderId="3" fillId="25" fontId="3" numFmtId="177" xfId="0" applyAlignment="1" applyBorder="1" applyFont="1" applyNumberFormat="1">
      <alignment horizontal="center" vertical="bottom"/>
    </xf>
    <xf borderId="0" fillId="0" fontId="3" numFmtId="178" xfId="0" applyAlignment="1" applyFont="1" applyNumberFormat="1">
      <alignment vertical="bottom"/>
    </xf>
    <xf borderId="1" fillId="10" fontId="3" numFmtId="179" xfId="0" applyAlignment="1" applyBorder="1" applyFont="1" applyNumberFormat="1">
      <alignment vertical="bottom"/>
    </xf>
    <xf borderId="3" fillId="279" fontId="3" numFmtId="0" xfId="0" applyAlignment="1" applyBorder="1" applyFont="1">
      <alignment vertical="bottom"/>
    </xf>
    <xf borderId="3" fillId="279" fontId="3" numFmtId="167" xfId="0" applyAlignment="1" applyBorder="1" applyFont="1" applyNumberFormat="1">
      <alignment horizontal="center" vertical="bottom"/>
    </xf>
    <xf borderId="0" fillId="10" fontId="3" numFmtId="0" xfId="0" applyFont="1"/>
    <xf borderId="3" fillId="4" fontId="3" numFmtId="167" xfId="0" applyAlignment="1" applyBorder="1" applyFont="1" applyNumberFormat="1">
      <alignment horizontal="center" vertical="bottom"/>
    </xf>
    <xf borderId="0" fillId="10" fontId="3" numFmtId="167" xfId="0" applyAlignment="1" applyFont="1" applyNumberFormat="1">
      <alignment vertical="bottom"/>
    </xf>
    <xf borderId="0" fillId="0" fontId="3" numFmtId="180" xfId="0" applyAlignment="1" applyFont="1" applyNumberFormat="1">
      <alignment vertical="bottom"/>
    </xf>
    <xf borderId="0" fillId="16" fontId="4" numFmtId="1" xfId="0" applyAlignment="1" applyFont="1" applyNumberFormat="1">
      <alignment vertical="bottom"/>
    </xf>
    <xf borderId="3" fillId="0" fontId="3" numFmtId="167" xfId="0" applyAlignment="1" applyBorder="1" applyFont="1" applyNumberFormat="1">
      <alignment horizontal="center" vertical="bottom"/>
    </xf>
    <xf borderId="4" fillId="10" fontId="3" numFmtId="0" xfId="0" applyAlignment="1" applyBorder="1" applyFont="1">
      <alignment vertical="bottom"/>
    </xf>
    <xf borderId="3" fillId="278" fontId="9" numFmtId="0" xfId="0" applyAlignment="1" applyBorder="1" applyFont="1">
      <alignment vertical="bottom"/>
    </xf>
    <xf borderId="3" fillId="278" fontId="9" numFmtId="0" xfId="0" applyAlignment="1" applyBorder="1" applyFont="1">
      <alignment horizontal="center" vertical="bottom"/>
    </xf>
    <xf borderId="3" fillId="10" fontId="3" numFmtId="10" xfId="0" applyAlignment="1" applyBorder="1" applyFont="1" applyNumberFormat="1">
      <alignment horizontal="right" vertical="bottom"/>
    </xf>
    <xf borderId="0" fillId="0" fontId="3" numFmtId="181" xfId="0" applyAlignment="1" applyFont="1" applyNumberFormat="1">
      <alignment vertical="bottom"/>
    </xf>
    <xf borderId="3" fillId="25" fontId="3" numFmtId="0" xfId="0" applyAlignment="1" applyBorder="1" applyFont="1">
      <alignment horizontal="center" vertical="bottom"/>
    </xf>
    <xf borderId="3" fillId="279" fontId="3" numFmtId="167" xfId="0" applyAlignment="1" applyBorder="1" applyFont="1" applyNumberFormat="1">
      <alignment vertical="bottom"/>
    </xf>
    <xf borderId="2" fillId="16" fontId="4" numFmtId="1" xfId="0" applyAlignment="1" applyBorder="1" applyFont="1" applyNumberFormat="1">
      <alignment vertical="bottom"/>
    </xf>
    <xf borderId="3" fillId="0" fontId="23" numFmtId="0" xfId="0" applyAlignment="1" applyBorder="1" applyFont="1">
      <alignment vertical="bottom"/>
    </xf>
    <xf borderId="0" fillId="255" fontId="4" numFmtId="3" xfId="0" applyAlignment="1" applyFont="1" applyNumberFormat="1">
      <alignment vertical="bottom"/>
    </xf>
    <xf borderId="3" fillId="25" fontId="23" numFmtId="167" xfId="0" applyAlignment="1" applyBorder="1" applyFont="1" applyNumberFormat="1">
      <alignment horizontal="center" vertical="bottom"/>
    </xf>
    <xf borderId="4" fillId="0" fontId="4" numFmtId="0" xfId="0" applyAlignment="1" applyBorder="1" applyFont="1">
      <alignment vertical="bottom"/>
    </xf>
    <xf borderId="4" fillId="0" fontId="4" numFmtId="1" xfId="0" applyAlignment="1" applyBorder="1" applyFont="1" applyNumberFormat="1">
      <alignment vertical="bottom"/>
    </xf>
    <xf borderId="4" fillId="0" fontId="4" numFmtId="3" xfId="0" applyAlignment="1" applyBorder="1" applyFont="1" applyNumberFormat="1">
      <alignment vertical="bottom"/>
    </xf>
    <xf borderId="3" fillId="280" fontId="23" numFmtId="0" xfId="0" applyAlignment="1" applyBorder="1" applyFont="1">
      <alignment vertical="bottom"/>
    </xf>
    <xf borderId="3" fillId="280" fontId="3" numFmtId="167" xfId="0" applyAlignment="1" applyBorder="1" applyFont="1" applyNumberFormat="1">
      <alignment vertical="bottom"/>
    </xf>
    <xf borderId="1" fillId="0" fontId="24" numFmtId="0" xfId="0" applyAlignment="1" applyBorder="1" applyFont="1">
      <alignment vertical="bottom"/>
    </xf>
    <xf borderId="4" fillId="10" fontId="3" numFmtId="10" xfId="0" applyAlignment="1" applyBorder="1" applyFont="1" applyNumberFormat="1">
      <alignment vertical="bottom"/>
    </xf>
    <xf borderId="3" fillId="10" fontId="3" numFmtId="167" xfId="0" applyAlignment="1" applyBorder="1" applyFont="1" applyNumberFormat="1">
      <alignment horizontal="center" vertical="bottom"/>
    </xf>
    <xf borderId="4" fillId="0" fontId="3" numFmtId="167" xfId="0" applyAlignment="1" applyBorder="1" applyFont="1" applyNumberFormat="1">
      <alignment horizontal="center" vertical="bottom"/>
    </xf>
    <xf borderId="0" fillId="10" fontId="3" numFmtId="167" xfId="0" applyAlignment="1" applyFont="1" applyNumberFormat="1">
      <alignment vertical="bottom"/>
    </xf>
    <xf borderId="4" fillId="10" fontId="3" numFmtId="167" xfId="0" applyAlignment="1" applyBorder="1" applyFont="1" applyNumberFormat="1">
      <alignment horizontal="center" vertical="bottom"/>
    </xf>
    <xf borderId="1" fillId="10" fontId="20" numFmtId="167" xfId="0" applyAlignment="1" applyBorder="1" applyFont="1" applyNumberFormat="1">
      <alignment horizontal="center" vertical="bottom"/>
    </xf>
    <xf borderId="3" fillId="10" fontId="3" numFmtId="167" xfId="0" applyAlignment="1" applyBorder="1" applyFont="1" applyNumberFormat="1">
      <alignment horizontal="center" vertical="bottom"/>
    </xf>
    <xf borderId="0" fillId="0" fontId="3" numFmtId="174" xfId="0" applyAlignment="1" applyFont="1" applyNumberFormat="1">
      <alignment vertical="bottom"/>
    </xf>
    <xf borderId="1" fillId="0" fontId="20" numFmtId="167" xfId="0" applyAlignment="1" applyBorder="1" applyFont="1" applyNumberFormat="1">
      <alignment horizontal="center" vertical="bottom"/>
    </xf>
    <xf borderId="3" fillId="10" fontId="3" numFmtId="10" xfId="0" applyAlignment="1" applyBorder="1" applyFont="1" applyNumberFormat="1">
      <alignment horizontal="center" vertical="bottom"/>
    </xf>
    <xf borderId="1" fillId="0" fontId="20" numFmtId="0" xfId="0" applyAlignment="1" applyBorder="1" applyFont="1">
      <alignment horizontal="center" vertical="bottom"/>
    </xf>
    <xf borderId="3" fillId="0" fontId="3" numFmtId="167" xfId="0" applyAlignment="1" applyBorder="1" applyFont="1" applyNumberFormat="1">
      <alignment horizontal="right" vertical="bottom"/>
    </xf>
    <xf borderId="3" fillId="0" fontId="3" numFmtId="167" xfId="0" applyAlignment="1" applyBorder="1" applyFont="1" applyNumberFormat="1">
      <alignment horizontal="right" vertical="bottom"/>
    </xf>
    <xf borderId="1" fillId="0" fontId="3" numFmtId="167" xfId="0" applyAlignment="1" applyBorder="1" applyFont="1" applyNumberFormat="1">
      <alignment vertical="bottom"/>
    </xf>
    <xf borderId="0" fillId="22" fontId="7" numFmtId="169" xfId="0" applyAlignment="1" applyFont="1" applyNumberFormat="1">
      <alignment horizontal="right" vertical="bottom"/>
    </xf>
    <xf borderId="3" fillId="0" fontId="3" numFmtId="10" xfId="0" applyAlignment="1" applyBorder="1" applyFont="1" applyNumberFormat="1">
      <alignment horizontal="right" vertical="bottom"/>
    </xf>
    <xf borderId="4" fillId="0" fontId="4" numFmtId="2" xfId="0" applyAlignment="1" applyBorder="1" applyFont="1" applyNumberFormat="1">
      <alignment vertical="bottom"/>
    </xf>
    <xf borderId="2" fillId="4" fontId="7" numFmtId="169" xfId="0" applyAlignment="1" applyBorder="1" applyFont="1" applyNumberFormat="1">
      <alignment horizontal="right" vertical="bottom"/>
    </xf>
    <xf borderId="11" fillId="20" fontId="4" numFmtId="0" xfId="0" applyAlignment="1" applyBorder="1" applyFont="1">
      <alignment vertical="bottom"/>
    </xf>
    <xf borderId="12" fillId="8" fontId="3" numFmtId="167" xfId="0" applyAlignment="1" applyBorder="1" applyFont="1" applyNumberFormat="1">
      <alignment vertical="bottom"/>
    </xf>
    <xf borderId="13" fillId="0" fontId="3" numFmtId="0" xfId="0" applyAlignment="1" applyBorder="1" applyFont="1">
      <alignment vertical="bottom"/>
    </xf>
    <xf borderId="14" fillId="0" fontId="3" numFmtId="169" xfId="0" applyAlignment="1" applyBorder="1" applyFont="1" applyNumberFormat="1">
      <alignment vertical="bottom"/>
    </xf>
    <xf borderId="0" fillId="0" fontId="25" numFmtId="0" xfId="0" applyAlignment="1" applyFont="1">
      <alignment vertical="bottom"/>
    </xf>
    <xf borderId="0" fillId="0" fontId="3" numFmtId="0" xfId="0" applyAlignment="1" applyFont="1">
      <alignment shrinkToFit="0" vertical="bottom" wrapText="0"/>
    </xf>
    <xf borderId="13" fillId="0" fontId="3" numFmtId="169" xfId="0" applyAlignment="1" applyBorder="1" applyFont="1" applyNumberFormat="1">
      <alignment vertical="bottom"/>
    </xf>
    <xf borderId="15" fillId="4" fontId="3" numFmtId="169" xfId="0" applyAlignment="1" applyBorder="1" applyFont="1" applyNumberFormat="1">
      <alignment vertical="bottom"/>
    </xf>
    <xf borderId="0" fillId="281" fontId="26" numFmtId="0" xfId="0" applyAlignment="1" applyFill="1" applyFont="1">
      <alignment shrinkToFit="0" vertical="bottom" wrapText="0"/>
    </xf>
    <xf borderId="0" fillId="0" fontId="3" numFmtId="167" xfId="0" applyAlignment="1" applyFont="1" applyNumberFormat="1">
      <alignment horizontal="right" vertical="bottom"/>
    </xf>
    <xf borderId="0" fillId="11" fontId="4" numFmtId="1" xfId="0" applyAlignment="1" applyFont="1" applyNumberFormat="1">
      <alignment vertical="bottom"/>
    </xf>
    <xf borderId="0" fillId="52" fontId="4" numFmtId="169" xfId="0" applyAlignment="1" applyFont="1" applyNumberFormat="1">
      <alignment horizontal="right" vertical="bottom"/>
    </xf>
    <xf borderId="0" fillId="73" fontId="4" numFmtId="169" xfId="0" applyAlignment="1" applyFont="1" applyNumberFormat="1">
      <alignment horizontal="right" vertical="bottom"/>
    </xf>
    <xf borderId="0" fillId="0" fontId="3" numFmtId="4" xfId="0" applyAlignment="1" applyFont="1" applyNumberFormat="1">
      <alignment vertical="bottom"/>
    </xf>
    <xf borderId="0" fillId="282" fontId="4" numFmtId="169" xfId="0" applyAlignment="1" applyFill="1" applyFont="1" applyNumberFormat="1">
      <alignment horizontal="right" vertical="bottom"/>
    </xf>
    <xf borderId="0" fillId="102" fontId="4" numFmtId="169" xfId="0" applyAlignment="1" applyFont="1" applyNumberFormat="1">
      <alignment horizontal="right" vertical="bottom"/>
    </xf>
    <xf borderId="0" fillId="91" fontId="4" numFmtId="169" xfId="0" applyAlignment="1" applyFont="1" applyNumberFormat="1">
      <alignment horizontal="right" vertical="bottom"/>
    </xf>
    <xf borderId="0" fillId="118" fontId="4" numFmtId="169" xfId="0" applyAlignment="1" applyFont="1" applyNumberFormat="1">
      <alignment horizontal="right" vertical="bottom"/>
    </xf>
    <xf borderId="0" fillId="92" fontId="4" numFmtId="169" xfId="0" applyAlignment="1" applyFont="1" applyNumberFormat="1">
      <alignment horizontal="right" vertical="bottom"/>
    </xf>
    <xf borderId="0" fillId="283" fontId="4" numFmtId="169" xfId="0" applyAlignment="1" applyFill="1" applyFont="1" applyNumberFormat="1">
      <alignment horizontal="right" vertical="bottom"/>
    </xf>
    <xf borderId="0" fillId="103" fontId="4" numFmtId="169" xfId="0" applyAlignment="1" applyFont="1" applyNumberFormat="1">
      <alignment horizontal="right" vertical="bottom"/>
    </xf>
    <xf borderId="0" fillId="84" fontId="4" numFmtId="169" xfId="0" applyAlignment="1" applyFont="1" applyNumberFormat="1">
      <alignment horizontal="right" vertical="bottom"/>
    </xf>
    <xf borderId="0" fillId="82" fontId="4" numFmtId="169" xfId="0" applyAlignment="1" applyFont="1" applyNumberFormat="1">
      <alignment horizontal="right" vertical="bottom"/>
    </xf>
    <xf borderId="0" fillId="0" fontId="3" numFmtId="9" xfId="0" applyAlignment="1" applyFont="1" applyNumberFormat="1">
      <alignment horizontal="right" vertical="bottom"/>
    </xf>
    <xf borderId="0" fillId="284" fontId="4" numFmtId="169" xfId="0" applyAlignment="1" applyFill="1" applyFont="1" applyNumberFormat="1">
      <alignment horizontal="right" vertical="bottom"/>
    </xf>
    <xf borderId="0" fillId="75" fontId="4" numFmtId="169" xfId="0" applyAlignment="1" applyFont="1" applyNumberFormat="1">
      <alignment horizontal="right" vertical="bottom"/>
    </xf>
    <xf borderId="0" fillId="285" fontId="4" numFmtId="169" xfId="0" applyAlignment="1" applyFill="1" applyFont="1" applyNumberFormat="1">
      <alignment horizontal="right" vertical="bottom"/>
    </xf>
    <xf borderId="0" fillId="39" fontId="4" numFmtId="169" xfId="0" applyAlignment="1" applyFont="1" applyNumberFormat="1">
      <alignment horizontal="right" vertical="bottom"/>
    </xf>
    <xf borderId="0" fillId="43" fontId="4" numFmtId="169" xfId="0" applyAlignment="1" applyFont="1" applyNumberFormat="1">
      <alignment horizontal="right" vertical="bottom"/>
    </xf>
    <xf borderId="0" fillId="286" fontId="4" numFmtId="169" xfId="0" applyAlignment="1" applyFill="1" applyFont="1" applyNumberFormat="1">
      <alignment horizontal="right" vertical="bottom"/>
    </xf>
    <xf borderId="0" fillId="32" fontId="4" numFmtId="169" xfId="0" applyAlignment="1" applyFont="1" applyNumberFormat="1">
      <alignment horizontal="right" vertical="bottom"/>
    </xf>
    <xf borderId="0" fillId="287" fontId="4" numFmtId="169" xfId="0" applyAlignment="1" applyFill="1" applyFont="1" applyNumberFormat="1">
      <alignment horizontal="right" vertical="bottom"/>
    </xf>
    <xf borderId="0" fillId="31" fontId="4" numFmtId="169" xfId="0" applyAlignment="1" applyFont="1" applyNumberFormat="1">
      <alignment horizontal="right" vertical="bottom"/>
    </xf>
    <xf borderId="1" fillId="288" fontId="4" numFmtId="169" xfId="0" applyAlignment="1" applyBorder="1" applyFill="1" applyFont="1" applyNumberFormat="1">
      <alignment horizontal="right" vertical="bottom"/>
    </xf>
    <xf borderId="0" fillId="124" fontId="4" numFmtId="10" xfId="0" applyAlignment="1" applyFont="1" applyNumberFormat="1">
      <alignment horizontal="right" vertical="bottom"/>
    </xf>
    <xf borderId="0" fillId="125" fontId="4" numFmtId="10" xfId="0" applyAlignment="1" applyFont="1" applyNumberFormat="1">
      <alignment horizontal="right" vertical="bottom"/>
    </xf>
    <xf borderId="0" fillId="92" fontId="4" numFmtId="10" xfId="0" applyAlignment="1" applyFont="1" applyNumberFormat="1">
      <alignment horizontal="right" vertical="bottom"/>
    </xf>
    <xf borderId="0" fillId="289" fontId="4" numFmtId="10" xfId="0" applyAlignment="1" applyFill="1" applyFont="1" applyNumberFormat="1">
      <alignment horizontal="right" vertical="bottom"/>
    </xf>
    <xf borderId="0" fillId="128" fontId="4" numFmtId="10" xfId="0" applyAlignment="1" applyFont="1" applyNumberFormat="1">
      <alignment horizontal="right" vertical="bottom"/>
    </xf>
    <xf borderId="0" fillId="51" fontId="4" numFmtId="10" xfId="0" applyAlignment="1" applyFont="1" applyNumberFormat="1">
      <alignment horizontal="right" vertical="bottom"/>
    </xf>
    <xf borderId="0" fillId="72" fontId="4" numFmtId="10" xfId="0" applyAlignment="1" applyFont="1" applyNumberFormat="1">
      <alignment horizontal="right" vertical="bottom"/>
    </xf>
    <xf borderId="0" fillId="199" fontId="4" numFmtId="10" xfId="0" applyAlignment="1" applyFont="1" applyNumberFormat="1">
      <alignment horizontal="right" vertical="bottom"/>
    </xf>
    <xf borderId="0" fillId="143" fontId="4" numFmtId="10" xfId="0" applyAlignment="1" applyFont="1" applyNumberFormat="1">
      <alignment horizontal="right" vertical="bottom"/>
    </xf>
    <xf borderId="0" fillId="214" fontId="4" numFmtId="10" xfId="0" applyAlignment="1" applyFont="1" applyNumberFormat="1">
      <alignment horizontal="right" vertical="bottom"/>
    </xf>
    <xf borderId="0" fillId="290" fontId="4" numFmtId="10" xfId="0" applyAlignment="1" applyFill="1" applyFont="1" applyNumberFormat="1">
      <alignment horizontal="right" vertical="bottom"/>
    </xf>
    <xf borderId="0" fillId="291" fontId="4" numFmtId="10" xfId="0" applyAlignment="1" applyFill="1" applyFont="1" applyNumberFormat="1">
      <alignment horizontal="right" vertical="bottom"/>
    </xf>
    <xf borderId="0" fillId="292" fontId="4" numFmtId="10" xfId="0" applyAlignment="1" applyFill="1" applyFont="1" applyNumberFormat="1">
      <alignment horizontal="right" vertical="bottom"/>
    </xf>
    <xf borderId="0" fillId="293" fontId="4" numFmtId="10" xfId="0" applyAlignment="1" applyFill="1" applyFont="1" applyNumberFormat="1">
      <alignment horizontal="right" vertical="bottom"/>
    </xf>
    <xf borderId="0" fillId="205" fontId="4" numFmtId="10" xfId="0" applyAlignment="1" applyFont="1" applyNumberFormat="1">
      <alignment horizontal="right" vertical="bottom"/>
    </xf>
    <xf borderId="0" fillId="260" fontId="4" numFmtId="10" xfId="0" applyAlignment="1" applyFont="1" applyNumberFormat="1">
      <alignment horizontal="right" vertical="bottom"/>
    </xf>
    <xf borderId="0" fillId="294" fontId="4" numFmtId="10" xfId="0" applyAlignment="1" applyFill="1" applyFont="1" applyNumberFormat="1">
      <alignment horizontal="right" vertical="bottom"/>
    </xf>
    <xf borderId="0" fillId="282" fontId="4" numFmtId="10" xfId="0" applyAlignment="1" applyFont="1" applyNumberFormat="1">
      <alignment horizontal="right" vertical="bottom"/>
    </xf>
    <xf borderId="0" fillId="264" fontId="4" numFmtId="10" xfId="0" applyAlignment="1" applyFont="1" applyNumberFormat="1">
      <alignment horizontal="right" vertical="bottom"/>
    </xf>
    <xf borderId="0" fillId="213" fontId="4" numFmtId="10" xfId="0" applyAlignment="1" applyFont="1" applyNumberFormat="1">
      <alignment horizontal="right" vertical="bottom"/>
    </xf>
    <xf borderId="0" fillId="99" fontId="4" numFmtId="10" xfId="0" applyAlignment="1" applyFont="1" applyNumberFormat="1">
      <alignment horizontal="right" vertical="bottom"/>
    </xf>
    <xf borderId="1" fillId="24" fontId="4" numFmtId="10" xfId="0" applyAlignment="1" applyBorder="1" applyFont="1" applyNumberFormat="1">
      <alignment horizontal="right" vertical="bottom"/>
    </xf>
    <xf borderId="13" fillId="107" fontId="4" numFmtId="0" xfId="0" applyAlignment="1" applyBorder="1" applyFont="1">
      <alignment vertical="bottom"/>
    </xf>
    <xf borderId="14" fillId="24" fontId="4" numFmtId="2" xfId="0" applyAlignment="1" applyBorder="1" applyFont="1" applyNumberFormat="1">
      <alignment vertical="bottom"/>
    </xf>
    <xf borderId="13" fillId="24" fontId="4" numFmtId="2" xfId="0" applyAlignment="1" applyBorder="1" applyFont="1" applyNumberFormat="1">
      <alignment vertical="bottom"/>
    </xf>
    <xf borderId="0" fillId="8" fontId="3" numFmtId="167" xfId="0" applyAlignment="1" applyFont="1" applyNumberFormat="1">
      <alignment vertical="bottom"/>
    </xf>
    <xf borderId="1" fillId="243" fontId="4" numFmtId="0" xfId="0" applyAlignment="1" applyBorder="1" applyFont="1">
      <alignment vertical="bottom"/>
    </xf>
    <xf borderId="5" fillId="295" fontId="4" numFmtId="0" xfId="0" applyAlignment="1" applyBorder="1" applyFill="1" applyFont="1">
      <alignment vertical="bottom"/>
    </xf>
    <xf borderId="4" fillId="295" fontId="4" numFmtId="0" xfId="0" applyAlignment="1" applyBorder="1" applyFont="1">
      <alignment vertical="bottom"/>
    </xf>
    <xf borderId="4" fillId="295" fontId="4" numFmtId="1" xfId="0" applyAlignment="1" applyBorder="1" applyFont="1" applyNumberFormat="1">
      <alignment vertical="bottom"/>
    </xf>
    <xf borderId="4" fillId="295" fontId="4" numFmtId="3" xfId="0" applyAlignment="1" applyBorder="1" applyFont="1" applyNumberFormat="1">
      <alignment vertical="bottom"/>
    </xf>
    <xf borderId="1" fillId="19" fontId="4" numFmtId="0" xfId="0" applyAlignment="1" applyBorder="1" applyFont="1">
      <alignment vertical="bottom"/>
    </xf>
    <xf borderId="0" fillId="19" fontId="4" numFmtId="1" xfId="0" applyAlignment="1" applyFont="1" applyNumberFormat="1">
      <alignment horizontal="right" vertical="bottom"/>
    </xf>
    <xf borderId="1" fillId="25" fontId="4" numFmtId="1" xfId="0" applyAlignment="1" applyBorder="1" applyFont="1" applyNumberFormat="1">
      <alignment vertical="bottom"/>
    </xf>
    <xf borderId="16" fillId="4" fontId="4" numFmtId="3" xfId="0" applyAlignment="1" applyBorder="1" applyFont="1" applyNumberFormat="1">
      <alignment vertical="bottom"/>
    </xf>
    <xf borderId="5" fillId="243" fontId="7" numFmtId="0" xfId="0" applyAlignment="1" applyBorder="1" applyFont="1">
      <alignment vertical="bottom"/>
    </xf>
    <xf borderId="1" fillId="296" fontId="4" numFmtId="0" xfId="0" applyAlignment="1" applyBorder="1" applyFill="1" applyFont="1">
      <alignment vertical="bottom"/>
    </xf>
    <xf borderId="8" fillId="4" fontId="5" numFmtId="169" xfId="0" applyAlignment="1" applyBorder="1" applyFont="1" applyNumberFormat="1">
      <alignment horizontal="right" vertical="bottom"/>
    </xf>
    <xf borderId="3" fillId="296" fontId="4" numFmtId="0" xfId="0" applyAlignment="1" applyBorder="1" applyFont="1">
      <alignment vertical="bottom"/>
    </xf>
    <xf borderId="16" fillId="4" fontId="5" numFmtId="169" xfId="0" applyAlignment="1" applyBorder="1" applyFont="1" applyNumberFormat="1">
      <alignment horizontal="right" vertical="bottom"/>
    </xf>
    <xf borderId="1" fillId="0" fontId="1" numFmtId="0" xfId="0" applyBorder="1" applyFont="1"/>
    <xf borderId="4" fillId="0" fontId="4" numFmtId="169" xfId="0" applyAlignment="1" applyBorder="1" applyFont="1" applyNumberFormat="1">
      <alignment vertical="bottom"/>
    </xf>
    <xf borderId="8" fillId="4" fontId="4" numFmtId="169" xfId="0" applyAlignment="1" applyBorder="1" applyFont="1" applyNumberFormat="1">
      <alignment vertical="bottom"/>
    </xf>
    <xf borderId="0" fillId="22" fontId="7" numFmtId="0" xfId="0" applyAlignment="1" applyFont="1">
      <alignment vertical="bottom"/>
    </xf>
    <xf borderId="2" fillId="22" fontId="7" numFmtId="169" xfId="0" applyAlignment="1" applyBorder="1" applyFont="1" applyNumberFormat="1">
      <alignment horizontal="right" vertical="bottom"/>
    </xf>
    <xf borderId="1" fillId="22" fontId="7" numFmtId="169" xfId="0" applyAlignment="1" applyBorder="1" applyFont="1" applyNumberFormat="1">
      <alignment horizontal="right" vertical="bottom"/>
    </xf>
    <xf borderId="16" fillId="4" fontId="4" numFmtId="169" xfId="0" applyAlignment="1" applyBorder="1" applyFont="1" applyNumberFormat="1">
      <alignment vertical="bottom"/>
    </xf>
    <xf borderId="17" fillId="243" fontId="7" numFmtId="0" xfId="0" applyAlignment="1" applyBorder="1" applyFont="1">
      <alignment vertical="bottom"/>
    </xf>
    <xf borderId="12" fillId="0" fontId="3" numFmtId="169" xfId="0" applyAlignment="1" applyBorder="1" applyFont="1" applyNumberFormat="1">
      <alignment vertical="bottom"/>
    </xf>
    <xf borderId="18" fillId="4" fontId="3" numFmtId="169" xfId="0" applyAlignment="1" applyBorder="1" applyFont="1" applyNumberFormat="1">
      <alignment vertical="bottom"/>
    </xf>
    <xf borderId="3" fillId="18" fontId="4" numFmtId="0" xfId="0" applyAlignment="1" applyBorder="1" applyFont="1">
      <alignment vertical="bottom"/>
    </xf>
    <xf borderId="8" fillId="4" fontId="3" numFmtId="169" xfId="0" applyAlignment="1" applyBorder="1" applyFont="1" applyNumberFormat="1">
      <alignment vertical="bottom"/>
    </xf>
    <xf borderId="2" fillId="0" fontId="4" numFmtId="0" xfId="0" applyAlignment="1" applyBorder="1" applyFont="1">
      <alignment vertical="bottom"/>
    </xf>
    <xf borderId="1" fillId="6" fontId="2" numFmtId="0" xfId="0" applyAlignment="1" applyBorder="1" applyFont="1">
      <alignment readingOrder="0" vertical="bottom"/>
    </xf>
    <xf borderId="1" fillId="7" fontId="4" numFmtId="0" xfId="0" applyAlignment="1" applyBorder="1" applyFont="1">
      <alignment readingOrder="0" vertical="bottom"/>
    </xf>
    <xf borderId="2" fillId="8" fontId="4" numFmtId="0" xfId="0" applyAlignment="1" applyBorder="1" applyFont="1">
      <alignment horizontal="right" readingOrder="0" vertical="bottom"/>
    </xf>
    <xf borderId="0" fillId="8" fontId="4" numFmtId="0" xfId="0" applyAlignment="1" applyFont="1">
      <alignment horizontal="right" readingOrder="0" vertical="bottom"/>
    </xf>
    <xf borderId="2" fillId="0" fontId="5" numFmtId="0" xfId="0" applyAlignment="1" applyBorder="1" applyFont="1">
      <alignment horizontal="right" vertical="bottom"/>
    </xf>
    <xf borderId="1" fillId="0" fontId="4" numFmtId="0" xfId="0" applyAlignment="1" applyBorder="1" applyFont="1">
      <alignment readingOrder="0" vertical="bottom"/>
    </xf>
    <xf borderId="0" fillId="297" fontId="4" numFmtId="0" xfId="0" applyAlignment="1" applyFill="1" applyFont="1">
      <alignment horizontal="right" readingOrder="0" vertical="bottom"/>
    </xf>
    <xf borderId="0" fillId="3" fontId="4" numFmtId="0" xfId="0" applyAlignment="1" applyFont="1">
      <alignment horizontal="right" readingOrder="0" vertical="bottom"/>
    </xf>
    <xf borderId="0" fillId="297" fontId="4" numFmtId="1" xfId="0" applyAlignment="1" applyFont="1" applyNumberFormat="1">
      <alignment readingOrder="0" vertical="bottom"/>
    </xf>
    <xf borderId="0" fillId="297" fontId="4" numFmtId="1" xfId="0" applyAlignment="1" applyFont="1" applyNumberFormat="1">
      <alignment vertical="bottom"/>
    </xf>
    <xf borderId="2" fillId="0" fontId="5" numFmtId="1" xfId="0" applyAlignment="1" applyBorder="1" applyFont="1" applyNumberFormat="1">
      <alignment horizontal="right" vertical="bottom"/>
    </xf>
    <xf borderId="9" fillId="0" fontId="4" numFmtId="0" xfId="0" applyAlignment="1" applyBorder="1" applyFont="1">
      <alignment readingOrder="0" vertical="bottom"/>
    </xf>
    <xf borderId="0" fillId="8" fontId="4" numFmtId="3" xfId="0" applyAlignment="1" applyFont="1" applyNumberFormat="1">
      <alignment horizontal="right" readingOrder="0" vertical="bottom"/>
    </xf>
    <xf borderId="0" fillId="0" fontId="5" numFmtId="0" xfId="0" applyAlignment="1" applyFont="1">
      <alignment horizontal="right" vertical="bottom"/>
    </xf>
    <xf borderId="3" fillId="0" fontId="4" numFmtId="0" xfId="0" applyAlignment="1" applyBorder="1" applyFont="1">
      <alignment readingOrder="0" vertical="bottom"/>
    </xf>
    <xf borderId="4" fillId="297" fontId="4" numFmtId="1" xfId="0" applyAlignment="1" applyBorder="1" applyFont="1" applyNumberFormat="1">
      <alignment readingOrder="0" vertical="bottom"/>
    </xf>
    <xf borderId="4" fillId="297" fontId="4" numFmtId="1" xfId="0" applyAlignment="1" applyBorder="1" applyFont="1" applyNumberFormat="1">
      <alignment vertical="bottom"/>
    </xf>
    <xf borderId="1" fillId="0" fontId="7" numFmtId="0" xfId="0" applyAlignment="1" applyBorder="1" applyFont="1">
      <alignment readingOrder="0" vertical="bottom"/>
    </xf>
    <xf borderId="1" fillId="12" fontId="4" numFmtId="0" xfId="0" applyAlignment="1" applyBorder="1" applyFont="1">
      <alignment readingOrder="0" vertical="bottom"/>
    </xf>
    <xf borderId="2" fillId="8" fontId="4" numFmtId="167" xfId="0" applyAlignment="1" applyBorder="1" applyFont="1" applyNumberFormat="1">
      <alignment horizontal="right" readingOrder="0" vertical="bottom"/>
    </xf>
    <xf borderId="0" fillId="8" fontId="4" numFmtId="167" xfId="0" applyAlignment="1" applyFont="1" applyNumberFormat="1">
      <alignment horizontal="right" readingOrder="0" vertical="bottom"/>
    </xf>
    <xf borderId="2" fillId="0" fontId="5" numFmtId="167" xfId="0" applyAlignment="1" applyBorder="1" applyFont="1" applyNumberFormat="1">
      <alignment horizontal="right" vertical="bottom"/>
    </xf>
    <xf borderId="2" fillId="297" fontId="4" numFmtId="167" xfId="0" applyAlignment="1" applyBorder="1" applyFont="1" applyNumberFormat="1">
      <alignment readingOrder="0" vertical="bottom"/>
    </xf>
    <xf borderId="0" fillId="297" fontId="4" numFmtId="167" xfId="0" applyAlignment="1" applyFont="1" applyNumberFormat="1">
      <alignment readingOrder="0" vertical="bottom"/>
    </xf>
    <xf borderId="0" fillId="297" fontId="4" numFmtId="167" xfId="0" applyAlignment="1" applyFont="1" applyNumberFormat="1">
      <alignment horizontal="right" readingOrder="0" vertical="bottom"/>
    </xf>
    <xf borderId="0" fillId="85" fontId="4" numFmtId="167" xfId="0" applyAlignment="1" applyFont="1" applyNumberFormat="1">
      <alignment readingOrder="0" vertical="bottom"/>
    </xf>
    <xf borderId="0" fillId="85" fontId="4" numFmtId="167" xfId="0" applyAlignment="1" applyFont="1" applyNumberFormat="1">
      <alignment vertical="bottom"/>
    </xf>
    <xf borderId="0" fillId="85" fontId="7" numFmtId="169" xfId="0" applyAlignment="1" applyFont="1" applyNumberFormat="1">
      <alignment horizontal="right" readingOrder="0" vertical="bottom"/>
    </xf>
    <xf borderId="0" fillId="85" fontId="7" numFmtId="169" xfId="0" applyAlignment="1" applyFont="1" applyNumberFormat="1">
      <alignment horizontal="right" vertical="bottom"/>
    </xf>
    <xf borderId="0" fillId="8" fontId="4" numFmtId="167" xfId="0" applyAlignment="1" applyFont="1" applyNumberFormat="1">
      <alignment horizontal="right" readingOrder="0" vertical="bottom"/>
    </xf>
    <xf borderId="0" fillId="8" fontId="4" numFmtId="4" xfId="0" applyAlignment="1" applyFont="1" applyNumberFormat="1">
      <alignment horizontal="right" readingOrder="0" vertical="bottom"/>
    </xf>
    <xf borderId="4" fillId="85" fontId="4" numFmtId="167" xfId="0" applyAlignment="1" applyBorder="1" applyFont="1" applyNumberFormat="1">
      <alignment readingOrder="0" vertical="bottom"/>
    </xf>
    <xf borderId="4" fillId="85" fontId="7" numFmtId="169" xfId="0" applyAlignment="1" applyBorder="1" applyFont="1" applyNumberFormat="1">
      <alignment horizontal="right" vertical="bottom"/>
    </xf>
    <xf borderId="2" fillId="0" fontId="5" numFmtId="169" xfId="0" applyAlignment="1" applyBorder="1" applyFont="1" applyNumberFormat="1">
      <alignment horizontal="right" vertical="bottom"/>
    </xf>
    <xf borderId="1" fillId="13" fontId="4" numFmtId="0" xfId="0" applyAlignment="1" applyBorder="1" applyFont="1">
      <alignment readingOrder="0" vertical="bottom"/>
    </xf>
    <xf borderId="0" fillId="8" fontId="4" numFmtId="169" xfId="0" applyAlignment="1" applyFont="1" applyNumberFormat="1">
      <alignment horizontal="right" readingOrder="0" vertical="bottom"/>
    </xf>
    <xf borderId="1" fillId="0" fontId="3" numFmtId="169" xfId="0" applyAlignment="1" applyBorder="1" applyFont="1" applyNumberFormat="1">
      <alignment horizontal="right" vertical="bottom"/>
    </xf>
    <xf borderId="0" fillId="297" fontId="27" numFmtId="169" xfId="0" applyAlignment="1" applyFont="1" applyNumberFormat="1">
      <alignment vertical="bottom"/>
    </xf>
    <xf borderId="0" fillId="297" fontId="4" numFmtId="169" xfId="0" applyAlignment="1" applyFont="1" applyNumberFormat="1">
      <alignment vertical="bottom"/>
    </xf>
    <xf borderId="0" fillId="10" fontId="28" numFmtId="0" xfId="0" applyAlignment="1" applyFont="1">
      <alignment horizontal="left" readingOrder="0"/>
    </xf>
    <xf borderId="2" fillId="297" fontId="4" numFmtId="169" xfId="0" applyAlignment="1" applyBorder="1" applyFont="1" applyNumberFormat="1">
      <alignment vertical="bottom"/>
    </xf>
    <xf borderId="2" fillId="3" fontId="4" numFmtId="169" xfId="0" applyAlignment="1" applyBorder="1" applyFont="1" applyNumberFormat="1">
      <alignment vertical="bottom"/>
    </xf>
    <xf borderId="4" fillId="297" fontId="4" numFmtId="169" xfId="0" applyAlignment="1" applyBorder="1" applyFont="1" applyNumberFormat="1">
      <alignment vertical="bottom"/>
    </xf>
    <xf borderId="12" fillId="0" fontId="7" numFmtId="169" xfId="0" applyAlignment="1" applyBorder="1" applyFont="1" applyNumberFormat="1">
      <alignment horizontal="right" vertical="bottom"/>
    </xf>
    <xf borderId="2" fillId="0" fontId="4" numFmtId="169" xfId="0" applyAlignment="1" applyBorder="1" applyFont="1" applyNumberFormat="1">
      <alignment horizontal="right" vertical="bottom"/>
    </xf>
    <xf borderId="16" fillId="4" fontId="3" numFmtId="169" xfId="0" applyAlignment="1" applyBorder="1" applyFont="1" applyNumberFormat="1">
      <alignment vertical="bottom"/>
    </xf>
    <xf borderId="1" fillId="17" fontId="4" numFmtId="0" xfId="0" applyAlignment="1" applyBorder="1" applyFont="1">
      <alignment vertical="bottom"/>
    </xf>
    <xf borderId="0" fillId="17" fontId="4" numFmtId="0" xfId="0" applyAlignment="1" applyFont="1">
      <alignment vertical="bottom"/>
    </xf>
    <xf borderId="2" fillId="17" fontId="4"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2" fillId="0" fontId="29" numFmtId="169" xfId="0" applyAlignment="1" applyBorder="1" applyFont="1" applyNumberFormat="1">
      <alignment horizontal="center" vertical="bottom"/>
    </xf>
    <xf borderId="1" fillId="277" fontId="4" numFmtId="0" xfId="0" applyAlignment="1" applyBorder="1" applyFont="1">
      <alignment readingOrder="0" vertical="bottom"/>
    </xf>
    <xf borderId="0" fillId="298" fontId="4" numFmtId="2" xfId="0" applyAlignment="1" applyFill="1" applyFont="1" applyNumberFormat="1">
      <alignment horizontal="right" vertical="bottom"/>
    </xf>
    <xf borderId="0" fillId="299" fontId="4" numFmtId="169" xfId="0" applyAlignment="1" applyFill="1" applyFont="1" applyNumberFormat="1">
      <alignment horizontal="right" vertical="bottom"/>
    </xf>
    <xf borderId="1" fillId="277" fontId="4" numFmtId="0" xfId="0" applyAlignment="1" applyBorder="1" applyFont="1">
      <alignment vertical="bottom"/>
    </xf>
    <xf borderId="0" fillId="300" fontId="2" numFmtId="2" xfId="0" applyAlignment="1" applyFill="1" applyFont="1" applyNumberFormat="1">
      <alignment horizontal="right" vertical="bottom"/>
    </xf>
    <xf borderId="1" fillId="301" fontId="4" numFmtId="0" xfId="0" applyAlignment="1" applyBorder="1" applyFill="1" applyFont="1">
      <alignment readingOrder="0" vertical="bottom"/>
    </xf>
    <xf borderId="1" fillId="302" fontId="4" numFmtId="0" xfId="0" applyAlignment="1" applyBorder="1" applyFill="1" applyFont="1">
      <alignment readingOrder="0" vertical="bottom"/>
    </xf>
    <xf borderId="1" fillId="302" fontId="4" numFmtId="0" xfId="0" applyAlignment="1" applyBorder="1" applyFont="1">
      <alignment vertical="bottom"/>
    </xf>
    <xf borderId="1" fillId="303" fontId="2" numFmtId="0" xfId="0" applyAlignment="1" applyBorder="1" applyFill="1" applyFont="1">
      <alignment vertical="bottom"/>
    </xf>
    <xf borderId="1" fillId="304" fontId="2" numFmtId="0" xfId="0" applyAlignment="1" applyBorder="1" applyFill="1" applyFont="1">
      <alignment readingOrder="0" vertical="bottom"/>
    </xf>
    <xf borderId="1" fillId="305" fontId="4" numFmtId="0" xfId="0" applyAlignment="1" applyBorder="1" applyFill="1" applyFont="1">
      <alignment readingOrder="0" vertical="bottom"/>
    </xf>
    <xf borderId="1" fillId="305" fontId="4" numFmtId="0" xfId="0" applyAlignment="1" applyBorder="1" applyFont="1">
      <alignment vertical="bottom"/>
    </xf>
    <xf borderId="1" fillId="14" fontId="2" numFmtId="0" xfId="0" applyAlignment="1" applyBorder="1" applyFont="1">
      <alignment readingOrder="0" vertical="bottom"/>
    </xf>
    <xf borderId="1" fillId="306" fontId="4" numFmtId="0" xfId="0" applyAlignment="1" applyBorder="1" applyFill="1" applyFont="1">
      <alignment readingOrder="0" vertical="bottom"/>
    </xf>
    <xf borderId="1" fillId="306" fontId="4" numFmtId="0" xfId="0" applyAlignment="1" applyBorder="1" applyFont="1">
      <alignment vertical="bottom"/>
    </xf>
    <xf borderId="1" fillId="307" fontId="2" numFmtId="0" xfId="0" applyAlignment="1" applyBorder="1" applyFill="1" applyFont="1">
      <alignment readingOrder="0" vertical="bottom"/>
    </xf>
    <xf borderId="1" fillId="308" fontId="4" numFmtId="0" xfId="0" applyAlignment="1" applyBorder="1" applyFill="1" applyFont="1">
      <alignment readingOrder="0" vertical="bottom"/>
    </xf>
    <xf borderId="0" fillId="85" fontId="30" numFmtId="169" xfId="0" applyAlignment="1" applyFont="1" applyNumberFormat="1">
      <alignment horizontal="right" vertical="bottom"/>
    </xf>
    <xf borderId="1" fillId="308" fontId="4" numFmtId="0" xfId="0" applyAlignment="1" applyBorder="1" applyFont="1">
      <alignment vertical="bottom"/>
    </xf>
    <xf borderId="1" fillId="15" fontId="4" numFmtId="0" xfId="0" applyAlignment="1" applyBorder="1" applyFont="1">
      <alignment readingOrder="0" vertical="bottom"/>
    </xf>
    <xf borderId="0" fillId="85" fontId="30" numFmtId="2" xfId="0" applyAlignment="1" applyFont="1" applyNumberFormat="1">
      <alignment horizontal="center" vertical="bottom"/>
    </xf>
    <xf borderId="0" fillId="85" fontId="30" numFmtId="169" xfId="0" applyAlignment="1" applyFont="1" applyNumberFormat="1">
      <alignment horizontal="center" vertical="bottom"/>
    </xf>
    <xf borderId="0" fillId="0" fontId="4" numFmtId="182" xfId="0" applyAlignment="1" applyFont="1" applyNumberFormat="1">
      <alignment vertical="bottom"/>
    </xf>
    <xf borderId="1" fillId="309" fontId="2" numFmtId="0" xfId="0" applyAlignment="1" applyBorder="1" applyFill="1" applyFont="1">
      <alignment vertical="bottom"/>
    </xf>
    <xf borderId="0" fillId="3" fontId="3" numFmtId="169" xfId="0" applyAlignment="1" applyFont="1" applyNumberFormat="1">
      <alignment vertical="bottom"/>
    </xf>
    <xf borderId="1" fillId="3" fontId="3" numFmtId="169" xfId="0" applyAlignment="1" applyBorder="1" applyFont="1" applyNumberFormat="1">
      <alignment vertical="bottom"/>
    </xf>
    <xf borderId="1" fillId="0" fontId="4" numFmtId="2" xfId="0" applyAlignment="1" applyBorder="1" applyFont="1" applyNumberFormat="1">
      <alignment vertical="bottom"/>
    </xf>
    <xf borderId="1" fillId="310" fontId="2" numFmtId="0" xfId="0" applyAlignment="1" applyBorder="1" applyFill="1" applyFont="1">
      <alignment readingOrder="0" vertical="bottom"/>
    </xf>
    <xf borderId="0" fillId="0" fontId="4" numFmtId="169" xfId="0" applyAlignment="1" applyFont="1" applyNumberFormat="1">
      <alignment horizontal="right" readingOrder="0" vertical="bottom"/>
    </xf>
    <xf borderId="1" fillId="0" fontId="4" numFmtId="169" xfId="0" applyAlignment="1" applyBorder="1" applyFont="1" applyNumberFormat="1">
      <alignment horizontal="right" readingOrder="0" vertical="bottom"/>
    </xf>
    <xf borderId="1" fillId="301" fontId="4" numFmtId="0" xfId="0" applyAlignment="1" applyBorder="1" applyFont="1">
      <alignment vertical="bottom"/>
    </xf>
    <xf borderId="0" fillId="0" fontId="4" numFmtId="4" xfId="0" applyAlignment="1" applyFont="1" applyNumberFormat="1">
      <alignment horizontal="right" vertical="bottom"/>
    </xf>
    <xf borderId="0" fillId="0" fontId="4" numFmtId="175" xfId="0" applyAlignment="1" applyFont="1" applyNumberFormat="1">
      <alignment horizontal="right" readingOrder="0" vertical="bottom"/>
    </xf>
    <xf borderId="1" fillId="0" fontId="4" numFmtId="175" xfId="0" applyAlignment="1" applyBorder="1" applyFont="1" applyNumberFormat="1">
      <alignment horizontal="right" readingOrder="0" vertical="bottom"/>
    </xf>
    <xf borderId="0" fillId="311" fontId="4" numFmtId="169" xfId="0" applyAlignment="1" applyFill="1" applyFont="1" applyNumberFormat="1">
      <alignment horizontal="right" vertical="bottom"/>
    </xf>
    <xf borderId="0" fillId="312" fontId="4" numFmtId="169" xfId="0" applyAlignment="1" applyFill="1" applyFont="1" applyNumberFormat="1">
      <alignment horizontal="right" vertical="bottom"/>
    </xf>
    <xf borderId="0" fillId="313" fontId="4" numFmtId="169" xfId="0" applyAlignment="1" applyFill="1" applyFont="1" applyNumberFormat="1">
      <alignment horizontal="right" vertical="bottom"/>
    </xf>
    <xf borderId="0" fillId="314" fontId="4" numFmtId="169" xfId="0" applyAlignment="1" applyFill="1" applyFont="1" applyNumberFormat="1">
      <alignment horizontal="right" vertical="bottom"/>
    </xf>
    <xf borderId="0" fillId="315" fontId="4" numFmtId="169" xfId="0" applyAlignment="1" applyFill="1" applyFont="1" applyNumberFormat="1">
      <alignment horizontal="right" vertical="bottom"/>
    </xf>
    <xf borderId="0" fillId="316" fontId="4" numFmtId="169" xfId="0" applyAlignment="1" applyFill="1" applyFont="1" applyNumberFormat="1">
      <alignment horizontal="right" vertical="bottom"/>
    </xf>
    <xf borderId="0" fillId="317" fontId="4" numFmtId="169" xfId="0" applyAlignment="1" applyFill="1" applyFont="1" applyNumberFormat="1">
      <alignment horizontal="right" vertical="bottom"/>
    </xf>
    <xf borderId="0" fillId="318" fontId="4" numFmtId="169" xfId="0" applyAlignment="1" applyFill="1" applyFont="1" applyNumberFormat="1">
      <alignment horizontal="right" vertical="bottom"/>
    </xf>
    <xf borderId="0" fillId="319" fontId="4" numFmtId="169" xfId="0" applyAlignment="1" applyFill="1" applyFont="1" applyNumberFormat="1">
      <alignment horizontal="right" vertical="bottom"/>
    </xf>
    <xf borderId="2" fillId="0" fontId="4" numFmtId="169" xfId="0" applyAlignment="1" applyBorder="1" applyFont="1" applyNumberFormat="1">
      <alignment vertical="bottom"/>
    </xf>
    <xf borderId="0" fillId="320" fontId="4" numFmtId="169" xfId="0" applyAlignment="1" applyFill="1" applyFont="1" applyNumberFormat="1">
      <alignment horizontal="right" vertical="bottom"/>
    </xf>
    <xf borderId="1" fillId="321" fontId="2" numFmtId="0" xfId="0" applyAlignment="1" applyBorder="1" applyFill="1" applyFont="1">
      <alignment readingOrder="0" vertical="bottom"/>
    </xf>
    <xf borderId="0" fillId="322" fontId="4" numFmtId="169" xfId="0" applyAlignment="1" applyFill="1" applyFont="1" applyNumberFormat="1">
      <alignment horizontal="right" vertical="bottom"/>
    </xf>
    <xf borderId="1" fillId="279" fontId="4" numFmtId="0" xfId="0" applyAlignment="1" applyBorder="1" applyFont="1">
      <alignment readingOrder="0" vertical="bottom"/>
    </xf>
    <xf borderId="1" fillId="10" fontId="4" numFmtId="169" xfId="0" applyAlignment="1" applyBorder="1" applyFont="1" applyNumberFormat="1">
      <alignment horizontal="right" vertical="bottom"/>
    </xf>
    <xf borderId="14" fillId="0" fontId="3" numFmtId="0" xfId="0" applyAlignment="1" applyBorder="1" applyFont="1">
      <alignment vertical="bottom"/>
    </xf>
    <xf borderId="15" fillId="4" fontId="5" numFmtId="169" xfId="0" applyAlignment="1" applyBorder="1" applyFont="1" applyNumberFormat="1">
      <alignment horizontal="right" vertical="bottom"/>
    </xf>
    <xf borderId="1" fillId="279" fontId="4" numFmtId="0" xfId="0" applyAlignment="1" applyBorder="1" applyFont="1">
      <alignment vertical="bottom"/>
    </xf>
    <xf borderId="0" fillId="107" fontId="4" numFmtId="0" xfId="0" applyAlignment="1" applyFont="1">
      <alignment vertical="bottom"/>
    </xf>
    <xf borderId="0" fillId="276" fontId="4" numFmtId="169" xfId="0" applyAlignment="1" applyFont="1" applyNumberFormat="1">
      <alignment horizontal="right" vertical="bottom"/>
    </xf>
    <xf borderId="0" fillId="323" fontId="4" numFmtId="169" xfId="0" applyAlignment="1" applyFill="1" applyFont="1" applyNumberFormat="1">
      <alignment horizontal="right" vertical="bottom"/>
    </xf>
    <xf borderId="0" fillId="49" fontId="4" numFmtId="169" xfId="0" applyAlignment="1" applyFont="1" applyNumberFormat="1">
      <alignment horizontal="right" vertical="bottom"/>
    </xf>
    <xf borderId="0" fillId="324" fontId="4" numFmtId="169" xfId="0" applyAlignment="1" applyFill="1" applyFont="1" applyNumberFormat="1">
      <alignment horizontal="right" vertical="bottom"/>
    </xf>
    <xf borderId="0" fillId="325" fontId="4" numFmtId="169" xfId="0" applyAlignment="1" applyFill="1" applyFont="1" applyNumberFormat="1">
      <alignment horizontal="right" vertical="bottom"/>
    </xf>
    <xf borderId="0" fillId="70" fontId="4" numFmtId="169" xfId="0" applyAlignment="1" applyFont="1" applyNumberFormat="1">
      <alignment horizontal="right" vertical="bottom"/>
    </xf>
    <xf borderId="0" fillId="275" fontId="4" numFmtId="169" xfId="0" applyAlignment="1" applyFont="1" applyNumberFormat="1">
      <alignment horizontal="right" vertical="bottom"/>
    </xf>
    <xf borderId="0" fillId="291" fontId="4" numFmtId="169" xfId="0" applyAlignment="1" applyFont="1" applyNumberFormat="1">
      <alignment horizontal="right" vertical="bottom"/>
    </xf>
    <xf borderId="0" fillId="326" fontId="4" numFmtId="169" xfId="0" applyAlignment="1" applyFill="1" applyFont="1" applyNumberFormat="1">
      <alignment horizontal="right" vertical="bottom"/>
    </xf>
    <xf borderId="0" fillId="327" fontId="4" numFmtId="169" xfId="0" applyAlignment="1" applyFill="1" applyFont="1" applyNumberFormat="1">
      <alignment horizontal="right" vertical="bottom"/>
    </xf>
    <xf borderId="0" fillId="328" fontId="4" numFmtId="169" xfId="0" applyAlignment="1" applyFill="1" applyFont="1" applyNumberFormat="1">
      <alignment horizontal="right" vertical="bottom"/>
    </xf>
    <xf borderId="0" fillId="329" fontId="4" numFmtId="169" xfId="0" applyAlignment="1" applyFill="1" applyFont="1" applyNumberFormat="1">
      <alignment horizontal="right" vertical="bottom"/>
    </xf>
    <xf borderId="0" fillId="330" fontId="4" numFmtId="169" xfId="0" applyAlignment="1" applyFill="1" applyFont="1" applyNumberFormat="1">
      <alignment horizontal="right" vertical="bottom"/>
    </xf>
    <xf borderId="0" fillId="57" fontId="4" numFmtId="169" xfId="0" applyAlignment="1" applyFont="1" applyNumberFormat="1">
      <alignment horizontal="right" vertical="bottom"/>
    </xf>
    <xf borderId="0" fillId="331" fontId="4" numFmtId="169" xfId="0" applyAlignment="1" applyFill="1" applyFont="1" applyNumberFormat="1">
      <alignment horizontal="right" vertical="bottom"/>
    </xf>
    <xf borderId="0" fillId="332" fontId="4" numFmtId="169" xfId="0" applyAlignment="1" applyFill="1" applyFont="1" applyNumberFormat="1">
      <alignment horizontal="right" vertical="bottom"/>
    </xf>
    <xf borderId="0" fillId="56" fontId="4" numFmtId="169" xfId="0" applyAlignment="1" applyFont="1" applyNumberFormat="1">
      <alignment horizontal="right" vertical="bottom"/>
    </xf>
    <xf borderId="0" fillId="33" fontId="4" numFmtId="169" xfId="0" applyAlignment="1" applyFont="1" applyNumberFormat="1">
      <alignment horizontal="right" vertical="bottom"/>
    </xf>
    <xf borderId="0" fillId="333" fontId="4" numFmtId="169" xfId="0" applyAlignment="1" applyFill="1" applyFont="1" applyNumberFormat="1">
      <alignment horizontal="right" vertical="bottom"/>
    </xf>
    <xf borderId="0" fillId="334" fontId="4" numFmtId="169" xfId="0" applyAlignment="1" applyFill="1" applyFont="1" applyNumberFormat="1">
      <alignment horizontal="right" vertical="bottom"/>
    </xf>
    <xf borderId="0" fillId="61" fontId="4" numFmtId="169" xfId="0" applyAlignment="1" applyFont="1" applyNumberFormat="1">
      <alignment horizontal="right" vertical="bottom"/>
    </xf>
    <xf borderId="0" fillId="268" fontId="4" numFmtId="169" xfId="0" applyAlignment="1" applyFont="1" applyNumberFormat="1">
      <alignment horizontal="right" vertical="bottom"/>
    </xf>
    <xf borderId="0" fillId="288" fontId="4" numFmtId="169" xfId="0" applyAlignment="1" applyFont="1" applyNumberFormat="1">
      <alignment horizontal="right" vertical="bottom"/>
    </xf>
    <xf borderId="0" fillId="240" fontId="4" numFmtId="169" xfId="0" applyAlignment="1" applyFont="1" applyNumberFormat="1">
      <alignment horizontal="right" vertical="bottom"/>
    </xf>
    <xf borderId="0" fillId="60" fontId="4" numFmtId="169" xfId="0" applyAlignment="1" applyFont="1" applyNumberFormat="1">
      <alignment horizontal="right" vertical="bottom"/>
    </xf>
    <xf borderId="1" fillId="10" fontId="4" numFmtId="0" xfId="0" applyAlignment="1" applyBorder="1" applyFont="1">
      <alignment readingOrder="0" vertical="bottom"/>
    </xf>
    <xf borderId="0" fillId="10" fontId="4" numFmtId="0" xfId="0" applyAlignment="1" applyFont="1">
      <alignment vertical="bottom"/>
    </xf>
    <xf borderId="0" fillId="335" fontId="4" numFmtId="10" xfId="0" applyAlignment="1" applyFill="1" applyFont="1" applyNumberFormat="1">
      <alignment horizontal="right" vertical="bottom"/>
    </xf>
    <xf borderId="2" fillId="10" fontId="4" numFmtId="0" xfId="0" applyAlignment="1" applyBorder="1" applyFont="1">
      <alignment vertical="bottom"/>
    </xf>
    <xf borderId="0" fillId="326" fontId="4" numFmtId="10" xfId="0" applyAlignment="1" applyFont="1" applyNumberFormat="1">
      <alignment horizontal="right" vertical="bottom"/>
    </xf>
    <xf borderId="1" fillId="17" fontId="4" numFmtId="0" xfId="0" applyAlignment="1" applyBorder="1" applyFont="1">
      <alignment readingOrder="0" vertical="bottom"/>
    </xf>
    <xf borderId="0" fillId="209" fontId="4" numFmtId="10" xfId="0" applyAlignment="1" applyFont="1" applyNumberFormat="1">
      <alignment horizontal="right" vertical="bottom"/>
    </xf>
    <xf borderId="0" fillId="336" fontId="4" numFmtId="10" xfId="0" applyAlignment="1" applyFill="1" applyFont="1" applyNumberFormat="1">
      <alignment horizontal="right" vertical="bottom"/>
    </xf>
    <xf borderId="0" fillId="0" fontId="4" numFmtId="171" xfId="0" applyAlignment="1" applyFont="1" applyNumberFormat="1">
      <alignment vertical="bottom"/>
    </xf>
    <xf borderId="0" fillId="129" fontId="4" numFmtId="10" xfId="0" applyAlignment="1" applyFont="1" applyNumberFormat="1">
      <alignment horizontal="right" vertical="bottom"/>
    </xf>
    <xf borderId="0" fillId="337" fontId="4" numFmtId="10" xfId="0" applyAlignment="1" applyFill="1" applyFont="1" applyNumberFormat="1">
      <alignment horizontal="right" vertical="bottom"/>
    </xf>
    <xf borderId="0" fillId="146" fontId="4" numFmtId="10" xfId="0" applyAlignment="1" applyFont="1" applyNumberFormat="1">
      <alignment horizontal="right" vertical="bottom"/>
    </xf>
    <xf borderId="0" fillId="283" fontId="4" numFmtId="10" xfId="0" applyAlignment="1" applyFont="1" applyNumberFormat="1">
      <alignment horizontal="right" vertical="bottom"/>
    </xf>
    <xf borderId="0" fillId="338" fontId="4" numFmtId="10" xfId="0" applyAlignment="1" applyFill="1" applyFont="1" applyNumberFormat="1">
      <alignment horizontal="right" vertical="bottom"/>
    </xf>
    <xf borderId="1" fillId="8" fontId="4" numFmtId="0" xfId="0" applyAlignment="1" applyBorder="1" applyFont="1">
      <alignment readingOrder="0" vertical="bottom"/>
    </xf>
    <xf borderId="0" fillId="339" fontId="4" numFmtId="10" xfId="0" applyAlignment="1" applyFill="1" applyFont="1" applyNumberFormat="1">
      <alignment horizontal="right" vertical="bottom"/>
    </xf>
    <xf borderId="0" fillId="340" fontId="4" numFmtId="10" xfId="0" applyAlignment="1" applyFill="1" applyFont="1" applyNumberFormat="1">
      <alignment horizontal="right" vertical="bottom"/>
    </xf>
    <xf borderId="14" fillId="276" fontId="4" numFmtId="2" xfId="0" applyAlignment="1" applyBorder="1" applyFont="1" applyNumberFormat="1">
      <alignment vertical="bottom"/>
    </xf>
    <xf borderId="2" fillId="0" fontId="5" numFmtId="3" xfId="0" applyAlignment="1" applyBorder="1" applyFont="1" applyNumberFormat="1">
      <alignment horizontal="right" vertical="bottom"/>
    </xf>
    <xf borderId="0" fillId="23" fontId="4" numFmtId="169" xfId="0" applyAlignment="1" applyFont="1" applyNumberFormat="1">
      <alignment horizontal="right" shrinkToFit="0" vertical="bottom" wrapText="1"/>
    </xf>
    <xf borderId="2" fillId="0" fontId="31" numFmtId="0" xfId="0" applyBorder="1" applyFont="1"/>
    <xf borderId="1" fillId="23" fontId="4" numFmtId="0" xfId="0" applyAlignment="1" applyBorder="1" applyFont="1">
      <alignment readingOrder="0" vertical="bottom"/>
    </xf>
    <xf borderId="4" fillId="4" fontId="3" numFmtId="169" xfId="0" applyAlignment="1" applyBorder="1" applyFont="1" applyNumberFormat="1">
      <alignment vertical="bottom"/>
    </xf>
    <xf borderId="2" fillId="4" fontId="4" numFmtId="167" xfId="0" applyAlignment="1" applyBorder="1" applyFont="1" applyNumberFormat="1">
      <alignment vertical="bottom"/>
    </xf>
    <xf borderId="2" fillId="4" fontId="4" numFmtId="169" xfId="0" applyAlignment="1" applyBorder="1" applyFont="1" applyNumberFormat="1">
      <alignment vertical="bottom"/>
    </xf>
    <xf borderId="0" fillId="23" fontId="4" numFmtId="3" xfId="0" applyAlignment="1" applyFont="1" applyNumberFormat="1">
      <alignment horizontal="right" vertical="bottom"/>
    </xf>
    <xf borderId="0" fillId="23" fontId="4" numFmtId="0" xfId="0" applyAlignment="1" applyFont="1">
      <alignment horizontal="right" vertical="bottom"/>
    </xf>
    <xf borderId="0" fillId="107" fontId="4" numFmtId="169" xfId="0" applyAlignment="1" applyFont="1" applyNumberFormat="1">
      <alignment vertical="bottom"/>
    </xf>
    <xf borderId="1" fillId="18" fontId="4" numFmtId="0" xfId="0" applyAlignment="1" applyBorder="1" applyFont="1">
      <alignment readingOrder="0" vertical="bottom"/>
    </xf>
    <xf borderId="0" fillId="0" fontId="4" numFmtId="183" xfId="0" applyAlignment="1" applyFont="1" applyNumberFormat="1">
      <alignment horizontal="right" readingOrder="0" vertical="bottom"/>
    </xf>
    <xf borderId="0" fillId="10" fontId="32" numFmtId="167" xfId="0" applyAlignment="1" applyFont="1" applyNumberFormat="1">
      <alignment horizontal="right" readingOrder="0" shrinkToFit="0" wrapText="0"/>
    </xf>
    <xf borderId="0" fillId="10" fontId="33" numFmtId="167" xfId="0" applyAlignment="1" applyFont="1" applyNumberFormat="1">
      <alignment horizontal="right" readingOrder="0" shrinkToFit="0" wrapText="0"/>
    </xf>
    <xf borderId="1" fillId="107" fontId="4" numFmtId="169" xfId="0" applyAlignment="1" applyBorder="1" applyFont="1" applyNumberFormat="1">
      <alignment vertical="bottom"/>
    </xf>
    <xf borderId="0" fillId="0" fontId="4" numFmtId="167" xfId="0" applyAlignment="1" applyFont="1" applyNumberFormat="1">
      <alignment readingOrder="0"/>
    </xf>
    <xf borderId="1" fillId="21" fontId="4" numFmtId="0" xfId="0" applyAlignment="1" applyBorder="1" applyFont="1">
      <alignment readingOrder="0" vertical="bottom"/>
    </xf>
    <xf borderId="0" fillId="22" fontId="4" numFmtId="169" xfId="0" applyAlignment="1" applyFont="1" applyNumberFormat="1">
      <alignment vertical="bottom"/>
    </xf>
    <xf borderId="1" fillId="22" fontId="4" numFmtId="169" xfId="0" applyAlignment="1" applyBorder="1" applyFont="1" applyNumberFormat="1">
      <alignment vertical="bottom"/>
    </xf>
    <xf borderId="0" fillId="21" fontId="4" numFmtId="169" xfId="0" applyAlignment="1" applyFont="1" applyNumberFormat="1">
      <alignment horizontal="right" vertical="bottom"/>
    </xf>
    <xf borderId="13" fillId="0" fontId="4" numFmtId="0" xfId="0" applyAlignment="1" applyBorder="1" applyFont="1">
      <alignment vertical="bottom"/>
    </xf>
    <xf borderId="14" fillId="0" fontId="4" numFmtId="169" xfId="0" applyAlignment="1" applyBorder="1" applyFont="1" applyNumberFormat="1">
      <alignment vertical="bottom"/>
    </xf>
    <xf borderId="19" fillId="4" fontId="4" numFmtId="169" xfId="0" applyAlignment="1" applyBorder="1" applyFont="1" applyNumberFormat="1">
      <alignment vertical="bottom"/>
    </xf>
    <xf borderId="1" fillId="107" fontId="7" numFmtId="0" xfId="0" applyAlignment="1" applyBorder="1" applyFont="1">
      <alignment vertical="bottom"/>
    </xf>
    <xf borderId="0" fillId="16" fontId="4" numFmtId="3" xfId="0" applyAlignment="1" applyFont="1" applyNumberFormat="1">
      <alignment horizontal="right" readingOrder="0" vertical="bottom"/>
    </xf>
    <xf borderId="0" fillId="16" fontId="4" numFmtId="0" xfId="0" applyAlignment="1" applyFont="1">
      <alignment horizontal="right" readingOrder="0" vertical="bottom"/>
    </xf>
    <xf borderId="13" fillId="0" fontId="4" numFmtId="167" xfId="0" applyAlignment="1" applyBorder="1" applyFont="1" applyNumberFormat="1">
      <alignment horizontal="right" vertical="bottom"/>
    </xf>
    <xf borderId="0" fillId="341" fontId="4" numFmtId="169" xfId="0" applyAlignment="1" applyFill="1" applyFont="1" applyNumberFormat="1">
      <alignment horizontal="right" vertical="bottom"/>
    </xf>
    <xf borderId="0" fillId="0" fontId="4" numFmtId="0" xfId="0" applyAlignment="1" applyFont="1">
      <alignment horizontal="right" vertical="bottom"/>
    </xf>
    <xf borderId="0" fillId="0" fontId="33" numFmtId="3" xfId="0" applyAlignment="1" applyFont="1" applyNumberFormat="1">
      <alignment horizontal="right" readingOrder="0" shrinkToFit="0" wrapText="0"/>
    </xf>
    <xf borderId="20" fillId="0" fontId="4" numFmtId="167" xfId="0" applyAlignment="1" applyBorder="1" applyFont="1" applyNumberFormat="1">
      <alignment horizontal="right" vertical="bottom"/>
    </xf>
    <xf borderId="21" fillId="0" fontId="4" numFmtId="10" xfId="0" applyAlignment="1" applyBorder="1" applyFont="1" applyNumberFormat="1">
      <alignment vertical="bottom"/>
    </xf>
    <xf borderId="0" fillId="0" fontId="34" numFmtId="0" xfId="0" applyAlignment="1" applyFont="1">
      <alignment horizontal="right" readingOrder="0" shrinkToFit="0" wrapText="0"/>
    </xf>
    <xf borderId="1" fillId="16" fontId="4" numFmtId="0" xfId="0" applyAlignment="1" applyBorder="1" applyFont="1">
      <alignment readingOrder="0" vertical="bottom"/>
    </xf>
    <xf borderId="13" fillId="0" fontId="4" numFmtId="10" xfId="0" applyAlignment="1" applyBorder="1" applyFont="1" applyNumberFormat="1">
      <alignment horizontal="right" vertical="bottom"/>
    </xf>
    <xf borderId="14" fillId="0" fontId="4" numFmtId="10" xfId="0" applyAlignment="1" applyBorder="1" applyFont="1" applyNumberFormat="1">
      <alignment vertical="bottom"/>
    </xf>
    <xf borderId="2" fillId="0" fontId="4" numFmtId="0" xfId="0" applyAlignment="1" applyBorder="1" applyFont="1">
      <alignment readingOrder="0" vertical="bottom"/>
    </xf>
    <xf borderId="0" fillId="0" fontId="33" numFmtId="0" xfId="0" applyAlignment="1" applyFont="1">
      <alignment horizontal="right" readingOrder="0" shrinkToFit="0" wrapText="0"/>
    </xf>
    <xf borderId="0" fillId="8" fontId="4" numFmtId="1" xfId="0" applyAlignment="1" applyFont="1" applyNumberFormat="1">
      <alignment horizontal="right" vertical="bottom"/>
    </xf>
    <xf borderId="0" fillId="0" fontId="4" numFmtId="3" xfId="0" applyAlignment="1" applyFont="1" applyNumberFormat="1">
      <alignment readingOrder="0" vertical="bottom"/>
    </xf>
    <xf borderId="0" fillId="0" fontId="33" numFmtId="1" xfId="0" applyAlignment="1" applyFont="1" applyNumberFormat="1">
      <alignment horizontal="right" readingOrder="0" shrinkToFit="0" wrapText="0"/>
    </xf>
    <xf borderId="22" fillId="9" fontId="7" numFmtId="0" xfId="0" applyAlignment="1" applyBorder="1" applyFont="1">
      <alignment vertical="bottom"/>
    </xf>
    <xf borderId="1" fillId="9" fontId="7" numFmtId="0" xfId="0" applyAlignment="1" applyBorder="1" applyFont="1">
      <alignment vertical="bottom"/>
    </xf>
    <xf borderId="0" fillId="8" fontId="4" numFmtId="2" xfId="0" applyAlignment="1" applyFont="1" applyNumberFormat="1">
      <alignment vertical="bottom"/>
    </xf>
    <xf borderId="1" fillId="4" fontId="7" numFmtId="0" xfId="0" applyAlignment="1" applyBorder="1" applyFont="1">
      <alignment vertical="bottom"/>
    </xf>
    <xf borderId="0" fillId="0" fontId="4" numFmtId="10" xfId="0" applyAlignment="1" applyFont="1" applyNumberFormat="1">
      <alignment horizontal="right" vertical="bottom"/>
    </xf>
    <xf borderId="0" fillId="0" fontId="16" numFmtId="1" xfId="0" applyAlignment="1" applyFont="1" applyNumberFormat="1">
      <alignment readingOrder="0"/>
    </xf>
    <xf borderId="0" fillId="16" fontId="4" numFmtId="1" xfId="0" applyAlignment="1" applyFont="1" applyNumberFormat="1">
      <alignment readingOrder="0" vertical="bottom"/>
    </xf>
    <xf borderId="8" fillId="0" fontId="4" numFmtId="169" xfId="0" applyAlignment="1" applyBorder="1" applyFont="1" applyNumberFormat="1">
      <alignment vertical="bottom"/>
    </xf>
    <xf borderId="0" fillId="3" fontId="16" numFmtId="1" xfId="0" applyAlignment="1" applyFont="1" applyNumberFormat="1">
      <alignment readingOrder="0"/>
    </xf>
    <xf borderId="0" fillId="0" fontId="35" numFmtId="1" xfId="0" applyAlignment="1" applyFont="1" applyNumberFormat="1">
      <alignment horizontal="right" readingOrder="0" shrinkToFit="0" wrapText="0"/>
    </xf>
    <xf borderId="0" fillId="0" fontId="16" numFmtId="0" xfId="0" applyFont="1"/>
    <xf borderId="0" fillId="0" fontId="16" numFmtId="1" xfId="0" applyFont="1" applyNumberFormat="1"/>
    <xf borderId="0" fillId="0" fontId="16" numFmtId="3" xfId="0" applyFont="1" applyNumberFormat="1"/>
    <xf borderId="8" fillId="0" fontId="4" numFmtId="0" xfId="0" applyAlignment="1" applyBorder="1" applyFont="1">
      <alignment vertical="bottom"/>
    </xf>
    <xf borderId="1" fillId="14" fontId="10" numFmtId="0" xfId="0" applyAlignment="1" applyBorder="1" applyFont="1">
      <alignment readingOrder="0" vertical="bottom"/>
    </xf>
    <xf borderId="1" fillId="26" fontId="4" numFmtId="0" xfId="0" applyAlignment="1" applyBorder="1" applyFont="1">
      <alignment readingOrder="0" vertical="bottom"/>
    </xf>
    <xf borderId="0" fillId="26" fontId="4" numFmtId="1" xfId="0" applyAlignment="1" applyFont="1" applyNumberFormat="1">
      <alignment readingOrder="0" vertical="bottom"/>
    </xf>
    <xf borderId="0" fillId="26" fontId="11" numFmtId="1" xfId="0" applyAlignment="1" applyFont="1" applyNumberFormat="1">
      <alignment readingOrder="0" vertical="bottom"/>
    </xf>
    <xf borderId="0" fillId="0" fontId="11" numFmtId="1" xfId="0" applyAlignment="1" applyFont="1" applyNumberFormat="1">
      <alignment readingOrder="0" vertical="bottom"/>
    </xf>
    <xf borderId="0" fillId="8" fontId="4" numFmtId="1" xfId="0" applyAlignment="1" applyFont="1" applyNumberFormat="1">
      <alignment readingOrder="0" vertical="bottom"/>
    </xf>
    <xf borderId="1" fillId="27" fontId="4" numFmtId="0" xfId="0" applyAlignment="1" applyBorder="1" applyFont="1">
      <alignment readingOrder="0" vertical="bottom"/>
    </xf>
    <xf borderId="0" fillId="3" fontId="4" numFmtId="1" xfId="0" applyAlignment="1" applyFont="1" applyNumberFormat="1">
      <alignment readingOrder="0" vertical="bottom"/>
    </xf>
    <xf borderId="0" fillId="3" fontId="11" numFmtId="1" xfId="0" applyAlignment="1" applyFont="1" applyNumberFormat="1">
      <alignment readingOrder="0" vertical="bottom"/>
    </xf>
    <xf borderId="0" fillId="27" fontId="4" numFmtId="1" xfId="0" applyAlignment="1" applyFont="1" applyNumberFormat="1">
      <alignment horizontal="left" readingOrder="0" vertical="bottom"/>
    </xf>
    <xf borderId="0" fillId="26" fontId="4" numFmtId="0" xfId="0" applyAlignment="1" applyFont="1">
      <alignment readingOrder="0" vertical="bottom"/>
    </xf>
    <xf borderId="0" fillId="0" fontId="11" numFmtId="167" xfId="0" applyAlignment="1" applyFont="1" applyNumberFormat="1">
      <alignment readingOrder="0" vertical="bottom"/>
    </xf>
    <xf borderId="0" fillId="0" fontId="11" numFmtId="167" xfId="0" applyAlignment="1" applyFont="1" applyNumberFormat="1">
      <alignment horizontal="right" readingOrder="0" vertical="bottom"/>
    </xf>
    <xf borderId="0" fillId="0" fontId="36" numFmtId="167" xfId="0" applyAlignment="1" applyFont="1" applyNumberFormat="1">
      <alignment horizontal="right" readingOrder="0"/>
    </xf>
    <xf borderId="0" fillId="0" fontId="16" numFmtId="167" xfId="0" applyAlignment="1" applyFont="1" applyNumberFormat="1">
      <alignment readingOrder="0"/>
    </xf>
    <xf borderId="0" fillId="0" fontId="16" numFmtId="167" xfId="0" applyAlignment="1" applyFont="1" applyNumberFormat="1">
      <alignment readingOrder="0" vertical="bottom"/>
    </xf>
    <xf borderId="0" fillId="0" fontId="37" numFmtId="167" xfId="0" applyAlignment="1" applyFont="1" applyNumberFormat="1">
      <alignment readingOrder="0"/>
    </xf>
    <xf borderId="0" fillId="0" fontId="37" numFmtId="167" xfId="0" applyAlignment="1" applyFont="1" applyNumberFormat="1">
      <alignment readingOrder="0" vertical="bottom"/>
    </xf>
    <xf borderId="0" fillId="3" fontId="16" numFmtId="167" xfId="0" applyAlignment="1" applyFont="1" applyNumberFormat="1">
      <alignment readingOrder="0"/>
    </xf>
    <xf borderId="0" fillId="3" fontId="37" numFmtId="167" xfId="0" applyAlignment="1" applyFont="1" applyNumberFormat="1">
      <alignment readingOrder="0"/>
    </xf>
    <xf borderId="1" fillId="27" fontId="4" numFmtId="167" xfId="0" applyAlignment="1" applyBorder="1" applyFont="1" applyNumberFormat="1">
      <alignment horizontal="left" vertical="bottom"/>
    </xf>
    <xf borderId="0" fillId="0" fontId="16" numFmtId="174" xfId="0" applyAlignment="1" applyFont="1" applyNumberFormat="1">
      <alignment readingOrder="0"/>
    </xf>
    <xf borderId="0" fillId="3" fontId="11" numFmtId="167" xfId="0" applyAlignment="1" applyFont="1" applyNumberFormat="1">
      <alignment readingOrder="0" vertical="bottom"/>
    </xf>
    <xf borderId="1" fillId="20" fontId="4" numFmtId="0" xfId="0" applyAlignment="1" applyBorder="1" applyFont="1">
      <alignment readingOrder="0" vertical="bottom"/>
    </xf>
    <xf borderId="0" fillId="0" fontId="37" numFmtId="0" xfId="0" applyAlignment="1" applyFont="1">
      <alignment readingOrder="0"/>
    </xf>
    <xf borderId="1" fillId="22" fontId="4" numFmtId="0" xfId="0" applyAlignment="1" applyBorder="1" applyFont="1">
      <alignment readingOrder="0" vertical="bottom"/>
    </xf>
    <xf borderId="1" fillId="22" fontId="4" numFmtId="1" xfId="0" applyAlignment="1" applyBorder="1" applyFont="1" applyNumberFormat="1">
      <alignment horizontal="left" vertical="bottom"/>
    </xf>
    <xf borderId="2" fillId="0" fontId="1" numFmtId="0" xfId="0" applyBorder="1" applyFont="1"/>
    <xf borderId="2" fillId="22" fontId="4" numFmtId="1" xfId="0" applyAlignment="1" applyBorder="1" applyFont="1" applyNumberFormat="1">
      <alignment horizontal="right" vertical="bottom"/>
    </xf>
    <xf borderId="2" fillId="0" fontId="16" numFmtId="0" xfId="0" applyBorder="1" applyFont="1"/>
    <xf borderId="1" fillId="22" fontId="4" numFmtId="1" xfId="0" applyAlignment="1" applyBorder="1" applyFont="1" applyNumberFormat="1">
      <alignment horizontal="left" readingOrder="0" vertical="bottom"/>
    </xf>
    <xf borderId="0" fillId="277" fontId="1" numFmtId="0" xfId="0" applyAlignment="1" applyFont="1">
      <alignment horizontal="center" readingOrder="0"/>
    </xf>
    <xf borderId="0" fillId="342" fontId="1" numFmtId="0" xfId="0" applyFill="1" applyFont="1"/>
    <xf borderId="0" fillId="0" fontId="37" numFmtId="167" xfId="0" applyAlignment="1" applyFont="1" applyNumberFormat="1">
      <alignment horizontal="right" readingOrder="0"/>
    </xf>
    <xf borderId="0" fillId="342" fontId="1" numFmtId="0" xfId="0" applyAlignment="1" applyFont="1">
      <alignment horizontal="center"/>
    </xf>
    <xf borderId="0" fillId="0" fontId="16" numFmtId="167" xfId="0" applyAlignment="1" applyFont="1" applyNumberFormat="1">
      <alignment horizontal="right" readingOrder="0"/>
    </xf>
    <xf borderId="0" fillId="0" fontId="1" numFmtId="0" xfId="0" applyAlignment="1" applyFont="1">
      <alignment horizontal="center"/>
    </xf>
    <xf borderId="0" fillId="10" fontId="38" numFmtId="0" xfId="0" applyAlignment="1" applyFont="1">
      <alignment horizontal="left" readingOrder="0"/>
    </xf>
    <xf borderId="23" fillId="278" fontId="39" numFmtId="0" xfId="0" applyAlignment="1" applyBorder="1" applyFont="1">
      <alignment horizontal="center" readingOrder="0"/>
    </xf>
    <xf borderId="24" fillId="0" fontId="18" numFmtId="0" xfId="0" applyBorder="1" applyFont="1"/>
    <xf borderId="0" fillId="22" fontId="4" numFmtId="167" xfId="0" applyAlignment="1" applyFont="1" applyNumberFormat="1">
      <alignment horizontal="right" readingOrder="0" vertical="bottom"/>
    </xf>
    <xf borderId="23" fillId="278" fontId="40" numFmtId="0" xfId="0" applyAlignment="1" applyBorder="1" applyFont="1">
      <alignment horizontal="center" readingOrder="0"/>
    </xf>
    <xf borderId="0" fillId="342" fontId="40" numFmtId="0" xfId="0" applyAlignment="1" applyFont="1">
      <alignment horizontal="center" readingOrder="0"/>
    </xf>
    <xf borderId="0" fillId="342" fontId="41" numFmtId="0" xfId="0" applyAlignment="1" applyFont="1">
      <alignment horizontal="center" readingOrder="0"/>
    </xf>
    <xf borderId="0" fillId="278" fontId="40" numFmtId="0" xfId="0" applyAlignment="1" applyFont="1">
      <alignment horizontal="center" readingOrder="0"/>
    </xf>
    <xf borderId="4" fillId="278" fontId="42" numFmtId="165" xfId="0" applyAlignment="1" applyBorder="1" applyFont="1" applyNumberFormat="1">
      <alignment horizontal="right" readingOrder="0" vertical="bottom"/>
    </xf>
    <xf borderId="0" fillId="0" fontId="16" numFmtId="0" xfId="0" applyAlignment="1" applyFont="1">
      <alignment horizontal="right"/>
    </xf>
    <xf borderId="0" fillId="10" fontId="43" numFmtId="167" xfId="0" applyAlignment="1" applyFont="1" applyNumberFormat="1">
      <alignment readingOrder="0"/>
    </xf>
    <xf borderId="17" fillId="10" fontId="43" numFmtId="0" xfId="0" applyAlignment="1" applyBorder="1" applyFont="1">
      <alignment readingOrder="0"/>
    </xf>
    <xf borderId="17" fillId="25" fontId="43" numFmtId="167" xfId="0" applyAlignment="1" applyBorder="1" applyFont="1" applyNumberFormat="1">
      <alignment horizontal="center" readingOrder="0"/>
    </xf>
    <xf borderId="0" fillId="0" fontId="44" numFmtId="167" xfId="0" applyAlignment="1" applyFont="1" applyNumberFormat="1">
      <alignment horizontal="center" readingOrder="0"/>
    </xf>
    <xf borderId="17" fillId="0" fontId="1" numFmtId="0" xfId="0" applyAlignment="1" applyBorder="1" applyFont="1">
      <alignment readingOrder="0"/>
    </xf>
    <xf borderId="17" fillId="25" fontId="1" numFmtId="10" xfId="0" applyAlignment="1" applyBorder="1" applyFont="1" applyNumberFormat="1">
      <alignment horizontal="center"/>
    </xf>
    <xf borderId="0" fillId="342" fontId="1" numFmtId="167" xfId="0" applyAlignment="1" applyFont="1" applyNumberFormat="1">
      <alignment readingOrder="0"/>
    </xf>
    <xf borderId="17" fillId="0" fontId="43" numFmtId="0" xfId="0" applyAlignment="1" applyBorder="1" applyFont="1">
      <alignment readingOrder="0"/>
    </xf>
    <xf borderId="17" fillId="25" fontId="1" numFmtId="167" xfId="0" applyAlignment="1" applyBorder="1" applyFont="1" applyNumberFormat="1">
      <alignment horizontal="center" readingOrder="0"/>
    </xf>
    <xf borderId="0" fillId="342" fontId="44" numFmtId="167" xfId="0" applyAlignment="1" applyFont="1" applyNumberFormat="1">
      <alignment horizontal="center" readingOrder="0"/>
    </xf>
    <xf borderId="17" fillId="342" fontId="43" numFmtId="0" xfId="0" applyAlignment="1" applyBorder="1" applyFont="1">
      <alignment readingOrder="0"/>
    </xf>
    <xf borderId="17" fillId="25" fontId="1" numFmtId="10" xfId="0" applyAlignment="1" applyBorder="1" applyFont="1" applyNumberFormat="1">
      <alignment horizontal="center" readingOrder="0"/>
    </xf>
    <xf borderId="17" fillId="25" fontId="43" numFmtId="10" xfId="0" applyAlignment="1" applyBorder="1" applyFont="1" applyNumberFormat="1">
      <alignment horizontal="center" readingOrder="0"/>
    </xf>
    <xf borderId="17" fillId="25" fontId="1" numFmtId="174" xfId="0" applyAlignment="1" applyBorder="1" applyFont="1" applyNumberFormat="1">
      <alignment horizontal="center" readingOrder="0"/>
    </xf>
    <xf borderId="25" fillId="0" fontId="1" numFmtId="0" xfId="0" applyAlignment="1" applyBorder="1" applyFont="1">
      <alignment readingOrder="0"/>
    </xf>
    <xf borderId="0" fillId="0" fontId="3" numFmtId="3" xfId="0" applyAlignment="1" applyFont="1" applyNumberFormat="1">
      <alignment horizontal="center" readingOrder="0" vertical="bottom"/>
    </xf>
    <xf borderId="0" fillId="0" fontId="1" numFmtId="3" xfId="0" applyAlignment="1" applyFont="1" applyNumberFormat="1">
      <alignment horizontal="center" readingOrder="0"/>
    </xf>
    <xf borderId="12" fillId="0" fontId="3" numFmtId="3" xfId="0" applyAlignment="1" applyBorder="1" applyFont="1" applyNumberFormat="1">
      <alignment horizontal="center" readingOrder="0" vertical="bottom"/>
    </xf>
    <xf borderId="0" fillId="342" fontId="41" numFmtId="0" xfId="0" applyAlignment="1" applyFont="1">
      <alignment horizontal="right" readingOrder="0"/>
    </xf>
    <xf borderId="2" fillId="0" fontId="1" numFmtId="0" xfId="0" applyAlignment="1" applyBorder="1" applyFont="1">
      <alignment readingOrder="0"/>
    </xf>
    <xf borderId="17" fillId="4" fontId="1" numFmtId="167" xfId="0" applyAlignment="1" applyBorder="1" applyFont="1" applyNumberFormat="1">
      <alignment horizontal="center" readingOrder="0"/>
    </xf>
    <xf borderId="17" fillId="25" fontId="1" numFmtId="176" xfId="0" applyAlignment="1" applyBorder="1" applyFont="1" applyNumberFormat="1">
      <alignment horizontal="center" readingOrder="0"/>
    </xf>
    <xf borderId="17" fillId="25" fontId="1" numFmtId="9" xfId="0" applyAlignment="1" applyBorder="1" applyFont="1" applyNumberFormat="1">
      <alignment horizontal="center" readingOrder="0"/>
    </xf>
    <xf borderId="0" fillId="0" fontId="44" numFmtId="0" xfId="0" applyAlignment="1" applyFont="1">
      <alignment horizontal="center"/>
    </xf>
    <xf borderId="17" fillId="25" fontId="1" numFmtId="167" xfId="0" applyAlignment="1" applyBorder="1" applyFont="1" applyNumberFormat="1">
      <alignment horizontal="center"/>
    </xf>
    <xf borderId="17" fillId="25" fontId="1" numFmtId="177" xfId="0" applyAlignment="1" applyBorder="1" applyFont="1" applyNumberFormat="1">
      <alignment horizontal="center" readingOrder="0"/>
    </xf>
    <xf borderId="0" fillId="0" fontId="1" numFmtId="167" xfId="0" applyAlignment="1" applyFont="1" applyNumberFormat="1">
      <alignment readingOrder="0"/>
    </xf>
    <xf borderId="0" fillId="0" fontId="1" numFmtId="178" xfId="0" applyAlignment="1" applyFont="1" applyNumberFormat="1">
      <alignment horizontal="center" readingOrder="0"/>
    </xf>
    <xf borderId="2" fillId="22" fontId="4" numFmtId="1" xfId="0" applyAlignment="1" applyBorder="1" applyFont="1" applyNumberFormat="1">
      <alignment readingOrder="0" vertical="bottom"/>
    </xf>
    <xf borderId="0" fillId="0" fontId="45" numFmtId="0" xfId="0" applyAlignment="1" applyFont="1">
      <alignment readingOrder="0"/>
    </xf>
    <xf borderId="2" fillId="0" fontId="1" numFmtId="0" xfId="0" applyAlignment="1" applyBorder="1" applyFont="1">
      <alignment readingOrder="0"/>
    </xf>
    <xf borderId="17" fillId="10" fontId="1" numFmtId="0" xfId="0" applyAlignment="1" applyBorder="1" applyFont="1">
      <alignment horizontal="left" readingOrder="0"/>
    </xf>
    <xf borderId="17" fillId="342" fontId="1" numFmtId="0" xfId="0" applyAlignment="1" applyBorder="1" applyFont="1">
      <alignment readingOrder="0"/>
    </xf>
    <xf borderId="0" fillId="10" fontId="43" numFmtId="179" xfId="0" applyAlignment="1" applyFont="1" applyNumberFormat="1">
      <alignment readingOrder="0"/>
    </xf>
    <xf borderId="17" fillId="4" fontId="1" numFmtId="167" xfId="0" applyAlignment="1" applyBorder="1" applyFont="1" applyNumberFormat="1">
      <alignment readingOrder="0"/>
    </xf>
    <xf borderId="0" fillId="0" fontId="1" numFmtId="0" xfId="0" applyAlignment="1" applyFont="1">
      <alignment readingOrder="0"/>
    </xf>
    <xf borderId="0" fillId="0" fontId="1" numFmtId="0" xfId="0" applyAlignment="1" applyFont="1">
      <alignment horizontal="left" readingOrder="0"/>
    </xf>
    <xf borderId="0" fillId="0" fontId="1" numFmtId="167" xfId="0" applyAlignment="1" applyFont="1" applyNumberFormat="1">
      <alignment horizontal="center" readingOrder="0"/>
    </xf>
    <xf borderId="0" fillId="10" fontId="41" numFmtId="167" xfId="0" applyAlignment="1" applyFont="1" applyNumberFormat="1">
      <alignment horizontal="center" vertical="center"/>
    </xf>
    <xf borderId="25" fillId="26" fontId="41" numFmtId="0" xfId="0" applyAlignment="1" applyBorder="1" applyFont="1">
      <alignment horizontal="center" readingOrder="0"/>
    </xf>
    <xf borderId="26" fillId="26" fontId="41" numFmtId="3" xfId="0" applyAlignment="1" applyBorder="1" applyFont="1" applyNumberFormat="1">
      <alignment horizontal="center" readingOrder="0"/>
    </xf>
    <xf borderId="0" fillId="342" fontId="1" numFmtId="167" xfId="0" applyAlignment="1" applyFont="1" applyNumberFormat="1">
      <alignment horizontal="center" readingOrder="0"/>
    </xf>
    <xf borderId="0" fillId="10" fontId="41" numFmtId="167" xfId="0" applyAlignment="1" applyFont="1" applyNumberFormat="1">
      <alignment horizontal="center"/>
    </xf>
    <xf borderId="0" fillId="0" fontId="1" numFmtId="180" xfId="0" applyAlignment="1" applyFont="1" applyNumberFormat="1">
      <alignment readingOrder="0"/>
    </xf>
    <xf borderId="23" fillId="19" fontId="40" numFmtId="0" xfId="0" applyAlignment="1" applyBorder="1" applyFont="1">
      <alignment horizontal="center" readingOrder="0"/>
    </xf>
    <xf borderId="4" fillId="19" fontId="42" numFmtId="165" xfId="0" applyAlignment="1" applyBorder="1" applyFont="1" applyNumberFormat="1">
      <alignment horizontal="right" readingOrder="0" vertical="bottom"/>
    </xf>
    <xf borderId="0" fillId="0" fontId="1" numFmtId="10" xfId="0" applyAlignment="1" applyFont="1" applyNumberFormat="1">
      <alignment horizontal="center"/>
    </xf>
    <xf borderId="0" fillId="0" fontId="1" numFmtId="10" xfId="0" applyAlignment="1" applyFont="1" applyNumberFormat="1">
      <alignment horizontal="center" readingOrder="0"/>
    </xf>
    <xf borderId="17" fillId="279" fontId="1" numFmtId="10" xfId="0" applyAlignment="1" applyBorder="1" applyFont="1" applyNumberFormat="1">
      <alignment horizontal="center" readingOrder="0"/>
    </xf>
    <xf borderId="0" fillId="342" fontId="40" numFmtId="0" xfId="0" applyAlignment="1" applyFont="1">
      <alignment readingOrder="0"/>
    </xf>
    <xf borderId="0" fillId="342" fontId="43" numFmtId="167" xfId="0" applyAlignment="1" applyFont="1" applyNumberFormat="1">
      <alignment readingOrder="0"/>
    </xf>
    <xf borderId="17" fillId="0" fontId="1" numFmtId="167" xfId="0" applyAlignment="1" applyBorder="1" applyFont="1" applyNumberFormat="1">
      <alignment horizontal="center"/>
    </xf>
    <xf borderId="17" fillId="279" fontId="1" numFmtId="167" xfId="0" applyAlignment="1" applyBorder="1" applyFont="1" applyNumberFormat="1">
      <alignment horizontal="center" readingOrder="0"/>
    </xf>
    <xf borderId="17" fillId="278" fontId="40" numFmtId="0" xfId="0" applyAlignment="1" applyBorder="1" applyFont="1">
      <alignment readingOrder="0"/>
    </xf>
    <xf borderId="17" fillId="278" fontId="40" numFmtId="0" xfId="0" applyAlignment="1" applyBorder="1" applyFont="1">
      <alignment horizontal="center" readingOrder="0"/>
    </xf>
    <xf borderId="0" fillId="0" fontId="41" numFmtId="167" xfId="0" applyAlignment="1" applyFont="1" applyNumberFormat="1">
      <alignment horizontal="center" readingOrder="0"/>
    </xf>
    <xf borderId="0" fillId="0" fontId="1" numFmtId="181" xfId="0" applyFont="1" applyNumberFormat="1"/>
    <xf borderId="1" fillId="0" fontId="16" numFmtId="0" xfId="0" applyAlignment="1" applyBorder="1" applyFont="1">
      <alignment readingOrder="0"/>
    </xf>
    <xf borderId="0" fillId="0" fontId="16" numFmtId="175" xfId="0" applyFont="1" applyNumberFormat="1"/>
    <xf borderId="0" fillId="0" fontId="16" numFmtId="169" xfId="0" applyFont="1" applyNumberFormat="1"/>
    <xf borderId="6" fillId="0" fontId="1" numFmtId="0" xfId="0" applyAlignment="1" applyBorder="1" applyFont="1">
      <alignment readingOrder="0"/>
    </xf>
    <xf borderId="4" fillId="0" fontId="1" numFmtId="10" xfId="0" applyAlignment="1" applyBorder="1" applyFont="1" applyNumberFormat="1">
      <alignment horizontal="center"/>
    </xf>
    <xf borderId="4" fillId="0" fontId="1" numFmtId="10" xfId="0" applyAlignment="1" applyBorder="1" applyFont="1" applyNumberFormat="1">
      <alignment horizontal="center" readingOrder="0"/>
    </xf>
    <xf borderId="17" fillId="0" fontId="1" numFmtId="0" xfId="0" applyAlignment="1" applyBorder="1" applyFont="1">
      <alignment readingOrder="0"/>
    </xf>
    <xf borderId="0" fillId="342" fontId="1" numFmtId="0" xfId="0" applyAlignment="1" applyFont="1">
      <alignment readingOrder="0"/>
    </xf>
    <xf borderId="0" fillId="0" fontId="16" numFmtId="10" xfId="0" applyFont="1" applyNumberFormat="1"/>
    <xf borderId="0" fillId="342" fontId="1" numFmtId="10" xfId="0" applyFont="1" applyNumberFormat="1"/>
    <xf borderId="0" fillId="342" fontId="1" numFmtId="0" xfId="0" applyAlignment="1" applyFont="1">
      <alignment readingOrder="0"/>
    </xf>
    <xf borderId="1" fillId="25" fontId="4" numFmtId="0" xfId="0" applyAlignment="1" applyBorder="1" applyFont="1">
      <alignment readingOrder="0" vertical="bottom"/>
    </xf>
    <xf borderId="17" fillId="0" fontId="41" numFmtId="0" xfId="0" applyAlignment="1" applyBorder="1" applyFont="1">
      <alignment readingOrder="0"/>
    </xf>
    <xf borderId="17" fillId="25" fontId="41" numFmtId="167" xfId="0" applyAlignment="1" applyBorder="1" applyFont="1" applyNumberFormat="1">
      <alignment horizontal="center"/>
    </xf>
    <xf borderId="0" fillId="0" fontId="46" numFmtId="0" xfId="0" applyAlignment="1" applyFont="1">
      <alignment readingOrder="0"/>
    </xf>
    <xf borderId="0" fillId="342" fontId="1" numFmtId="174" xfId="0" applyAlignment="1" applyFont="1" applyNumberFormat="1">
      <alignment readingOrder="0"/>
    </xf>
    <xf borderId="0" fillId="342" fontId="43" numFmtId="0" xfId="0" applyFont="1"/>
    <xf borderId="0" fillId="342" fontId="43" numFmtId="10" xfId="0" applyAlignment="1" applyFont="1" applyNumberFormat="1">
      <alignment readingOrder="0"/>
    </xf>
    <xf borderId="17" fillId="342" fontId="1" numFmtId="174" xfId="0" applyAlignment="1" applyBorder="1" applyFont="1" applyNumberFormat="1">
      <alignment readingOrder="0"/>
    </xf>
    <xf borderId="0" fillId="0" fontId="44" numFmtId="167" xfId="0" applyAlignment="1" applyFont="1" applyNumberFormat="1">
      <alignment horizontal="center"/>
    </xf>
    <xf borderId="17" fillId="342" fontId="43" numFmtId="167" xfId="0" applyAlignment="1" applyBorder="1" applyFont="1" applyNumberFormat="1">
      <alignment horizontal="center" readingOrder="0"/>
    </xf>
    <xf borderId="17" fillId="342" fontId="1" numFmtId="167" xfId="0" applyAlignment="1" applyBorder="1" applyFont="1" applyNumberFormat="1">
      <alignment horizontal="center" readingOrder="0"/>
    </xf>
    <xf borderId="1" fillId="40" fontId="4" numFmtId="0" xfId="0" applyAlignment="1" applyBorder="1" applyFont="1">
      <alignment readingOrder="0" vertical="bottom"/>
    </xf>
    <xf borderId="0" fillId="40" fontId="4" numFmtId="1" xfId="0" applyAlignment="1" applyFont="1" applyNumberFormat="1">
      <alignment horizontal="right" vertical="bottom"/>
    </xf>
    <xf borderId="0" fillId="342" fontId="47" numFmtId="167" xfId="0" applyAlignment="1" applyFont="1" applyNumberFormat="1">
      <alignment horizontal="center" readingOrder="0"/>
    </xf>
    <xf borderId="17" fillId="342" fontId="43" numFmtId="167" xfId="0" applyAlignment="1" applyBorder="1" applyFont="1" applyNumberFormat="1">
      <alignment horizontal="center" readingOrder="0"/>
    </xf>
    <xf borderId="0" fillId="342" fontId="48" numFmtId="0" xfId="0" applyAlignment="1" applyFont="1">
      <alignment horizontal="center" readingOrder="0" vertical="center"/>
    </xf>
    <xf borderId="0" fillId="0" fontId="44" numFmtId="167" xfId="0" applyAlignment="1" applyFont="1" applyNumberFormat="1">
      <alignment horizontal="center"/>
    </xf>
    <xf borderId="17" fillId="342" fontId="43" numFmtId="10" xfId="0" applyAlignment="1" applyBorder="1" applyFont="1" applyNumberFormat="1">
      <alignment horizontal="center" readingOrder="0"/>
    </xf>
    <xf borderId="0" fillId="0" fontId="44" numFmtId="0" xfId="0" applyFont="1"/>
    <xf borderId="0" fillId="0" fontId="1" numFmtId="167" xfId="0" applyAlignment="1" applyFont="1" applyNumberFormat="1">
      <alignment readingOrder="0"/>
    </xf>
    <xf borderId="0" fillId="9" fontId="1" numFmtId="0" xfId="0" applyAlignment="1" applyFont="1">
      <alignment readingOrder="0" shrinkToFit="0" wrapText="1"/>
    </xf>
    <xf borderId="0" fillId="11" fontId="1" numFmtId="0" xfId="0" applyAlignment="1" applyFont="1">
      <alignment readingOrder="0"/>
    </xf>
    <xf borderId="0" fillId="0" fontId="49" numFmtId="167" xfId="0" applyAlignment="1" applyFont="1" applyNumberFormat="1">
      <alignment horizontal="right" readingOrder="0"/>
    </xf>
    <xf borderId="0" fillId="9" fontId="1" numFmtId="0" xfId="0" applyAlignment="1" applyFont="1">
      <alignment readingOrder="0"/>
    </xf>
    <xf borderId="0" fillId="9" fontId="49" numFmtId="167" xfId="0" applyAlignment="1" applyFont="1" applyNumberFormat="1">
      <alignment horizontal="right" readingOrder="0"/>
    </xf>
    <xf borderId="0" fillId="9" fontId="1" numFmtId="167" xfId="0" applyAlignment="1" applyFont="1" applyNumberFormat="1">
      <alignment readingOrder="0"/>
    </xf>
    <xf borderId="0" fillId="9" fontId="0" numFmtId="167" xfId="0" applyAlignment="1" applyFont="1" applyNumberFormat="1">
      <alignment horizontal="right" readingOrder="0"/>
    </xf>
    <xf borderId="0" fillId="9" fontId="50" numFmtId="167" xfId="0" applyAlignment="1" applyFont="1" applyNumberFormat="1">
      <alignment horizontal="right" readingOrder="0"/>
    </xf>
    <xf borderId="1" fillId="40" fontId="4" numFmtId="1" xfId="0" applyAlignment="1" applyBorder="1" applyFont="1" applyNumberFormat="1">
      <alignment horizontal="left" vertical="bottom"/>
    </xf>
    <xf borderId="0" fillId="3" fontId="49" numFmtId="167" xfId="0" applyAlignment="1" applyFont="1" applyNumberFormat="1">
      <alignment horizontal="right" readingOrder="0"/>
    </xf>
    <xf borderId="0" fillId="10" fontId="51" numFmtId="167" xfId="0" applyAlignment="1" applyFont="1" applyNumberFormat="1">
      <alignment readingOrder="0"/>
    </xf>
    <xf borderId="0" fillId="9" fontId="51" numFmtId="167" xfId="0" applyAlignment="1" applyFont="1" applyNumberFormat="1">
      <alignment readingOrder="0"/>
    </xf>
    <xf borderId="0" fillId="9" fontId="52" numFmtId="167" xfId="0" applyAlignment="1" applyFont="1" applyNumberFormat="1">
      <alignment readingOrder="0"/>
    </xf>
    <xf borderId="0" fillId="3" fontId="51" numFmtId="167" xfId="0" applyAlignment="1" applyFont="1" applyNumberFormat="1">
      <alignment readingOrder="0"/>
    </xf>
    <xf borderId="0" fillId="19" fontId="1" numFmtId="0" xfId="0" applyAlignment="1" applyFont="1">
      <alignment readingOrder="0"/>
    </xf>
    <xf borderId="0" fillId="19" fontId="1" numFmtId="167" xfId="0" applyFont="1" applyNumberFormat="1"/>
    <xf borderId="0" fillId="0" fontId="1" numFmtId="3" xfId="0" applyAlignment="1" applyFont="1" applyNumberFormat="1">
      <alignment readingOrder="0"/>
    </xf>
    <xf borderId="0" fillId="9" fontId="1" numFmtId="3" xfId="0" applyAlignment="1" applyFont="1" applyNumberFormat="1">
      <alignment readingOrder="0"/>
    </xf>
    <xf borderId="2" fillId="40" fontId="4" numFmtId="1" xfId="0" applyAlignment="1" applyBorder="1" applyFont="1" applyNumberFormat="1">
      <alignment horizontal="right" vertical="bottom"/>
    </xf>
    <xf borderId="0" fillId="343" fontId="1" numFmtId="0" xfId="0" applyAlignment="1" applyFill="1" applyFont="1">
      <alignment readingOrder="0"/>
    </xf>
    <xf borderId="0" fillId="3" fontId="1" numFmtId="0" xfId="0" applyAlignment="1" applyFont="1">
      <alignment readingOrder="0"/>
    </xf>
    <xf borderId="0" fillId="279" fontId="1" numFmtId="1" xfId="0" applyAlignment="1" applyFont="1" applyNumberFormat="1">
      <alignment readingOrder="0"/>
    </xf>
    <xf borderId="0" fillId="279" fontId="1" numFmtId="0" xfId="0" applyAlignment="1" applyFont="1">
      <alignment readingOrder="0"/>
    </xf>
    <xf borderId="0" fillId="0" fontId="1" numFmtId="0" xfId="0" applyFont="1"/>
    <xf borderId="0" fillId="19" fontId="1" numFmtId="3" xfId="0" applyAlignment="1" applyFont="1" applyNumberFormat="1">
      <alignment readingOrder="0"/>
    </xf>
    <xf borderId="0" fillId="10" fontId="1" numFmtId="167" xfId="0" applyAlignment="1" applyFont="1" applyNumberFormat="1">
      <alignment readingOrder="0"/>
    </xf>
    <xf borderId="0" fillId="3" fontId="1" numFmtId="167" xfId="0" applyAlignment="1" applyFont="1" applyNumberFormat="1">
      <alignment readingOrder="0"/>
    </xf>
    <xf borderId="0" fillId="20" fontId="1" numFmtId="0" xfId="0" applyAlignment="1" applyFont="1">
      <alignment readingOrder="0"/>
    </xf>
    <xf borderId="0" fillId="20" fontId="1" numFmtId="167" xfId="0" applyFont="1" applyNumberFormat="1"/>
    <xf borderId="0" fillId="22" fontId="1" numFmtId="0" xfId="0" applyAlignment="1" applyFont="1">
      <alignment readingOrder="0"/>
    </xf>
    <xf borderId="0" fillId="22" fontId="1" numFmtId="167" xfId="0" applyFont="1" applyNumberFormat="1"/>
    <xf borderId="0" fillId="87" fontId="1" numFmtId="0" xfId="0" applyAlignment="1" applyFont="1">
      <alignment readingOrder="0"/>
    </xf>
    <xf borderId="0" fillId="0" fontId="1" numFmtId="2" xfId="0" applyFont="1" applyNumberFormat="1"/>
    <xf borderId="0" fillId="344" fontId="4" numFmtId="169" xfId="0" applyAlignment="1" applyFill="1" applyFont="1" applyNumberFormat="1">
      <alignment horizontal="right" vertical="bottom"/>
    </xf>
    <xf borderId="0" fillId="345" fontId="4" numFmtId="169" xfId="0" applyAlignment="1" applyFill="1" applyFont="1" applyNumberFormat="1">
      <alignment horizontal="right" vertical="bottom"/>
    </xf>
    <xf borderId="0" fillId="346" fontId="4" numFmtId="169" xfId="0" applyAlignment="1" applyFill="1" applyFont="1" applyNumberFormat="1">
      <alignment horizontal="right" vertical="bottom"/>
    </xf>
    <xf borderId="0" fillId="347" fontId="4" numFmtId="169" xfId="0" applyAlignment="1" applyFill="1" applyFont="1" applyNumberFormat="1">
      <alignment horizontal="right" vertical="bottom"/>
    </xf>
    <xf borderId="0" fillId="348" fontId="4" numFmtId="169" xfId="0" applyAlignment="1" applyFill="1" applyFont="1" applyNumberFormat="1">
      <alignment horizontal="right" vertical="bottom"/>
    </xf>
    <xf borderId="0" fillId="349" fontId="4" numFmtId="169" xfId="0" applyAlignment="1" applyFill="1" applyFont="1" applyNumberFormat="1">
      <alignment horizontal="right" vertical="bottom"/>
    </xf>
    <xf borderId="0" fillId="350" fontId="4" numFmtId="169" xfId="0" applyAlignment="1" applyFill="1" applyFont="1" applyNumberFormat="1">
      <alignment horizontal="right" vertical="bottom"/>
    </xf>
    <xf borderId="0" fillId="351" fontId="4" numFmtId="169" xfId="0" applyAlignment="1" applyFill="1" applyFont="1" applyNumberFormat="1">
      <alignment horizontal="right" vertical="bottom"/>
    </xf>
    <xf borderId="0" fillId="352" fontId="4" numFmtId="169" xfId="0" applyAlignment="1" applyFill="1" applyFont="1" applyNumberFormat="1">
      <alignment horizontal="right" vertical="bottom"/>
    </xf>
    <xf borderId="0" fillId="353" fontId="4" numFmtId="169" xfId="0" applyAlignment="1" applyFill="1" applyFont="1" applyNumberFormat="1">
      <alignment horizontal="right" vertical="bottom"/>
    </xf>
    <xf borderId="0" fillId="354" fontId="4" numFmtId="169" xfId="0" applyAlignment="1" applyFill="1" applyFont="1" applyNumberFormat="1">
      <alignment horizontal="right" vertical="bottom"/>
    </xf>
    <xf borderId="0" fillId="355" fontId="4" numFmtId="169" xfId="0" applyAlignment="1" applyFill="1" applyFont="1" applyNumberFormat="1">
      <alignment horizontal="right" vertical="bottom"/>
    </xf>
    <xf borderId="0" fillId="356" fontId="4" numFmtId="169" xfId="0" applyAlignment="1" applyFill="1" applyFont="1" applyNumberFormat="1">
      <alignment horizontal="right" vertical="bottom"/>
    </xf>
    <xf borderId="0" fillId="357" fontId="4" numFmtId="169" xfId="0" applyAlignment="1" applyFill="1" applyFont="1" applyNumberFormat="1">
      <alignment horizontal="right" vertical="bottom"/>
    </xf>
    <xf borderId="0" fillId="358" fontId="4" numFmtId="169" xfId="0" applyAlignment="1" applyFill="1" applyFont="1" applyNumberFormat="1">
      <alignment horizontal="right" vertical="bottom"/>
    </xf>
    <xf borderId="0" fillId="359" fontId="4" numFmtId="169" xfId="0" applyAlignment="1" applyFill="1" applyFont="1" applyNumberFormat="1">
      <alignment horizontal="right" vertical="bottom"/>
    </xf>
    <xf borderId="0" fillId="360" fontId="4" numFmtId="169" xfId="0" applyAlignment="1" applyFill="1" applyFont="1" applyNumberFormat="1">
      <alignment horizontal="right" vertical="bottom"/>
    </xf>
    <xf borderId="0" fillId="0" fontId="1" numFmtId="167" xfId="0" applyFont="1" applyNumberFormat="1"/>
    <xf borderId="0" fillId="343" fontId="4" numFmtId="169" xfId="0" applyAlignment="1" applyFont="1" applyNumberFormat="1">
      <alignment horizontal="right" vertical="bottom"/>
    </xf>
    <xf borderId="1" fillId="170" fontId="7" numFmtId="0" xfId="0" applyAlignment="1" applyBorder="1" applyFont="1">
      <alignment readingOrder="0" vertical="bottom"/>
    </xf>
    <xf borderId="0" fillId="0" fontId="1" numFmtId="10" xfId="0" applyAlignment="1" applyFont="1" applyNumberFormat="1">
      <alignment readingOrder="0"/>
    </xf>
    <xf borderId="0" fillId="0" fontId="1" numFmtId="167" xfId="0" applyAlignment="1" applyFont="1" applyNumberFormat="1">
      <alignment horizontal="right" readingOrder="0"/>
    </xf>
    <xf borderId="1" fillId="170" fontId="4" numFmtId="0" xfId="0" applyAlignment="1" applyBorder="1" applyFont="1">
      <alignment readingOrder="0" vertical="bottom"/>
    </xf>
    <xf borderId="0" fillId="0" fontId="53" numFmtId="167" xfId="0" applyAlignment="1" applyFont="1" applyNumberFormat="1">
      <alignment horizontal="right" readingOrder="0" vertical="bottom"/>
    </xf>
    <xf borderId="0" fillId="0" fontId="1" numFmtId="9" xfId="0" applyAlignment="1" applyFont="1" applyNumberFormat="1">
      <alignment readingOrder="0"/>
    </xf>
    <xf borderId="0" fillId="0" fontId="1" numFmtId="10" xfId="0" applyFont="1" applyNumberFormat="1"/>
    <xf borderId="0" fillId="10" fontId="54" numFmtId="0" xfId="0" applyFont="1"/>
    <xf borderId="0" fillId="3" fontId="1" numFmtId="173" xfId="0" applyAlignment="1" applyFont="1" applyNumberFormat="1">
      <alignment readingOrder="0"/>
    </xf>
    <xf borderId="0" fillId="3" fontId="1" numFmtId="0" xfId="0" applyAlignment="1" applyFont="1">
      <alignment horizontal="right" readingOrder="0"/>
    </xf>
    <xf borderId="0" fillId="0" fontId="55" numFmtId="174" xfId="0" applyAlignment="1" applyFont="1" applyNumberFormat="1">
      <alignment readingOrder="0"/>
    </xf>
    <xf borderId="0" fillId="0" fontId="55" numFmtId="10" xfId="0" applyFont="1" applyNumberFormat="1"/>
    <xf borderId="0" fillId="0" fontId="55" numFmtId="2" xfId="0" applyAlignment="1" applyFont="1" applyNumberFormat="1">
      <alignment readingOrder="0"/>
    </xf>
    <xf borderId="0" fillId="0" fontId="55" numFmtId="167" xfId="0" applyAlignment="1" applyFont="1" applyNumberFormat="1">
      <alignment readingOrder="0"/>
    </xf>
    <xf borderId="0" fillId="0" fontId="55" numFmtId="10" xfId="0" applyAlignment="1" applyFont="1" applyNumberFormat="1">
      <alignment readingOrder="0"/>
    </xf>
    <xf borderId="0" fillId="0" fontId="1" numFmtId="3" xfId="0" applyFont="1" applyNumberFormat="1"/>
    <xf borderId="0" fillId="0" fontId="55" numFmtId="0" xfId="0" applyAlignment="1" applyFont="1">
      <alignment readingOrder="0"/>
    </xf>
    <xf borderId="0" fillId="10" fontId="1" numFmtId="3" xfId="0" applyAlignment="1" applyFont="1" applyNumberFormat="1">
      <alignment horizontal="right"/>
    </xf>
    <xf borderId="0" fillId="0" fontId="56" numFmtId="167" xfId="0" applyAlignment="1" applyFont="1" applyNumberFormat="1">
      <alignment horizontal="left" readingOrder="0"/>
    </xf>
    <xf borderId="4" fillId="0" fontId="4" numFmtId="0" xfId="0" applyAlignment="1" applyBorder="1" applyFont="1">
      <alignment readingOrder="0" vertical="bottom"/>
    </xf>
    <xf borderId="0" fillId="342" fontId="57" numFmtId="0" xfId="0" applyAlignment="1" applyFont="1">
      <alignment horizontal="center" readingOrder="0" shrinkToFit="0" vertical="bottom" wrapText="0"/>
    </xf>
    <xf borderId="0" fillId="342" fontId="57" numFmtId="184" xfId="0" applyAlignment="1" applyFont="1" applyNumberFormat="1">
      <alignment horizontal="center" readingOrder="0" shrinkToFit="0" vertical="bottom" wrapText="0"/>
    </xf>
    <xf borderId="0" fillId="342" fontId="57" numFmtId="0" xfId="0" applyAlignment="1" applyFont="1">
      <alignment horizontal="center" shrinkToFit="0" vertical="bottom" wrapText="0"/>
    </xf>
    <xf borderId="0" fillId="342" fontId="58" numFmtId="0" xfId="0" applyAlignment="1" applyFont="1">
      <alignment horizontal="center" readingOrder="0" shrinkToFit="0" vertical="bottom" wrapText="0"/>
    </xf>
    <xf borderId="17" fillId="361" fontId="57" numFmtId="0" xfId="0" applyAlignment="1" applyBorder="1" applyFill="1" applyFont="1">
      <alignment horizontal="center" readingOrder="0" shrinkToFit="0" vertical="bottom" wrapText="0"/>
    </xf>
    <xf borderId="17" fillId="361" fontId="57" numFmtId="184" xfId="0" applyAlignment="1" applyBorder="1" applyFont="1" applyNumberFormat="1">
      <alignment horizontal="center" readingOrder="0" shrinkToFit="0" vertical="bottom" wrapText="0"/>
    </xf>
    <xf borderId="17" fillId="361" fontId="57" numFmtId="0" xfId="0" applyAlignment="1" applyBorder="1" applyFont="1">
      <alignment horizontal="center" shrinkToFit="0" vertical="bottom" wrapText="0"/>
    </xf>
    <xf borderId="23" fillId="298" fontId="58" numFmtId="0" xfId="0" applyAlignment="1" applyBorder="1" applyFont="1">
      <alignment horizontal="center" readingOrder="0" shrinkToFit="0" vertical="bottom" wrapText="0"/>
    </xf>
    <xf borderId="26" fillId="362" fontId="58" numFmtId="0" xfId="0" applyAlignment="1" applyBorder="1" applyFill="1" applyFont="1">
      <alignment horizontal="center" readingOrder="0" shrinkToFit="0" vertical="bottom" wrapText="0"/>
    </xf>
    <xf borderId="17" fillId="361" fontId="59" numFmtId="0" xfId="0" applyAlignment="1" applyBorder="1" applyFont="1">
      <alignment readingOrder="0" shrinkToFit="0" vertical="bottom" wrapText="0"/>
    </xf>
    <xf borderId="17" fillId="361" fontId="60" numFmtId="0" xfId="0" applyAlignment="1" applyBorder="1" applyFont="1">
      <alignment horizontal="center" readingOrder="0" shrinkToFit="0" vertical="bottom" wrapText="0"/>
    </xf>
    <xf borderId="25" fillId="361" fontId="61" numFmtId="0" xfId="0" applyAlignment="1" applyBorder="1" applyFont="1">
      <alignment horizontal="center" readingOrder="0" shrinkToFit="0" vertical="bottom" wrapText="0"/>
    </xf>
    <xf borderId="12" fillId="0" fontId="18" numFmtId="0" xfId="0" applyBorder="1" applyFont="1"/>
    <xf borderId="27" fillId="0" fontId="18" numFmtId="0" xfId="0" applyBorder="1" applyFont="1"/>
    <xf borderId="5" fillId="298" fontId="62" numFmtId="0" xfId="0" applyAlignment="1" applyBorder="1" applyFont="1">
      <alignment readingOrder="0" shrinkToFit="0" vertical="bottom" wrapText="0"/>
    </xf>
    <xf borderId="3" fillId="298" fontId="58" numFmtId="174" xfId="0" applyAlignment="1" applyBorder="1" applyFont="1" applyNumberFormat="1">
      <alignment horizontal="center" readingOrder="0" shrinkToFit="0" vertical="bottom" wrapText="0"/>
    </xf>
    <xf borderId="3" fillId="362" fontId="62" numFmtId="0" xfId="0" applyAlignment="1" applyBorder="1" applyFont="1">
      <alignment horizontal="left" readingOrder="0" shrinkToFit="0" vertical="bottom" wrapText="0"/>
    </xf>
    <xf borderId="3" fillId="362" fontId="58" numFmtId="174" xfId="0" applyAlignment="1" applyBorder="1" applyFont="1" applyNumberFormat="1">
      <alignment horizontal="center" readingOrder="0" shrinkToFit="0" vertical="bottom" wrapText="0"/>
    </xf>
    <xf borderId="17" fillId="279" fontId="60" numFmtId="0" xfId="0" applyAlignment="1" applyBorder="1" applyFont="1">
      <alignment horizontal="center" readingOrder="0" shrinkToFit="0" vertical="bottom" wrapText="0"/>
    </xf>
    <xf borderId="6" fillId="0" fontId="18" numFmtId="0" xfId="0" applyBorder="1" applyFont="1"/>
    <xf borderId="3" fillId="298" fontId="58" numFmtId="0" xfId="0" applyAlignment="1" applyBorder="1" applyFont="1">
      <alignment horizontal="center" readingOrder="0" shrinkToFit="0" vertical="bottom" wrapText="0"/>
    </xf>
    <xf borderId="3" fillId="362" fontId="58" numFmtId="0" xfId="0" applyAlignment="1" applyBorder="1" applyFont="1">
      <alignment horizontal="center" readingOrder="0" shrinkToFit="0" vertical="bottom" wrapText="0"/>
    </xf>
    <xf borderId="17" fillId="25" fontId="63" numFmtId="0" xfId="0" applyAlignment="1" applyBorder="1" applyFont="1">
      <alignment shrinkToFit="0" vertical="bottom" wrapText="0"/>
    </xf>
    <xf borderId="23" fillId="25" fontId="64" numFmtId="0" xfId="0" applyAlignment="1" applyBorder="1" applyFont="1">
      <alignment horizontal="center" readingOrder="0"/>
    </xf>
    <xf borderId="26" fillId="0" fontId="18" numFmtId="0" xfId="0" applyBorder="1" applyFont="1"/>
    <xf borderId="17" fillId="25" fontId="65" numFmtId="0" xfId="0" applyAlignment="1" applyBorder="1" applyFont="1">
      <alignment horizontal="center" readingOrder="0"/>
    </xf>
    <xf borderId="17" fillId="279" fontId="65" numFmtId="0" xfId="0" applyAlignment="1" applyBorder="1" applyFont="1">
      <alignment horizontal="center" readingOrder="0"/>
    </xf>
    <xf borderId="3" fillId="298" fontId="58" numFmtId="3" xfId="0" applyAlignment="1" applyBorder="1" applyFont="1" applyNumberFormat="1">
      <alignment horizontal="center" readingOrder="0" shrinkToFit="0" vertical="bottom" wrapText="0"/>
    </xf>
    <xf borderId="3" fillId="362" fontId="58" numFmtId="3" xfId="0" applyAlignment="1" applyBorder="1" applyFont="1" applyNumberFormat="1">
      <alignment horizontal="center" readingOrder="0" shrinkToFit="0" vertical="bottom" wrapText="0"/>
    </xf>
    <xf borderId="28" fillId="10" fontId="66" numFmtId="0" xfId="0" applyAlignment="1" applyBorder="1" applyFont="1">
      <alignment horizontal="center" readingOrder="0" shrinkToFit="0" vertical="bottom" wrapText="0"/>
    </xf>
    <xf borderId="29" fillId="10" fontId="67" numFmtId="174" xfId="0" applyAlignment="1" applyBorder="1" applyFont="1" applyNumberFormat="1">
      <alignment horizontal="center" readingOrder="0" shrinkToFit="0" vertical="bottom" wrapText="0"/>
    </xf>
    <xf borderId="29" fillId="10" fontId="67" numFmtId="174" xfId="0" applyAlignment="1" applyBorder="1" applyFont="1" applyNumberFormat="1">
      <alignment horizontal="center" shrinkToFit="0" vertical="bottom" wrapText="0"/>
    </xf>
    <xf borderId="30" fillId="10" fontId="67" numFmtId="174" xfId="0" applyAlignment="1" applyBorder="1" applyFont="1" applyNumberFormat="1">
      <alignment horizontal="center" readingOrder="0" shrinkToFit="0" vertical="bottom" wrapText="0"/>
    </xf>
    <xf borderId="0" fillId="0" fontId="4" numFmtId="175" xfId="0" applyAlignment="1" applyFont="1" applyNumberFormat="1">
      <alignment vertical="bottom"/>
    </xf>
    <xf borderId="30" fillId="10" fontId="68" numFmtId="9" xfId="0" applyAlignment="1" applyBorder="1" applyFont="1" applyNumberFormat="1">
      <alignment horizontal="center" readingOrder="0" shrinkToFit="0" vertical="bottom" wrapText="0"/>
    </xf>
    <xf borderId="29" fillId="10" fontId="66" numFmtId="174" xfId="0" applyAlignment="1" applyBorder="1" applyFont="1" applyNumberFormat="1">
      <alignment horizontal="center" readingOrder="0" shrinkToFit="0" vertical="bottom" wrapText="0"/>
    </xf>
    <xf borderId="3" fillId="362" fontId="62" numFmtId="0" xfId="0" applyAlignment="1" applyBorder="1" applyFont="1">
      <alignment horizontal="center" shrinkToFit="0" vertical="bottom" wrapText="0"/>
    </xf>
    <xf borderId="31" fillId="10" fontId="66" numFmtId="0" xfId="0" applyAlignment="1" applyBorder="1" applyFont="1">
      <alignment horizontal="center" readingOrder="0" shrinkToFit="0" vertical="bottom" wrapText="0"/>
    </xf>
    <xf borderId="32" fillId="3" fontId="67" numFmtId="174" xfId="0" applyAlignment="1" applyBorder="1" applyFont="1" applyNumberFormat="1">
      <alignment horizontal="center" readingOrder="0" shrinkToFit="0" vertical="bottom" wrapText="0"/>
    </xf>
    <xf borderId="32" fillId="3" fontId="67" numFmtId="174" xfId="0" applyAlignment="1" applyBorder="1" applyFont="1" applyNumberFormat="1">
      <alignment horizontal="center" shrinkToFit="0" vertical="bottom" wrapText="0"/>
    </xf>
    <xf borderId="33" fillId="10" fontId="68" numFmtId="9" xfId="0" applyAlignment="1" applyBorder="1" applyFont="1" applyNumberFormat="1">
      <alignment horizontal="center" readingOrder="0" shrinkToFit="0" vertical="bottom" wrapText="0"/>
    </xf>
    <xf borderId="32" fillId="10" fontId="66" numFmtId="174" xfId="0" applyAlignment="1" applyBorder="1" applyFont="1" applyNumberFormat="1">
      <alignment horizontal="center" readingOrder="0" shrinkToFit="0" vertical="bottom" wrapText="0"/>
    </xf>
    <xf borderId="3" fillId="298" fontId="58" numFmtId="9" xfId="0" applyAlignment="1" applyBorder="1" applyFont="1" applyNumberFormat="1">
      <alignment horizontal="center" readingOrder="0" shrinkToFit="0" vertical="bottom" wrapText="0"/>
    </xf>
    <xf borderId="3" fillId="362" fontId="69" numFmtId="0" xfId="0" applyAlignment="1" applyBorder="1" applyFont="1">
      <alignment horizontal="center" shrinkToFit="0" vertical="bottom" wrapText="0"/>
    </xf>
    <xf borderId="32" fillId="10" fontId="67" numFmtId="174" xfId="0" applyAlignment="1" applyBorder="1" applyFont="1" applyNumberFormat="1">
      <alignment horizontal="center" shrinkToFit="0" vertical="bottom" wrapText="0"/>
    </xf>
    <xf borderId="5" fillId="298" fontId="69" numFmtId="0" xfId="0" applyAlignment="1" applyBorder="1" applyFont="1">
      <alignment readingOrder="0" shrinkToFit="0" vertical="bottom" wrapText="0"/>
    </xf>
    <xf borderId="3" fillId="298" fontId="58" numFmtId="167" xfId="0" applyAlignment="1" applyBorder="1" applyFont="1" applyNumberFormat="1">
      <alignment horizontal="center" readingOrder="0" shrinkToFit="0" vertical="bottom" wrapText="0"/>
    </xf>
    <xf borderId="17" fillId="361" fontId="58" numFmtId="0" xfId="0" applyAlignment="1" applyBorder="1" applyFont="1">
      <alignment horizontal="left" readingOrder="0" shrinkToFit="0" vertical="bottom" wrapText="0"/>
    </xf>
    <xf borderId="17" fillId="361" fontId="58" numFmtId="0" xfId="0" applyAlignment="1" applyBorder="1" applyFont="1">
      <alignment horizontal="center" readingOrder="0" shrinkToFit="0" vertical="bottom" wrapText="0"/>
    </xf>
    <xf borderId="17" fillId="243" fontId="58" numFmtId="0" xfId="0" applyAlignment="1" applyBorder="1" applyFont="1">
      <alignment horizontal="center" readingOrder="0" shrinkToFit="0" vertical="bottom" wrapText="0"/>
    </xf>
    <xf borderId="5" fillId="0" fontId="62" numFmtId="0" xfId="0" applyAlignment="1" applyBorder="1" applyFont="1">
      <alignment readingOrder="0" shrinkToFit="0" vertical="bottom" wrapText="0"/>
    </xf>
    <xf borderId="3" fillId="363" fontId="62" numFmtId="174" xfId="0" applyAlignment="1" applyBorder="1" applyFill="1" applyFont="1" applyNumberFormat="1">
      <alignment horizontal="center" readingOrder="0" shrinkToFit="0" vertical="bottom" wrapText="0"/>
    </xf>
    <xf borderId="3" fillId="0" fontId="62" numFmtId="167" xfId="0" applyAlignment="1" applyBorder="1" applyFont="1" applyNumberFormat="1">
      <alignment horizontal="center" shrinkToFit="0" vertical="bottom" wrapText="0"/>
    </xf>
    <xf borderId="17" fillId="342" fontId="62" numFmtId="9" xfId="0" applyAlignment="1" applyBorder="1" applyFont="1" applyNumberFormat="1">
      <alignment horizontal="center" readingOrder="0" shrinkToFit="0" vertical="bottom" wrapText="0"/>
    </xf>
    <xf borderId="3" fillId="25" fontId="62" numFmtId="3" xfId="0" applyAlignment="1" applyBorder="1" applyFont="1" applyNumberFormat="1">
      <alignment horizontal="center" readingOrder="0" shrinkToFit="0" vertical="bottom" wrapText="0"/>
    </xf>
    <xf borderId="3" fillId="0" fontId="62" numFmtId="3" xfId="0" applyAlignment="1" applyBorder="1" applyFont="1" applyNumberFormat="1">
      <alignment horizontal="center" shrinkToFit="0" vertical="bottom" wrapText="0"/>
    </xf>
    <xf borderId="2" fillId="0" fontId="5" numFmtId="169" xfId="0" applyAlignment="1" applyBorder="1" applyFont="1" applyNumberFormat="1">
      <alignment horizontal="right" readingOrder="0" vertical="bottom"/>
    </xf>
    <xf borderId="1" fillId="364" fontId="4" numFmtId="0" xfId="0" applyAlignment="1" applyBorder="1" applyFill="1" applyFont="1">
      <alignment readingOrder="0" vertical="bottom"/>
    </xf>
    <xf borderId="3" fillId="0" fontId="62" numFmtId="2" xfId="0" applyAlignment="1" applyBorder="1" applyFont="1" applyNumberFormat="1">
      <alignment horizontal="center" readingOrder="0" shrinkToFit="0" vertical="bottom" wrapText="0"/>
    </xf>
    <xf borderId="3" fillId="0" fontId="62" numFmtId="2" xfId="0" applyAlignment="1" applyBorder="1" applyFont="1" applyNumberFormat="1">
      <alignment horizontal="center" shrinkToFit="0" vertical="bottom" wrapText="0"/>
    </xf>
    <xf borderId="3" fillId="0" fontId="62" numFmtId="10" xfId="0" applyAlignment="1" applyBorder="1" applyFont="1" applyNumberFormat="1">
      <alignment horizontal="center" readingOrder="0" shrinkToFit="0" vertical="bottom" wrapText="0"/>
    </xf>
    <xf borderId="3" fillId="0" fontId="62" numFmtId="10" xfId="0" applyAlignment="1" applyBorder="1" applyFont="1" applyNumberFormat="1">
      <alignment horizontal="center" shrinkToFit="0" vertical="bottom" wrapText="0"/>
    </xf>
    <xf borderId="3" fillId="25" fontId="62" numFmtId="10" xfId="0" applyAlignment="1" applyBorder="1" applyFont="1" applyNumberFormat="1">
      <alignment horizontal="center" readingOrder="0" shrinkToFit="0" vertical="bottom" wrapText="0"/>
    </xf>
    <xf borderId="32" fillId="10" fontId="67" numFmtId="174" xfId="0" applyAlignment="1" applyBorder="1" applyFont="1" applyNumberFormat="1">
      <alignment horizontal="center" readingOrder="0" shrinkToFit="0" vertical="bottom" wrapText="0"/>
    </xf>
    <xf borderId="3" fillId="10" fontId="62" numFmtId="167" xfId="0" applyAlignment="1" applyBorder="1" applyFont="1" applyNumberFormat="1">
      <alignment horizontal="center" readingOrder="0" shrinkToFit="0" vertical="bottom" wrapText="0"/>
    </xf>
    <xf borderId="3" fillId="10" fontId="62" numFmtId="3" xfId="0" applyAlignment="1" applyBorder="1" applyFont="1" applyNumberFormat="1">
      <alignment horizontal="center" readingOrder="0" shrinkToFit="0" vertical="bottom" wrapText="0"/>
    </xf>
    <xf borderId="0" fillId="342" fontId="62" numFmtId="0" xfId="0" applyAlignment="1" applyFont="1">
      <alignment shrinkToFit="0" vertical="bottom" wrapText="0"/>
    </xf>
    <xf borderId="0" fillId="342" fontId="62" numFmtId="0" xfId="0" applyAlignment="1" applyFont="1">
      <alignment readingOrder="0" shrinkToFit="0" vertical="bottom" wrapText="0"/>
    </xf>
    <xf borderId="0" fillId="25" fontId="62" numFmtId="174" xfId="0" applyAlignment="1" applyFont="1" applyNumberFormat="1">
      <alignment horizontal="center" readingOrder="0" shrinkToFit="0" vertical="bottom" wrapText="0"/>
    </xf>
    <xf borderId="0" fillId="342" fontId="62" numFmtId="0" xfId="0" applyAlignment="1" applyFont="1">
      <alignment horizontal="center" readingOrder="0" shrinkToFit="0" vertical="bottom" wrapText="0"/>
    </xf>
    <xf borderId="0" fillId="342" fontId="62" numFmtId="3" xfId="0" applyAlignment="1" applyFont="1" applyNumberFormat="1">
      <alignment horizontal="center" readingOrder="0" shrinkToFit="0" vertical="bottom" wrapText="0"/>
    </xf>
    <xf borderId="0" fillId="342" fontId="62" numFmtId="9" xfId="0" applyAlignment="1" applyFont="1" applyNumberFormat="1">
      <alignment horizontal="center" readingOrder="0" shrinkToFit="0" vertical="bottom" wrapText="0"/>
    </xf>
    <xf borderId="0" fillId="342" fontId="62" numFmtId="10" xfId="0" applyAlignment="1" applyFont="1" applyNumberFormat="1">
      <alignment horizontal="center" readingOrder="0" shrinkToFit="0" vertical="bottom" wrapText="0"/>
    </xf>
    <xf borderId="0" fillId="342" fontId="62" numFmtId="2" xfId="0" applyAlignment="1" applyFont="1" applyNumberFormat="1">
      <alignment horizontal="center" readingOrder="0" shrinkToFit="0" vertical="bottom" wrapText="0"/>
    </xf>
    <xf borderId="0" fillId="342" fontId="69" numFmtId="0" xfId="0" applyAlignment="1" applyFont="1">
      <alignment readingOrder="0" shrinkToFit="0" vertical="bottom" wrapText="0"/>
    </xf>
    <xf borderId="0" fillId="342" fontId="62" numFmtId="167" xfId="0" applyAlignment="1" applyFont="1" applyNumberFormat="1">
      <alignment horizontal="center" readingOrder="0" shrinkToFit="0" vertical="bottom" wrapText="0"/>
    </xf>
    <xf borderId="23" fillId="365" fontId="70" numFmtId="0" xfId="0" applyAlignment="1" applyBorder="1" applyFill="1" applyFont="1">
      <alignment readingOrder="0" shrinkToFit="0" vertical="bottom" wrapText="0"/>
    </xf>
    <xf borderId="24" fillId="365" fontId="70" numFmtId="167" xfId="0" applyAlignment="1" applyBorder="1" applyFont="1" applyNumberFormat="1">
      <alignment horizontal="center" readingOrder="0" shrinkToFit="0" vertical="bottom" wrapText="0"/>
    </xf>
    <xf borderId="26" fillId="365" fontId="70" numFmtId="167" xfId="0" applyAlignment="1" applyBorder="1" applyFont="1" applyNumberFormat="1">
      <alignment horizontal="center" readingOrder="0" shrinkToFit="0" vertical="bottom" wrapText="0"/>
    </xf>
    <xf borderId="26" fillId="365" fontId="70" numFmtId="10" xfId="0" applyAlignment="1" applyBorder="1" applyFont="1" applyNumberFormat="1">
      <alignment horizontal="center" readingOrder="0" shrinkToFit="0" vertical="bottom" wrapText="0"/>
    </xf>
    <xf borderId="1" fillId="171" fontId="28" numFmtId="0" xfId="0" applyAlignment="1" applyBorder="1" applyFont="1">
      <alignment readingOrder="0" vertical="bottom"/>
    </xf>
    <xf borderId="1" fillId="171" fontId="4" numFmtId="0" xfId="0" applyAlignment="1" applyBorder="1" applyFont="1">
      <alignment readingOrder="0" vertical="bottom"/>
    </xf>
    <xf borderId="32" fillId="10" fontId="67" numFmtId="0" xfId="0" applyAlignment="1" applyBorder="1" applyFont="1">
      <alignment horizontal="center" shrinkToFit="0" vertical="bottom" wrapText="0"/>
    </xf>
    <xf borderId="26" fillId="4" fontId="71" numFmtId="10" xfId="0" applyAlignment="1" applyBorder="1" applyFont="1" applyNumberFormat="1">
      <alignment horizontal="center"/>
    </xf>
    <xf borderId="24" fillId="4" fontId="71" numFmtId="167" xfId="0" applyAlignment="1" applyBorder="1" applyFont="1" applyNumberFormat="1">
      <alignment horizontal="center"/>
    </xf>
    <xf borderId="1" fillId="366" fontId="4" numFmtId="0" xfId="0" applyAlignment="1" applyBorder="1" applyFill="1" applyFont="1">
      <alignment readingOrder="0" vertical="bottom"/>
    </xf>
    <xf borderId="0" fillId="10" fontId="40" numFmtId="0" xfId="0" applyFont="1"/>
    <xf borderId="29" fillId="10" fontId="67" numFmtId="3" xfId="0" applyAlignment="1" applyBorder="1" applyFont="1" applyNumberFormat="1">
      <alignment horizontal="center" shrinkToFit="0" vertical="bottom" wrapText="0"/>
    </xf>
    <xf borderId="29" fillId="10" fontId="67" numFmtId="3" xfId="0" applyAlignment="1" applyBorder="1" applyFont="1" applyNumberFormat="1">
      <alignment horizontal="center" readingOrder="0" shrinkToFit="0" vertical="bottom" wrapText="0"/>
    </xf>
    <xf borderId="30" fillId="10" fontId="67" numFmtId="3" xfId="0" applyAlignment="1" applyBorder="1" applyFont="1" applyNumberFormat="1">
      <alignment horizontal="center" readingOrder="0" shrinkToFit="0" vertical="bottom" wrapText="0"/>
    </xf>
    <xf borderId="29" fillId="10" fontId="66" numFmtId="3" xfId="0" applyAlignment="1" applyBorder="1" applyFont="1" applyNumberFormat="1">
      <alignment horizontal="center" readingOrder="0" shrinkToFit="0" vertical="bottom" wrapText="0"/>
    </xf>
    <xf borderId="32" fillId="3" fontId="67" numFmtId="3" xfId="0" applyAlignment="1" applyBorder="1" applyFont="1" applyNumberFormat="1">
      <alignment horizontal="center" shrinkToFit="0" vertical="bottom" wrapText="0"/>
    </xf>
    <xf borderId="32" fillId="10" fontId="66" numFmtId="3" xfId="0" applyAlignment="1" applyBorder="1" applyFont="1" applyNumberFormat="1">
      <alignment horizontal="center" readingOrder="0" shrinkToFit="0" vertical="bottom" wrapText="0"/>
    </xf>
    <xf borderId="0" fillId="10" fontId="43" numFmtId="10" xfId="0" applyFont="1" applyNumberFormat="1"/>
    <xf borderId="0" fillId="10" fontId="40" numFmtId="1" xfId="0" applyFont="1" applyNumberFormat="1"/>
    <xf borderId="1" fillId="366" fontId="4" numFmtId="0" xfId="0" applyAlignment="1" applyBorder="1" applyFont="1">
      <alignment vertical="bottom"/>
    </xf>
    <xf borderId="1" fillId="172" fontId="4" numFmtId="0" xfId="0" applyAlignment="1" applyBorder="1" applyFont="1">
      <alignment readingOrder="0" vertical="bottom"/>
    </xf>
    <xf borderId="0" fillId="0" fontId="1" numFmtId="1" xfId="0" applyFont="1" applyNumberFormat="1"/>
    <xf borderId="24" fillId="365" fontId="70" numFmtId="3" xfId="0" applyAlignment="1" applyBorder="1" applyFont="1" applyNumberFormat="1">
      <alignment horizontal="center" readingOrder="0" shrinkToFit="0" vertical="bottom" wrapText="0"/>
    </xf>
    <xf borderId="0" fillId="11" fontId="16" numFmtId="0" xfId="0" applyAlignment="1" applyFont="1">
      <alignment readingOrder="0"/>
    </xf>
    <xf borderId="0" fillId="11" fontId="4" numFmtId="1" xfId="0" applyAlignment="1" applyFont="1" applyNumberFormat="1">
      <alignment horizontal="right" readingOrder="0" vertical="bottom"/>
    </xf>
    <xf borderId="0" fillId="3" fontId="4" numFmtId="3" xfId="0" applyAlignment="1" applyFont="1" applyNumberFormat="1">
      <alignment horizontal="right" readingOrder="0" vertical="bottom"/>
    </xf>
    <xf borderId="0" fillId="3" fontId="33" numFmtId="3" xfId="0" applyAlignment="1" applyFont="1" applyNumberFormat="1">
      <alignment horizontal="right" readingOrder="0" shrinkToFit="0" wrapText="0"/>
    </xf>
    <xf borderId="0" fillId="362" fontId="4" numFmtId="175" xfId="0" applyAlignment="1" applyFont="1" applyNumberFormat="1">
      <alignment vertical="bottom"/>
    </xf>
    <xf borderId="0" fillId="11" fontId="4" numFmtId="0" xfId="0" applyAlignment="1" applyFont="1">
      <alignment horizontal="right" readingOrder="0" vertical="bottom"/>
    </xf>
    <xf borderId="0" fillId="11" fontId="4" numFmtId="0" xfId="0" applyAlignment="1" applyFont="1">
      <alignment readingOrder="0" vertical="bottom"/>
    </xf>
    <xf borderId="0" fillId="11" fontId="33" numFmtId="0" xfId="0" applyAlignment="1" applyFont="1">
      <alignment horizontal="right" readingOrder="0" shrinkToFit="0" wrapText="0"/>
    </xf>
    <xf borderId="34" fillId="0" fontId="72" numFmtId="0" xfId="0" applyAlignment="1" applyBorder="1" applyFont="1">
      <alignment readingOrder="0"/>
    </xf>
    <xf borderId="34" fillId="0" fontId="1" numFmtId="0" xfId="0" applyBorder="1" applyFont="1"/>
    <xf borderId="0" fillId="11" fontId="33" numFmtId="3" xfId="0" applyAlignment="1" applyFont="1" applyNumberFormat="1">
      <alignment horizontal="right" readingOrder="0" shrinkToFit="0" wrapText="0"/>
    </xf>
    <xf borderId="0" fillId="11" fontId="4" numFmtId="3" xfId="0" applyAlignment="1" applyFont="1" applyNumberFormat="1">
      <alignment readingOrder="0" vertical="bottom"/>
    </xf>
    <xf borderId="3" fillId="20" fontId="4" numFmtId="0" xfId="0" applyAlignment="1" applyBorder="1" applyFont="1">
      <alignment readingOrder="0" vertical="bottom"/>
    </xf>
    <xf borderId="4" fillId="0" fontId="4" numFmtId="169" xfId="0" applyAlignment="1" applyBorder="1" applyFont="1" applyNumberFormat="1">
      <alignment horizontal="right" readingOrder="0" vertical="bottom"/>
    </xf>
    <xf borderId="0" fillId="11" fontId="33" numFmtId="1" xfId="0" applyAlignment="1" applyFont="1" applyNumberFormat="1">
      <alignment horizontal="right" readingOrder="0" shrinkToFit="0" wrapText="0"/>
    </xf>
    <xf borderId="0" fillId="0" fontId="37" numFmtId="1" xfId="0" applyAlignment="1" applyFont="1" applyNumberFormat="1">
      <alignment readingOrder="0"/>
    </xf>
    <xf borderId="34" fillId="0" fontId="1" numFmtId="0" xfId="0" applyAlignment="1" applyBorder="1" applyFont="1">
      <alignment readingOrder="0" vertical="top"/>
    </xf>
    <xf borderId="34" fillId="0" fontId="40" numFmtId="0" xfId="0" applyAlignment="1" applyBorder="1" applyFont="1">
      <alignment readingOrder="0"/>
    </xf>
    <xf borderId="0" fillId="3" fontId="33" numFmtId="0" xfId="0" applyAlignment="1" applyFont="1">
      <alignment horizontal="right" readingOrder="0" shrinkToFit="0" wrapText="0"/>
    </xf>
    <xf borderId="0" fillId="3" fontId="4" numFmtId="3" xfId="0" applyAlignment="1" applyFont="1" applyNumberFormat="1">
      <alignment readingOrder="0" vertical="bottom"/>
    </xf>
    <xf borderId="34" fillId="0" fontId="1" numFmtId="0" xfId="0" applyAlignment="1" applyBorder="1" applyFont="1">
      <alignment readingOrder="0"/>
    </xf>
    <xf borderId="34" fillId="0" fontId="73" numFmtId="0" xfId="0" applyBorder="1" applyFont="1"/>
    <xf borderId="0" fillId="3" fontId="33" numFmtId="1" xfId="0" applyAlignment="1" applyFont="1" applyNumberFormat="1">
      <alignment horizontal="right" readingOrder="0" shrinkToFit="0" wrapText="0"/>
    </xf>
    <xf borderId="35" fillId="0" fontId="1" numFmtId="0" xfId="0" applyAlignment="1" applyBorder="1" applyFont="1">
      <alignment readingOrder="0" shrinkToFit="0" vertical="top" wrapText="1"/>
    </xf>
    <xf borderId="36" fillId="0" fontId="18" numFmtId="0" xfId="0" applyBorder="1" applyFont="1"/>
    <xf borderId="37" fillId="0" fontId="18" numFmtId="0" xfId="0" applyBorder="1" applyFont="1"/>
    <xf borderId="0" fillId="3" fontId="35" numFmtId="1" xfId="0" applyAlignment="1" applyFont="1" applyNumberFormat="1">
      <alignment horizontal="right" readingOrder="0" shrinkToFit="0" wrapText="0"/>
    </xf>
    <xf borderId="38" fillId="0" fontId="18" numFmtId="0" xfId="0" applyBorder="1" applyFont="1"/>
    <xf borderId="39" fillId="0" fontId="18" numFmtId="0" xfId="0" applyBorder="1" applyFont="1"/>
    <xf borderId="40" fillId="0" fontId="18" numFmtId="0" xfId="0" applyBorder="1" applyFont="1"/>
    <xf borderId="0" fillId="0" fontId="4" numFmtId="175" xfId="0" applyAlignment="1" applyFont="1" applyNumberFormat="1">
      <alignment readingOrder="0" vertical="bottom"/>
    </xf>
    <xf borderId="0" fillId="0" fontId="11" numFmtId="175" xfId="0" applyAlignment="1" applyFont="1" applyNumberFormat="1">
      <alignment readingOrder="0" vertical="bottom"/>
    </xf>
    <xf borderId="34" fillId="0" fontId="40" numFmtId="0" xfId="0" applyAlignment="1" applyBorder="1" applyFont="1">
      <alignment readingOrder="0"/>
    </xf>
    <xf borderId="1" fillId="9" fontId="4" numFmtId="0" xfId="0" applyAlignment="1" applyBorder="1" applyFont="1">
      <alignment readingOrder="0" vertical="bottom"/>
    </xf>
    <xf borderId="41" fillId="0" fontId="18" numFmtId="0" xfId="0" applyBorder="1" applyFont="1"/>
    <xf borderId="42" fillId="0" fontId="18" numFmtId="0" xfId="0" applyBorder="1" applyFont="1"/>
    <xf borderId="34" fillId="26" fontId="41" numFmtId="0" xfId="0" applyAlignment="1" applyBorder="1" applyFont="1">
      <alignment readingOrder="0"/>
    </xf>
    <xf borderId="34" fillId="26" fontId="41" numFmtId="0" xfId="0" applyBorder="1" applyFont="1"/>
    <xf borderId="1" fillId="26" fontId="4" numFmtId="0" xfId="0" applyAlignment="1" applyBorder="1" applyFont="1">
      <alignment readingOrder="0" vertical="bottom"/>
    </xf>
    <xf borderId="0" fillId="8" fontId="11" numFmtId="1" xfId="0" applyAlignment="1" applyFont="1" applyNumberFormat="1">
      <alignment readingOrder="0" vertical="bottom"/>
    </xf>
    <xf borderId="1" fillId="27" fontId="4" numFmtId="0" xfId="0" applyAlignment="1" applyBorder="1" applyFont="1">
      <alignment readingOrder="0" vertical="bottom"/>
    </xf>
    <xf borderId="0" fillId="367" fontId="40" numFmtId="0" xfId="0" applyAlignment="1" applyFill="1" applyFont="1">
      <alignment horizontal="center" readingOrder="0"/>
    </xf>
    <xf borderId="0" fillId="87" fontId="43" numFmtId="0" xfId="0" applyAlignment="1" applyFont="1">
      <alignment readingOrder="0"/>
    </xf>
    <xf borderId="0" fillId="26" fontId="43" numFmtId="0" xfId="0" applyAlignment="1" applyFont="1">
      <alignment readingOrder="0"/>
    </xf>
    <xf borderId="0" fillId="0" fontId="11" numFmtId="167" xfId="0" applyAlignment="1" applyFont="1" applyNumberFormat="1">
      <alignment vertical="bottom"/>
    </xf>
    <xf borderId="0" fillId="10" fontId="74" numFmtId="0" xfId="0" applyAlignment="1" applyFont="1">
      <alignment horizontal="center" readingOrder="0"/>
    </xf>
    <xf borderId="0" fillId="10" fontId="43" numFmtId="0" xfId="0" applyAlignment="1" applyFont="1">
      <alignment readingOrder="0"/>
    </xf>
    <xf borderId="0" fillId="3" fontId="36" numFmtId="167" xfId="0" applyAlignment="1" applyFont="1" applyNumberFormat="1">
      <alignment horizontal="right" readingOrder="0"/>
    </xf>
    <xf borderId="0" fillId="10" fontId="43" numFmtId="3" xfId="0" applyAlignment="1" applyFont="1" applyNumberFormat="1">
      <alignment horizontal="left" readingOrder="0"/>
    </xf>
    <xf borderId="0" fillId="279" fontId="43" numFmtId="3" xfId="0" applyAlignment="1" applyFont="1" applyNumberFormat="1">
      <alignment horizontal="left" readingOrder="0"/>
    </xf>
    <xf borderId="0" fillId="3" fontId="75" numFmtId="167" xfId="0" applyAlignment="1" applyFont="1" applyNumberFormat="1">
      <alignment horizontal="right" readingOrder="0"/>
    </xf>
    <xf borderId="0" fillId="9" fontId="43" numFmtId="0" xfId="0" applyAlignment="1" applyFont="1">
      <alignment readingOrder="0"/>
    </xf>
    <xf borderId="0" fillId="0" fontId="43" numFmtId="167" xfId="0" applyAlignment="1" applyFont="1" applyNumberFormat="1">
      <alignment readingOrder="0"/>
    </xf>
    <xf borderId="0" fillId="0" fontId="76" numFmtId="0" xfId="0" applyAlignment="1" applyFont="1">
      <alignment vertical="bottom"/>
    </xf>
    <xf borderId="0" fillId="0" fontId="76" numFmtId="167" xfId="0" applyAlignment="1" applyFont="1" applyNumberFormat="1">
      <alignment horizontal="right" vertical="bottom"/>
    </xf>
    <xf borderId="0" fillId="10" fontId="43" numFmtId="167" xfId="0" applyAlignment="1" applyFont="1" applyNumberFormat="1">
      <alignment horizontal="right" readingOrder="0"/>
    </xf>
    <xf borderId="0" fillId="0" fontId="43" numFmtId="167" xfId="0" applyAlignment="1" applyFont="1" applyNumberFormat="1">
      <alignment horizontal="right" readingOrder="0"/>
    </xf>
    <xf borderId="0" fillId="10" fontId="43" numFmtId="167" xfId="0" applyAlignment="1" applyFont="1" applyNumberFormat="1">
      <alignment readingOrder="0"/>
    </xf>
    <xf borderId="0" fillId="0" fontId="43" numFmtId="167" xfId="0" applyAlignment="1" applyFont="1" applyNumberFormat="1">
      <alignment readingOrder="0"/>
    </xf>
    <xf borderId="0" fillId="0" fontId="76" numFmtId="9" xfId="0" applyAlignment="1" applyFont="1" applyNumberFormat="1">
      <alignment horizontal="right" vertical="bottom"/>
    </xf>
    <xf borderId="0" fillId="3" fontId="43" numFmtId="0" xfId="0" applyAlignment="1" applyFont="1">
      <alignment readingOrder="0"/>
    </xf>
    <xf borderId="0" fillId="3" fontId="43" numFmtId="167" xfId="0" applyAlignment="1" applyFont="1" applyNumberFormat="1">
      <alignment readingOrder="0"/>
    </xf>
    <xf borderId="0" fillId="0" fontId="3" numFmtId="0" xfId="0" applyAlignment="1" applyFont="1">
      <alignment readingOrder="0" vertical="bottom"/>
    </xf>
    <xf borderId="0" fillId="10" fontId="43" numFmtId="10" xfId="0" applyAlignment="1" applyFont="1" applyNumberFormat="1">
      <alignment readingOrder="0"/>
    </xf>
    <xf borderId="0" fillId="0" fontId="43" numFmtId="10" xfId="0" applyAlignment="1" applyFont="1" applyNumberFormat="1">
      <alignment readingOrder="0"/>
    </xf>
    <xf borderId="0" fillId="0" fontId="76" numFmtId="0" xfId="0" applyAlignment="1" applyFont="1">
      <alignment horizontal="right" vertical="bottom"/>
    </xf>
    <xf borderId="0" fillId="3" fontId="37" numFmtId="167" xfId="0" applyAlignment="1" applyFont="1" applyNumberFormat="1">
      <alignment readingOrder="0" vertical="bottom"/>
    </xf>
    <xf borderId="0" fillId="3" fontId="16" numFmtId="167" xfId="0" applyAlignment="1" applyFont="1" applyNumberFormat="1">
      <alignment readingOrder="0" vertical="bottom"/>
    </xf>
    <xf borderId="0" fillId="3" fontId="16" numFmtId="167" xfId="0" applyFont="1" applyNumberFormat="1"/>
    <xf borderId="0" fillId="0" fontId="43" numFmtId="0" xfId="0" applyAlignment="1" applyFont="1">
      <alignment readingOrder="0"/>
    </xf>
    <xf borderId="0" fillId="10" fontId="43" numFmtId="176" xfId="0" applyAlignment="1" applyFont="1" applyNumberFormat="1">
      <alignment readingOrder="0"/>
    </xf>
    <xf borderId="0" fillId="10" fontId="43" numFmtId="177" xfId="0" applyAlignment="1" applyFont="1" applyNumberFormat="1">
      <alignment readingOrder="0"/>
    </xf>
    <xf borderId="0" fillId="85" fontId="40" numFmtId="0" xfId="0" applyAlignment="1" applyFont="1">
      <alignment readingOrder="0"/>
    </xf>
    <xf borderId="0" fillId="85" fontId="40" numFmtId="167" xfId="0" applyAlignment="1" applyFont="1" applyNumberFormat="1">
      <alignment readingOrder="0"/>
    </xf>
    <xf borderId="0" fillId="0" fontId="1" numFmtId="174" xfId="0" applyAlignment="1" applyFont="1" applyNumberFormat="1">
      <alignment readingOrder="0"/>
    </xf>
    <xf borderId="0" fillId="342" fontId="43" numFmtId="167" xfId="0" applyAlignment="1" applyFont="1" applyNumberFormat="1">
      <alignment horizontal="right" readingOrder="0"/>
    </xf>
    <xf borderId="4" fillId="0" fontId="1" numFmtId="0" xfId="0" applyAlignment="1" applyBorder="1" applyFont="1">
      <alignment readingOrder="0"/>
    </xf>
    <xf borderId="4" fillId="0" fontId="43" numFmtId="10" xfId="0" applyAlignment="1" applyBorder="1" applyFont="1" applyNumberFormat="1">
      <alignment readingOrder="0"/>
    </xf>
    <xf borderId="3" fillId="9" fontId="4" numFmtId="0" xfId="0" applyAlignment="1" applyBorder="1" applyFont="1">
      <alignment readingOrder="0" vertical="bottom"/>
    </xf>
    <xf borderId="4" fillId="0" fontId="4" numFmtId="167" xfId="0" applyAlignment="1" applyBorder="1" applyFont="1" applyNumberFormat="1">
      <alignment vertical="bottom"/>
    </xf>
    <xf borderId="0" fillId="10" fontId="1" numFmtId="0" xfId="0" applyFont="1"/>
    <xf borderId="6" fillId="0" fontId="5" numFmtId="169" xfId="0" applyAlignment="1" applyBorder="1" applyFont="1" applyNumberFormat="1">
      <alignment horizontal="right" vertical="bottom"/>
    </xf>
    <xf borderId="0" fillId="0" fontId="4" numFmtId="169" xfId="0" applyAlignment="1" applyFont="1" applyNumberFormat="1">
      <alignment readingOrder="0" vertical="bottom"/>
    </xf>
    <xf borderId="2" fillId="0" fontId="7" numFmtId="167" xfId="0" applyAlignment="1" applyBorder="1" applyFont="1" applyNumberFormat="1">
      <alignment horizontal="right" vertical="bottom"/>
    </xf>
    <xf borderId="1" fillId="22" fontId="4" numFmtId="0" xfId="0" applyAlignment="1" applyBorder="1" applyFont="1">
      <alignment horizontal="left" readingOrder="0" vertical="bottom"/>
    </xf>
    <xf borderId="1" fillId="20" fontId="4" numFmtId="1" xfId="0" applyAlignment="1" applyBorder="1" applyFont="1" applyNumberFormat="1">
      <alignment readingOrder="0" vertical="bottom"/>
    </xf>
    <xf borderId="0" fillId="0" fontId="41" numFmtId="0" xfId="0" applyAlignment="1" applyFont="1">
      <alignment readingOrder="0"/>
    </xf>
    <xf borderId="0" fillId="0" fontId="41" numFmtId="0" xfId="0" applyFont="1"/>
    <xf borderId="1" fillId="9" fontId="70" numFmtId="0" xfId="0" applyAlignment="1" applyBorder="1" applyFont="1">
      <alignment horizontal="center" readingOrder="0" shrinkToFit="0" vertical="center" wrapText="0"/>
    </xf>
    <xf borderId="4" fillId="170" fontId="41" numFmtId="0" xfId="0" applyAlignment="1" applyBorder="1" applyFont="1">
      <alignment horizontal="center" readingOrder="0"/>
    </xf>
    <xf borderId="4" fillId="361" fontId="41" numFmtId="0" xfId="0" applyAlignment="1" applyBorder="1" applyFont="1">
      <alignment horizontal="center" readingOrder="0"/>
    </xf>
    <xf borderId="0" fillId="0" fontId="1" numFmtId="0" xfId="0" applyAlignment="1" applyFont="1">
      <alignment readingOrder="0" vertical="center"/>
    </xf>
    <xf borderId="0" fillId="0" fontId="1" numFmtId="10" xfId="0" applyAlignment="1" applyFont="1" applyNumberFormat="1">
      <alignment horizontal="center" vertical="center"/>
    </xf>
    <xf borderId="4" fillId="279" fontId="41" numFmtId="0" xfId="0" applyAlignment="1" applyBorder="1" applyFont="1">
      <alignment horizontal="center" readingOrder="0"/>
    </xf>
    <xf borderId="1" fillId="25" fontId="41" numFmtId="0" xfId="0" applyAlignment="1" applyBorder="1" applyFont="1">
      <alignment horizontal="center" readingOrder="0" vertical="center"/>
    </xf>
    <xf borderId="1" fillId="25" fontId="60" numFmtId="0" xfId="0" applyAlignment="1" applyBorder="1" applyFont="1">
      <alignment readingOrder="0" shrinkToFit="0" vertical="bottom" wrapText="0"/>
    </xf>
    <xf borderId="4" fillId="25" fontId="41" numFmtId="0" xfId="0" applyAlignment="1" applyBorder="1" applyFont="1">
      <alignment horizontal="center" readingOrder="0"/>
    </xf>
    <xf borderId="3" fillId="25" fontId="41" numFmtId="0" xfId="0" applyAlignment="1" applyBorder="1" applyFont="1">
      <alignment horizontal="center" readingOrder="0"/>
    </xf>
    <xf borderId="43" fillId="9" fontId="60" numFmtId="0" xfId="0" applyAlignment="1" applyBorder="1" applyFont="1">
      <alignment readingOrder="0" shrinkToFit="0" vertical="bottom" wrapText="0"/>
    </xf>
    <xf borderId="0" fillId="9" fontId="1" numFmtId="167" xfId="0" applyAlignment="1" applyFont="1" applyNumberFormat="1">
      <alignment horizontal="center" readingOrder="0"/>
    </xf>
    <xf borderId="1" fillId="361" fontId="1" numFmtId="10" xfId="0" applyAlignment="1" applyBorder="1" applyFont="1" applyNumberFormat="1">
      <alignment horizontal="center" vertical="center"/>
    </xf>
    <xf borderId="0" fillId="361" fontId="1" numFmtId="167" xfId="0" applyAlignment="1" applyFont="1" applyNumberFormat="1">
      <alignment horizontal="center" readingOrder="0"/>
    </xf>
    <xf borderId="0" fillId="361" fontId="1" numFmtId="10" xfId="0" applyAlignment="1" applyFont="1" applyNumberFormat="1">
      <alignment horizontal="center"/>
    </xf>
    <xf borderId="1" fillId="361" fontId="1" numFmtId="167" xfId="0" applyAlignment="1" applyBorder="1" applyFont="1" applyNumberFormat="1">
      <alignment horizontal="center"/>
    </xf>
    <xf borderId="1" fillId="361" fontId="1" numFmtId="10" xfId="0" applyAlignment="1" applyBorder="1" applyFont="1" applyNumberFormat="1">
      <alignment horizontal="center"/>
    </xf>
    <xf borderId="44" fillId="9" fontId="77" numFmtId="0" xfId="0" applyAlignment="1" applyBorder="1" applyFont="1">
      <alignment readingOrder="0" shrinkToFit="0" vertical="bottom" wrapText="0"/>
    </xf>
    <xf borderId="0" fillId="9" fontId="1" numFmtId="167" xfId="0" applyAlignment="1" applyFont="1" applyNumberFormat="1">
      <alignment horizontal="center"/>
    </xf>
    <xf borderId="0" fillId="361" fontId="1" numFmtId="167" xfId="0" applyAlignment="1" applyFont="1" applyNumberFormat="1">
      <alignment horizontal="center"/>
    </xf>
    <xf borderId="1" fillId="9" fontId="78" numFmtId="0" xfId="0" applyAlignment="1" applyBorder="1" applyFont="1">
      <alignment readingOrder="0" shrinkToFit="0" vertical="bottom" wrapText="0"/>
    </xf>
    <xf borderId="1" fillId="361" fontId="41" numFmtId="10" xfId="0" applyAlignment="1" applyBorder="1" applyFont="1" applyNumberFormat="1">
      <alignment horizontal="center"/>
    </xf>
    <xf borderId="45" fillId="9" fontId="78" numFmtId="0" xfId="0" applyAlignment="1" applyBorder="1" applyFont="1">
      <alignment readingOrder="0" shrinkToFit="0" vertical="bottom" wrapText="0"/>
    </xf>
    <xf borderId="4" fillId="9" fontId="1" numFmtId="167" xfId="0" applyAlignment="1" applyBorder="1" applyFont="1" applyNumberFormat="1">
      <alignment horizontal="center" readingOrder="0"/>
    </xf>
    <xf borderId="3" fillId="361" fontId="1" numFmtId="10" xfId="0" applyAlignment="1" applyBorder="1" applyFont="1" applyNumberFormat="1">
      <alignment horizontal="center"/>
    </xf>
    <xf borderId="4" fillId="361" fontId="1" numFmtId="167" xfId="0" applyAlignment="1" applyBorder="1" applyFont="1" applyNumberFormat="1">
      <alignment horizontal="center" readingOrder="0"/>
    </xf>
    <xf borderId="4" fillId="361" fontId="1" numFmtId="10" xfId="0" applyAlignment="1" applyBorder="1" applyFont="1" applyNumberFormat="1">
      <alignment horizontal="center"/>
    </xf>
    <xf borderId="3" fillId="361" fontId="1" numFmtId="167" xfId="0" applyAlignment="1" applyBorder="1" applyFont="1" applyNumberFormat="1">
      <alignment horizontal="center"/>
    </xf>
    <xf borderId="44" fillId="9" fontId="79" numFmtId="0" xfId="0" applyAlignment="1" applyBorder="1" applyFont="1">
      <alignment readingOrder="0" shrinkToFit="0" vertical="bottom" wrapText="0"/>
    </xf>
    <xf borderId="46" fillId="9" fontId="80" numFmtId="0" xfId="0" applyAlignment="1" applyBorder="1" applyFont="1">
      <alignment readingOrder="0" shrinkToFit="0" vertical="bottom" wrapText="0"/>
    </xf>
    <xf borderId="1" fillId="20" fontId="4" numFmtId="0" xfId="0" applyAlignment="1" applyBorder="1" applyFont="1">
      <alignment readingOrder="0" vertical="bottom"/>
    </xf>
    <xf borderId="0" fillId="361" fontId="41" numFmtId="167" xfId="0" applyAlignment="1" applyFont="1" applyNumberFormat="1">
      <alignment horizontal="center" readingOrder="0"/>
    </xf>
    <xf borderId="46" fillId="9" fontId="81" numFmtId="0" xfId="0" applyAlignment="1" applyBorder="1" applyFont="1">
      <alignment readingOrder="0" shrinkToFit="0" vertical="bottom" wrapText="0"/>
    </xf>
    <xf borderId="46" fillId="9" fontId="82" numFmtId="0" xfId="0" applyAlignment="1" applyBorder="1" applyFont="1">
      <alignment readingOrder="0" shrinkToFit="0" vertical="bottom" wrapText="0"/>
    </xf>
    <xf borderId="1" fillId="22" fontId="4" numFmtId="1" xfId="0" applyAlignment="1" applyBorder="1" applyFont="1" applyNumberFormat="1">
      <alignment horizontal="left" readingOrder="0" vertical="bottom"/>
    </xf>
    <xf borderId="44" fillId="25" fontId="57" numFmtId="0" xfId="0" applyAlignment="1" applyBorder="1" applyFont="1">
      <alignment readingOrder="0" shrinkToFit="0" vertical="bottom" wrapText="0"/>
    </xf>
    <xf borderId="4" fillId="25" fontId="1" numFmtId="167" xfId="0" applyAlignment="1" applyBorder="1" applyFont="1" applyNumberFormat="1">
      <alignment horizontal="center"/>
    </xf>
    <xf borderId="3" fillId="25" fontId="1" numFmtId="10" xfId="0" applyAlignment="1" applyBorder="1" applyFont="1" applyNumberFormat="1">
      <alignment horizontal="center"/>
    </xf>
    <xf borderId="4" fillId="25" fontId="1" numFmtId="10" xfId="0" applyAlignment="1" applyBorder="1" applyFont="1" applyNumberFormat="1">
      <alignment horizontal="center"/>
    </xf>
    <xf borderId="3" fillId="25" fontId="1" numFmtId="167" xfId="0" applyAlignment="1" applyBorder="1" applyFont="1" applyNumberFormat="1">
      <alignment horizontal="center"/>
    </xf>
    <xf borderId="43" fillId="9" fontId="83" numFmtId="0" xfId="0" applyAlignment="1" applyBorder="1" applyFont="1">
      <alignment readingOrder="0" shrinkToFit="0" vertical="bottom" wrapText="0"/>
    </xf>
    <xf borderId="0" fillId="9" fontId="1" numFmtId="3" xfId="0" applyAlignment="1" applyFont="1" applyNumberFormat="1">
      <alignment horizontal="center" readingOrder="0"/>
    </xf>
    <xf borderId="1" fillId="0" fontId="18" numFmtId="0" xfId="0" applyBorder="1" applyFont="1"/>
    <xf borderId="0" fillId="361" fontId="1" numFmtId="3" xfId="0" applyAlignment="1" applyFont="1" applyNumberFormat="1">
      <alignment horizontal="center" readingOrder="0"/>
    </xf>
    <xf borderId="46" fillId="9" fontId="83" numFmtId="0" xfId="0" applyAlignment="1" applyBorder="1" applyFont="1">
      <alignment readingOrder="0" shrinkToFit="0" vertical="bottom" wrapText="0"/>
    </xf>
    <xf borderId="0" fillId="361" fontId="1" numFmtId="3" xfId="0" applyAlignment="1" applyFont="1" applyNumberFormat="1">
      <alignment horizontal="center"/>
    </xf>
    <xf borderId="1" fillId="361" fontId="1" numFmtId="3" xfId="0" applyAlignment="1" applyBorder="1" applyFont="1" applyNumberFormat="1">
      <alignment horizontal="center"/>
    </xf>
    <xf borderId="47" fillId="9" fontId="83" numFmtId="0" xfId="0" applyAlignment="1" applyBorder="1" applyFont="1">
      <alignment readingOrder="0" shrinkToFit="0" vertical="bottom" wrapText="0"/>
    </xf>
    <xf borderId="2" fillId="361" fontId="1" numFmtId="167" xfId="0" applyAlignment="1" applyBorder="1" applyFont="1" applyNumberFormat="1">
      <alignment horizontal="center"/>
    </xf>
    <xf borderId="0" fillId="8" fontId="11" numFmtId="167" xfId="0" applyAlignment="1" applyFont="1" applyNumberFormat="1">
      <alignment readingOrder="0" vertical="bottom"/>
    </xf>
    <xf borderId="0" fillId="361" fontId="43" numFmtId="167" xfId="0" applyAlignment="1" applyFont="1" applyNumberFormat="1">
      <alignment horizontal="center"/>
    </xf>
    <xf borderId="44" fillId="9" fontId="83" numFmtId="0" xfId="0" applyAlignment="1" applyBorder="1" applyFont="1">
      <alignment readingOrder="0" shrinkToFit="0" vertical="bottom" wrapText="0"/>
    </xf>
    <xf borderId="48" fillId="9" fontId="83" numFmtId="0" xfId="0" applyAlignment="1" applyBorder="1" applyFont="1">
      <alignment readingOrder="0" shrinkToFit="0" vertical="bottom" wrapText="0"/>
    </xf>
    <xf borderId="4" fillId="361" fontId="1" numFmtId="167" xfId="0" applyAlignment="1" applyBorder="1" applyFont="1" applyNumberFormat="1">
      <alignment horizontal="center"/>
    </xf>
    <xf borderId="4" fillId="361" fontId="43" numFmtId="167" xfId="0" applyAlignment="1" applyBorder="1" applyFont="1" applyNumberFormat="1">
      <alignment horizontal="center"/>
    </xf>
    <xf borderId="0" fillId="11" fontId="1" numFmtId="0" xfId="0" applyFont="1"/>
    <xf borderId="0" fillId="0" fontId="1" numFmtId="0" xfId="0" applyAlignment="1" applyFont="1">
      <alignment horizontal="right"/>
    </xf>
    <xf borderId="0" fillId="3" fontId="16" numFmtId="167" xfId="0" applyAlignment="1" applyFont="1" applyNumberFormat="1">
      <alignment horizontal="right" readingOrder="0"/>
    </xf>
    <xf borderId="0" fillId="3" fontId="37" numFmtId="167" xfId="0" applyAlignment="1" applyFont="1" applyNumberFormat="1">
      <alignment horizontal="right" readingOrder="0"/>
    </xf>
    <xf borderId="0" fillId="0" fontId="84" numFmtId="0" xfId="0" applyAlignment="1" applyFont="1">
      <alignment horizontal="left" readingOrder="0"/>
    </xf>
    <xf borderId="0" fillId="0" fontId="41" numFmtId="0" xfId="0" applyAlignment="1" applyFont="1">
      <alignment horizontal="left" readingOrder="0"/>
    </xf>
    <xf borderId="0" fillId="11" fontId="1" numFmtId="0" xfId="0" applyAlignment="1" applyFont="1">
      <alignment horizontal="right" readingOrder="0"/>
    </xf>
    <xf borderId="0" fillId="11" fontId="1" numFmtId="0" xfId="0" applyAlignment="1" applyFont="1">
      <alignment horizontal="right"/>
    </xf>
    <xf borderId="0" fillId="0" fontId="1" numFmtId="167" xfId="0" applyAlignment="1" applyFont="1" applyNumberFormat="1">
      <alignment horizontal="left" readingOrder="0"/>
    </xf>
    <xf borderId="0" fillId="0" fontId="85" numFmtId="0" xfId="0" applyAlignment="1" applyFont="1">
      <alignment horizontal="center" readingOrder="0"/>
    </xf>
    <xf borderId="0" fillId="0" fontId="41" numFmtId="0" xfId="0" applyAlignment="1" applyFont="1">
      <alignment horizontal="center" readingOrder="0"/>
    </xf>
    <xf borderId="12" fillId="0" fontId="85" numFmtId="0" xfId="0" applyAlignment="1" applyBorder="1" applyFont="1">
      <alignment horizontal="center" readingOrder="0"/>
    </xf>
    <xf borderId="12" fillId="0" fontId="1" numFmtId="0" xfId="0" applyAlignment="1" applyBorder="1" applyFont="1">
      <alignment readingOrder="0"/>
    </xf>
    <xf borderId="26" fillId="0" fontId="41" numFmtId="0" xfId="0" applyAlignment="1" applyBorder="1" applyFont="1">
      <alignment horizontal="center" readingOrder="0"/>
    </xf>
    <xf borderId="0" fillId="362" fontId="86" numFmtId="0" xfId="0" applyAlignment="1" applyFont="1">
      <alignment horizontal="center" readingOrder="0" vertical="center"/>
    </xf>
    <xf borderId="17" fillId="0" fontId="87" numFmtId="0" xfId="0" applyAlignment="1" applyBorder="1" applyFont="1">
      <alignment readingOrder="0" shrinkToFit="0" vertical="bottom" wrapText="0"/>
    </xf>
    <xf borderId="5" fillId="0" fontId="87" numFmtId="0" xfId="0" applyAlignment="1" applyBorder="1" applyFont="1">
      <alignment readingOrder="0" shrinkToFit="0" vertical="bottom" wrapText="0"/>
    </xf>
    <xf borderId="5" fillId="368" fontId="64" numFmtId="0" xfId="0" applyAlignment="1" applyBorder="1" applyFill="1" applyFont="1">
      <alignment readingOrder="0" shrinkToFit="0" vertical="bottom" wrapText="0"/>
    </xf>
    <xf borderId="0" fillId="3" fontId="16" numFmtId="0" xfId="0" applyFont="1"/>
    <xf borderId="0" fillId="0" fontId="1" numFmtId="167" xfId="0" applyAlignment="1" applyFont="1" applyNumberFormat="1">
      <alignment horizontal="center" readingOrder="0"/>
    </xf>
    <xf borderId="4" fillId="0" fontId="1" numFmtId="0" xfId="0" applyAlignment="1" applyBorder="1" applyFont="1">
      <alignment horizontal="center" readingOrder="0"/>
    </xf>
    <xf borderId="4" fillId="0" fontId="1" numFmtId="0" xfId="0" applyAlignment="1" applyBorder="1" applyFont="1">
      <alignment horizontal="center"/>
    </xf>
    <xf borderId="0" fillId="0" fontId="1" numFmtId="167" xfId="0" applyAlignment="1" applyFont="1" applyNumberFormat="1">
      <alignment horizontal="center"/>
    </xf>
    <xf borderId="4" fillId="0" fontId="1" numFmtId="0" xfId="0" applyBorder="1" applyFont="1"/>
    <xf borderId="0" fillId="362" fontId="86" numFmtId="0" xfId="0" applyAlignment="1" applyFont="1">
      <alignment horizontal="center" vertical="center"/>
    </xf>
    <xf borderId="1" fillId="40" fontId="4" numFmtId="0" xfId="0" applyAlignment="1" applyBorder="1" applyFont="1">
      <alignment horizontal="left" readingOrder="0" vertical="bottom"/>
    </xf>
    <xf borderId="1" fillId="40" fontId="4" numFmtId="1" xfId="0" applyAlignment="1" applyBorder="1" applyFont="1" applyNumberFormat="1">
      <alignment horizontal="left" readingOrder="0" vertical="bottom"/>
    </xf>
    <xf borderId="1" fillId="0" fontId="88" numFmtId="0" xfId="0" applyAlignment="1" applyBorder="1" applyFont="1">
      <alignment readingOrder="0" vertical="bottom"/>
    </xf>
    <xf borderId="0" fillId="0" fontId="88" numFmtId="169" xfId="0" applyAlignment="1" applyFont="1" applyNumberFormat="1">
      <alignment horizontal="right" vertical="bottom"/>
    </xf>
    <xf borderId="1" fillId="369" fontId="89" numFmtId="169" xfId="0" applyAlignment="1" applyBorder="1" applyFill="1" applyFont="1" applyNumberFormat="1">
      <alignment horizontal="right" vertical="bottom"/>
    </xf>
    <xf borderId="2" fillId="0" fontId="3" numFmtId="0" xfId="0" applyBorder="1" applyFont="1"/>
    <xf borderId="1" fillId="107" fontId="4" numFmtId="0" xfId="0" applyAlignment="1" applyBorder="1" applyFont="1">
      <alignment readingOrder="0" vertical="bottom"/>
    </xf>
    <xf borderId="0" fillId="0" fontId="7" numFmtId="10" xfId="0" applyAlignment="1" applyFont="1" applyNumberFormat="1">
      <alignment horizontal="right" vertical="bottom"/>
    </xf>
    <xf borderId="1" fillId="0" fontId="4" numFmtId="169" xfId="0" applyAlignment="1" applyBorder="1" applyFont="1" applyNumberFormat="1">
      <alignment readingOrder="0" vertical="bottom"/>
    </xf>
    <xf borderId="2" fillId="0" fontId="3" numFmtId="169" xfId="0" applyAlignment="1" applyBorder="1" applyFont="1" applyNumberFormat="1">
      <alignment horizontal="right" vertical="bottom"/>
    </xf>
    <xf borderId="0" fillId="0" fontId="4" numFmtId="185" xfId="0" applyAlignment="1" applyFont="1" applyNumberFormat="1">
      <alignment vertical="bottom"/>
    </xf>
    <xf borderId="2" fillId="0" fontId="4" numFmtId="185" xfId="0" applyAlignment="1" applyBorder="1" applyFont="1" applyNumberFormat="1">
      <alignment vertical="bottom"/>
    </xf>
    <xf borderId="0" fillId="0" fontId="11" numFmtId="169" xfId="0" applyAlignment="1" applyFont="1" applyNumberFormat="1">
      <alignment horizontal="right" readingOrder="0" vertical="bottom"/>
    </xf>
    <xf borderId="0" fillId="0" fontId="90" numFmtId="169" xfId="0" applyAlignment="1" applyFont="1" applyNumberFormat="1">
      <alignment readingOrder="0" vertical="bottom"/>
    </xf>
    <xf borderId="0" fillId="0" fontId="11" numFmtId="169" xfId="0" applyAlignment="1" applyFont="1" applyNumberFormat="1">
      <alignment readingOrder="0" vertical="bottom"/>
    </xf>
  </cellXfs>
  <cellStyles count="1">
    <cellStyle xfId="0" name="Normal" builtinId="0"/>
  </cellStyles>
  <dxfs count="6">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FBBEC1"/>
          <bgColor rgb="FFFBBEC1"/>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'OLD Sales'!$A$23</c:f>
            </c:strRef>
          </c:tx>
          <c:spPr>
            <a:solidFill>
              <a:srgbClr val="4285F4">
                <a:alpha val="30000"/>
              </a:srgbClr>
            </a:solidFill>
            <a:ln cmpd="sng">
              <a:solidFill>
                <a:srgbClr val="4285F4"/>
              </a:solidFill>
            </a:ln>
          </c:spPr>
          <c:cat>
            <c:strRef>
              <c:f>'OLD Sales'!$B$1:$AE$1</c:f>
            </c:strRef>
          </c:cat>
          <c:val>
            <c:numRef>
              <c:f>'OLD Sales'!$B$23:$AE$23</c:f>
              <c:numCache/>
            </c:numRef>
          </c:val>
        </c:ser>
        <c:ser>
          <c:idx val="1"/>
          <c:order val="1"/>
          <c:tx>
            <c:strRef>
              <c:f>'OLD Sales'!$A$43</c:f>
            </c:strRef>
          </c:tx>
          <c:spPr>
            <a:solidFill>
              <a:srgbClr val="EA4335">
                <a:alpha val="30000"/>
              </a:srgbClr>
            </a:solidFill>
            <a:ln cmpd="sng">
              <a:solidFill>
                <a:srgbClr val="EA4335"/>
              </a:solidFill>
            </a:ln>
          </c:spPr>
          <c:cat>
            <c:strRef>
              <c:f>'OLD Sales'!$B$1:$AE$1</c:f>
            </c:strRef>
          </c:cat>
          <c:val>
            <c:numRef>
              <c:f>'OLD Sales'!$B$43:$AE$43</c:f>
              <c:numCache/>
            </c:numRef>
          </c:val>
        </c:ser>
        <c:axId val="629624106"/>
        <c:axId val="1366934153"/>
      </c:areaChart>
      <c:catAx>
        <c:axId val="6296241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66934153"/>
      </c:catAx>
      <c:valAx>
        <c:axId val="13669341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962410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'OLD Sales'!$A$62</c:f>
            </c:strRef>
          </c:tx>
          <c:spPr>
            <a:solidFill>
              <a:schemeClr val="accent1"/>
            </a:solidFill>
            <a:ln cmpd="sng">
              <a:noFill/>
            </a:ln>
          </c:spPr>
          <c:cat>
            <c:strRef>
              <c:f>'OLD Sales'!$C$1:$AE$1</c:f>
            </c:strRef>
          </c:cat>
          <c:val>
            <c:numRef>
              <c:f>'OLD Sales'!$B$62:$AE$62</c:f>
              <c:numCache/>
            </c:numRef>
          </c:val>
        </c:ser>
        <c:ser>
          <c:idx val="1"/>
          <c:order val="1"/>
          <c:tx>
            <c:strRef>
              <c:f>'OLD Sales'!$A$63</c:f>
            </c:strRef>
          </c:tx>
          <c:spPr>
            <a:solidFill>
              <a:schemeClr val="accent2"/>
            </a:solidFill>
            <a:ln cmpd="sng">
              <a:noFill/>
            </a:ln>
          </c:spPr>
          <c:dPt>
            <c:idx val="3"/>
          </c:dPt>
          <c:dPt>
            <c:idx val="19"/>
          </c:dPt>
          <c:cat>
            <c:strRef>
              <c:f>'OLD Sales'!$C$1:$AE$1</c:f>
            </c:strRef>
          </c:cat>
          <c:val>
            <c:numRef>
              <c:f>'OLD Sales'!$B$63:$AE$63</c:f>
              <c:numCache/>
            </c:numRef>
          </c:val>
        </c:ser>
        <c:overlap val="100"/>
        <c:axId val="692395082"/>
        <c:axId val="67870120"/>
      </c:barChart>
      <c:catAx>
        <c:axId val="692395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7870120"/>
      </c:catAx>
      <c:valAx>
        <c:axId val="678701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239508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'OLD Sales'!$C$1:$Q$1</c:f>
            </c:strRef>
          </c:cat>
          <c:val>
            <c:numRef>
              <c:f>'OLD Sales'!$B$15:$Q$15</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'OLD Sales'!$C$1:$Q$1</c:f>
            </c:strRef>
          </c:cat>
          <c:val>
            <c:numRef>
              <c:f>'OLD Sales'!$B$39:$Q$39</c:f>
              <c:numCache/>
            </c:numRef>
          </c:val>
          <c:smooth val="0"/>
        </c:ser>
        <c:axId val="416574303"/>
        <c:axId val="1766111648"/>
      </c:lineChart>
      <c:catAx>
        <c:axId val="4165743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66111648"/>
      </c:catAx>
      <c:valAx>
        <c:axId val="17661116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657430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Spend</c:v>
          </c:tx>
          <c:spPr>
            <a:ln cmpd="sng">
              <a:solidFill>
                <a:srgbClr val="CC0000">
                  <a:alpha val="100000"/>
                </a:srgbClr>
              </a:solidFill>
            </a:ln>
          </c:spPr>
          <c:marker>
            <c:symbol val="circle"/>
            <c:size val="10"/>
            <c:spPr>
              <a:solidFill>
                <a:srgbClr val="CC0000">
                  <a:alpha val="100000"/>
                </a:srgbClr>
              </a:solidFill>
              <a:ln cmpd="sng">
                <a:solidFill>
                  <a:srgbClr val="CC0000">
                    <a:alpha val="100000"/>
                  </a:srgbClr>
                </a:solidFill>
              </a:ln>
            </c:spPr>
          </c:marker>
          <c:cat>
            <c:strRef>
              <c:f>'OLD Sales'!$F$1:$AE$1</c:f>
            </c:strRef>
          </c:cat>
          <c:val>
            <c:numRef>
              <c:f>'OLD Sales'!$E$39:$AE$39</c:f>
              <c:numCache/>
            </c:numRef>
          </c:val>
          <c:smooth val="1"/>
        </c:ser>
        <c:ser>
          <c:idx val="1"/>
          <c:order val="1"/>
          <c:tx>
            <c:v>Revenue</c:v>
          </c:tx>
          <c:spPr>
            <a:ln cmpd="sng">
              <a:solidFill>
                <a:srgbClr val="57BB8A">
                  <a:alpha val="100000"/>
                </a:srgbClr>
              </a:solidFill>
            </a:ln>
          </c:spPr>
          <c:marker>
            <c:symbol val="circle"/>
            <c:size val="10"/>
            <c:spPr>
              <a:solidFill>
                <a:srgbClr val="57BB8A">
                  <a:alpha val="100000"/>
                </a:srgbClr>
              </a:solidFill>
              <a:ln cmpd="sng">
                <a:solidFill>
                  <a:srgbClr val="57BB8A">
                    <a:alpha val="100000"/>
                  </a:srgbClr>
                </a:solidFill>
              </a:ln>
            </c:spPr>
          </c:marker>
          <c:cat>
            <c:strRef>
              <c:f>'OLD Sales'!$F$1:$AE$1</c:f>
            </c:strRef>
          </c:cat>
          <c:val>
            <c:numRef>
              <c:f>'OLD Sales'!$E$15:$AE$15</c:f>
              <c:numCache/>
            </c:numRef>
          </c:val>
          <c:smooth val="1"/>
        </c:ser>
        <c:axId val="367995359"/>
        <c:axId val="635251015"/>
      </c:lineChart>
      <c:catAx>
        <c:axId val="3679953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5251015"/>
      </c:catAx>
      <c:valAx>
        <c:axId val="6352510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7995359"/>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8b6f8f71-763e-4b1c-a301-6cb37b83041b}">
    <Anchor>
      <Comment id="{5025eab5-2e96-4fc2-a14a-c71d1b23c59f}"/>
    </Anchor>
    <History>
      <Event time="2023-09-20T12:25:32.00" id="{04e2eb16-1453-4eb3-86d0-0bbf2a91f24f}">
        <Attribution userId="placeholder@email.com" userName="Benjamin Kumalić" userProvider="google-sheets"/>
        <Anchor>
          <Comment id="{5025eab5-2e96-4fc2-a14a-c71d1b23c59f}"/>
        </Anchor>
        <Create/>
      </Event>
      <Event time="2023-09-20T12:25:32.00" id="{46f956ca-b9fe-474b-a648-d4dca65b0fa6}">
        <Attribution userId="placeholder@email.com" userName="Benjamin Kumalić" userProvider="google-sheets"/>
        <Anchor>
          <Comment id="{5025eab5-2e96-4fc2-a14a-c71d1b23c59f}"/>
        </Anchor>
        <Assign userId="peter@mybirdbuddy.com" userName="peter@mybirdbuddy.com" userProvider="google-sheets"/>
      </Event>
    </History>
  </Task>
  <Task id="{2f0aa433-d0c6-4363-b36a-c66e88518368}">
    <Anchor>
      <Comment id="{ee401c8c-c089-4153-95e5-96ca62953b78}"/>
    </Anchor>
    <History>
      <Event time="2024-04-02T11:48:02.00" id="{a5e781bc-23ec-4dc1-bde7-9cc4b018ef0b}">
        <Attribution userId="placeholder@email.com" userName="Benjamin Kumalić" userProvider="google-sheets"/>
        <Anchor>
          <Comment id="{ee401c8c-c089-4153-95e5-96ca62953b78}"/>
        </Anchor>
        <Create/>
      </Event>
      <Event time="2024-04-02T11:48:02.00" id="{d29224ae-2484-4ef6-8289-c347aff06524}">
        <Attribution userId="placeholder@email.com" userName="Benjamin Kumalić" userProvider="google-sheets"/>
        <Anchor>
          <Comment id="{ee401c8c-c089-4153-95e5-96ca62953b78}"/>
        </Anchor>
        <Assign userId="ziga.skrabl@mybirdbuddy.com" userName="ziga.skrabl@mybirdbuddy.com" userProvider="google-sheets"/>
      </Event>
    </History>
  </Task>
  <Task id="{2f42b2f6-eb8b-4dd4-aefc-b4a0fa4c748d}">
    <Anchor>
      <Comment id="{26cbae3a-7cbb-4576-9934-e673cd206a78}"/>
    </Anchor>
    <History>
      <Event time="2023-09-25T08:59:41.00" id="{c5f88251-6876-4c5a-bb00-c8d6b1eb8187}">
        <Attribution userId="placeholder@email.com" userName="Benjamin Kumalić" userProvider="google-sheets"/>
        <Anchor>
          <Comment id="{26cbae3a-7cbb-4576-9934-e673cd206a78}"/>
        </Anchor>
        <Create/>
      </Event>
      <Event time="2023-09-25T08:59:41.00" id="{9abd3b91-d43f-4f0d-9b94-343227973c33}">
        <Attribution userId="placeholder@email.com" userName="Benjamin Kumalić" userProvider="google-sheets"/>
        <Anchor>
          <Comment id="{26cbae3a-7cbb-4576-9934-e673cd206a78}"/>
        </Anchor>
        <Assign userId="peter@mybirdbuddy.com" userName="peter@mybirdbuddy.com" userProvider="google-sheets"/>
      </Event>
    </History>
  </Task>
</Tasks>
</file>

<file path=xl/documenttasks/documenttask2.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107</xdr:row>
      <xdr:rowOff>114300</xdr:rowOff>
    </xdr:from>
    <xdr:ext cx="854392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89</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89</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128</xdr:row>
      <xdr:rowOff>114300</xdr:rowOff>
    </xdr:from>
    <xdr:ext cx="8496300" cy="54578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0</xdr:colOff>
      <xdr:row>184</xdr:row>
      <xdr:rowOff>200025</xdr:rowOff>
    </xdr:from>
    <xdr:ext cx="8543925" cy="52673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117</xdr:row>
      <xdr:rowOff>161925</xdr:rowOff>
    </xdr:from>
    <xdr:ext cx="10306050" cy="545782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942975</xdr:colOff>
      <xdr:row>20</xdr:row>
      <xdr:rowOff>142875</xdr:rowOff>
    </xdr:from>
    <xdr:ext cx="5819775" cy="12858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5851c334-ea88-4ada-8561-6d2ef6ba0ea5}" providerId="google-sheets"/>
  <x18tc:person displayName="ziga.skrabl@mybirdbuddy.com" id="{d8345cc4-1fb6-4caf-b0b1-3356c2712cad}" userId="ziga.skrabl@mybirdbuddy.com" providerId="google-sheets"/>
  <x18tc:person displayName="Peter Drole" id="{40e8cf5d-1316-4b62-9ddf-0453bbb28860}" providerId="google-sheets"/>
  <x18tc:person displayName="peter@mybirdbuddy.com" id="{817df9d1-49e6-48ac-b68a-fd4084fc866e}" userId="peter@mybirdbuddy.com" providerId="google-sheets"/>
  <x18tc:person displayName="Žiga Škrabl" id="{54ecb56e-197f-464f-bab5-5c7f5eb262a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0" dT="2023-09-20T12:25:32.00" personId="{5851c334-ea88-4ada-8561-6d2ef6ba0ea5}" id="{5025eab5-2e96-4fc2-a14a-c71d1b23c59f}" done="1">
    <x18tc:text xml:space="preserve">@peter@mybirdbuddy.com - Do we have report on this? Day by day.
Assigned to peter@mybirdbuddy.com</x18tc:text>
    <x18tc:mentions>
      <x18tc:mention mentionpersonId="{817df9d1-49e6-48ac-b68a-fd4084fc866e}" mentionId="{6ad40bec-d854-40ac-823b-801cec2f7590}" startIndex="0" length="22"/>
    </x18tc:mentions>
  </x18tc:threadedComment>
  <x18tc:threadedComment ref="A15" dT="2024-04-02T11:48:02.00" personId="{5851c334-ea88-4ada-8561-6d2ef6ba0ea5}" id="{ee401c8c-c089-4153-95e5-96ca62953b78}" done="1">
    <x18tc:text xml:space="preserve">@ziga.skrabl@mybirdbuddy.com
Assigned to ziga.skrabl@mybirdbuddy.com</x18tc:text>
    <x18tc:mentions>
      <x18tc:mention mentionpersonId="{d8345cc4-1fb6-4caf-b0b1-3356c2712cad}" mentionId="{f4f7d211-5d19-4631-8946-358831d2bc54}" startIndex="0" length="28"/>
    </x18tc:mentions>
  </x18tc:threadedComment>
  <x18tc:threadedComment ref="A15" dT="2024-04-02T14:08:00.00" personId="{54ecb56e-197f-464f-bab5-5c7f5eb262ac}" id="{027fea88-c7a2-4d48-ac8f-b7b2941946f1}" parentId="{ee401c8c-c089-4153-95e5-96ca62953b78}">
    <x18tc:text xml:space="preserve">popravljeno</x18tc:text>
  </x18tc:threadedComment>
  <x18tc:threadedComment ref="A32" dT="2023-09-25T08:59:41.00" personId="{5851c334-ea88-4ada-8561-6d2ef6ba0ea5}" id="{26cbae3a-7cbb-4576-9934-e673cd206a78}" done="1">
    <x18tc:text xml:space="preserve">@peter@mybirdbuddy.com - Tole sem še dodal za spremljati. Število novih orderjev za subscriptione. Treba paziti na Databox.
Assigned to peter@mybirdbuddy.com</x18tc:text>
    <x18tc:mentions>
      <x18tc:mention mentionpersonId="{817df9d1-49e6-48ac-b68a-fd4084fc866e}" mentionId="{8c3c9cc6-2125-4ce9-a606-a699129184a9}"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54" dT="2023-09-21T07:36:55.00" personId="{40e8cf5d-1316-4b62-9ddf-0453bbb28860}" id="{d28ef614-9645-4e8b-8cea-462a4f7f2253}" done="1">
    <x18tc:text xml:space="preserve">colors</x18tc:text>
  </x18tc:threadedComment>
  <x18tc:threadedComment ref="A145" dT="2023-09-21T07:36:47.00" personId="{40e8cf5d-1316-4b62-9ddf-0453bbb28860}" id="{045b66e1-fb30-4ddd-a00f-6ccddd5176d3}" done="1">
    <x18tc:text xml:space="preserve">colors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1.vml"/><Relationship Id="rId9" Type="http://schemas.openxmlformats.org/officeDocument/2006/relationships/drawing" Target="../drawings/drawing7.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8.xml"/><Relationship Id="rId5"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AaecrGaXGNYxbQyNpxu2nVVZ1vCEGj9/edit" TargetMode="External"/><Relationship Id="rId4" Type="http://schemas.openxmlformats.org/officeDocument/2006/relationships/hyperlink" Target="https://docs.google.com/spreadsheets/d/1dhD3sTz_Knf_w4H3JhgYXhxBusiSvSSuRyK3HNU1E0E/edit?usp=sharing" TargetMode="External"/><Relationship Id="rId5" Type="http://schemas.openxmlformats.org/officeDocument/2006/relationships/drawing" Target="../drawings/drawing10.xml"/><Relationship Id="rId6"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3.xml"/><Relationship Id="rId3"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6.xml"/><Relationship Id="rId3"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 t="s">
        <v>0</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AM1" s="1" t="s">
        <v>40</v>
      </c>
      <c r="AN1" s="1" t="s">
        <v>41</v>
      </c>
      <c r="AO1" s="1" t="s">
        <v>42</v>
      </c>
    </row>
    <row r="2">
      <c r="A2" s="1" t="s">
        <v>43</v>
      </c>
      <c r="B2" s="1" t="str">
        <f>IFERROR(__xludf.DUMMYFUNCTION("ARRAY_CONSTRAIN(split(CELL(""ADDRESS"",rdataslayer_42b112e4e4be4305bb4c1be75e2dd549),""!""),1,1)"),"#REF!")</f>
        <v>#REF!</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REF!")</f>
        <v>#REF!</v>
      </c>
      <c r="D2" s="9">
        <v>44518.61325231481</v>
      </c>
      <c r="E2" s="9">
        <v>44520.05126157407</v>
      </c>
      <c r="F2" s="1" t="s">
        <v>45</v>
      </c>
      <c r="I2" s="12">
        <v>7.0</v>
      </c>
      <c r="J2" s="1" t="s">
        <v>47</v>
      </c>
      <c r="L2" s="1" t="s">
        <v>49</v>
      </c>
      <c r="M2" s="1" t="s">
        <v>50</v>
      </c>
      <c r="R2" s="1" t="s">
        <v>53</v>
      </c>
      <c r="S2" s="1" t="s">
        <v>54</v>
      </c>
      <c r="T2" s="1" t="s">
        <v>56</v>
      </c>
      <c r="U2" s="1" t="s">
        <v>59</v>
      </c>
      <c r="V2" s="1" t="s">
        <v>59</v>
      </c>
      <c r="W2" s="1" t="s">
        <v>59</v>
      </c>
      <c r="Y2" s="1" t="s">
        <v>59</v>
      </c>
      <c r="Z2" s="12">
        <v>5.0</v>
      </c>
      <c r="AA2" s="12">
        <v>5.0</v>
      </c>
      <c r="AB2" s="1" t="s">
        <v>60</v>
      </c>
      <c r="AC2" s="1" t="s">
        <v>60</v>
      </c>
      <c r="AL2" s="1" t="s">
        <v>61</v>
      </c>
      <c r="AN2" s="1" t="s">
        <v>59</v>
      </c>
      <c r="AO2" s="1" t="s">
        <v>62</v>
      </c>
    </row>
    <row r="3">
      <c r="A3" s="1" t="s">
        <v>63</v>
      </c>
      <c r="B3" s="1" t="str">
        <f>IFERROR(__xludf.DUMMYFUNCTION("ARRAY_CONSTRAIN(split(CELL(""ADDRESS"",rdataslayer_4a0f150f4f2f4e4f85c890c75b7a1fa4),""!""),1,1)"),"#REF!")</f>
        <v>#REF!</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REF!")</f>
        <v>#REF!</v>
      </c>
      <c r="D3" s="9">
        <v>44518.615324074075</v>
      </c>
      <c r="E3" s="9">
        <v>44520.0512962963</v>
      </c>
      <c r="F3" s="1" t="s">
        <v>45</v>
      </c>
      <c r="I3" s="12">
        <v>7.0</v>
      </c>
      <c r="J3" s="1" t="s">
        <v>47</v>
      </c>
      <c r="L3" s="1" t="s">
        <v>49</v>
      </c>
      <c r="M3" s="1" t="s">
        <v>50</v>
      </c>
      <c r="R3" s="1" t="s">
        <v>64</v>
      </c>
      <c r="S3" s="1" t="s">
        <v>54</v>
      </c>
      <c r="T3" s="1" t="s">
        <v>59</v>
      </c>
      <c r="U3" s="1" t="s">
        <v>56</v>
      </c>
      <c r="V3" s="1" t="s">
        <v>59</v>
      </c>
      <c r="W3" s="1" t="s">
        <v>59</v>
      </c>
      <c r="Y3" s="1" t="s">
        <v>59</v>
      </c>
      <c r="Z3" s="12">
        <v>5.0</v>
      </c>
      <c r="AA3" s="12">
        <v>5.0</v>
      </c>
      <c r="AB3" s="1" t="s">
        <v>60</v>
      </c>
      <c r="AC3" s="1" t="s">
        <v>60</v>
      </c>
      <c r="AL3" s="1" t="s">
        <v>61</v>
      </c>
      <c r="AN3" s="1" t="s">
        <v>59</v>
      </c>
      <c r="AO3" s="1" t="s">
        <v>62</v>
      </c>
    </row>
    <row r="4">
      <c r="A4" s="1" t="s">
        <v>66</v>
      </c>
      <c r="B4" s="1" t="str">
        <f>IFERROR(__xludf.DUMMYFUNCTION("ARRAY_CONSTRAIN(split(CELL(""ADDRESS"",rdataslayer_adf57e64065742daa5b4161161b1c3ca),""!""),1,1)"),"#REF!")</f>
        <v>#REF!</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REF!")</f>
        <v>#REF!</v>
      </c>
      <c r="D4" s="9">
        <v>44518.61782407407</v>
      </c>
      <c r="E4" s="9">
        <v>44520.05138888889</v>
      </c>
      <c r="F4" s="1" t="s">
        <v>45</v>
      </c>
      <c r="I4" s="12">
        <v>18.0</v>
      </c>
      <c r="J4" s="1" t="s">
        <v>47</v>
      </c>
      <c r="L4" s="1" t="s">
        <v>49</v>
      </c>
      <c r="M4" s="1" t="s">
        <v>50</v>
      </c>
      <c r="R4" s="1" t="s">
        <v>67</v>
      </c>
      <c r="S4" s="1" t="s">
        <v>68</v>
      </c>
      <c r="T4" s="1" t="s">
        <v>56</v>
      </c>
      <c r="U4" s="1" t="s">
        <v>59</v>
      </c>
      <c r="V4" s="1" t="s">
        <v>59</v>
      </c>
      <c r="W4" s="1" t="s">
        <v>59</v>
      </c>
      <c r="Y4" s="1" t="s">
        <v>59</v>
      </c>
      <c r="Z4" s="12">
        <v>5.0</v>
      </c>
      <c r="AA4" s="12">
        <v>5.0</v>
      </c>
      <c r="AB4" s="1" t="s">
        <v>60</v>
      </c>
      <c r="AC4" s="1" t="s">
        <v>60</v>
      </c>
      <c r="AL4" s="1" t="s">
        <v>61</v>
      </c>
      <c r="AN4" s="1" t="s">
        <v>59</v>
      </c>
      <c r="AO4" s="1" t="s">
        <v>62</v>
      </c>
    </row>
    <row r="5">
      <c r="A5" s="1" t="s">
        <v>70</v>
      </c>
      <c r="B5" s="1" t="str">
        <f>IFERROR(__xludf.DUMMYFUNCTION("ARRAY_CONSTRAIN(split(CELL(""ADDRESS"",rdataslayer_d70e473bcafe40a3aa834ce157fb2ba3),""!""),1,1)"),"#REF!")</f>
        <v>#REF!</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REF!")</f>
        <v>#REF!</v>
      </c>
      <c r="D5" s="9">
        <v>44518.619479166664</v>
      </c>
      <c r="E5" s="9">
        <v>44520.05134259259</v>
      </c>
      <c r="F5" s="1" t="s">
        <v>45</v>
      </c>
      <c r="I5" s="12">
        <v>7.0</v>
      </c>
      <c r="J5" s="1" t="s">
        <v>47</v>
      </c>
      <c r="L5" s="1" t="s">
        <v>49</v>
      </c>
      <c r="M5" s="1" t="s">
        <v>50</v>
      </c>
      <c r="R5" s="1" t="s">
        <v>74</v>
      </c>
      <c r="S5" s="1" t="s">
        <v>54</v>
      </c>
      <c r="T5" s="1" t="s">
        <v>56</v>
      </c>
      <c r="U5" s="1" t="s">
        <v>59</v>
      </c>
      <c r="V5" s="1" t="s">
        <v>59</v>
      </c>
      <c r="W5" s="1" t="s">
        <v>59</v>
      </c>
      <c r="Y5" s="1" t="s">
        <v>59</v>
      </c>
      <c r="Z5" s="12">
        <v>100.0</v>
      </c>
      <c r="AA5" s="12">
        <v>100.0</v>
      </c>
      <c r="AB5" s="1" t="s">
        <v>60</v>
      </c>
      <c r="AC5" s="1" t="s">
        <v>60</v>
      </c>
      <c r="AL5" s="1" t="s">
        <v>61</v>
      </c>
      <c r="AN5" s="1" t="s">
        <v>59</v>
      </c>
      <c r="AO5" s="1" t="s">
        <v>62</v>
      </c>
    </row>
    <row r="6">
      <c r="A6" s="1" t="s">
        <v>76</v>
      </c>
      <c r="B6" s="1" t="str">
        <f>IFERROR(__xludf.DUMMYFUNCTION("ARRAY_CONSTRAIN(split(CELL(""ADDRESS"",rdataslayer_3753ddf3234e496aa261974a0222e193),""!""),1,1)"),"#REF!")</f>
        <v>#REF!</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REF!")</f>
        <v>#REF!</v>
      </c>
      <c r="D6" s="9">
        <v>44518.620729166665</v>
      </c>
      <c r="E6" s="9">
        <v>44520.05142361111</v>
      </c>
      <c r="F6" s="1" t="s">
        <v>45</v>
      </c>
      <c r="I6" s="12">
        <v>18.0</v>
      </c>
      <c r="J6" s="1" t="s">
        <v>47</v>
      </c>
      <c r="L6" s="1" t="s">
        <v>49</v>
      </c>
      <c r="M6" s="1" t="s">
        <v>50</v>
      </c>
      <c r="R6" s="1" t="s">
        <v>78</v>
      </c>
      <c r="S6" s="1" t="s">
        <v>54</v>
      </c>
      <c r="T6" s="1" t="s">
        <v>59</v>
      </c>
      <c r="U6" s="1" t="s">
        <v>59</v>
      </c>
      <c r="V6" s="1" t="s">
        <v>59</v>
      </c>
      <c r="W6" s="1" t="s">
        <v>59</v>
      </c>
      <c r="Y6" s="1" t="s">
        <v>59</v>
      </c>
      <c r="Z6" s="12">
        <v>100.0</v>
      </c>
      <c r="AA6" s="12">
        <v>100.0</v>
      </c>
      <c r="AB6" s="1" t="s">
        <v>80</v>
      </c>
      <c r="AC6" s="1" t="s">
        <v>60</v>
      </c>
      <c r="AL6" s="1" t="s">
        <v>61</v>
      </c>
      <c r="AN6" s="1" t="s">
        <v>59</v>
      </c>
      <c r="AO6" s="1" t="s">
        <v>62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3.13"/>
  </cols>
  <sheetData>
    <row r="1">
      <c r="A1" s="3">
        <v>45170.0</v>
      </c>
      <c r="B1" s="5">
        <v>45170.0</v>
      </c>
      <c r="C1" s="5">
        <v>45171.0</v>
      </c>
      <c r="D1" s="5">
        <v>45172.0</v>
      </c>
      <c r="E1" s="5">
        <v>45173.0</v>
      </c>
      <c r="F1" s="5">
        <v>45174.0</v>
      </c>
      <c r="G1" s="5">
        <v>45175.0</v>
      </c>
      <c r="H1" s="5">
        <v>45176.0</v>
      </c>
      <c r="I1" s="5">
        <v>45177.0</v>
      </c>
      <c r="J1" s="5">
        <v>45178.0</v>
      </c>
      <c r="K1" s="5">
        <v>45179.0</v>
      </c>
      <c r="L1" s="5">
        <v>45180.0</v>
      </c>
      <c r="M1" s="5">
        <v>45181.0</v>
      </c>
      <c r="N1" s="5">
        <v>45182.0</v>
      </c>
      <c r="O1" s="5">
        <v>45183.0</v>
      </c>
      <c r="P1" s="5">
        <v>45184.0</v>
      </c>
      <c r="Q1" s="5">
        <v>45185.0</v>
      </c>
      <c r="R1" s="5">
        <v>45186.0</v>
      </c>
      <c r="S1" s="5">
        <v>45187.0</v>
      </c>
      <c r="T1" s="5">
        <v>45188.0</v>
      </c>
      <c r="U1" s="5">
        <v>45189.0</v>
      </c>
      <c r="V1" s="5">
        <v>45190.0</v>
      </c>
      <c r="W1" s="5">
        <v>45191.0</v>
      </c>
      <c r="X1" s="5">
        <v>45192.0</v>
      </c>
      <c r="Y1" s="5">
        <v>45193.0</v>
      </c>
      <c r="Z1" s="5">
        <v>45194.0</v>
      </c>
      <c r="AA1" s="5">
        <v>45195.0</v>
      </c>
      <c r="AB1" s="5">
        <v>45196.0</v>
      </c>
      <c r="AC1" s="5">
        <v>45197.0</v>
      </c>
      <c r="AD1" s="5">
        <v>45198.0</v>
      </c>
      <c r="AE1" s="5">
        <v>45199.0</v>
      </c>
    </row>
    <row r="2">
      <c r="B2" s="15" t="s">
        <v>46</v>
      </c>
      <c r="C2" s="15" t="s">
        <v>48</v>
      </c>
      <c r="D2" s="15" t="s">
        <v>51</v>
      </c>
      <c r="E2" s="15" t="s">
        <v>52</v>
      </c>
      <c r="F2" s="15" t="s">
        <v>55</v>
      </c>
      <c r="G2" s="15" t="s">
        <v>57</v>
      </c>
      <c r="H2" s="15" t="s">
        <v>58</v>
      </c>
      <c r="I2" s="15" t="s">
        <v>46</v>
      </c>
      <c r="J2" s="15" t="s">
        <v>48</v>
      </c>
      <c r="K2" s="15" t="s">
        <v>51</v>
      </c>
      <c r="L2" s="15" t="s">
        <v>52</v>
      </c>
      <c r="M2" s="15" t="s">
        <v>55</v>
      </c>
      <c r="N2" s="15" t="s">
        <v>57</v>
      </c>
      <c r="O2" s="15" t="s">
        <v>58</v>
      </c>
      <c r="P2" s="15" t="s">
        <v>46</v>
      </c>
      <c r="Q2" s="15" t="s">
        <v>48</v>
      </c>
      <c r="R2" s="15" t="s">
        <v>51</v>
      </c>
      <c r="S2" s="15" t="s">
        <v>52</v>
      </c>
      <c r="T2" s="15" t="s">
        <v>55</v>
      </c>
      <c r="U2" s="15" t="s">
        <v>57</v>
      </c>
      <c r="V2" s="15" t="s">
        <v>58</v>
      </c>
      <c r="W2" s="15" t="s">
        <v>46</v>
      </c>
      <c r="X2" s="15" t="s">
        <v>48</v>
      </c>
      <c r="Y2" s="15" t="s">
        <v>51</v>
      </c>
      <c r="Z2" s="15" t="s">
        <v>52</v>
      </c>
      <c r="AA2" s="15" t="s">
        <v>55</v>
      </c>
      <c r="AB2" s="15" t="s">
        <v>57</v>
      </c>
      <c r="AC2" s="15" t="s">
        <v>58</v>
      </c>
      <c r="AD2" s="15" t="s">
        <v>46</v>
      </c>
      <c r="AE2" s="15" t="s">
        <v>48</v>
      </c>
    </row>
    <row r="3">
      <c r="A3" s="17" t="s">
        <v>71</v>
      </c>
      <c r="C3" s="1" t="s">
        <v>72</v>
      </c>
      <c r="D3" s="21" t="s">
        <v>72</v>
      </c>
      <c r="E3" s="21"/>
      <c r="J3" s="1" t="s">
        <v>72</v>
      </c>
      <c r="K3" s="21" t="s">
        <v>72</v>
      </c>
      <c r="Q3" s="1" t="s">
        <v>75</v>
      </c>
      <c r="R3" s="1" t="s">
        <v>75</v>
      </c>
      <c r="X3" s="1" t="s">
        <v>75</v>
      </c>
      <c r="Y3" s="1" t="s">
        <v>75</v>
      </c>
      <c r="Z3" s="21"/>
      <c r="AE3" s="1" t="s">
        <v>72</v>
      </c>
    </row>
    <row r="4">
      <c r="A4" s="25" t="s">
        <v>77</v>
      </c>
      <c r="B4" s="27"/>
      <c r="C4" s="27"/>
      <c r="D4" s="27"/>
      <c r="E4" s="27"/>
      <c r="F4" s="27"/>
      <c r="G4" s="27"/>
      <c r="H4" s="27"/>
      <c r="I4" s="27"/>
      <c r="J4" s="27"/>
      <c r="K4" s="27"/>
      <c r="L4" s="27"/>
      <c r="M4" s="27"/>
      <c r="N4" s="27"/>
      <c r="O4" s="27"/>
      <c r="P4" s="27"/>
      <c r="Q4" s="27"/>
      <c r="R4" s="27"/>
      <c r="S4" s="29" t="s">
        <v>81</v>
      </c>
      <c r="T4" s="27"/>
      <c r="U4" s="27"/>
      <c r="V4" s="30"/>
      <c r="W4" s="30"/>
      <c r="X4" s="31" t="s">
        <v>82</v>
      </c>
      <c r="AE4" s="32"/>
    </row>
    <row r="5">
      <c r="B5" s="29" t="s">
        <v>83</v>
      </c>
      <c r="H5" s="34"/>
      <c r="I5" s="34"/>
      <c r="J5" s="34"/>
      <c r="K5" s="34"/>
      <c r="L5" s="34"/>
      <c r="M5" s="34"/>
      <c r="N5" s="29" t="s">
        <v>85</v>
      </c>
      <c r="S5" s="29" t="s">
        <v>86</v>
      </c>
      <c r="T5" s="34"/>
      <c r="U5" s="36"/>
      <c r="V5" s="34"/>
      <c r="W5" s="34"/>
      <c r="X5" s="34"/>
      <c r="Y5" s="34"/>
      <c r="Z5" s="34"/>
      <c r="AA5" s="34"/>
      <c r="AB5" s="34"/>
      <c r="AC5" s="34"/>
      <c r="AD5" s="34"/>
      <c r="AE5" s="34"/>
    </row>
    <row r="6">
      <c r="B6" s="34"/>
      <c r="C6" s="34"/>
      <c r="D6" s="34"/>
      <c r="E6" s="34"/>
      <c r="F6" s="34"/>
      <c r="G6" s="31" t="s">
        <v>87</v>
      </c>
      <c r="H6" s="34"/>
      <c r="I6" s="34"/>
      <c r="J6" s="34"/>
      <c r="K6" s="34"/>
      <c r="L6" s="34"/>
      <c r="M6" s="34"/>
      <c r="N6" s="34"/>
      <c r="O6" s="34"/>
      <c r="P6" s="34"/>
      <c r="Q6" s="34"/>
      <c r="R6" s="34"/>
      <c r="S6" s="29" t="s">
        <v>89</v>
      </c>
      <c r="T6" s="34"/>
      <c r="U6" s="34"/>
      <c r="V6" s="34"/>
      <c r="W6" s="34"/>
      <c r="X6" s="34"/>
      <c r="Y6" s="34"/>
      <c r="Z6" s="34"/>
      <c r="AA6" s="34"/>
      <c r="AB6" s="38" t="s">
        <v>90</v>
      </c>
      <c r="AC6" s="34"/>
      <c r="AD6" s="34"/>
      <c r="AE6" s="34"/>
    </row>
    <row r="7">
      <c r="A7" s="17"/>
      <c r="B7" s="17"/>
      <c r="C7" s="17"/>
      <c r="D7" s="17"/>
      <c r="E7" s="17"/>
      <c r="F7" s="17"/>
      <c r="G7" s="17"/>
      <c r="H7" s="17"/>
      <c r="I7" s="17"/>
      <c r="J7" s="17"/>
      <c r="K7" s="17"/>
      <c r="L7" s="17"/>
      <c r="M7" s="39"/>
      <c r="N7" s="39"/>
      <c r="O7" s="39"/>
      <c r="P7" s="39"/>
      <c r="Q7" s="39"/>
      <c r="R7" s="17"/>
      <c r="S7" s="17"/>
      <c r="T7" s="17"/>
      <c r="U7" s="17"/>
      <c r="V7" s="40"/>
      <c r="W7" s="40"/>
      <c r="X7" s="40"/>
      <c r="Y7" s="40"/>
      <c r="Z7" s="40"/>
      <c r="AA7" s="17"/>
      <c r="AB7" s="17"/>
      <c r="AC7" s="17"/>
      <c r="AD7" s="17"/>
      <c r="AE7" s="17"/>
    </row>
    <row r="8">
      <c r="A8" s="41" t="s">
        <v>92</v>
      </c>
      <c r="B8" s="44">
        <f t="shared" ref="B8:AE8" si="1">sum(B9:B14)</f>
        <v>16813.33</v>
      </c>
      <c r="C8" s="44">
        <f t="shared" si="1"/>
        <v>24584.7</v>
      </c>
      <c r="D8" s="44">
        <f t="shared" si="1"/>
        <v>29900.76</v>
      </c>
      <c r="E8" s="44">
        <f t="shared" si="1"/>
        <v>36334.28</v>
      </c>
      <c r="F8" s="44">
        <f t="shared" si="1"/>
        <v>33865.73</v>
      </c>
      <c r="G8" s="44">
        <f t="shared" si="1"/>
        <v>26222.32</v>
      </c>
      <c r="H8" s="44">
        <f t="shared" si="1"/>
        <v>19010.62</v>
      </c>
      <c r="I8" s="44">
        <f t="shared" si="1"/>
        <v>14263.81</v>
      </c>
      <c r="J8" s="44">
        <f t="shared" si="1"/>
        <v>17706.42</v>
      </c>
      <c r="K8" s="44">
        <f t="shared" si="1"/>
        <v>23568.41</v>
      </c>
      <c r="L8" s="44">
        <f t="shared" si="1"/>
        <v>20746.2</v>
      </c>
      <c r="M8" s="44">
        <f t="shared" si="1"/>
        <v>17605.43</v>
      </c>
      <c r="N8" s="44">
        <f t="shared" si="1"/>
        <v>17110.62</v>
      </c>
      <c r="O8" s="44">
        <f t="shared" si="1"/>
        <v>20586.5</v>
      </c>
      <c r="P8" s="44">
        <f t="shared" si="1"/>
        <v>21083.51</v>
      </c>
      <c r="Q8" s="44">
        <f t="shared" si="1"/>
        <v>19516.42</v>
      </c>
      <c r="R8" s="44">
        <f t="shared" si="1"/>
        <v>20308.72</v>
      </c>
      <c r="S8" s="44">
        <f t="shared" si="1"/>
        <v>52649.3</v>
      </c>
      <c r="T8" s="44">
        <f t="shared" si="1"/>
        <v>35237.55</v>
      </c>
      <c r="U8" s="44">
        <f t="shared" si="1"/>
        <v>24958.52</v>
      </c>
      <c r="V8" s="44">
        <f t="shared" si="1"/>
        <v>23325.78</v>
      </c>
      <c r="W8" s="44">
        <f t="shared" si="1"/>
        <v>21023.22</v>
      </c>
      <c r="X8" s="44">
        <f t="shared" si="1"/>
        <v>21650.72</v>
      </c>
      <c r="Y8" s="44">
        <f t="shared" si="1"/>
        <v>25290.75</v>
      </c>
      <c r="Z8" s="44">
        <f t="shared" si="1"/>
        <v>24346.86</v>
      </c>
      <c r="AA8" s="44">
        <f t="shared" si="1"/>
        <v>17185.25</v>
      </c>
      <c r="AB8" s="44">
        <f t="shared" si="1"/>
        <v>28409.71</v>
      </c>
      <c r="AC8" s="44">
        <f t="shared" si="1"/>
        <v>22027.07</v>
      </c>
      <c r="AD8" s="44">
        <f t="shared" si="1"/>
        <v>23806.79</v>
      </c>
      <c r="AE8" s="44">
        <f t="shared" si="1"/>
        <v>24655.64</v>
      </c>
    </row>
    <row r="9" outlineLevel="1">
      <c r="A9" s="53" t="s">
        <v>97</v>
      </c>
      <c r="B9" s="55">
        <v>13722.1</v>
      </c>
      <c r="C9" s="55">
        <v>19550.7</v>
      </c>
      <c r="D9" s="55">
        <v>23435.2</v>
      </c>
      <c r="E9" s="55">
        <v>29484.65</v>
      </c>
      <c r="F9" s="55">
        <v>27664.0</v>
      </c>
      <c r="G9" s="55">
        <v>20990.5</v>
      </c>
      <c r="H9" s="55">
        <v>15207.5</v>
      </c>
      <c r="I9" s="55">
        <v>11768.0</v>
      </c>
      <c r="J9" s="55">
        <v>14587.8</v>
      </c>
      <c r="K9" s="55">
        <v>18895.35</v>
      </c>
      <c r="L9" s="55">
        <v>16210.0</v>
      </c>
      <c r="M9" s="55">
        <v>14428.3</v>
      </c>
      <c r="N9" s="55">
        <v>14116.6</v>
      </c>
      <c r="O9" s="55">
        <v>16589.5</v>
      </c>
      <c r="P9" s="55">
        <v>17022.8</v>
      </c>
      <c r="Q9" s="55">
        <v>15507.9</v>
      </c>
      <c r="R9" s="55">
        <v>16466.4</v>
      </c>
      <c r="S9" s="55">
        <v>19896.36</v>
      </c>
      <c r="T9" s="55">
        <v>17790.86</v>
      </c>
      <c r="U9" s="55">
        <v>15609.46</v>
      </c>
      <c r="V9" s="55">
        <v>15125.66</v>
      </c>
      <c r="W9" s="55">
        <v>14080.46</v>
      </c>
      <c r="X9" s="55">
        <v>14631.43</v>
      </c>
      <c r="Y9" s="55">
        <v>17414.66</v>
      </c>
      <c r="Z9" s="55">
        <v>17603.0</v>
      </c>
      <c r="AA9" s="56">
        <v>12051.38</v>
      </c>
      <c r="AB9" s="56">
        <v>21870.44</v>
      </c>
      <c r="AC9" s="55">
        <v>15951.41</v>
      </c>
      <c r="AD9" s="56">
        <v>17981.86</v>
      </c>
      <c r="AE9" s="56">
        <v>19255.96</v>
      </c>
    </row>
    <row r="10" outlineLevel="1">
      <c r="A10" s="53" t="s">
        <v>99</v>
      </c>
      <c r="B10" s="55">
        <v>1072.8</v>
      </c>
      <c r="C10" s="55">
        <v>1944.6</v>
      </c>
      <c r="D10" s="55">
        <v>2730.2</v>
      </c>
      <c r="E10" s="55">
        <v>2310.6</v>
      </c>
      <c r="F10" s="55">
        <v>2146.4</v>
      </c>
      <c r="G10" s="55">
        <v>2010.0</v>
      </c>
      <c r="H10" s="55">
        <v>1468.7</v>
      </c>
      <c r="I10" s="55">
        <v>941.0</v>
      </c>
      <c r="J10" s="55">
        <v>1121.5</v>
      </c>
      <c r="K10" s="55">
        <v>1949.4</v>
      </c>
      <c r="L10" s="55">
        <v>2023.5</v>
      </c>
      <c r="M10" s="55">
        <v>1254.0</v>
      </c>
      <c r="N10" s="55">
        <v>1044.0</v>
      </c>
      <c r="O10" s="55">
        <v>1530.2</v>
      </c>
      <c r="P10" s="55">
        <v>1517.4</v>
      </c>
      <c r="Q10" s="55">
        <v>1717.1</v>
      </c>
      <c r="R10" s="55">
        <v>1458.0</v>
      </c>
      <c r="S10" s="55">
        <v>22114.94</v>
      </c>
      <c r="T10" s="55">
        <v>11299.34</v>
      </c>
      <c r="U10" s="55">
        <v>5629.34</v>
      </c>
      <c r="V10" s="55">
        <v>4905.34</v>
      </c>
      <c r="W10" s="55">
        <v>3952.34</v>
      </c>
      <c r="X10" s="55">
        <v>4079.17</v>
      </c>
      <c r="Y10" s="55">
        <v>4446.34</v>
      </c>
      <c r="Z10" s="55">
        <v>3484.0</v>
      </c>
      <c r="AA10" s="56">
        <v>2812.7</v>
      </c>
      <c r="AB10" s="56">
        <v>3183.5</v>
      </c>
      <c r="AC10" s="55">
        <v>3209.84</v>
      </c>
      <c r="AD10" s="56">
        <v>3033.54</v>
      </c>
      <c r="AE10" s="56">
        <v>2396.19</v>
      </c>
    </row>
    <row r="11" outlineLevel="1">
      <c r="A11" s="58" t="s">
        <v>100</v>
      </c>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row>
    <row r="12" outlineLevel="1">
      <c r="A12" s="58" t="s">
        <v>101</v>
      </c>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row>
    <row r="13" outlineLevel="1">
      <c r="A13" s="53" t="s">
        <v>102</v>
      </c>
      <c r="B13" s="55">
        <v>868.43</v>
      </c>
      <c r="C13" s="55">
        <v>1259.4</v>
      </c>
      <c r="D13" s="55">
        <v>1585.36</v>
      </c>
      <c r="E13" s="55">
        <v>1889.03</v>
      </c>
      <c r="F13" s="55">
        <v>1815.33</v>
      </c>
      <c r="G13" s="55">
        <v>1391.82</v>
      </c>
      <c r="H13" s="55">
        <v>1024.42</v>
      </c>
      <c r="I13" s="55">
        <v>584.81</v>
      </c>
      <c r="J13" s="55">
        <v>1032.12</v>
      </c>
      <c r="K13" s="55">
        <v>1238.66</v>
      </c>
      <c r="L13" s="55">
        <v>1152.7</v>
      </c>
      <c r="M13" s="55">
        <v>933.13</v>
      </c>
      <c r="N13" s="55">
        <v>850.02</v>
      </c>
      <c r="O13" s="55">
        <v>1041.8</v>
      </c>
      <c r="P13" s="55">
        <v>1073.31</v>
      </c>
      <c r="Q13" s="55">
        <v>1026.42</v>
      </c>
      <c r="R13" s="55">
        <v>1169.32</v>
      </c>
      <c r="S13" s="55">
        <v>2713.0</v>
      </c>
      <c r="T13" s="55">
        <v>1702.35</v>
      </c>
      <c r="U13" s="55">
        <v>1234.72</v>
      </c>
      <c r="V13" s="55">
        <v>1184.78</v>
      </c>
      <c r="W13" s="55">
        <v>1095.42</v>
      </c>
      <c r="X13" s="55">
        <v>1040.12</v>
      </c>
      <c r="Y13" s="55">
        <v>1309.75</v>
      </c>
      <c r="Z13" s="55">
        <v>1109.86</v>
      </c>
      <c r="AA13" s="55">
        <v>881.17</v>
      </c>
      <c r="AB13" s="55">
        <v>1570.77</v>
      </c>
      <c r="AC13" s="55">
        <v>1125.82</v>
      </c>
      <c r="AD13" s="56">
        <v>1271.39</v>
      </c>
      <c r="AE13" s="56">
        <v>1353.49</v>
      </c>
    </row>
    <row r="14" outlineLevel="1">
      <c r="A14" s="53" t="s">
        <v>103</v>
      </c>
      <c r="B14" s="55">
        <v>1150.0</v>
      </c>
      <c r="C14" s="55">
        <v>1830.0</v>
      </c>
      <c r="D14" s="55">
        <v>2150.0</v>
      </c>
      <c r="E14" s="55">
        <v>2650.0</v>
      </c>
      <c r="F14" s="55">
        <v>2240.0</v>
      </c>
      <c r="G14" s="55">
        <v>1830.0</v>
      </c>
      <c r="H14" s="55">
        <v>1310.0</v>
      </c>
      <c r="I14" s="55">
        <v>970.0</v>
      </c>
      <c r="J14" s="55">
        <v>965.0</v>
      </c>
      <c r="K14" s="55">
        <v>1485.0</v>
      </c>
      <c r="L14" s="55">
        <v>1360.0</v>
      </c>
      <c r="M14" s="55">
        <v>990.0</v>
      </c>
      <c r="N14" s="55">
        <v>1100.0</v>
      </c>
      <c r="O14" s="55">
        <v>1425.0</v>
      </c>
      <c r="P14" s="55">
        <v>1470.0</v>
      </c>
      <c r="Q14" s="55">
        <v>1265.0</v>
      </c>
      <c r="R14" s="55">
        <v>1215.0</v>
      </c>
      <c r="S14" s="55">
        <v>7925.0</v>
      </c>
      <c r="T14" s="55">
        <v>4445.0</v>
      </c>
      <c r="U14" s="55">
        <v>2485.0</v>
      </c>
      <c r="V14" s="55">
        <v>2110.0</v>
      </c>
      <c r="W14" s="55">
        <v>1895.0</v>
      </c>
      <c r="X14" s="55">
        <v>1900.0</v>
      </c>
      <c r="Y14" s="55">
        <v>2120.0</v>
      </c>
      <c r="Z14" s="55">
        <v>2150.0</v>
      </c>
      <c r="AA14" s="55">
        <v>1440.0</v>
      </c>
      <c r="AB14" s="55">
        <v>1785.0</v>
      </c>
      <c r="AC14" s="55">
        <v>1740.0</v>
      </c>
      <c r="AD14" s="56">
        <v>1520.0</v>
      </c>
      <c r="AE14" s="56">
        <v>1650.0</v>
      </c>
    </row>
    <row r="15">
      <c r="A15" s="41" t="s">
        <v>104</v>
      </c>
      <c r="B15" s="44">
        <f t="shared" ref="B15:AE15" si="2">B16+B17+B18+B19+B20</f>
        <v>3281.76</v>
      </c>
      <c r="C15" s="44">
        <f t="shared" si="2"/>
        <v>3000.84</v>
      </c>
      <c r="D15" s="44">
        <f t="shared" si="2"/>
        <v>4785.04</v>
      </c>
      <c r="E15" s="44">
        <f t="shared" si="2"/>
        <v>6287.08</v>
      </c>
      <c r="F15" s="44">
        <f t="shared" si="2"/>
        <v>5999.8</v>
      </c>
      <c r="G15" s="44">
        <f t="shared" si="2"/>
        <v>5360.55</v>
      </c>
      <c r="H15" s="44">
        <f t="shared" si="2"/>
        <v>3848.96</v>
      </c>
      <c r="I15" s="44">
        <f t="shared" si="2"/>
        <v>2985.94</v>
      </c>
      <c r="J15" s="44">
        <f t="shared" si="2"/>
        <v>7779.07</v>
      </c>
      <c r="K15" s="44">
        <f t="shared" si="2"/>
        <v>6593.8</v>
      </c>
      <c r="L15" s="44">
        <f t="shared" si="2"/>
        <v>6541.5</v>
      </c>
      <c r="M15" s="44">
        <f t="shared" si="2"/>
        <v>8052.39</v>
      </c>
      <c r="N15" s="44">
        <f t="shared" si="2"/>
        <v>8112.96</v>
      </c>
      <c r="O15" s="44">
        <f t="shared" si="2"/>
        <v>9248.96</v>
      </c>
      <c r="P15" s="44">
        <f t="shared" si="2"/>
        <v>4514.35</v>
      </c>
      <c r="Q15" s="44">
        <f t="shared" si="2"/>
        <v>6241.52</v>
      </c>
      <c r="R15" s="44">
        <f t="shared" si="2"/>
        <v>5373.04</v>
      </c>
      <c r="S15" s="44">
        <f t="shared" si="2"/>
        <v>7481.38</v>
      </c>
      <c r="T15" s="44">
        <f t="shared" si="2"/>
        <v>14665.42</v>
      </c>
      <c r="U15" s="44">
        <f t="shared" si="2"/>
        <v>9520.89</v>
      </c>
      <c r="V15" s="44">
        <f t="shared" si="2"/>
        <v>9251.81</v>
      </c>
      <c r="W15" s="44">
        <f t="shared" si="2"/>
        <v>11960.28</v>
      </c>
      <c r="X15" s="44">
        <f t="shared" si="2"/>
        <v>6013.71</v>
      </c>
      <c r="Y15" s="44">
        <f t="shared" si="2"/>
        <v>11686.21</v>
      </c>
      <c r="Z15" s="44">
        <f t="shared" si="2"/>
        <v>9557.32</v>
      </c>
      <c r="AA15" s="44">
        <f t="shared" si="2"/>
        <v>10743.27</v>
      </c>
      <c r="AB15" s="44">
        <f t="shared" si="2"/>
        <v>9822.31</v>
      </c>
      <c r="AC15" s="44">
        <f t="shared" si="2"/>
        <v>12278.6</v>
      </c>
      <c r="AD15" s="44">
        <f t="shared" si="2"/>
        <v>11038.2</v>
      </c>
      <c r="AE15" s="44">
        <f t="shared" si="2"/>
        <v>7779.39</v>
      </c>
    </row>
    <row r="16" outlineLevel="1">
      <c r="A16" s="53" t="s">
        <v>97</v>
      </c>
      <c r="B16" s="68">
        <v>3069.0</v>
      </c>
      <c r="C16" s="68">
        <v>2790.0</v>
      </c>
      <c r="D16" s="68">
        <v>4464.0</v>
      </c>
      <c r="E16" s="68">
        <v>5859.0</v>
      </c>
      <c r="F16" s="68">
        <v>5580.0</v>
      </c>
      <c r="G16" s="68">
        <v>5022.0</v>
      </c>
      <c r="H16" s="68">
        <v>3627.0</v>
      </c>
      <c r="I16" s="68">
        <v>2790.0</v>
      </c>
      <c r="J16" s="68">
        <v>7254.0</v>
      </c>
      <c r="K16" s="68">
        <v>6138.0</v>
      </c>
      <c r="L16" s="68">
        <v>6138.0</v>
      </c>
      <c r="M16" s="68">
        <v>7533.0</v>
      </c>
      <c r="N16" s="68">
        <v>7533.0</v>
      </c>
      <c r="O16" s="68">
        <v>8649.0</v>
      </c>
      <c r="P16" s="68">
        <v>4185.0</v>
      </c>
      <c r="Q16" s="68">
        <v>5859.0</v>
      </c>
      <c r="R16" s="68">
        <v>5022.0</v>
      </c>
      <c r="S16" s="68">
        <v>6975.0</v>
      </c>
      <c r="T16" s="68">
        <v>13671.0</v>
      </c>
      <c r="U16" s="68">
        <v>8928.0</v>
      </c>
      <c r="V16" s="68">
        <v>8649.0</v>
      </c>
      <c r="W16" s="68">
        <v>11160.0</v>
      </c>
      <c r="X16" s="68">
        <v>5580.0</v>
      </c>
      <c r="Y16" s="68">
        <v>10881.0</v>
      </c>
      <c r="Z16" s="68">
        <v>8928.0</v>
      </c>
      <c r="AA16" s="68">
        <v>10044.0</v>
      </c>
      <c r="AB16" s="68">
        <v>9207.0</v>
      </c>
      <c r="AC16" s="68">
        <v>11439.0</v>
      </c>
      <c r="AD16" s="68">
        <v>10323.0</v>
      </c>
      <c r="AE16" s="68">
        <v>7254.0</v>
      </c>
    </row>
    <row r="17" outlineLevel="1">
      <c r="A17" s="53" t="s">
        <v>99</v>
      </c>
      <c r="B17" s="68">
        <v>0.0</v>
      </c>
      <c r="C17" s="68">
        <v>0.0</v>
      </c>
      <c r="D17" s="68">
        <v>0.0</v>
      </c>
      <c r="E17" s="68">
        <v>0.0</v>
      </c>
      <c r="F17" s="68">
        <v>0.0</v>
      </c>
      <c r="G17" s="68">
        <v>0.0</v>
      </c>
      <c r="H17" s="68">
        <v>0.0</v>
      </c>
      <c r="I17" s="68">
        <v>0.0</v>
      </c>
      <c r="J17" s="68">
        <v>0.0</v>
      </c>
      <c r="K17" s="68">
        <v>0.0</v>
      </c>
      <c r="L17" s="68">
        <v>0.0</v>
      </c>
      <c r="M17" s="68">
        <v>0.0</v>
      </c>
      <c r="N17" s="68">
        <v>0.0</v>
      </c>
      <c r="O17" s="68">
        <v>0.0</v>
      </c>
      <c r="P17" s="68">
        <v>0.0</v>
      </c>
      <c r="Q17" s="68">
        <v>0.0</v>
      </c>
      <c r="R17" s="68">
        <v>0.0</v>
      </c>
      <c r="S17" s="68">
        <v>0.0</v>
      </c>
      <c r="T17" s="68">
        <v>0.0</v>
      </c>
      <c r="U17" s="68">
        <v>0.0</v>
      </c>
      <c r="V17" s="68">
        <v>0.0</v>
      </c>
      <c r="W17" s="68">
        <v>0.0</v>
      </c>
      <c r="X17" s="68">
        <v>0.0</v>
      </c>
      <c r="Y17" s="68">
        <v>0.0</v>
      </c>
      <c r="Z17" s="68">
        <v>0.0</v>
      </c>
      <c r="AA17" s="68">
        <v>0.0</v>
      </c>
      <c r="AB17" s="68">
        <v>0.0</v>
      </c>
      <c r="AC17" s="68">
        <v>0.0</v>
      </c>
      <c r="AD17" s="68">
        <v>0.0</v>
      </c>
      <c r="AE17" s="68">
        <v>0.0</v>
      </c>
    </row>
    <row r="18" outlineLevel="1">
      <c r="A18" s="53" t="s">
        <v>107</v>
      </c>
      <c r="B18" s="68">
        <v>205.77</v>
      </c>
      <c r="C18" s="68">
        <v>210.38</v>
      </c>
      <c r="D18" s="68">
        <v>302.63</v>
      </c>
      <c r="E18" s="68">
        <v>423.13</v>
      </c>
      <c r="F18" s="68">
        <v>410.82</v>
      </c>
      <c r="G18" s="68">
        <v>328.65</v>
      </c>
      <c r="H18" s="68">
        <v>221.96</v>
      </c>
      <c r="I18" s="68">
        <v>195.94</v>
      </c>
      <c r="J18" s="68">
        <v>524.61</v>
      </c>
      <c r="K18" s="68">
        <v>451.31</v>
      </c>
      <c r="L18" s="68">
        <v>392.02</v>
      </c>
      <c r="M18" s="68">
        <v>499.26</v>
      </c>
      <c r="N18" s="68">
        <v>554.7</v>
      </c>
      <c r="O18" s="68">
        <v>583.53</v>
      </c>
      <c r="P18" s="68">
        <v>320.37</v>
      </c>
      <c r="Q18" s="68">
        <v>382.52</v>
      </c>
      <c r="R18" s="68">
        <v>342.06</v>
      </c>
      <c r="S18" s="68">
        <v>506.38</v>
      </c>
      <c r="T18" s="68">
        <v>989.01</v>
      </c>
      <c r="U18" s="68">
        <v>581.41</v>
      </c>
      <c r="V18" s="68">
        <v>602.81</v>
      </c>
      <c r="W18" s="68">
        <v>795.33</v>
      </c>
      <c r="X18" s="68">
        <v>424.74</v>
      </c>
      <c r="Y18" s="68">
        <v>795.77</v>
      </c>
      <c r="Z18" s="68">
        <v>629.32</v>
      </c>
      <c r="AA18" s="68">
        <v>699.27</v>
      </c>
      <c r="AB18" s="68">
        <v>608.52</v>
      </c>
      <c r="AC18" s="68">
        <v>823.17</v>
      </c>
      <c r="AD18" s="68">
        <v>705.3</v>
      </c>
      <c r="AE18" s="68">
        <v>520.9</v>
      </c>
    </row>
    <row r="19" outlineLevel="1">
      <c r="A19" s="53" t="s">
        <v>103</v>
      </c>
      <c r="B19" s="68">
        <v>6.99</v>
      </c>
      <c r="C19" s="68">
        <v>0.29</v>
      </c>
      <c r="D19" s="68">
        <v>13.75</v>
      </c>
      <c r="E19" s="68">
        <v>0.29</v>
      </c>
      <c r="F19" s="68">
        <v>0.0</v>
      </c>
      <c r="G19" s="68">
        <v>0.58</v>
      </c>
      <c r="H19" s="68">
        <v>0.0</v>
      </c>
      <c r="I19" s="68">
        <v>0.0</v>
      </c>
      <c r="J19" s="68">
        <v>0.29</v>
      </c>
      <c r="K19" s="68">
        <v>0.0</v>
      </c>
      <c r="L19" s="68">
        <v>6.99</v>
      </c>
      <c r="M19" s="68">
        <v>6.15</v>
      </c>
      <c r="N19" s="68">
        <v>11.79</v>
      </c>
      <c r="O19" s="68">
        <v>7.28</v>
      </c>
      <c r="P19" s="68">
        <v>0.0</v>
      </c>
      <c r="Q19" s="68">
        <v>0.0</v>
      </c>
      <c r="R19" s="68">
        <v>0.0</v>
      </c>
      <c r="S19" s="68">
        <v>0.0</v>
      </c>
      <c r="T19" s="68">
        <v>0.58</v>
      </c>
      <c r="U19" s="68">
        <v>6.99</v>
      </c>
      <c r="V19" s="68">
        <v>0.0</v>
      </c>
      <c r="W19" s="68">
        <v>0.29</v>
      </c>
      <c r="X19" s="68">
        <v>4.48</v>
      </c>
      <c r="Y19" s="68">
        <v>0.29</v>
      </c>
      <c r="Z19" s="68">
        <v>0.0</v>
      </c>
      <c r="AA19" s="68">
        <v>0.0</v>
      </c>
      <c r="AB19" s="68">
        <v>1.45</v>
      </c>
      <c r="AC19" s="68">
        <v>7.28</v>
      </c>
      <c r="AD19" s="68">
        <v>0.58</v>
      </c>
      <c r="AE19" s="68">
        <v>0.0</v>
      </c>
    </row>
    <row r="20" outlineLevel="1">
      <c r="A20" s="53" t="s">
        <v>111</v>
      </c>
      <c r="B20" s="68">
        <v>0.0</v>
      </c>
      <c r="C20" s="68">
        <v>0.17</v>
      </c>
      <c r="D20" s="68">
        <v>4.66</v>
      </c>
      <c r="E20" s="68">
        <v>4.66</v>
      </c>
      <c r="F20" s="68">
        <v>8.98</v>
      </c>
      <c r="G20" s="68">
        <v>9.32</v>
      </c>
      <c r="H20" s="68">
        <v>0.0</v>
      </c>
      <c r="I20" s="68">
        <v>0.0</v>
      </c>
      <c r="J20" s="68">
        <v>0.17</v>
      </c>
      <c r="K20" s="68">
        <v>4.49</v>
      </c>
      <c r="L20" s="68">
        <v>4.49</v>
      </c>
      <c r="M20" s="68">
        <v>13.98</v>
      </c>
      <c r="N20" s="68">
        <v>13.47</v>
      </c>
      <c r="O20" s="68">
        <v>9.15</v>
      </c>
      <c r="P20" s="68">
        <v>8.98</v>
      </c>
      <c r="Q20" s="68">
        <v>0.0</v>
      </c>
      <c r="R20" s="68">
        <v>8.98</v>
      </c>
      <c r="S20" s="68">
        <v>0.0</v>
      </c>
      <c r="T20" s="68">
        <v>4.83</v>
      </c>
      <c r="U20" s="68">
        <v>4.49</v>
      </c>
      <c r="V20" s="68">
        <v>0.0</v>
      </c>
      <c r="W20" s="68">
        <v>4.66</v>
      </c>
      <c r="X20" s="68">
        <v>4.49</v>
      </c>
      <c r="Y20" s="68">
        <v>9.15</v>
      </c>
      <c r="Z20" s="68">
        <v>0.0</v>
      </c>
      <c r="AA20" s="68">
        <v>0.0</v>
      </c>
      <c r="AB20" s="68">
        <v>5.34</v>
      </c>
      <c r="AC20" s="68">
        <v>9.15</v>
      </c>
      <c r="AD20" s="68">
        <v>9.32</v>
      </c>
      <c r="AE20" s="68">
        <v>4.49</v>
      </c>
    </row>
    <row r="21">
      <c r="A21" s="84" t="s">
        <v>112</v>
      </c>
      <c r="B21" s="86">
        <f t="shared" ref="B21:AE21" si="3">SUM(B26,B22)</f>
        <v>0</v>
      </c>
      <c r="C21" s="86">
        <f t="shared" si="3"/>
        <v>0</v>
      </c>
      <c r="D21" s="86">
        <f t="shared" si="3"/>
        <v>0</v>
      </c>
      <c r="E21" s="86">
        <f t="shared" si="3"/>
        <v>0</v>
      </c>
      <c r="F21" s="86">
        <f t="shared" si="3"/>
        <v>0</v>
      </c>
      <c r="G21" s="86">
        <f t="shared" si="3"/>
        <v>0</v>
      </c>
      <c r="H21" s="86">
        <f t="shared" si="3"/>
        <v>0</v>
      </c>
      <c r="I21" s="86">
        <f t="shared" si="3"/>
        <v>0</v>
      </c>
      <c r="J21" s="86">
        <f t="shared" si="3"/>
        <v>0</v>
      </c>
      <c r="K21" s="86">
        <f t="shared" si="3"/>
        <v>0</v>
      </c>
      <c r="L21" s="86">
        <f t="shared" si="3"/>
        <v>0</v>
      </c>
      <c r="M21" s="86">
        <f t="shared" si="3"/>
        <v>0</v>
      </c>
      <c r="N21" s="86">
        <f t="shared" si="3"/>
        <v>0</v>
      </c>
      <c r="O21" s="86">
        <f t="shared" si="3"/>
        <v>0</v>
      </c>
      <c r="P21" s="86">
        <f t="shared" si="3"/>
        <v>0</v>
      </c>
      <c r="Q21" s="86">
        <f t="shared" si="3"/>
        <v>0</v>
      </c>
      <c r="R21" s="86">
        <f t="shared" si="3"/>
        <v>0</v>
      </c>
      <c r="S21" s="86">
        <f t="shared" si="3"/>
        <v>0</v>
      </c>
      <c r="T21" s="86">
        <f t="shared" si="3"/>
        <v>0</v>
      </c>
      <c r="U21" s="86">
        <f t="shared" si="3"/>
        <v>0</v>
      </c>
      <c r="V21" s="86">
        <f t="shared" si="3"/>
        <v>0</v>
      </c>
      <c r="W21" s="86">
        <f t="shared" si="3"/>
        <v>0</v>
      </c>
      <c r="X21" s="86">
        <f t="shared" si="3"/>
        <v>0</v>
      </c>
      <c r="Y21" s="86">
        <f t="shared" si="3"/>
        <v>0</v>
      </c>
      <c r="Z21" s="86">
        <f t="shared" si="3"/>
        <v>0</v>
      </c>
      <c r="AA21" s="86">
        <f t="shared" si="3"/>
        <v>0</v>
      </c>
      <c r="AB21" s="86">
        <f t="shared" si="3"/>
        <v>0</v>
      </c>
      <c r="AC21" s="86">
        <f t="shared" si="3"/>
        <v>8188.24</v>
      </c>
      <c r="AD21" s="86">
        <f t="shared" si="3"/>
        <v>5806.09</v>
      </c>
      <c r="AE21" s="86">
        <f t="shared" si="3"/>
        <v>1039</v>
      </c>
    </row>
    <row r="22" outlineLevel="1">
      <c r="A22" s="53" t="s">
        <v>116</v>
      </c>
      <c r="B22" s="88">
        <f t="shared" ref="B22:AB22" si="4">SUM(B23:B25)</f>
        <v>0</v>
      </c>
      <c r="C22" s="88">
        <f t="shared" si="4"/>
        <v>0</v>
      </c>
      <c r="D22" s="88">
        <f t="shared" si="4"/>
        <v>0</v>
      </c>
      <c r="E22" s="88">
        <f t="shared" si="4"/>
        <v>0</v>
      </c>
      <c r="F22" s="88">
        <f t="shared" si="4"/>
        <v>0</v>
      </c>
      <c r="G22" s="88">
        <f t="shared" si="4"/>
        <v>0</v>
      </c>
      <c r="H22" s="88">
        <f t="shared" si="4"/>
        <v>0</v>
      </c>
      <c r="I22" s="88">
        <f t="shared" si="4"/>
        <v>0</v>
      </c>
      <c r="J22" s="88">
        <f t="shared" si="4"/>
        <v>0</v>
      </c>
      <c r="K22" s="88">
        <f t="shared" si="4"/>
        <v>0</v>
      </c>
      <c r="L22" s="88">
        <f t="shared" si="4"/>
        <v>0</v>
      </c>
      <c r="M22" s="88">
        <f t="shared" si="4"/>
        <v>0</v>
      </c>
      <c r="N22" s="88">
        <f t="shared" si="4"/>
        <v>0</v>
      </c>
      <c r="O22" s="88">
        <f t="shared" si="4"/>
        <v>0</v>
      </c>
      <c r="P22" s="88">
        <f t="shared" si="4"/>
        <v>0</v>
      </c>
      <c r="Q22" s="88">
        <f t="shared" si="4"/>
        <v>0</v>
      </c>
      <c r="R22" s="88">
        <f t="shared" si="4"/>
        <v>0</v>
      </c>
      <c r="S22" s="88">
        <f t="shared" si="4"/>
        <v>0</v>
      </c>
      <c r="T22" s="88">
        <f t="shared" si="4"/>
        <v>0</v>
      </c>
      <c r="U22" s="88">
        <f t="shared" si="4"/>
        <v>0</v>
      </c>
      <c r="V22" s="88">
        <f t="shared" si="4"/>
        <v>0</v>
      </c>
      <c r="W22" s="88">
        <f t="shared" si="4"/>
        <v>0</v>
      </c>
      <c r="X22" s="88">
        <f t="shared" si="4"/>
        <v>0</v>
      </c>
      <c r="Y22" s="88">
        <f t="shared" si="4"/>
        <v>0</v>
      </c>
      <c r="Z22" s="88">
        <f t="shared" si="4"/>
        <v>0</v>
      </c>
      <c r="AA22" s="88">
        <f t="shared" si="4"/>
        <v>0</v>
      </c>
      <c r="AB22" s="88">
        <f t="shared" si="4"/>
        <v>0</v>
      </c>
      <c r="AC22" s="93">
        <v>8188.24</v>
      </c>
      <c r="AD22" s="93">
        <v>5806.09</v>
      </c>
      <c r="AE22" s="93">
        <v>1039.0</v>
      </c>
    </row>
    <row r="23" outlineLevel="1">
      <c r="A23" s="53" t="s">
        <v>97</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row>
    <row r="24" outlineLevel="1">
      <c r="A24" s="53" t="s">
        <v>107</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row>
    <row r="25" outlineLevel="1">
      <c r="A25" s="58" t="s">
        <v>103</v>
      </c>
      <c r="B25" s="98">
        <v>0.0</v>
      </c>
      <c r="C25" s="98">
        <v>0.0</v>
      </c>
      <c r="D25" s="98">
        <v>0.0</v>
      </c>
      <c r="E25" s="98">
        <v>0.0</v>
      </c>
      <c r="F25" s="98">
        <v>0.0</v>
      </c>
      <c r="G25" s="98">
        <v>0.0</v>
      </c>
      <c r="H25" s="98">
        <v>0.0</v>
      </c>
      <c r="I25" s="98">
        <v>0.0</v>
      </c>
      <c r="J25" s="98">
        <v>0.0</v>
      </c>
      <c r="K25" s="98">
        <v>0.0</v>
      </c>
      <c r="L25" s="98">
        <v>0.0</v>
      </c>
      <c r="M25" s="98">
        <v>0.0</v>
      </c>
      <c r="N25" s="98">
        <v>0.0</v>
      </c>
      <c r="O25" s="98">
        <v>0.0</v>
      </c>
      <c r="P25" s="98">
        <v>0.0</v>
      </c>
      <c r="Q25" s="98">
        <v>0.0</v>
      </c>
      <c r="R25" s="98">
        <v>0.0</v>
      </c>
      <c r="S25" s="98">
        <v>0.0</v>
      </c>
      <c r="T25" s="98">
        <v>0.0</v>
      </c>
      <c r="U25" s="98">
        <v>0.0</v>
      </c>
      <c r="V25" s="98">
        <v>0.0</v>
      </c>
      <c r="W25" s="98">
        <v>0.0</v>
      </c>
      <c r="X25" s="98">
        <v>0.0</v>
      </c>
      <c r="Y25" s="98">
        <v>0.0</v>
      </c>
      <c r="Z25" s="98">
        <v>0.0</v>
      </c>
      <c r="AA25" s="98">
        <v>0.0</v>
      </c>
      <c r="AB25" s="98">
        <v>0.0</v>
      </c>
      <c r="AC25" s="98">
        <v>0.0</v>
      </c>
      <c r="AD25" s="98">
        <v>0.0</v>
      </c>
      <c r="AE25" s="98">
        <v>0.0</v>
      </c>
    </row>
    <row r="26" outlineLevel="1">
      <c r="A26" s="53" t="s">
        <v>119</v>
      </c>
      <c r="B26" s="88">
        <f t="shared" ref="B26:AE26" si="5">SUM(B27:B29)</f>
        <v>0</v>
      </c>
      <c r="C26" s="88">
        <f t="shared" si="5"/>
        <v>0</v>
      </c>
      <c r="D26" s="88">
        <f t="shared" si="5"/>
        <v>0</v>
      </c>
      <c r="E26" s="88">
        <f t="shared" si="5"/>
        <v>0</v>
      </c>
      <c r="F26" s="88">
        <f t="shared" si="5"/>
        <v>0</v>
      </c>
      <c r="G26" s="88">
        <f t="shared" si="5"/>
        <v>0</v>
      </c>
      <c r="H26" s="88">
        <f t="shared" si="5"/>
        <v>0</v>
      </c>
      <c r="I26" s="88">
        <f t="shared" si="5"/>
        <v>0</v>
      </c>
      <c r="J26" s="88">
        <f t="shared" si="5"/>
        <v>0</v>
      </c>
      <c r="K26" s="88">
        <f t="shared" si="5"/>
        <v>0</v>
      </c>
      <c r="L26" s="88">
        <f t="shared" si="5"/>
        <v>0</v>
      </c>
      <c r="M26" s="88">
        <f t="shared" si="5"/>
        <v>0</v>
      </c>
      <c r="N26" s="88">
        <f t="shared" si="5"/>
        <v>0</v>
      </c>
      <c r="O26" s="88">
        <f t="shared" si="5"/>
        <v>0</v>
      </c>
      <c r="P26" s="88">
        <f t="shared" si="5"/>
        <v>0</v>
      </c>
      <c r="Q26" s="88">
        <f t="shared" si="5"/>
        <v>0</v>
      </c>
      <c r="R26" s="88">
        <f t="shared" si="5"/>
        <v>0</v>
      </c>
      <c r="S26" s="88">
        <f t="shared" si="5"/>
        <v>0</v>
      </c>
      <c r="T26" s="88">
        <f t="shared" si="5"/>
        <v>0</v>
      </c>
      <c r="U26" s="88">
        <f t="shared" si="5"/>
        <v>0</v>
      </c>
      <c r="V26" s="88">
        <f t="shared" si="5"/>
        <v>0</v>
      </c>
      <c r="W26" s="88">
        <f t="shared" si="5"/>
        <v>0</v>
      </c>
      <c r="X26" s="88">
        <f t="shared" si="5"/>
        <v>0</v>
      </c>
      <c r="Y26" s="88">
        <f t="shared" si="5"/>
        <v>0</v>
      </c>
      <c r="Z26" s="88">
        <f t="shared" si="5"/>
        <v>0</v>
      </c>
      <c r="AA26" s="88">
        <f t="shared" si="5"/>
        <v>0</v>
      </c>
      <c r="AB26" s="88">
        <f t="shared" si="5"/>
        <v>0</v>
      </c>
      <c r="AC26" s="88">
        <f t="shared" si="5"/>
        <v>0</v>
      </c>
      <c r="AD26" s="88">
        <f t="shared" si="5"/>
        <v>0</v>
      </c>
      <c r="AE26" s="88">
        <f t="shared" si="5"/>
        <v>0</v>
      </c>
    </row>
    <row r="27" outlineLevel="1">
      <c r="A27" s="53" t="s">
        <v>97</v>
      </c>
      <c r="B27" s="88">
        <v>0.0</v>
      </c>
      <c r="C27" s="88">
        <v>0.0</v>
      </c>
      <c r="D27" s="88">
        <v>0.0</v>
      </c>
      <c r="E27" s="88">
        <v>0.0</v>
      </c>
      <c r="F27" s="88">
        <v>0.0</v>
      </c>
      <c r="G27" s="88">
        <v>0.0</v>
      </c>
      <c r="H27" s="88">
        <v>0.0</v>
      </c>
      <c r="I27" s="88">
        <v>0.0</v>
      </c>
      <c r="J27" s="88">
        <v>0.0</v>
      </c>
      <c r="K27" s="88">
        <v>0.0</v>
      </c>
      <c r="L27" s="88">
        <v>0.0</v>
      </c>
      <c r="M27" s="88">
        <v>0.0</v>
      </c>
      <c r="N27" s="88">
        <v>0.0</v>
      </c>
      <c r="O27" s="88">
        <v>0.0</v>
      </c>
      <c r="P27" s="88">
        <v>0.0</v>
      </c>
      <c r="Q27" s="88">
        <v>0.0</v>
      </c>
      <c r="R27" s="88">
        <v>0.0</v>
      </c>
      <c r="S27" s="88">
        <v>0.0</v>
      </c>
      <c r="T27" s="88">
        <v>0.0</v>
      </c>
      <c r="U27" s="88">
        <v>0.0</v>
      </c>
      <c r="V27" s="88">
        <v>0.0</v>
      </c>
      <c r="W27" s="88">
        <v>0.0</v>
      </c>
      <c r="X27" s="88">
        <v>0.0</v>
      </c>
      <c r="Y27" s="88">
        <v>0.0</v>
      </c>
      <c r="Z27" s="88">
        <v>0.0</v>
      </c>
      <c r="AA27" s="88">
        <v>0.0</v>
      </c>
      <c r="AB27" s="88">
        <v>0.0</v>
      </c>
      <c r="AC27" s="88">
        <v>0.0</v>
      </c>
      <c r="AD27" s="88">
        <v>0.0</v>
      </c>
      <c r="AE27" s="88">
        <v>0.0</v>
      </c>
    </row>
    <row r="28" outlineLevel="1">
      <c r="A28" s="53" t="s">
        <v>107</v>
      </c>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row>
    <row r="29" outlineLevel="1">
      <c r="A29" s="58" t="s">
        <v>103</v>
      </c>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row>
    <row r="30">
      <c r="A30" s="107" t="s">
        <v>124</v>
      </c>
      <c r="B30" s="108">
        <v>0.0</v>
      </c>
      <c r="C30" s="108">
        <v>0.0</v>
      </c>
      <c r="D30" s="108">
        <v>0.0</v>
      </c>
      <c r="E30" s="108">
        <v>0.0</v>
      </c>
      <c r="F30" s="108">
        <v>0.0</v>
      </c>
      <c r="G30" s="108">
        <v>1402.0</v>
      </c>
      <c r="H30" s="108">
        <v>1770.0</v>
      </c>
      <c r="I30" s="108">
        <v>4010.0</v>
      </c>
      <c r="J30" s="108">
        <v>4732.0</v>
      </c>
      <c r="K30" s="108">
        <v>3202.0</v>
      </c>
      <c r="L30" s="108">
        <v>5231.0</v>
      </c>
      <c r="M30" s="108">
        <v>5261.0</v>
      </c>
      <c r="N30" s="108">
        <v>2388.0</v>
      </c>
      <c r="O30" s="108">
        <v>2038.0</v>
      </c>
      <c r="P30" s="108">
        <v>2542.0</v>
      </c>
      <c r="Q30" s="108">
        <v>5190.0</v>
      </c>
      <c r="R30" s="108">
        <v>1034.0</v>
      </c>
      <c r="S30" s="108">
        <v>1367.0</v>
      </c>
      <c r="T30" s="108">
        <v>2658.0</v>
      </c>
      <c r="U30" s="108">
        <v>1459.0</v>
      </c>
      <c r="V30" s="108">
        <v>418.0</v>
      </c>
      <c r="W30" s="108">
        <v>0.0</v>
      </c>
      <c r="X30" s="108">
        <v>298.0</v>
      </c>
      <c r="Y30" s="108">
        <v>298.0</v>
      </c>
      <c r="Z30" s="108">
        <v>0.0</v>
      </c>
      <c r="AA30" s="108">
        <v>298.0</v>
      </c>
      <c r="AB30" s="108">
        <v>992.0</v>
      </c>
      <c r="AC30" s="108">
        <v>0.0</v>
      </c>
      <c r="AD30" s="108">
        <v>324.0</v>
      </c>
      <c r="AE30" s="108">
        <v>1034.0</v>
      </c>
    </row>
    <row r="31" outlineLevel="1">
      <c r="A31" s="107" t="s">
        <v>97</v>
      </c>
      <c r="B31" s="108">
        <v>0.0</v>
      </c>
      <c r="C31" s="108">
        <v>0.0</v>
      </c>
      <c r="D31" s="108">
        <v>0.0</v>
      </c>
      <c r="E31" s="108">
        <v>0.0</v>
      </c>
      <c r="F31" s="108">
        <v>0.0</v>
      </c>
      <c r="G31" s="108">
        <v>770.0</v>
      </c>
      <c r="H31" s="108">
        <v>1267.0</v>
      </c>
      <c r="I31" s="108">
        <v>3815.0</v>
      </c>
      <c r="J31" s="108">
        <v>3721.0</v>
      </c>
      <c r="K31" s="108">
        <v>2718.0</v>
      </c>
      <c r="L31" s="108">
        <v>4687.0</v>
      </c>
      <c r="M31" s="108">
        <v>4529.0</v>
      </c>
      <c r="N31" s="108">
        <v>2268.0</v>
      </c>
      <c r="O31" s="108">
        <v>1933.0</v>
      </c>
      <c r="P31" s="108">
        <v>2039.0</v>
      </c>
      <c r="Q31" s="108">
        <v>4965.0</v>
      </c>
      <c r="R31" s="108">
        <v>974.0</v>
      </c>
      <c r="S31" s="108">
        <v>1317.0</v>
      </c>
      <c r="T31" s="108">
        <v>1856.0</v>
      </c>
      <c r="U31" s="108">
        <v>1389.0</v>
      </c>
      <c r="V31" s="108">
        <v>403.0</v>
      </c>
      <c r="W31" s="108">
        <v>0.0</v>
      </c>
      <c r="X31" s="108">
        <v>283.0</v>
      </c>
      <c r="Y31" s="108">
        <v>283.0</v>
      </c>
      <c r="Z31" s="108">
        <v>0.0</v>
      </c>
      <c r="AA31" s="108">
        <v>283.0</v>
      </c>
      <c r="AB31" s="108">
        <v>967.0</v>
      </c>
      <c r="AC31" s="108">
        <v>0.0</v>
      </c>
      <c r="AD31" s="108">
        <v>309.0</v>
      </c>
      <c r="AE31" s="108">
        <v>974.0</v>
      </c>
    </row>
    <row r="32" outlineLevel="1">
      <c r="A32" s="107" t="s">
        <v>99</v>
      </c>
      <c r="B32" s="108">
        <v>0.0</v>
      </c>
      <c r="C32" s="108">
        <v>0.0</v>
      </c>
      <c r="D32" s="108">
        <v>0.0</v>
      </c>
      <c r="E32" s="108">
        <v>0.0</v>
      </c>
      <c r="F32" s="108">
        <v>0.0</v>
      </c>
      <c r="G32" s="108">
        <v>567.0</v>
      </c>
      <c r="H32" s="108">
        <v>408.0</v>
      </c>
      <c r="I32" s="108">
        <v>0.0</v>
      </c>
      <c r="J32" s="108">
        <v>786.0</v>
      </c>
      <c r="K32" s="108">
        <v>299.0</v>
      </c>
      <c r="L32" s="108">
        <v>299.0</v>
      </c>
      <c r="M32" s="108">
        <v>487.0</v>
      </c>
      <c r="N32" s="108">
        <v>0.0</v>
      </c>
      <c r="O32" s="108">
        <v>0.0</v>
      </c>
      <c r="P32" s="108">
        <v>378.0</v>
      </c>
      <c r="Q32" s="108">
        <v>0.0</v>
      </c>
      <c r="R32" s="108">
        <v>0.0</v>
      </c>
      <c r="S32" s="108">
        <v>0.0</v>
      </c>
      <c r="T32" s="108">
        <v>677.0</v>
      </c>
      <c r="U32" s="108">
        <v>0.0</v>
      </c>
      <c r="V32" s="108">
        <v>0.0</v>
      </c>
      <c r="W32" s="108">
        <v>0.0</v>
      </c>
      <c r="X32" s="108">
        <v>0.0</v>
      </c>
      <c r="Y32" s="108">
        <v>0.0</v>
      </c>
      <c r="Z32" s="108">
        <v>0.0</v>
      </c>
      <c r="AA32" s="108">
        <v>0.0</v>
      </c>
      <c r="AB32" s="108">
        <v>0.0</v>
      </c>
      <c r="AC32" s="108">
        <v>0.0</v>
      </c>
      <c r="AD32" s="108">
        <v>0.0</v>
      </c>
      <c r="AE32" s="108">
        <v>0.0</v>
      </c>
    </row>
    <row r="33" outlineLevel="1">
      <c r="A33" s="107" t="s">
        <v>102</v>
      </c>
      <c r="B33" s="108">
        <v>0.0</v>
      </c>
      <c r="C33" s="108">
        <v>0.0</v>
      </c>
      <c r="D33" s="108">
        <v>0.0</v>
      </c>
      <c r="E33" s="108">
        <v>0.0</v>
      </c>
      <c r="F33" s="108">
        <v>0.0</v>
      </c>
      <c r="G33" s="108">
        <v>0.0</v>
      </c>
      <c r="H33" s="108">
        <v>0.0</v>
      </c>
      <c r="I33" s="108">
        <v>0.0</v>
      </c>
      <c r="J33" s="108">
        <v>0.0</v>
      </c>
      <c r="K33" s="108">
        <v>0.0</v>
      </c>
      <c r="L33" s="108">
        <v>0.0</v>
      </c>
      <c r="M33" s="108">
        <v>0.0</v>
      </c>
      <c r="N33" s="108">
        <v>0.0</v>
      </c>
      <c r="O33" s="108">
        <v>0.0</v>
      </c>
      <c r="P33" s="108">
        <v>0.0</v>
      </c>
      <c r="Q33" s="108">
        <v>0.0</v>
      </c>
      <c r="R33" s="108">
        <v>0.0</v>
      </c>
      <c r="S33" s="108">
        <v>0.0</v>
      </c>
      <c r="T33" s="108">
        <v>0.0</v>
      </c>
      <c r="U33" s="108">
        <v>0.0</v>
      </c>
      <c r="V33" s="108">
        <v>0.0</v>
      </c>
      <c r="W33" s="108">
        <v>0.0</v>
      </c>
      <c r="X33" s="108">
        <v>0.0</v>
      </c>
      <c r="Y33" s="108">
        <v>0.0</v>
      </c>
      <c r="Z33" s="108">
        <v>0.0</v>
      </c>
      <c r="AA33" s="108">
        <v>0.0</v>
      </c>
      <c r="AB33" s="108">
        <v>0.0</v>
      </c>
      <c r="AC33" s="108">
        <v>0.0</v>
      </c>
      <c r="AD33" s="108">
        <v>0.0</v>
      </c>
      <c r="AE33" s="108">
        <v>0.0</v>
      </c>
    </row>
    <row r="34" outlineLevel="1">
      <c r="A34" s="107" t="s">
        <v>103</v>
      </c>
      <c r="B34" s="108">
        <v>0.0</v>
      </c>
      <c r="C34" s="108">
        <v>0.0</v>
      </c>
      <c r="D34" s="108">
        <v>0.0</v>
      </c>
      <c r="E34" s="108">
        <v>0.0</v>
      </c>
      <c r="F34" s="108">
        <v>0.0</v>
      </c>
      <c r="G34" s="108">
        <v>65.0</v>
      </c>
      <c r="H34" s="108">
        <v>95.0</v>
      </c>
      <c r="I34" s="108">
        <v>195.0</v>
      </c>
      <c r="J34" s="108">
        <v>225.0</v>
      </c>
      <c r="K34" s="108">
        <v>185.0</v>
      </c>
      <c r="L34" s="108">
        <v>245.0</v>
      </c>
      <c r="M34" s="108">
        <v>245.0</v>
      </c>
      <c r="N34" s="108">
        <v>120.0</v>
      </c>
      <c r="O34" s="108">
        <v>105.0</v>
      </c>
      <c r="P34" s="108">
        <v>125.0</v>
      </c>
      <c r="Q34" s="108">
        <v>225.0</v>
      </c>
      <c r="R34" s="108">
        <v>60.0</v>
      </c>
      <c r="S34" s="108">
        <v>50.0</v>
      </c>
      <c r="T34" s="108">
        <v>125.0</v>
      </c>
      <c r="U34" s="108">
        <v>70.0</v>
      </c>
      <c r="V34" s="108">
        <v>15.0</v>
      </c>
      <c r="W34" s="108">
        <v>0.0</v>
      </c>
      <c r="X34" s="108">
        <v>15.0</v>
      </c>
      <c r="Y34" s="108">
        <v>15.0</v>
      </c>
      <c r="Z34" s="108">
        <v>0.0</v>
      </c>
      <c r="AA34" s="108">
        <v>15.0</v>
      </c>
      <c r="AB34" s="108">
        <v>25.0</v>
      </c>
      <c r="AC34" s="108">
        <v>0.0</v>
      </c>
      <c r="AD34" s="108">
        <v>15.0</v>
      </c>
      <c r="AE34" s="108">
        <v>60.0</v>
      </c>
    </row>
    <row r="35">
      <c r="A35" s="111" t="s">
        <v>127</v>
      </c>
      <c r="B35" s="112">
        <f t="shared" ref="B35:AE35" si="6">SUM(B8+B15+B21+B30)</f>
        <v>20095.09</v>
      </c>
      <c r="C35" s="112">
        <f t="shared" si="6"/>
        <v>27585.54</v>
      </c>
      <c r="D35" s="112">
        <f t="shared" si="6"/>
        <v>34685.8</v>
      </c>
      <c r="E35" s="112">
        <f t="shared" si="6"/>
        <v>42621.36</v>
      </c>
      <c r="F35" s="112">
        <f t="shared" si="6"/>
        <v>39865.53</v>
      </c>
      <c r="G35" s="112">
        <f t="shared" si="6"/>
        <v>32984.87</v>
      </c>
      <c r="H35" s="112">
        <f t="shared" si="6"/>
        <v>24629.58</v>
      </c>
      <c r="I35" s="112">
        <f t="shared" si="6"/>
        <v>21259.75</v>
      </c>
      <c r="J35" s="112">
        <f t="shared" si="6"/>
        <v>30217.49</v>
      </c>
      <c r="K35" s="112">
        <f t="shared" si="6"/>
        <v>33364.21</v>
      </c>
      <c r="L35" s="112">
        <f t="shared" si="6"/>
        <v>32518.7</v>
      </c>
      <c r="M35" s="112">
        <f t="shared" si="6"/>
        <v>30918.82</v>
      </c>
      <c r="N35" s="112">
        <f t="shared" si="6"/>
        <v>27611.58</v>
      </c>
      <c r="O35" s="112">
        <f t="shared" si="6"/>
        <v>31873.46</v>
      </c>
      <c r="P35" s="112">
        <f t="shared" si="6"/>
        <v>28139.86</v>
      </c>
      <c r="Q35" s="112">
        <f t="shared" si="6"/>
        <v>30947.94</v>
      </c>
      <c r="R35" s="112">
        <f t="shared" si="6"/>
        <v>26715.76</v>
      </c>
      <c r="S35" s="112">
        <f t="shared" si="6"/>
        <v>61497.68</v>
      </c>
      <c r="T35" s="112">
        <f t="shared" si="6"/>
        <v>52560.97</v>
      </c>
      <c r="U35" s="112">
        <f t="shared" si="6"/>
        <v>35938.41</v>
      </c>
      <c r="V35" s="112">
        <f t="shared" si="6"/>
        <v>32995.59</v>
      </c>
      <c r="W35" s="112">
        <f t="shared" si="6"/>
        <v>32983.5</v>
      </c>
      <c r="X35" s="112">
        <f t="shared" si="6"/>
        <v>27962.43</v>
      </c>
      <c r="Y35" s="112">
        <f t="shared" si="6"/>
        <v>37274.96</v>
      </c>
      <c r="Z35" s="112">
        <f t="shared" si="6"/>
        <v>33904.18</v>
      </c>
      <c r="AA35" s="112">
        <f t="shared" si="6"/>
        <v>28226.52</v>
      </c>
      <c r="AB35" s="112">
        <f t="shared" si="6"/>
        <v>39224.02</v>
      </c>
      <c r="AC35" s="112">
        <f t="shared" si="6"/>
        <v>42493.91</v>
      </c>
      <c r="AD35" s="112">
        <f t="shared" si="6"/>
        <v>40975.08</v>
      </c>
      <c r="AE35" s="112">
        <f t="shared" si="6"/>
        <v>34508.03</v>
      </c>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row>
    <row r="37">
      <c r="A37" s="41" t="s">
        <v>128</v>
      </c>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row>
    <row r="38" outlineLevel="1">
      <c r="A38" s="11" t="s">
        <v>130</v>
      </c>
      <c r="B38" s="115">
        <f>'App - P&amp;L'!B90</f>
        <v>0</v>
      </c>
      <c r="C38" s="115">
        <f>'App - P&amp;L'!C90</f>
        <v>0</v>
      </c>
      <c r="D38" s="115">
        <f>'App - P&amp;L'!D90</f>
        <v>0</v>
      </c>
      <c r="E38" s="115">
        <f>'App - P&amp;L'!E90</f>
        <v>0</v>
      </c>
      <c r="F38" s="115">
        <f>'App - P&amp;L'!F90</f>
        <v>0</v>
      </c>
      <c r="G38" s="115">
        <f>'App - P&amp;L'!G90</f>
        <v>2.3605</v>
      </c>
      <c r="H38" s="115">
        <f>'App - P&amp;L'!H90</f>
        <v>2.352</v>
      </c>
      <c r="I38" s="115">
        <f>'App - P&amp;L'!I90</f>
        <v>0</v>
      </c>
      <c r="J38" s="115">
        <f>'App - P&amp;L'!J90</f>
        <v>0</v>
      </c>
      <c r="K38" s="115">
        <f>'App - P&amp;L'!K90</f>
        <v>0</v>
      </c>
      <c r="L38" s="115">
        <f>'App - P&amp;L'!L90</f>
        <v>0</v>
      </c>
      <c r="M38" s="115">
        <f>'App - P&amp;L'!M90</f>
        <v>0</v>
      </c>
      <c r="N38" s="115">
        <f>'App - P&amp;L'!N90</f>
        <v>0</v>
      </c>
      <c r="O38" s="115">
        <f>'App - P&amp;L'!O90</f>
        <v>0</v>
      </c>
      <c r="P38" s="115">
        <f>'App - P&amp;L'!P90</f>
        <v>29.316</v>
      </c>
      <c r="Q38" s="115">
        <f>'App - P&amp;L'!Q90</f>
        <v>10.3215</v>
      </c>
      <c r="R38" s="115">
        <f>'App - P&amp;L'!R90</f>
        <v>29.2975</v>
      </c>
      <c r="S38" s="115">
        <f>'App - P&amp;L'!S90</f>
        <v>2088.9635</v>
      </c>
      <c r="T38" s="115">
        <f>'App - P&amp;L'!T90</f>
        <v>1599.6405</v>
      </c>
      <c r="U38" s="115">
        <f>'App - P&amp;L'!U90</f>
        <v>1160.8675</v>
      </c>
      <c r="V38" s="115">
        <f>'App - P&amp;L'!V90</f>
        <v>929.7775</v>
      </c>
      <c r="W38" s="115">
        <f>'App - P&amp;L'!W90</f>
        <v>671.551</v>
      </c>
      <c r="X38" s="115">
        <f>'App - P&amp;L'!X90</f>
        <v>581.574</v>
      </c>
      <c r="Y38" s="115">
        <f>'App - P&amp;L'!Y90</f>
        <v>492.992</v>
      </c>
      <c r="Z38" s="115">
        <f>'App - P&amp;L'!Z90</f>
        <v>395.5845</v>
      </c>
      <c r="AA38" s="115">
        <f>'App - P&amp;L'!AA90</f>
        <v>472.611</v>
      </c>
      <c r="AB38" s="115">
        <f>'App - P&amp;L'!AB90</f>
        <v>372.801</v>
      </c>
      <c r="AC38" s="115">
        <f>'App - P&amp;L'!AC90</f>
        <v>291.7945</v>
      </c>
      <c r="AD38" s="115">
        <f>'App - P&amp;L'!AD90</f>
        <v>1700.515</v>
      </c>
      <c r="AE38" s="115">
        <f>'App - P&amp;L'!AE90</f>
        <v>2312.095</v>
      </c>
    </row>
    <row r="39" outlineLevel="1">
      <c r="A39" s="11" t="s">
        <v>133</v>
      </c>
      <c r="B39" s="115">
        <f>'App - P&amp;L'!B91</f>
        <v>0</v>
      </c>
      <c r="C39" s="115">
        <f>'App - P&amp;L'!C91</f>
        <v>0</v>
      </c>
      <c r="D39" s="115">
        <f>'App - P&amp;L'!D91</f>
        <v>0</v>
      </c>
      <c r="E39" s="115">
        <f>'App - P&amp;L'!E91</f>
        <v>0</v>
      </c>
      <c r="F39" s="115">
        <f>'App - P&amp;L'!F91</f>
        <v>0</v>
      </c>
      <c r="G39" s="115">
        <f>'App - P&amp;L'!G91</f>
        <v>0</v>
      </c>
      <c r="H39" s="115">
        <f>'App - P&amp;L'!H91</f>
        <v>0</v>
      </c>
      <c r="I39" s="115">
        <f>'App - P&amp;L'!I91</f>
        <v>0</v>
      </c>
      <c r="J39" s="115">
        <f>'App - P&amp;L'!J91</f>
        <v>0</v>
      </c>
      <c r="K39" s="115">
        <f>'App - P&amp;L'!K91</f>
        <v>0</v>
      </c>
      <c r="L39" s="115">
        <f>'App - P&amp;L'!L91</f>
        <v>0</v>
      </c>
      <c r="M39" s="115">
        <f>'App - P&amp;L'!M91</f>
        <v>0</v>
      </c>
      <c r="N39" s="115">
        <f>'App - P&amp;L'!N91</f>
        <v>0</v>
      </c>
      <c r="O39" s="115">
        <f>'App - P&amp;L'!O91</f>
        <v>0</v>
      </c>
      <c r="P39" s="115">
        <f>'App - P&amp;L'!P91</f>
        <v>0</v>
      </c>
      <c r="Q39" s="115">
        <f>'App - P&amp;L'!Q91</f>
        <v>-12.12</v>
      </c>
      <c r="R39" s="115">
        <f>'App - P&amp;L'!R91</f>
        <v>0</v>
      </c>
      <c r="S39" s="115">
        <f>'App - P&amp;L'!S91</f>
        <v>3871.645429</v>
      </c>
      <c r="T39" s="115">
        <f>'App - P&amp;L'!T91</f>
        <v>4479.106359</v>
      </c>
      <c r="U39" s="115">
        <f>'App - P&amp;L'!U91</f>
        <v>2759.9015</v>
      </c>
      <c r="V39" s="115">
        <f>'App - P&amp;L'!V91</f>
        <v>2173.653727</v>
      </c>
      <c r="W39" s="115">
        <f>'App - P&amp;L'!W91</f>
        <v>1454.574054</v>
      </c>
      <c r="X39" s="115">
        <f>'App - P&amp;L'!X91</f>
        <v>1515.899757</v>
      </c>
      <c r="Y39" s="115">
        <f>'App - P&amp;L'!Y91</f>
        <v>1379.984861</v>
      </c>
      <c r="Z39" s="115">
        <f>'App - P&amp;L'!Z91</f>
        <v>950.8794653</v>
      </c>
      <c r="AA39" s="115">
        <f>'App - P&amp;L'!AA91</f>
        <v>979.7432557</v>
      </c>
      <c r="AB39" s="115">
        <f>'App - P&amp;L'!AB91</f>
        <v>659.0030733</v>
      </c>
      <c r="AC39" s="115">
        <f>'App - P&amp;L'!AC91</f>
        <v>717.0317071</v>
      </c>
      <c r="AD39" s="115">
        <f>'App - P&amp;L'!AD91</f>
        <v>3475.973899</v>
      </c>
      <c r="AE39" s="115">
        <f>'App - P&amp;L'!AE91</f>
        <v>3232.286141</v>
      </c>
    </row>
    <row r="40" outlineLevel="1">
      <c r="A40" s="11" t="s">
        <v>136</v>
      </c>
      <c r="B40" s="115">
        <f>'App - P&amp;L'!B67</f>
        <v>0</v>
      </c>
      <c r="C40" s="115">
        <f>'App - P&amp;L'!C67</f>
        <v>0</v>
      </c>
      <c r="D40" s="115">
        <f>'App - P&amp;L'!D67</f>
        <v>0</v>
      </c>
      <c r="E40" s="115">
        <f>'App - P&amp;L'!E67</f>
        <v>0</v>
      </c>
      <c r="F40" s="115">
        <f>'App - P&amp;L'!F67</f>
        <v>0</v>
      </c>
      <c r="G40" s="115">
        <f>'App - P&amp;L'!G67</f>
        <v>0.5295</v>
      </c>
      <c r="H40" s="115">
        <f>'App - P&amp;L'!H67</f>
        <v>0.528</v>
      </c>
      <c r="I40" s="115">
        <f>'App - P&amp;L'!I67</f>
        <v>0</v>
      </c>
      <c r="J40" s="115">
        <f>'App - P&amp;L'!J67</f>
        <v>0</v>
      </c>
      <c r="K40" s="115">
        <f>'App - P&amp;L'!K67</f>
        <v>0</v>
      </c>
      <c r="L40" s="115">
        <f>'App - P&amp;L'!L67</f>
        <v>0</v>
      </c>
      <c r="M40" s="115">
        <f>'App - P&amp;L'!M67</f>
        <v>0</v>
      </c>
      <c r="N40" s="115">
        <f>'App - P&amp;L'!N67</f>
        <v>0</v>
      </c>
      <c r="O40" s="115">
        <f>'App - P&amp;L'!O67</f>
        <v>0</v>
      </c>
      <c r="P40" s="115">
        <f>'App - P&amp;L'!P67</f>
        <v>5.274</v>
      </c>
      <c r="Q40" s="115">
        <f>'App - P&amp;L'!Q67</f>
        <v>2.3985</v>
      </c>
      <c r="R40" s="115">
        <f>'App - P&amp;L'!R67</f>
        <v>5.2725</v>
      </c>
      <c r="S40" s="115">
        <f>'App - P&amp;L'!S67</f>
        <v>2116.454541</v>
      </c>
      <c r="T40" s="115">
        <f>'App - P&amp;L'!T67</f>
        <v>2273.225082</v>
      </c>
      <c r="U40" s="115">
        <f>'App - P&amp;L'!U67</f>
        <v>1430.311714</v>
      </c>
      <c r="V40" s="115">
        <f>'App - P&amp;L'!V67</f>
        <v>1127.92124</v>
      </c>
      <c r="W40" s="115">
        <f>'App - P&amp;L'!W67</f>
        <v>761.0850231</v>
      </c>
      <c r="X40" s="115">
        <f>'App - P&amp;L'!X67</f>
        <v>776.7101817</v>
      </c>
      <c r="Y40" s="115">
        <f>'App - P&amp;L'!Y67</f>
        <v>696.6757977</v>
      </c>
      <c r="Z40" s="115">
        <f>'App - P&amp;L'!Z67</f>
        <v>496.2124137</v>
      </c>
      <c r="AA40" s="115">
        <f>'App - P&amp;L'!AA67</f>
        <v>520.9003953</v>
      </c>
      <c r="AB40" s="115">
        <f>'App - P&amp;L'!AB67</f>
        <v>358.4717457</v>
      </c>
      <c r="AC40" s="115">
        <f>'App - P&amp;L'!AC67</f>
        <v>371.2719459</v>
      </c>
      <c r="AD40" s="115">
        <f>'App - P&amp;L'!AD67</f>
        <v>1818.865243</v>
      </c>
      <c r="AE40" s="115">
        <f>'App - P&amp;L'!AE67</f>
        <v>1871.447632</v>
      </c>
    </row>
    <row r="41" outlineLevel="1">
      <c r="A41" s="11" t="s">
        <v>139</v>
      </c>
      <c r="B41" s="115">
        <f>'App - P&amp;L'!B68</f>
        <v>0</v>
      </c>
      <c r="C41" s="115">
        <f>'App - P&amp;L'!C68</f>
        <v>0</v>
      </c>
      <c r="D41" s="115">
        <f>'App - P&amp;L'!D68</f>
        <v>0</v>
      </c>
      <c r="E41" s="115">
        <f>'App - P&amp;L'!E68</f>
        <v>0</v>
      </c>
      <c r="F41" s="115">
        <f>'App - P&amp;L'!F68</f>
        <v>0</v>
      </c>
      <c r="G41" s="115">
        <f>'App - P&amp;L'!G68</f>
        <v>0.64</v>
      </c>
      <c r="H41" s="115">
        <f>'App - P&amp;L'!H68</f>
        <v>0.64</v>
      </c>
      <c r="I41" s="115">
        <f>'App - P&amp;L'!I68</f>
        <v>0</v>
      </c>
      <c r="J41" s="115">
        <f>'App - P&amp;L'!J68</f>
        <v>0</v>
      </c>
      <c r="K41" s="115">
        <f>'App - P&amp;L'!K68</f>
        <v>0</v>
      </c>
      <c r="L41" s="115">
        <f>'App - P&amp;L'!L68</f>
        <v>0</v>
      </c>
      <c r="M41" s="115">
        <f>'App - P&amp;L'!M68</f>
        <v>0</v>
      </c>
      <c r="N41" s="115">
        <f>'App - P&amp;L'!N68</f>
        <v>0</v>
      </c>
      <c r="O41" s="115">
        <f>'App - P&amp;L'!O68</f>
        <v>0</v>
      </c>
      <c r="P41" s="115">
        <f>'App - P&amp;L'!P68</f>
        <v>0.57</v>
      </c>
      <c r="Q41" s="115">
        <f>'App - P&amp;L'!Q68</f>
        <v>15.39</v>
      </c>
      <c r="R41" s="115">
        <f>'App - P&amp;L'!R68</f>
        <v>0.58</v>
      </c>
      <c r="S41" s="115">
        <f>'App - P&amp;L'!S68</f>
        <v>283.94</v>
      </c>
      <c r="T41" s="115">
        <f>'App - P&amp;L'!T68</f>
        <v>222.31</v>
      </c>
      <c r="U41" s="115">
        <f>'App - P&amp;L'!U68</f>
        <v>126.1</v>
      </c>
      <c r="V41" s="115">
        <f>'App - P&amp;L'!V68</f>
        <v>110.96</v>
      </c>
      <c r="W41" s="115">
        <f>'App - P&amp;L'!W68</f>
        <v>64.27</v>
      </c>
      <c r="X41" s="115">
        <f>'App - P&amp;L'!X68</f>
        <v>87.57</v>
      </c>
      <c r="Y41" s="115">
        <f>'App - P&amp;L'!Y68</f>
        <v>65.66</v>
      </c>
      <c r="Z41" s="115">
        <f>'App - P&amp;L'!Z68</f>
        <v>60.15</v>
      </c>
      <c r="AA41" s="115">
        <f>'App - P&amp;L'!AA68</f>
        <v>57.81</v>
      </c>
      <c r="AB41" s="115">
        <f>'App - P&amp;L'!AB68</f>
        <v>33.56</v>
      </c>
      <c r="AC41" s="115">
        <f>'App - P&amp;L'!AC68</f>
        <v>37.56</v>
      </c>
      <c r="AD41" s="115">
        <f>'App - P&amp;L'!AD68</f>
        <v>103.78</v>
      </c>
      <c r="AE41" s="115">
        <f>'App - P&amp;L'!AE68</f>
        <v>253.18</v>
      </c>
    </row>
    <row r="42">
      <c r="A42" s="111" t="s">
        <v>127</v>
      </c>
      <c r="B42" s="146">
        <f t="shared" ref="B42:AE42" si="7">sum(B38:B41)</f>
        <v>0</v>
      </c>
      <c r="C42" s="146">
        <f t="shared" si="7"/>
        <v>0</v>
      </c>
      <c r="D42" s="146">
        <f t="shared" si="7"/>
        <v>0</v>
      </c>
      <c r="E42" s="146">
        <f t="shared" si="7"/>
        <v>0</v>
      </c>
      <c r="F42" s="146">
        <f t="shared" si="7"/>
        <v>0</v>
      </c>
      <c r="G42" s="146">
        <f t="shared" si="7"/>
        <v>3.53</v>
      </c>
      <c r="H42" s="146">
        <f t="shared" si="7"/>
        <v>3.52</v>
      </c>
      <c r="I42" s="146">
        <f t="shared" si="7"/>
        <v>0</v>
      </c>
      <c r="J42" s="146">
        <f t="shared" si="7"/>
        <v>0</v>
      </c>
      <c r="K42" s="146">
        <f t="shared" si="7"/>
        <v>0</v>
      </c>
      <c r="L42" s="146">
        <f t="shared" si="7"/>
        <v>0</v>
      </c>
      <c r="M42" s="146">
        <f t="shared" si="7"/>
        <v>0</v>
      </c>
      <c r="N42" s="146">
        <f t="shared" si="7"/>
        <v>0</v>
      </c>
      <c r="O42" s="146">
        <f t="shared" si="7"/>
        <v>0</v>
      </c>
      <c r="P42" s="146">
        <f t="shared" si="7"/>
        <v>35.16</v>
      </c>
      <c r="Q42" s="146">
        <f t="shared" si="7"/>
        <v>15.99</v>
      </c>
      <c r="R42" s="146">
        <f t="shared" si="7"/>
        <v>35.15</v>
      </c>
      <c r="S42" s="146">
        <f t="shared" si="7"/>
        <v>8361.00347</v>
      </c>
      <c r="T42" s="146">
        <f t="shared" si="7"/>
        <v>8574.281941</v>
      </c>
      <c r="U42" s="146">
        <f t="shared" si="7"/>
        <v>5477.180714</v>
      </c>
      <c r="V42" s="146">
        <f t="shared" si="7"/>
        <v>4342.312467</v>
      </c>
      <c r="W42" s="146">
        <f t="shared" si="7"/>
        <v>2951.480077</v>
      </c>
      <c r="X42" s="146">
        <f t="shared" si="7"/>
        <v>2961.753939</v>
      </c>
      <c r="Y42" s="146">
        <f t="shared" si="7"/>
        <v>2635.312659</v>
      </c>
      <c r="Z42" s="146">
        <f t="shared" si="7"/>
        <v>1902.826379</v>
      </c>
      <c r="AA42" s="146">
        <f t="shared" si="7"/>
        <v>2031.064651</v>
      </c>
      <c r="AB42" s="146">
        <f t="shared" si="7"/>
        <v>1423.835819</v>
      </c>
      <c r="AC42" s="146">
        <f t="shared" si="7"/>
        <v>1417.658153</v>
      </c>
      <c r="AD42" s="146">
        <f t="shared" si="7"/>
        <v>7099.134142</v>
      </c>
      <c r="AE42" s="146">
        <f t="shared" si="7"/>
        <v>7669.008773</v>
      </c>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row>
    <row r="44">
      <c r="A44" s="41" t="s">
        <v>149</v>
      </c>
      <c r="B44" s="148">
        <v>80.0</v>
      </c>
      <c r="C44" s="148">
        <v>113.0</v>
      </c>
      <c r="D44" s="148">
        <v>139.0</v>
      </c>
      <c r="E44" s="148">
        <v>168.0</v>
      </c>
      <c r="F44" s="148">
        <v>153.0</v>
      </c>
      <c r="G44" s="148">
        <v>125.0</v>
      </c>
      <c r="H44" s="148">
        <v>81.0</v>
      </c>
      <c r="I44" s="148">
        <v>53.0</v>
      </c>
      <c r="J44" s="148">
        <v>64.0</v>
      </c>
      <c r="K44" s="148">
        <v>93.0</v>
      </c>
      <c r="L44" s="148">
        <v>86.0</v>
      </c>
      <c r="M44" s="148">
        <v>69.0</v>
      </c>
      <c r="N44" s="148">
        <v>66.0</v>
      </c>
      <c r="O44" s="148">
        <v>79.0</v>
      </c>
      <c r="P44" s="148">
        <v>93.0</v>
      </c>
      <c r="Q44" s="148">
        <v>86.0</v>
      </c>
      <c r="R44" s="148">
        <v>83.0</v>
      </c>
      <c r="S44" s="148">
        <v>594.0</v>
      </c>
      <c r="T44" s="148">
        <v>310.0</v>
      </c>
      <c r="U44" s="148">
        <v>175.0</v>
      </c>
      <c r="V44" s="148">
        <v>139.0</v>
      </c>
      <c r="W44" s="148">
        <v>122.0</v>
      </c>
      <c r="X44" s="148">
        <v>125.0</v>
      </c>
      <c r="Y44" s="148">
        <v>135.0</v>
      </c>
      <c r="Z44" s="148">
        <v>123.0</v>
      </c>
      <c r="AA44" s="148">
        <v>100.0</v>
      </c>
      <c r="AB44" s="148">
        <v>120.0</v>
      </c>
      <c r="AC44" s="148">
        <v>109.0</v>
      </c>
      <c r="AD44" s="148">
        <v>103.0</v>
      </c>
      <c r="AE44" s="148">
        <v>103.0</v>
      </c>
    </row>
    <row r="45" outlineLevel="1">
      <c r="A45" s="53" t="s">
        <v>151</v>
      </c>
      <c r="B45" s="151">
        <v>65.0</v>
      </c>
      <c r="C45" s="151">
        <v>98.0</v>
      </c>
      <c r="D45" s="151">
        <v>117.0</v>
      </c>
      <c r="E45" s="151">
        <v>151.0</v>
      </c>
      <c r="F45" s="151">
        <v>140.0</v>
      </c>
      <c r="G45" s="151">
        <v>107.0</v>
      </c>
      <c r="H45" s="151">
        <v>70.0</v>
      </c>
      <c r="I45" s="151">
        <v>49.0</v>
      </c>
      <c r="J45" s="151">
        <v>59.0</v>
      </c>
      <c r="K45" s="151">
        <v>76.0</v>
      </c>
      <c r="L45" s="151">
        <v>68.0</v>
      </c>
      <c r="M45" s="151">
        <v>61.0</v>
      </c>
      <c r="N45" s="151">
        <v>63.0</v>
      </c>
      <c r="O45" s="151">
        <v>76.0</v>
      </c>
      <c r="P45" s="151">
        <v>76.0</v>
      </c>
      <c r="Q45" s="151">
        <v>69.0</v>
      </c>
      <c r="R45" s="151">
        <v>75.0</v>
      </c>
      <c r="S45" s="151">
        <v>86.0</v>
      </c>
      <c r="T45" s="151">
        <v>74.0</v>
      </c>
      <c r="U45" s="151">
        <v>65.0</v>
      </c>
      <c r="V45" s="151">
        <v>62.0</v>
      </c>
      <c r="W45" s="151">
        <v>59.0</v>
      </c>
      <c r="X45" s="151">
        <v>58.0</v>
      </c>
      <c r="Y45" s="151">
        <v>70.0</v>
      </c>
      <c r="Z45" s="151">
        <v>72.0</v>
      </c>
      <c r="AA45" s="151">
        <v>51.0</v>
      </c>
      <c r="AB45" s="151">
        <v>94.0</v>
      </c>
      <c r="AC45" s="151">
        <v>69.0</v>
      </c>
      <c r="AD45" s="151">
        <v>73.0</v>
      </c>
      <c r="AE45" s="151">
        <v>78.0</v>
      </c>
    </row>
    <row r="46" outlineLevel="1">
      <c r="A46" s="53" t="s">
        <v>153</v>
      </c>
      <c r="B46" s="151">
        <v>45.0</v>
      </c>
      <c r="C46" s="151">
        <v>90.0</v>
      </c>
      <c r="D46" s="151">
        <v>124.0</v>
      </c>
      <c r="E46" s="151">
        <v>107.0</v>
      </c>
      <c r="F46" s="151">
        <v>97.0</v>
      </c>
      <c r="G46" s="151">
        <v>82.0</v>
      </c>
      <c r="H46" s="151">
        <v>64.0</v>
      </c>
      <c r="I46" s="151">
        <v>37.0</v>
      </c>
      <c r="J46" s="151">
        <v>42.0</v>
      </c>
      <c r="K46" s="151">
        <v>74.0</v>
      </c>
      <c r="L46" s="151">
        <v>74.0</v>
      </c>
      <c r="M46" s="151">
        <v>49.0</v>
      </c>
      <c r="N46" s="151">
        <v>45.0</v>
      </c>
      <c r="O46" s="151">
        <v>67.0</v>
      </c>
      <c r="P46" s="151">
        <v>57.0</v>
      </c>
      <c r="Q46" s="151">
        <v>71.0</v>
      </c>
      <c r="R46" s="151">
        <v>54.0</v>
      </c>
      <c r="S46" s="151">
        <v>730.0</v>
      </c>
      <c r="T46" s="151">
        <v>388.0</v>
      </c>
      <c r="U46" s="151">
        <v>189.0</v>
      </c>
      <c r="V46" s="151">
        <v>157.0</v>
      </c>
      <c r="W46" s="151">
        <v>130.0</v>
      </c>
      <c r="X46" s="151">
        <v>137.0</v>
      </c>
      <c r="Y46" s="151">
        <v>155.0</v>
      </c>
      <c r="Z46" s="151">
        <v>126.0</v>
      </c>
      <c r="AA46" s="151">
        <v>100.0</v>
      </c>
      <c r="AB46" s="151">
        <v>117.0</v>
      </c>
      <c r="AC46" s="151">
        <v>120.0</v>
      </c>
      <c r="AD46" s="151">
        <v>99.0</v>
      </c>
      <c r="AE46" s="151">
        <v>92.0</v>
      </c>
    </row>
    <row r="47">
      <c r="A47" s="41" t="s">
        <v>120</v>
      </c>
      <c r="B47" s="153">
        <v>14.0</v>
      </c>
      <c r="C47" s="153">
        <v>8.0</v>
      </c>
      <c r="D47" s="153">
        <v>20.0</v>
      </c>
      <c r="E47" s="153">
        <v>24.0</v>
      </c>
      <c r="F47" s="153">
        <v>16.0</v>
      </c>
      <c r="G47" s="153">
        <v>21.0</v>
      </c>
      <c r="H47" s="153">
        <v>12.0</v>
      </c>
      <c r="I47" s="153">
        <v>11.0</v>
      </c>
      <c r="J47" s="153">
        <v>29.0</v>
      </c>
      <c r="K47" s="153">
        <v>18.0</v>
      </c>
      <c r="L47" s="153">
        <v>22.0</v>
      </c>
      <c r="M47" s="153">
        <v>28.0</v>
      </c>
      <c r="N47" s="153">
        <v>26.0</v>
      </c>
      <c r="O47" s="153">
        <v>28.0</v>
      </c>
      <c r="P47" s="153">
        <v>15.0</v>
      </c>
      <c r="Q47" s="153">
        <v>21.0</v>
      </c>
      <c r="R47" s="153">
        <v>25.0</v>
      </c>
      <c r="S47" s="153">
        <v>27.0</v>
      </c>
      <c r="T47" s="153">
        <v>40.0</v>
      </c>
      <c r="U47" s="153">
        <v>36.0</v>
      </c>
      <c r="V47" s="153">
        <v>35.0</v>
      </c>
      <c r="W47" s="153">
        <v>31.0</v>
      </c>
      <c r="X47" s="153">
        <v>25.0</v>
      </c>
      <c r="Y47" s="154">
        <v>34.0</v>
      </c>
      <c r="Z47" s="154">
        <v>32.0</v>
      </c>
      <c r="AA47" s="154">
        <v>38.0</v>
      </c>
      <c r="AB47" s="153">
        <v>32.0</v>
      </c>
      <c r="AC47" s="153">
        <v>41.0</v>
      </c>
      <c r="AD47" s="153">
        <v>33.0</v>
      </c>
      <c r="AE47" s="153">
        <v>30.0</v>
      </c>
    </row>
    <row r="48" outlineLevel="1">
      <c r="A48" s="53" t="s">
        <v>151</v>
      </c>
      <c r="B48" s="157">
        <v>14.0</v>
      </c>
      <c r="C48" s="158">
        <v>8.0</v>
      </c>
      <c r="D48" s="158">
        <v>20.0</v>
      </c>
      <c r="E48" s="158">
        <v>24.0</v>
      </c>
      <c r="F48" s="157">
        <v>16.0</v>
      </c>
      <c r="G48" s="158">
        <v>21.0</v>
      </c>
      <c r="H48" s="157">
        <v>12.0</v>
      </c>
      <c r="I48" s="157">
        <v>11.0</v>
      </c>
      <c r="J48" s="158">
        <v>29.0</v>
      </c>
      <c r="K48" s="157">
        <v>19.0</v>
      </c>
      <c r="L48" s="157">
        <v>22.0</v>
      </c>
      <c r="M48" s="158">
        <v>28.0</v>
      </c>
      <c r="N48" s="157">
        <v>26.0</v>
      </c>
      <c r="O48" s="158">
        <v>28.0</v>
      </c>
      <c r="P48" s="157">
        <v>15.0</v>
      </c>
      <c r="Q48" s="157">
        <v>23.0</v>
      </c>
      <c r="R48" s="157">
        <v>26.0</v>
      </c>
      <c r="S48" s="157">
        <v>27.0</v>
      </c>
      <c r="T48" s="158">
        <v>40.0</v>
      </c>
      <c r="U48" s="157">
        <v>36.0</v>
      </c>
      <c r="V48" s="157">
        <v>36.0</v>
      </c>
      <c r="W48" s="158">
        <v>33.0</v>
      </c>
      <c r="X48" s="157">
        <v>26.0</v>
      </c>
      <c r="Y48" s="158">
        <v>34.0</v>
      </c>
      <c r="Z48" s="157">
        <v>32.0</v>
      </c>
      <c r="AA48" s="157">
        <v>38.0</v>
      </c>
      <c r="AB48" s="158">
        <v>33.0</v>
      </c>
      <c r="AC48" s="158">
        <v>41.0</v>
      </c>
      <c r="AD48" s="158">
        <v>33.0</v>
      </c>
      <c r="AE48" s="157">
        <v>30.0</v>
      </c>
    </row>
    <row r="49" outlineLevel="1">
      <c r="A49" s="53" t="s">
        <v>153</v>
      </c>
      <c r="B49" s="158">
        <v>0.0</v>
      </c>
      <c r="C49" s="158">
        <v>0.0</v>
      </c>
      <c r="D49" s="158">
        <v>0.0</v>
      </c>
      <c r="E49" s="158">
        <v>0.0</v>
      </c>
      <c r="F49" s="158">
        <v>0.0</v>
      </c>
      <c r="G49" s="158">
        <v>0.0</v>
      </c>
      <c r="H49" s="158">
        <v>0.0</v>
      </c>
      <c r="I49" s="158">
        <v>0.0</v>
      </c>
      <c r="J49" s="158">
        <v>0.0</v>
      </c>
      <c r="K49" s="158">
        <v>0.0</v>
      </c>
      <c r="L49" s="158">
        <v>0.0</v>
      </c>
      <c r="M49" s="158">
        <v>0.0</v>
      </c>
      <c r="N49" s="158">
        <v>0.0</v>
      </c>
      <c r="O49" s="158">
        <v>0.0</v>
      </c>
      <c r="P49" s="158">
        <v>0.0</v>
      </c>
      <c r="Q49" s="158">
        <v>0.0</v>
      </c>
      <c r="R49" s="158">
        <v>0.0</v>
      </c>
      <c r="S49" s="158">
        <v>0.0</v>
      </c>
      <c r="T49" s="158">
        <v>0.0</v>
      </c>
      <c r="U49" s="158">
        <v>0.0</v>
      </c>
      <c r="V49" s="158">
        <v>0.0</v>
      </c>
      <c r="W49" s="158">
        <v>0.0</v>
      </c>
      <c r="X49" s="158">
        <v>0.0</v>
      </c>
      <c r="Y49" s="158">
        <v>0.0</v>
      </c>
      <c r="Z49" s="158">
        <v>0.0</v>
      </c>
      <c r="AA49" s="158">
        <v>0.0</v>
      </c>
      <c r="AB49" s="158">
        <v>0.0</v>
      </c>
      <c r="AC49" s="158">
        <v>0.0</v>
      </c>
      <c r="AD49" s="158">
        <v>0.0</v>
      </c>
      <c r="AE49" s="158">
        <v>0.0</v>
      </c>
    </row>
    <row r="50">
      <c r="A50" s="84" t="s">
        <v>160</v>
      </c>
      <c r="B50" s="161">
        <f t="shared" ref="B50:AE50" si="8">SUM(B51:B52)</f>
        <v>0</v>
      </c>
      <c r="C50" s="161">
        <f t="shared" si="8"/>
        <v>0</v>
      </c>
      <c r="D50" s="161">
        <f t="shared" si="8"/>
        <v>0</v>
      </c>
      <c r="E50" s="161">
        <f t="shared" si="8"/>
        <v>0</v>
      </c>
      <c r="F50" s="161">
        <f t="shared" si="8"/>
        <v>0</v>
      </c>
      <c r="G50" s="161">
        <f t="shared" si="8"/>
        <v>0</v>
      </c>
      <c r="H50" s="161">
        <f t="shared" si="8"/>
        <v>0</v>
      </c>
      <c r="I50" s="161">
        <f t="shared" si="8"/>
        <v>0</v>
      </c>
      <c r="J50" s="161">
        <f t="shared" si="8"/>
        <v>0</v>
      </c>
      <c r="K50" s="161">
        <f t="shared" si="8"/>
        <v>0</v>
      </c>
      <c r="L50" s="161">
        <f t="shared" si="8"/>
        <v>0</v>
      </c>
      <c r="M50" s="161">
        <f t="shared" si="8"/>
        <v>0</v>
      </c>
      <c r="N50" s="161">
        <f t="shared" si="8"/>
        <v>0</v>
      </c>
      <c r="O50" s="161">
        <f t="shared" si="8"/>
        <v>0</v>
      </c>
      <c r="P50" s="161">
        <f t="shared" si="8"/>
        <v>0</v>
      </c>
      <c r="Q50" s="161">
        <f t="shared" si="8"/>
        <v>0</v>
      </c>
      <c r="R50" s="163">
        <f t="shared" si="8"/>
        <v>0</v>
      </c>
      <c r="S50" s="161">
        <f t="shared" si="8"/>
        <v>0</v>
      </c>
      <c r="T50" s="163">
        <f t="shared" si="8"/>
        <v>0</v>
      </c>
      <c r="U50" s="161">
        <f t="shared" si="8"/>
        <v>0</v>
      </c>
      <c r="V50" s="161">
        <f t="shared" si="8"/>
        <v>0</v>
      </c>
      <c r="W50" s="161">
        <f t="shared" si="8"/>
        <v>0</v>
      </c>
      <c r="X50" s="161">
        <f t="shared" si="8"/>
        <v>0</v>
      </c>
      <c r="Y50" s="161">
        <f t="shared" si="8"/>
        <v>0</v>
      </c>
      <c r="Z50" s="161">
        <f t="shared" si="8"/>
        <v>0</v>
      </c>
      <c r="AA50" s="161">
        <f t="shared" si="8"/>
        <v>0</v>
      </c>
      <c r="AB50" s="161">
        <f t="shared" si="8"/>
        <v>0</v>
      </c>
      <c r="AC50" s="161">
        <f t="shared" si="8"/>
        <v>38</v>
      </c>
      <c r="AD50" s="161">
        <f t="shared" si="8"/>
        <v>26</v>
      </c>
      <c r="AE50" s="161">
        <f t="shared" si="8"/>
        <v>5</v>
      </c>
    </row>
    <row r="51" outlineLevel="1">
      <c r="A51" s="53" t="s">
        <v>164</v>
      </c>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21">
        <v>38.0</v>
      </c>
      <c r="AD51" s="21">
        <v>26.0</v>
      </c>
      <c r="AE51" s="21">
        <v>5.0</v>
      </c>
    </row>
    <row r="52" outlineLevel="1">
      <c r="A52" s="170" t="s">
        <v>166</v>
      </c>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row>
    <row r="53" collapsed="1">
      <c r="A53" s="53" t="s">
        <v>169</v>
      </c>
      <c r="B53" s="172">
        <v>0.0</v>
      </c>
      <c r="C53" s="172">
        <v>0.0</v>
      </c>
      <c r="D53" s="172">
        <v>0.0</v>
      </c>
      <c r="E53" s="172">
        <v>0.0</v>
      </c>
      <c r="F53" s="172">
        <v>0.0</v>
      </c>
      <c r="G53" s="172">
        <v>4.0</v>
      </c>
      <c r="H53" s="172">
        <v>6.0</v>
      </c>
      <c r="I53" s="172">
        <v>11.0</v>
      </c>
      <c r="J53" s="172">
        <v>13.0</v>
      </c>
      <c r="K53" s="172">
        <v>12.0</v>
      </c>
      <c r="L53" s="172">
        <v>14.0</v>
      </c>
      <c r="M53" s="172">
        <v>14.0</v>
      </c>
      <c r="N53" s="172">
        <v>8.0</v>
      </c>
      <c r="O53" s="172">
        <v>7.0</v>
      </c>
      <c r="P53" s="172">
        <v>8.0</v>
      </c>
      <c r="Q53" s="172">
        <v>13.0</v>
      </c>
      <c r="R53" s="172">
        <v>4.0</v>
      </c>
      <c r="S53" s="172">
        <v>2.0</v>
      </c>
      <c r="T53" s="172">
        <v>7.0</v>
      </c>
      <c r="U53" s="172">
        <v>4.0</v>
      </c>
      <c r="V53" s="172">
        <v>1.0</v>
      </c>
      <c r="W53" s="172">
        <v>0.0</v>
      </c>
      <c r="X53" s="172">
        <v>1.0</v>
      </c>
      <c r="Y53" s="172">
        <v>1.0</v>
      </c>
      <c r="Z53" s="172">
        <v>0.0</v>
      </c>
      <c r="AA53" s="172">
        <v>1.0</v>
      </c>
      <c r="AB53" s="172">
        <v>1.0</v>
      </c>
      <c r="AC53" s="172">
        <v>0.0</v>
      </c>
      <c r="AD53" s="172">
        <v>1.0</v>
      </c>
      <c r="AE53" s="172">
        <v>4.0</v>
      </c>
    </row>
    <row r="54" hidden="1" outlineLevel="1">
      <c r="A54" s="53" t="s">
        <v>151</v>
      </c>
      <c r="B54" s="172">
        <v>0.0</v>
      </c>
      <c r="C54" s="172">
        <v>0.0</v>
      </c>
      <c r="D54" s="172">
        <v>0.0</v>
      </c>
      <c r="E54" s="172">
        <v>0.0</v>
      </c>
      <c r="F54" s="172">
        <v>0.0</v>
      </c>
      <c r="G54" s="172">
        <v>3.0</v>
      </c>
      <c r="H54" s="172">
        <v>5.0</v>
      </c>
      <c r="I54" s="172">
        <v>11.0</v>
      </c>
      <c r="J54" s="172">
        <v>11.0</v>
      </c>
      <c r="K54" s="172">
        <v>11.0</v>
      </c>
      <c r="L54" s="172">
        <v>13.0</v>
      </c>
      <c r="M54" s="172">
        <v>13.0</v>
      </c>
      <c r="N54" s="172">
        <v>8.0</v>
      </c>
      <c r="O54" s="172">
        <v>7.0</v>
      </c>
      <c r="P54" s="172">
        <v>7.0</v>
      </c>
      <c r="Q54" s="172">
        <v>13.0</v>
      </c>
      <c r="R54" s="172">
        <v>4.0</v>
      </c>
      <c r="S54" s="172">
        <v>2.0</v>
      </c>
      <c r="T54" s="172">
        <v>5.0</v>
      </c>
      <c r="U54" s="172">
        <v>4.0</v>
      </c>
      <c r="V54" s="172">
        <v>1.0</v>
      </c>
      <c r="W54" s="172">
        <v>0.0</v>
      </c>
      <c r="X54" s="172">
        <v>1.0</v>
      </c>
      <c r="Y54" s="172">
        <v>1.0</v>
      </c>
      <c r="Z54" s="172">
        <v>0.0</v>
      </c>
      <c r="AA54" s="172">
        <v>1.0</v>
      </c>
      <c r="AB54" s="172">
        <v>1.0</v>
      </c>
      <c r="AC54" s="172">
        <v>0.0</v>
      </c>
      <c r="AD54" s="172">
        <v>1.0</v>
      </c>
      <c r="AE54" s="172">
        <v>4.0</v>
      </c>
    </row>
    <row r="55" hidden="1" outlineLevel="1">
      <c r="A55" s="53" t="s">
        <v>153</v>
      </c>
      <c r="B55" s="172">
        <v>0.0</v>
      </c>
      <c r="C55" s="172">
        <v>0.0</v>
      </c>
      <c r="D55" s="172">
        <v>0.0</v>
      </c>
      <c r="E55" s="172">
        <v>0.0</v>
      </c>
      <c r="F55" s="172">
        <v>0.0</v>
      </c>
      <c r="G55" s="172">
        <v>4.0</v>
      </c>
      <c r="H55" s="172">
        <v>5.0</v>
      </c>
      <c r="I55" s="172">
        <v>7.0</v>
      </c>
      <c r="J55" s="172">
        <v>12.0</v>
      </c>
      <c r="K55" s="172">
        <v>7.0</v>
      </c>
      <c r="L55" s="172">
        <v>14.0</v>
      </c>
      <c r="M55" s="172">
        <v>14.0</v>
      </c>
      <c r="N55" s="172">
        <v>5.0</v>
      </c>
      <c r="O55" s="172">
        <v>4.0</v>
      </c>
      <c r="P55" s="172">
        <v>6.0</v>
      </c>
      <c r="Q55" s="172">
        <v>14.0</v>
      </c>
      <c r="R55" s="172">
        <v>2.0</v>
      </c>
      <c r="S55" s="172">
        <v>3.0</v>
      </c>
      <c r="T55" s="172">
        <v>9.0</v>
      </c>
      <c r="U55" s="172">
        <v>3.0</v>
      </c>
      <c r="V55" s="172">
        <v>0.0</v>
      </c>
      <c r="W55" s="172">
        <v>0.0</v>
      </c>
      <c r="X55" s="172">
        <v>1.0</v>
      </c>
      <c r="Y55" s="172">
        <v>1.0</v>
      </c>
      <c r="Z55" s="172">
        <v>0.0</v>
      </c>
      <c r="AA55" s="172">
        <v>1.0</v>
      </c>
      <c r="AB55" s="172">
        <v>2.0</v>
      </c>
      <c r="AC55" s="172">
        <v>0.0</v>
      </c>
      <c r="AD55" s="172">
        <v>1.0</v>
      </c>
      <c r="AE55" s="172">
        <v>2.0</v>
      </c>
    </row>
    <row r="56">
      <c r="A56" s="111" t="s">
        <v>173</v>
      </c>
      <c r="B56" s="176">
        <f t="shared" ref="B56:AE56" si="9">SUM(B44+B47+B51+B52+B53)</f>
        <v>94</v>
      </c>
      <c r="C56" s="176">
        <f t="shared" si="9"/>
        <v>121</v>
      </c>
      <c r="D56" s="176">
        <f t="shared" si="9"/>
        <v>159</v>
      </c>
      <c r="E56" s="176">
        <f t="shared" si="9"/>
        <v>192</v>
      </c>
      <c r="F56" s="176">
        <f t="shared" si="9"/>
        <v>169</v>
      </c>
      <c r="G56" s="176">
        <f t="shared" si="9"/>
        <v>150</v>
      </c>
      <c r="H56" s="176">
        <f t="shared" si="9"/>
        <v>99</v>
      </c>
      <c r="I56" s="176">
        <f t="shared" si="9"/>
        <v>75</v>
      </c>
      <c r="J56" s="176">
        <f t="shared" si="9"/>
        <v>106</v>
      </c>
      <c r="K56" s="176">
        <f t="shared" si="9"/>
        <v>123</v>
      </c>
      <c r="L56" s="176">
        <f t="shared" si="9"/>
        <v>122</v>
      </c>
      <c r="M56" s="176">
        <f t="shared" si="9"/>
        <v>111</v>
      </c>
      <c r="N56" s="176">
        <f t="shared" si="9"/>
        <v>100</v>
      </c>
      <c r="O56" s="176">
        <f t="shared" si="9"/>
        <v>114</v>
      </c>
      <c r="P56" s="176">
        <f t="shared" si="9"/>
        <v>116</v>
      </c>
      <c r="Q56" s="176">
        <f t="shared" si="9"/>
        <v>120</v>
      </c>
      <c r="R56" s="176">
        <f t="shared" si="9"/>
        <v>112</v>
      </c>
      <c r="S56" s="176">
        <f t="shared" si="9"/>
        <v>623</v>
      </c>
      <c r="T56" s="176">
        <f t="shared" si="9"/>
        <v>357</v>
      </c>
      <c r="U56" s="176">
        <f t="shared" si="9"/>
        <v>215</v>
      </c>
      <c r="V56" s="176">
        <f t="shared" si="9"/>
        <v>175</v>
      </c>
      <c r="W56" s="176">
        <f t="shared" si="9"/>
        <v>153</v>
      </c>
      <c r="X56" s="176">
        <f t="shared" si="9"/>
        <v>151</v>
      </c>
      <c r="Y56" s="176">
        <f t="shared" si="9"/>
        <v>170</v>
      </c>
      <c r="Z56" s="176">
        <f t="shared" si="9"/>
        <v>155</v>
      </c>
      <c r="AA56" s="176">
        <f t="shared" si="9"/>
        <v>139</v>
      </c>
      <c r="AB56" s="176">
        <f t="shared" si="9"/>
        <v>153</v>
      </c>
      <c r="AC56" s="176">
        <f t="shared" si="9"/>
        <v>188</v>
      </c>
      <c r="AD56" s="176">
        <f t="shared" si="9"/>
        <v>163</v>
      </c>
      <c r="AE56" s="176">
        <f t="shared" si="9"/>
        <v>142</v>
      </c>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row>
    <row r="58" collapsed="1">
      <c r="A58" s="41" t="s">
        <v>180</v>
      </c>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row>
    <row r="59" hidden="1" outlineLevel="1">
      <c r="A59" s="11" t="s">
        <v>130</v>
      </c>
      <c r="B59" s="180">
        <f>'App - P&amp;L'!B17</f>
        <v>0</v>
      </c>
      <c r="C59" s="181">
        <f>'App - P&amp;L'!C17</f>
        <v>0</v>
      </c>
      <c r="D59" s="183">
        <f>'App - P&amp;L'!D17</f>
        <v>0</v>
      </c>
      <c r="E59" s="184">
        <f>'App - P&amp;L'!E17</f>
        <v>0</v>
      </c>
      <c r="F59" s="184">
        <f>'App - P&amp;L'!F17</f>
        <v>0</v>
      </c>
      <c r="G59" s="185">
        <f>'App - P&amp;L'!G17</f>
        <v>1</v>
      </c>
      <c r="H59" s="186">
        <f>'App - P&amp;L'!H17</f>
        <v>1</v>
      </c>
      <c r="I59" s="184">
        <f>'App - P&amp;L'!I17</f>
        <v>0</v>
      </c>
      <c r="J59" s="187">
        <f>'App - P&amp;L'!J17</f>
        <v>0</v>
      </c>
      <c r="K59" s="188">
        <f>'App - P&amp;L'!K17</f>
        <v>0</v>
      </c>
      <c r="L59" s="189">
        <f>'App - P&amp;L'!L17</f>
        <v>0</v>
      </c>
      <c r="M59" s="190">
        <f>'App - P&amp;L'!M17</f>
        <v>0</v>
      </c>
      <c r="N59" s="189">
        <f>'App - P&amp;L'!N17</f>
        <v>0</v>
      </c>
      <c r="O59" s="191">
        <f>'App - P&amp;L'!O17</f>
        <v>0</v>
      </c>
      <c r="P59" s="192">
        <f>'App - P&amp;L'!P17</f>
        <v>2</v>
      </c>
      <c r="Q59" s="194">
        <f>'App - P&amp;L'!Q17</f>
        <v>1</v>
      </c>
      <c r="R59" s="194">
        <f>'App - P&amp;L'!R17</f>
        <v>2</v>
      </c>
      <c r="S59" s="189">
        <f>'App - P&amp;L'!S17</f>
        <v>148</v>
      </c>
      <c r="T59" s="189">
        <f>'App - P&amp;L'!T17</f>
        <v>157</v>
      </c>
      <c r="U59" s="184">
        <f>'App - P&amp;L'!U17</f>
        <v>100</v>
      </c>
      <c r="V59" s="191">
        <f>'App - P&amp;L'!V17</f>
        <v>74</v>
      </c>
      <c r="W59" s="196">
        <f>'App - P&amp;L'!W17</f>
        <v>56</v>
      </c>
      <c r="X59" s="197">
        <f>'App - P&amp;L'!X17</f>
        <v>46</v>
      </c>
      <c r="Y59" s="197">
        <f>'App - P&amp;L'!Y17</f>
        <v>39</v>
      </c>
      <c r="Z59" s="196">
        <f>'App - P&amp;L'!Z17</f>
        <v>33</v>
      </c>
      <c r="AA59" s="188">
        <f>'App - P&amp;L'!AA17</f>
        <v>41</v>
      </c>
      <c r="AB59" s="198">
        <f>'App - P&amp;L'!AB17</f>
        <v>31</v>
      </c>
      <c r="AC59" s="199">
        <f>'App - P&amp;L'!AC17</f>
        <v>24</v>
      </c>
      <c r="AD59" s="199">
        <f>'App - P&amp;L'!AD17</f>
        <v>131</v>
      </c>
      <c r="AE59" s="199">
        <f>'App - P&amp;L'!AE17</f>
        <v>182</v>
      </c>
    </row>
    <row r="60" hidden="1" outlineLevel="1">
      <c r="A60" s="11" t="s">
        <v>133</v>
      </c>
      <c r="B60" s="201">
        <f>'App - P&amp;L'!B14</f>
        <v>0</v>
      </c>
      <c r="C60" s="202">
        <f>'App - P&amp;L'!C14</f>
        <v>0</v>
      </c>
      <c r="D60" s="203">
        <f>'App - P&amp;L'!D14</f>
        <v>0</v>
      </c>
      <c r="E60" s="205">
        <f>'App - P&amp;L'!E14</f>
        <v>0</v>
      </c>
      <c r="F60" s="206">
        <f>'App - P&amp;L'!F14</f>
        <v>0</v>
      </c>
      <c r="G60" s="207">
        <f>'App - P&amp;L'!G14</f>
        <v>0</v>
      </c>
      <c r="H60" s="208">
        <f>'App - P&amp;L'!H14</f>
        <v>0</v>
      </c>
      <c r="I60" s="209">
        <f>'App - P&amp;L'!I14</f>
        <v>0</v>
      </c>
      <c r="J60" s="210">
        <f>'App - P&amp;L'!J14</f>
        <v>0</v>
      </c>
      <c r="K60" s="211">
        <f>'App - P&amp;L'!K14</f>
        <v>0</v>
      </c>
      <c r="L60" s="212">
        <f>'App - P&amp;L'!L14</f>
        <v>0</v>
      </c>
      <c r="M60" s="213">
        <f>'App - P&amp;L'!M14</f>
        <v>0</v>
      </c>
      <c r="N60" s="215">
        <f>'App - P&amp;L'!N14</f>
        <v>0</v>
      </c>
      <c r="O60" s="216">
        <f>'App - P&amp;L'!O14</f>
        <v>0</v>
      </c>
      <c r="P60" s="217">
        <f>'App - P&amp;L'!P14</f>
        <v>0</v>
      </c>
      <c r="Q60" s="218">
        <f>'App - P&amp;L'!Q14</f>
        <v>0</v>
      </c>
      <c r="R60" s="219">
        <f>'App - P&amp;L'!R14</f>
        <v>0</v>
      </c>
      <c r="S60" s="218">
        <f>'App - P&amp;L'!S14</f>
        <v>372</v>
      </c>
      <c r="T60" s="219">
        <f>'App - P&amp;L'!T14</f>
        <v>431</v>
      </c>
      <c r="U60" s="220">
        <f>'App - P&amp;L'!U14</f>
        <v>265</v>
      </c>
      <c r="V60" s="221">
        <f>'App - P&amp;L'!V14</f>
        <v>207</v>
      </c>
      <c r="W60" s="222">
        <f>'App - P&amp;L'!W14</f>
        <v>141</v>
      </c>
      <c r="X60" s="219">
        <f>'App - P&amp;L'!X14</f>
        <v>145</v>
      </c>
      <c r="Y60" s="223">
        <f>'App - P&amp;L'!Y14</f>
        <v>132</v>
      </c>
      <c r="Z60" s="224">
        <f>'App - P&amp;L'!Z14</f>
        <v>103</v>
      </c>
      <c r="AA60" s="225">
        <f>'App - P&amp;L'!AA14</f>
        <v>117</v>
      </c>
      <c r="AB60" s="226">
        <f>'App - P&amp;L'!AB14</f>
        <v>72</v>
      </c>
      <c r="AC60" s="199">
        <f>'App - P&amp;L'!AC14</f>
        <v>77</v>
      </c>
      <c r="AD60" s="199">
        <f>'App - P&amp;L'!AD14</f>
        <v>338</v>
      </c>
      <c r="AE60" s="199">
        <f>'App - P&amp;L'!AE14</f>
        <v>319</v>
      </c>
    </row>
    <row r="61">
      <c r="A61" s="111" t="s">
        <v>173</v>
      </c>
      <c r="B61" s="227">
        <f t="shared" ref="B61:AE61" si="10">sum(B59:B60)</f>
        <v>0</v>
      </c>
      <c r="C61" s="228">
        <f t="shared" si="10"/>
        <v>0</v>
      </c>
      <c r="D61" s="229">
        <f t="shared" si="10"/>
        <v>0</v>
      </c>
      <c r="E61" s="230">
        <f t="shared" si="10"/>
        <v>0</v>
      </c>
      <c r="F61" s="202">
        <f t="shared" si="10"/>
        <v>0</v>
      </c>
      <c r="G61" s="231">
        <f t="shared" si="10"/>
        <v>1</v>
      </c>
      <c r="H61" s="231">
        <f t="shared" si="10"/>
        <v>1</v>
      </c>
      <c r="I61" s="232">
        <f t="shared" si="10"/>
        <v>0</v>
      </c>
      <c r="J61" s="233">
        <f t="shared" si="10"/>
        <v>0</v>
      </c>
      <c r="K61" s="234">
        <f t="shared" si="10"/>
        <v>0</v>
      </c>
      <c r="L61" s="222">
        <f t="shared" si="10"/>
        <v>0</v>
      </c>
      <c r="M61" s="222">
        <f t="shared" si="10"/>
        <v>0</v>
      </c>
      <c r="N61" s="236">
        <f t="shared" si="10"/>
        <v>0</v>
      </c>
      <c r="O61" s="237">
        <f t="shared" si="10"/>
        <v>0</v>
      </c>
      <c r="P61" s="222">
        <f t="shared" si="10"/>
        <v>2</v>
      </c>
      <c r="Q61" s="223">
        <f t="shared" si="10"/>
        <v>1</v>
      </c>
      <c r="R61" s="218">
        <f t="shared" si="10"/>
        <v>2</v>
      </c>
      <c r="S61" s="238">
        <f t="shared" si="10"/>
        <v>520</v>
      </c>
      <c r="T61" s="212">
        <f t="shared" si="10"/>
        <v>588</v>
      </c>
      <c r="U61" s="239">
        <f t="shared" si="10"/>
        <v>365</v>
      </c>
      <c r="V61" s="240">
        <f t="shared" si="10"/>
        <v>281</v>
      </c>
      <c r="W61" s="210">
        <f t="shared" si="10"/>
        <v>197</v>
      </c>
      <c r="X61" s="241">
        <f t="shared" si="10"/>
        <v>191</v>
      </c>
      <c r="Y61" s="242">
        <f t="shared" si="10"/>
        <v>171</v>
      </c>
      <c r="Z61" s="243">
        <f t="shared" si="10"/>
        <v>136</v>
      </c>
      <c r="AA61" s="216">
        <f t="shared" si="10"/>
        <v>158</v>
      </c>
      <c r="AB61" s="244">
        <f t="shared" si="10"/>
        <v>103</v>
      </c>
      <c r="AC61" s="199">
        <f t="shared" si="10"/>
        <v>101</v>
      </c>
      <c r="AD61" s="199">
        <f t="shared" si="10"/>
        <v>469</v>
      </c>
      <c r="AE61" s="199">
        <f t="shared" si="10"/>
        <v>501</v>
      </c>
    </row>
    <row r="62">
      <c r="A62" s="245" t="s">
        <v>194</v>
      </c>
      <c r="B62" s="247">
        <f>4579.54-B64</f>
        <v>4579.54</v>
      </c>
      <c r="C62" s="247">
        <f>4206.6-C64</f>
        <v>4206.6</v>
      </c>
      <c r="D62" s="60">
        <f>5841.39</f>
        <v>5841.39</v>
      </c>
      <c r="E62" s="247">
        <f>6637.02</f>
        <v>6637.02</v>
      </c>
      <c r="F62" s="247">
        <f>8917.07</f>
        <v>8917.07</v>
      </c>
      <c r="G62" s="247">
        <f>9622.4-G64</f>
        <v>9305.35</v>
      </c>
      <c r="H62" s="247">
        <f>4366.84-H64</f>
        <v>3878.58</v>
      </c>
      <c r="I62" s="247">
        <f> 2512.86-I64</f>
        <v>1849.15</v>
      </c>
      <c r="J62" s="247">
        <f> 4162.07-J64</f>
        <v>3328.79</v>
      </c>
      <c r="K62" s="247">
        <f>7434.2-K64</f>
        <v>6175.55</v>
      </c>
      <c r="L62" s="247">
        <f>7472.41-L64</f>
        <v>5965.32</v>
      </c>
      <c r="M62" s="247">
        <f>6734.36-M64</f>
        <v>4870.06</v>
      </c>
      <c r="N62" s="247">
        <f>5246.37-N64</f>
        <v>2985.67</v>
      </c>
      <c r="O62" s="247">
        <f>4382.77-O64</f>
        <v>2319.94</v>
      </c>
      <c r="P62" s="247">
        <f>4769.72-P64</f>
        <v>3108.49</v>
      </c>
      <c r="Q62" s="247">
        <f>4973.47-Q64</f>
        <v>3542.98</v>
      </c>
      <c r="R62" s="247">
        <f>5217.97-R64</f>
        <v>3731.08</v>
      </c>
      <c r="S62" s="247">
        <f>4950.45-S64</f>
        <v>3485.96</v>
      </c>
      <c r="T62" s="247">
        <f>5284.71-T64</f>
        <v>4389.74</v>
      </c>
      <c r="U62" s="247">
        <f>4358.12-U64</f>
        <v>4272.82</v>
      </c>
      <c r="V62" s="247">
        <f>4499.65</f>
        <v>4499.65</v>
      </c>
      <c r="W62" s="247">
        <f>4723.28</f>
        <v>4723.28</v>
      </c>
      <c r="X62" s="247">
        <f>6086.67</f>
        <v>6086.67</v>
      </c>
      <c r="Y62" s="247">
        <f>7837.51</f>
        <v>7837.51</v>
      </c>
      <c r="Z62" s="247">
        <f>6945.36</f>
        <v>6945.36</v>
      </c>
      <c r="AA62" s="247">
        <f>6434.22</f>
        <v>6434.22</v>
      </c>
      <c r="AB62" s="247">
        <f>4494.81</f>
        <v>4494.81</v>
      </c>
      <c r="AC62" s="247">
        <f>3484.5</f>
        <v>3484.5</v>
      </c>
      <c r="AD62" s="247">
        <f>4594.62</f>
        <v>4594.62</v>
      </c>
      <c r="AE62" s="247">
        <f>5445.74-AE64</f>
        <v>5017.49</v>
      </c>
    </row>
    <row r="63" outlineLevel="1">
      <c r="A63" s="250" t="s">
        <v>200</v>
      </c>
      <c r="B63" s="251">
        <v>1.0788</v>
      </c>
      <c r="C63" s="251">
        <v>1.0788</v>
      </c>
      <c r="D63" s="251">
        <v>1.0773</v>
      </c>
      <c r="E63" s="251">
        <v>1.0795</v>
      </c>
      <c r="F63" s="251">
        <v>1.0726</v>
      </c>
      <c r="G63" s="251">
        <v>1.0727</v>
      </c>
      <c r="H63" s="251">
        <v>1.07</v>
      </c>
      <c r="I63" s="251">
        <v>1.0707</v>
      </c>
      <c r="J63" s="251">
        <v>1.0707</v>
      </c>
      <c r="K63" s="251">
        <v>1.0711</v>
      </c>
      <c r="L63" s="251">
        <v>1.075</v>
      </c>
      <c r="M63" s="251">
        <v>1.0756</v>
      </c>
      <c r="N63" s="251">
        <v>1.0733</v>
      </c>
      <c r="O63" s="251">
        <v>1.0643</v>
      </c>
      <c r="P63" s="251">
        <v>1.067</v>
      </c>
      <c r="Q63" s="251">
        <v>1.067</v>
      </c>
      <c r="R63" s="251">
        <v>1.0664</v>
      </c>
      <c r="S63" s="251">
        <v>1.0692</v>
      </c>
      <c r="T63" s="251">
        <v>1.0683</v>
      </c>
      <c r="U63" s="251">
        <v>1.0655</v>
      </c>
      <c r="V63" s="255">
        <v>1.0663</v>
      </c>
      <c r="W63" s="255"/>
      <c r="X63" s="255">
        <v>1.0664</v>
      </c>
      <c r="Y63" s="255">
        <v>1.065</v>
      </c>
      <c r="Z63" s="255">
        <v>1.0594</v>
      </c>
      <c r="AA63" s="255">
        <v>1.0571</v>
      </c>
      <c r="AB63" s="255">
        <v>1.0505</v>
      </c>
      <c r="AC63" s="255">
        <v>1.0567</v>
      </c>
      <c r="AD63" s="255">
        <v>1.0587</v>
      </c>
      <c r="AE63" s="255">
        <v>1.058</v>
      </c>
    </row>
    <row r="64">
      <c r="A64" s="245" t="s">
        <v>203</v>
      </c>
      <c r="B64" s="60">
        <v>0.0</v>
      </c>
      <c r="C64" s="60">
        <v>0.0</v>
      </c>
      <c r="D64" s="60">
        <v>0.0</v>
      </c>
      <c r="E64" s="60">
        <v>0.0</v>
      </c>
      <c r="F64" s="60">
        <v>0.0</v>
      </c>
      <c r="G64" s="60">
        <v>317.05</v>
      </c>
      <c r="H64" s="60">
        <v>488.26</v>
      </c>
      <c r="I64" s="60">
        <v>663.71</v>
      </c>
      <c r="J64" s="60">
        <v>833.28</v>
      </c>
      <c r="K64" s="60">
        <v>1258.65</v>
      </c>
      <c r="L64" s="60">
        <v>1507.09</v>
      </c>
      <c r="M64" s="60">
        <v>1864.3</v>
      </c>
      <c r="N64" s="60">
        <v>2260.7</v>
      </c>
      <c r="O64" s="60">
        <v>2062.83</v>
      </c>
      <c r="P64" s="60">
        <v>1661.23</v>
      </c>
      <c r="Q64" s="60">
        <v>1430.49</v>
      </c>
      <c r="R64" s="60">
        <v>1486.89</v>
      </c>
      <c r="S64" s="60">
        <v>1464.49</v>
      </c>
      <c r="T64" s="60">
        <v>894.97</v>
      </c>
      <c r="U64" s="60">
        <v>85.3</v>
      </c>
      <c r="V64" s="60">
        <v>0.0</v>
      </c>
      <c r="W64" s="60">
        <v>0.0</v>
      </c>
      <c r="X64" s="60">
        <v>0.0</v>
      </c>
      <c r="Y64" s="60">
        <v>0.0</v>
      </c>
      <c r="Z64" s="60">
        <v>0.0</v>
      </c>
      <c r="AA64" s="60">
        <v>0.0</v>
      </c>
      <c r="AB64" s="60">
        <v>0.0</v>
      </c>
      <c r="AC64" s="60">
        <v>0.0</v>
      </c>
      <c r="AD64" s="60">
        <v>0.0</v>
      </c>
      <c r="AE64" s="60">
        <v>428.25</v>
      </c>
    </row>
    <row r="65">
      <c r="A65" s="53" t="s">
        <v>205</v>
      </c>
      <c r="B65" s="257">
        <f t="shared" ref="B65:AE65" si="11">B62*B63</f>
        <v>4940.407752</v>
      </c>
      <c r="C65" s="257">
        <f t="shared" si="11"/>
        <v>4538.08008</v>
      </c>
      <c r="D65" s="257">
        <f t="shared" si="11"/>
        <v>6292.929447</v>
      </c>
      <c r="E65" s="257">
        <f t="shared" si="11"/>
        <v>7164.66309</v>
      </c>
      <c r="F65" s="257">
        <f t="shared" si="11"/>
        <v>9564.449282</v>
      </c>
      <c r="G65" s="257">
        <f t="shared" si="11"/>
        <v>9981.848945</v>
      </c>
      <c r="H65" s="257">
        <f t="shared" si="11"/>
        <v>4150.0806</v>
      </c>
      <c r="I65" s="257">
        <f t="shared" si="11"/>
        <v>1979.884905</v>
      </c>
      <c r="J65" s="257">
        <f t="shared" si="11"/>
        <v>3564.135453</v>
      </c>
      <c r="K65" s="257">
        <f t="shared" si="11"/>
        <v>6614.631605</v>
      </c>
      <c r="L65" s="257">
        <f t="shared" si="11"/>
        <v>6412.719</v>
      </c>
      <c r="M65" s="257">
        <f t="shared" si="11"/>
        <v>5238.236536</v>
      </c>
      <c r="N65" s="257">
        <f t="shared" si="11"/>
        <v>3204.519611</v>
      </c>
      <c r="O65" s="257">
        <f t="shared" si="11"/>
        <v>2469.112142</v>
      </c>
      <c r="P65" s="257">
        <f t="shared" si="11"/>
        <v>3316.75883</v>
      </c>
      <c r="Q65" s="257">
        <f t="shared" si="11"/>
        <v>3780.35966</v>
      </c>
      <c r="R65" s="257">
        <f t="shared" si="11"/>
        <v>3978.823712</v>
      </c>
      <c r="S65" s="257">
        <f t="shared" si="11"/>
        <v>3727.188432</v>
      </c>
      <c r="T65" s="257">
        <f t="shared" si="11"/>
        <v>4689.559242</v>
      </c>
      <c r="U65" s="257">
        <f t="shared" si="11"/>
        <v>4552.68971</v>
      </c>
      <c r="V65" s="257">
        <f t="shared" si="11"/>
        <v>4797.976795</v>
      </c>
      <c r="W65" s="257">
        <f t="shared" si="11"/>
        <v>0</v>
      </c>
      <c r="X65" s="257">
        <f t="shared" si="11"/>
        <v>6490.824888</v>
      </c>
      <c r="Y65" s="257">
        <f t="shared" si="11"/>
        <v>8346.94815</v>
      </c>
      <c r="Z65" s="257">
        <f t="shared" si="11"/>
        <v>7357.914384</v>
      </c>
      <c r="AA65" s="257">
        <f t="shared" si="11"/>
        <v>6801.613962</v>
      </c>
      <c r="AB65" s="257">
        <f t="shared" si="11"/>
        <v>4721.797905</v>
      </c>
      <c r="AC65" s="257">
        <f t="shared" si="11"/>
        <v>3682.07115</v>
      </c>
      <c r="AD65" s="257">
        <f t="shared" si="11"/>
        <v>4864.324194</v>
      </c>
      <c r="AE65" s="257">
        <f t="shared" si="11"/>
        <v>5308.50442</v>
      </c>
    </row>
    <row r="66">
      <c r="A66" s="53" t="s">
        <v>211</v>
      </c>
      <c r="B66" s="264">
        <v>1210.79</v>
      </c>
      <c r="C66" s="264">
        <v>1399.9</v>
      </c>
      <c r="D66" s="264">
        <v>1709.65</v>
      </c>
      <c r="E66" s="264">
        <v>1315.99</v>
      </c>
      <c r="F66" s="264">
        <v>1354.7</v>
      </c>
      <c r="G66" s="264">
        <v>1334.04</v>
      </c>
      <c r="H66" s="264">
        <v>1388.13</v>
      </c>
      <c r="I66" s="264">
        <v>1350.77</v>
      </c>
      <c r="J66" s="264">
        <v>1438.08</v>
      </c>
      <c r="K66" s="264">
        <v>1962.58</v>
      </c>
      <c r="L66" s="264">
        <v>1887.85</v>
      </c>
      <c r="M66" s="264">
        <v>1863.85</v>
      </c>
      <c r="N66" s="264">
        <v>2181.78</v>
      </c>
      <c r="O66" s="264">
        <v>1644.15</v>
      </c>
      <c r="P66" s="264">
        <v>2151.14</v>
      </c>
      <c r="Q66" s="264">
        <v>2408.3</v>
      </c>
      <c r="R66" s="264">
        <v>2607.01</v>
      </c>
      <c r="S66" s="264">
        <v>2871.65</v>
      </c>
      <c r="T66" s="264">
        <v>2751.55</v>
      </c>
      <c r="U66" s="264">
        <v>2287.74</v>
      </c>
      <c r="V66" s="264">
        <v>2055.93</v>
      </c>
      <c r="W66" s="264">
        <v>1949.0</v>
      </c>
      <c r="X66" s="264">
        <v>2011.34</v>
      </c>
      <c r="Y66" s="264">
        <v>2162.32</v>
      </c>
      <c r="Z66" s="264">
        <v>1938.83</v>
      </c>
      <c r="AA66" s="264">
        <v>1647.2</v>
      </c>
      <c r="AB66" s="264">
        <v>1733.42</v>
      </c>
      <c r="AC66" s="264">
        <v>2080.01</v>
      </c>
      <c r="AD66" s="264">
        <v>1795.19</v>
      </c>
      <c r="AE66" s="264">
        <v>2141.16</v>
      </c>
    </row>
    <row r="67">
      <c r="A67" s="53" t="s">
        <v>214</v>
      </c>
      <c r="B67" s="264">
        <v>183.94</v>
      </c>
      <c r="C67" s="264">
        <v>172.98</v>
      </c>
      <c r="D67" s="264">
        <v>228.88</v>
      </c>
      <c r="E67" s="264">
        <v>223.48</v>
      </c>
      <c r="F67" s="264">
        <v>230.68</v>
      </c>
      <c r="G67" s="264">
        <v>227.63</v>
      </c>
      <c r="H67" s="264">
        <v>224.23</v>
      </c>
      <c r="I67" s="264">
        <v>191.43</v>
      </c>
      <c r="J67" s="264">
        <v>355.52</v>
      </c>
      <c r="K67" s="264">
        <v>218.82</v>
      </c>
      <c r="L67" s="264">
        <v>224.19</v>
      </c>
      <c r="M67" s="264">
        <v>217.46</v>
      </c>
      <c r="N67" s="264">
        <v>212.7</v>
      </c>
      <c r="O67" s="264">
        <v>216.39</v>
      </c>
      <c r="P67" s="264">
        <v>191.06</v>
      </c>
      <c r="Q67" s="264">
        <v>221.71</v>
      </c>
      <c r="R67" s="264">
        <v>486.58</v>
      </c>
      <c r="S67" s="264">
        <v>238.96</v>
      </c>
      <c r="T67" s="264">
        <v>212.46</v>
      </c>
      <c r="U67" s="264">
        <v>207.49</v>
      </c>
      <c r="V67" s="264">
        <v>199.05</v>
      </c>
      <c r="W67" s="264">
        <v>212.03</v>
      </c>
      <c r="X67" s="264">
        <v>212.05</v>
      </c>
      <c r="Y67" s="264">
        <v>197.44</v>
      </c>
      <c r="Z67" s="264">
        <v>62.73</v>
      </c>
      <c r="AA67" s="264">
        <v>20.31</v>
      </c>
      <c r="AB67" s="264">
        <v>0.0</v>
      </c>
      <c r="AC67" s="264">
        <v>4.23</v>
      </c>
      <c r="AD67" s="264">
        <v>161.76</v>
      </c>
      <c r="AE67" s="264">
        <v>464.33</v>
      </c>
    </row>
    <row r="68">
      <c r="A68" s="53" t="s">
        <v>216</v>
      </c>
      <c r="B68" s="264">
        <v>0.0</v>
      </c>
      <c r="C68" s="264">
        <v>0.0</v>
      </c>
      <c r="D68" s="264">
        <v>0.0</v>
      </c>
      <c r="E68" s="264">
        <v>0.0</v>
      </c>
      <c r="F68" s="264">
        <v>0.0</v>
      </c>
      <c r="G68" s="264">
        <v>0.0</v>
      </c>
      <c r="H68" s="264">
        <v>0.0</v>
      </c>
      <c r="I68" s="264">
        <v>0.0</v>
      </c>
      <c r="J68" s="264">
        <v>0.0</v>
      </c>
      <c r="K68" s="264">
        <v>0.0</v>
      </c>
      <c r="L68" s="264">
        <v>0.0</v>
      </c>
      <c r="M68" s="264">
        <v>0.0</v>
      </c>
      <c r="N68" s="264">
        <v>30.0</v>
      </c>
      <c r="O68" s="264">
        <v>30.0</v>
      </c>
      <c r="P68" s="264">
        <v>30.0</v>
      </c>
      <c r="Q68" s="264">
        <v>30.0</v>
      </c>
      <c r="R68" s="264">
        <v>30.0</v>
      </c>
      <c r="S68" s="264">
        <v>16.29</v>
      </c>
      <c r="T68" s="264">
        <v>0.0</v>
      </c>
      <c r="U68" s="264">
        <v>0.0</v>
      </c>
      <c r="V68" s="264">
        <v>0.0</v>
      </c>
      <c r="W68" s="264">
        <v>0.0</v>
      </c>
      <c r="X68" s="264">
        <v>0.0</v>
      </c>
      <c r="Y68" s="264">
        <v>0.0</v>
      </c>
      <c r="Z68" s="264">
        <v>20.0</v>
      </c>
      <c r="AA68" s="264">
        <v>20.0</v>
      </c>
      <c r="AB68" s="264">
        <v>11.23</v>
      </c>
      <c r="AC68" s="264">
        <v>0.0</v>
      </c>
      <c r="AD68" s="264">
        <v>0.0</v>
      </c>
      <c r="AE68" s="264">
        <v>0.0</v>
      </c>
    </row>
    <row r="69">
      <c r="A69" s="53" t="s">
        <v>106</v>
      </c>
      <c r="B69" s="264">
        <v>1276.67</v>
      </c>
      <c r="C69" s="264">
        <v>1876.55</v>
      </c>
      <c r="D69" s="264">
        <v>2182.61</v>
      </c>
      <c r="E69" s="264">
        <v>1886.24</v>
      </c>
      <c r="F69" s="264">
        <v>1401.31</v>
      </c>
      <c r="G69" s="264">
        <v>1491.07</v>
      </c>
      <c r="H69" s="264">
        <v>1448.93</v>
      </c>
      <c r="I69" s="264">
        <v>1479.75</v>
      </c>
      <c r="J69" s="264">
        <v>1888.27</v>
      </c>
      <c r="K69" s="264">
        <v>2296.89</v>
      </c>
      <c r="L69" s="264">
        <v>1797.51</v>
      </c>
      <c r="M69" s="264">
        <v>1678.5</v>
      </c>
      <c r="N69" s="264">
        <v>1662.46</v>
      </c>
      <c r="O69" s="264">
        <v>1696.47</v>
      </c>
      <c r="P69" s="264">
        <v>1674.55</v>
      </c>
      <c r="Q69" s="264">
        <v>2303.3</v>
      </c>
      <c r="R69" s="264">
        <v>2443.56</v>
      </c>
      <c r="S69" s="264">
        <v>2161.34</v>
      </c>
      <c r="T69" s="264">
        <v>2309.42</v>
      </c>
      <c r="U69" s="264">
        <v>2091.87</v>
      </c>
      <c r="V69" s="264">
        <v>1920.72</v>
      </c>
      <c r="W69" s="264">
        <v>1492.52</v>
      </c>
      <c r="X69" s="264">
        <v>1881.18</v>
      </c>
      <c r="Y69" s="264">
        <v>2255.79</v>
      </c>
      <c r="Z69" s="264">
        <v>1672.88</v>
      </c>
      <c r="AA69" s="264">
        <v>1771.38</v>
      </c>
      <c r="AB69" s="264">
        <v>2743.88</v>
      </c>
      <c r="AC69" s="264">
        <v>3792.92</v>
      </c>
      <c r="AD69" s="264">
        <v>2832.22</v>
      </c>
      <c r="AE69" s="264">
        <v>3932.81</v>
      </c>
    </row>
    <row r="70">
      <c r="A70" s="53" t="s">
        <v>219</v>
      </c>
      <c r="B70" s="264">
        <v>0.0</v>
      </c>
      <c r="C70" s="264">
        <v>0.0</v>
      </c>
      <c r="D70" s="264">
        <v>0.0</v>
      </c>
      <c r="E70" s="264">
        <v>0.0</v>
      </c>
      <c r="F70" s="264">
        <v>0.0</v>
      </c>
      <c r="G70" s="264">
        <v>0.0</v>
      </c>
      <c r="H70" s="264">
        <v>0.0</v>
      </c>
      <c r="I70" s="264">
        <v>0.0</v>
      </c>
      <c r="J70" s="264">
        <v>0.0</v>
      </c>
      <c r="K70" s="264">
        <v>0.0</v>
      </c>
      <c r="L70" s="264">
        <v>190.92</v>
      </c>
      <c r="M70" s="264">
        <v>184.37</v>
      </c>
      <c r="N70" s="264">
        <v>347.34</v>
      </c>
      <c r="O70" s="264">
        <v>400.58</v>
      </c>
      <c r="P70" s="264">
        <v>527.61</v>
      </c>
      <c r="Q70" s="264">
        <v>503.39</v>
      </c>
      <c r="R70" s="264">
        <v>504.5</v>
      </c>
      <c r="S70" s="264">
        <v>501.28</v>
      </c>
      <c r="T70" s="264">
        <v>501.22</v>
      </c>
      <c r="U70" s="270">
        <v>335.16</v>
      </c>
      <c r="V70" s="270">
        <v>468.16</v>
      </c>
      <c r="W70" s="270">
        <v>377.74</v>
      </c>
      <c r="X70" s="270">
        <v>403.1</v>
      </c>
      <c r="Y70" s="270">
        <v>403.0</v>
      </c>
      <c r="Z70" s="264">
        <v>403.6</v>
      </c>
      <c r="AA70" s="270">
        <v>402.86</v>
      </c>
      <c r="AB70" s="270">
        <v>402.38</v>
      </c>
      <c r="AC70" s="270">
        <v>388.24</v>
      </c>
      <c r="AD70" s="264">
        <v>0.02</v>
      </c>
      <c r="AE70" s="264">
        <v>0.0</v>
      </c>
    </row>
    <row r="71">
      <c r="A71" s="53" t="s">
        <v>221</v>
      </c>
      <c r="B71" s="204">
        <f>IFERROR(__xludf.DUMMYFUNCTION("GOOGLEFINANCE(""CURRENCY:EURUSD"")*B64"),0.0)</f>
        <v>0</v>
      </c>
      <c r="C71" s="204">
        <f>IFERROR(__xludf.DUMMYFUNCTION("GOOGLEFINANCE(""CURRENCY:EURUSD"")*C64"),0.0)</f>
        <v>0</v>
      </c>
      <c r="D71" s="204">
        <f>IFERROR(__xludf.DUMMYFUNCTION("GOOGLEFINANCE(""CURRENCY:EURUSD"")*D64"),0.0)</f>
        <v>0</v>
      </c>
      <c r="E71" s="204">
        <f>IFERROR(__xludf.DUMMYFUNCTION("GOOGLEFINANCE(""CURRENCY:EURUSD"")*E64"),0.0)</f>
        <v>0</v>
      </c>
      <c r="F71" s="204">
        <f>IFERROR(__xludf.DUMMYFUNCTION("GOOGLEFINANCE(""CURRENCY:EURUSD"")*F64"),0.0)</f>
        <v>0</v>
      </c>
      <c r="G71" s="204">
        <f>IFERROR(__xludf.DUMMYFUNCTION("GOOGLEFINANCE(""CURRENCY:EURUSD"")*G64"),363.51209224999997)</f>
        <v>363.5120923</v>
      </c>
      <c r="H71" s="204">
        <f>IFERROR(__xludf.DUMMYFUNCTION("GOOGLEFINANCE(""CURRENCY:EURUSD"")*H64"),559.8120617)</f>
        <v>559.8120617</v>
      </c>
      <c r="I71" s="204">
        <f>IFERROR(__xludf.DUMMYFUNCTION("GOOGLEFINANCE(""CURRENCY:EURUSD"")*I64"),760.97338195)</f>
        <v>760.973382</v>
      </c>
      <c r="J71" s="204">
        <f>IFERROR(__xludf.DUMMYFUNCTION("GOOGLEFINANCE(""CURRENCY:EURUSD"")*J64"),955.3930175999999)</f>
        <v>955.3930176</v>
      </c>
      <c r="K71" s="204">
        <f>IFERROR(__xludf.DUMMYFUNCTION("GOOGLEFINANCE(""CURRENCY:EURUSD"")*K64"),1443.09886425)</f>
        <v>1443.098864</v>
      </c>
      <c r="L71" s="204">
        <f>IFERROR(__xludf.DUMMYFUNCTION("GOOGLEFINANCE(""CURRENCY:EURUSD"")*L64"),1727.9465040499997)</f>
        <v>1727.946504</v>
      </c>
      <c r="M71" s="204">
        <f>IFERROR(__xludf.DUMMYFUNCTION("GOOGLEFINANCE(""CURRENCY:EURUSD"")*M64"),2137.5038434999997)</f>
        <v>2137.503844</v>
      </c>
      <c r="N71" s="204">
        <f>IFERROR(__xludf.DUMMYFUNCTION("GOOGLEFINANCE(""CURRENCY:EURUSD"")*N64"),2591.9942814999995)</f>
        <v>2591.994282</v>
      </c>
      <c r="O71" s="204">
        <f>IFERROR(__xludf.DUMMYFUNCTION("GOOGLEFINANCE(""CURRENCY:EURUSD"")*O64"),2365.12742235)</f>
        <v>2365.127422</v>
      </c>
      <c r="P71" s="204">
        <f>IFERROR(__xludf.DUMMYFUNCTION("GOOGLEFINANCE(""CURRENCY:EURUSD"")*P64"),1904.6749503499998)</f>
        <v>1904.67495</v>
      </c>
      <c r="Q71" s="204">
        <f>IFERROR(__xludf.DUMMYFUNCTION("GOOGLEFINANCE(""CURRENCY:EURUSD"")*Q64"),1640.12115705)</f>
        <v>1640.121157</v>
      </c>
      <c r="R71" s="204">
        <f>IFERROR(__xludf.DUMMYFUNCTION("GOOGLEFINANCE(""CURRENCY:EURUSD"")*R64"),1704.78629505)</f>
        <v>1704.786295</v>
      </c>
      <c r="S71" s="204">
        <f>IFERROR(__xludf.DUMMYFUNCTION("GOOGLEFINANCE(""CURRENCY:EURUSD"")*S64"),1679.10368705)</f>
        <v>1679.103687</v>
      </c>
      <c r="T71" s="204">
        <f>IFERROR(__xludf.DUMMYFUNCTION("GOOGLEFINANCE(""CURRENCY:EURUSD"")*T64"),1026.12337865)</f>
        <v>1026.123379</v>
      </c>
      <c r="U71" s="204">
        <f>IFERROR(__xludf.DUMMYFUNCTION("GOOGLEFINANCE(""CURRENCY:EURUSD"")*U64"),97.8002885)</f>
        <v>97.8002885</v>
      </c>
      <c r="V71" s="204">
        <f>IFERROR(__xludf.DUMMYFUNCTION("GOOGLEFINANCE(""CURRENCY:EURUSD"")*V64"),0.0)</f>
        <v>0</v>
      </c>
      <c r="W71" s="204">
        <f>IFERROR(__xludf.DUMMYFUNCTION("GOOGLEFINANCE(""CURRENCY:EURUSD"")*W64"),0.0)</f>
        <v>0</v>
      </c>
      <c r="X71" s="204">
        <f>IFERROR(__xludf.DUMMYFUNCTION("GOOGLEFINANCE(""CURRENCY:EURUSD"")*X64"),0.0)</f>
        <v>0</v>
      </c>
      <c r="Y71" s="204">
        <f>IFERROR(__xludf.DUMMYFUNCTION("GOOGLEFINANCE(""CURRENCY:EURUSD"")*Y64"),0.0)</f>
        <v>0</v>
      </c>
      <c r="Z71" s="204">
        <f>IFERROR(__xludf.DUMMYFUNCTION("GOOGLEFINANCE(""CURRENCY:EURUSD"")*Z64"),0.0)</f>
        <v>0</v>
      </c>
      <c r="AA71" s="204">
        <f>IFERROR(__xludf.DUMMYFUNCTION("GOOGLEFINANCE(""CURRENCY:EURUSD"")*AA64"),0.0)</f>
        <v>0</v>
      </c>
      <c r="AB71" s="204">
        <f>IFERROR(__xludf.DUMMYFUNCTION("GOOGLEFINANCE(""CURRENCY:EURUSD"")*AB64"),0.0)</f>
        <v>0</v>
      </c>
      <c r="AC71" s="204">
        <f>IFERROR(__xludf.DUMMYFUNCTION("GOOGLEFINANCE(""CURRENCY:EURUSD"")*AC64"),0.0)</f>
        <v>0</v>
      </c>
      <c r="AD71" s="204">
        <f>IFERROR(__xludf.DUMMYFUNCTION("GOOGLEFINANCE(""CURRENCY:EURUSD"")*AD64"),0.0)</f>
        <v>0</v>
      </c>
      <c r="AE71" s="204">
        <f>IFERROR(__xludf.DUMMYFUNCTION("GOOGLEFINANCE(""CURRENCY:EURUSD"")*AE64"),491.00789625)</f>
        <v>491.0078963</v>
      </c>
    </row>
    <row r="72">
      <c r="A72" s="11" t="s">
        <v>224</v>
      </c>
      <c r="B72" s="264">
        <v>0.0</v>
      </c>
      <c r="C72" s="264">
        <v>0.0</v>
      </c>
      <c r="D72" s="264">
        <v>0.0</v>
      </c>
      <c r="E72" s="264">
        <v>47.81</v>
      </c>
      <c r="F72" s="264">
        <v>113.06</v>
      </c>
      <c r="G72" s="264">
        <v>62.55</v>
      </c>
      <c r="H72" s="264">
        <v>0.0</v>
      </c>
      <c r="I72" s="264">
        <v>0.0</v>
      </c>
      <c r="J72" s="264">
        <v>0.0</v>
      </c>
      <c r="K72" s="264">
        <v>149.78</v>
      </c>
      <c r="L72" s="264">
        <v>0.0</v>
      </c>
      <c r="M72" s="264">
        <v>0.0</v>
      </c>
      <c r="N72" s="264">
        <v>0.0</v>
      </c>
      <c r="O72" s="264">
        <v>139.61</v>
      </c>
      <c r="P72" s="264">
        <v>53.32</v>
      </c>
      <c r="Q72" s="264">
        <v>59.92</v>
      </c>
      <c r="R72" s="264">
        <v>53.62</v>
      </c>
      <c r="S72" s="264">
        <v>15.48</v>
      </c>
      <c r="T72" s="264">
        <v>59.05</v>
      </c>
      <c r="U72" s="264">
        <v>57.04</v>
      </c>
      <c r="V72" s="264">
        <v>0.0</v>
      </c>
      <c r="W72" s="264">
        <v>57.16</v>
      </c>
      <c r="X72" s="264">
        <v>0.0</v>
      </c>
      <c r="Y72" s="264">
        <v>26.91</v>
      </c>
      <c r="Z72" s="264">
        <v>0.0</v>
      </c>
      <c r="AA72" s="264">
        <v>0.0</v>
      </c>
      <c r="AB72" s="264">
        <v>0.0</v>
      </c>
      <c r="AC72" s="264">
        <v>0.0</v>
      </c>
      <c r="AD72" s="264">
        <v>0.0</v>
      </c>
      <c r="AE72" s="264">
        <v>0.0</v>
      </c>
    </row>
    <row r="73">
      <c r="A73" s="53" t="s">
        <v>225</v>
      </c>
      <c r="B73" s="257">
        <f t="shared" ref="B73:AE73" si="12">B22*0.2</f>
        <v>0</v>
      </c>
      <c r="C73" s="257">
        <f t="shared" si="12"/>
        <v>0</v>
      </c>
      <c r="D73" s="257">
        <f t="shared" si="12"/>
        <v>0</v>
      </c>
      <c r="E73" s="257">
        <f t="shared" si="12"/>
        <v>0</v>
      </c>
      <c r="F73" s="257">
        <f t="shared" si="12"/>
        <v>0</v>
      </c>
      <c r="G73" s="257">
        <f t="shared" si="12"/>
        <v>0</v>
      </c>
      <c r="H73" s="257">
        <f t="shared" si="12"/>
        <v>0</v>
      </c>
      <c r="I73" s="257">
        <f t="shared" si="12"/>
        <v>0</v>
      </c>
      <c r="J73" s="257">
        <f t="shared" si="12"/>
        <v>0</v>
      </c>
      <c r="K73" s="257">
        <f t="shared" si="12"/>
        <v>0</v>
      </c>
      <c r="L73" s="257">
        <f t="shared" si="12"/>
        <v>0</v>
      </c>
      <c r="M73" s="257">
        <f t="shared" si="12"/>
        <v>0</v>
      </c>
      <c r="N73" s="257">
        <f t="shared" si="12"/>
        <v>0</v>
      </c>
      <c r="O73" s="257">
        <f t="shared" si="12"/>
        <v>0</v>
      </c>
      <c r="P73" s="257">
        <f t="shared" si="12"/>
        <v>0</v>
      </c>
      <c r="Q73" s="257">
        <f t="shared" si="12"/>
        <v>0</v>
      </c>
      <c r="R73" s="257">
        <f t="shared" si="12"/>
        <v>0</v>
      </c>
      <c r="S73" s="257">
        <f t="shared" si="12"/>
        <v>0</v>
      </c>
      <c r="T73" s="257">
        <f t="shared" si="12"/>
        <v>0</v>
      </c>
      <c r="U73" s="257">
        <f t="shared" si="12"/>
        <v>0</v>
      </c>
      <c r="V73" s="257">
        <f t="shared" si="12"/>
        <v>0</v>
      </c>
      <c r="W73" s="257">
        <f t="shared" si="12"/>
        <v>0</v>
      </c>
      <c r="X73" s="257">
        <f t="shared" si="12"/>
        <v>0</v>
      </c>
      <c r="Y73" s="257">
        <f t="shared" si="12"/>
        <v>0</v>
      </c>
      <c r="Z73" s="257">
        <f t="shared" si="12"/>
        <v>0</v>
      </c>
      <c r="AA73" s="257">
        <f t="shared" si="12"/>
        <v>0</v>
      </c>
      <c r="AB73" s="257">
        <f t="shared" si="12"/>
        <v>0</v>
      </c>
      <c r="AC73" s="257">
        <f t="shared" si="12"/>
        <v>1637.648</v>
      </c>
      <c r="AD73" s="257">
        <f t="shared" si="12"/>
        <v>1161.218</v>
      </c>
      <c r="AE73" s="257">
        <f t="shared" si="12"/>
        <v>207.8</v>
      </c>
    </row>
    <row r="74">
      <c r="A74" s="53" t="s">
        <v>228</v>
      </c>
      <c r="B74" s="257">
        <f t="shared" ref="B74:AE74" si="13">B26*0.15</f>
        <v>0</v>
      </c>
      <c r="C74" s="257">
        <f t="shared" si="13"/>
        <v>0</v>
      </c>
      <c r="D74" s="257">
        <f t="shared" si="13"/>
        <v>0</v>
      </c>
      <c r="E74" s="257">
        <f t="shared" si="13"/>
        <v>0</v>
      </c>
      <c r="F74" s="257">
        <f t="shared" si="13"/>
        <v>0</v>
      </c>
      <c r="G74" s="257">
        <f t="shared" si="13"/>
        <v>0</v>
      </c>
      <c r="H74" s="257">
        <f t="shared" si="13"/>
        <v>0</v>
      </c>
      <c r="I74" s="257">
        <f t="shared" si="13"/>
        <v>0</v>
      </c>
      <c r="J74" s="257">
        <f t="shared" si="13"/>
        <v>0</v>
      </c>
      <c r="K74" s="257">
        <f t="shared" si="13"/>
        <v>0</v>
      </c>
      <c r="L74" s="257">
        <f t="shared" si="13"/>
        <v>0</v>
      </c>
      <c r="M74" s="257">
        <f t="shared" si="13"/>
        <v>0</v>
      </c>
      <c r="N74" s="257">
        <f t="shared" si="13"/>
        <v>0</v>
      </c>
      <c r="O74" s="257">
        <f t="shared" si="13"/>
        <v>0</v>
      </c>
      <c r="P74" s="257">
        <f t="shared" si="13"/>
        <v>0</v>
      </c>
      <c r="Q74" s="257">
        <f t="shared" si="13"/>
        <v>0</v>
      </c>
      <c r="R74" s="257">
        <f t="shared" si="13"/>
        <v>0</v>
      </c>
      <c r="S74" s="257">
        <f t="shared" si="13"/>
        <v>0</v>
      </c>
      <c r="T74" s="257">
        <f t="shared" si="13"/>
        <v>0</v>
      </c>
      <c r="U74" s="257">
        <f t="shared" si="13"/>
        <v>0</v>
      </c>
      <c r="V74" s="257">
        <f t="shared" si="13"/>
        <v>0</v>
      </c>
      <c r="W74" s="257">
        <f t="shared" si="13"/>
        <v>0</v>
      </c>
      <c r="X74" s="257">
        <f t="shared" si="13"/>
        <v>0</v>
      </c>
      <c r="Y74" s="257">
        <f t="shared" si="13"/>
        <v>0</v>
      </c>
      <c r="Z74" s="257">
        <f t="shared" si="13"/>
        <v>0</v>
      </c>
      <c r="AA74" s="257">
        <f t="shared" si="13"/>
        <v>0</v>
      </c>
      <c r="AB74" s="257">
        <f t="shared" si="13"/>
        <v>0</v>
      </c>
      <c r="AC74" s="257">
        <f t="shared" si="13"/>
        <v>0</v>
      </c>
      <c r="AD74" s="257">
        <f t="shared" si="13"/>
        <v>0</v>
      </c>
      <c r="AE74" s="257">
        <f t="shared" si="13"/>
        <v>0</v>
      </c>
    </row>
    <row r="75">
      <c r="A75" s="279" t="s">
        <v>233</v>
      </c>
      <c r="B75" s="280">
        <f t="shared" ref="B75:AE75" si="14">B65+B66+B67+B68+B70+B72</f>
        <v>6335.137752</v>
      </c>
      <c r="C75" s="280">
        <f t="shared" si="14"/>
        <v>6110.96008</v>
      </c>
      <c r="D75" s="280">
        <f t="shared" si="14"/>
        <v>8231.459447</v>
      </c>
      <c r="E75" s="280">
        <f t="shared" si="14"/>
        <v>8751.94309</v>
      </c>
      <c r="F75" s="280">
        <f t="shared" si="14"/>
        <v>11262.88928</v>
      </c>
      <c r="G75" s="280">
        <f t="shared" si="14"/>
        <v>11606.06895</v>
      </c>
      <c r="H75" s="280">
        <f t="shared" si="14"/>
        <v>5762.4406</v>
      </c>
      <c r="I75" s="280">
        <f t="shared" si="14"/>
        <v>3522.084905</v>
      </c>
      <c r="J75" s="280">
        <f t="shared" si="14"/>
        <v>5357.735453</v>
      </c>
      <c r="K75" s="280">
        <f t="shared" si="14"/>
        <v>8945.811605</v>
      </c>
      <c r="L75" s="280">
        <f t="shared" si="14"/>
        <v>8715.679</v>
      </c>
      <c r="M75" s="280">
        <f t="shared" si="14"/>
        <v>7503.916536</v>
      </c>
      <c r="N75" s="280">
        <f t="shared" si="14"/>
        <v>5976.339611</v>
      </c>
      <c r="O75" s="280">
        <f t="shared" si="14"/>
        <v>4899.842142</v>
      </c>
      <c r="P75" s="280">
        <f t="shared" si="14"/>
        <v>6269.88883</v>
      </c>
      <c r="Q75" s="280">
        <f t="shared" si="14"/>
        <v>7003.67966</v>
      </c>
      <c r="R75" s="280">
        <f t="shared" si="14"/>
        <v>7660.533712</v>
      </c>
      <c r="S75" s="280">
        <f t="shared" si="14"/>
        <v>7370.848432</v>
      </c>
      <c r="T75" s="280">
        <f t="shared" si="14"/>
        <v>8213.839242</v>
      </c>
      <c r="U75" s="280">
        <f t="shared" si="14"/>
        <v>7440.11971</v>
      </c>
      <c r="V75" s="280">
        <f t="shared" si="14"/>
        <v>7521.116795</v>
      </c>
      <c r="W75" s="280">
        <f t="shared" si="14"/>
        <v>2595.93</v>
      </c>
      <c r="X75" s="280">
        <f t="shared" si="14"/>
        <v>9117.314888</v>
      </c>
      <c r="Y75" s="280">
        <f t="shared" si="14"/>
        <v>11136.61815</v>
      </c>
      <c r="Z75" s="280">
        <f t="shared" si="14"/>
        <v>9783.074384</v>
      </c>
      <c r="AA75" s="280">
        <f t="shared" si="14"/>
        <v>8891.983962</v>
      </c>
      <c r="AB75" s="280">
        <f t="shared" si="14"/>
        <v>6868.827905</v>
      </c>
      <c r="AC75" s="280">
        <f t="shared" si="14"/>
        <v>6154.55115</v>
      </c>
      <c r="AD75" s="280">
        <f t="shared" si="14"/>
        <v>6821.294194</v>
      </c>
      <c r="AE75" s="280">
        <f t="shared" si="14"/>
        <v>7913.99442</v>
      </c>
    </row>
    <row r="76">
      <c r="A76" s="281" t="s">
        <v>240</v>
      </c>
      <c r="B76" s="282">
        <f t="shared" ref="B76:AE76" si="15">SUM(B65:B74)</f>
        <v>7611.807752</v>
      </c>
      <c r="C76" s="282">
        <f t="shared" si="15"/>
        <v>7987.51008</v>
      </c>
      <c r="D76" s="282">
        <f t="shared" si="15"/>
        <v>10414.06945</v>
      </c>
      <c r="E76" s="282">
        <f t="shared" si="15"/>
        <v>10638.18309</v>
      </c>
      <c r="F76" s="282">
        <f t="shared" si="15"/>
        <v>12664.19928</v>
      </c>
      <c r="G76" s="282">
        <f t="shared" si="15"/>
        <v>13460.65104</v>
      </c>
      <c r="H76" s="282">
        <f t="shared" si="15"/>
        <v>7771.182662</v>
      </c>
      <c r="I76" s="282">
        <f t="shared" si="15"/>
        <v>5762.808287</v>
      </c>
      <c r="J76" s="282">
        <f t="shared" si="15"/>
        <v>8201.398471</v>
      </c>
      <c r="K76" s="282">
        <f t="shared" si="15"/>
        <v>12685.80047</v>
      </c>
      <c r="L76" s="282">
        <f t="shared" si="15"/>
        <v>12241.1355</v>
      </c>
      <c r="M76" s="282">
        <f t="shared" si="15"/>
        <v>11319.92038</v>
      </c>
      <c r="N76" s="282">
        <f t="shared" si="15"/>
        <v>10230.79389</v>
      </c>
      <c r="O76" s="282">
        <f t="shared" si="15"/>
        <v>8961.439564</v>
      </c>
      <c r="P76" s="282">
        <f t="shared" si="15"/>
        <v>9849.11378</v>
      </c>
      <c r="Q76" s="282">
        <f t="shared" si="15"/>
        <v>10947.10082</v>
      </c>
      <c r="R76" s="282">
        <f t="shared" si="15"/>
        <v>11808.88001</v>
      </c>
      <c r="S76" s="282">
        <f t="shared" si="15"/>
        <v>11211.29212</v>
      </c>
      <c r="T76" s="282">
        <f t="shared" si="15"/>
        <v>11549.38262</v>
      </c>
      <c r="U76" s="282">
        <f t="shared" si="15"/>
        <v>9629.789999</v>
      </c>
      <c r="V76" s="282">
        <f t="shared" si="15"/>
        <v>9441.836795</v>
      </c>
      <c r="W76" s="282">
        <f t="shared" si="15"/>
        <v>4088.45</v>
      </c>
      <c r="X76" s="282">
        <f t="shared" si="15"/>
        <v>10998.49489</v>
      </c>
      <c r="Y76" s="282">
        <f t="shared" si="15"/>
        <v>13392.40815</v>
      </c>
      <c r="Z76" s="282">
        <f t="shared" si="15"/>
        <v>11455.95438</v>
      </c>
      <c r="AA76" s="282">
        <f t="shared" si="15"/>
        <v>10663.36396</v>
      </c>
      <c r="AB76" s="282">
        <f t="shared" si="15"/>
        <v>9612.707905</v>
      </c>
      <c r="AC76" s="282">
        <f t="shared" si="15"/>
        <v>11585.11915</v>
      </c>
      <c r="AD76" s="282">
        <f t="shared" si="15"/>
        <v>10814.73219</v>
      </c>
      <c r="AE76" s="282">
        <f t="shared" si="15"/>
        <v>12545.61232</v>
      </c>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row>
    <row r="78">
      <c r="A78" s="41" t="s">
        <v>242</v>
      </c>
      <c r="B78" s="60">
        <v>0.66</v>
      </c>
      <c r="C78" s="60">
        <v>0.36</v>
      </c>
      <c r="D78" s="60">
        <v>0.0</v>
      </c>
      <c r="E78" s="60">
        <v>0.39</v>
      </c>
      <c r="F78" s="60">
        <v>0.9</v>
      </c>
      <c r="G78" s="60">
        <v>0.53</v>
      </c>
      <c r="H78" s="247"/>
      <c r="I78" s="247"/>
      <c r="J78" s="247"/>
      <c r="K78" s="247"/>
      <c r="L78" s="247"/>
      <c r="M78" s="247"/>
      <c r="N78" s="247"/>
      <c r="O78" s="247"/>
      <c r="P78" s="247"/>
      <c r="Q78" s="247"/>
      <c r="R78" s="247"/>
      <c r="S78" s="247"/>
      <c r="T78" s="247"/>
      <c r="U78" s="60">
        <v>6.12</v>
      </c>
      <c r="V78" s="60">
        <v>22.03</v>
      </c>
      <c r="W78" s="60">
        <v>27.26</v>
      </c>
      <c r="X78" s="60">
        <v>27.95</v>
      </c>
      <c r="Y78" s="60">
        <v>28.67</v>
      </c>
      <c r="Z78" s="60">
        <v>28.71</v>
      </c>
      <c r="AA78" s="60">
        <v>47.41</v>
      </c>
      <c r="AB78" s="60">
        <v>47.47</v>
      </c>
      <c r="AC78" s="60">
        <v>47.8</v>
      </c>
      <c r="AD78" s="60">
        <v>47.8</v>
      </c>
      <c r="AE78" s="60">
        <v>47.79</v>
      </c>
    </row>
    <row r="79">
      <c r="A79" s="17" t="s">
        <v>205</v>
      </c>
      <c r="B79" s="204">
        <f>IFERROR(__xludf.DUMMYFUNCTION("GOOGLEFINANCE(""CURRENCY:EURUSD"")*B78"),0.7567197)</f>
        <v>0.7567197</v>
      </c>
      <c r="C79" s="204">
        <f>IFERROR(__xludf.DUMMYFUNCTION("GOOGLEFINANCE(""CURRENCY:EURUSD"")*C78"),0.41275619999999996)</f>
        <v>0.4127562</v>
      </c>
      <c r="D79" s="204">
        <f>IFERROR(__xludf.DUMMYFUNCTION("GOOGLEFINANCE(""CURRENCY:EURUSD"")*D78"),0.0)</f>
        <v>0</v>
      </c>
      <c r="E79" s="204">
        <f>IFERROR(__xludf.DUMMYFUNCTION("GOOGLEFINANCE(""CURRENCY:EURUSD"")*E78"),0.44715255)</f>
        <v>0.44715255</v>
      </c>
      <c r="F79" s="204">
        <f>IFERROR(__xludf.DUMMYFUNCTION("GOOGLEFINANCE(""CURRENCY:EURUSD"")*F78"),1.0318905)</f>
        <v>1.0318905</v>
      </c>
      <c r="G79" s="204">
        <f>IFERROR(__xludf.DUMMYFUNCTION("GOOGLEFINANCE(""CURRENCY:EURUSD"")*G78"),0.60766885)</f>
        <v>0.60766885</v>
      </c>
      <c r="H79" s="204">
        <f>IFERROR(__xludf.DUMMYFUNCTION("GOOGLEFINANCE(""CURRENCY:EURUSD"")*H78"),0.0)</f>
        <v>0</v>
      </c>
      <c r="I79" s="204">
        <f>IFERROR(__xludf.DUMMYFUNCTION("GOOGLEFINANCE(""CURRENCY:EURUSD"")*I78"),0.0)</f>
        <v>0</v>
      </c>
      <c r="J79" s="204">
        <f>IFERROR(__xludf.DUMMYFUNCTION("GOOGLEFINANCE(""CURRENCY:EURUSD"")*J78"),0.0)</f>
        <v>0</v>
      </c>
      <c r="K79" s="204">
        <f>IFERROR(__xludf.DUMMYFUNCTION("GOOGLEFINANCE(""CURRENCY:EURUSD"")*K78"),0.0)</f>
        <v>0</v>
      </c>
      <c r="L79" s="204">
        <f>IFERROR(__xludf.DUMMYFUNCTION("GOOGLEFINANCE(""CURRENCY:EURUSD"")*L78"),0.0)</f>
        <v>0</v>
      </c>
      <c r="M79" s="204">
        <f>IFERROR(__xludf.DUMMYFUNCTION("GOOGLEFINANCE(""CURRENCY:EURUSD"")*M78"),0.0)</f>
        <v>0</v>
      </c>
      <c r="N79" s="204">
        <f>IFERROR(__xludf.DUMMYFUNCTION("GOOGLEFINANCE(""CURRENCY:EURUSD"")*N78"),0.0)</f>
        <v>0</v>
      </c>
      <c r="O79" s="204">
        <f>IFERROR(__xludf.DUMMYFUNCTION("GOOGLEFINANCE(""CURRENCY:EURUSD"")*O78"),0.0)</f>
        <v>0</v>
      </c>
      <c r="P79" s="204">
        <f>IFERROR(__xludf.DUMMYFUNCTION("GOOGLEFINANCE(""CURRENCY:EURUSD"")*P78"),0.0)</f>
        <v>0</v>
      </c>
      <c r="Q79" s="204">
        <f>IFERROR(__xludf.DUMMYFUNCTION("GOOGLEFINANCE(""CURRENCY:EURUSD"")*Q78"),0.0)</f>
        <v>0</v>
      </c>
      <c r="R79" s="204">
        <f>IFERROR(__xludf.DUMMYFUNCTION("GOOGLEFINANCE(""CURRENCY:EURUSD"")*R78"),0.0)</f>
        <v>0</v>
      </c>
      <c r="S79" s="204">
        <f>IFERROR(__xludf.DUMMYFUNCTION("GOOGLEFINANCE(""CURRENCY:EURUSD"")*S78"),0.0)</f>
        <v>0</v>
      </c>
      <c r="T79" s="204">
        <f>IFERROR(__xludf.DUMMYFUNCTION("GOOGLEFINANCE(""CURRENCY:EURUSD"")*T78"),0.0)</f>
        <v>0</v>
      </c>
      <c r="U79" s="204">
        <f>IFERROR(__xludf.DUMMYFUNCTION("GOOGLEFINANCE(""CURRENCY:EURUSD"")*U78"),7.0168554)</f>
        <v>7.0168554</v>
      </c>
      <c r="V79" s="204">
        <f>IFERROR(__xludf.DUMMYFUNCTION("GOOGLEFINANCE(""CURRENCY:EURUSD"")*V78"),25.25838635)</f>
        <v>25.25838635</v>
      </c>
      <c r="W79" s="204">
        <f>IFERROR(__xludf.DUMMYFUNCTION("GOOGLEFINANCE(""CURRENCY:EURUSD"")*W78"),31.2548167)</f>
        <v>31.2548167</v>
      </c>
      <c r="X79" s="204">
        <f>IFERROR(__xludf.DUMMYFUNCTION("GOOGLEFINANCE(""CURRENCY:EURUSD"")*X78"),32.04593275)</f>
        <v>32.04593275</v>
      </c>
      <c r="Y79" s="204">
        <f>IFERROR(__xludf.DUMMYFUNCTION("GOOGLEFINANCE(""CURRENCY:EURUSD"")*Y78"),32.87144515)</f>
        <v>32.87144515</v>
      </c>
      <c r="Z79" s="204">
        <f>IFERROR(__xludf.DUMMYFUNCTION("GOOGLEFINANCE(""CURRENCY:EURUSD"")*Z78"),32.91730695)</f>
        <v>32.91730695</v>
      </c>
      <c r="AA79" s="204">
        <f>IFERROR(__xludf.DUMMYFUNCTION("GOOGLEFINANCE(""CURRENCY:EURUSD"")*AA78"),54.357698449999994)</f>
        <v>54.35769845</v>
      </c>
      <c r="AB79" s="204">
        <f>IFERROR(__xludf.DUMMYFUNCTION("GOOGLEFINANCE(""CURRENCY:EURUSD"")*AB78"),54.42649115)</f>
        <v>54.42649115</v>
      </c>
      <c r="AC79" s="204">
        <f>IFERROR(__xludf.DUMMYFUNCTION("GOOGLEFINANCE(""CURRENCY:EURUSD"")*AC78"),54.80485099999999)</f>
        <v>54.804851</v>
      </c>
      <c r="AD79" s="204">
        <f>IFERROR(__xludf.DUMMYFUNCTION("GOOGLEFINANCE(""CURRENCY:EURUSD"")*AD78"),54.80485099999999)</f>
        <v>54.804851</v>
      </c>
      <c r="AE79" s="204">
        <f>IFERROR(__xludf.DUMMYFUNCTION("GOOGLEFINANCE(""CURRENCY:EURUSD"")*AE78"),54.793385549999996)</f>
        <v>54.79338555</v>
      </c>
    </row>
    <row r="80">
      <c r="A80" s="17" t="s">
        <v>239</v>
      </c>
      <c r="B80" s="264">
        <v>0.0</v>
      </c>
      <c r="C80" s="264">
        <v>0.0</v>
      </c>
      <c r="D80" s="264">
        <v>0.0</v>
      </c>
      <c r="E80" s="264">
        <v>0.0</v>
      </c>
      <c r="F80" s="264">
        <v>0.0</v>
      </c>
      <c r="G80" s="264">
        <v>0.0</v>
      </c>
      <c r="H80" s="264">
        <v>0.0</v>
      </c>
      <c r="I80" s="264">
        <v>0.0</v>
      </c>
      <c r="J80" s="264">
        <v>0.0</v>
      </c>
      <c r="K80" s="264">
        <v>0.0</v>
      </c>
      <c r="L80" s="264">
        <v>0.0</v>
      </c>
      <c r="M80" s="264">
        <v>0.0</v>
      </c>
      <c r="N80" s="264">
        <v>0.0</v>
      </c>
      <c r="O80" s="264">
        <v>5.72</v>
      </c>
      <c r="P80" s="264">
        <v>7.5</v>
      </c>
      <c r="Q80" s="264">
        <v>5.65</v>
      </c>
      <c r="R80" s="264">
        <v>7.21</v>
      </c>
      <c r="S80" s="264">
        <v>5.84</v>
      </c>
      <c r="T80" s="264">
        <v>0.0</v>
      </c>
      <c r="U80" s="264">
        <v>0.0</v>
      </c>
      <c r="V80" s="264">
        <v>0.0</v>
      </c>
      <c r="W80" s="264">
        <v>0.0</v>
      </c>
      <c r="X80" s="264">
        <v>0.0</v>
      </c>
      <c r="Y80" s="264">
        <v>0.0</v>
      </c>
      <c r="Z80" s="264">
        <v>40.34</v>
      </c>
      <c r="AA80" s="264">
        <v>38.09</v>
      </c>
      <c r="AB80" s="264">
        <v>51.01</v>
      </c>
      <c r="AC80" s="264">
        <v>46.29</v>
      </c>
      <c r="AD80" s="264">
        <v>43.94</v>
      </c>
      <c r="AE80" s="264">
        <v>35.18</v>
      </c>
    </row>
    <row r="81">
      <c r="A81" s="17" t="s">
        <v>211</v>
      </c>
      <c r="B81" s="264">
        <v>0.0</v>
      </c>
      <c r="C81" s="264">
        <v>0.0</v>
      </c>
      <c r="D81" s="264">
        <v>0.0</v>
      </c>
      <c r="E81" s="264">
        <v>0.0</v>
      </c>
      <c r="F81" s="264">
        <v>0.0</v>
      </c>
      <c r="G81" s="264">
        <v>0.0</v>
      </c>
      <c r="H81" s="264">
        <v>0.0</v>
      </c>
      <c r="I81" s="264">
        <v>0.0</v>
      </c>
      <c r="J81" s="264">
        <v>0.0</v>
      </c>
      <c r="K81" s="264">
        <v>0.0</v>
      </c>
      <c r="L81" s="264">
        <v>0.0</v>
      </c>
      <c r="M81" s="264">
        <v>0.0</v>
      </c>
      <c r="N81" s="264">
        <v>0.0</v>
      </c>
      <c r="O81" s="264">
        <v>0.0</v>
      </c>
      <c r="P81" s="264">
        <v>0.0</v>
      </c>
      <c r="Q81" s="264">
        <v>0.0</v>
      </c>
      <c r="R81" s="264">
        <v>0.0</v>
      </c>
      <c r="S81" s="264">
        <v>0.0</v>
      </c>
      <c r="T81" s="264">
        <v>0.0</v>
      </c>
      <c r="U81" s="264">
        <v>0.0</v>
      </c>
      <c r="V81" s="264">
        <v>0.0</v>
      </c>
      <c r="W81" s="264">
        <v>0.0</v>
      </c>
      <c r="X81" s="264">
        <v>0.0</v>
      </c>
      <c r="Y81" s="264">
        <v>0.0</v>
      </c>
      <c r="Z81" s="264">
        <v>0.0</v>
      </c>
      <c r="AA81" s="264">
        <v>0.0</v>
      </c>
      <c r="AB81" s="264">
        <v>0.0</v>
      </c>
      <c r="AC81" s="264">
        <v>0.0</v>
      </c>
      <c r="AD81" s="264">
        <v>0.0</v>
      </c>
      <c r="AE81" s="264">
        <v>0.0</v>
      </c>
    </row>
    <row r="82">
      <c r="A82" s="281" t="s">
        <v>247</v>
      </c>
      <c r="B82" s="282">
        <f t="shared" ref="B82:AE82" si="16">SUM(B79:B80)</f>
        <v>0.7567197</v>
      </c>
      <c r="C82" s="282">
        <f t="shared" si="16"/>
        <v>0.4127562</v>
      </c>
      <c r="D82" s="282">
        <f t="shared" si="16"/>
        <v>0</v>
      </c>
      <c r="E82" s="282">
        <f t="shared" si="16"/>
        <v>0.44715255</v>
      </c>
      <c r="F82" s="282">
        <f t="shared" si="16"/>
        <v>1.0318905</v>
      </c>
      <c r="G82" s="282">
        <f t="shared" si="16"/>
        <v>0.60766885</v>
      </c>
      <c r="H82" s="282">
        <f t="shared" si="16"/>
        <v>0</v>
      </c>
      <c r="I82" s="282">
        <f t="shared" si="16"/>
        <v>0</v>
      </c>
      <c r="J82" s="282">
        <f t="shared" si="16"/>
        <v>0</v>
      </c>
      <c r="K82" s="282">
        <f t="shared" si="16"/>
        <v>0</v>
      </c>
      <c r="L82" s="282">
        <f t="shared" si="16"/>
        <v>0</v>
      </c>
      <c r="M82" s="282">
        <f t="shared" si="16"/>
        <v>0</v>
      </c>
      <c r="N82" s="282">
        <f t="shared" si="16"/>
        <v>0</v>
      </c>
      <c r="O82" s="282">
        <f t="shared" si="16"/>
        <v>5.72</v>
      </c>
      <c r="P82" s="282">
        <f t="shared" si="16"/>
        <v>7.5</v>
      </c>
      <c r="Q82" s="282">
        <f t="shared" si="16"/>
        <v>5.65</v>
      </c>
      <c r="R82" s="282">
        <f t="shared" si="16"/>
        <v>7.21</v>
      </c>
      <c r="S82" s="282">
        <f t="shared" si="16"/>
        <v>5.84</v>
      </c>
      <c r="T82" s="282">
        <f t="shared" si="16"/>
        <v>0</v>
      </c>
      <c r="U82" s="282">
        <f t="shared" si="16"/>
        <v>7.0168554</v>
      </c>
      <c r="V82" s="282">
        <f t="shared" si="16"/>
        <v>25.25838635</v>
      </c>
      <c r="W82" s="282">
        <f t="shared" si="16"/>
        <v>31.2548167</v>
      </c>
      <c r="X82" s="282">
        <f t="shared" si="16"/>
        <v>32.04593275</v>
      </c>
      <c r="Y82" s="282">
        <f t="shared" si="16"/>
        <v>32.87144515</v>
      </c>
      <c r="Z82" s="282">
        <f t="shared" si="16"/>
        <v>73.25730695</v>
      </c>
      <c r="AA82" s="282">
        <f t="shared" si="16"/>
        <v>92.44769845</v>
      </c>
      <c r="AB82" s="282">
        <f t="shared" si="16"/>
        <v>105.4364912</v>
      </c>
      <c r="AC82" s="282">
        <f t="shared" si="16"/>
        <v>101.094851</v>
      </c>
      <c r="AD82" s="282">
        <f t="shared" si="16"/>
        <v>98.744851</v>
      </c>
      <c r="AE82" s="282">
        <f t="shared" si="16"/>
        <v>89.97338555</v>
      </c>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row>
    <row r="84">
      <c r="A84" s="287" t="s">
        <v>249</v>
      </c>
      <c r="B84" s="288">
        <f t="shared" ref="B84:AE84" si="17">B35/B76</f>
        <v>2.639989166</v>
      </c>
      <c r="C84" s="289">
        <f t="shared" si="17"/>
        <v>3.453584374</v>
      </c>
      <c r="D84" s="290">
        <f t="shared" si="17"/>
        <v>3.330667246</v>
      </c>
      <c r="E84" s="291">
        <f t="shared" si="17"/>
        <v>4.006451068</v>
      </c>
      <c r="F84" s="292">
        <f t="shared" si="17"/>
        <v>3.147891873</v>
      </c>
      <c r="G84" s="293">
        <f t="shared" si="17"/>
        <v>2.450466171</v>
      </c>
      <c r="H84" s="294">
        <f t="shared" si="17"/>
        <v>3.169347713</v>
      </c>
      <c r="I84" s="295">
        <f t="shared" si="17"/>
        <v>3.689130185</v>
      </c>
      <c r="J84" s="296">
        <f t="shared" si="17"/>
        <v>3.684431394</v>
      </c>
      <c r="K84" s="297">
        <f t="shared" si="17"/>
        <v>2.630043731</v>
      </c>
      <c r="L84" s="298">
        <f t="shared" si="17"/>
        <v>2.656510092</v>
      </c>
      <c r="M84" s="296">
        <f t="shared" si="17"/>
        <v>2.731363734</v>
      </c>
      <c r="N84" s="299">
        <f t="shared" si="17"/>
        <v>2.698869735</v>
      </c>
      <c r="O84" s="300">
        <f t="shared" si="17"/>
        <v>3.556734358</v>
      </c>
      <c r="P84" s="301">
        <f t="shared" si="17"/>
        <v>2.857095636</v>
      </c>
      <c r="Q84" s="302">
        <f t="shared" si="17"/>
        <v>2.827044394</v>
      </c>
      <c r="R84" s="303">
        <f t="shared" si="17"/>
        <v>2.262344946</v>
      </c>
      <c r="S84" s="304">
        <f t="shared" si="17"/>
        <v>5.485333835</v>
      </c>
      <c r="T84" s="305">
        <f t="shared" si="17"/>
        <v>4.550976596</v>
      </c>
      <c r="U84" s="306">
        <f t="shared" si="17"/>
        <v>3.732003502</v>
      </c>
      <c r="V84" s="307">
        <f t="shared" si="17"/>
        <v>3.494615583</v>
      </c>
      <c r="W84" s="308">
        <f t="shared" si="17"/>
        <v>8.067482787</v>
      </c>
      <c r="X84" s="302">
        <f t="shared" si="17"/>
        <v>2.542386962</v>
      </c>
      <c r="Y84" s="309">
        <f t="shared" si="17"/>
        <v>2.783290323</v>
      </c>
      <c r="Z84" s="310">
        <f t="shared" si="17"/>
        <v>2.959524703</v>
      </c>
      <c r="AA84" s="311">
        <f t="shared" si="17"/>
        <v>2.647055854</v>
      </c>
      <c r="AB84" s="312">
        <f t="shared" si="17"/>
        <v>4.080433983</v>
      </c>
      <c r="AC84" s="313">
        <f t="shared" si="17"/>
        <v>3.667973497</v>
      </c>
      <c r="AD84" s="314">
        <f t="shared" si="17"/>
        <v>3.788820589</v>
      </c>
      <c r="AE84" s="314">
        <f t="shared" si="17"/>
        <v>2.750605481</v>
      </c>
    </row>
    <row r="85">
      <c r="A85" s="53" t="s">
        <v>255</v>
      </c>
      <c r="B85" s="316">
        <f t="shared" ref="B85:AE85" si="18">B8/B75</f>
        <v>2.653980175</v>
      </c>
      <c r="C85" s="316">
        <f t="shared" si="18"/>
        <v>4.023050335</v>
      </c>
      <c r="D85" s="316">
        <f t="shared" si="18"/>
        <v>3.632498003</v>
      </c>
      <c r="E85" s="316">
        <f t="shared" si="18"/>
        <v>4.151567215</v>
      </c>
      <c r="F85" s="316">
        <f t="shared" si="18"/>
        <v>3.00684213</v>
      </c>
      <c r="G85" s="316">
        <f t="shared" si="18"/>
        <v>2.259362763</v>
      </c>
      <c r="H85" s="316">
        <f t="shared" si="18"/>
        <v>3.299057</v>
      </c>
      <c r="I85" s="316">
        <f t="shared" si="18"/>
        <v>4.049820031</v>
      </c>
      <c r="J85" s="316">
        <f t="shared" si="18"/>
        <v>3.304832826</v>
      </c>
      <c r="K85" s="316">
        <f t="shared" si="18"/>
        <v>2.63457482</v>
      </c>
      <c r="L85" s="316">
        <f t="shared" si="18"/>
        <v>2.380330896</v>
      </c>
      <c r="M85" s="316">
        <f t="shared" si="18"/>
        <v>2.346165488</v>
      </c>
      <c r="N85" s="316">
        <f t="shared" si="18"/>
        <v>2.863060186</v>
      </c>
      <c r="O85" s="316">
        <f t="shared" si="18"/>
        <v>4.201461885</v>
      </c>
      <c r="P85" s="316">
        <f t="shared" si="18"/>
        <v>3.362660897</v>
      </c>
      <c r="Q85" s="316">
        <f t="shared" si="18"/>
        <v>2.786595182</v>
      </c>
      <c r="R85" s="316">
        <f t="shared" si="18"/>
        <v>2.651084215</v>
      </c>
      <c r="S85" s="316">
        <f t="shared" si="18"/>
        <v>7.142909054</v>
      </c>
      <c r="T85" s="316">
        <f t="shared" si="18"/>
        <v>4.290021872</v>
      </c>
      <c r="U85" s="316">
        <f t="shared" si="18"/>
        <v>3.354585809</v>
      </c>
      <c r="V85" s="316">
        <f t="shared" si="18"/>
        <v>3.101371862</v>
      </c>
      <c r="W85" s="316">
        <f t="shared" si="18"/>
        <v>8.098531162</v>
      </c>
      <c r="X85" s="316">
        <f t="shared" si="18"/>
        <v>2.37468161</v>
      </c>
      <c r="Y85" s="316">
        <f t="shared" si="18"/>
        <v>2.270954221</v>
      </c>
      <c r="Z85" s="316">
        <f t="shared" si="18"/>
        <v>2.488671663</v>
      </c>
      <c r="AA85" s="316">
        <f t="shared" si="18"/>
        <v>1.932667678</v>
      </c>
      <c r="AB85" s="316">
        <f t="shared" si="18"/>
        <v>4.136034618</v>
      </c>
      <c r="AC85" s="316">
        <f t="shared" si="18"/>
        <v>3.578988859</v>
      </c>
      <c r="AD85" s="314">
        <f t="shared" si="18"/>
        <v>3.49006938</v>
      </c>
      <c r="AE85" s="314">
        <f t="shared" si="18"/>
        <v>3.115448242</v>
      </c>
    </row>
    <row r="86">
      <c r="A86" s="53" t="s">
        <v>260</v>
      </c>
      <c r="B86" s="316">
        <f t="shared" ref="B86:AE86" si="19">B15/B69</f>
        <v>2.570562479</v>
      </c>
      <c r="C86" s="316">
        <f t="shared" si="19"/>
        <v>1.599126056</v>
      </c>
      <c r="D86" s="316">
        <f t="shared" si="19"/>
        <v>2.192347694</v>
      </c>
      <c r="E86" s="316">
        <f t="shared" si="19"/>
        <v>3.33312834</v>
      </c>
      <c r="F86" s="316">
        <f t="shared" si="19"/>
        <v>4.281565107</v>
      </c>
      <c r="G86" s="314">
        <f t="shared" si="19"/>
        <v>3.595102846</v>
      </c>
      <c r="H86" s="314">
        <f t="shared" si="19"/>
        <v>2.656415424</v>
      </c>
      <c r="I86" s="316">
        <f t="shared" si="19"/>
        <v>2.017867883</v>
      </c>
      <c r="J86" s="316">
        <f t="shared" si="19"/>
        <v>4.119680978</v>
      </c>
      <c r="K86" s="316">
        <f t="shared" si="19"/>
        <v>2.87075132</v>
      </c>
      <c r="L86" s="316">
        <f t="shared" si="19"/>
        <v>3.639200895</v>
      </c>
      <c r="M86" s="316">
        <f t="shared" si="19"/>
        <v>4.797372654</v>
      </c>
      <c r="N86" s="316">
        <f t="shared" si="19"/>
        <v>4.880093356</v>
      </c>
      <c r="O86" s="316">
        <f t="shared" si="19"/>
        <v>5.451885386</v>
      </c>
      <c r="P86" s="316">
        <f t="shared" si="19"/>
        <v>2.695858589</v>
      </c>
      <c r="Q86" s="316">
        <f t="shared" si="19"/>
        <v>2.70981635</v>
      </c>
      <c r="R86" s="316">
        <f t="shared" si="19"/>
        <v>2.198857405</v>
      </c>
      <c r="S86" s="316">
        <f t="shared" si="19"/>
        <v>3.461454468</v>
      </c>
      <c r="T86" s="316">
        <f t="shared" si="19"/>
        <v>6.350261105</v>
      </c>
      <c r="U86" s="316">
        <f t="shared" si="19"/>
        <v>4.551377476</v>
      </c>
      <c r="V86" s="316">
        <f t="shared" si="19"/>
        <v>4.816844725</v>
      </c>
      <c r="W86" s="316">
        <f t="shared" si="19"/>
        <v>8.013480556</v>
      </c>
      <c r="X86" s="316">
        <f t="shared" si="19"/>
        <v>3.196775428</v>
      </c>
      <c r="Y86" s="316">
        <f t="shared" si="19"/>
        <v>5.180539855</v>
      </c>
      <c r="Z86" s="316">
        <f t="shared" si="19"/>
        <v>5.713093587</v>
      </c>
      <c r="AA86" s="316">
        <f t="shared" si="19"/>
        <v>6.06491549</v>
      </c>
      <c r="AB86" s="316">
        <f t="shared" si="19"/>
        <v>3.579715585</v>
      </c>
      <c r="AC86" s="316">
        <f t="shared" si="19"/>
        <v>3.237242019</v>
      </c>
      <c r="AD86" s="314">
        <f t="shared" si="19"/>
        <v>3.89736673</v>
      </c>
      <c r="AE86" s="314">
        <f t="shared" si="19"/>
        <v>1.978074201</v>
      </c>
    </row>
    <row r="87">
      <c r="A87" s="53" t="s">
        <v>262</v>
      </c>
      <c r="B87" s="318">
        <f t="shared" ref="B87:AE87" si="20">B42/B82</f>
        <v>0</v>
      </c>
      <c r="C87" s="318">
        <f t="shared" si="20"/>
        <v>0</v>
      </c>
      <c r="D87" s="318" t="str">
        <f t="shared" si="20"/>
        <v>#DIV/0!</v>
      </c>
      <c r="E87" s="318">
        <f t="shared" si="20"/>
        <v>0</v>
      </c>
      <c r="F87" s="318">
        <f t="shared" si="20"/>
        <v>0</v>
      </c>
      <c r="G87" s="318">
        <f t="shared" si="20"/>
        <v>5.809084998</v>
      </c>
      <c r="H87" s="318" t="str">
        <f t="shared" si="20"/>
        <v>#DIV/0!</v>
      </c>
      <c r="I87" s="318" t="str">
        <f t="shared" si="20"/>
        <v>#DIV/0!</v>
      </c>
      <c r="J87" s="318" t="str">
        <f t="shared" si="20"/>
        <v>#DIV/0!</v>
      </c>
      <c r="K87" s="318" t="str">
        <f t="shared" si="20"/>
        <v>#DIV/0!</v>
      </c>
      <c r="L87" s="318" t="str">
        <f t="shared" si="20"/>
        <v>#DIV/0!</v>
      </c>
      <c r="M87" s="318" t="str">
        <f t="shared" si="20"/>
        <v>#DIV/0!</v>
      </c>
      <c r="N87" s="318" t="str">
        <f t="shared" si="20"/>
        <v>#DIV/0!</v>
      </c>
      <c r="O87" s="318">
        <f t="shared" si="20"/>
        <v>0</v>
      </c>
      <c r="P87" s="318">
        <f t="shared" si="20"/>
        <v>4.688</v>
      </c>
      <c r="Q87" s="318">
        <f t="shared" si="20"/>
        <v>2.830088496</v>
      </c>
      <c r="R87" s="318">
        <f t="shared" si="20"/>
        <v>4.87517337</v>
      </c>
      <c r="S87" s="318">
        <f t="shared" si="20"/>
        <v>1431.678676</v>
      </c>
      <c r="T87" s="318" t="str">
        <f t="shared" si="20"/>
        <v>#DIV/0!</v>
      </c>
      <c r="U87" s="318">
        <f t="shared" si="20"/>
        <v>780.5748304</v>
      </c>
      <c r="V87" s="318">
        <f t="shared" si="20"/>
        <v>171.9156722</v>
      </c>
      <c r="W87" s="318">
        <f t="shared" si="20"/>
        <v>94.43280712</v>
      </c>
      <c r="X87" s="318">
        <f t="shared" si="20"/>
        <v>92.42214799</v>
      </c>
      <c r="Y87" s="318">
        <f t="shared" si="20"/>
        <v>80.17027079</v>
      </c>
      <c r="Z87" s="318">
        <f t="shared" si="20"/>
        <v>25.97456088</v>
      </c>
      <c r="AA87" s="318">
        <f t="shared" si="20"/>
        <v>21.96987794</v>
      </c>
      <c r="AB87" s="318">
        <f t="shared" si="20"/>
        <v>13.50420337</v>
      </c>
      <c r="AC87" s="318">
        <f t="shared" si="20"/>
        <v>14.02305003</v>
      </c>
      <c r="AD87" s="320">
        <f t="shared" si="20"/>
        <v>71.89371466</v>
      </c>
      <c r="AE87" s="320">
        <f t="shared" si="20"/>
        <v>85.23641437</v>
      </c>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row>
    <row r="89">
      <c r="A89" s="321" t="s">
        <v>265</v>
      </c>
      <c r="B89" s="322">
        <f>B76/sum('DTC - P&amp;L'!B57,'AMAZON - P&amp;L'!B32,'Digital Marketplaces'!B17)</f>
        <v>100.1553652</v>
      </c>
      <c r="C89" s="322">
        <f>C76/sum('DTC - P&amp;L'!C57,'AMAZON - P&amp;L'!C32,'Digital Marketplaces'!C17)</f>
        <v>73.95842667</v>
      </c>
      <c r="D89" s="322">
        <f>D76/sum('DTC - P&amp;L'!D57,'AMAZON - P&amp;L'!D32,'Digital Marketplaces'!D17)</f>
        <v>77.71693617</v>
      </c>
      <c r="E89" s="322">
        <f>E76/sum('DTC - P&amp;L'!E57,'AMAZON - P&amp;L'!E32,'Digital Marketplaces'!E17)</f>
        <v>61.4923878</v>
      </c>
      <c r="F89" s="322">
        <f>F76/sum('DTC - P&amp;L'!F57,'AMAZON - P&amp;L'!F32,'Digital Marketplaces'!F17)</f>
        <v>78.65962287</v>
      </c>
      <c r="G89" s="322">
        <f>G76/sum('DTC - P&amp;L'!G57,'AMAZON - P&amp;L'!G32,'Digital Marketplaces'!G17)</f>
        <v>107.6852083</v>
      </c>
      <c r="H89" s="322">
        <f>H76/sum('DTC - P&amp;L'!H57,'AMAZON - P&amp;L'!H32,'Digital Marketplaces'!H17)</f>
        <v>93.62870677</v>
      </c>
      <c r="I89" s="322">
        <f>I76/sum('DTC - P&amp;L'!I57,'AMAZON - P&amp;L'!I32,'Digital Marketplaces'!I17)</f>
        <v>97.67471673</v>
      </c>
      <c r="J89" s="322">
        <f>J76/sum('DTC - P&amp;L'!J57,'AMAZON - P&amp;L'!J32,'Digital Marketplaces'!J17)</f>
        <v>96.48704083</v>
      </c>
      <c r="K89" s="322">
        <f>K76/sum('DTC - P&amp;L'!K57,'AMAZON - P&amp;L'!K32,'Digital Marketplaces'!K17)</f>
        <v>129.4469436</v>
      </c>
      <c r="L89" s="322">
        <f>L76/sum('DTC - P&amp;L'!L57,'AMAZON - P&amp;L'!L32,'Digital Marketplaces'!L17)</f>
        <v>136.0126167</v>
      </c>
      <c r="M89" s="322">
        <f>M76/sum('DTC - P&amp;L'!M57,'AMAZON - P&amp;L'!M32,'Digital Marketplaces'!M17)</f>
        <v>128.6354589</v>
      </c>
      <c r="N89" s="322">
        <f>N76/sum('DTC - P&amp;L'!N57,'AMAZON - P&amp;L'!N32,'Digital Marketplaces'!N17)</f>
        <v>113.6754877</v>
      </c>
      <c r="O89" s="322">
        <f>O76/sum('DTC - P&amp;L'!O57,'AMAZON - P&amp;L'!O32,'Digital Marketplaces'!O17)</f>
        <v>83.75177163</v>
      </c>
      <c r="P89" s="322">
        <f>P76/sum('DTC - P&amp;L'!P57,'AMAZON - P&amp;L'!P32,'Digital Marketplaces'!P17)</f>
        <v>108.2320196</v>
      </c>
      <c r="Q89" s="322">
        <f>Q76/sum('DTC - P&amp;L'!Q57,'AMAZON - P&amp;L'!Q32,'Digital Marketplaces'!Q17)</f>
        <v>121.6344535</v>
      </c>
      <c r="R89" s="322">
        <f>R76/sum('DTC - P&amp;L'!R57,'AMAZON - P&amp;L'!R32,'Digital Marketplaces'!R17)</f>
        <v>126.9772044</v>
      </c>
      <c r="S89" s="322">
        <f>S76/sum('DTC - P&amp;L'!S57,'AMAZON - P&amp;L'!S32,'Digital Marketplaces'!S17)</f>
        <v>101.0026317</v>
      </c>
      <c r="T89" s="322">
        <f>T76/sum('DTC - P&amp;L'!T57,'AMAZON - P&amp;L'!T32,'Digital Marketplaces'!T17)</f>
        <v>93.89741968</v>
      </c>
      <c r="U89" s="322">
        <f>U76/sum('DTC - P&amp;L'!U57,'AMAZON - P&amp;L'!U32,'Digital Marketplaces'!U17)</f>
        <v>99.27618555</v>
      </c>
      <c r="V89" s="322">
        <f>V76/sum('DTC - P&amp;L'!V57,'AMAZON - P&amp;L'!V32,'Digital Marketplaces'!V17)</f>
        <v>101.5251268</v>
      </c>
      <c r="W89" s="322">
        <f>W76/sum('DTC - P&amp;L'!W57,'AMAZON - P&amp;L'!W32,'Digital Marketplaces'!W17)</f>
        <v>40.8845</v>
      </c>
      <c r="X89" s="322">
        <f>X76/sum('DTC - P&amp;L'!X57,'AMAZON - P&amp;L'!X32,'Digital Marketplaces'!X17)</f>
        <v>139.2214543</v>
      </c>
      <c r="Y89" s="322">
        <f>Y76/sum('DTC - P&amp;L'!Y57,'AMAZON - P&amp;L'!Y32,'Digital Marketplaces'!Y17)</f>
        <v>122.8661298</v>
      </c>
      <c r="Z89" s="322">
        <f>Z76/sum('DTC - P&amp;L'!Z57,'AMAZON - P&amp;L'!Z32,'Digital Marketplaces'!Z17)</f>
        <v>110.1534075</v>
      </c>
      <c r="AA89" s="322">
        <f>AA76/sum('DTC - P&amp;L'!AA57,'AMAZON - P&amp;L'!AA32,'Digital Marketplaces'!AA17)</f>
        <v>122.5674019</v>
      </c>
      <c r="AB89" s="322">
        <f>AB76/sum('DTC - P&amp;L'!AB57,'AMAZON - P&amp;L'!AB32,'Digital Marketplaces'!AB17)</f>
        <v>75.09928051</v>
      </c>
      <c r="AC89" s="322">
        <f>AC76/sum('DTC - P&amp;L'!AC57,'AMAZON - P&amp;L'!AC32,'Digital Marketplaces'!AC17)</f>
        <v>79.89737345</v>
      </c>
      <c r="AD89" s="322">
        <f>AD76/sum('DTC - P&amp;L'!AD57,'AMAZON - P&amp;L'!AD32,'Digital Marketplaces'!AD17)</f>
        <v>78.93965105</v>
      </c>
      <c r="AE89" s="322">
        <f>AE76/sum('DTC - P&amp;L'!AE57,'AMAZON - P&amp;L'!AE32,'Digital Marketplaces'!AE17)</f>
        <v>109.092281</v>
      </c>
    </row>
    <row r="90">
      <c r="A90" s="326" t="s">
        <v>279</v>
      </c>
      <c r="B90" s="257">
        <f>B75/'DTC - P&amp;L'!B57</f>
        <v>97.46365772</v>
      </c>
      <c r="C90" s="257">
        <f>C75/'DTC - P&amp;L'!C57</f>
        <v>62.35673551</v>
      </c>
      <c r="D90" s="257">
        <f>D75/'DTC - P&amp;L'!D57</f>
        <v>70.35435425</v>
      </c>
      <c r="E90" s="257">
        <f>E75/'DTC - P&amp;L'!E57</f>
        <v>57.95988801</v>
      </c>
      <c r="F90" s="257">
        <f>F75/'DTC - P&amp;L'!F57</f>
        <v>80.44920916</v>
      </c>
      <c r="G90" s="257">
        <f>G75/'DTC - P&amp;L'!G57</f>
        <v>108.4679341</v>
      </c>
      <c r="H90" s="257">
        <f>H75/'DTC - P&amp;L'!H57</f>
        <v>82.32058</v>
      </c>
      <c r="I90" s="257">
        <f>I75/'DTC - P&amp;L'!I57</f>
        <v>71.87928378</v>
      </c>
      <c r="J90" s="257">
        <f>J75/'DTC - P&amp;L'!J57</f>
        <v>90.80907547</v>
      </c>
      <c r="K90" s="257">
        <f>K75/'DTC - P&amp;L'!K57</f>
        <v>117.7080474</v>
      </c>
      <c r="L90" s="257">
        <f>L75/'DTC - P&amp;L'!L57</f>
        <v>128.17175</v>
      </c>
      <c r="M90" s="257">
        <f>M75/'DTC - P&amp;L'!M57</f>
        <v>123.0150252</v>
      </c>
      <c r="N90" s="257">
        <f>N75/'DTC - P&amp;L'!N57</f>
        <v>94.86253351</v>
      </c>
      <c r="O90" s="257">
        <f>O75/'DTC - P&amp;L'!O57</f>
        <v>64.47160713</v>
      </c>
      <c r="P90" s="257">
        <f>P75/'DTC - P&amp;L'!P57</f>
        <v>82.49853724</v>
      </c>
      <c r="Q90" s="257">
        <f>Q75/'DTC - P&amp;L'!Q57</f>
        <v>101.5026038</v>
      </c>
      <c r="R90" s="257">
        <f>R75/'DTC - P&amp;L'!R57</f>
        <v>102.1404495</v>
      </c>
      <c r="S90" s="257">
        <f>S75/'DTC - P&amp;L'!S57</f>
        <v>85.70753991</v>
      </c>
      <c r="T90" s="257">
        <f>T75/'DTC - P&amp;L'!T57</f>
        <v>110.9978276</v>
      </c>
      <c r="U90" s="257">
        <f>U75/'DTC - P&amp;L'!U57</f>
        <v>114.4633802</v>
      </c>
      <c r="V90" s="257">
        <f>V75/'DTC - P&amp;L'!V57</f>
        <v>121.3083354</v>
      </c>
      <c r="W90" s="257">
        <f>W75/'DTC - P&amp;L'!W57</f>
        <v>43.99881356</v>
      </c>
      <c r="X90" s="257">
        <f>X75/'DTC - P&amp;L'!X57</f>
        <v>157.1950843</v>
      </c>
      <c r="Y90" s="257">
        <f>Y75/'DTC - P&amp;L'!Y57</f>
        <v>159.094545</v>
      </c>
      <c r="Z90" s="257">
        <f>Z75/'DTC - P&amp;L'!Z57</f>
        <v>135.8760331</v>
      </c>
      <c r="AA90" s="257">
        <f>AA75/'DTC - P&amp;L'!AA57</f>
        <v>174.3526267</v>
      </c>
      <c r="AB90" s="257">
        <f>AB75/'DTC - P&amp;L'!AB57</f>
        <v>73.07263729</v>
      </c>
      <c r="AC90" s="257">
        <f>AC75/'DTC - P&amp;L'!AC57</f>
        <v>89.19639348</v>
      </c>
      <c r="AD90" s="257">
        <f>AD75/'DTC - P&amp;L'!AD57</f>
        <v>93.44238622</v>
      </c>
      <c r="AE90" s="257">
        <f>AE75/'DTC - P&amp;L'!AE57</f>
        <v>101.4614669</v>
      </c>
    </row>
    <row r="91">
      <c r="A91" s="326" t="s">
        <v>288</v>
      </c>
      <c r="B91" s="257">
        <f>B69/'AMAZON - P&amp;L'!B32</f>
        <v>116.0609091</v>
      </c>
      <c r="C91" s="257">
        <f>C69/'AMAZON - P&amp;L'!C32</f>
        <v>187.655</v>
      </c>
      <c r="D91" s="257">
        <f>D69/'AMAZON - P&amp;L'!D32</f>
        <v>128.3888235</v>
      </c>
      <c r="E91" s="257">
        <f>E69/'AMAZON - P&amp;L'!E32</f>
        <v>85.73818182</v>
      </c>
      <c r="F91" s="257">
        <f>F69/'AMAZON - P&amp;L'!F32</f>
        <v>66.72904762</v>
      </c>
      <c r="G91" s="257">
        <f>G69/'AMAZON - P&amp;L'!G32</f>
        <v>82.83722222</v>
      </c>
      <c r="H91" s="257">
        <f>H69/'AMAZON - P&amp;L'!H32</f>
        <v>111.4561538</v>
      </c>
      <c r="I91" s="257">
        <f>I69/'AMAZON - P&amp;L'!I32</f>
        <v>147.975</v>
      </c>
      <c r="J91" s="257">
        <f>J69/'AMAZON - P&amp;L'!J32</f>
        <v>72.62576923</v>
      </c>
      <c r="K91" s="257">
        <f>K69/'AMAZON - P&amp;L'!K32</f>
        <v>104.4040909</v>
      </c>
      <c r="L91" s="257">
        <f>L69/'AMAZON - P&amp;L'!L32</f>
        <v>81.705</v>
      </c>
      <c r="M91" s="257">
        <f>M69/'AMAZON - P&amp;L'!M32</f>
        <v>62.16666667</v>
      </c>
      <c r="N91" s="257">
        <f>N69/'AMAZON - P&amp;L'!N32</f>
        <v>61.57259259</v>
      </c>
      <c r="O91" s="257">
        <f>O69/'AMAZON - P&amp;L'!O32</f>
        <v>54.72483871</v>
      </c>
      <c r="P91" s="257">
        <f>P69/'AMAZON - P&amp;L'!P32</f>
        <v>111.6366667</v>
      </c>
      <c r="Q91" s="257">
        <f>Q69/'AMAZON - P&amp;L'!Q32</f>
        <v>109.6809524</v>
      </c>
      <c r="R91" s="257">
        <f>R69/'AMAZON - P&amp;L'!R32</f>
        <v>135.7533333</v>
      </c>
      <c r="S91" s="257">
        <f>S69/'AMAZON - P&amp;L'!S32</f>
        <v>86.4536</v>
      </c>
      <c r="T91" s="257">
        <f>T69/'AMAZON - P&amp;L'!T32</f>
        <v>47.13102041</v>
      </c>
      <c r="U91" s="257">
        <f>U69/'AMAZON - P&amp;L'!U32</f>
        <v>65.3709375</v>
      </c>
      <c r="V91" s="257">
        <f>V69/'AMAZON - P&amp;L'!V32</f>
        <v>61.95870968</v>
      </c>
      <c r="W91" s="257">
        <f>W69/'AMAZON - P&amp;L'!W32</f>
        <v>36.40292683</v>
      </c>
      <c r="X91" s="257">
        <f>X69/'AMAZON - P&amp;L'!X32</f>
        <v>89.58</v>
      </c>
      <c r="Y91" s="257">
        <f>Y69/'AMAZON - P&amp;L'!Y32</f>
        <v>57.84076923</v>
      </c>
      <c r="Z91" s="257">
        <f>Z69/'AMAZON - P&amp;L'!Z32</f>
        <v>52.2775</v>
      </c>
      <c r="AA91" s="257">
        <f>AA69/'AMAZON - P&amp;L'!AA32</f>
        <v>49.205</v>
      </c>
      <c r="AB91" s="257">
        <f>AB69/'AMAZON - P&amp;L'!AB32</f>
        <v>80.70235294</v>
      </c>
      <c r="AC91" s="257">
        <f>AC69/'AMAZON - P&amp;L'!AC32</f>
        <v>92.5102439</v>
      </c>
      <c r="AD91" s="257">
        <f>AD69/'AMAZON - P&amp;L'!AD32</f>
        <v>76.54648649</v>
      </c>
      <c r="AE91" s="257">
        <f>AE69/'AMAZON - P&amp;L'!AE32</f>
        <v>122.9003125</v>
      </c>
    </row>
    <row r="92">
      <c r="A92" s="53" t="s">
        <v>292</v>
      </c>
      <c r="B92" s="257" t="str">
        <f t="shared" ref="B92:AE92" si="21">B82/B61</f>
        <v>#DIV/0!</v>
      </c>
      <c r="C92" s="257" t="str">
        <f t="shared" si="21"/>
        <v>#DIV/0!</v>
      </c>
      <c r="D92" s="257" t="str">
        <f t="shared" si="21"/>
        <v>#DIV/0!</v>
      </c>
      <c r="E92" s="257" t="str">
        <f t="shared" si="21"/>
        <v>#DIV/0!</v>
      </c>
      <c r="F92" s="257" t="str">
        <f t="shared" si="21"/>
        <v>#DIV/0!</v>
      </c>
      <c r="G92" s="257">
        <f t="shared" si="21"/>
        <v>0.60766885</v>
      </c>
      <c r="H92" s="257">
        <f t="shared" si="21"/>
        <v>0</v>
      </c>
      <c r="I92" s="257" t="str">
        <f t="shared" si="21"/>
        <v>#DIV/0!</v>
      </c>
      <c r="J92" s="257" t="str">
        <f t="shared" si="21"/>
        <v>#DIV/0!</v>
      </c>
      <c r="K92" s="257" t="str">
        <f t="shared" si="21"/>
        <v>#DIV/0!</v>
      </c>
      <c r="L92" s="257" t="str">
        <f t="shared" si="21"/>
        <v>#DIV/0!</v>
      </c>
      <c r="M92" s="257" t="str">
        <f t="shared" si="21"/>
        <v>#DIV/0!</v>
      </c>
      <c r="N92" s="257" t="str">
        <f t="shared" si="21"/>
        <v>#DIV/0!</v>
      </c>
      <c r="O92" s="257" t="str">
        <f t="shared" si="21"/>
        <v>#DIV/0!</v>
      </c>
      <c r="P92" s="257">
        <f t="shared" si="21"/>
        <v>3.75</v>
      </c>
      <c r="Q92" s="257">
        <f t="shared" si="21"/>
        <v>5.65</v>
      </c>
      <c r="R92" s="257">
        <f t="shared" si="21"/>
        <v>3.605</v>
      </c>
      <c r="S92" s="257">
        <f t="shared" si="21"/>
        <v>0.01123076923</v>
      </c>
      <c r="T92" s="257">
        <f t="shared" si="21"/>
        <v>0</v>
      </c>
      <c r="U92" s="257">
        <f t="shared" si="21"/>
        <v>0.01922426137</v>
      </c>
      <c r="V92" s="257">
        <f t="shared" si="21"/>
        <v>0.08988749591</v>
      </c>
      <c r="W92" s="257">
        <f t="shared" si="21"/>
        <v>0.1586538919</v>
      </c>
      <c r="X92" s="257">
        <f t="shared" si="21"/>
        <v>0.1677797526</v>
      </c>
      <c r="Y92" s="257">
        <f t="shared" si="21"/>
        <v>0.1922306734</v>
      </c>
      <c r="Z92" s="257">
        <f t="shared" si="21"/>
        <v>0.5386566688</v>
      </c>
      <c r="AA92" s="257">
        <f t="shared" si="21"/>
        <v>0.5851120155</v>
      </c>
      <c r="AB92" s="257">
        <f t="shared" si="21"/>
        <v>1.023655254</v>
      </c>
      <c r="AC92" s="333">
        <f t="shared" si="21"/>
        <v>1.000939119</v>
      </c>
      <c r="AD92" s="333">
        <f t="shared" si="21"/>
        <v>0.2105433923</v>
      </c>
      <c r="AE92" s="333">
        <f t="shared" si="21"/>
        <v>0.1795875959</v>
      </c>
    </row>
    <row r="93">
      <c r="A93" s="17"/>
      <c r="B93" s="17"/>
      <c r="C93" s="334"/>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row>
    <row r="94">
      <c r="A94" s="53" t="s">
        <v>299</v>
      </c>
      <c r="B94" s="335">
        <v>0.0114</v>
      </c>
      <c r="C94" s="336">
        <v>0.0097</v>
      </c>
      <c r="D94" s="337">
        <v>0.0157</v>
      </c>
      <c r="E94" s="338">
        <v>0.0198</v>
      </c>
      <c r="F94" s="339">
        <v>0.0182</v>
      </c>
      <c r="G94" s="340">
        <v>0.0167</v>
      </c>
      <c r="H94" s="341">
        <v>0.0153</v>
      </c>
      <c r="I94" s="341">
        <v>0.0146</v>
      </c>
      <c r="J94" s="342">
        <v>0.0133</v>
      </c>
      <c r="K94" s="343">
        <v>0.0132</v>
      </c>
      <c r="L94" s="344">
        <v>0.0109</v>
      </c>
      <c r="M94" s="345">
        <v>0.0093</v>
      </c>
      <c r="N94" s="346">
        <v>0.01</v>
      </c>
      <c r="O94" s="347">
        <v>0.0132</v>
      </c>
      <c r="P94" s="346">
        <v>0.0168</v>
      </c>
      <c r="Q94" s="348">
        <v>0.0146</v>
      </c>
      <c r="R94" s="349">
        <v>0.0127</v>
      </c>
      <c r="S94" s="345">
        <v>0.0496</v>
      </c>
      <c r="T94" s="350">
        <v>0.0211</v>
      </c>
      <c r="U94" s="350">
        <v>0.0166</v>
      </c>
      <c r="V94" s="351">
        <v>0.015</v>
      </c>
      <c r="W94" s="352">
        <v>0.0169</v>
      </c>
      <c r="X94" s="347">
        <v>0.0177</v>
      </c>
      <c r="Y94" s="353">
        <v>0.0164</v>
      </c>
      <c r="Z94" s="354">
        <v>0.0161</v>
      </c>
      <c r="AA94" s="355">
        <v>0.014</v>
      </c>
      <c r="AB94" s="356">
        <v>0.0187</v>
      </c>
      <c r="AC94" s="357">
        <v>0.0166</v>
      </c>
      <c r="AD94" s="357">
        <v>0.0157</v>
      </c>
      <c r="AE94" s="336">
        <v>0.0169</v>
      </c>
    </row>
    <row r="95">
      <c r="A95" s="53" t="s">
        <v>305</v>
      </c>
      <c r="B95" s="358">
        <f t="shared" ref="B95:AE95" si="22">B8/B44</f>
        <v>210.166625</v>
      </c>
      <c r="C95" s="359">
        <f t="shared" si="22"/>
        <v>217.5637168</v>
      </c>
      <c r="D95" s="360">
        <f t="shared" si="22"/>
        <v>215.1133813</v>
      </c>
      <c r="E95" s="361">
        <f t="shared" si="22"/>
        <v>216.2754762</v>
      </c>
      <c r="F95" s="362">
        <f t="shared" si="22"/>
        <v>221.3446405</v>
      </c>
      <c r="G95" s="363">
        <f t="shared" si="22"/>
        <v>209.77856</v>
      </c>
      <c r="H95" s="364">
        <f t="shared" si="22"/>
        <v>234.6990123</v>
      </c>
      <c r="I95" s="365">
        <f t="shared" si="22"/>
        <v>269.1284906</v>
      </c>
      <c r="J95" s="366">
        <f t="shared" si="22"/>
        <v>276.6628125</v>
      </c>
      <c r="K95" s="367">
        <f t="shared" si="22"/>
        <v>253.4237634</v>
      </c>
      <c r="L95" s="368">
        <f t="shared" si="22"/>
        <v>241.2348837</v>
      </c>
      <c r="M95" s="369">
        <f t="shared" si="22"/>
        <v>255.1511594</v>
      </c>
      <c r="N95" s="370">
        <f t="shared" si="22"/>
        <v>259.2518182</v>
      </c>
      <c r="O95" s="371">
        <f t="shared" si="22"/>
        <v>260.5886076</v>
      </c>
      <c r="P95" s="372">
        <f t="shared" si="22"/>
        <v>226.7044086</v>
      </c>
      <c r="Q95" s="373">
        <f t="shared" si="22"/>
        <v>226.9351163</v>
      </c>
      <c r="R95" s="374">
        <f t="shared" si="22"/>
        <v>244.6833735</v>
      </c>
      <c r="S95" s="375">
        <f t="shared" si="22"/>
        <v>88.63518519</v>
      </c>
      <c r="T95" s="376">
        <f t="shared" si="22"/>
        <v>113.6695161</v>
      </c>
      <c r="U95" s="377">
        <f t="shared" si="22"/>
        <v>142.6201143</v>
      </c>
      <c r="V95" s="378">
        <f t="shared" si="22"/>
        <v>167.8113669</v>
      </c>
      <c r="W95" s="379">
        <f t="shared" si="22"/>
        <v>172.3214754</v>
      </c>
      <c r="X95" s="380">
        <f t="shared" si="22"/>
        <v>173.20576</v>
      </c>
      <c r="Y95" s="360">
        <f t="shared" si="22"/>
        <v>187.3388889</v>
      </c>
      <c r="Z95" s="381">
        <f t="shared" si="22"/>
        <v>197.9419512</v>
      </c>
      <c r="AA95" s="257">
        <f t="shared" si="22"/>
        <v>171.8525</v>
      </c>
      <c r="AB95" s="257">
        <f t="shared" si="22"/>
        <v>236.7475833</v>
      </c>
      <c r="AC95" s="382">
        <f t="shared" si="22"/>
        <v>202.083211</v>
      </c>
      <c r="AD95" s="257">
        <f t="shared" si="22"/>
        <v>231.1338835</v>
      </c>
      <c r="AE95" s="257">
        <f t="shared" si="22"/>
        <v>239.3751456</v>
      </c>
    </row>
    <row r="96">
      <c r="A96" s="53" t="s">
        <v>307</v>
      </c>
      <c r="B96" s="264">
        <v>215.53</v>
      </c>
      <c r="C96" s="264">
        <v>221.15</v>
      </c>
      <c r="D96" s="383">
        <v>224.7</v>
      </c>
      <c r="E96" s="383">
        <v>223.56</v>
      </c>
      <c r="F96" s="264">
        <v>222.26</v>
      </c>
      <c r="G96" s="264">
        <v>212.86</v>
      </c>
      <c r="H96" s="264">
        <v>239.25</v>
      </c>
      <c r="I96" s="264">
        <v>269.13</v>
      </c>
      <c r="J96" s="264">
        <v>284.02</v>
      </c>
      <c r="K96" s="264">
        <v>256.73</v>
      </c>
      <c r="L96" s="264">
        <v>246.8</v>
      </c>
      <c r="M96" s="264">
        <v>259.84</v>
      </c>
      <c r="N96" s="264">
        <v>263.24</v>
      </c>
      <c r="O96" s="264">
        <v>263.01</v>
      </c>
      <c r="P96" s="264">
        <v>236.28</v>
      </c>
      <c r="Q96" s="264">
        <v>230.73</v>
      </c>
      <c r="R96" s="270">
        <v>242.64</v>
      </c>
      <c r="S96" s="264">
        <v>89.75</v>
      </c>
      <c r="T96" s="264">
        <v>113.72</v>
      </c>
      <c r="U96" s="264">
        <v>151.24</v>
      </c>
      <c r="V96" s="264">
        <v>171.56</v>
      </c>
      <c r="W96" s="264">
        <v>176.02</v>
      </c>
      <c r="X96" s="264">
        <v>182.73</v>
      </c>
      <c r="Y96" s="264">
        <v>187.71</v>
      </c>
      <c r="Z96" s="264">
        <v>207.99</v>
      </c>
      <c r="AA96" s="264">
        <v>179.9</v>
      </c>
      <c r="AB96" s="264">
        <v>224.79</v>
      </c>
      <c r="AC96" s="264">
        <v>204.07</v>
      </c>
      <c r="AD96" s="264">
        <v>243.02</v>
      </c>
      <c r="AE96" s="264">
        <v>244.55</v>
      </c>
    </row>
    <row r="97">
      <c r="A97" s="53" t="s">
        <v>310</v>
      </c>
      <c r="B97" s="264">
        <v>129.7</v>
      </c>
      <c r="C97" s="264">
        <v>140.04</v>
      </c>
      <c r="D97" s="383">
        <v>113.62</v>
      </c>
      <c r="E97" s="383">
        <v>87.51</v>
      </c>
      <c r="F97" s="264">
        <v>198.86</v>
      </c>
      <c r="G97" s="264">
        <v>135.89</v>
      </c>
      <c r="H97" s="264">
        <v>54.97</v>
      </c>
      <c r="I97" s="264">
        <v>0.0</v>
      </c>
      <c r="J97" s="264">
        <v>48.73</v>
      </c>
      <c r="K97" s="264">
        <v>195.16</v>
      </c>
      <c r="L97" s="264">
        <v>127.08</v>
      </c>
      <c r="M97" s="264">
        <v>213.58</v>
      </c>
      <c r="N97" s="264">
        <v>0.0</v>
      </c>
      <c r="O97" s="264">
        <v>71.7</v>
      </c>
      <c r="P97" s="264">
        <v>147.25</v>
      </c>
      <c r="Q97" s="264">
        <v>122.02</v>
      </c>
      <c r="R97" s="264">
        <v>327.3</v>
      </c>
      <c r="S97" s="264">
        <v>71.86</v>
      </c>
      <c r="T97" s="264">
        <v>112.97</v>
      </c>
      <c r="U97" s="264">
        <v>56.92</v>
      </c>
      <c r="V97" s="264">
        <v>84.77</v>
      </c>
      <c r="W97" s="264">
        <v>63.23</v>
      </c>
      <c r="X97" s="264">
        <v>63.73</v>
      </c>
      <c r="Y97" s="264">
        <v>179.42</v>
      </c>
      <c r="Z97" s="264">
        <v>112.89</v>
      </c>
      <c r="AA97" s="264">
        <v>106.76</v>
      </c>
      <c r="AB97" s="264">
        <v>304.52</v>
      </c>
      <c r="AC97" s="264">
        <v>173.2</v>
      </c>
      <c r="AD97" s="264">
        <v>107.01</v>
      </c>
      <c r="AE97" s="264">
        <v>168.42</v>
      </c>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row>
    <row r="99">
      <c r="A99" s="53" t="s">
        <v>314</v>
      </c>
      <c r="B99" s="336"/>
      <c r="C99" s="336"/>
      <c r="D99" s="336"/>
      <c r="E99" s="336"/>
      <c r="F99" s="336"/>
      <c r="G99" s="336"/>
      <c r="H99" s="336"/>
      <c r="I99" s="17"/>
      <c r="J99" s="17"/>
      <c r="K99" s="17"/>
      <c r="L99" s="17"/>
      <c r="M99" s="17"/>
      <c r="N99" s="17"/>
      <c r="O99" s="17"/>
      <c r="P99" s="17"/>
      <c r="Q99" s="17"/>
      <c r="R99" s="17"/>
      <c r="S99" s="17"/>
      <c r="T99" s="17"/>
      <c r="U99" s="17"/>
      <c r="V99" s="17"/>
      <c r="W99" s="17"/>
      <c r="X99" s="17"/>
      <c r="Y99" s="17"/>
      <c r="Z99" s="17"/>
      <c r="AA99" s="17"/>
      <c r="AB99" s="17"/>
      <c r="AC99" s="17"/>
      <c r="AD99" s="17"/>
      <c r="AE99" s="17"/>
    </row>
    <row r="100">
      <c r="A100" s="334" t="s">
        <v>316</v>
      </c>
      <c r="B100" s="385">
        <v>0.063</v>
      </c>
      <c r="C100" s="386">
        <v>0.045</v>
      </c>
      <c r="D100" s="387">
        <v>0.081</v>
      </c>
      <c r="E100" s="388">
        <v>0.054</v>
      </c>
      <c r="F100" s="389">
        <v>0.04</v>
      </c>
      <c r="G100" s="390">
        <v>0.041</v>
      </c>
      <c r="H100" s="391">
        <v>0.025</v>
      </c>
      <c r="I100" s="386">
        <v>0.0</v>
      </c>
      <c r="J100" s="392">
        <v>0.031</v>
      </c>
      <c r="K100" s="344">
        <v>0.054</v>
      </c>
      <c r="L100" s="393">
        <v>0.048</v>
      </c>
      <c r="M100" s="394">
        <v>0.088</v>
      </c>
      <c r="N100" s="395">
        <v>0.015</v>
      </c>
      <c r="O100" s="396">
        <v>0.013</v>
      </c>
      <c r="P100" s="397">
        <v>0.108</v>
      </c>
      <c r="Q100" s="398">
        <v>0.035</v>
      </c>
      <c r="R100" s="356">
        <v>0.024</v>
      </c>
      <c r="S100" s="399">
        <v>0.062</v>
      </c>
      <c r="T100" s="400">
        <v>0.065</v>
      </c>
      <c r="U100" s="401">
        <v>0.091</v>
      </c>
      <c r="V100" s="402">
        <v>0.044</v>
      </c>
      <c r="W100" s="354">
        <v>0.033</v>
      </c>
      <c r="X100" s="403">
        <v>0.08</v>
      </c>
      <c r="Y100" s="404">
        <v>0.044</v>
      </c>
      <c r="Z100" s="337">
        <v>0.108</v>
      </c>
      <c r="AA100" s="405">
        <v>0.103</v>
      </c>
      <c r="AB100" s="341">
        <v>0.153</v>
      </c>
      <c r="AC100" s="406">
        <v>0.067</v>
      </c>
      <c r="AD100" s="336">
        <v>0.087</v>
      </c>
      <c r="AE100" s="336">
        <v>0.068</v>
      </c>
    </row>
    <row r="101">
      <c r="A101" s="17" t="s">
        <v>319</v>
      </c>
      <c r="B101" s="407">
        <f t="shared" ref="B101:AE101" si="23">1-B100</f>
        <v>0.937</v>
      </c>
      <c r="C101" s="407">
        <f t="shared" si="23"/>
        <v>0.955</v>
      </c>
      <c r="D101" s="407">
        <f t="shared" si="23"/>
        <v>0.919</v>
      </c>
      <c r="E101" s="407">
        <f t="shared" si="23"/>
        <v>0.946</v>
      </c>
      <c r="F101" s="407">
        <f t="shared" si="23"/>
        <v>0.96</v>
      </c>
      <c r="G101" s="407">
        <f t="shared" si="23"/>
        <v>0.959</v>
      </c>
      <c r="H101" s="407">
        <f t="shared" si="23"/>
        <v>0.975</v>
      </c>
      <c r="I101" s="407">
        <f t="shared" si="23"/>
        <v>1</v>
      </c>
      <c r="J101" s="407">
        <f t="shared" si="23"/>
        <v>0.969</v>
      </c>
      <c r="K101" s="407">
        <f t="shared" si="23"/>
        <v>0.946</v>
      </c>
      <c r="L101" s="407">
        <f t="shared" si="23"/>
        <v>0.952</v>
      </c>
      <c r="M101" s="407">
        <f t="shared" si="23"/>
        <v>0.912</v>
      </c>
      <c r="N101" s="407">
        <f t="shared" si="23"/>
        <v>0.985</v>
      </c>
      <c r="O101" s="407">
        <f t="shared" si="23"/>
        <v>0.987</v>
      </c>
      <c r="P101" s="407">
        <f t="shared" si="23"/>
        <v>0.892</v>
      </c>
      <c r="Q101" s="407">
        <f t="shared" si="23"/>
        <v>0.965</v>
      </c>
      <c r="R101" s="407">
        <f t="shared" si="23"/>
        <v>0.976</v>
      </c>
      <c r="S101" s="407">
        <f t="shared" si="23"/>
        <v>0.938</v>
      </c>
      <c r="T101" s="407">
        <f t="shared" si="23"/>
        <v>0.935</v>
      </c>
      <c r="U101" s="407">
        <f t="shared" si="23"/>
        <v>0.909</v>
      </c>
      <c r="V101" s="407">
        <f t="shared" si="23"/>
        <v>0.956</v>
      </c>
      <c r="W101" s="407">
        <f t="shared" si="23"/>
        <v>0.967</v>
      </c>
      <c r="X101" s="407">
        <f t="shared" si="23"/>
        <v>0.92</v>
      </c>
      <c r="Y101" s="407">
        <f t="shared" si="23"/>
        <v>0.956</v>
      </c>
      <c r="Z101" s="407">
        <f t="shared" si="23"/>
        <v>0.892</v>
      </c>
      <c r="AA101" s="407">
        <f t="shared" si="23"/>
        <v>0.897</v>
      </c>
      <c r="AB101" s="407">
        <f t="shared" si="23"/>
        <v>0.847</v>
      </c>
      <c r="AC101" s="407">
        <f t="shared" si="23"/>
        <v>0.933</v>
      </c>
      <c r="AD101" s="407">
        <f t="shared" si="23"/>
        <v>0.913</v>
      </c>
      <c r="AE101" s="407">
        <f t="shared" si="23"/>
        <v>0.932</v>
      </c>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row>
    <row r="103">
      <c r="A103" s="17"/>
      <c r="B103" s="408">
        <v>45170.0</v>
      </c>
      <c r="C103" s="409" t="s">
        <v>322</v>
      </c>
      <c r="D103" s="409" t="s">
        <v>323</v>
      </c>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row>
    <row r="104">
      <c r="A104" s="17" t="s">
        <v>98</v>
      </c>
      <c r="B104" s="257">
        <f>SUM(B35:AE35)+SUM(B42:AE42)</f>
        <v>1073520.823</v>
      </c>
      <c r="C104" s="412">
        <v>1200000.0</v>
      </c>
      <c r="D104" s="413">
        <f t="shared" ref="D104:D106" si="24">B104/C104</f>
        <v>0.894600686</v>
      </c>
      <c r="E104" s="17"/>
      <c r="F104" s="17"/>
      <c r="G104" s="17"/>
      <c r="H104" s="17"/>
      <c r="I104" s="17"/>
      <c r="J104" s="17"/>
      <c r="K104" s="17"/>
      <c r="L104" s="17"/>
      <c r="M104" s="17"/>
      <c r="N104" s="17"/>
      <c r="O104" s="17"/>
      <c r="P104" s="17"/>
      <c r="Q104" s="17"/>
      <c r="R104" s="17"/>
      <c r="S104" s="17"/>
      <c r="T104" s="17"/>
      <c r="U104" s="17"/>
      <c r="V104" s="17"/>
      <c r="W104" s="17"/>
      <c r="X104" s="334"/>
      <c r="Y104" s="17"/>
      <c r="Z104" s="17"/>
      <c r="AA104" s="138"/>
      <c r="AB104" s="17"/>
      <c r="AC104" s="17"/>
      <c r="AD104" s="17"/>
      <c r="AE104" s="17"/>
    </row>
    <row r="105">
      <c r="A105" s="17" t="s">
        <v>327</v>
      </c>
      <c r="B105" s="257">
        <f>SUM(B76:AE76)+SUM(B82:AE82)</f>
        <v>310269.7172</v>
      </c>
      <c r="C105" s="412">
        <f>C104/C106</f>
        <v>300000</v>
      </c>
      <c r="D105" s="413">
        <f t="shared" si="24"/>
        <v>1.034232391</v>
      </c>
      <c r="E105" s="17"/>
      <c r="F105" s="17"/>
      <c r="G105" s="17"/>
      <c r="H105" s="17"/>
      <c r="I105" s="17"/>
      <c r="J105" s="17"/>
      <c r="K105" s="17"/>
      <c r="L105" s="17"/>
      <c r="M105" s="17"/>
      <c r="N105" s="17"/>
      <c r="O105" s="17"/>
      <c r="P105" s="17"/>
      <c r="Q105" s="17"/>
      <c r="R105" s="17"/>
      <c r="S105" s="17"/>
      <c r="T105" s="17"/>
      <c r="U105" s="17"/>
      <c r="V105" s="17"/>
      <c r="W105" s="17"/>
      <c r="X105" s="334"/>
      <c r="Y105" s="17"/>
      <c r="Z105" s="17"/>
      <c r="AA105" s="138"/>
      <c r="AB105" s="17"/>
      <c r="AC105" s="17"/>
      <c r="AD105" s="17"/>
      <c r="AE105" s="17"/>
    </row>
    <row r="106">
      <c r="A106" s="17" t="s">
        <v>328</v>
      </c>
      <c r="B106" s="316">
        <f>B104/B105</f>
        <v>3.45996004</v>
      </c>
      <c r="C106" s="416">
        <v>4.0</v>
      </c>
      <c r="D106" s="413">
        <f t="shared" si="24"/>
        <v>0.86499001</v>
      </c>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row>
    <row r="107">
      <c r="A107" s="21" t="s">
        <v>331</v>
      </c>
      <c r="B107" s="257">
        <f>SUM(B76:AE76)/SUM('DTC - P&amp;L'!B57:AE57,'AMAZON - P&amp;L'!B32:AE32,'Digital Marketplaces'!B17:AE17)</f>
        <v>97.37185876</v>
      </c>
      <c r="C107" s="204"/>
      <c r="D107" s="334"/>
      <c r="E107" s="17"/>
      <c r="F107" s="17"/>
      <c r="G107" s="17"/>
      <c r="H107" s="17"/>
      <c r="I107" s="17"/>
      <c r="J107" s="17"/>
      <c r="K107" s="17"/>
      <c r="L107" s="17"/>
      <c r="M107" s="17"/>
      <c r="N107" s="17"/>
      <c r="O107" s="17"/>
      <c r="P107" s="17"/>
      <c r="Q107" s="17"/>
      <c r="R107" s="17"/>
      <c r="S107" s="17"/>
      <c r="T107" s="17"/>
      <c r="U107" s="17"/>
      <c r="V107" s="17"/>
      <c r="W107" s="17" t="s">
        <v>334</v>
      </c>
      <c r="X107" s="17"/>
      <c r="Y107" s="17"/>
      <c r="Z107" s="17"/>
      <c r="AA107" s="17"/>
      <c r="AB107" s="17"/>
      <c r="AC107" s="17"/>
      <c r="AD107" s="17"/>
      <c r="AE107" s="17"/>
    </row>
    <row r="108">
      <c r="A108" s="17" t="s">
        <v>335</v>
      </c>
      <c r="B108" s="407">
        <f>IFERROR(__xludf.DUMMYFUNCTION("AVERAGE.WEIGHTED(B94:AE94,B44:AE44)"),0.02106145538698894)</f>
        <v>0.02106145539</v>
      </c>
      <c r="C108" s="334"/>
      <c r="D108" s="334"/>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row>
    <row r="109">
      <c r="A109" s="17" t="s">
        <v>337</v>
      </c>
      <c r="B109" s="257">
        <f>AVERAGE(B95:AE95)</f>
        <v>212.1147476</v>
      </c>
      <c r="C109" s="204"/>
      <c r="D109" s="334"/>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row>
    <row r="110">
      <c r="A110" s="17" t="s">
        <v>307</v>
      </c>
      <c r="B110" s="257">
        <f>IFERROR(__xludf.DUMMYFUNCTION("AVERAGE.WEIGHTED(B96:AE96,B44:AE44)"),189.8021702237079)</f>
        <v>189.8021702</v>
      </c>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row>
    <row r="111">
      <c r="A111" s="17" t="s">
        <v>310</v>
      </c>
      <c r="B111" s="257">
        <f>IFERROR(__xludf.DUMMYFUNCTION("AVERAGE.weighted(B97:AE97,B44:AE44)"),118.33787348932887)</f>
        <v>118.3378735</v>
      </c>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row>
    <row r="112">
      <c r="A112" s="17" t="s">
        <v>69</v>
      </c>
      <c r="B112" s="417">
        <f>SUM(B56:AE56)</f>
        <v>4867</v>
      </c>
      <c r="C112" s="17"/>
      <c r="D112" s="334"/>
      <c r="E112" s="17"/>
      <c r="F112" s="17"/>
      <c r="G112" s="17"/>
      <c r="H112" s="17"/>
      <c r="I112" s="17"/>
      <c r="J112" s="17"/>
      <c r="K112" s="17"/>
      <c r="L112" s="17" t="s">
        <v>334</v>
      </c>
      <c r="M112" s="17"/>
      <c r="N112" s="17"/>
      <c r="O112" s="17"/>
      <c r="P112" s="17"/>
      <c r="Q112" s="17"/>
      <c r="R112" s="17"/>
      <c r="S112" s="17"/>
      <c r="T112" s="17"/>
      <c r="U112" s="17"/>
      <c r="V112" s="17"/>
      <c r="W112" s="17"/>
      <c r="X112" s="17"/>
      <c r="Y112" s="17"/>
      <c r="Z112" s="17"/>
      <c r="AA112" s="17"/>
      <c r="AB112" s="17"/>
      <c r="AC112" s="17"/>
      <c r="AD112" s="17"/>
      <c r="AE112" s="17"/>
    </row>
    <row r="113">
      <c r="A113" s="17" t="s">
        <v>342</v>
      </c>
      <c r="B113" s="418">
        <f>'DTC - P&amp;L'!AF57+'OLD AMAZON Detailed Report'!AF43</f>
        <v>3090</v>
      </c>
      <c r="C113" s="419">
        <v>4000.0</v>
      </c>
      <c r="D113" s="413">
        <f>B113/C113</f>
        <v>0.7725</v>
      </c>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row>
    <row r="114">
      <c r="A114" s="17" t="s">
        <v>343</v>
      </c>
      <c r="B114" s="257">
        <f>(SUM(B76:AE76)/B113)</f>
        <v>100.1764204</v>
      </c>
      <c r="C114" s="204"/>
      <c r="D114" s="334"/>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row>
    <row r="115">
      <c r="A115" s="17" t="s">
        <v>346</v>
      </c>
      <c r="B115" s="407">
        <f>IFERROR(__xludf.DUMMYFUNCTION("AVERAGE.WEIGHTED(B101:AE101,B44:AE44)"),0.9377238364618153)</f>
        <v>0.9377238365</v>
      </c>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row>
    <row r="116">
      <c r="A116" s="17" t="s">
        <v>348</v>
      </c>
      <c r="B116" s="407">
        <f>IFERROR(__xludf.DUMMYFUNCTION("AVERAGE.WEIGHTED(B100:AE100,B44:AE44)"),0.062276163538184624)</f>
        <v>0.06227616354</v>
      </c>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334"/>
      <c r="Z126" s="334"/>
      <c r="AA126" s="334"/>
      <c r="AB126" s="334"/>
      <c r="AC126" s="334"/>
      <c r="AD126" s="334"/>
      <c r="AE126" s="334"/>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334"/>
      <c r="Z127" s="334"/>
      <c r="AA127" s="334"/>
      <c r="AB127" s="334"/>
      <c r="AC127" s="334"/>
      <c r="AD127" s="334"/>
      <c r="AE127" s="334"/>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334"/>
      <c r="Z128" s="334"/>
      <c r="AA128" s="334"/>
      <c r="AB128" s="334"/>
      <c r="AC128" s="334"/>
      <c r="AD128" s="334"/>
      <c r="AE128" s="334"/>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421"/>
      <c r="Z129" s="17"/>
      <c r="AA129" s="17"/>
      <c r="AB129" s="17"/>
      <c r="AC129" s="334"/>
      <c r="AD129" s="334"/>
      <c r="AE129" s="334"/>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t="s">
        <v>334</v>
      </c>
      <c r="Z134" s="17"/>
      <c r="AA134" s="17"/>
      <c r="AB134" s="17"/>
      <c r="AC134" s="17"/>
      <c r="AD134" s="17"/>
      <c r="AE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row>
    <row r="222">
      <c r="A222" s="17"/>
      <c r="B222" s="17"/>
      <c r="C222" s="17"/>
      <c r="D222" s="17"/>
      <c r="E222" s="17"/>
      <c r="F222" s="17"/>
      <c r="G222" s="10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row>
    <row r="223">
      <c r="A223" s="17"/>
      <c r="B223" s="17"/>
      <c r="C223" s="17"/>
      <c r="D223" s="17"/>
      <c r="E223" s="17"/>
      <c r="F223" s="17"/>
      <c r="G223" s="10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row>
  </sheetData>
  <mergeCells count="4">
    <mergeCell ref="A4:A6"/>
    <mergeCell ref="X4:AD4"/>
    <mergeCell ref="B5:G5"/>
    <mergeCell ref="N5:R5"/>
  </mergeCells>
  <conditionalFormatting sqref="B94:AE94">
    <cfRule type="colorScale" priority="1">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5.75"/>
  </cols>
  <sheetData>
    <row r="1">
      <c r="A1" s="2" t="s">
        <v>1</v>
      </c>
      <c r="B1" s="6">
        <v>45170.0</v>
      </c>
      <c r="C1" s="6">
        <v>45171.0</v>
      </c>
      <c r="D1" s="6">
        <v>45172.0</v>
      </c>
      <c r="E1" s="6">
        <v>45173.0</v>
      </c>
      <c r="F1" s="6">
        <v>45174.0</v>
      </c>
      <c r="G1" s="6">
        <v>45175.0</v>
      </c>
      <c r="H1" s="6">
        <v>45176.0</v>
      </c>
      <c r="I1" s="6">
        <v>45177.0</v>
      </c>
      <c r="J1" s="6">
        <v>45178.0</v>
      </c>
      <c r="K1" s="6">
        <v>45179.0</v>
      </c>
      <c r="L1" s="6">
        <v>45180.0</v>
      </c>
      <c r="M1" s="6">
        <v>45181.0</v>
      </c>
      <c r="N1" s="6">
        <v>45182.0</v>
      </c>
      <c r="O1" s="6">
        <v>45183.0</v>
      </c>
      <c r="P1" s="6">
        <v>45184.0</v>
      </c>
      <c r="Q1" s="6">
        <v>45185.0</v>
      </c>
      <c r="R1" s="6">
        <v>45186.0</v>
      </c>
      <c r="S1" s="6">
        <v>45187.0</v>
      </c>
      <c r="T1" s="6">
        <v>45188.0</v>
      </c>
      <c r="U1" s="6">
        <v>45189.0</v>
      </c>
      <c r="V1" s="6">
        <v>45190.0</v>
      </c>
      <c r="W1" s="6">
        <v>45191.0</v>
      </c>
      <c r="X1" s="6">
        <v>45192.0</v>
      </c>
      <c r="Y1" s="6">
        <v>45193.0</v>
      </c>
      <c r="Z1" s="6">
        <v>45194.0</v>
      </c>
      <c r="AA1" s="6">
        <v>45195.0</v>
      </c>
      <c r="AB1" s="6">
        <v>45196.0</v>
      </c>
      <c r="AC1" s="6">
        <v>45197.0</v>
      </c>
      <c r="AD1" s="6">
        <v>45198.0</v>
      </c>
      <c r="AE1" s="6">
        <v>45199.0</v>
      </c>
      <c r="AF1" s="7"/>
    </row>
    <row r="2">
      <c r="A2" s="10" t="s">
        <v>44</v>
      </c>
      <c r="B2" s="13" t="s">
        <v>46</v>
      </c>
      <c r="C2" s="13" t="s">
        <v>48</v>
      </c>
      <c r="D2" s="13" t="s">
        <v>51</v>
      </c>
      <c r="E2" s="13" t="s">
        <v>52</v>
      </c>
      <c r="F2" s="13" t="s">
        <v>55</v>
      </c>
      <c r="G2" s="13" t="s">
        <v>57</v>
      </c>
      <c r="H2" s="13" t="s">
        <v>58</v>
      </c>
      <c r="I2" s="13" t="s">
        <v>46</v>
      </c>
      <c r="J2" s="13" t="s">
        <v>48</v>
      </c>
      <c r="K2" s="13" t="s">
        <v>51</v>
      </c>
      <c r="L2" s="13" t="s">
        <v>52</v>
      </c>
      <c r="M2" s="13" t="s">
        <v>55</v>
      </c>
      <c r="N2" s="13" t="s">
        <v>57</v>
      </c>
      <c r="O2" s="13" t="s">
        <v>58</v>
      </c>
      <c r="P2" s="13" t="s">
        <v>46</v>
      </c>
      <c r="Q2" s="13" t="s">
        <v>48</v>
      </c>
      <c r="R2" s="13" t="s">
        <v>51</v>
      </c>
      <c r="S2" s="13" t="s">
        <v>52</v>
      </c>
      <c r="T2" s="13" t="s">
        <v>55</v>
      </c>
      <c r="U2" s="13" t="s">
        <v>57</v>
      </c>
      <c r="V2" s="13" t="s">
        <v>58</v>
      </c>
      <c r="W2" s="13" t="s">
        <v>46</v>
      </c>
      <c r="X2" s="13" t="s">
        <v>48</v>
      </c>
      <c r="Y2" s="13" t="s">
        <v>51</v>
      </c>
      <c r="Z2" s="13" t="s">
        <v>52</v>
      </c>
      <c r="AA2" s="13" t="s">
        <v>55</v>
      </c>
      <c r="AB2" s="13" t="s">
        <v>57</v>
      </c>
      <c r="AC2" s="13" t="s">
        <v>58</v>
      </c>
      <c r="AD2" s="13" t="s">
        <v>46</v>
      </c>
      <c r="AE2" s="13" t="s">
        <v>48</v>
      </c>
      <c r="AF2" s="7"/>
    </row>
    <row r="3">
      <c r="A3" s="16" t="s">
        <v>65</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7"/>
    </row>
    <row r="4">
      <c r="A4" s="19" t="s">
        <v>69</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7"/>
    </row>
    <row r="5">
      <c r="A5" s="20" t="s">
        <v>73</v>
      </c>
      <c r="B5" s="22">
        <v>30.0</v>
      </c>
      <c r="C5" s="22">
        <v>37.0</v>
      </c>
      <c r="D5" s="22">
        <v>55.0</v>
      </c>
      <c r="E5" s="23">
        <v>64.0</v>
      </c>
      <c r="F5" s="23">
        <v>74.0</v>
      </c>
      <c r="G5" s="23">
        <v>60.0</v>
      </c>
      <c r="H5" s="23">
        <v>30.0</v>
      </c>
      <c r="I5" s="22">
        <v>25.0</v>
      </c>
      <c r="J5" s="22">
        <v>37.0</v>
      </c>
      <c r="K5" s="22">
        <v>46.0</v>
      </c>
      <c r="L5" s="22">
        <v>65.0</v>
      </c>
      <c r="M5" s="26">
        <v>47.0</v>
      </c>
      <c r="N5" s="22">
        <v>34.0</v>
      </c>
      <c r="O5" s="22">
        <v>38.0</v>
      </c>
      <c r="P5" s="22">
        <v>56.0</v>
      </c>
      <c r="Q5" s="22">
        <v>49.0</v>
      </c>
      <c r="R5" s="22">
        <v>34.0</v>
      </c>
      <c r="S5" s="22">
        <v>151.0</v>
      </c>
      <c r="T5" s="22">
        <v>103.0</v>
      </c>
      <c r="U5" s="22">
        <v>73.0</v>
      </c>
      <c r="V5" s="22">
        <v>46.0</v>
      </c>
      <c r="W5" s="22">
        <v>34.0</v>
      </c>
      <c r="X5" s="22">
        <v>38.0</v>
      </c>
      <c r="Y5" s="23">
        <v>43.0</v>
      </c>
      <c r="Z5" s="23">
        <v>33.0</v>
      </c>
      <c r="AA5" s="22">
        <v>27.0</v>
      </c>
      <c r="AB5" s="22">
        <v>28.0</v>
      </c>
      <c r="AC5" s="22">
        <v>29.0</v>
      </c>
      <c r="AD5" s="22">
        <v>31.0</v>
      </c>
      <c r="AE5" s="22">
        <v>36.0</v>
      </c>
      <c r="AF5" s="33">
        <f t="shared" ref="AF5:AF6" si="1">SUM(B5:AE5)</f>
        <v>1453</v>
      </c>
    </row>
    <row r="6">
      <c r="A6" s="20" t="s">
        <v>84</v>
      </c>
      <c r="B6" s="22">
        <v>33.0</v>
      </c>
      <c r="C6" s="22">
        <v>43.0</v>
      </c>
      <c r="D6" s="22">
        <v>59.0</v>
      </c>
      <c r="E6" s="23">
        <v>58.0</v>
      </c>
      <c r="F6" s="23">
        <v>53.0</v>
      </c>
      <c r="G6" s="23">
        <v>46.0</v>
      </c>
      <c r="H6" s="23">
        <v>22.0</v>
      </c>
      <c r="I6" s="22">
        <v>22.0</v>
      </c>
      <c r="J6" s="22">
        <v>38.0</v>
      </c>
      <c r="K6" s="22">
        <v>40.0</v>
      </c>
      <c r="L6" s="22">
        <v>26.0</v>
      </c>
      <c r="M6" s="26">
        <v>34.0</v>
      </c>
      <c r="N6" s="22">
        <v>24.0</v>
      </c>
      <c r="O6" s="22">
        <v>28.0</v>
      </c>
      <c r="P6" s="22">
        <v>35.0</v>
      </c>
      <c r="Q6" s="22">
        <v>33.0</v>
      </c>
      <c r="R6" s="22">
        <v>38.0</v>
      </c>
      <c r="S6" s="22">
        <v>88.0</v>
      </c>
      <c r="T6" s="22">
        <v>73.0</v>
      </c>
      <c r="U6" s="22">
        <v>43.0</v>
      </c>
      <c r="V6" s="22">
        <v>41.0</v>
      </c>
      <c r="W6" s="22">
        <v>42.0</v>
      </c>
      <c r="X6" s="22">
        <v>47.0</v>
      </c>
      <c r="Y6" s="23">
        <v>38.0</v>
      </c>
      <c r="Z6" s="23">
        <v>33.0</v>
      </c>
      <c r="AA6" s="22">
        <v>33.0</v>
      </c>
      <c r="AB6" s="22">
        <v>32.0</v>
      </c>
      <c r="AC6" s="22">
        <v>33.0</v>
      </c>
      <c r="AD6" s="22">
        <v>32.0</v>
      </c>
      <c r="AE6" s="22">
        <v>45.0</v>
      </c>
      <c r="AF6" s="37">
        <f t="shared" si="1"/>
        <v>1212</v>
      </c>
    </row>
    <row r="7">
      <c r="A7" s="20" t="s">
        <v>88</v>
      </c>
      <c r="B7" s="22">
        <v>0.0</v>
      </c>
      <c r="C7" s="22">
        <v>0.0</v>
      </c>
      <c r="D7" s="22">
        <v>0.0</v>
      </c>
      <c r="E7" s="22">
        <v>0.0</v>
      </c>
      <c r="F7" s="22">
        <v>0.0</v>
      </c>
      <c r="G7" s="22">
        <v>0.0</v>
      </c>
      <c r="H7" s="22">
        <v>0.0</v>
      </c>
      <c r="I7" s="22">
        <v>0.0</v>
      </c>
      <c r="J7" s="22">
        <v>0.0</v>
      </c>
      <c r="K7" s="22">
        <v>0.0</v>
      </c>
      <c r="L7" s="22">
        <v>0.0</v>
      </c>
      <c r="M7" s="22">
        <v>0.0</v>
      </c>
      <c r="N7" s="22">
        <v>0.0</v>
      </c>
      <c r="O7" s="22">
        <v>0.0</v>
      </c>
      <c r="P7" s="22">
        <v>0.0</v>
      </c>
      <c r="Q7" s="22">
        <v>0.0</v>
      </c>
      <c r="R7" s="22">
        <v>0.0</v>
      </c>
      <c r="S7" s="22">
        <v>0.0</v>
      </c>
      <c r="T7" s="22">
        <v>0.0</v>
      </c>
      <c r="U7" s="22">
        <v>0.0</v>
      </c>
      <c r="V7" s="22">
        <v>0.0</v>
      </c>
      <c r="W7" s="22">
        <v>0.0</v>
      </c>
      <c r="X7" s="22">
        <v>0.0</v>
      </c>
      <c r="Y7" s="22">
        <v>0.0</v>
      </c>
      <c r="Z7" s="22">
        <v>0.0</v>
      </c>
      <c r="AA7" s="22">
        <v>0.0</v>
      </c>
      <c r="AB7" s="22">
        <v>0.0</v>
      </c>
      <c r="AC7" s="22">
        <v>0.0</v>
      </c>
      <c r="AD7" s="22">
        <v>0.0</v>
      </c>
      <c r="AE7" s="22">
        <v>0.0</v>
      </c>
      <c r="AF7" s="33">
        <v>0.0</v>
      </c>
    </row>
    <row r="8">
      <c r="A8" s="20" t="s">
        <v>91</v>
      </c>
      <c r="B8" s="22">
        <v>0.0</v>
      </c>
      <c r="C8" s="22">
        <v>2.0</v>
      </c>
      <c r="D8" s="22">
        <v>0.0</v>
      </c>
      <c r="E8" s="22">
        <v>0.0</v>
      </c>
      <c r="F8" s="22">
        <v>0.0</v>
      </c>
      <c r="G8" s="22">
        <v>0.0</v>
      </c>
      <c r="H8" s="22">
        <v>0.0</v>
      </c>
      <c r="I8" s="22">
        <v>0.0</v>
      </c>
      <c r="J8" s="22">
        <v>0.0</v>
      </c>
      <c r="K8" s="22">
        <v>0.0</v>
      </c>
      <c r="L8" s="22">
        <v>0.0</v>
      </c>
      <c r="M8" s="22">
        <v>0.0</v>
      </c>
      <c r="N8" s="22">
        <v>0.0</v>
      </c>
      <c r="O8" s="22">
        <v>0.0</v>
      </c>
      <c r="P8" s="22">
        <v>0.0</v>
      </c>
      <c r="Q8" s="22">
        <v>0.0</v>
      </c>
      <c r="R8" s="22">
        <v>0.0</v>
      </c>
      <c r="S8" s="22">
        <v>0.0</v>
      </c>
      <c r="T8" s="22">
        <v>0.0</v>
      </c>
      <c r="U8" s="22">
        <v>0.0</v>
      </c>
      <c r="V8" s="22">
        <v>0.0</v>
      </c>
      <c r="W8" s="22">
        <v>0.0</v>
      </c>
      <c r="X8" s="22">
        <v>0.0</v>
      </c>
      <c r="Y8" s="22">
        <v>22.0</v>
      </c>
      <c r="Z8" s="22">
        <v>6.0</v>
      </c>
      <c r="AA8" s="22">
        <v>2.0</v>
      </c>
      <c r="AB8" s="22">
        <v>0.0</v>
      </c>
      <c r="AC8" s="22">
        <v>4.0</v>
      </c>
      <c r="AD8" s="22">
        <v>4.0</v>
      </c>
      <c r="AE8" s="22">
        <v>6.0</v>
      </c>
      <c r="AF8" s="33">
        <f>SUM(B8:AE8)</f>
        <v>46</v>
      </c>
    </row>
    <row r="9">
      <c r="A9" s="20" t="s">
        <v>93</v>
      </c>
      <c r="B9" s="22">
        <v>0.0</v>
      </c>
      <c r="C9" s="22">
        <v>0.0</v>
      </c>
      <c r="D9" s="22">
        <v>0.0</v>
      </c>
      <c r="E9" s="22">
        <v>0.0</v>
      </c>
      <c r="F9" s="22">
        <v>0.0</v>
      </c>
      <c r="G9" s="22">
        <v>0.0</v>
      </c>
      <c r="H9" s="22">
        <v>0.0</v>
      </c>
      <c r="I9" s="22">
        <v>0.0</v>
      </c>
      <c r="J9" s="22">
        <v>0.0</v>
      </c>
      <c r="K9" s="22">
        <v>0.0</v>
      </c>
      <c r="L9" s="22">
        <v>0.0</v>
      </c>
      <c r="M9" s="22">
        <v>0.0</v>
      </c>
      <c r="N9" s="22">
        <v>0.0</v>
      </c>
      <c r="O9" s="22">
        <v>0.0</v>
      </c>
      <c r="P9" s="22">
        <v>0.0</v>
      </c>
      <c r="Q9" s="22">
        <v>0.0</v>
      </c>
      <c r="R9" s="22">
        <v>0.0</v>
      </c>
      <c r="S9" s="22">
        <v>0.0</v>
      </c>
      <c r="T9" s="22">
        <v>0.0</v>
      </c>
      <c r="U9" s="22">
        <v>0.0</v>
      </c>
      <c r="V9" s="22">
        <v>0.0</v>
      </c>
      <c r="W9" s="22">
        <v>0.0</v>
      </c>
      <c r="X9" s="22">
        <v>0.0</v>
      </c>
      <c r="Y9" s="22">
        <v>0.0</v>
      </c>
      <c r="Z9" s="22">
        <v>0.0</v>
      </c>
      <c r="AA9" s="22">
        <v>0.0</v>
      </c>
      <c r="AB9" s="22">
        <v>0.0</v>
      </c>
      <c r="AC9" s="22">
        <v>0.0</v>
      </c>
      <c r="AD9" s="22">
        <v>0.0</v>
      </c>
      <c r="AE9" s="22">
        <v>0.0</v>
      </c>
      <c r="AF9" s="33">
        <v>0.0</v>
      </c>
    </row>
    <row r="10">
      <c r="A10" s="20" t="s">
        <v>94</v>
      </c>
      <c r="B10" s="22">
        <v>0.0</v>
      </c>
      <c r="C10" s="22">
        <v>0.0</v>
      </c>
      <c r="D10" s="22">
        <v>0.0</v>
      </c>
      <c r="E10" s="22">
        <v>1.0</v>
      </c>
      <c r="F10" s="22">
        <v>2.0</v>
      </c>
      <c r="G10" s="22">
        <v>1.0</v>
      </c>
      <c r="H10" s="22">
        <v>0.0</v>
      </c>
      <c r="I10" s="22">
        <v>0.0</v>
      </c>
      <c r="J10" s="22">
        <v>0.0</v>
      </c>
      <c r="K10" s="22">
        <v>2.0</v>
      </c>
      <c r="L10" s="22">
        <v>0.0</v>
      </c>
      <c r="M10" s="22">
        <v>0.0</v>
      </c>
      <c r="N10" s="22">
        <v>0.0</v>
      </c>
      <c r="O10" s="22">
        <v>2.0</v>
      </c>
      <c r="P10" s="22">
        <v>1.0</v>
      </c>
      <c r="Q10" s="22">
        <v>2.0</v>
      </c>
      <c r="R10" s="22">
        <v>1.0</v>
      </c>
      <c r="S10" s="23">
        <v>1.0</v>
      </c>
      <c r="T10" s="23">
        <v>1.0</v>
      </c>
      <c r="U10" s="23">
        <v>1.0</v>
      </c>
      <c r="V10" s="23">
        <v>0.0</v>
      </c>
      <c r="W10" s="23">
        <v>1.0</v>
      </c>
      <c r="X10" s="23">
        <v>0.0</v>
      </c>
      <c r="Y10" s="23">
        <v>1.0</v>
      </c>
      <c r="Z10" s="23">
        <v>0.0</v>
      </c>
      <c r="AA10" s="23">
        <v>0.0</v>
      </c>
      <c r="AB10" s="23">
        <v>0.0</v>
      </c>
      <c r="AC10" s="23">
        <v>0.0</v>
      </c>
      <c r="AD10" s="23">
        <v>0.0</v>
      </c>
      <c r="AE10" s="23">
        <v>0.0</v>
      </c>
      <c r="AF10" s="33">
        <v>17.0</v>
      </c>
    </row>
    <row r="11">
      <c r="A11" s="47" t="s">
        <v>96</v>
      </c>
      <c r="B11" s="48">
        <v>1.0</v>
      </c>
      <c r="C11" s="48">
        <v>1.0</v>
      </c>
      <c r="D11" s="48">
        <v>1.0</v>
      </c>
      <c r="E11" s="48">
        <v>2.0</v>
      </c>
      <c r="F11" s="49">
        <v>2.0</v>
      </c>
      <c r="G11" s="48">
        <v>1.0</v>
      </c>
      <c r="H11" s="48">
        <v>0.0</v>
      </c>
      <c r="I11" s="48">
        <v>2.0</v>
      </c>
      <c r="J11" s="48">
        <v>0.0</v>
      </c>
      <c r="K11" s="48">
        <v>1.0</v>
      </c>
      <c r="L11" s="49">
        <v>2.0</v>
      </c>
      <c r="M11" s="48">
        <v>0.0</v>
      </c>
      <c r="N11" s="48">
        <v>0.0</v>
      </c>
      <c r="O11" s="48">
        <v>1.0</v>
      </c>
      <c r="P11" s="48">
        <v>1.0</v>
      </c>
      <c r="Q11" s="48">
        <v>0.0</v>
      </c>
      <c r="R11" s="48">
        <v>1.0</v>
      </c>
      <c r="S11" s="48">
        <v>289.0</v>
      </c>
      <c r="T11" s="48">
        <v>87.0</v>
      </c>
      <c r="U11" s="48">
        <v>26.0</v>
      </c>
      <c r="V11" s="48">
        <v>25.0</v>
      </c>
      <c r="W11" s="48">
        <v>21.0</v>
      </c>
      <c r="X11" s="48">
        <v>19.0</v>
      </c>
      <c r="Y11" s="48">
        <v>13.0</v>
      </c>
      <c r="Z11" s="48">
        <v>8.0</v>
      </c>
      <c r="AA11" s="48">
        <v>7.0</v>
      </c>
      <c r="AB11" s="48">
        <v>30.0</v>
      </c>
      <c r="AC11" s="48">
        <v>17.0</v>
      </c>
      <c r="AD11" s="48">
        <v>10.0</v>
      </c>
      <c r="AE11" s="48">
        <v>4.0</v>
      </c>
      <c r="AF11" s="52">
        <f t="shared" ref="AF11:AF12" si="3">SUM(B11:AE11)</f>
        <v>572</v>
      </c>
    </row>
    <row r="12">
      <c r="A12" s="45" t="s">
        <v>95</v>
      </c>
      <c r="B12" s="46">
        <f t="shared" ref="B12:AE12" si="2">SUM(B5:B11)</f>
        <v>64</v>
      </c>
      <c r="C12" s="46">
        <f t="shared" si="2"/>
        <v>83</v>
      </c>
      <c r="D12" s="46">
        <f t="shared" si="2"/>
        <v>115</v>
      </c>
      <c r="E12" s="46">
        <f t="shared" si="2"/>
        <v>125</v>
      </c>
      <c r="F12" s="46">
        <f t="shared" si="2"/>
        <v>131</v>
      </c>
      <c r="G12" s="46">
        <f t="shared" si="2"/>
        <v>108</v>
      </c>
      <c r="H12" s="46">
        <f t="shared" si="2"/>
        <v>52</v>
      </c>
      <c r="I12" s="46">
        <f t="shared" si="2"/>
        <v>49</v>
      </c>
      <c r="J12" s="46">
        <f t="shared" si="2"/>
        <v>75</v>
      </c>
      <c r="K12" s="46">
        <f t="shared" si="2"/>
        <v>89</v>
      </c>
      <c r="L12" s="46">
        <f t="shared" si="2"/>
        <v>93</v>
      </c>
      <c r="M12" s="46">
        <f t="shared" si="2"/>
        <v>81</v>
      </c>
      <c r="N12" s="46">
        <f t="shared" si="2"/>
        <v>58</v>
      </c>
      <c r="O12" s="46">
        <f t="shared" si="2"/>
        <v>69</v>
      </c>
      <c r="P12" s="46">
        <f t="shared" si="2"/>
        <v>93</v>
      </c>
      <c r="Q12" s="46">
        <f t="shared" si="2"/>
        <v>84</v>
      </c>
      <c r="R12" s="46">
        <f t="shared" si="2"/>
        <v>74</v>
      </c>
      <c r="S12" s="46">
        <f t="shared" si="2"/>
        <v>529</v>
      </c>
      <c r="T12" s="46">
        <f t="shared" si="2"/>
        <v>264</v>
      </c>
      <c r="U12" s="46">
        <f t="shared" si="2"/>
        <v>143</v>
      </c>
      <c r="V12" s="46">
        <f t="shared" si="2"/>
        <v>112</v>
      </c>
      <c r="W12" s="46">
        <f t="shared" si="2"/>
        <v>98</v>
      </c>
      <c r="X12" s="46">
        <f t="shared" si="2"/>
        <v>104</v>
      </c>
      <c r="Y12" s="46">
        <f t="shared" si="2"/>
        <v>117</v>
      </c>
      <c r="Z12" s="46">
        <f t="shared" si="2"/>
        <v>80</v>
      </c>
      <c r="AA12" s="46">
        <f t="shared" si="2"/>
        <v>69</v>
      </c>
      <c r="AB12" s="46">
        <f t="shared" si="2"/>
        <v>90</v>
      </c>
      <c r="AC12" s="46">
        <f t="shared" si="2"/>
        <v>83</v>
      </c>
      <c r="AD12" s="46">
        <f t="shared" si="2"/>
        <v>77</v>
      </c>
      <c r="AE12" s="46">
        <f t="shared" si="2"/>
        <v>91</v>
      </c>
      <c r="AF12" s="37">
        <f t="shared" si="3"/>
        <v>3300</v>
      </c>
    </row>
    <row r="13">
      <c r="A13" s="24"/>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7"/>
    </row>
    <row r="14">
      <c r="A14" s="54" t="s">
        <v>98</v>
      </c>
      <c r="B14" s="60">
        <v>6093.17</v>
      </c>
      <c r="C14" s="60">
        <v>7548.12</v>
      </c>
      <c r="D14" s="60">
        <v>12070.55</v>
      </c>
      <c r="E14" s="60">
        <v>14020.42</v>
      </c>
      <c r="F14" s="60">
        <v>15836.42</v>
      </c>
      <c r="G14" s="60">
        <v>10672.44</v>
      </c>
      <c r="H14" s="60">
        <v>6908.16</v>
      </c>
      <c r="I14" s="60">
        <v>6192.65</v>
      </c>
      <c r="J14" s="60">
        <v>8844.93</v>
      </c>
      <c r="K14" s="60">
        <v>12091.33</v>
      </c>
      <c r="L14" s="60">
        <v>16674.1</v>
      </c>
      <c r="M14" s="60">
        <v>13103.66</v>
      </c>
      <c r="N14" s="60">
        <v>9013.67</v>
      </c>
      <c r="O14" s="60">
        <v>8206.73</v>
      </c>
      <c r="P14" s="60">
        <v>13576.03</v>
      </c>
      <c r="Q14" s="60">
        <v>11601.77</v>
      </c>
      <c r="R14" s="60">
        <v>8073.45</v>
      </c>
      <c r="S14" s="60">
        <v>15805.2</v>
      </c>
      <c r="T14" s="60">
        <v>12819.7</v>
      </c>
      <c r="U14" s="60">
        <v>11558.54</v>
      </c>
      <c r="V14" s="60">
        <v>7521.11</v>
      </c>
      <c r="W14" s="60">
        <v>6317.87</v>
      </c>
      <c r="X14" s="60">
        <v>8096.65</v>
      </c>
      <c r="Y14" s="60">
        <v>9209.38</v>
      </c>
      <c r="Z14" s="60">
        <v>7333.24</v>
      </c>
      <c r="AA14" s="60">
        <v>5704.0</v>
      </c>
      <c r="AB14" s="60">
        <v>5914.6</v>
      </c>
      <c r="AC14" s="60">
        <v>6436.66</v>
      </c>
      <c r="AD14" s="60">
        <v>7919.38</v>
      </c>
      <c r="AE14" s="60">
        <v>9068.7</v>
      </c>
      <c r="AF14" s="7"/>
    </row>
    <row r="15">
      <c r="A15" s="20" t="s">
        <v>73</v>
      </c>
      <c r="B15" s="61">
        <f>B14*Summary!B63</f>
        <v>6573.311796</v>
      </c>
      <c r="C15" s="61">
        <f>C14*Summary!C63</f>
        <v>8142.911856</v>
      </c>
      <c r="D15" s="61">
        <f>D14*Summary!D63</f>
        <v>13003.60352</v>
      </c>
      <c r="E15" s="61">
        <f>E14*Summary!E63</f>
        <v>15135.04339</v>
      </c>
      <c r="F15" s="61">
        <f>F14*Summary!F63</f>
        <v>16986.14409</v>
      </c>
      <c r="G15" s="61">
        <f>G14*Summary!G63</f>
        <v>11448.32639</v>
      </c>
      <c r="H15" s="61">
        <f>H14*Summary!H63</f>
        <v>7391.7312</v>
      </c>
      <c r="I15" s="61">
        <f>I14*Summary!I63</f>
        <v>6630.470355</v>
      </c>
      <c r="J15" s="61">
        <f>J14*Summary!J63</f>
        <v>9470.266551</v>
      </c>
      <c r="K15" s="61">
        <f>K14*Summary!K63</f>
        <v>12951.02356</v>
      </c>
      <c r="L15" s="61">
        <f>L14*Summary!L63</f>
        <v>17924.6575</v>
      </c>
      <c r="M15" s="61">
        <f>M14*Summary!M63</f>
        <v>14094.2967</v>
      </c>
      <c r="N15" s="61">
        <f>N14*Summary!N63</f>
        <v>9674.372011</v>
      </c>
      <c r="O15" s="61">
        <f>O14*Summary!O63</f>
        <v>8734.422739</v>
      </c>
      <c r="P15" s="61">
        <f>P14*Summary!P63</f>
        <v>14485.62401</v>
      </c>
      <c r="Q15" s="61">
        <f>Q14*Summary!Q63</f>
        <v>12379.08859</v>
      </c>
      <c r="R15" s="61">
        <f>R14*Summary!R63</f>
        <v>8609.52708</v>
      </c>
      <c r="S15" s="61">
        <f>S14*Summary!S63</f>
        <v>16898.91984</v>
      </c>
      <c r="T15" s="61">
        <f>T14*Summary!T63</f>
        <v>13695.28551</v>
      </c>
      <c r="U15" s="61">
        <f>U14*Summary!U63</f>
        <v>12315.62437</v>
      </c>
      <c r="V15" s="61">
        <f>V14*Summary!V63</f>
        <v>8019.759593</v>
      </c>
      <c r="W15" s="61">
        <f>W14*Summary!W63</f>
        <v>0</v>
      </c>
      <c r="X15" s="61">
        <f>X14*Summary!X63</f>
        <v>8634.26756</v>
      </c>
      <c r="Y15" s="61">
        <f>Y14*Summary!Y63</f>
        <v>9807.9897</v>
      </c>
      <c r="Z15" s="61">
        <f>Z14*Summary!Z63</f>
        <v>7768.834456</v>
      </c>
      <c r="AA15" s="61">
        <f>AA14*Summary!AA63</f>
        <v>6029.6984</v>
      </c>
      <c r="AB15" s="61">
        <f>AB14*Summary!AB63</f>
        <v>6213.2873</v>
      </c>
      <c r="AC15" s="61">
        <f>AC14*Summary!AC63</f>
        <v>6801.618622</v>
      </c>
      <c r="AD15" s="61">
        <f>AD14*Summary!AD63</f>
        <v>8384.247606</v>
      </c>
      <c r="AE15" s="61">
        <f>AE14*Summary!AE63</f>
        <v>9594.6846</v>
      </c>
      <c r="AF15" s="67">
        <f t="shared" ref="AF15:AF19" si="4">SUM(B15:AE15)</f>
        <v>307799.0389</v>
      </c>
    </row>
    <row r="16">
      <c r="A16" s="20" t="s">
        <v>84</v>
      </c>
      <c r="B16" s="61">
        <v>5686.76</v>
      </c>
      <c r="C16" s="61">
        <v>7591.09</v>
      </c>
      <c r="D16" s="61">
        <v>10836.18</v>
      </c>
      <c r="E16" s="61">
        <v>10459.89</v>
      </c>
      <c r="F16" s="61">
        <v>11145.3</v>
      </c>
      <c r="G16" s="61">
        <v>8833.63</v>
      </c>
      <c r="H16" s="61">
        <v>4455.65</v>
      </c>
      <c r="I16" s="61">
        <v>4929.52</v>
      </c>
      <c r="J16" s="61">
        <v>8377.98</v>
      </c>
      <c r="K16" s="61">
        <v>8034.35</v>
      </c>
      <c r="L16" s="61">
        <v>4735.4</v>
      </c>
      <c r="M16" s="61">
        <v>8170.46</v>
      </c>
      <c r="N16" s="61">
        <v>4528.93</v>
      </c>
      <c r="O16" s="61">
        <v>5890.99</v>
      </c>
      <c r="P16" s="61">
        <v>5996.7</v>
      </c>
      <c r="Q16" s="61">
        <v>6054.73</v>
      </c>
      <c r="R16" s="61">
        <v>7230.17</v>
      </c>
      <c r="S16" s="61">
        <v>11758.69</v>
      </c>
      <c r="T16" s="61">
        <v>11983.88</v>
      </c>
      <c r="U16" s="61">
        <v>7147.16</v>
      </c>
      <c r="V16" s="61">
        <v>7394.44</v>
      </c>
      <c r="W16" s="61">
        <v>6893.83</v>
      </c>
      <c r="X16" s="61">
        <v>9346.26</v>
      </c>
      <c r="Y16" s="71">
        <v>8085.14</v>
      </c>
      <c r="Z16" s="71">
        <v>6676.5</v>
      </c>
      <c r="AA16" s="61">
        <v>6657.14</v>
      </c>
      <c r="AB16" s="61">
        <v>6547.23</v>
      </c>
      <c r="AC16" s="61">
        <v>6488.04</v>
      </c>
      <c r="AD16" s="61">
        <v>6111.93</v>
      </c>
      <c r="AE16" s="61">
        <v>11198.87</v>
      </c>
      <c r="AF16" s="67">
        <f t="shared" si="4"/>
        <v>229246.84</v>
      </c>
    </row>
    <row r="17">
      <c r="A17" s="20" t="s">
        <v>88</v>
      </c>
      <c r="B17" s="61">
        <v>0.0</v>
      </c>
      <c r="C17" s="61">
        <v>0.0</v>
      </c>
      <c r="D17" s="61">
        <v>0.0</v>
      </c>
      <c r="E17" s="61">
        <v>0.0</v>
      </c>
      <c r="F17" s="61">
        <v>0.0</v>
      </c>
      <c r="G17" s="61">
        <v>0.0</v>
      </c>
      <c r="H17" s="61">
        <v>0.0</v>
      </c>
      <c r="I17" s="61">
        <v>0.0</v>
      </c>
      <c r="J17" s="61">
        <v>0.0</v>
      </c>
      <c r="K17" s="61">
        <v>0.0</v>
      </c>
      <c r="L17" s="61">
        <v>0.0</v>
      </c>
      <c r="M17" s="61">
        <v>0.0</v>
      </c>
      <c r="N17" s="61">
        <v>0.0</v>
      </c>
      <c r="O17" s="61">
        <v>0.0</v>
      </c>
      <c r="P17" s="61">
        <v>0.0</v>
      </c>
      <c r="Q17" s="61">
        <v>0.0</v>
      </c>
      <c r="R17" s="61">
        <v>0.0</v>
      </c>
      <c r="S17" s="61">
        <v>0.0</v>
      </c>
      <c r="T17" s="61">
        <v>0.0</v>
      </c>
      <c r="U17" s="61">
        <v>0.0</v>
      </c>
      <c r="V17" s="61">
        <v>0.0</v>
      </c>
      <c r="W17" s="61">
        <v>0.0</v>
      </c>
      <c r="X17" s="61">
        <v>0.0</v>
      </c>
      <c r="Y17" s="61">
        <v>0.0</v>
      </c>
      <c r="Z17" s="61">
        <v>0.0</v>
      </c>
      <c r="AA17" s="61">
        <v>0.0</v>
      </c>
      <c r="AB17" s="61">
        <v>0.0</v>
      </c>
      <c r="AC17" s="61">
        <v>0.0</v>
      </c>
      <c r="AD17" s="61">
        <v>0.0</v>
      </c>
      <c r="AE17" s="61">
        <v>0.0</v>
      </c>
      <c r="AF17" s="67">
        <f t="shared" si="4"/>
        <v>0</v>
      </c>
    </row>
    <row r="18">
      <c r="A18" s="20" t="s">
        <v>91</v>
      </c>
      <c r="B18" s="61">
        <v>0.0</v>
      </c>
      <c r="C18" s="61">
        <v>251.0</v>
      </c>
      <c r="D18" s="61">
        <v>0.0</v>
      </c>
      <c r="E18" s="61">
        <v>0.0</v>
      </c>
      <c r="F18" s="61">
        <v>0.0</v>
      </c>
      <c r="G18" s="61">
        <v>0.0</v>
      </c>
      <c r="H18" s="61">
        <v>0.0</v>
      </c>
      <c r="I18" s="61">
        <v>0.0</v>
      </c>
      <c r="J18" s="61">
        <v>0.0</v>
      </c>
      <c r="K18" s="61">
        <v>0.0</v>
      </c>
      <c r="L18" s="61">
        <v>0.0</v>
      </c>
      <c r="M18" s="61">
        <v>0.0</v>
      </c>
      <c r="N18" s="61">
        <v>0.0</v>
      </c>
      <c r="O18" s="61">
        <v>0.0</v>
      </c>
      <c r="P18" s="61">
        <v>0.0</v>
      </c>
      <c r="Q18" s="61">
        <v>0.0</v>
      </c>
      <c r="R18" s="61">
        <v>0.0</v>
      </c>
      <c r="S18" s="61">
        <v>0.0</v>
      </c>
      <c r="T18" s="61">
        <v>0.0</v>
      </c>
      <c r="U18" s="61">
        <v>0.0</v>
      </c>
      <c r="V18" s="61">
        <v>0.0</v>
      </c>
      <c r="W18" s="61">
        <v>0.0</v>
      </c>
      <c r="X18" s="61">
        <v>0.0</v>
      </c>
      <c r="Y18" s="61">
        <v>2761.0</v>
      </c>
      <c r="Z18" s="61">
        <v>753.0</v>
      </c>
      <c r="AA18" s="61">
        <v>251.0</v>
      </c>
      <c r="AB18" s="61">
        <v>0.0</v>
      </c>
      <c r="AC18" s="61">
        <v>502.0</v>
      </c>
      <c r="AD18" s="61">
        <v>502.0</v>
      </c>
      <c r="AE18" s="61">
        <v>753.0</v>
      </c>
      <c r="AF18" s="67">
        <f t="shared" si="4"/>
        <v>5773</v>
      </c>
    </row>
    <row r="19">
      <c r="A19" s="20" t="s">
        <v>93</v>
      </c>
      <c r="B19" s="71">
        <v>0.0</v>
      </c>
      <c r="C19" s="71">
        <v>0.0</v>
      </c>
      <c r="D19" s="71">
        <v>0.0</v>
      </c>
      <c r="E19" s="71">
        <v>0.0</v>
      </c>
      <c r="F19" s="71">
        <v>0.0</v>
      </c>
      <c r="G19" s="71">
        <v>0.0</v>
      </c>
      <c r="H19" s="71">
        <v>0.0</v>
      </c>
      <c r="I19" s="71">
        <v>0.0</v>
      </c>
      <c r="J19" s="71">
        <v>0.0</v>
      </c>
      <c r="K19" s="71">
        <v>0.0</v>
      </c>
      <c r="L19" s="71">
        <v>0.0</v>
      </c>
      <c r="M19" s="71">
        <v>0.0</v>
      </c>
      <c r="N19" s="71">
        <v>0.0</v>
      </c>
      <c r="O19" s="71">
        <v>0.0</v>
      </c>
      <c r="P19" s="71">
        <v>0.0</v>
      </c>
      <c r="Q19" s="71">
        <v>0.0</v>
      </c>
      <c r="R19" s="71">
        <v>0.0</v>
      </c>
      <c r="S19" s="71">
        <v>0.0</v>
      </c>
      <c r="T19" s="71">
        <v>0.0</v>
      </c>
      <c r="U19" s="71">
        <v>0.0</v>
      </c>
      <c r="V19" s="71">
        <v>0.0</v>
      </c>
      <c r="W19" s="71">
        <v>0.0</v>
      </c>
      <c r="X19" s="71">
        <v>0.0</v>
      </c>
      <c r="Y19" s="71">
        <v>0.0</v>
      </c>
      <c r="Z19" s="71">
        <v>0.0</v>
      </c>
      <c r="AA19" s="71">
        <v>0.0</v>
      </c>
      <c r="AB19" s="71">
        <v>0.0</v>
      </c>
      <c r="AC19" s="71">
        <v>0.0</v>
      </c>
      <c r="AD19" s="71">
        <v>0.0</v>
      </c>
      <c r="AE19" s="71">
        <v>0.0</v>
      </c>
      <c r="AF19" s="67">
        <f t="shared" si="4"/>
        <v>0</v>
      </c>
    </row>
    <row r="20">
      <c r="A20" s="20" t="s">
        <v>94</v>
      </c>
      <c r="B20" s="71">
        <v>0.0</v>
      </c>
      <c r="C20" s="71">
        <v>0.0</v>
      </c>
      <c r="D20" s="71">
        <v>0.0</v>
      </c>
      <c r="E20" s="71">
        <v>191.22</v>
      </c>
      <c r="F20" s="71">
        <v>500.33</v>
      </c>
      <c r="G20" s="71">
        <v>250.2</v>
      </c>
      <c r="H20" s="71">
        <v>0.0</v>
      </c>
      <c r="I20" s="71">
        <v>0.0</v>
      </c>
      <c r="J20" s="71">
        <v>0.0</v>
      </c>
      <c r="K20" s="71">
        <v>656.14</v>
      </c>
      <c r="L20" s="71">
        <v>0.0</v>
      </c>
      <c r="M20" s="71">
        <v>0.0</v>
      </c>
      <c r="N20" s="71">
        <v>0.0</v>
      </c>
      <c r="O20" s="71">
        <v>558.43</v>
      </c>
      <c r="P20" s="71">
        <v>266.62</v>
      </c>
      <c r="Q20" s="61">
        <v>299.58</v>
      </c>
      <c r="R20" s="71">
        <v>268.11</v>
      </c>
      <c r="S20" s="61">
        <v>77.38</v>
      </c>
      <c r="T20" s="71">
        <v>295.24</v>
      </c>
      <c r="U20" s="71">
        <v>285.19</v>
      </c>
      <c r="V20" s="71">
        <v>0.0</v>
      </c>
      <c r="W20" s="71">
        <v>285.82</v>
      </c>
      <c r="X20" s="71">
        <v>0.0</v>
      </c>
      <c r="Y20" s="71">
        <v>134.53</v>
      </c>
      <c r="Z20" s="71">
        <v>0.0</v>
      </c>
      <c r="AA20" s="71">
        <v>0.0</v>
      </c>
      <c r="AB20" s="71">
        <v>0.0</v>
      </c>
      <c r="AC20" s="71">
        <v>0.0</v>
      </c>
      <c r="AD20" s="71">
        <v>0.0</v>
      </c>
      <c r="AE20" s="71">
        <v>0.0</v>
      </c>
      <c r="AF20" s="67">
        <v>4068.7900000000004</v>
      </c>
    </row>
    <row r="21">
      <c r="A21" s="28" t="s">
        <v>96</v>
      </c>
      <c r="B21" s="75">
        <v>31.54</v>
      </c>
      <c r="C21" s="75">
        <v>194.2</v>
      </c>
      <c r="D21" s="76">
        <v>325.4</v>
      </c>
      <c r="E21" s="75">
        <v>299.73</v>
      </c>
      <c r="F21" s="76">
        <v>758.64</v>
      </c>
      <c r="G21" s="75">
        <v>30.22</v>
      </c>
      <c r="H21" s="75">
        <v>0.0</v>
      </c>
      <c r="I21" s="75">
        <v>284.54</v>
      </c>
      <c r="J21" s="75">
        <v>0.0</v>
      </c>
      <c r="K21" s="75">
        <v>277.14</v>
      </c>
      <c r="L21" s="76">
        <v>272.9</v>
      </c>
      <c r="M21" s="75">
        <v>0.0</v>
      </c>
      <c r="N21" s="75">
        <v>0.0</v>
      </c>
      <c r="O21" s="76">
        <v>360.23</v>
      </c>
      <c r="P21" s="79">
        <v>62.95</v>
      </c>
      <c r="Q21" s="79">
        <v>0.0</v>
      </c>
      <c r="R21" s="75">
        <v>276.01</v>
      </c>
      <c r="S21" s="76">
        <v>17465.79</v>
      </c>
      <c r="T21" s="82">
        <v>4691.16</v>
      </c>
      <c r="U21" s="79">
        <v>1885.65</v>
      </c>
      <c r="V21" s="79">
        <v>2249.89</v>
      </c>
      <c r="W21" s="79">
        <v>2177.45</v>
      </c>
      <c r="X21" s="79">
        <v>912.06</v>
      </c>
      <c r="Y21" s="79">
        <v>712.15</v>
      </c>
      <c r="Z21" s="79">
        <v>731.4</v>
      </c>
      <c r="AA21" s="79">
        <v>720.45</v>
      </c>
      <c r="AB21" s="79">
        <v>8391.12</v>
      </c>
      <c r="AC21" s="79">
        <v>3445.83</v>
      </c>
      <c r="AD21" s="79">
        <v>2534.36</v>
      </c>
      <c r="AE21" s="79">
        <v>1006.28</v>
      </c>
      <c r="AF21" s="83">
        <f t="shared" ref="AF21:AF22" si="6">SUM(B21:AE21)</f>
        <v>50097.09</v>
      </c>
    </row>
    <row r="22">
      <c r="A22" s="45" t="s">
        <v>95</v>
      </c>
      <c r="B22" s="63">
        <f t="shared" ref="B22:AE22" si="5">SUM(B15:B21)</f>
        <v>12291.6118</v>
      </c>
      <c r="C22" s="63">
        <f t="shared" si="5"/>
        <v>16179.20186</v>
      </c>
      <c r="D22" s="63">
        <f t="shared" si="5"/>
        <v>24165.18352</v>
      </c>
      <c r="E22" s="63">
        <f t="shared" si="5"/>
        <v>26085.88339</v>
      </c>
      <c r="F22" s="63">
        <f t="shared" si="5"/>
        <v>29390.41409</v>
      </c>
      <c r="G22" s="63">
        <f t="shared" si="5"/>
        <v>20562.37639</v>
      </c>
      <c r="H22" s="63">
        <f t="shared" si="5"/>
        <v>11847.3812</v>
      </c>
      <c r="I22" s="63">
        <f t="shared" si="5"/>
        <v>11844.53036</v>
      </c>
      <c r="J22" s="63">
        <f t="shared" si="5"/>
        <v>17848.24655</v>
      </c>
      <c r="K22" s="63">
        <f t="shared" si="5"/>
        <v>21918.65356</v>
      </c>
      <c r="L22" s="63">
        <f t="shared" si="5"/>
        <v>22932.9575</v>
      </c>
      <c r="M22" s="63">
        <f t="shared" si="5"/>
        <v>22264.7567</v>
      </c>
      <c r="N22" s="63">
        <f t="shared" si="5"/>
        <v>14203.30201</v>
      </c>
      <c r="O22" s="63">
        <f t="shared" si="5"/>
        <v>15544.07274</v>
      </c>
      <c r="P22" s="63">
        <f t="shared" si="5"/>
        <v>20811.89401</v>
      </c>
      <c r="Q22" s="63">
        <f t="shared" si="5"/>
        <v>18733.39859</v>
      </c>
      <c r="R22" s="63">
        <f t="shared" si="5"/>
        <v>16383.81708</v>
      </c>
      <c r="S22" s="63">
        <f t="shared" si="5"/>
        <v>46200.77984</v>
      </c>
      <c r="T22" s="63">
        <f t="shared" si="5"/>
        <v>30665.56551</v>
      </c>
      <c r="U22" s="63">
        <f t="shared" si="5"/>
        <v>21633.62437</v>
      </c>
      <c r="V22" s="63">
        <f t="shared" si="5"/>
        <v>17664.08959</v>
      </c>
      <c r="W22" s="63">
        <f t="shared" si="5"/>
        <v>9357.1</v>
      </c>
      <c r="X22" s="63">
        <f t="shared" si="5"/>
        <v>18892.58756</v>
      </c>
      <c r="Y22" s="63">
        <f t="shared" si="5"/>
        <v>21500.8097</v>
      </c>
      <c r="Z22" s="63">
        <f t="shared" si="5"/>
        <v>15929.73446</v>
      </c>
      <c r="AA22" s="63">
        <f t="shared" si="5"/>
        <v>13658.2884</v>
      </c>
      <c r="AB22" s="63">
        <f t="shared" si="5"/>
        <v>21151.6373</v>
      </c>
      <c r="AC22" s="63">
        <f t="shared" si="5"/>
        <v>17237.48862</v>
      </c>
      <c r="AD22" s="63">
        <f t="shared" si="5"/>
        <v>17532.53761</v>
      </c>
      <c r="AE22" s="63">
        <f t="shared" si="5"/>
        <v>22552.8346</v>
      </c>
      <c r="AF22" s="87">
        <f t="shared" si="6"/>
        <v>596984.7589</v>
      </c>
    </row>
    <row r="23">
      <c r="A23" s="24"/>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7"/>
    </row>
    <row r="24">
      <c r="A24" s="66" t="s">
        <v>105</v>
      </c>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7"/>
    </row>
    <row r="25">
      <c r="A25" s="20" t="s">
        <v>73</v>
      </c>
      <c r="B25" s="90">
        <f>Summary!B65</f>
        <v>4940.407752</v>
      </c>
      <c r="C25" s="90">
        <f>Summary!C65</f>
        <v>4538.08008</v>
      </c>
      <c r="D25" s="90">
        <f>Summary!D65</f>
        <v>6292.929447</v>
      </c>
      <c r="E25" s="90">
        <f>Summary!E65</f>
        <v>7164.66309</v>
      </c>
      <c r="F25" s="90">
        <f>Summary!F65</f>
        <v>9564.449282</v>
      </c>
      <c r="G25" s="90">
        <f>Summary!G65</f>
        <v>9981.848945</v>
      </c>
      <c r="H25" s="90">
        <f>Summary!H65</f>
        <v>4150.0806</v>
      </c>
      <c r="I25" s="90">
        <f>Summary!I65</f>
        <v>1979.884905</v>
      </c>
      <c r="J25" s="90">
        <f>Summary!J65</f>
        <v>3564.135453</v>
      </c>
      <c r="K25" s="90">
        <f>Summary!K65</f>
        <v>6614.631605</v>
      </c>
      <c r="L25" s="90">
        <f>Summary!L65</f>
        <v>6412.719</v>
      </c>
      <c r="M25" s="90">
        <f>Summary!M65</f>
        <v>5238.236536</v>
      </c>
      <c r="N25" s="90">
        <f>Summary!N65</f>
        <v>3204.519611</v>
      </c>
      <c r="O25" s="90">
        <f>Summary!O65</f>
        <v>2469.112142</v>
      </c>
      <c r="P25" s="90">
        <f>Summary!P65</f>
        <v>3316.75883</v>
      </c>
      <c r="Q25" s="90">
        <f>Summary!Q65</f>
        <v>3780.35966</v>
      </c>
      <c r="R25" s="90">
        <f>Summary!R65</f>
        <v>3978.823712</v>
      </c>
      <c r="S25" s="90">
        <f>Summary!S65</f>
        <v>3727.188432</v>
      </c>
      <c r="T25" s="90">
        <f>Summary!T65</f>
        <v>4689.559242</v>
      </c>
      <c r="U25" s="90">
        <f>Summary!U65</f>
        <v>4552.68971</v>
      </c>
      <c r="V25" s="90">
        <f>Summary!V65</f>
        <v>4797.976795</v>
      </c>
      <c r="W25" s="90">
        <f>Summary!W65</f>
        <v>0</v>
      </c>
      <c r="X25" s="90">
        <f>Summary!X65</f>
        <v>6490.824888</v>
      </c>
      <c r="Y25" s="90">
        <f>Summary!Y65</f>
        <v>8346.94815</v>
      </c>
      <c r="Z25" s="90">
        <f>Summary!Z65</f>
        <v>7357.914384</v>
      </c>
      <c r="AA25" s="90">
        <f>Summary!AA65</f>
        <v>6801.613962</v>
      </c>
      <c r="AB25" s="90">
        <f>Summary!AB65</f>
        <v>4721.797905</v>
      </c>
      <c r="AC25" s="90">
        <f>Summary!AC65</f>
        <v>3682.07115</v>
      </c>
      <c r="AD25" s="90">
        <f>Summary!AD65</f>
        <v>4864.324194</v>
      </c>
      <c r="AE25" s="90">
        <f>Summary!AE65</f>
        <v>5308.50442</v>
      </c>
      <c r="AF25" s="87">
        <f t="shared" ref="AF25:AF31" si="7">SUM(B25:AE25)</f>
        <v>152533.0539</v>
      </c>
    </row>
    <row r="26">
      <c r="A26" s="20" t="s">
        <v>84</v>
      </c>
      <c r="B26" s="99">
        <f>Summary!B66</f>
        <v>1210.79</v>
      </c>
      <c r="C26" s="99">
        <f>Summary!C66</f>
        <v>1399.9</v>
      </c>
      <c r="D26" s="99">
        <f>Summary!D66</f>
        <v>1709.65</v>
      </c>
      <c r="E26" s="99">
        <f>Summary!E66</f>
        <v>1315.99</v>
      </c>
      <c r="F26" s="99">
        <f>Summary!F66</f>
        <v>1354.7</v>
      </c>
      <c r="G26" s="99">
        <f>Summary!G66</f>
        <v>1334.04</v>
      </c>
      <c r="H26" s="99">
        <f>Summary!H66</f>
        <v>1388.13</v>
      </c>
      <c r="I26" s="99">
        <f>Summary!I66</f>
        <v>1350.77</v>
      </c>
      <c r="J26" s="99">
        <f>Summary!J66</f>
        <v>1438.08</v>
      </c>
      <c r="K26" s="99">
        <f>Summary!K66</f>
        <v>1962.58</v>
      </c>
      <c r="L26" s="99">
        <f>Summary!L66</f>
        <v>1887.85</v>
      </c>
      <c r="M26" s="99">
        <f>Summary!M66</f>
        <v>1863.85</v>
      </c>
      <c r="N26" s="99">
        <f>Summary!N66</f>
        <v>2181.78</v>
      </c>
      <c r="O26" s="99">
        <f>Summary!O66</f>
        <v>1644.15</v>
      </c>
      <c r="P26" s="99">
        <f>Summary!P66</f>
        <v>2151.14</v>
      </c>
      <c r="Q26" s="99">
        <f>Summary!Q66</f>
        <v>2408.3</v>
      </c>
      <c r="R26" s="99">
        <f>Summary!R66</f>
        <v>2607.01</v>
      </c>
      <c r="S26" s="99">
        <f>Summary!S66</f>
        <v>2871.65</v>
      </c>
      <c r="T26" s="99">
        <f>Summary!T66</f>
        <v>2751.55</v>
      </c>
      <c r="U26" s="99">
        <f>Summary!U66</f>
        <v>2287.74</v>
      </c>
      <c r="V26" s="99">
        <f>Summary!V66</f>
        <v>2055.93</v>
      </c>
      <c r="W26" s="99">
        <f>Summary!W66</f>
        <v>1949</v>
      </c>
      <c r="X26" s="99">
        <f>Summary!X66</f>
        <v>2011.34</v>
      </c>
      <c r="Y26" s="99">
        <f>Summary!Y66</f>
        <v>2162.32</v>
      </c>
      <c r="Z26" s="99">
        <f>Summary!Z66</f>
        <v>1938.83</v>
      </c>
      <c r="AA26" s="99">
        <f>Summary!AA66</f>
        <v>1647.2</v>
      </c>
      <c r="AB26" s="99">
        <f>Summary!AB66</f>
        <v>1733.42</v>
      </c>
      <c r="AC26" s="99">
        <f>Summary!AC66</f>
        <v>2080.01</v>
      </c>
      <c r="AD26" s="99">
        <f>Summary!AD66</f>
        <v>1795.19</v>
      </c>
      <c r="AE26" s="99">
        <f>Summary!AE66</f>
        <v>2141.16</v>
      </c>
      <c r="AF26" s="87">
        <f t="shared" si="7"/>
        <v>56634.05</v>
      </c>
    </row>
    <row r="27">
      <c r="A27" s="20" t="s">
        <v>88</v>
      </c>
      <c r="B27" s="90">
        <f>Summary!B68</f>
        <v>0</v>
      </c>
      <c r="C27" s="90">
        <f>Summary!C68</f>
        <v>0</v>
      </c>
      <c r="D27" s="90">
        <f>Summary!D68</f>
        <v>0</v>
      </c>
      <c r="E27" s="90">
        <f>Summary!E68</f>
        <v>0</v>
      </c>
      <c r="F27" s="90">
        <f>Summary!F68</f>
        <v>0</v>
      </c>
      <c r="G27" s="90">
        <f>Summary!G68</f>
        <v>0</v>
      </c>
      <c r="H27" s="90">
        <f>Summary!H68</f>
        <v>0</v>
      </c>
      <c r="I27" s="90">
        <f>Summary!I68</f>
        <v>0</v>
      </c>
      <c r="J27" s="90">
        <f>Summary!J68</f>
        <v>0</v>
      </c>
      <c r="K27" s="90">
        <f>Summary!K68</f>
        <v>0</v>
      </c>
      <c r="L27" s="90">
        <f>Summary!L68</f>
        <v>0</v>
      </c>
      <c r="M27" s="90">
        <f>Summary!M68</f>
        <v>0</v>
      </c>
      <c r="N27" s="90">
        <f>Summary!N68</f>
        <v>30</v>
      </c>
      <c r="O27" s="90">
        <f>Summary!O68</f>
        <v>30</v>
      </c>
      <c r="P27" s="90">
        <f>Summary!P68</f>
        <v>30</v>
      </c>
      <c r="Q27" s="90">
        <f>Summary!Q68</f>
        <v>30</v>
      </c>
      <c r="R27" s="90">
        <f>Summary!R68</f>
        <v>30</v>
      </c>
      <c r="S27" s="90">
        <f>Summary!S68</f>
        <v>16.29</v>
      </c>
      <c r="T27" s="90">
        <f>Summary!T68</f>
        <v>0</v>
      </c>
      <c r="U27" s="90">
        <f>Summary!U68</f>
        <v>0</v>
      </c>
      <c r="V27" s="90">
        <f>Summary!V68</f>
        <v>0</v>
      </c>
      <c r="W27" s="90">
        <f>Summary!W68</f>
        <v>0</v>
      </c>
      <c r="X27" s="90">
        <f>Summary!X68</f>
        <v>0</v>
      </c>
      <c r="Y27" s="90">
        <f>Summary!Y68</f>
        <v>0</v>
      </c>
      <c r="Z27" s="90">
        <f>Summary!Z68</f>
        <v>20</v>
      </c>
      <c r="AA27" s="90">
        <f>Summary!AA68</f>
        <v>20</v>
      </c>
      <c r="AB27" s="90">
        <f>Summary!AB68</f>
        <v>11.23</v>
      </c>
      <c r="AC27" s="90">
        <f>Summary!AC68</f>
        <v>0</v>
      </c>
      <c r="AD27" s="90">
        <f>Summary!AD68</f>
        <v>0</v>
      </c>
      <c r="AE27" s="90">
        <f>Summary!AE68</f>
        <v>0</v>
      </c>
      <c r="AF27" s="87">
        <f t="shared" si="7"/>
        <v>217.52</v>
      </c>
    </row>
    <row r="28">
      <c r="A28" s="20" t="s">
        <v>91</v>
      </c>
      <c r="B28" s="90">
        <f>Summary!B67</f>
        <v>183.94</v>
      </c>
      <c r="C28" s="90">
        <f>Summary!C67</f>
        <v>172.98</v>
      </c>
      <c r="D28" s="90">
        <f>Summary!D67</f>
        <v>228.88</v>
      </c>
      <c r="E28" s="90">
        <f>Summary!E67</f>
        <v>223.48</v>
      </c>
      <c r="F28" s="90">
        <f>Summary!F67</f>
        <v>230.68</v>
      </c>
      <c r="G28" s="90">
        <f>Summary!G67</f>
        <v>227.63</v>
      </c>
      <c r="H28" s="90">
        <f>Summary!H67</f>
        <v>224.23</v>
      </c>
      <c r="I28" s="90">
        <f>Summary!I67</f>
        <v>191.43</v>
      </c>
      <c r="J28" s="90">
        <f>Summary!J67</f>
        <v>355.52</v>
      </c>
      <c r="K28" s="90">
        <f>Summary!K67</f>
        <v>218.82</v>
      </c>
      <c r="L28" s="90">
        <f>Summary!L67</f>
        <v>224.19</v>
      </c>
      <c r="M28" s="90">
        <f>Summary!M67</f>
        <v>217.46</v>
      </c>
      <c r="N28" s="90">
        <f>Summary!N67</f>
        <v>212.7</v>
      </c>
      <c r="O28" s="90">
        <f>Summary!O67</f>
        <v>216.39</v>
      </c>
      <c r="P28" s="90">
        <f>Summary!P67</f>
        <v>191.06</v>
      </c>
      <c r="Q28" s="90">
        <f>Summary!Q67</f>
        <v>221.71</v>
      </c>
      <c r="R28" s="90">
        <f>Summary!R67</f>
        <v>486.58</v>
      </c>
      <c r="S28" s="90">
        <f>Summary!S67</f>
        <v>238.96</v>
      </c>
      <c r="T28" s="90">
        <f>Summary!T67</f>
        <v>212.46</v>
      </c>
      <c r="U28" s="90">
        <f>Summary!U67</f>
        <v>207.49</v>
      </c>
      <c r="V28" s="90">
        <f>Summary!V67</f>
        <v>199.05</v>
      </c>
      <c r="W28" s="90">
        <f>Summary!W67</f>
        <v>212.03</v>
      </c>
      <c r="X28" s="90">
        <f>Summary!X67</f>
        <v>212.05</v>
      </c>
      <c r="Y28" s="90">
        <f>Summary!Y67</f>
        <v>197.44</v>
      </c>
      <c r="Z28" s="90">
        <f>Summary!Z67</f>
        <v>62.73</v>
      </c>
      <c r="AA28" s="90">
        <f>Summary!AA67</f>
        <v>20.31</v>
      </c>
      <c r="AB28" s="90">
        <f>Summary!AB67</f>
        <v>0</v>
      </c>
      <c r="AC28" s="90">
        <f>Summary!AC67</f>
        <v>4.23</v>
      </c>
      <c r="AD28" s="90">
        <f>Summary!AD67</f>
        <v>161.76</v>
      </c>
      <c r="AE28" s="90">
        <f>Summary!AE67</f>
        <v>464.33</v>
      </c>
      <c r="AF28" s="87">
        <f t="shared" si="7"/>
        <v>6220.52</v>
      </c>
    </row>
    <row r="29">
      <c r="A29" s="20" t="s">
        <v>93</v>
      </c>
      <c r="B29" s="90">
        <f>Summary!B70</f>
        <v>0</v>
      </c>
      <c r="C29" s="90">
        <f>Summary!C70</f>
        <v>0</v>
      </c>
      <c r="D29" s="90">
        <f>Summary!D70</f>
        <v>0</v>
      </c>
      <c r="E29" s="90">
        <f>Summary!E70</f>
        <v>0</v>
      </c>
      <c r="F29" s="90">
        <f>Summary!F70</f>
        <v>0</v>
      </c>
      <c r="G29" s="90">
        <f>Summary!G70</f>
        <v>0</v>
      </c>
      <c r="H29" s="90">
        <f>Summary!H70</f>
        <v>0</v>
      </c>
      <c r="I29" s="90">
        <f>Summary!I70</f>
        <v>0</v>
      </c>
      <c r="J29" s="90">
        <f>Summary!J70</f>
        <v>0</v>
      </c>
      <c r="K29" s="90">
        <f>Summary!K70</f>
        <v>0</v>
      </c>
      <c r="L29" s="90">
        <f>Summary!L70</f>
        <v>190.92</v>
      </c>
      <c r="M29" s="90">
        <f>Summary!M70</f>
        <v>184.37</v>
      </c>
      <c r="N29" s="90">
        <f>Summary!N70</f>
        <v>347.34</v>
      </c>
      <c r="O29" s="90">
        <f>Summary!O70</f>
        <v>400.58</v>
      </c>
      <c r="P29" s="90">
        <f>Summary!P70</f>
        <v>527.61</v>
      </c>
      <c r="Q29" s="90">
        <f>Summary!Q70</f>
        <v>503.39</v>
      </c>
      <c r="R29" s="90">
        <f>Summary!R70</f>
        <v>504.5</v>
      </c>
      <c r="S29" s="90">
        <f>Summary!S70</f>
        <v>501.28</v>
      </c>
      <c r="T29" s="90">
        <f>Summary!T70</f>
        <v>501.22</v>
      </c>
      <c r="U29" s="90">
        <f>Summary!U70</f>
        <v>335.16</v>
      </c>
      <c r="V29" s="90">
        <f>Summary!V70</f>
        <v>468.16</v>
      </c>
      <c r="W29" s="90">
        <f>Summary!W70</f>
        <v>377.74</v>
      </c>
      <c r="X29" s="90">
        <f>Summary!X70</f>
        <v>403.1</v>
      </c>
      <c r="Y29" s="90">
        <f>Summary!Y70</f>
        <v>403</v>
      </c>
      <c r="Z29" s="90">
        <f>Summary!Z70</f>
        <v>403.6</v>
      </c>
      <c r="AA29" s="90">
        <f>Summary!AA70</f>
        <v>402.86</v>
      </c>
      <c r="AB29" s="90">
        <f>Summary!AB70</f>
        <v>402.38</v>
      </c>
      <c r="AC29" s="90">
        <f>Summary!AC70</f>
        <v>388.24</v>
      </c>
      <c r="AD29" s="90">
        <f>Summary!AD70</f>
        <v>0.02</v>
      </c>
      <c r="AE29" s="90">
        <f>Summary!AE70</f>
        <v>0</v>
      </c>
      <c r="AF29" s="87">
        <f t="shared" si="7"/>
        <v>7245.47</v>
      </c>
    </row>
    <row r="30">
      <c r="A30" s="120" t="s">
        <v>134</v>
      </c>
      <c r="B30" s="121">
        <f>Summary!B72</f>
        <v>0</v>
      </c>
      <c r="C30" s="121">
        <f>Summary!C72</f>
        <v>0</v>
      </c>
      <c r="D30" s="121">
        <f>Summary!D72</f>
        <v>0</v>
      </c>
      <c r="E30" s="121">
        <f>Summary!E72</f>
        <v>47.81</v>
      </c>
      <c r="F30" s="121">
        <f>Summary!F72</f>
        <v>113.06</v>
      </c>
      <c r="G30" s="121">
        <f>Summary!G72</f>
        <v>62.55</v>
      </c>
      <c r="H30" s="121">
        <f>Summary!H72</f>
        <v>0</v>
      </c>
      <c r="I30" s="121">
        <f>Summary!I72</f>
        <v>0</v>
      </c>
      <c r="J30" s="121">
        <f>Summary!J72</f>
        <v>0</v>
      </c>
      <c r="K30" s="121">
        <f>Summary!K72</f>
        <v>149.78</v>
      </c>
      <c r="L30" s="121">
        <f>Summary!L72</f>
        <v>0</v>
      </c>
      <c r="M30" s="121">
        <f>Summary!M72</f>
        <v>0</v>
      </c>
      <c r="N30" s="121">
        <f>Summary!N72</f>
        <v>0</v>
      </c>
      <c r="O30" s="121">
        <f>Summary!O72</f>
        <v>139.61</v>
      </c>
      <c r="P30" s="121">
        <f>Summary!P72</f>
        <v>53.32</v>
      </c>
      <c r="Q30" s="121">
        <f>Summary!Q72</f>
        <v>59.92</v>
      </c>
      <c r="R30" s="121">
        <f>Summary!R72</f>
        <v>53.62</v>
      </c>
      <c r="S30" s="121">
        <f>Summary!S72</f>
        <v>15.48</v>
      </c>
      <c r="T30" s="121">
        <f>Summary!T72</f>
        <v>59.05</v>
      </c>
      <c r="U30" s="121">
        <f>Summary!U72</f>
        <v>57.04</v>
      </c>
      <c r="V30" s="121">
        <f>Summary!V72</f>
        <v>0</v>
      </c>
      <c r="W30" s="121">
        <f>Summary!W72</f>
        <v>57.16</v>
      </c>
      <c r="X30" s="121">
        <f>Summary!X72</f>
        <v>0</v>
      </c>
      <c r="Y30" s="121">
        <f>Summary!Y72</f>
        <v>26.91</v>
      </c>
      <c r="Z30" s="121">
        <f>Summary!Z72</f>
        <v>0</v>
      </c>
      <c r="AA30" s="121">
        <f>Summary!AA72</f>
        <v>0</v>
      </c>
      <c r="AB30" s="121">
        <f>Summary!AB72</f>
        <v>0</v>
      </c>
      <c r="AC30" s="121">
        <f>Summary!AC72</f>
        <v>0</v>
      </c>
      <c r="AD30" s="121">
        <f>Summary!AD72</f>
        <v>0</v>
      </c>
      <c r="AE30" s="121">
        <f>Summary!AE72</f>
        <v>0</v>
      </c>
      <c r="AF30" s="129">
        <f t="shared" si="7"/>
        <v>895.31</v>
      </c>
    </row>
    <row r="31">
      <c r="A31" s="45" t="s">
        <v>95</v>
      </c>
      <c r="B31" s="63">
        <f t="shared" ref="B31:AE31" si="8">SUM(B25:B30)</f>
        <v>6335.137752</v>
      </c>
      <c r="C31" s="63">
        <f t="shared" si="8"/>
        <v>6110.96008</v>
      </c>
      <c r="D31" s="63">
        <f t="shared" si="8"/>
        <v>8231.459447</v>
      </c>
      <c r="E31" s="63">
        <f t="shared" si="8"/>
        <v>8751.94309</v>
      </c>
      <c r="F31" s="63">
        <f t="shared" si="8"/>
        <v>11262.88928</v>
      </c>
      <c r="G31" s="63">
        <f t="shared" si="8"/>
        <v>11606.06895</v>
      </c>
      <c r="H31" s="63">
        <f t="shared" si="8"/>
        <v>5762.4406</v>
      </c>
      <c r="I31" s="63">
        <f t="shared" si="8"/>
        <v>3522.084905</v>
      </c>
      <c r="J31" s="63">
        <f t="shared" si="8"/>
        <v>5357.735453</v>
      </c>
      <c r="K31" s="63">
        <f t="shared" si="8"/>
        <v>8945.811605</v>
      </c>
      <c r="L31" s="63">
        <f t="shared" si="8"/>
        <v>8715.679</v>
      </c>
      <c r="M31" s="63">
        <f t="shared" si="8"/>
        <v>7503.916536</v>
      </c>
      <c r="N31" s="63">
        <f t="shared" si="8"/>
        <v>5976.339611</v>
      </c>
      <c r="O31" s="63">
        <f t="shared" si="8"/>
        <v>4899.842142</v>
      </c>
      <c r="P31" s="63">
        <f t="shared" si="8"/>
        <v>6269.88883</v>
      </c>
      <c r="Q31" s="63">
        <f t="shared" si="8"/>
        <v>7003.67966</v>
      </c>
      <c r="R31" s="63">
        <f t="shared" si="8"/>
        <v>7660.533712</v>
      </c>
      <c r="S31" s="63">
        <f t="shared" si="8"/>
        <v>7370.848432</v>
      </c>
      <c r="T31" s="63">
        <f t="shared" si="8"/>
        <v>8213.839242</v>
      </c>
      <c r="U31" s="63">
        <f t="shared" si="8"/>
        <v>7440.11971</v>
      </c>
      <c r="V31" s="63">
        <f t="shared" si="8"/>
        <v>7521.116795</v>
      </c>
      <c r="W31" s="63">
        <f t="shared" si="8"/>
        <v>2595.93</v>
      </c>
      <c r="X31" s="63">
        <f t="shared" si="8"/>
        <v>9117.314888</v>
      </c>
      <c r="Y31" s="63">
        <f t="shared" si="8"/>
        <v>11136.61815</v>
      </c>
      <c r="Z31" s="63">
        <f t="shared" si="8"/>
        <v>9783.074384</v>
      </c>
      <c r="AA31" s="63">
        <f t="shared" si="8"/>
        <v>8891.983962</v>
      </c>
      <c r="AB31" s="63">
        <f t="shared" si="8"/>
        <v>6868.827905</v>
      </c>
      <c r="AC31" s="63">
        <f t="shared" si="8"/>
        <v>6154.55115</v>
      </c>
      <c r="AD31" s="63">
        <f t="shared" si="8"/>
        <v>6821.294194</v>
      </c>
      <c r="AE31" s="63">
        <f t="shared" si="8"/>
        <v>7913.99442</v>
      </c>
      <c r="AF31" s="87">
        <f t="shared" si="7"/>
        <v>223745.9239</v>
      </c>
    </row>
    <row r="32">
      <c r="A32" s="24"/>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7"/>
    </row>
    <row r="33">
      <c r="A33" s="137"/>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40"/>
    </row>
    <row r="34">
      <c r="A34" s="95"/>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7"/>
    </row>
    <row r="35">
      <c r="A35" s="24"/>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7"/>
    </row>
    <row r="36">
      <c r="A36" s="73" t="s">
        <v>98</v>
      </c>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7"/>
    </row>
    <row r="37">
      <c r="A37" s="147" t="s">
        <v>146</v>
      </c>
      <c r="B37" s="70">
        <f>Summary!B8</f>
        <v>16813.33</v>
      </c>
      <c r="C37" s="70">
        <f>Summary!C8</f>
        <v>24584.7</v>
      </c>
      <c r="D37" s="70">
        <f>Summary!D8</f>
        <v>29900.76</v>
      </c>
      <c r="E37" s="70">
        <f>Summary!E8</f>
        <v>36334.28</v>
      </c>
      <c r="F37" s="70">
        <f>Summary!F8</f>
        <v>33865.73</v>
      </c>
      <c r="G37" s="70">
        <f>Summary!G8</f>
        <v>26222.32</v>
      </c>
      <c r="H37" s="70">
        <f>Summary!H8</f>
        <v>19010.62</v>
      </c>
      <c r="I37" s="70">
        <f>Summary!I8</f>
        <v>14263.81</v>
      </c>
      <c r="J37" s="70">
        <f>Summary!J8</f>
        <v>17706.42</v>
      </c>
      <c r="K37" s="70">
        <f>Summary!K8</f>
        <v>23568.41</v>
      </c>
      <c r="L37" s="70">
        <f>Summary!L8</f>
        <v>20746.2</v>
      </c>
      <c r="M37" s="70">
        <f>Summary!M8</f>
        <v>17605.43</v>
      </c>
      <c r="N37" s="70">
        <f>Summary!N8</f>
        <v>17110.62</v>
      </c>
      <c r="O37" s="70">
        <f>Summary!O8</f>
        <v>20586.5</v>
      </c>
      <c r="P37" s="70">
        <f>Summary!P8</f>
        <v>21083.51</v>
      </c>
      <c r="Q37" s="70">
        <f>Summary!Q8</f>
        <v>19516.42</v>
      </c>
      <c r="R37" s="70">
        <f>Summary!R8</f>
        <v>20308.72</v>
      </c>
      <c r="S37" s="70">
        <f>Summary!S8</f>
        <v>52649.3</v>
      </c>
      <c r="T37" s="70">
        <f>Summary!T8</f>
        <v>35237.55</v>
      </c>
      <c r="U37" s="70">
        <f>Summary!U8</f>
        <v>24958.52</v>
      </c>
      <c r="V37" s="70">
        <f>Summary!V8</f>
        <v>23325.78</v>
      </c>
      <c r="W37" s="70">
        <f>Summary!W8</f>
        <v>21023.22</v>
      </c>
      <c r="X37" s="70">
        <f>Summary!X8</f>
        <v>21650.72</v>
      </c>
      <c r="Y37" s="70">
        <f>Summary!Y8</f>
        <v>25290.75</v>
      </c>
      <c r="Z37" s="70">
        <f>Summary!Z8</f>
        <v>24346.86</v>
      </c>
      <c r="AA37" s="70">
        <f>Summary!AA8</f>
        <v>17185.25</v>
      </c>
      <c r="AB37" s="70">
        <f>Summary!AB8</f>
        <v>28409.71</v>
      </c>
      <c r="AC37" s="70">
        <f>Summary!AC8</f>
        <v>22027.07</v>
      </c>
      <c r="AD37" s="70">
        <f>Summary!AD8</f>
        <v>23806.79</v>
      </c>
      <c r="AE37" s="70">
        <f>Summary!AE8</f>
        <v>24655.64</v>
      </c>
      <c r="AF37" s="155">
        <f t="shared" ref="AF37:AF38" si="10">sum(B37:AE37)</f>
        <v>723794.94</v>
      </c>
    </row>
    <row r="38">
      <c r="A38" s="156" t="s">
        <v>117</v>
      </c>
      <c r="B38" s="159">
        <f t="shared" ref="B38:AE38" si="9">SUM(B37)</f>
        <v>16813.33</v>
      </c>
      <c r="C38" s="159">
        <f t="shared" si="9"/>
        <v>24584.7</v>
      </c>
      <c r="D38" s="159">
        <f t="shared" si="9"/>
        <v>29900.76</v>
      </c>
      <c r="E38" s="159">
        <f t="shared" si="9"/>
        <v>36334.28</v>
      </c>
      <c r="F38" s="159">
        <f t="shared" si="9"/>
        <v>33865.73</v>
      </c>
      <c r="G38" s="159">
        <f t="shared" si="9"/>
        <v>26222.32</v>
      </c>
      <c r="H38" s="159">
        <f t="shared" si="9"/>
        <v>19010.62</v>
      </c>
      <c r="I38" s="159">
        <f t="shared" si="9"/>
        <v>14263.81</v>
      </c>
      <c r="J38" s="159">
        <f t="shared" si="9"/>
        <v>17706.42</v>
      </c>
      <c r="K38" s="159">
        <f t="shared" si="9"/>
        <v>23568.41</v>
      </c>
      <c r="L38" s="159">
        <f t="shared" si="9"/>
        <v>20746.2</v>
      </c>
      <c r="M38" s="159">
        <f t="shared" si="9"/>
        <v>17605.43</v>
      </c>
      <c r="N38" s="159">
        <f t="shared" si="9"/>
        <v>17110.62</v>
      </c>
      <c r="O38" s="159">
        <f t="shared" si="9"/>
        <v>20586.5</v>
      </c>
      <c r="P38" s="159">
        <f t="shared" si="9"/>
        <v>21083.51</v>
      </c>
      <c r="Q38" s="159">
        <f t="shared" si="9"/>
        <v>19516.42</v>
      </c>
      <c r="R38" s="159">
        <f t="shared" si="9"/>
        <v>20308.72</v>
      </c>
      <c r="S38" s="159">
        <f t="shared" si="9"/>
        <v>52649.3</v>
      </c>
      <c r="T38" s="159">
        <f t="shared" si="9"/>
        <v>35237.55</v>
      </c>
      <c r="U38" s="159">
        <f t="shared" si="9"/>
        <v>24958.52</v>
      </c>
      <c r="V38" s="159">
        <f t="shared" si="9"/>
        <v>23325.78</v>
      </c>
      <c r="W38" s="159">
        <f t="shared" si="9"/>
        <v>21023.22</v>
      </c>
      <c r="X38" s="159">
        <f t="shared" si="9"/>
        <v>21650.72</v>
      </c>
      <c r="Y38" s="159">
        <f t="shared" si="9"/>
        <v>25290.75</v>
      </c>
      <c r="Z38" s="159">
        <f t="shared" si="9"/>
        <v>24346.86</v>
      </c>
      <c r="AA38" s="159">
        <f t="shared" si="9"/>
        <v>17185.25</v>
      </c>
      <c r="AB38" s="159">
        <f t="shared" si="9"/>
        <v>28409.71</v>
      </c>
      <c r="AC38" s="159">
        <f t="shared" si="9"/>
        <v>22027.07</v>
      </c>
      <c r="AD38" s="159">
        <f t="shared" si="9"/>
        <v>23806.79</v>
      </c>
      <c r="AE38" s="159">
        <f t="shared" si="9"/>
        <v>24655.64</v>
      </c>
      <c r="AF38" s="155">
        <f t="shared" si="10"/>
        <v>723794.94</v>
      </c>
    </row>
    <row r="39">
      <c r="A39" s="24"/>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7"/>
    </row>
    <row r="40">
      <c r="A40" s="73" t="s">
        <v>69</v>
      </c>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7"/>
    </row>
    <row r="41">
      <c r="A41" s="166" t="s">
        <v>161</v>
      </c>
      <c r="B41" s="167">
        <f>Summary!B44</f>
        <v>80</v>
      </c>
      <c r="C41" s="167">
        <f>Summary!C44</f>
        <v>113</v>
      </c>
      <c r="D41" s="167">
        <f>Summary!D44</f>
        <v>139</v>
      </c>
      <c r="E41" s="167">
        <f>Summary!E44</f>
        <v>168</v>
      </c>
      <c r="F41" s="167">
        <f>Summary!F44</f>
        <v>153</v>
      </c>
      <c r="G41" s="167">
        <f>Summary!G44</f>
        <v>125</v>
      </c>
      <c r="H41" s="167">
        <f>Summary!H44</f>
        <v>81</v>
      </c>
      <c r="I41" s="167">
        <f>Summary!I44</f>
        <v>53</v>
      </c>
      <c r="J41" s="167">
        <f>Summary!J44</f>
        <v>64</v>
      </c>
      <c r="K41" s="167">
        <f>Summary!K44</f>
        <v>93</v>
      </c>
      <c r="L41" s="167">
        <f>Summary!L44</f>
        <v>86</v>
      </c>
      <c r="M41" s="167">
        <f>Summary!M44</f>
        <v>69</v>
      </c>
      <c r="N41" s="167">
        <f>Summary!N44</f>
        <v>66</v>
      </c>
      <c r="O41" s="167">
        <f>Summary!O44</f>
        <v>79</v>
      </c>
      <c r="P41" s="167">
        <f>Summary!P44</f>
        <v>93</v>
      </c>
      <c r="Q41" s="167">
        <f>Summary!Q44</f>
        <v>86</v>
      </c>
      <c r="R41" s="167">
        <f>Summary!R44</f>
        <v>83</v>
      </c>
      <c r="S41" s="167">
        <f>Summary!S44</f>
        <v>594</v>
      </c>
      <c r="T41" s="167">
        <f>Summary!T44</f>
        <v>310</v>
      </c>
      <c r="U41" s="167">
        <f>Summary!U44</f>
        <v>175</v>
      </c>
      <c r="V41" s="167">
        <f>Summary!V44</f>
        <v>139</v>
      </c>
      <c r="W41" s="167">
        <f>Summary!W44</f>
        <v>122</v>
      </c>
      <c r="X41" s="167">
        <f>Summary!X44</f>
        <v>125</v>
      </c>
      <c r="Y41" s="167">
        <f>Summary!Y44</f>
        <v>135</v>
      </c>
      <c r="Z41" s="167">
        <f>Summary!Z44</f>
        <v>123</v>
      </c>
      <c r="AA41" s="167">
        <f>Summary!AA44</f>
        <v>100</v>
      </c>
      <c r="AB41" s="167">
        <f>Summary!AB44</f>
        <v>120</v>
      </c>
      <c r="AC41" s="167">
        <f>Summary!AC44</f>
        <v>109</v>
      </c>
      <c r="AD41" s="167">
        <f>Summary!AD44</f>
        <v>103</v>
      </c>
      <c r="AE41" s="167">
        <f>Summary!AE44</f>
        <v>103</v>
      </c>
      <c r="AF41" s="155">
        <f t="shared" ref="AF41:AF42" si="12">sum(B41:AE41)</f>
        <v>3889</v>
      </c>
    </row>
    <row r="42">
      <c r="A42" s="174" t="s">
        <v>117</v>
      </c>
      <c r="B42" s="175">
        <f t="shared" ref="B42:AE42" si="11">SUM(B41)</f>
        <v>80</v>
      </c>
      <c r="C42" s="175">
        <f t="shared" si="11"/>
        <v>113</v>
      </c>
      <c r="D42" s="175">
        <f t="shared" si="11"/>
        <v>139</v>
      </c>
      <c r="E42" s="175">
        <f t="shared" si="11"/>
        <v>168</v>
      </c>
      <c r="F42" s="175">
        <f t="shared" si="11"/>
        <v>153</v>
      </c>
      <c r="G42" s="175">
        <f t="shared" si="11"/>
        <v>125</v>
      </c>
      <c r="H42" s="175">
        <f t="shared" si="11"/>
        <v>81</v>
      </c>
      <c r="I42" s="175">
        <f t="shared" si="11"/>
        <v>53</v>
      </c>
      <c r="J42" s="175">
        <f t="shared" si="11"/>
        <v>64</v>
      </c>
      <c r="K42" s="175">
        <f t="shared" si="11"/>
        <v>93</v>
      </c>
      <c r="L42" s="175">
        <f t="shared" si="11"/>
        <v>86</v>
      </c>
      <c r="M42" s="175">
        <f t="shared" si="11"/>
        <v>69</v>
      </c>
      <c r="N42" s="175">
        <f t="shared" si="11"/>
        <v>66</v>
      </c>
      <c r="O42" s="175">
        <f t="shared" si="11"/>
        <v>79</v>
      </c>
      <c r="P42" s="175">
        <f t="shared" si="11"/>
        <v>93</v>
      </c>
      <c r="Q42" s="175">
        <f t="shared" si="11"/>
        <v>86</v>
      </c>
      <c r="R42" s="175">
        <f t="shared" si="11"/>
        <v>83</v>
      </c>
      <c r="S42" s="175">
        <f t="shared" si="11"/>
        <v>594</v>
      </c>
      <c r="T42" s="175">
        <f t="shared" si="11"/>
        <v>310</v>
      </c>
      <c r="U42" s="175">
        <f t="shared" si="11"/>
        <v>175</v>
      </c>
      <c r="V42" s="175">
        <f t="shared" si="11"/>
        <v>139</v>
      </c>
      <c r="W42" s="175">
        <f t="shared" si="11"/>
        <v>122</v>
      </c>
      <c r="X42" s="175">
        <f t="shared" si="11"/>
        <v>125</v>
      </c>
      <c r="Y42" s="175">
        <f t="shared" si="11"/>
        <v>135</v>
      </c>
      <c r="Z42" s="175">
        <f t="shared" si="11"/>
        <v>123</v>
      </c>
      <c r="AA42" s="175">
        <f t="shared" si="11"/>
        <v>100</v>
      </c>
      <c r="AB42" s="175">
        <f t="shared" si="11"/>
        <v>120</v>
      </c>
      <c r="AC42" s="175">
        <f t="shared" si="11"/>
        <v>109</v>
      </c>
      <c r="AD42" s="175">
        <f t="shared" si="11"/>
        <v>103</v>
      </c>
      <c r="AE42" s="175">
        <f t="shared" si="11"/>
        <v>103</v>
      </c>
      <c r="AF42" s="155">
        <f t="shared" si="12"/>
        <v>3889</v>
      </c>
    </row>
    <row r="43">
      <c r="A43" s="24"/>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7"/>
    </row>
    <row r="44">
      <c r="A44" s="73" t="s">
        <v>177</v>
      </c>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7"/>
    </row>
    <row r="45">
      <c r="A45" s="101" t="s">
        <v>97</v>
      </c>
      <c r="B45" s="102">
        <f>Summary!B9</f>
        <v>13722.1</v>
      </c>
      <c r="C45" s="102">
        <f>Summary!C9</f>
        <v>19550.7</v>
      </c>
      <c r="D45" s="102">
        <f>Summary!D9</f>
        <v>23435.2</v>
      </c>
      <c r="E45" s="102">
        <f>Summary!E9</f>
        <v>29484.65</v>
      </c>
      <c r="F45" s="102">
        <f>Summary!F9</f>
        <v>27664</v>
      </c>
      <c r="G45" s="102">
        <f>Summary!G9</f>
        <v>20990.5</v>
      </c>
      <c r="H45" s="102">
        <f>Summary!H9</f>
        <v>15207.5</v>
      </c>
      <c r="I45" s="102">
        <f>Summary!I9</f>
        <v>11768</v>
      </c>
      <c r="J45" s="102">
        <f>Summary!J9</f>
        <v>14587.8</v>
      </c>
      <c r="K45" s="102">
        <f>Summary!K9</f>
        <v>18895.35</v>
      </c>
      <c r="L45" s="102">
        <f>Summary!L9</f>
        <v>16210</v>
      </c>
      <c r="M45" s="102">
        <f>Summary!M9</f>
        <v>14428.3</v>
      </c>
      <c r="N45" s="102">
        <f>Summary!N9</f>
        <v>14116.6</v>
      </c>
      <c r="O45" s="102">
        <f>Summary!O9</f>
        <v>16589.5</v>
      </c>
      <c r="P45" s="102">
        <f>Summary!P9</f>
        <v>17022.8</v>
      </c>
      <c r="Q45" s="102">
        <f>Summary!Q9</f>
        <v>15507.9</v>
      </c>
      <c r="R45" s="102">
        <f>Summary!R9</f>
        <v>16466.4</v>
      </c>
      <c r="S45" s="102">
        <f>Summary!S9</f>
        <v>19896.36</v>
      </c>
      <c r="T45" s="102">
        <f>Summary!T9</f>
        <v>17790.86</v>
      </c>
      <c r="U45" s="102">
        <f>Summary!U9</f>
        <v>15609.46</v>
      </c>
      <c r="V45" s="102">
        <f>Summary!V9</f>
        <v>15125.66</v>
      </c>
      <c r="W45" s="102">
        <f>Summary!W9</f>
        <v>14080.46</v>
      </c>
      <c r="X45" s="102">
        <f>Summary!X9</f>
        <v>14631.43</v>
      </c>
      <c r="Y45" s="102">
        <f>Summary!Y9</f>
        <v>17414.66</v>
      </c>
      <c r="Z45" s="102">
        <f>Summary!Z9</f>
        <v>17603</v>
      </c>
      <c r="AA45" s="102">
        <f>Summary!AA9</f>
        <v>12051.38</v>
      </c>
      <c r="AB45" s="102">
        <f>Summary!AB9</f>
        <v>21870.44</v>
      </c>
      <c r="AC45" s="102">
        <f>Summary!AC9</f>
        <v>15951.41</v>
      </c>
      <c r="AD45" s="102">
        <f>Summary!AD9</f>
        <v>17981.86</v>
      </c>
      <c r="AE45" s="102">
        <f>Summary!AE9</f>
        <v>19255.96</v>
      </c>
      <c r="AF45" s="87">
        <f t="shared" ref="AF45:AF46" si="13">SUM(B45:AE45)</f>
        <v>524910.24</v>
      </c>
    </row>
    <row r="46">
      <c r="A46" s="101" t="s">
        <v>99</v>
      </c>
      <c r="B46" s="102">
        <f>Summary!B10</f>
        <v>1072.8</v>
      </c>
      <c r="C46" s="102">
        <f>Summary!C10</f>
        <v>1944.6</v>
      </c>
      <c r="D46" s="102">
        <f>Summary!D10</f>
        <v>2730.2</v>
      </c>
      <c r="E46" s="102">
        <f>Summary!E10</f>
        <v>2310.6</v>
      </c>
      <c r="F46" s="102">
        <f>Summary!F10</f>
        <v>2146.4</v>
      </c>
      <c r="G46" s="102">
        <f>Summary!G10</f>
        <v>2010</v>
      </c>
      <c r="H46" s="102">
        <f>Summary!H10</f>
        <v>1468.7</v>
      </c>
      <c r="I46" s="102">
        <f>Summary!I10</f>
        <v>941</v>
      </c>
      <c r="J46" s="102">
        <f>Summary!J10</f>
        <v>1121.5</v>
      </c>
      <c r="K46" s="102">
        <f>Summary!K10</f>
        <v>1949.4</v>
      </c>
      <c r="L46" s="102">
        <f>Summary!L10</f>
        <v>2023.5</v>
      </c>
      <c r="M46" s="102">
        <f>Summary!M10</f>
        <v>1254</v>
      </c>
      <c r="N46" s="102">
        <f>Summary!N10</f>
        <v>1044</v>
      </c>
      <c r="O46" s="102">
        <f>Summary!O10</f>
        <v>1530.2</v>
      </c>
      <c r="P46" s="102">
        <f>Summary!P10</f>
        <v>1517.4</v>
      </c>
      <c r="Q46" s="102">
        <f>Summary!Q10</f>
        <v>1717.1</v>
      </c>
      <c r="R46" s="102">
        <f>Summary!R10</f>
        <v>1458</v>
      </c>
      <c r="S46" s="102">
        <f>Summary!S10</f>
        <v>22114.94</v>
      </c>
      <c r="T46" s="102">
        <f>Summary!T10</f>
        <v>11299.34</v>
      </c>
      <c r="U46" s="102">
        <f>Summary!U10</f>
        <v>5629.34</v>
      </c>
      <c r="V46" s="102">
        <f>Summary!V10</f>
        <v>4905.34</v>
      </c>
      <c r="W46" s="102">
        <f>Summary!W10</f>
        <v>3952.34</v>
      </c>
      <c r="X46" s="102">
        <f>Summary!X10</f>
        <v>4079.17</v>
      </c>
      <c r="Y46" s="102">
        <f>Summary!Y10</f>
        <v>4446.34</v>
      </c>
      <c r="Z46" s="102">
        <f>Summary!Z10</f>
        <v>3484</v>
      </c>
      <c r="AA46" s="102">
        <f>Summary!AA10</f>
        <v>2812.7</v>
      </c>
      <c r="AB46" s="102">
        <f>Summary!AB10</f>
        <v>3183.5</v>
      </c>
      <c r="AC46" s="102">
        <f>Summary!AC10</f>
        <v>3209.84</v>
      </c>
      <c r="AD46" s="102">
        <f>Summary!AD10</f>
        <v>3033.54</v>
      </c>
      <c r="AE46" s="102">
        <f>Summary!AE10</f>
        <v>2396.19</v>
      </c>
      <c r="AF46" s="87">
        <f t="shared" si="13"/>
        <v>102785.98</v>
      </c>
    </row>
    <row r="47">
      <c r="A47" s="101" t="s">
        <v>100</v>
      </c>
      <c r="B47" s="214" t="str">
        <f>Summary!B11</f>
        <v/>
      </c>
      <c r="C47" s="214" t="str">
        <f>Summary!C11</f>
        <v/>
      </c>
      <c r="D47" s="214" t="str">
        <f>Summary!D11</f>
        <v/>
      </c>
      <c r="E47" s="214" t="str">
        <f>Summary!E11</f>
        <v/>
      </c>
      <c r="F47" s="214" t="str">
        <f>Summary!F11</f>
        <v/>
      </c>
      <c r="G47" s="214" t="str">
        <f>Summary!G11</f>
        <v/>
      </c>
      <c r="H47" s="214" t="str">
        <f>Summary!H11</f>
        <v/>
      </c>
      <c r="I47" s="214" t="str">
        <f>Summary!I11</f>
        <v/>
      </c>
      <c r="J47" s="214" t="str">
        <f>Summary!J11</f>
        <v/>
      </c>
      <c r="K47" s="214" t="str">
        <f>Summary!K11</f>
        <v/>
      </c>
      <c r="L47" s="214" t="str">
        <f>Summary!L11</f>
        <v/>
      </c>
      <c r="M47" s="214" t="str">
        <f>Summary!M11</f>
        <v/>
      </c>
      <c r="N47" s="214" t="str">
        <f>Summary!N11</f>
        <v/>
      </c>
      <c r="O47" s="214" t="str">
        <f>Summary!O11</f>
        <v/>
      </c>
      <c r="P47" s="214" t="str">
        <f>Summary!P11</f>
        <v/>
      </c>
      <c r="Q47" s="214" t="str">
        <f>Summary!Q11</f>
        <v/>
      </c>
      <c r="R47" s="214" t="str">
        <f>Summary!R11</f>
        <v/>
      </c>
      <c r="S47" s="214" t="str">
        <f>Summary!S11</f>
        <v/>
      </c>
      <c r="T47" s="214" t="str">
        <f>Summary!T11</f>
        <v/>
      </c>
      <c r="U47" s="214" t="str">
        <f>Summary!U11</f>
        <v/>
      </c>
      <c r="V47" s="214" t="str">
        <f>Summary!V11</f>
        <v/>
      </c>
      <c r="W47" s="214" t="str">
        <f>Summary!W11</f>
        <v/>
      </c>
      <c r="X47" s="214" t="str">
        <f>Summary!X11</f>
        <v/>
      </c>
      <c r="Y47" s="214" t="str">
        <f>Summary!Y11</f>
        <v/>
      </c>
      <c r="Z47" s="214" t="str">
        <f>Summary!Z11</f>
        <v/>
      </c>
      <c r="AA47" s="214" t="str">
        <f>Summary!AA11</f>
        <v/>
      </c>
      <c r="AB47" s="214" t="str">
        <f>Summary!AB11</f>
        <v/>
      </c>
      <c r="AC47" s="214" t="str">
        <f>Summary!AC11</f>
        <v/>
      </c>
      <c r="AD47" s="214" t="str">
        <f>Summary!AD11</f>
        <v/>
      </c>
      <c r="AE47" s="214" t="str">
        <f>Summary!AE11</f>
        <v/>
      </c>
      <c r="AF47" s="87"/>
    </row>
    <row r="48">
      <c r="A48" s="101" t="s">
        <v>102</v>
      </c>
      <c r="B48" s="235">
        <f>Summary!B13</f>
        <v>868.43</v>
      </c>
      <c r="C48" s="235">
        <f>Summary!C13</f>
        <v>1259.4</v>
      </c>
      <c r="D48" s="235">
        <f>Summary!D13</f>
        <v>1585.36</v>
      </c>
      <c r="E48" s="235">
        <f>Summary!E13</f>
        <v>1889.03</v>
      </c>
      <c r="F48" s="235">
        <f>Summary!F13</f>
        <v>1815.33</v>
      </c>
      <c r="G48" s="235">
        <f>Summary!G13</f>
        <v>1391.82</v>
      </c>
      <c r="H48" s="235">
        <f>Summary!H13</f>
        <v>1024.42</v>
      </c>
      <c r="I48" s="235">
        <f>Summary!I13</f>
        <v>584.81</v>
      </c>
      <c r="J48" s="235">
        <f>Summary!J13</f>
        <v>1032.12</v>
      </c>
      <c r="K48" s="235">
        <f>Summary!K13</f>
        <v>1238.66</v>
      </c>
      <c r="L48" s="235">
        <f>Summary!L13</f>
        <v>1152.7</v>
      </c>
      <c r="M48" s="235">
        <f>Summary!M13</f>
        <v>933.13</v>
      </c>
      <c r="N48" s="235">
        <f>Summary!N13</f>
        <v>850.02</v>
      </c>
      <c r="O48" s="235">
        <f>Summary!O13</f>
        <v>1041.8</v>
      </c>
      <c r="P48" s="235">
        <f>Summary!P13</f>
        <v>1073.31</v>
      </c>
      <c r="Q48" s="235">
        <f>Summary!Q13</f>
        <v>1026.42</v>
      </c>
      <c r="R48" s="235">
        <f>Summary!R13</f>
        <v>1169.32</v>
      </c>
      <c r="S48" s="235">
        <f>Summary!S13</f>
        <v>2713</v>
      </c>
      <c r="T48" s="235">
        <f>Summary!T13</f>
        <v>1702.35</v>
      </c>
      <c r="U48" s="235">
        <f>Summary!U13</f>
        <v>1234.72</v>
      </c>
      <c r="V48" s="235">
        <f>Summary!V13</f>
        <v>1184.78</v>
      </c>
      <c r="W48" s="235">
        <f>Summary!W13</f>
        <v>1095.42</v>
      </c>
      <c r="X48" s="235">
        <f>Summary!X13</f>
        <v>1040.12</v>
      </c>
      <c r="Y48" s="235">
        <f>Summary!Y13</f>
        <v>1309.75</v>
      </c>
      <c r="Z48" s="235">
        <f>Summary!Z13</f>
        <v>1109.86</v>
      </c>
      <c r="AA48" s="235">
        <f>Summary!AA13</f>
        <v>881.17</v>
      </c>
      <c r="AB48" s="235">
        <f>Summary!AB13</f>
        <v>1570.77</v>
      </c>
      <c r="AC48" s="235">
        <f>Summary!AC13</f>
        <v>1125.82</v>
      </c>
      <c r="AD48" s="235">
        <f>Summary!AD13</f>
        <v>1271.39</v>
      </c>
      <c r="AE48" s="235">
        <f>Summary!AE13</f>
        <v>1353.49</v>
      </c>
      <c r="AF48" s="87">
        <f t="shared" ref="AF48:AF50" si="14">SUM(B48:AE48)</f>
        <v>37528.72</v>
      </c>
    </row>
    <row r="49">
      <c r="A49" s="101" t="s">
        <v>103</v>
      </c>
      <c r="B49" s="102">
        <f>Summary!B14</f>
        <v>1150</v>
      </c>
      <c r="C49" s="102">
        <f>Summary!C14</f>
        <v>1830</v>
      </c>
      <c r="D49" s="102">
        <f>Summary!D14</f>
        <v>2150</v>
      </c>
      <c r="E49" s="102">
        <f>Summary!E14</f>
        <v>2650</v>
      </c>
      <c r="F49" s="102">
        <f>Summary!F14</f>
        <v>2240</v>
      </c>
      <c r="G49" s="102">
        <f>Summary!G14</f>
        <v>1830</v>
      </c>
      <c r="H49" s="102">
        <f>Summary!H14</f>
        <v>1310</v>
      </c>
      <c r="I49" s="102">
        <f>Summary!I14</f>
        <v>970</v>
      </c>
      <c r="J49" s="102">
        <f>Summary!J14</f>
        <v>965</v>
      </c>
      <c r="K49" s="102">
        <f>Summary!K14</f>
        <v>1485</v>
      </c>
      <c r="L49" s="102">
        <f>Summary!L14</f>
        <v>1360</v>
      </c>
      <c r="M49" s="102">
        <f>Summary!M14</f>
        <v>990</v>
      </c>
      <c r="N49" s="102">
        <f>Summary!N14</f>
        <v>1100</v>
      </c>
      <c r="O49" s="102">
        <f>Summary!O14</f>
        <v>1425</v>
      </c>
      <c r="P49" s="102">
        <f>Summary!P14</f>
        <v>1470</v>
      </c>
      <c r="Q49" s="102">
        <f>Summary!Q14</f>
        <v>1265</v>
      </c>
      <c r="R49" s="102">
        <f>Summary!R14</f>
        <v>1215</v>
      </c>
      <c r="S49" s="102">
        <f>Summary!S14</f>
        <v>7925</v>
      </c>
      <c r="T49" s="102">
        <f>Summary!T14</f>
        <v>4445</v>
      </c>
      <c r="U49" s="102">
        <f>Summary!U14</f>
        <v>2485</v>
      </c>
      <c r="V49" s="102">
        <f>Summary!V14</f>
        <v>2110</v>
      </c>
      <c r="W49" s="102">
        <f>Summary!W14</f>
        <v>1895</v>
      </c>
      <c r="X49" s="102">
        <f>Summary!X14</f>
        <v>1900</v>
      </c>
      <c r="Y49" s="102">
        <f>Summary!Y14</f>
        <v>2120</v>
      </c>
      <c r="Z49" s="102">
        <f>Summary!Z14</f>
        <v>2150</v>
      </c>
      <c r="AA49" s="102">
        <f>Summary!AA14</f>
        <v>1440</v>
      </c>
      <c r="AB49" s="102">
        <f>Summary!AB14</f>
        <v>1785</v>
      </c>
      <c r="AC49" s="102">
        <f>Summary!AC14</f>
        <v>1740</v>
      </c>
      <c r="AD49" s="102">
        <f>Summary!AD14</f>
        <v>1520</v>
      </c>
      <c r="AE49" s="102">
        <f>Summary!AE14</f>
        <v>1650</v>
      </c>
      <c r="AF49" s="87">
        <f t="shared" si="14"/>
        <v>58570</v>
      </c>
    </row>
    <row r="50">
      <c r="A50" s="254" t="s">
        <v>117</v>
      </c>
      <c r="B50" s="256">
        <f t="shared" ref="B50:AE50" si="15">SUM(B45:B49)</f>
        <v>16813.33</v>
      </c>
      <c r="C50" s="256">
        <f t="shared" si="15"/>
        <v>24584.7</v>
      </c>
      <c r="D50" s="256">
        <f t="shared" si="15"/>
        <v>29900.76</v>
      </c>
      <c r="E50" s="256">
        <f t="shared" si="15"/>
        <v>36334.28</v>
      </c>
      <c r="F50" s="256">
        <f t="shared" si="15"/>
        <v>33865.73</v>
      </c>
      <c r="G50" s="256">
        <f t="shared" si="15"/>
        <v>26222.32</v>
      </c>
      <c r="H50" s="256">
        <f t="shared" si="15"/>
        <v>19010.62</v>
      </c>
      <c r="I50" s="256">
        <f t="shared" si="15"/>
        <v>14263.81</v>
      </c>
      <c r="J50" s="256">
        <f t="shared" si="15"/>
        <v>17706.42</v>
      </c>
      <c r="K50" s="256">
        <f t="shared" si="15"/>
        <v>23568.41</v>
      </c>
      <c r="L50" s="256">
        <f t="shared" si="15"/>
        <v>20746.2</v>
      </c>
      <c r="M50" s="256">
        <f t="shared" si="15"/>
        <v>17605.43</v>
      </c>
      <c r="N50" s="256">
        <f t="shared" si="15"/>
        <v>17110.62</v>
      </c>
      <c r="O50" s="256">
        <f t="shared" si="15"/>
        <v>20586.5</v>
      </c>
      <c r="P50" s="256">
        <f t="shared" si="15"/>
        <v>21083.51</v>
      </c>
      <c r="Q50" s="256">
        <f t="shared" si="15"/>
        <v>19516.42</v>
      </c>
      <c r="R50" s="256">
        <f t="shared" si="15"/>
        <v>20308.72</v>
      </c>
      <c r="S50" s="256">
        <f t="shared" si="15"/>
        <v>52649.3</v>
      </c>
      <c r="T50" s="256">
        <f t="shared" si="15"/>
        <v>35237.55</v>
      </c>
      <c r="U50" s="256">
        <f t="shared" si="15"/>
        <v>24958.52</v>
      </c>
      <c r="V50" s="256">
        <f t="shared" si="15"/>
        <v>23325.78</v>
      </c>
      <c r="W50" s="256">
        <f t="shared" si="15"/>
        <v>21023.22</v>
      </c>
      <c r="X50" s="256">
        <f t="shared" si="15"/>
        <v>21650.72</v>
      </c>
      <c r="Y50" s="256">
        <f t="shared" si="15"/>
        <v>25290.75</v>
      </c>
      <c r="Z50" s="256">
        <f t="shared" si="15"/>
        <v>24346.86</v>
      </c>
      <c r="AA50" s="256">
        <f t="shared" si="15"/>
        <v>17185.25</v>
      </c>
      <c r="AB50" s="256">
        <f t="shared" si="15"/>
        <v>28409.71</v>
      </c>
      <c r="AC50" s="256">
        <f t="shared" si="15"/>
        <v>22027.07</v>
      </c>
      <c r="AD50" s="256">
        <f t="shared" si="15"/>
        <v>23806.79</v>
      </c>
      <c r="AE50" s="256">
        <f t="shared" si="15"/>
        <v>24655.64</v>
      </c>
      <c r="AF50" s="87">
        <f t="shared" si="14"/>
        <v>723794.94</v>
      </c>
    </row>
    <row r="51">
      <c r="A51" s="24"/>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7"/>
    </row>
    <row r="52">
      <c r="A52" s="73" t="s">
        <v>137</v>
      </c>
      <c r="B52" s="130"/>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258"/>
    </row>
    <row r="53">
      <c r="A53" s="78" t="s">
        <v>209</v>
      </c>
      <c r="B53" s="104">
        <v>14.0</v>
      </c>
      <c r="C53" s="262">
        <v>25.0</v>
      </c>
      <c r="D53" s="262">
        <v>28.0</v>
      </c>
      <c r="E53" s="262">
        <v>43.0</v>
      </c>
      <c r="F53" s="104">
        <v>35.0</v>
      </c>
      <c r="G53" s="262">
        <v>25.0</v>
      </c>
      <c r="H53" s="262">
        <v>21.0</v>
      </c>
      <c r="I53" s="104">
        <v>12.0</v>
      </c>
      <c r="J53" s="104">
        <v>13.0</v>
      </c>
      <c r="K53" s="104">
        <v>15.0</v>
      </c>
      <c r="L53" s="104">
        <v>17.0</v>
      </c>
      <c r="M53" s="104">
        <v>19.0</v>
      </c>
      <c r="N53" s="104">
        <v>18.0</v>
      </c>
      <c r="O53" s="265">
        <v>21.0</v>
      </c>
      <c r="P53" s="104">
        <v>16.0</v>
      </c>
      <c r="Q53" s="104">
        <v>18.0</v>
      </c>
      <c r="R53" s="104">
        <v>20.0</v>
      </c>
      <c r="S53" s="104">
        <v>27.0</v>
      </c>
      <c r="T53" s="104">
        <v>18.0</v>
      </c>
      <c r="U53" s="104">
        <v>16.0</v>
      </c>
      <c r="V53" s="104">
        <v>19.0</v>
      </c>
      <c r="W53" s="104">
        <v>16.0</v>
      </c>
      <c r="X53" s="104">
        <v>10.0</v>
      </c>
      <c r="Y53" s="104">
        <v>11.0</v>
      </c>
      <c r="Z53" s="265">
        <v>9.0</v>
      </c>
      <c r="AA53" s="104">
        <v>10.0</v>
      </c>
      <c r="AB53" s="104">
        <v>20.0</v>
      </c>
      <c r="AC53" s="265">
        <v>20.0</v>
      </c>
      <c r="AD53" s="265">
        <v>13.0</v>
      </c>
      <c r="AE53" s="265">
        <v>15.0</v>
      </c>
      <c r="AF53" s="155">
        <f t="shared" ref="AF53:AF57" si="16">sum(B53:AE53)</f>
        <v>564</v>
      </c>
    </row>
    <row r="54">
      <c r="A54" s="78" t="s">
        <v>215</v>
      </c>
      <c r="B54" s="104">
        <v>3.0</v>
      </c>
      <c r="C54" s="262">
        <v>2.0</v>
      </c>
      <c r="D54" s="262">
        <v>4.0</v>
      </c>
      <c r="E54" s="262">
        <v>11.0</v>
      </c>
      <c r="F54" s="104">
        <v>9.0</v>
      </c>
      <c r="G54" s="262">
        <v>11.0</v>
      </c>
      <c r="H54" s="104">
        <v>1.0</v>
      </c>
      <c r="I54" s="104">
        <v>1.0</v>
      </c>
      <c r="J54" s="104">
        <v>3.0</v>
      </c>
      <c r="K54" s="104">
        <v>4.0</v>
      </c>
      <c r="L54" s="104">
        <v>5.0</v>
      </c>
      <c r="M54" s="104">
        <v>6.0</v>
      </c>
      <c r="N54" s="104">
        <v>3.0</v>
      </c>
      <c r="O54" s="265">
        <v>8.0</v>
      </c>
      <c r="P54" s="104">
        <v>5.0</v>
      </c>
      <c r="Q54" s="104">
        <v>1.0</v>
      </c>
      <c r="R54" s="104">
        <v>3.0</v>
      </c>
      <c r="S54" s="104">
        <v>6.0</v>
      </c>
      <c r="T54" s="104">
        <v>6.0</v>
      </c>
      <c r="U54" s="104">
        <v>6.0</v>
      </c>
      <c r="V54" s="104">
        <v>2.0</v>
      </c>
      <c r="W54" s="104">
        <v>2.0</v>
      </c>
      <c r="X54" s="104">
        <v>1.0</v>
      </c>
      <c r="Y54" s="104">
        <v>9.0</v>
      </c>
      <c r="Z54" s="265">
        <v>8.0</v>
      </c>
      <c r="AA54" s="104">
        <v>5.0</v>
      </c>
      <c r="AB54" s="104">
        <v>6.0</v>
      </c>
      <c r="AC54" s="265">
        <v>5.0</v>
      </c>
      <c r="AD54" s="265">
        <v>4.0</v>
      </c>
      <c r="AE54" s="265">
        <v>4.0</v>
      </c>
      <c r="AF54" s="155">
        <f t="shared" si="16"/>
        <v>144</v>
      </c>
    </row>
    <row r="55">
      <c r="A55" s="78" t="s">
        <v>217</v>
      </c>
      <c r="B55" s="262">
        <v>45.0</v>
      </c>
      <c r="C55" s="262">
        <v>60.0</v>
      </c>
      <c r="D55" s="262">
        <v>69.0</v>
      </c>
      <c r="E55" s="262">
        <v>80.0</v>
      </c>
      <c r="F55" s="262">
        <v>84.0</v>
      </c>
      <c r="G55" s="262">
        <v>58.0</v>
      </c>
      <c r="H55" s="262">
        <v>46.0</v>
      </c>
      <c r="I55" s="104">
        <v>31.0</v>
      </c>
      <c r="J55" s="104">
        <v>39.0</v>
      </c>
      <c r="K55" s="104">
        <v>45.0</v>
      </c>
      <c r="L55" s="104">
        <v>38.0</v>
      </c>
      <c r="M55" s="104">
        <v>30.0</v>
      </c>
      <c r="N55" s="104">
        <v>34.0</v>
      </c>
      <c r="O55" s="265">
        <v>37.0</v>
      </c>
      <c r="P55" s="104">
        <v>42.0</v>
      </c>
      <c r="Q55" s="104">
        <v>45.0</v>
      </c>
      <c r="R55" s="104">
        <v>45.0</v>
      </c>
      <c r="S55" s="104">
        <v>43.0</v>
      </c>
      <c r="T55" s="104">
        <v>33.0</v>
      </c>
      <c r="U55" s="104">
        <v>38.0</v>
      </c>
      <c r="V55" s="104">
        <v>34.0</v>
      </c>
      <c r="W55" s="104">
        <v>25.0</v>
      </c>
      <c r="X55" s="104">
        <v>31.0</v>
      </c>
      <c r="Y55" s="104">
        <v>32.0</v>
      </c>
      <c r="Z55" s="104">
        <v>31.0</v>
      </c>
      <c r="AA55" s="104">
        <v>17.0</v>
      </c>
      <c r="AB55" s="104">
        <v>37.0</v>
      </c>
      <c r="AC55" s="104">
        <v>25.0</v>
      </c>
      <c r="AD55" s="104">
        <v>34.0</v>
      </c>
      <c r="AE55" s="104">
        <v>44.0</v>
      </c>
      <c r="AF55" s="155">
        <f t="shared" si="16"/>
        <v>1252</v>
      </c>
    </row>
    <row r="56">
      <c r="A56" s="78" t="s">
        <v>222</v>
      </c>
      <c r="B56" s="104">
        <v>3.0</v>
      </c>
      <c r="C56" s="262">
        <v>11.0</v>
      </c>
      <c r="D56" s="262">
        <v>16.0</v>
      </c>
      <c r="E56" s="262">
        <v>17.0</v>
      </c>
      <c r="F56" s="262">
        <v>12.0</v>
      </c>
      <c r="G56" s="262">
        <v>13.0</v>
      </c>
      <c r="H56" s="262">
        <v>2.0</v>
      </c>
      <c r="I56" s="104">
        <v>5.0</v>
      </c>
      <c r="J56" s="104">
        <v>4.0</v>
      </c>
      <c r="K56" s="104">
        <v>12.0</v>
      </c>
      <c r="L56" s="104">
        <v>8.0</v>
      </c>
      <c r="M56" s="265">
        <v>6.0</v>
      </c>
      <c r="N56" s="104">
        <v>8.0</v>
      </c>
      <c r="O56" s="265">
        <v>10.0</v>
      </c>
      <c r="P56" s="104">
        <v>13.0</v>
      </c>
      <c r="Q56" s="104">
        <v>5.0</v>
      </c>
      <c r="R56" s="104">
        <v>7.0</v>
      </c>
      <c r="S56" s="104">
        <v>10.0</v>
      </c>
      <c r="T56" s="104">
        <v>17.0</v>
      </c>
      <c r="U56" s="104">
        <v>5.0</v>
      </c>
      <c r="V56" s="104">
        <v>7.0</v>
      </c>
      <c r="W56" s="104">
        <v>16.0</v>
      </c>
      <c r="X56" s="104">
        <v>16.0</v>
      </c>
      <c r="Y56" s="104">
        <v>18.0</v>
      </c>
      <c r="Z56" s="104">
        <v>24.0</v>
      </c>
      <c r="AA56" s="104">
        <v>19.0</v>
      </c>
      <c r="AB56" s="104">
        <v>31.0</v>
      </c>
      <c r="AC56" s="104">
        <v>19.0</v>
      </c>
      <c r="AD56" s="104">
        <v>22.0</v>
      </c>
      <c r="AE56" s="104">
        <v>15.0</v>
      </c>
      <c r="AF56" s="155">
        <f t="shared" si="16"/>
        <v>371</v>
      </c>
    </row>
    <row r="57">
      <c r="A57" s="91" t="s">
        <v>145</v>
      </c>
      <c r="B57" s="275">
        <f t="shared" ref="B57:AE57" si="17">SUM(B53:B56)</f>
        <v>65</v>
      </c>
      <c r="C57" s="275">
        <f t="shared" si="17"/>
        <v>98</v>
      </c>
      <c r="D57" s="275">
        <f t="shared" si="17"/>
        <v>117</v>
      </c>
      <c r="E57" s="275">
        <f t="shared" si="17"/>
        <v>151</v>
      </c>
      <c r="F57" s="275">
        <f t="shared" si="17"/>
        <v>140</v>
      </c>
      <c r="G57" s="275">
        <f t="shared" si="17"/>
        <v>107</v>
      </c>
      <c r="H57" s="275">
        <f t="shared" si="17"/>
        <v>70</v>
      </c>
      <c r="I57" s="275">
        <f t="shared" si="17"/>
        <v>49</v>
      </c>
      <c r="J57" s="275">
        <f t="shared" si="17"/>
        <v>59</v>
      </c>
      <c r="K57" s="275">
        <f t="shared" si="17"/>
        <v>76</v>
      </c>
      <c r="L57" s="275">
        <f t="shared" si="17"/>
        <v>68</v>
      </c>
      <c r="M57" s="275">
        <f t="shared" si="17"/>
        <v>61</v>
      </c>
      <c r="N57" s="275">
        <f t="shared" si="17"/>
        <v>63</v>
      </c>
      <c r="O57" s="275">
        <f t="shared" si="17"/>
        <v>76</v>
      </c>
      <c r="P57" s="275">
        <f t="shared" si="17"/>
        <v>76</v>
      </c>
      <c r="Q57" s="275">
        <f t="shared" si="17"/>
        <v>69</v>
      </c>
      <c r="R57" s="275">
        <f t="shared" si="17"/>
        <v>75</v>
      </c>
      <c r="S57" s="275">
        <f t="shared" si="17"/>
        <v>86</v>
      </c>
      <c r="T57" s="275">
        <f t="shared" si="17"/>
        <v>74</v>
      </c>
      <c r="U57" s="275">
        <f t="shared" si="17"/>
        <v>65</v>
      </c>
      <c r="V57" s="275">
        <f t="shared" si="17"/>
        <v>62</v>
      </c>
      <c r="W57" s="275">
        <f t="shared" si="17"/>
        <v>59</v>
      </c>
      <c r="X57" s="275">
        <f t="shared" si="17"/>
        <v>58</v>
      </c>
      <c r="Y57" s="275">
        <f t="shared" si="17"/>
        <v>70</v>
      </c>
      <c r="Z57" s="275">
        <f t="shared" si="17"/>
        <v>72</v>
      </c>
      <c r="AA57" s="275">
        <f t="shared" si="17"/>
        <v>51</v>
      </c>
      <c r="AB57" s="275">
        <f t="shared" si="17"/>
        <v>94</v>
      </c>
      <c r="AC57" s="275">
        <f t="shared" si="17"/>
        <v>69</v>
      </c>
      <c r="AD57" s="275">
        <f t="shared" si="17"/>
        <v>73</v>
      </c>
      <c r="AE57" s="275">
        <f t="shared" si="17"/>
        <v>78</v>
      </c>
      <c r="AF57" s="155">
        <f t="shared" si="16"/>
        <v>2331</v>
      </c>
    </row>
    <row r="58">
      <c r="A58" s="24"/>
      <c r="B58" s="130"/>
      <c r="C58" s="130"/>
      <c r="D58" s="130"/>
      <c r="E58" s="130"/>
      <c r="F58" s="130"/>
      <c r="G58" s="130"/>
      <c r="H58" s="130"/>
      <c r="I58" s="130"/>
      <c r="J58" s="17"/>
      <c r="K58" s="17"/>
      <c r="L58" s="17"/>
      <c r="M58" s="17"/>
      <c r="N58" s="17"/>
      <c r="O58" s="17"/>
      <c r="P58" s="17"/>
      <c r="Q58" s="17"/>
      <c r="R58" s="17"/>
      <c r="S58" s="17"/>
      <c r="T58" s="17"/>
      <c r="U58" s="17"/>
      <c r="V58" s="17"/>
      <c r="W58" s="17"/>
      <c r="X58" s="17"/>
      <c r="Y58" s="17"/>
      <c r="Z58" s="17"/>
      <c r="AA58" s="17"/>
      <c r="AB58" s="17"/>
      <c r="AC58" s="17"/>
      <c r="AD58" s="17"/>
      <c r="AE58" s="17"/>
      <c r="AF58" s="7"/>
    </row>
    <row r="59">
      <c r="A59" s="78" t="s">
        <v>147</v>
      </c>
      <c r="B59" s="262">
        <v>20.0</v>
      </c>
      <c r="C59" s="262">
        <v>34.0</v>
      </c>
      <c r="D59" s="262">
        <v>48.0</v>
      </c>
      <c r="E59" s="262">
        <v>41.0</v>
      </c>
      <c r="F59" s="262">
        <v>36.0</v>
      </c>
      <c r="G59" s="262">
        <v>30.0</v>
      </c>
      <c r="H59" s="262">
        <v>24.0</v>
      </c>
      <c r="I59" s="104">
        <v>13.0</v>
      </c>
      <c r="J59" s="104">
        <v>18.0</v>
      </c>
      <c r="K59" s="104">
        <v>27.0</v>
      </c>
      <c r="L59" s="104">
        <v>30.0</v>
      </c>
      <c r="M59" s="104">
        <v>19.0</v>
      </c>
      <c r="N59" s="104">
        <v>17.0</v>
      </c>
      <c r="O59" s="104">
        <v>25.0</v>
      </c>
      <c r="P59" s="104">
        <v>23.0</v>
      </c>
      <c r="Q59" s="104">
        <v>30.0</v>
      </c>
      <c r="R59" s="104">
        <v>24.0</v>
      </c>
      <c r="S59" s="104">
        <v>38.0</v>
      </c>
      <c r="T59" s="104">
        <v>37.0</v>
      </c>
      <c r="U59" s="104">
        <v>23.0</v>
      </c>
      <c r="V59" s="104">
        <v>20.0</v>
      </c>
      <c r="W59" s="104">
        <v>20.0</v>
      </c>
      <c r="X59" s="104">
        <v>21.0</v>
      </c>
      <c r="Y59" s="104">
        <v>32.0</v>
      </c>
      <c r="Z59" s="104">
        <v>27.0</v>
      </c>
      <c r="AA59" s="104">
        <v>18.0</v>
      </c>
      <c r="AB59" s="104">
        <v>31.0</v>
      </c>
      <c r="AC59" s="104">
        <v>29.0</v>
      </c>
      <c r="AD59" s="104">
        <v>20.0</v>
      </c>
      <c r="AE59" s="104">
        <v>19.0</v>
      </c>
      <c r="AF59" s="155">
        <f t="shared" ref="AF59:AF67" si="18">sum(B59:AE59)</f>
        <v>794</v>
      </c>
    </row>
    <row r="60">
      <c r="A60" s="78" t="s">
        <v>150</v>
      </c>
      <c r="B60" s="262">
        <v>10.0</v>
      </c>
      <c r="C60" s="262">
        <v>22.0</v>
      </c>
      <c r="D60" s="262">
        <v>29.0</v>
      </c>
      <c r="E60" s="262">
        <v>26.0</v>
      </c>
      <c r="F60" s="262">
        <v>24.0</v>
      </c>
      <c r="G60" s="262">
        <v>18.0</v>
      </c>
      <c r="H60" s="262">
        <v>17.0</v>
      </c>
      <c r="I60" s="104">
        <v>10.0</v>
      </c>
      <c r="J60" s="104">
        <v>9.0</v>
      </c>
      <c r="K60" s="104">
        <v>22.0</v>
      </c>
      <c r="L60" s="104">
        <v>17.0</v>
      </c>
      <c r="M60" s="104">
        <v>12.0</v>
      </c>
      <c r="N60" s="262">
        <v>13.0</v>
      </c>
      <c r="O60" s="104">
        <v>21.0</v>
      </c>
      <c r="P60" s="262">
        <v>12.0</v>
      </c>
      <c r="Q60" s="104">
        <v>19.0</v>
      </c>
      <c r="R60" s="104">
        <v>13.0</v>
      </c>
      <c r="S60" s="104">
        <v>28.0</v>
      </c>
      <c r="T60" s="104">
        <v>34.0</v>
      </c>
      <c r="U60" s="104">
        <v>16.0</v>
      </c>
      <c r="V60" s="104">
        <v>14.0</v>
      </c>
      <c r="W60" s="104">
        <v>14.0</v>
      </c>
      <c r="X60" s="104">
        <v>16.0</v>
      </c>
      <c r="Y60" s="104">
        <v>22.0</v>
      </c>
      <c r="Z60" s="265">
        <v>23.0</v>
      </c>
      <c r="AA60" s="265">
        <v>19.0</v>
      </c>
      <c r="AB60" s="104">
        <v>21.0</v>
      </c>
      <c r="AC60" s="265">
        <v>23.0</v>
      </c>
      <c r="AD60" s="265">
        <v>13.0</v>
      </c>
      <c r="AE60" s="265">
        <v>21.0</v>
      </c>
      <c r="AF60" s="155">
        <f t="shared" si="18"/>
        <v>558</v>
      </c>
    </row>
    <row r="61">
      <c r="A61" s="78" t="s">
        <v>230</v>
      </c>
      <c r="B61" s="262">
        <v>7.0</v>
      </c>
      <c r="C61" s="262">
        <v>19.0</v>
      </c>
      <c r="D61" s="262">
        <v>28.0</v>
      </c>
      <c r="E61" s="262">
        <v>24.0</v>
      </c>
      <c r="F61" s="262">
        <v>22.0</v>
      </c>
      <c r="G61" s="262">
        <v>15.0</v>
      </c>
      <c r="H61" s="262">
        <v>16.0</v>
      </c>
      <c r="I61" s="262">
        <v>10.0</v>
      </c>
      <c r="J61" s="262">
        <v>10.0</v>
      </c>
      <c r="K61" s="262">
        <v>13.0</v>
      </c>
      <c r="L61" s="262">
        <v>13.0</v>
      </c>
      <c r="M61" s="262">
        <v>14.0</v>
      </c>
      <c r="N61" s="262">
        <v>10.0</v>
      </c>
      <c r="O61" s="262">
        <v>6.0</v>
      </c>
      <c r="P61" s="262">
        <v>6.0</v>
      </c>
      <c r="Q61" s="262">
        <v>13.0</v>
      </c>
      <c r="R61" s="262">
        <v>5.0</v>
      </c>
      <c r="S61" s="262">
        <v>83.0</v>
      </c>
      <c r="T61" s="262">
        <v>36.0</v>
      </c>
      <c r="U61" s="262">
        <v>19.0</v>
      </c>
      <c r="V61" s="262">
        <v>22.0</v>
      </c>
      <c r="W61" s="262">
        <v>6.0</v>
      </c>
      <c r="X61" s="262">
        <v>13.0</v>
      </c>
      <c r="Y61" s="262">
        <v>11.0</v>
      </c>
      <c r="Z61" s="262">
        <v>9.0</v>
      </c>
      <c r="AA61" s="262">
        <v>8.0</v>
      </c>
      <c r="AB61" s="262">
        <v>5.0</v>
      </c>
      <c r="AC61" s="262">
        <v>9.0</v>
      </c>
      <c r="AD61" s="262">
        <v>8.0</v>
      </c>
      <c r="AE61" s="262">
        <v>7.0</v>
      </c>
      <c r="AF61" s="155">
        <f t="shared" si="18"/>
        <v>467</v>
      </c>
    </row>
    <row r="62">
      <c r="A62" s="78" t="s">
        <v>231</v>
      </c>
      <c r="B62" s="104">
        <v>2.0</v>
      </c>
      <c r="C62" s="262">
        <v>7.0</v>
      </c>
      <c r="D62" s="262">
        <v>7.0</v>
      </c>
      <c r="E62" s="262">
        <v>7.0</v>
      </c>
      <c r="F62" s="262">
        <v>5.0</v>
      </c>
      <c r="G62" s="262">
        <v>5.0</v>
      </c>
      <c r="H62" s="262">
        <v>1.0</v>
      </c>
      <c r="I62" s="104">
        <v>1.0</v>
      </c>
      <c r="J62" s="104">
        <v>0.0</v>
      </c>
      <c r="K62" s="104">
        <v>5.0</v>
      </c>
      <c r="L62" s="104">
        <v>5.0</v>
      </c>
      <c r="M62" s="104">
        <v>1.0</v>
      </c>
      <c r="N62" s="104">
        <v>2.0</v>
      </c>
      <c r="O62" s="265">
        <v>10.0</v>
      </c>
      <c r="P62" s="104">
        <v>8.0</v>
      </c>
      <c r="Q62" s="104">
        <v>2.0</v>
      </c>
      <c r="R62" s="104">
        <v>3.0</v>
      </c>
      <c r="S62" s="104">
        <v>37.0</v>
      </c>
      <c r="T62" s="262">
        <v>23.0</v>
      </c>
      <c r="U62" s="262">
        <v>2.0</v>
      </c>
      <c r="V62" s="262">
        <v>11.0</v>
      </c>
      <c r="W62" s="262">
        <v>10.0</v>
      </c>
      <c r="X62" s="262">
        <v>6.0</v>
      </c>
      <c r="Y62" s="262">
        <v>11.0</v>
      </c>
      <c r="Z62" s="262">
        <v>9.0</v>
      </c>
      <c r="AA62" s="262">
        <v>6.0</v>
      </c>
      <c r="AB62" s="262">
        <v>7.0</v>
      </c>
      <c r="AC62" s="262">
        <v>5.0</v>
      </c>
      <c r="AD62" s="262">
        <v>11.0</v>
      </c>
      <c r="AE62" s="262">
        <v>5.0</v>
      </c>
      <c r="AF62" s="155">
        <f t="shared" si="18"/>
        <v>214</v>
      </c>
    </row>
    <row r="63">
      <c r="A63" s="78" t="s">
        <v>235</v>
      </c>
      <c r="B63" s="262">
        <v>3.0</v>
      </c>
      <c r="C63" s="262">
        <v>5.0</v>
      </c>
      <c r="D63" s="262">
        <v>8.0</v>
      </c>
      <c r="E63" s="262">
        <v>6.0</v>
      </c>
      <c r="F63" s="262">
        <v>7.0</v>
      </c>
      <c r="G63" s="262">
        <v>11.0</v>
      </c>
      <c r="H63" s="262">
        <v>5.0</v>
      </c>
      <c r="I63" s="262">
        <v>3.0</v>
      </c>
      <c r="J63" s="262">
        <v>2.0</v>
      </c>
      <c r="K63" s="262">
        <v>6.0</v>
      </c>
      <c r="L63" s="262">
        <v>6.0</v>
      </c>
      <c r="M63" s="262">
        <v>3.0</v>
      </c>
      <c r="N63" s="262">
        <v>3.0</v>
      </c>
      <c r="O63" s="262">
        <v>4.0</v>
      </c>
      <c r="P63" s="262">
        <v>6.0</v>
      </c>
      <c r="Q63" s="262">
        <v>4.0</v>
      </c>
      <c r="R63" s="262">
        <v>7.0</v>
      </c>
      <c r="S63" s="262">
        <v>5.0</v>
      </c>
      <c r="T63" s="262">
        <v>6.0</v>
      </c>
      <c r="U63" s="262">
        <v>5.0</v>
      </c>
      <c r="V63" s="262">
        <v>7.0</v>
      </c>
      <c r="W63" s="262">
        <v>7.0</v>
      </c>
      <c r="X63" s="262">
        <v>7.0</v>
      </c>
      <c r="Y63" s="262">
        <v>5.0</v>
      </c>
      <c r="Z63" s="262">
        <v>4.0</v>
      </c>
      <c r="AA63" s="104">
        <v>6.0</v>
      </c>
      <c r="AB63" s="262">
        <v>4.0</v>
      </c>
      <c r="AC63" s="262">
        <v>3.0</v>
      </c>
      <c r="AD63" s="262">
        <v>8.0</v>
      </c>
      <c r="AE63" s="262">
        <v>2.0</v>
      </c>
      <c r="AF63" s="155">
        <f t="shared" si="18"/>
        <v>158</v>
      </c>
    </row>
    <row r="64">
      <c r="A64" s="78" t="s">
        <v>237</v>
      </c>
      <c r="B64" s="104">
        <v>3.0</v>
      </c>
      <c r="C64" s="262">
        <v>3.0</v>
      </c>
      <c r="D64" s="262">
        <v>4.0</v>
      </c>
      <c r="E64" s="262">
        <v>3.0</v>
      </c>
      <c r="F64" s="262">
        <v>3.0</v>
      </c>
      <c r="G64" s="262">
        <v>3.0</v>
      </c>
      <c r="H64" s="262">
        <v>1.0</v>
      </c>
      <c r="I64" s="104">
        <v>0.0</v>
      </c>
      <c r="J64" s="104">
        <v>3.0</v>
      </c>
      <c r="K64" s="104">
        <v>1.0</v>
      </c>
      <c r="L64" s="104">
        <v>3.0</v>
      </c>
      <c r="M64" s="104">
        <v>0.0</v>
      </c>
      <c r="N64" s="104">
        <v>0.0</v>
      </c>
      <c r="O64" s="265">
        <v>1.0</v>
      </c>
      <c r="P64" s="104">
        <v>2.0</v>
      </c>
      <c r="Q64" s="104">
        <v>3.0</v>
      </c>
      <c r="R64" s="104">
        <v>2.0</v>
      </c>
      <c r="S64" s="104">
        <v>7.0</v>
      </c>
      <c r="T64" s="262">
        <v>0.0</v>
      </c>
      <c r="U64" s="262">
        <v>4.0</v>
      </c>
      <c r="V64" s="262">
        <v>4.0</v>
      </c>
      <c r="W64" s="262">
        <v>3.0</v>
      </c>
      <c r="X64" s="262">
        <v>1.0</v>
      </c>
      <c r="Y64" s="262">
        <v>1.0</v>
      </c>
      <c r="Z64" s="262">
        <v>0.0</v>
      </c>
      <c r="AA64" s="104">
        <v>3.0</v>
      </c>
      <c r="AB64" s="262">
        <v>1.0</v>
      </c>
      <c r="AC64" s="262">
        <v>1.0</v>
      </c>
      <c r="AD64" s="262">
        <v>0.0</v>
      </c>
      <c r="AE64" s="262">
        <v>0.0</v>
      </c>
      <c r="AF64" s="155">
        <f t="shared" si="18"/>
        <v>60</v>
      </c>
    </row>
    <row r="65">
      <c r="A65" s="78" t="s">
        <v>238</v>
      </c>
      <c r="B65" s="262">
        <v>0.0</v>
      </c>
      <c r="C65" s="262">
        <v>0.0</v>
      </c>
      <c r="D65" s="262">
        <v>0.0</v>
      </c>
      <c r="E65" s="262">
        <v>0.0</v>
      </c>
      <c r="F65" s="262">
        <v>0.0</v>
      </c>
      <c r="G65" s="262">
        <v>0.0</v>
      </c>
      <c r="H65" s="262">
        <v>0.0</v>
      </c>
      <c r="I65" s="262">
        <v>0.0</v>
      </c>
      <c r="J65" s="262">
        <v>0.0</v>
      </c>
      <c r="K65" s="262">
        <v>0.0</v>
      </c>
      <c r="L65" s="262">
        <v>0.0</v>
      </c>
      <c r="M65" s="262">
        <v>0.0</v>
      </c>
      <c r="N65" s="262">
        <v>0.0</v>
      </c>
      <c r="O65" s="262">
        <v>0.0</v>
      </c>
      <c r="P65" s="262">
        <v>0.0</v>
      </c>
      <c r="Q65" s="262">
        <v>0.0</v>
      </c>
      <c r="R65" s="262">
        <v>0.0</v>
      </c>
      <c r="S65" s="262">
        <v>430.0</v>
      </c>
      <c r="T65" s="262">
        <v>194.0</v>
      </c>
      <c r="U65" s="262">
        <v>98.0</v>
      </c>
      <c r="V65" s="262">
        <v>62.0</v>
      </c>
      <c r="W65" s="262">
        <v>55.0</v>
      </c>
      <c r="X65" s="262">
        <v>63.0</v>
      </c>
      <c r="Y65" s="262">
        <v>54.0</v>
      </c>
      <c r="Z65" s="262">
        <v>39.0</v>
      </c>
      <c r="AA65" s="104">
        <v>26.0</v>
      </c>
      <c r="AB65" s="262">
        <v>34.0</v>
      </c>
      <c r="AC65" s="262">
        <v>36.0</v>
      </c>
      <c r="AD65" s="262">
        <v>31.0</v>
      </c>
      <c r="AE65" s="262">
        <v>26.0</v>
      </c>
      <c r="AF65" s="155">
        <f t="shared" si="18"/>
        <v>1148</v>
      </c>
    </row>
    <row r="66">
      <c r="A66" s="78" t="s">
        <v>241</v>
      </c>
      <c r="B66" s="262">
        <v>0.0</v>
      </c>
      <c r="C66" s="262">
        <v>0.0</v>
      </c>
      <c r="D66" s="262">
        <v>0.0</v>
      </c>
      <c r="E66" s="262">
        <v>0.0</v>
      </c>
      <c r="F66" s="262">
        <v>0.0</v>
      </c>
      <c r="G66" s="262">
        <v>0.0</v>
      </c>
      <c r="H66" s="262">
        <v>0.0</v>
      </c>
      <c r="I66" s="262">
        <v>0.0</v>
      </c>
      <c r="J66" s="262">
        <v>0.0</v>
      </c>
      <c r="K66" s="262">
        <v>0.0</v>
      </c>
      <c r="L66" s="262">
        <v>0.0</v>
      </c>
      <c r="M66" s="262">
        <v>0.0</v>
      </c>
      <c r="N66" s="262">
        <v>0.0</v>
      </c>
      <c r="O66" s="262">
        <v>0.0</v>
      </c>
      <c r="P66" s="262">
        <v>0.0</v>
      </c>
      <c r="Q66" s="262">
        <v>0.0</v>
      </c>
      <c r="R66" s="262">
        <v>0.0</v>
      </c>
      <c r="S66" s="104">
        <v>102.0</v>
      </c>
      <c r="T66" s="104">
        <v>58.0</v>
      </c>
      <c r="U66" s="262">
        <v>22.0</v>
      </c>
      <c r="V66" s="262">
        <v>17.0</v>
      </c>
      <c r="W66" s="262">
        <v>15.0</v>
      </c>
      <c r="X66" s="262">
        <v>10.0</v>
      </c>
      <c r="Y66" s="262">
        <v>19.0</v>
      </c>
      <c r="Z66" s="262">
        <v>15.0</v>
      </c>
      <c r="AA66" s="104">
        <v>14.0</v>
      </c>
      <c r="AB66" s="262">
        <v>14.0</v>
      </c>
      <c r="AC66" s="262">
        <v>14.0</v>
      </c>
      <c r="AD66" s="262">
        <v>8.0</v>
      </c>
      <c r="AE66" s="262">
        <v>12.0</v>
      </c>
      <c r="AF66" s="155">
        <f t="shared" si="18"/>
        <v>320</v>
      </c>
    </row>
    <row r="67">
      <c r="A67" s="91" t="s">
        <v>159</v>
      </c>
      <c r="B67" s="275">
        <f t="shared" ref="B67:AE67" si="19">SUM(B59:B66)</f>
        <v>45</v>
      </c>
      <c r="C67" s="275">
        <f t="shared" si="19"/>
        <v>90</v>
      </c>
      <c r="D67" s="275">
        <f t="shared" si="19"/>
        <v>124</v>
      </c>
      <c r="E67" s="275">
        <f t="shared" si="19"/>
        <v>107</v>
      </c>
      <c r="F67" s="275">
        <f t="shared" si="19"/>
        <v>97</v>
      </c>
      <c r="G67" s="275">
        <f t="shared" si="19"/>
        <v>82</v>
      </c>
      <c r="H67" s="275">
        <f t="shared" si="19"/>
        <v>64</v>
      </c>
      <c r="I67" s="275">
        <f t="shared" si="19"/>
        <v>37</v>
      </c>
      <c r="J67" s="275">
        <f t="shared" si="19"/>
        <v>42</v>
      </c>
      <c r="K67" s="275">
        <f t="shared" si="19"/>
        <v>74</v>
      </c>
      <c r="L67" s="275">
        <f t="shared" si="19"/>
        <v>74</v>
      </c>
      <c r="M67" s="275">
        <f t="shared" si="19"/>
        <v>49</v>
      </c>
      <c r="N67" s="275">
        <f t="shared" si="19"/>
        <v>45</v>
      </c>
      <c r="O67" s="275">
        <f t="shared" si="19"/>
        <v>67</v>
      </c>
      <c r="P67" s="275">
        <f t="shared" si="19"/>
        <v>57</v>
      </c>
      <c r="Q67" s="275">
        <f t="shared" si="19"/>
        <v>71</v>
      </c>
      <c r="R67" s="275">
        <f t="shared" si="19"/>
        <v>54</v>
      </c>
      <c r="S67" s="275">
        <f t="shared" si="19"/>
        <v>730</v>
      </c>
      <c r="T67" s="275">
        <f t="shared" si="19"/>
        <v>388</v>
      </c>
      <c r="U67" s="275">
        <f t="shared" si="19"/>
        <v>189</v>
      </c>
      <c r="V67" s="275">
        <f t="shared" si="19"/>
        <v>157</v>
      </c>
      <c r="W67" s="275">
        <f t="shared" si="19"/>
        <v>130</v>
      </c>
      <c r="X67" s="275">
        <f t="shared" si="19"/>
        <v>137</v>
      </c>
      <c r="Y67" s="275">
        <f t="shared" si="19"/>
        <v>155</v>
      </c>
      <c r="Z67" s="275">
        <f t="shared" si="19"/>
        <v>126</v>
      </c>
      <c r="AA67" s="275">
        <f t="shared" si="19"/>
        <v>100</v>
      </c>
      <c r="AB67" s="275">
        <f t="shared" si="19"/>
        <v>117</v>
      </c>
      <c r="AC67" s="275">
        <f t="shared" si="19"/>
        <v>120</v>
      </c>
      <c r="AD67" s="275">
        <f t="shared" si="19"/>
        <v>99</v>
      </c>
      <c r="AE67" s="275">
        <f t="shared" si="19"/>
        <v>92</v>
      </c>
      <c r="AF67" s="155">
        <f t="shared" si="18"/>
        <v>3719</v>
      </c>
    </row>
    <row r="68">
      <c r="A68" s="24"/>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258"/>
    </row>
    <row r="69">
      <c r="A69" s="73" t="s">
        <v>243</v>
      </c>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258"/>
    </row>
    <row r="70">
      <c r="A70" s="283" t="s">
        <v>244</v>
      </c>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155"/>
    </row>
    <row r="71">
      <c r="A71" s="24"/>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258"/>
    </row>
    <row r="72">
      <c r="A72" s="73" t="s">
        <v>245</v>
      </c>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258"/>
    </row>
    <row r="73">
      <c r="A73" s="78" t="s">
        <v>246</v>
      </c>
      <c r="B73" s="286">
        <f t="shared" ref="B73:AE73" si="20">B53-B90</f>
        <v>13</v>
      </c>
      <c r="C73" s="286">
        <f t="shared" si="20"/>
        <v>25</v>
      </c>
      <c r="D73" s="286">
        <f t="shared" si="20"/>
        <v>25</v>
      </c>
      <c r="E73" s="286">
        <f t="shared" si="20"/>
        <v>43</v>
      </c>
      <c r="F73" s="286">
        <f t="shared" si="20"/>
        <v>34</v>
      </c>
      <c r="G73" s="286">
        <f t="shared" si="20"/>
        <v>25</v>
      </c>
      <c r="H73" s="286">
        <f t="shared" si="20"/>
        <v>21</v>
      </c>
      <c r="I73" s="286">
        <f t="shared" si="20"/>
        <v>12</v>
      </c>
      <c r="J73" s="286">
        <f t="shared" si="20"/>
        <v>13</v>
      </c>
      <c r="K73" s="286">
        <f t="shared" si="20"/>
        <v>15</v>
      </c>
      <c r="L73" s="286">
        <f t="shared" si="20"/>
        <v>17</v>
      </c>
      <c r="M73" s="286">
        <f t="shared" si="20"/>
        <v>19</v>
      </c>
      <c r="N73" s="286">
        <f t="shared" si="20"/>
        <v>17</v>
      </c>
      <c r="O73" s="286">
        <f t="shared" si="20"/>
        <v>21</v>
      </c>
      <c r="P73" s="286">
        <f t="shared" si="20"/>
        <v>15</v>
      </c>
      <c r="Q73" s="286">
        <f t="shared" si="20"/>
        <v>18</v>
      </c>
      <c r="R73" s="286">
        <f t="shared" si="20"/>
        <v>20</v>
      </c>
      <c r="S73" s="286">
        <f t="shared" si="20"/>
        <v>26</v>
      </c>
      <c r="T73" s="286">
        <f t="shared" si="20"/>
        <v>18</v>
      </c>
      <c r="U73" s="286">
        <f t="shared" si="20"/>
        <v>16</v>
      </c>
      <c r="V73" s="286">
        <f t="shared" si="20"/>
        <v>18</v>
      </c>
      <c r="W73" s="286">
        <f t="shared" si="20"/>
        <v>16</v>
      </c>
      <c r="X73" s="286">
        <f t="shared" si="20"/>
        <v>10</v>
      </c>
      <c r="Y73" s="286">
        <f t="shared" si="20"/>
        <v>11</v>
      </c>
      <c r="Z73" s="286">
        <f t="shared" si="20"/>
        <v>9</v>
      </c>
      <c r="AA73" s="286">
        <f t="shared" si="20"/>
        <v>8</v>
      </c>
      <c r="AB73" s="286">
        <f t="shared" si="20"/>
        <v>14</v>
      </c>
      <c r="AC73" s="286">
        <f t="shared" si="20"/>
        <v>19</v>
      </c>
      <c r="AD73" s="286">
        <f t="shared" si="20"/>
        <v>12</v>
      </c>
      <c r="AE73" s="286">
        <f t="shared" si="20"/>
        <v>15</v>
      </c>
      <c r="AF73" s="155">
        <f t="shared" ref="AF73:AF77" si="22">sum(B73:AE73)</f>
        <v>545</v>
      </c>
    </row>
    <row r="74">
      <c r="A74" s="78" t="s">
        <v>250</v>
      </c>
      <c r="B74" s="286">
        <f t="shared" ref="B74:AE74" si="21">B54-B91</f>
        <v>3</v>
      </c>
      <c r="C74" s="286">
        <f t="shared" si="21"/>
        <v>2</v>
      </c>
      <c r="D74" s="286">
        <f t="shared" si="21"/>
        <v>4</v>
      </c>
      <c r="E74" s="286">
        <f t="shared" si="21"/>
        <v>11</v>
      </c>
      <c r="F74" s="286">
        <f t="shared" si="21"/>
        <v>9</v>
      </c>
      <c r="G74" s="286">
        <f t="shared" si="21"/>
        <v>11</v>
      </c>
      <c r="H74" s="286">
        <f t="shared" si="21"/>
        <v>1</v>
      </c>
      <c r="I74" s="286">
        <f t="shared" si="21"/>
        <v>1</v>
      </c>
      <c r="J74" s="286">
        <f t="shared" si="21"/>
        <v>3</v>
      </c>
      <c r="K74" s="286">
        <f t="shared" si="21"/>
        <v>4</v>
      </c>
      <c r="L74" s="286">
        <f t="shared" si="21"/>
        <v>5</v>
      </c>
      <c r="M74" s="286">
        <f t="shared" si="21"/>
        <v>5</v>
      </c>
      <c r="N74" s="286">
        <f t="shared" si="21"/>
        <v>3</v>
      </c>
      <c r="O74" s="286">
        <f t="shared" si="21"/>
        <v>8</v>
      </c>
      <c r="P74" s="286">
        <f t="shared" si="21"/>
        <v>4</v>
      </c>
      <c r="Q74" s="286">
        <f t="shared" si="21"/>
        <v>1</v>
      </c>
      <c r="R74" s="286">
        <f t="shared" si="21"/>
        <v>3</v>
      </c>
      <c r="S74" s="286">
        <f t="shared" si="21"/>
        <v>6</v>
      </c>
      <c r="T74" s="286">
        <f t="shared" si="21"/>
        <v>5</v>
      </c>
      <c r="U74" s="286">
        <f t="shared" si="21"/>
        <v>6</v>
      </c>
      <c r="V74" s="286">
        <f t="shared" si="21"/>
        <v>2</v>
      </c>
      <c r="W74" s="286">
        <f t="shared" si="21"/>
        <v>2</v>
      </c>
      <c r="X74" s="286">
        <f t="shared" si="21"/>
        <v>1</v>
      </c>
      <c r="Y74" s="286">
        <f t="shared" si="21"/>
        <v>9</v>
      </c>
      <c r="Z74" s="286">
        <f t="shared" si="21"/>
        <v>7</v>
      </c>
      <c r="AA74" s="286">
        <f t="shared" si="21"/>
        <v>5</v>
      </c>
      <c r="AB74" s="286">
        <f t="shared" si="21"/>
        <v>6</v>
      </c>
      <c r="AC74" s="286">
        <f t="shared" si="21"/>
        <v>5</v>
      </c>
      <c r="AD74" s="286">
        <f t="shared" si="21"/>
        <v>4</v>
      </c>
      <c r="AE74" s="286">
        <f t="shared" si="21"/>
        <v>4</v>
      </c>
      <c r="AF74" s="155">
        <f t="shared" si="22"/>
        <v>140</v>
      </c>
    </row>
    <row r="75">
      <c r="A75" s="78" t="s">
        <v>253</v>
      </c>
      <c r="B75" s="286">
        <f t="shared" ref="B75:AE75" si="23">B55-B92</f>
        <v>44</v>
      </c>
      <c r="C75" s="286">
        <f t="shared" si="23"/>
        <v>58</v>
      </c>
      <c r="D75" s="286">
        <f t="shared" si="23"/>
        <v>68</v>
      </c>
      <c r="E75" s="286">
        <f t="shared" si="23"/>
        <v>79</v>
      </c>
      <c r="F75" s="286">
        <f t="shared" si="23"/>
        <v>82</v>
      </c>
      <c r="G75" s="286">
        <f t="shared" si="23"/>
        <v>58</v>
      </c>
      <c r="H75" s="286">
        <f t="shared" si="23"/>
        <v>46</v>
      </c>
      <c r="I75" s="286">
        <f t="shared" si="23"/>
        <v>31</v>
      </c>
      <c r="J75" s="286">
        <f t="shared" si="23"/>
        <v>39</v>
      </c>
      <c r="K75" s="286">
        <f t="shared" si="23"/>
        <v>43</v>
      </c>
      <c r="L75" s="286">
        <f t="shared" si="23"/>
        <v>37</v>
      </c>
      <c r="M75" s="286">
        <f t="shared" si="23"/>
        <v>27</v>
      </c>
      <c r="N75" s="286">
        <f t="shared" si="23"/>
        <v>34</v>
      </c>
      <c r="O75" s="286">
        <f t="shared" si="23"/>
        <v>37</v>
      </c>
      <c r="P75" s="286">
        <f t="shared" si="23"/>
        <v>42</v>
      </c>
      <c r="Q75" s="286">
        <f t="shared" si="23"/>
        <v>44</v>
      </c>
      <c r="R75" s="286">
        <f t="shared" si="23"/>
        <v>43</v>
      </c>
      <c r="S75" s="286">
        <f t="shared" si="23"/>
        <v>43</v>
      </c>
      <c r="T75" s="286">
        <f t="shared" si="23"/>
        <v>30</v>
      </c>
      <c r="U75" s="286">
        <f t="shared" si="23"/>
        <v>38</v>
      </c>
      <c r="V75" s="286">
        <f t="shared" si="23"/>
        <v>34</v>
      </c>
      <c r="W75" s="286">
        <f t="shared" si="23"/>
        <v>25</v>
      </c>
      <c r="X75" s="286">
        <f t="shared" si="23"/>
        <v>31</v>
      </c>
      <c r="Y75" s="286">
        <f t="shared" si="23"/>
        <v>30</v>
      </c>
      <c r="Z75" s="286">
        <f t="shared" si="23"/>
        <v>31</v>
      </c>
      <c r="AA75" s="286">
        <f t="shared" si="23"/>
        <v>15</v>
      </c>
      <c r="AB75" s="286">
        <f t="shared" si="23"/>
        <v>28</v>
      </c>
      <c r="AC75" s="286">
        <f t="shared" si="23"/>
        <v>23</v>
      </c>
      <c r="AD75" s="286">
        <f t="shared" si="23"/>
        <v>33</v>
      </c>
      <c r="AE75" s="286">
        <f t="shared" si="23"/>
        <v>41</v>
      </c>
      <c r="AF75" s="155">
        <f t="shared" si="22"/>
        <v>1214</v>
      </c>
    </row>
    <row r="76">
      <c r="A76" s="78" t="s">
        <v>258</v>
      </c>
      <c r="B76" s="286">
        <f t="shared" ref="B76:AE76" si="24">B56-B93</f>
        <v>3</v>
      </c>
      <c r="C76" s="286">
        <f t="shared" si="24"/>
        <v>11</v>
      </c>
      <c r="D76" s="286">
        <f t="shared" si="24"/>
        <v>15</v>
      </c>
      <c r="E76" s="286">
        <f t="shared" si="24"/>
        <v>16</v>
      </c>
      <c r="F76" s="286">
        <f t="shared" si="24"/>
        <v>11</v>
      </c>
      <c r="G76" s="286">
        <f t="shared" si="24"/>
        <v>11</v>
      </c>
      <c r="H76" s="286">
        <f t="shared" si="24"/>
        <v>2</v>
      </c>
      <c r="I76" s="286">
        <f t="shared" si="24"/>
        <v>5</v>
      </c>
      <c r="J76" s="286">
        <f t="shared" si="24"/>
        <v>4</v>
      </c>
      <c r="K76" s="286">
        <f t="shared" si="24"/>
        <v>11</v>
      </c>
      <c r="L76" s="286">
        <f t="shared" si="24"/>
        <v>8</v>
      </c>
      <c r="M76" s="286">
        <f t="shared" si="24"/>
        <v>5</v>
      </c>
      <c r="N76" s="286">
        <f t="shared" si="24"/>
        <v>8</v>
      </c>
      <c r="O76" s="286">
        <f t="shared" si="24"/>
        <v>10</v>
      </c>
      <c r="P76" s="286">
        <f t="shared" si="24"/>
        <v>11</v>
      </c>
      <c r="Q76" s="286">
        <f t="shared" si="24"/>
        <v>5</v>
      </c>
      <c r="R76" s="286">
        <f t="shared" si="24"/>
        <v>7</v>
      </c>
      <c r="S76" s="286">
        <f t="shared" si="24"/>
        <v>10</v>
      </c>
      <c r="T76" s="286">
        <f t="shared" si="24"/>
        <v>16</v>
      </c>
      <c r="U76" s="286">
        <f t="shared" si="24"/>
        <v>5</v>
      </c>
      <c r="V76" s="286">
        <f t="shared" si="24"/>
        <v>7</v>
      </c>
      <c r="W76" s="286">
        <f t="shared" si="24"/>
        <v>16</v>
      </c>
      <c r="X76" s="286">
        <f t="shared" si="24"/>
        <v>16</v>
      </c>
      <c r="Y76" s="286">
        <f t="shared" si="24"/>
        <v>18</v>
      </c>
      <c r="Z76" s="286">
        <f t="shared" si="24"/>
        <v>22</v>
      </c>
      <c r="AA76" s="286">
        <f t="shared" si="24"/>
        <v>19</v>
      </c>
      <c r="AB76" s="286">
        <f t="shared" si="24"/>
        <v>26</v>
      </c>
      <c r="AC76" s="286">
        <f t="shared" si="24"/>
        <v>18</v>
      </c>
      <c r="AD76" s="286">
        <f t="shared" si="24"/>
        <v>22</v>
      </c>
      <c r="AE76" s="286">
        <f t="shared" si="24"/>
        <v>14</v>
      </c>
      <c r="AF76" s="155">
        <f t="shared" si="22"/>
        <v>352</v>
      </c>
    </row>
    <row r="77">
      <c r="A77" s="91" t="s">
        <v>145</v>
      </c>
      <c r="B77" s="275">
        <f t="shared" ref="B77:AE77" si="25">SUM(B73:B76)</f>
        <v>63</v>
      </c>
      <c r="C77" s="275">
        <f t="shared" si="25"/>
        <v>96</v>
      </c>
      <c r="D77" s="275">
        <f t="shared" si="25"/>
        <v>112</v>
      </c>
      <c r="E77" s="275">
        <f t="shared" si="25"/>
        <v>149</v>
      </c>
      <c r="F77" s="275">
        <f t="shared" si="25"/>
        <v>136</v>
      </c>
      <c r="G77" s="275">
        <f t="shared" si="25"/>
        <v>105</v>
      </c>
      <c r="H77" s="275">
        <f t="shared" si="25"/>
        <v>70</v>
      </c>
      <c r="I77" s="275">
        <f t="shared" si="25"/>
        <v>49</v>
      </c>
      <c r="J77" s="275">
        <f t="shared" si="25"/>
        <v>59</v>
      </c>
      <c r="K77" s="275">
        <f t="shared" si="25"/>
        <v>73</v>
      </c>
      <c r="L77" s="275">
        <f t="shared" si="25"/>
        <v>67</v>
      </c>
      <c r="M77" s="275">
        <f t="shared" si="25"/>
        <v>56</v>
      </c>
      <c r="N77" s="275">
        <f t="shared" si="25"/>
        <v>62</v>
      </c>
      <c r="O77" s="275">
        <f t="shared" si="25"/>
        <v>76</v>
      </c>
      <c r="P77" s="275">
        <f t="shared" si="25"/>
        <v>72</v>
      </c>
      <c r="Q77" s="275">
        <f t="shared" si="25"/>
        <v>68</v>
      </c>
      <c r="R77" s="275">
        <f t="shared" si="25"/>
        <v>73</v>
      </c>
      <c r="S77" s="275">
        <f t="shared" si="25"/>
        <v>85</v>
      </c>
      <c r="T77" s="275">
        <f t="shared" si="25"/>
        <v>69</v>
      </c>
      <c r="U77" s="275">
        <f t="shared" si="25"/>
        <v>65</v>
      </c>
      <c r="V77" s="275">
        <f t="shared" si="25"/>
        <v>61</v>
      </c>
      <c r="W77" s="275">
        <f t="shared" si="25"/>
        <v>59</v>
      </c>
      <c r="X77" s="275">
        <f t="shared" si="25"/>
        <v>58</v>
      </c>
      <c r="Y77" s="275">
        <f t="shared" si="25"/>
        <v>68</v>
      </c>
      <c r="Z77" s="275">
        <f t="shared" si="25"/>
        <v>69</v>
      </c>
      <c r="AA77" s="275">
        <f t="shared" si="25"/>
        <v>47</v>
      </c>
      <c r="AB77" s="275">
        <f t="shared" si="25"/>
        <v>74</v>
      </c>
      <c r="AC77" s="275">
        <f t="shared" si="25"/>
        <v>65</v>
      </c>
      <c r="AD77" s="275">
        <f t="shared" si="25"/>
        <v>71</v>
      </c>
      <c r="AE77" s="275">
        <f t="shared" si="25"/>
        <v>74</v>
      </c>
      <c r="AF77" s="155">
        <f t="shared" si="22"/>
        <v>2251</v>
      </c>
    </row>
    <row r="78">
      <c r="A78" s="24"/>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258"/>
    </row>
    <row r="79">
      <c r="A79" s="78" t="s">
        <v>147</v>
      </c>
      <c r="B79" s="286">
        <f t="shared" ref="B79:AE79" si="26">B59-B96</f>
        <v>20</v>
      </c>
      <c r="C79" s="286">
        <f t="shared" si="26"/>
        <v>32</v>
      </c>
      <c r="D79" s="286">
        <f t="shared" si="26"/>
        <v>45</v>
      </c>
      <c r="E79" s="286">
        <f t="shared" si="26"/>
        <v>37</v>
      </c>
      <c r="F79" s="286">
        <f t="shared" si="26"/>
        <v>34</v>
      </c>
      <c r="G79" s="286">
        <f t="shared" si="26"/>
        <v>30</v>
      </c>
      <c r="H79" s="286">
        <f t="shared" si="26"/>
        <v>24</v>
      </c>
      <c r="I79" s="286">
        <f t="shared" si="26"/>
        <v>13</v>
      </c>
      <c r="J79" s="286">
        <f t="shared" si="26"/>
        <v>17</v>
      </c>
      <c r="K79" s="286">
        <f t="shared" si="26"/>
        <v>26</v>
      </c>
      <c r="L79" s="286">
        <f t="shared" si="26"/>
        <v>28</v>
      </c>
      <c r="M79" s="286">
        <f t="shared" si="26"/>
        <v>16</v>
      </c>
      <c r="N79" s="286">
        <f t="shared" si="26"/>
        <v>17</v>
      </c>
      <c r="O79" s="286">
        <f t="shared" si="26"/>
        <v>25</v>
      </c>
      <c r="P79" s="286">
        <f t="shared" si="26"/>
        <v>19</v>
      </c>
      <c r="Q79" s="286">
        <f t="shared" si="26"/>
        <v>30</v>
      </c>
      <c r="R79" s="286">
        <f t="shared" si="26"/>
        <v>23</v>
      </c>
      <c r="S79" s="286">
        <f t="shared" si="26"/>
        <v>38</v>
      </c>
      <c r="T79" s="286">
        <f t="shared" si="26"/>
        <v>37</v>
      </c>
      <c r="U79" s="286">
        <f t="shared" si="26"/>
        <v>23</v>
      </c>
      <c r="V79" s="286">
        <f t="shared" si="26"/>
        <v>20</v>
      </c>
      <c r="W79" s="286">
        <f t="shared" si="26"/>
        <v>20</v>
      </c>
      <c r="X79" s="286">
        <f t="shared" si="26"/>
        <v>19</v>
      </c>
      <c r="Y79" s="286">
        <f t="shared" si="26"/>
        <v>30</v>
      </c>
      <c r="Z79" s="286">
        <f t="shared" si="26"/>
        <v>24</v>
      </c>
      <c r="AA79" s="286">
        <f t="shared" si="26"/>
        <v>16</v>
      </c>
      <c r="AB79" s="286">
        <f t="shared" si="26"/>
        <v>25</v>
      </c>
      <c r="AC79" s="286">
        <f t="shared" si="26"/>
        <v>28</v>
      </c>
      <c r="AD79" s="286">
        <f t="shared" si="26"/>
        <v>20</v>
      </c>
      <c r="AE79" s="286">
        <f t="shared" si="26"/>
        <v>19</v>
      </c>
      <c r="AF79" s="155">
        <f t="shared" ref="AF79:AF87" si="28">sum(B79:AE79)</f>
        <v>755</v>
      </c>
    </row>
    <row r="80">
      <c r="A80" s="78" t="s">
        <v>150</v>
      </c>
      <c r="B80" s="286">
        <f t="shared" ref="B80:AE80" si="27">B60-B97</f>
        <v>10</v>
      </c>
      <c r="C80" s="286">
        <f t="shared" si="27"/>
        <v>21</v>
      </c>
      <c r="D80" s="286">
        <f t="shared" si="27"/>
        <v>24</v>
      </c>
      <c r="E80" s="286">
        <f t="shared" si="27"/>
        <v>24</v>
      </c>
      <c r="F80" s="286">
        <f t="shared" si="27"/>
        <v>23</v>
      </c>
      <c r="G80" s="286">
        <f t="shared" si="27"/>
        <v>18</v>
      </c>
      <c r="H80" s="286">
        <f t="shared" si="27"/>
        <v>16</v>
      </c>
      <c r="I80" s="286">
        <f t="shared" si="27"/>
        <v>10</v>
      </c>
      <c r="J80" s="286">
        <f t="shared" si="27"/>
        <v>8</v>
      </c>
      <c r="K80" s="286">
        <f t="shared" si="27"/>
        <v>21</v>
      </c>
      <c r="L80" s="286">
        <f t="shared" si="27"/>
        <v>16</v>
      </c>
      <c r="M80" s="286">
        <f t="shared" si="27"/>
        <v>11</v>
      </c>
      <c r="N80" s="286">
        <f t="shared" si="27"/>
        <v>13</v>
      </c>
      <c r="O80" s="286">
        <f t="shared" si="27"/>
        <v>21</v>
      </c>
      <c r="P80" s="286">
        <f t="shared" si="27"/>
        <v>9</v>
      </c>
      <c r="Q80" s="286">
        <f t="shared" si="27"/>
        <v>18</v>
      </c>
      <c r="R80" s="286">
        <f t="shared" si="27"/>
        <v>11</v>
      </c>
      <c r="S80" s="286">
        <f t="shared" si="27"/>
        <v>26</v>
      </c>
      <c r="T80" s="286">
        <f t="shared" si="27"/>
        <v>33</v>
      </c>
      <c r="U80" s="286">
        <f t="shared" si="27"/>
        <v>14</v>
      </c>
      <c r="V80" s="286">
        <f t="shared" si="27"/>
        <v>14</v>
      </c>
      <c r="W80" s="286">
        <f t="shared" si="27"/>
        <v>14</v>
      </c>
      <c r="X80" s="286">
        <f t="shared" si="27"/>
        <v>16</v>
      </c>
      <c r="Y80" s="286">
        <f t="shared" si="27"/>
        <v>21</v>
      </c>
      <c r="Z80" s="286">
        <f t="shared" si="27"/>
        <v>20</v>
      </c>
      <c r="AA80" s="286">
        <f t="shared" si="27"/>
        <v>17</v>
      </c>
      <c r="AB80" s="286">
        <f t="shared" si="27"/>
        <v>17</v>
      </c>
      <c r="AC80" s="286">
        <f t="shared" si="27"/>
        <v>21</v>
      </c>
      <c r="AD80" s="286">
        <f t="shared" si="27"/>
        <v>12</v>
      </c>
      <c r="AE80" s="286">
        <f t="shared" si="27"/>
        <v>20</v>
      </c>
      <c r="AF80" s="155">
        <f t="shared" si="28"/>
        <v>519</v>
      </c>
    </row>
    <row r="81">
      <c r="A81" s="78" t="s">
        <v>272</v>
      </c>
      <c r="B81" s="286">
        <f t="shared" ref="B81:AE81" si="29">B61-B98</f>
        <v>6</v>
      </c>
      <c r="C81" s="286">
        <f t="shared" si="29"/>
        <v>16</v>
      </c>
      <c r="D81" s="286">
        <f t="shared" si="29"/>
        <v>28</v>
      </c>
      <c r="E81" s="286">
        <f t="shared" si="29"/>
        <v>23</v>
      </c>
      <c r="F81" s="286">
        <f t="shared" si="29"/>
        <v>18</v>
      </c>
      <c r="G81" s="286">
        <f t="shared" si="29"/>
        <v>14</v>
      </c>
      <c r="H81" s="286">
        <f t="shared" si="29"/>
        <v>16</v>
      </c>
      <c r="I81" s="286">
        <f t="shared" si="29"/>
        <v>10</v>
      </c>
      <c r="J81" s="286">
        <f t="shared" si="29"/>
        <v>9</v>
      </c>
      <c r="K81" s="286">
        <f t="shared" si="29"/>
        <v>12</v>
      </c>
      <c r="L81" s="286">
        <f t="shared" si="29"/>
        <v>12</v>
      </c>
      <c r="M81" s="286">
        <f t="shared" si="29"/>
        <v>12</v>
      </c>
      <c r="N81" s="286">
        <f t="shared" si="29"/>
        <v>10</v>
      </c>
      <c r="O81" s="286">
        <f t="shared" si="29"/>
        <v>6</v>
      </c>
      <c r="P81" s="286">
        <f t="shared" si="29"/>
        <v>6</v>
      </c>
      <c r="Q81" s="286">
        <f t="shared" si="29"/>
        <v>11</v>
      </c>
      <c r="R81" s="286">
        <f t="shared" si="29"/>
        <v>4</v>
      </c>
      <c r="S81" s="286">
        <f t="shared" si="29"/>
        <v>80</v>
      </c>
      <c r="T81" s="286">
        <f t="shared" si="29"/>
        <v>31</v>
      </c>
      <c r="U81" s="286">
        <f t="shared" si="29"/>
        <v>17</v>
      </c>
      <c r="V81" s="286">
        <f t="shared" si="29"/>
        <v>21</v>
      </c>
      <c r="W81" s="286">
        <f t="shared" si="29"/>
        <v>6</v>
      </c>
      <c r="X81" s="286">
        <f t="shared" si="29"/>
        <v>13</v>
      </c>
      <c r="Y81" s="286">
        <f t="shared" si="29"/>
        <v>10</v>
      </c>
      <c r="Z81" s="286">
        <f t="shared" si="29"/>
        <v>7</v>
      </c>
      <c r="AA81" s="286">
        <f t="shared" si="29"/>
        <v>5</v>
      </c>
      <c r="AB81" s="286">
        <f t="shared" si="29"/>
        <v>4</v>
      </c>
      <c r="AC81" s="286">
        <f t="shared" si="29"/>
        <v>9</v>
      </c>
      <c r="AD81" s="286">
        <f t="shared" si="29"/>
        <v>8</v>
      </c>
      <c r="AE81" s="286">
        <f t="shared" si="29"/>
        <v>7</v>
      </c>
      <c r="AF81" s="155">
        <f t="shared" si="28"/>
        <v>431</v>
      </c>
    </row>
    <row r="82">
      <c r="A82" s="78" t="s">
        <v>276</v>
      </c>
      <c r="B82" s="286">
        <f t="shared" ref="B82:AE82" si="30">B62-B99</f>
        <v>2</v>
      </c>
      <c r="C82" s="286">
        <f t="shared" si="30"/>
        <v>6</v>
      </c>
      <c r="D82" s="286">
        <f t="shared" si="30"/>
        <v>4</v>
      </c>
      <c r="E82" s="286">
        <f t="shared" si="30"/>
        <v>6</v>
      </c>
      <c r="F82" s="286">
        <f t="shared" si="30"/>
        <v>4</v>
      </c>
      <c r="G82" s="286">
        <f t="shared" si="30"/>
        <v>4</v>
      </c>
      <c r="H82" s="286">
        <f t="shared" si="30"/>
        <v>1</v>
      </c>
      <c r="I82" s="286">
        <f t="shared" si="30"/>
        <v>1</v>
      </c>
      <c r="J82" s="286">
        <f t="shared" si="30"/>
        <v>0</v>
      </c>
      <c r="K82" s="286">
        <f t="shared" si="30"/>
        <v>5</v>
      </c>
      <c r="L82" s="286">
        <f t="shared" si="30"/>
        <v>5</v>
      </c>
      <c r="M82" s="286">
        <f t="shared" si="30"/>
        <v>1</v>
      </c>
      <c r="N82" s="286">
        <f t="shared" si="30"/>
        <v>2</v>
      </c>
      <c r="O82" s="286">
        <f t="shared" si="30"/>
        <v>10</v>
      </c>
      <c r="P82" s="286">
        <f t="shared" si="30"/>
        <v>5</v>
      </c>
      <c r="Q82" s="286">
        <f t="shared" si="30"/>
        <v>2</v>
      </c>
      <c r="R82" s="286">
        <f t="shared" si="30"/>
        <v>3</v>
      </c>
      <c r="S82" s="286">
        <f t="shared" si="30"/>
        <v>34</v>
      </c>
      <c r="T82" s="286">
        <f t="shared" si="30"/>
        <v>23</v>
      </c>
      <c r="U82" s="286">
        <f t="shared" si="30"/>
        <v>2</v>
      </c>
      <c r="V82" s="286">
        <f t="shared" si="30"/>
        <v>11</v>
      </c>
      <c r="W82" s="286">
        <f t="shared" si="30"/>
        <v>10</v>
      </c>
      <c r="X82" s="286">
        <f t="shared" si="30"/>
        <v>5</v>
      </c>
      <c r="Y82" s="286">
        <f t="shared" si="30"/>
        <v>9</v>
      </c>
      <c r="Z82" s="286">
        <f t="shared" si="30"/>
        <v>9</v>
      </c>
      <c r="AA82" s="286">
        <f t="shared" si="30"/>
        <v>6</v>
      </c>
      <c r="AB82" s="286">
        <f t="shared" si="30"/>
        <v>5</v>
      </c>
      <c r="AC82" s="286">
        <f t="shared" si="30"/>
        <v>5</v>
      </c>
      <c r="AD82" s="286">
        <f t="shared" si="30"/>
        <v>10</v>
      </c>
      <c r="AE82" s="286">
        <f t="shared" si="30"/>
        <v>5</v>
      </c>
      <c r="AF82" s="155">
        <f t="shared" si="28"/>
        <v>195</v>
      </c>
    </row>
    <row r="83">
      <c r="A83" s="78" t="s">
        <v>278</v>
      </c>
      <c r="B83" s="286">
        <f t="shared" ref="B83:AE83" si="31">B63-B100</f>
        <v>3</v>
      </c>
      <c r="C83" s="286">
        <f t="shared" si="31"/>
        <v>5</v>
      </c>
      <c r="D83" s="286">
        <f t="shared" si="31"/>
        <v>8</v>
      </c>
      <c r="E83" s="286">
        <f t="shared" si="31"/>
        <v>6</v>
      </c>
      <c r="F83" s="286">
        <f t="shared" si="31"/>
        <v>6</v>
      </c>
      <c r="G83" s="286">
        <f t="shared" si="31"/>
        <v>10</v>
      </c>
      <c r="H83" s="286">
        <f t="shared" si="31"/>
        <v>4</v>
      </c>
      <c r="I83" s="286">
        <f t="shared" si="31"/>
        <v>3</v>
      </c>
      <c r="J83" s="286">
        <f t="shared" si="31"/>
        <v>2</v>
      </c>
      <c r="K83" s="286">
        <f t="shared" si="31"/>
        <v>6</v>
      </c>
      <c r="L83" s="286">
        <f t="shared" si="31"/>
        <v>6</v>
      </c>
      <c r="M83" s="286">
        <f t="shared" si="31"/>
        <v>3</v>
      </c>
      <c r="N83" s="286">
        <f t="shared" si="31"/>
        <v>3</v>
      </c>
      <c r="O83" s="286">
        <f t="shared" si="31"/>
        <v>4</v>
      </c>
      <c r="P83" s="286">
        <f t="shared" si="31"/>
        <v>5</v>
      </c>
      <c r="Q83" s="286">
        <f t="shared" si="31"/>
        <v>4</v>
      </c>
      <c r="R83" s="286">
        <f t="shared" si="31"/>
        <v>7</v>
      </c>
      <c r="S83" s="286">
        <f t="shared" si="31"/>
        <v>3</v>
      </c>
      <c r="T83" s="286">
        <f t="shared" si="31"/>
        <v>6</v>
      </c>
      <c r="U83" s="286">
        <f t="shared" si="31"/>
        <v>3</v>
      </c>
      <c r="V83" s="286">
        <f t="shared" si="31"/>
        <v>-2</v>
      </c>
      <c r="W83" s="286">
        <f t="shared" si="31"/>
        <v>6</v>
      </c>
      <c r="X83" s="286">
        <f t="shared" si="31"/>
        <v>5</v>
      </c>
      <c r="Y83" s="286">
        <f t="shared" si="31"/>
        <v>5</v>
      </c>
      <c r="Z83" s="286">
        <f t="shared" si="31"/>
        <v>4</v>
      </c>
      <c r="AA83" s="286">
        <f t="shared" si="31"/>
        <v>3</v>
      </c>
      <c r="AB83" s="286">
        <f t="shared" si="31"/>
        <v>4</v>
      </c>
      <c r="AC83" s="286">
        <f t="shared" si="31"/>
        <v>3</v>
      </c>
      <c r="AD83" s="286">
        <f t="shared" si="31"/>
        <v>6</v>
      </c>
      <c r="AE83" s="286">
        <f t="shared" si="31"/>
        <v>2</v>
      </c>
      <c r="AF83" s="155">
        <f t="shared" si="28"/>
        <v>133</v>
      </c>
    </row>
    <row r="84">
      <c r="A84" s="78" t="s">
        <v>282</v>
      </c>
      <c r="B84" s="286">
        <f t="shared" ref="B84:AE84" si="32">B64-B101</f>
        <v>1</v>
      </c>
      <c r="C84" s="286">
        <f t="shared" si="32"/>
        <v>3</v>
      </c>
      <c r="D84" s="286">
        <f t="shared" si="32"/>
        <v>3</v>
      </c>
      <c r="E84" s="286">
        <f t="shared" si="32"/>
        <v>2</v>
      </c>
      <c r="F84" s="286">
        <f t="shared" si="32"/>
        <v>3</v>
      </c>
      <c r="G84" s="286">
        <f t="shared" si="32"/>
        <v>2</v>
      </c>
      <c r="H84" s="286">
        <f t="shared" si="32"/>
        <v>1</v>
      </c>
      <c r="I84" s="286">
        <f t="shared" si="32"/>
        <v>0</v>
      </c>
      <c r="J84" s="286">
        <f t="shared" si="32"/>
        <v>2</v>
      </c>
      <c r="K84" s="286">
        <f t="shared" si="32"/>
        <v>1</v>
      </c>
      <c r="L84" s="286">
        <f t="shared" si="32"/>
        <v>2</v>
      </c>
      <c r="M84" s="286">
        <f t="shared" si="32"/>
        <v>0</v>
      </c>
      <c r="N84" s="286">
        <f t="shared" si="32"/>
        <v>0</v>
      </c>
      <c r="O84" s="286">
        <f t="shared" si="32"/>
        <v>0</v>
      </c>
      <c r="P84" s="286">
        <f t="shared" si="32"/>
        <v>0</v>
      </c>
      <c r="Q84" s="286">
        <f t="shared" si="32"/>
        <v>3</v>
      </c>
      <c r="R84" s="286">
        <f t="shared" si="32"/>
        <v>2</v>
      </c>
      <c r="S84" s="286">
        <f t="shared" si="32"/>
        <v>6</v>
      </c>
      <c r="T84" s="286">
        <f t="shared" si="32"/>
        <v>0</v>
      </c>
      <c r="U84" s="286">
        <f t="shared" si="32"/>
        <v>3</v>
      </c>
      <c r="V84" s="286">
        <f t="shared" si="32"/>
        <v>3</v>
      </c>
      <c r="W84" s="286">
        <f t="shared" si="32"/>
        <v>2</v>
      </c>
      <c r="X84" s="286">
        <f t="shared" si="32"/>
        <v>1</v>
      </c>
      <c r="Y84" s="286">
        <f t="shared" si="32"/>
        <v>1</v>
      </c>
      <c r="Z84" s="286">
        <f t="shared" si="32"/>
        <v>0</v>
      </c>
      <c r="AA84" s="286">
        <f t="shared" si="32"/>
        <v>3</v>
      </c>
      <c r="AB84" s="286">
        <f t="shared" si="32"/>
        <v>1</v>
      </c>
      <c r="AC84" s="286">
        <f t="shared" si="32"/>
        <v>0</v>
      </c>
      <c r="AD84" s="286">
        <f t="shared" si="32"/>
        <v>0</v>
      </c>
      <c r="AE84" s="286">
        <f t="shared" si="32"/>
        <v>0</v>
      </c>
      <c r="AF84" s="155">
        <f t="shared" si="28"/>
        <v>45</v>
      </c>
    </row>
    <row r="85">
      <c r="A85" s="78" t="s">
        <v>286</v>
      </c>
      <c r="B85" s="286">
        <f t="shared" ref="B85:AE85" si="33">B65-B102</f>
        <v>0</v>
      </c>
      <c r="C85" s="286">
        <f t="shared" si="33"/>
        <v>0</v>
      </c>
      <c r="D85" s="286">
        <f t="shared" si="33"/>
        <v>0</v>
      </c>
      <c r="E85" s="286">
        <f t="shared" si="33"/>
        <v>0</v>
      </c>
      <c r="F85" s="286">
        <f t="shared" si="33"/>
        <v>0</v>
      </c>
      <c r="G85" s="286">
        <f t="shared" si="33"/>
        <v>0</v>
      </c>
      <c r="H85" s="286">
        <f t="shared" si="33"/>
        <v>0</v>
      </c>
      <c r="I85" s="286">
        <f t="shared" si="33"/>
        <v>0</v>
      </c>
      <c r="J85" s="286">
        <f t="shared" si="33"/>
        <v>0</v>
      </c>
      <c r="K85" s="286">
        <f t="shared" si="33"/>
        <v>0</v>
      </c>
      <c r="L85" s="286">
        <f t="shared" si="33"/>
        <v>0</v>
      </c>
      <c r="M85" s="286">
        <f t="shared" si="33"/>
        <v>0</v>
      </c>
      <c r="N85" s="286">
        <f t="shared" si="33"/>
        <v>0</v>
      </c>
      <c r="O85" s="286">
        <f t="shared" si="33"/>
        <v>0</v>
      </c>
      <c r="P85" s="286">
        <f t="shared" si="33"/>
        <v>0</v>
      </c>
      <c r="Q85" s="286">
        <f t="shared" si="33"/>
        <v>0</v>
      </c>
      <c r="R85" s="286">
        <f t="shared" si="33"/>
        <v>0</v>
      </c>
      <c r="S85" s="286">
        <f t="shared" si="33"/>
        <v>398</v>
      </c>
      <c r="T85" s="286">
        <f t="shared" si="33"/>
        <v>183</v>
      </c>
      <c r="U85" s="286">
        <f t="shared" si="33"/>
        <v>89</v>
      </c>
      <c r="V85" s="286">
        <f t="shared" si="33"/>
        <v>59</v>
      </c>
      <c r="W85" s="286">
        <f t="shared" si="33"/>
        <v>53</v>
      </c>
      <c r="X85" s="286">
        <f t="shared" si="33"/>
        <v>57</v>
      </c>
      <c r="Y85" s="286">
        <f t="shared" si="33"/>
        <v>52</v>
      </c>
      <c r="Z85" s="286">
        <f t="shared" si="33"/>
        <v>33</v>
      </c>
      <c r="AA85" s="286">
        <f t="shared" si="33"/>
        <v>23</v>
      </c>
      <c r="AB85" s="286">
        <f t="shared" si="33"/>
        <v>30</v>
      </c>
      <c r="AC85" s="286">
        <f t="shared" si="33"/>
        <v>34</v>
      </c>
      <c r="AD85" s="286">
        <f t="shared" si="33"/>
        <v>27</v>
      </c>
      <c r="AE85" s="286">
        <f t="shared" si="33"/>
        <v>25</v>
      </c>
      <c r="AF85" s="155">
        <f t="shared" si="28"/>
        <v>1063</v>
      </c>
    </row>
    <row r="86">
      <c r="A86" s="78" t="s">
        <v>290</v>
      </c>
      <c r="B86" s="286">
        <f t="shared" ref="B86:AE86" si="34">B66-B103</f>
        <v>0</v>
      </c>
      <c r="C86" s="286">
        <f t="shared" si="34"/>
        <v>0</v>
      </c>
      <c r="D86" s="286">
        <f t="shared" si="34"/>
        <v>0</v>
      </c>
      <c r="E86" s="286">
        <f t="shared" si="34"/>
        <v>0</v>
      </c>
      <c r="F86" s="286">
        <f t="shared" si="34"/>
        <v>0</v>
      </c>
      <c r="G86" s="286">
        <f t="shared" si="34"/>
        <v>0</v>
      </c>
      <c r="H86" s="286">
        <f t="shared" si="34"/>
        <v>0</v>
      </c>
      <c r="I86" s="286">
        <f t="shared" si="34"/>
        <v>0</v>
      </c>
      <c r="J86" s="286">
        <f t="shared" si="34"/>
        <v>0</v>
      </c>
      <c r="K86" s="286">
        <f t="shared" si="34"/>
        <v>0</v>
      </c>
      <c r="L86" s="286">
        <f t="shared" si="34"/>
        <v>0</v>
      </c>
      <c r="M86" s="286">
        <f t="shared" si="34"/>
        <v>0</v>
      </c>
      <c r="N86" s="286">
        <f t="shared" si="34"/>
        <v>0</v>
      </c>
      <c r="O86" s="286">
        <f t="shared" si="34"/>
        <v>0</v>
      </c>
      <c r="P86" s="286">
        <f t="shared" si="34"/>
        <v>0</v>
      </c>
      <c r="Q86" s="286">
        <f t="shared" si="34"/>
        <v>0</v>
      </c>
      <c r="R86" s="286">
        <f t="shared" si="34"/>
        <v>0</v>
      </c>
      <c r="S86" s="286">
        <f t="shared" si="34"/>
        <v>91</v>
      </c>
      <c r="T86" s="286">
        <f t="shared" si="34"/>
        <v>54</v>
      </c>
      <c r="U86" s="286">
        <f t="shared" si="34"/>
        <v>18</v>
      </c>
      <c r="V86" s="286">
        <f t="shared" si="34"/>
        <v>16</v>
      </c>
      <c r="W86" s="286">
        <f t="shared" si="34"/>
        <v>15</v>
      </c>
      <c r="X86" s="286">
        <f t="shared" si="34"/>
        <v>9</v>
      </c>
      <c r="Y86" s="286">
        <f t="shared" si="34"/>
        <v>15</v>
      </c>
      <c r="Z86" s="286">
        <f t="shared" si="34"/>
        <v>12</v>
      </c>
      <c r="AA86" s="286">
        <f t="shared" si="34"/>
        <v>13</v>
      </c>
      <c r="AB86" s="286">
        <f t="shared" si="34"/>
        <v>11</v>
      </c>
      <c r="AC86" s="286">
        <f t="shared" si="34"/>
        <v>13</v>
      </c>
      <c r="AD86" s="286">
        <f t="shared" si="34"/>
        <v>6</v>
      </c>
      <c r="AE86" s="286">
        <f t="shared" si="34"/>
        <v>9</v>
      </c>
      <c r="AF86" s="155">
        <f t="shared" si="28"/>
        <v>282</v>
      </c>
    </row>
    <row r="87">
      <c r="A87" s="91" t="s">
        <v>159</v>
      </c>
      <c r="B87" s="275">
        <f t="shared" ref="B87:AE87" si="35">SUM(B79:B86)</f>
        <v>42</v>
      </c>
      <c r="C87" s="275">
        <f t="shared" si="35"/>
        <v>83</v>
      </c>
      <c r="D87" s="275">
        <f t="shared" si="35"/>
        <v>112</v>
      </c>
      <c r="E87" s="275">
        <f t="shared" si="35"/>
        <v>98</v>
      </c>
      <c r="F87" s="275">
        <f t="shared" si="35"/>
        <v>88</v>
      </c>
      <c r="G87" s="275">
        <f t="shared" si="35"/>
        <v>78</v>
      </c>
      <c r="H87" s="275">
        <f t="shared" si="35"/>
        <v>62</v>
      </c>
      <c r="I87" s="275">
        <f t="shared" si="35"/>
        <v>37</v>
      </c>
      <c r="J87" s="275">
        <f t="shared" si="35"/>
        <v>38</v>
      </c>
      <c r="K87" s="275">
        <f t="shared" si="35"/>
        <v>71</v>
      </c>
      <c r="L87" s="275">
        <f t="shared" si="35"/>
        <v>69</v>
      </c>
      <c r="M87" s="275">
        <f t="shared" si="35"/>
        <v>43</v>
      </c>
      <c r="N87" s="275">
        <f t="shared" si="35"/>
        <v>45</v>
      </c>
      <c r="O87" s="275">
        <f t="shared" si="35"/>
        <v>66</v>
      </c>
      <c r="P87" s="275">
        <f t="shared" si="35"/>
        <v>44</v>
      </c>
      <c r="Q87" s="275">
        <f t="shared" si="35"/>
        <v>68</v>
      </c>
      <c r="R87" s="275">
        <f t="shared" si="35"/>
        <v>50</v>
      </c>
      <c r="S87" s="275">
        <f t="shared" si="35"/>
        <v>676</v>
      </c>
      <c r="T87" s="275">
        <f t="shared" si="35"/>
        <v>367</v>
      </c>
      <c r="U87" s="275">
        <f t="shared" si="35"/>
        <v>169</v>
      </c>
      <c r="V87" s="275">
        <f t="shared" si="35"/>
        <v>142</v>
      </c>
      <c r="W87" s="275">
        <f t="shared" si="35"/>
        <v>126</v>
      </c>
      <c r="X87" s="275">
        <f t="shared" si="35"/>
        <v>125</v>
      </c>
      <c r="Y87" s="275">
        <f t="shared" si="35"/>
        <v>143</v>
      </c>
      <c r="Z87" s="275">
        <f t="shared" si="35"/>
        <v>109</v>
      </c>
      <c r="AA87" s="275">
        <f t="shared" si="35"/>
        <v>86</v>
      </c>
      <c r="AB87" s="275">
        <f t="shared" si="35"/>
        <v>97</v>
      </c>
      <c r="AC87" s="275">
        <f t="shared" si="35"/>
        <v>113</v>
      </c>
      <c r="AD87" s="275">
        <f t="shared" si="35"/>
        <v>89</v>
      </c>
      <c r="AE87" s="275">
        <f t="shared" si="35"/>
        <v>87</v>
      </c>
      <c r="AF87" s="155">
        <f t="shared" si="28"/>
        <v>3423</v>
      </c>
    </row>
    <row r="88">
      <c r="A88" s="24"/>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258"/>
    </row>
    <row r="89">
      <c r="A89" s="73" t="s">
        <v>293</v>
      </c>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258"/>
    </row>
    <row r="90">
      <c r="A90" s="78" t="s">
        <v>295</v>
      </c>
      <c r="B90" s="331">
        <v>1.0</v>
      </c>
      <c r="C90" s="331">
        <v>0.0</v>
      </c>
      <c r="D90" s="331">
        <v>3.0</v>
      </c>
      <c r="E90" s="331">
        <v>0.0</v>
      </c>
      <c r="F90" s="331">
        <v>1.0</v>
      </c>
      <c r="G90" s="331">
        <v>0.0</v>
      </c>
      <c r="H90" s="331">
        <v>0.0</v>
      </c>
      <c r="I90" s="331">
        <v>0.0</v>
      </c>
      <c r="J90" s="331">
        <v>0.0</v>
      </c>
      <c r="K90" s="331">
        <v>0.0</v>
      </c>
      <c r="L90" s="331">
        <v>0.0</v>
      </c>
      <c r="M90" s="331">
        <v>0.0</v>
      </c>
      <c r="N90" s="331">
        <v>1.0</v>
      </c>
      <c r="O90" s="331">
        <v>0.0</v>
      </c>
      <c r="P90" s="331">
        <v>1.0</v>
      </c>
      <c r="Q90" s="332">
        <v>0.0</v>
      </c>
      <c r="R90" s="331">
        <v>0.0</v>
      </c>
      <c r="S90" s="331">
        <v>1.0</v>
      </c>
      <c r="T90" s="331">
        <v>0.0</v>
      </c>
      <c r="U90" s="331">
        <v>0.0</v>
      </c>
      <c r="V90" s="331">
        <v>1.0</v>
      </c>
      <c r="W90" s="331">
        <v>0.0</v>
      </c>
      <c r="X90" s="331">
        <v>0.0</v>
      </c>
      <c r="Y90" s="331">
        <v>0.0</v>
      </c>
      <c r="Z90" s="331">
        <v>0.0</v>
      </c>
      <c r="AA90" s="331">
        <v>2.0</v>
      </c>
      <c r="AB90" s="331">
        <v>6.0</v>
      </c>
      <c r="AC90" s="331">
        <v>1.0</v>
      </c>
      <c r="AD90" s="331">
        <v>1.0</v>
      </c>
      <c r="AE90" s="331">
        <v>0.0</v>
      </c>
      <c r="AF90" s="155">
        <f t="shared" ref="AF90:AF94" si="36">sum(B90:AE90)</f>
        <v>19</v>
      </c>
    </row>
    <row r="91">
      <c r="A91" s="78" t="s">
        <v>297</v>
      </c>
      <c r="B91" s="331">
        <v>0.0</v>
      </c>
      <c r="C91" s="331">
        <v>0.0</v>
      </c>
      <c r="D91" s="331">
        <v>0.0</v>
      </c>
      <c r="E91" s="331">
        <v>0.0</v>
      </c>
      <c r="F91" s="331">
        <v>0.0</v>
      </c>
      <c r="G91" s="331">
        <v>0.0</v>
      </c>
      <c r="H91" s="331">
        <v>0.0</v>
      </c>
      <c r="I91" s="331">
        <v>0.0</v>
      </c>
      <c r="J91" s="331">
        <v>0.0</v>
      </c>
      <c r="K91" s="331">
        <v>0.0</v>
      </c>
      <c r="L91" s="331">
        <v>0.0</v>
      </c>
      <c r="M91" s="331">
        <v>1.0</v>
      </c>
      <c r="N91" s="331">
        <v>0.0</v>
      </c>
      <c r="O91" s="331">
        <v>0.0</v>
      </c>
      <c r="P91" s="331">
        <v>1.0</v>
      </c>
      <c r="Q91" s="332">
        <v>0.0</v>
      </c>
      <c r="R91" s="331">
        <v>0.0</v>
      </c>
      <c r="S91" s="332">
        <v>0.0</v>
      </c>
      <c r="T91" s="332">
        <v>1.0</v>
      </c>
      <c r="U91" s="331">
        <v>0.0</v>
      </c>
      <c r="V91" s="331">
        <v>0.0</v>
      </c>
      <c r="W91" s="331">
        <v>0.0</v>
      </c>
      <c r="X91" s="331">
        <v>0.0</v>
      </c>
      <c r="Y91" s="331">
        <v>0.0</v>
      </c>
      <c r="Z91" s="331">
        <v>1.0</v>
      </c>
      <c r="AA91" s="331">
        <v>0.0</v>
      </c>
      <c r="AB91" s="331">
        <v>0.0</v>
      </c>
      <c r="AC91" s="331">
        <v>0.0</v>
      </c>
      <c r="AD91" s="331">
        <v>0.0</v>
      </c>
      <c r="AE91" s="331">
        <v>0.0</v>
      </c>
      <c r="AF91" s="155">
        <f t="shared" si="36"/>
        <v>4</v>
      </c>
    </row>
    <row r="92">
      <c r="A92" s="78" t="s">
        <v>301</v>
      </c>
      <c r="B92" s="331">
        <v>1.0</v>
      </c>
      <c r="C92" s="331">
        <v>2.0</v>
      </c>
      <c r="D92" s="331">
        <v>1.0</v>
      </c>
      <c r="E92" s="331">
        <v>1.0</v>
      </c>
      <c r="F92" s="331">
        <v>2.0</v>
      </c>
      <c r="G92" s="331">
        <v>0.0</v>
      </c>
      <c r="H92" s="331">
        <v>0.0</v>
      </c>
      <c r="I92" s="331">
        <v>0.0</v>
      </c>
      <c r="J92" s="331">
        <v>0.0</v>
      </c>
      <c r="K92" s="331">
        <v>2.0</v>
      </c>
      <c r="L92" s="331">
        <v>1.0</v>
      </c>
      <c r="M92" s="331">
        <v>3.0</v>
      </c>
      <c r="N92" s="331">
        <v>0.0</v>
      </c>
      <c r="O92" s="331">
        <v>0.0</v>
      </c>
      <c r="P92" s="331">
        <v>0.0</v>
      </c>
      <c r="Q92" s="332">
        <v>1.0</v>
      </c>
      <c r="R92" s="331">
        <v>2.0</v>
      </c>
      <c r="S92" s="331">
        <v>0.0</v>
      </c>
      <c r="T92" s="331">
        <v>3.0</v>
      </c>
      <c r="U92" s="331">
        <v>0.0</v>
      </c>
      <c r="V92" s="331">
        <v>0.0</v>
      </c>
      <c r="W92" s="331">
        <v>0.0</v>
      </c>
      <c r="X92" s="331">
        <v>0.0</v>
      </c>
      <c r="Y92" s="331">
        <v>2.0</v>
      </c>
      <c r="Z92" s="331">
        <v>0.0</v>
      </c>
      <c r="AA92" s="331">
        <v>2.0</v>
      </c>
      <c r="AB92" s="331">
        <v>9.0</v>
      </c>
      <c r="AC92" s="331">
        <v>2.0</v>
      </c>
      <c r="AD92" s="331">
        <v>1.0</v>
      </c>
      <c r="AE92" s="331">
        <v>3.0</v>
      </c>
      <c r="AF92" s="155">
        <f t="shared" si="36"/>
        <v>38</v>
      </c>
    </row>
    <row r="93">
      <c r="A93" s="78" t="s">
        <v>303</v>
      </c>
      <c r="B93" s="331">
        <v>0.0</v>
      </c>
      <c r="C93" s="331">
        <v>0.0</v>
      </c>
      <c r="D93" s="331">
        <v>1.0</v>
      </c>
      <c r="E93" s="331">
        <v>1.0</v>
      </c>
      <c r="F93" s="331">
        <v>1.0</v>
      </c>
      <c r="G93" s="331">
        <v>2.0</v>
      </c>
      <c r="H93" s="331">
        <v>0.0</v>
      </c>
      <c r="I93" s="331">
        <v>0.0</v>
      </c>
      <c r="J93" s="331">
        <v>0.0</v>
      </c>
      <c r="K93" s="331">
        <v>1.0</v>
      </c>
      <c r="L93" s="331">
        <v>0.0</v>
      </c>
      <c r="M93" s="331">
        <v>1.0</v>
      </c>
      <c r="N93" s="331">
        <v>0.0</v>
      </c>
      <c r="O93" s="331">
        <v>0.0</v>
      </c>
      <c r="P93" s="331">
        <v>2.0</v>
      </c>
      <c r="Q93" s="332">
        <v>0.0</v>
      </c>
      <c r="R93" s="331">
        <v>0.0</v>
      </c>
      <c r="S93" s="332">
        <v>0.0</v>
      </c>
      <c r="T93" s="332">
        <v>1.0</v>
      </c>
      <c r="U93" s="331">
        <v>0.0</v>
      </c>
      <c r="V93" s="331">
        <v>0.0</v>
      </c>
      <c r="W93" s="331">
        <v>0.0</v>
      </c>
      <c r="X93" s="331">
        <v>0.0</v>
      </c>
      <c r="Y93" s="331">
        <v>0.0</v>
      </c>
      <c r="Z93" s="331">
        <v>2.0</v>
      </c>
      <c r="AA93" s="331">
        <v>0.0</v>
      </c>
      <c r="AB93" s="331">
        <v>5.0</v>
      </c>
      <c r="AC93" s="331">
        <v>1.0</v>
      </c>
      <c r="AD93" s="331">
        <v>0.0</v>
      </c>
      <c r="AE93" s="331">
        <v>1.0</v>
      </c>
      <c r="AF93" s="155">
        <f t="shared" si="36"/>
        <v>19</v>
      </c>
    </row>
    <row r="94">
      <c r="A94" s="91" t="s">
        <v>145</v>
      </c>
      <c r="B94" s="275">
        <f t="shared" ref="B94:AE94" si="37">SUM(B90:B93)</f>
        <v>2</v>
      </c>
      <c r="C94" s="275">
        <f t="shared" si="37"/>
        <v>2</v>
      </c>
      <c r="D94" s="275">
        <f t="shared" si="37"/>
        <v>5</v>
      </c>
      <c r="E94" s="275">
        <f t="shared" si="37"/>
        <v>2</v>
      </c>
      <c r="F94" s="275">
        <f t="shared" si="37"/>
        <v>4</v>
      </c>
      <c r="G94" s="275">
        <f t="shared" si="37"/>
        <v>2</v>
      </c>
      <c r="H94" s="275">
        <f t="shared" si="37"/>
        <v>0</v>
      </c>
      <c r="I94" s="275">
        <f t="shared" si="37"/>
        <v>0</v>
      </c>
      <c r="J94" s="275">
        <f t="shared" si="37"/>
        <v>0</v>
      </c>
      <c r="K94" s="275">
        <f t="shared" si="37"/>
        <v>3</v>
      </c>
      <c r="L94" s="275">
        <f t="shared" si="37"/>
        <v>1</v>
      </c>
      <c r="M94" s="275">
        <f t="shared" si="37"/>
        <v>5</v>
      </c>
      <c r="N94" s="275">
        <f t="shared" si="37"/>
        <v>1</v>
      </c>
      <c r="O94" s="275">
        <f t="shared" si="37"/>
        <v>0</v>
      </c>
      <c r="P94" s="275">
        <f t="shared" si="37"/>
        <v>4</v>
      </c>
      <c r="Q94" s="275">
        <f t="shared" si="37"/>
        <v>1</v>
      </c>
      <c r="R94" s="275">
        <f t="shared" si="37"/>
        <v>2</v>
      </c>
      <c r="S94" s="275">
        <f t="shared" si="37"/>
        <v>1</v>
      </c>
      <c r="T94" s="275">
        <f t="shared" si="37"/>
        <v>5</v>
      </c>
      <c r="U94" s="275">
        <f t="shared" si="37"/>
        <v>0</v>
      </c>
      <c r="V94" s="275">
        <f t="shared" si="37"/>
        <v>1</v>
      </c>
      <c r="W94" s="275">
        <f t="shared" si="37"/>
        <v>0</v>
      </c>
      <c r="X94" s="275">
        <f t="shared" si="37"/>
        <v>0</v>
      </c>
      <c r="Y94" s="275">
        <f t="shared" si="37"/>
        <v>2</v>
      </c>
      <c r="Z94" s="275">
        <f t="shared" si="37"/>
        <v>3</v>
      </c>
      <c r="AA94" s="275">
        <f t="shared" si="37"/>
        <v>4</v>
      </c>
      <c r="AB94" s="275">
        <f t="shared" si="37"/>
        <v>20</v>
      </c>
      <c r="AC94" s="275">
        <f t="shared" si="37"/>
        <v>4</v>
      </c>
      <c r="AD94" s="275">
        <f t="shared" si="37"/>
        <v>2</v>
      </c>
      <c r="AE94" s="275">
        <f t="shared" si="37"/>
        <v>4</v>
      </c>
      <c r="AF94" s="155">
        <f t="shared" si="36"/>
        <v>80</v>
      </c>
    </row>
    <row r="95">
      <c r="A95" s="24"/>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258"/>
    </row>
    <row r="96">
      <c r="A96" s="78" t="s">
        <v>147</v>
      </c>
      <c r="B96" s="331">
        <v>0.0</v>
      </c>
      <c r="C96" s="331">
        <v>2.0</v>
      </c>
      <c r="D96" s="331">
        <v>3.0</v>
      </c>
      <c r="E96" s="331">
        <v>4.0</v>
      </c>
      <c r="F96" s="331">
        <v>2.0</v>
      </c>
      <c r="G96" s="331">
        <v>0.0</v>
      </c>
      <c r="H96" s="331">
        <v>0.0</v>
      </c>
      <c r="I96" s="331">
        <v>0.0</v>
      </c>
      <c r="J96" s="331">
        <v>1.0</v>
      </c>
      <c r="K96" s="331">
        <v>1.0</v>
      </c>
      <c r="L96" s="331">
        <v>2.0</v>
      </c>
      <c r="M96" s="331">
        <v>3.0</v>
      </c>
      <c r="N96" s="331">
        <v>0.0</v>
      </c>
      <c r="O96" s="331">
        <v>0.0</v>
      </c>
      <c r="P96" s="331">
        <v>4.0</v>
      </c>
      <c r="Q96" s="332">
        <v>0.0</v>
      </c>
      <c r="R96" s="331">
        <v>1.0</v>
      </c>
      <c r="S96" s="331">
        <v>0.0</v>
      </c>
      <c r="T96" s="331">
        <v>0.0</v>
      </c>
      <c r="U96" s="331">
        <v>0.0</v>
      </c>
      <c r="V96" s="331">
        <v>0.0</v>
      </c>
      <c r="W96" s="331">
        <v>0.0</v>
      </c>
      <c r="X96" s="331">
        <v>2.0</v>
      </c>
      <c r="Y96" s="331">
        <v>2.0</v>
      </c>
      <c r="Z96" s="331">
        <v>3.0</v>
      </c>
      <c r="AA96" s="331">
        <v>2.0</v>
      </c>
      <c r="AB96" s="331">
        <v>6.0</v>
      </c>
      <c r="AC96" s="331">
        <v>1.0</v>
      </c>
      <c r="AD96" s="331">
        <v>0.0</v>
      </c>
      <c r="AE96" s="331">
        <v>0.0</v>
      </c>
      <c r="AF96" s="155">
        <f t="shared" ref="AF96:AF104" si="38">sum(B96:AE96)</f>
        <v>39</v>
      </c>
    </row>
    <row r="97">
      <c r="A97" s="78" t="s">
        <v>150</v>
      </c>
      <c r="B97" s="331">
        <v>0.0</v>
      </c>
      <c r="C97" s="331">
        <v>1.0</v>
      </c>
      <c r="D97" s="331">
        <v>5.0</v>
      </c>
      <c r="E97" s="331">
        <v>2.0</v>
      </c>
      <c r="F97" s="331">
        <v>1.0</v>
      </c>
      <c r="G97" s="331">
        <v>0.0</v>
      </c>
      <c r="H97" s="331">
        <v>1.0</v>
      </c>
      <c r="I97" s="331">
        <v>0.0</v>
      </c>
      <c r="J97" s="331">
        <v>1.0</v>
      </c>
      <c r="K97" s="331">
        <v>1.0</v>
      </c>
      <c r="L97" s="331">
        <v>1.0</v>
      </c>
      <c r="M97" s="331">
        <v>1.0</v>
      </c>
      <c r="N97" s="331">
        <v>0.0</v>
      </c>
      <c r="O97" s="331">
        <v>0.0</v>
      </c>
      <c r="P97" s="331">
        <v>3.0</v>
      </c>
      <c r="Q97" s="332">
        <v>1.0</v>
      </c>
      <c r="R97" s="331">
        <v>2.0</v>
      </c>
      <c r="S97" s="331">
        <v>2.0</v>
      </c>
      <c r="T97" s="331">
        <v>1.0</v>
      </c>
      <c r="U97" s="331">
        <v>2.0</v>
      </c>
      <c r="V97" s="331">
        <v>0.0</v>
      </c>
      <c r="W97" s="331">
        <v>0.0</v>
      </c>
      <c r="X97" s="331">
        <v>0.0</v>
      </c>
      <c r="Y97" s="331">
        <v>1.0</v>
      </c>
      <c r="Z97" s="331">
        <v>3.0</v>
      </c>
      <c r="AA97" s="331">
        <v>2.0</v>
      </c>
      <c r="AB97" s="331">
        <v>4.0</v>
      </c>
      <c r="AC97" s="331">
        <v>2.0</v>
      </c>
      <c r="AD97" s="331">
        <v>1.0</v>
      </c>
      <c r="AE97" s="331">
        <v>1.0</v>
      </c>
      <c r="AF97" s="155">
        <f t="shared" si="38"/>
        <v>39</v>
      </c>
    </row>
    <row r="98">
      <c r="A98" s="78" t="s">
        <v>309</v>
      </c>
      <c r="B98" s="331">
        <v>1.0</v>
      </c>
      <c r="C98" s="331">
        <v>3.0</v>
      </c>
      <c r="D98" s="331">
        <v>0.0</v>
      </c>
      <c r="E98" s="331">
        <v>1.0</v>
      </c>
      <c r="F98" s="331">
        <v>4.0</v>
      </c>
      <c r="G98" s="331">
        <v>1.0</v>
      </c>
      <c r="H98" s="331">
        <v>0.0</v>
      </c>
      <c r="I98" s="331">
        <v>0.0</v>
      </c>
      <c r="J98" s="331">
        <v>1.0</v>
      </c>
      <c r="K98" s="331">
        <v>1.0</v>
      </c>
      <c r="L98" s="331">
        <v>1.0</v>
      </c>
      <c r="M98" s="331">
        <v>2.0</v>
      </c>
      <c r="N98" s="331">
        <v>0.0</v>
      </c>
      <c r="O98" s="331">
        <v>0.0</v>
      </c>
      <c r="P98" s="331">
        <v>0.0</v>
      </c>
      <c r="Q98" s="331">
        <v>2.0</v>
      </c>
      <c r="R98" s="331">
        <v>1.0</v>
      </c>
      <c r="S98" s="331">
        <v>3.0</v>
      </c>
      <c r="T98" s="331">
        <v>5.0</v>
      </c>
      <c r="U98" s="331">
        <v>2.0</v>
      </c>
      <c r="V98" s="331">
        <v>1.0</v>
      </c>
      <c r="W98" s="331">
        <v>0.0</v>
      </c>
      <c r="X98" s="331">
        <v>0.0</v>
      </c>
      <c r="Y98" s="331">
        <v>1.0</v>
      </c>
      <c r="Z98" s="331">
        <v>2.0</v>
      </c>
      <c r="AA98" s="331">
        <v>3.0</v>
      </c>
      <c r="AB98" s="331">
        <v>1.0</v>
      </c>
      <c r="AC98" s="331">
        <v>0.0</v>
      </c>
      <c r="AD98" s="331">
        <v>0.0</v>
      </c>
      <c r="AE98" s="331">
        <v>0.0</v>
      </c>
      <c r="AF98" s="155">
        <f t="shared" si="38"/>
        <v>36</v>
      </c>
    </row>
    <row r="99">
      <c r="A99" s="78" t="s">
        <v>311</v>
      </c>
      <c r="B99" s="331">
        <v>0.0</v>
      </c>
      <c r="C99" s="331">
        <v>1.0</v>
      </c>
      <c r="D99" s="331">
        <v>3.0</v>
      </c>
      <c r="E99" s="331">
        <v>1.0</v>
      </c>
      <c r="F99" s="331">
        <v>1.0</v>
      </c>
      <c r="G99" s="331">
        <v>1.0</v>
      </c>
      <c r="H99" s="331">
        <v>0.0</v>
      </c>
      <c r="I99" s="331">
        <v>0.0</v>
      </c>
      <c r="J99" s="331">
        <v>0.0</v>
      </c>
      <c r="K99" s="331">
        <v>0.0</v>
      </c>
      <c r="L99" s="331">
        <v>0.0</v>
      </c>
      <c r="M99" s="331">
        <v>0.0</v>
      </c>
      <c r="N99" s="331">
        <v>0.0</v>
      </c>
      <c r="O99" s="331">
        <v>0.0</v>
      </c>
      <c r="P99" s="331">
        <v>3.0</v>
      </c>
      <c r="Q99" s="332">
        <v>0.0</v>
      </c>
      <c r="R99" s="331">
        <v>0.0</v>
      </c>
      <c r="S99" s="332">
        <v>3.0</v>
      </c>
      <c r="T99" s="332">
        <v>0.0</v>
      </c>
      <c r="U99" s="331">
        <v>0.0</v>
      </c>
      <c r="V99" s="331">
        <v>0.0</v>
      </c>
      <c r="W99" s="331">
        <v>0.0</v>
      </c>
      <c r="X99" s="331">
        <v>1.0</v>
      </c>
      <c r="Y99" s="331">
        <v>2.0</v>
      </c>
      <c r="Z99" s="331">
        <v>0.0</v>
      </c>
      <c r="AA99" s="331">
        <v>0.0</v>
      </c>
      <c r="AB99" s="331">
        <v>2.0</v>
      </c>
      <c r="AC99" s="331">
        <v>0.0</v>
      </c>
      <c r="AD99" s="331">
        <v>1.0</v>
      </c>
      <c r="AE99" s="331">
        <v>0.0</v>
      </c>
      <c r="AF99" s="155">
        <f t="shared" si="38"/>
        <v>19</v>
      </c>
    </row>
    <row r="100">
      <c r="A100" s="78" t="s">
        <v>313</v>
      </c>
      <c r="B100" s="331">
        <v>0.0</v>
      </c>
      <c r="C100" s="331">
        <v>0.0</v>
      </c>
      <c r="D100" s="331">
        <v>0.0</v>
      </c>
      <c r="E100" s="331">
        <v>0.0</v>
      </c>
      <c r="F100" s="331">
        <v>1.0</v>
      </c>
      <c r="G100" s="331">
        <v>1.0</v>
      </c>
      <c r="H100" s="331">
        <v>1.0</v>
      </c>
      <c r="I100" s="331">
        <v>0.0</v>
      </c>
      <c r="J100" s="331">
        <v>0.0</v>
      </c>
      <c r="K100" s="331">
        <v>0.0</v>
      </c>
      <c r="L100" s="331">
        <v>0.0</v>
      </c>
      <c r="M100" s="331">
        <v>0.0</v>
      </c>
      <c r="N100" s="331">
        <v>0.0</v>
      </c>
      <c r="O100" s="331">
        <v>0.0</v>
      </c>
      <c r="P100" s="331">
        <v>1.0</v>
      </c>
      <c r="Q100" s="331">
        <v>0.0</v>
      </c>
      <c r="R100" s="331">
        <v>0.0</v>
      </c>
      <c r="S100" s="331">
        <v>2.0</v>
      </c>
      <c r="T100" s="331">
        <v>0.0</v>
      </c>
      <c r="U100" s="331">
        <v>2.0</v>
      </c>
      <c r="V100" s="331">
        <v>9.0</v>
      </c>
      <c r="W100" s="331">
        <v>1.0</v>
      </c>
      <c r="X100" s="331">
        <v>2.0</v>
      </c>
      <c r="Y100" s="331">
        <v>0.0</v>
      </c>
      <c r="Z100" s="331">
        <v>0.0</v>
      </c>
      <c r="AA100" s="331">
        <v>3.0</v>
      </c>
      <c r="AB100" s="331">
        <v>0.0</v>
      </c>
      <c r="AC100" s="331">
        <v>0.0</v>
      </c>
      <c r="AD100" s="331">
        <v>2.0</v>
      </c>
      <c r="AE100" s="331">
        <v>0.0</v>
      </c>
      <c r="AF100" s="155">
        <f t="shared" si="38"/>
        <v>25</v>
      </c>
    </row>
    <row r="101">
      <c r="A101" s="78" t="s">
        <v>315</v>
      </c>
      <c r="B101" s="331">
        <v>2.0</v>
      </c>
      <c r="C101" s="331">
        <v>0.0</v>
      </c>
      <c r="D101" s="331">
        <v>1.0</v>
      </c>
      <c r="E101" s="331">
        <v>1.0</v>
      </c>
      <c r="F101" s="331">
        <v>0.0</v>
      </c>
      <c r="G101" s="331">
        <v>1.0</v>
      </c>
      <c r="H101" s="331">
        <v>0.0</v>
      </c>
      <c r="I101" s="331">
        <v>0.0</v>
      </c>
      <c r="J101" s="331">
        <v>1.0</v>
      </c>
      <c r="K101" s="331">
        <v>0.0</v>
      </c>
      <c r="L101" s="331">
        <v>1.0</v>
      </c>
      <c r="M101" s="331">
        <v>0.0</v>
      </c>
      <c r="N101" s="331">
        <v>0.0</v>
      </c>
      <c r="O101" s="331">
        <v>1.0</v>
      </c>
      <c r="P101" s="331">
        <v>2.0</v>
      </c>
      <c r="Q101" s="332">
        <v>0.0</v>
      </c>
      <c r="R101" s="331">
        <v>0.0</v>
      </c>
      <c r="S101" s="332">
        <v>1.0</v>
      </c>
      <c r="T101" s="332">
        <v>0.0</v>
      </c>
      <c r="U101" s="331">
        <v>1.0</v>
      </c>
      <c r="V101" s="331">
        <v>1.0</v>
      </c>
      <c r="W101" s="331">
        <v>1.0</v>
      </c>
      <c r="X101" s="331">
        <v>0.0</v>
      </c>
      <c r="Y101" s="331">
        <v>0.0</v>
      </c>
      <c r="Z101" s="331">
        <v>0.0</v>
      </c>
      <c r="AA101" s="331">
        <v>0.0</v>
      </c>
      <c r="AB101" s="331">
        <v>0.0</v>
      </c>
      <c r="AC101" s="331">
        <v>1.0</v>
      </c>
      <c r="AD101" s="331">
        <v>0.0</v>
      </c>
      <c r="AE101" s="331">
        <v>0.0</v>
      </c>
      <c r="AF101" s="155">
        <f t="shared" si="38"/>
        <v>15</v>
      </c>
    </row>
    <row r="102">
      <c r="A102" s="78" t="s">
        <v>318</v>
      </c>
      <c r="B102" s="331">
        <v>0.0</v>
      </c>
      <c r="C102" s="331">
        <v>0.0</v>
      </c>
      <c r="D102" s="331">
        <v>0.0</v>
      </c>
      <c r="E102" s="331">
        <v>0.0</v>
      </c>
      <c r="F102" s="331">
        <v>0.0</v>
      </c>
      <c r="G102" s="331">
        <v>0.0</v>
      </c>
      <c r="H102" s="331">
        <v>0.0</v>
      </c>
      <c r="I102" s="331">
        <v>0.0</v>
      </c>
      <c r="J102" s="331">
        <v>0.0</v>
      </c>
      <c r="K102" s="331">
        <v>0.0</v>
      </c>
      <c r="L102" s="331">
        <v>0.0</v>
      </c>
      <c r="M102" s="331">
        <v>0.0</v>
      </c>
      <c r="N102" s="331">
        <v>0.0</v>
      </c>
      <c r="O102" s="331">
        <v>0.0</v>
      </c>
      <c r="P102" s="331">
        <v>0.0</v>
      </c>
      <c r="Q102" s="331">
        <v>0.0</v>
      </c>
      <c r="R102" s="331">
        <v>0.0</v>
      </c>
      <c r="S102" s="331">
        <v>32.0</v>
      </c>
      <c r="T102" s="331">
        <v>11.0</v>
      </c>
      <c r="U102" s="331">
        <v>9.0</v>
      </c>
      <c r="V102" s="331">
        <v>3.0</v>
      </c>
      <c r="W102" s="331">
        <v>2.0</v>
      </c>
      <c r="X102" s="331">
        <v>6.0</v>
      </c>
      <c r="Y102" s="331">
        <v>2.0</v>
      </c>
      <c r="Z102" s="331">
        <v>6.0</v>
      </c>
      <c r="AA102" s="331">
        <v>3.0</v>
      </c>
      <c r="AB102" s="331">
        <v>4.0</v>
      </c>
      <c r="AC102" s="331">
        <v>2.0</v>
      </c>
      <c r="AD102" s="331">
        <v>4.0</v>
      </c>
      <c r="AE102" s="331">
        <v>1.0</v>
      </c>
      <c r="AF102" s="155">
        <f t="shared" si="38"/>
        <v>85</v>
      </c>
    </row>
    <row r="103">
      <c r="A103" s="78" t="s">
        <v>320</v>
      </c>
      <c r="B103" s="331">
        <v>0.0</v>
      </c>
      <c r="C103" s="331">
        <v>0.0</v>
      </c>
      <c r="D103" s="331">
        <v>0.0</v>
      </c>
      <c r="E103" s="331">
        <v>0.0</v>
      </c>
      <c r="F103" s="331">
        <v>0.0</v>
      </c>
      <c r="G103" s="331">
        <v>0.0</v>
      </c>
      <c r="H103" s="331">
        <v>0.0</v>
      </c>
      <c r="I103" s="331">
        <v>0.0</v>
      </c>
      <c r="J103" s="331">
        <v>0.0</v>
      </c>
      <c r="K103" s="331">
        <v>0.0</v>
      </c>
      <c r="L103" s="331">
        <v>0.0</v>
      </c>
      <c r="M103" s="331">
        <v>0.0</v>
      </c>
      <c r="N103" s="331">
        <v>0.0</v>
      </c>
      <c r="O103" s="331">
        <v>0.0</v>
      </c>
      <c r="P103" s="331">
        <v>0.0</v>
      </c>
      <c r="Q103" s="331">
        <v>0.0</v>
      </c>
      <c r="R103" s="331">
        <v>0.0</v>
      </c>
      <c r="S103" s="332">
        <v>11.0</v>
      </c>
      <c r="T103" s="332">
        <v>4.0</v>
      </c>
      <c r="U103" s="331">
        <v>4.0</v>
      </c>
      <c r="V103" s="331">
        <v>1.0</v>
      </c>
      <c r="W103" s="331">
        <v>0.0</v>
      </c>
      <c r="X103" s="331">
        <v>1.0</v>
      </c>
      <c r="Y103" s="331">
        <v>4.0</v>
      </c>
      <c r="Z103" s="331">
        <v>3.0</v>
      </c>
      <c r="AA103" s="331">
        <v>1.0</v>
      </c>
      <c r="AB103" s="331">
        <v>3.0</v>
      </c>
      <c r="AC103" s="331">
        <v>1.0</v>
      </c>
      <c r="AD103" s="331">
        <v>2.0</v>
      </c>
      <c r="AE103" s="331">
        <v>3.0</v>
      </c>
      <c r="AF103" s="155">
        <f t="shared" si="38"/>
        <v>38</v>
      </c>
    </row>
    <row r="104">
      <c r="A104" s="91" t="s">
        <v>159</v>
      </c>
      <c r="B104" s="275">
        <f t="shared" ref="B104:AE104" si="39">SUM(B96:B103)</f>
        <v>3</v>
      </c>
      <c r="C104" s="275">
        <f t="shared" si="39"/>
        <v>7</v>
      </c>
      <c r="D104" s="275">
        <f t="shared" si="39"/>
        <v>12</v>
      </c>
      <c r="E104" s="275">
        <f t="shared" si="39"/>
        <v>9</v>
      </c>
      <c r="F104" s="275">
        <f t="shared" si="39"/>
        <v>9</v>
      </c>
      <c r="G104" s="275">
        <f t="shared" si="39"/>
        <v>4</v>
      </c>
      <c r="H104" s="275">
        <f t="shared" si="39"/>
        <v>2</v>
      </c>
      <c r="I104" s="275">
        <f t="shared" si="39"/>
        <v>0</v>
      </c>
      <c r="J104" s="275">
        <f t="shared" si="39"/>
        <v>4</v>
      </c>
      <c r="K104" s="275">
        <f t="shared" si="39"/>
        <v>3</v>
      </c>
      <c r="L104" s="275">
        <f t="shared" si="39"/>
        <v>5</v>
      </c>
      <c r="M104" s="275">
        <f t="shared" si="39"/>
        <v>6</v>
      </c>
      <c r="N104" s="275">
        <f t="shared" si="39"/>
        <v>0</v>
      </c>
      <c r="O104" s="275">
        <f t="shared" si="39"/>
        <v>1</v>
      </c>
      <c r="P104" s="275">
        <f t="shared" si="39"/>
        <v>13</v>
      </c>
      <c r="Q104" s="275">
        <f t="shared" si="39"/>
        <v>3</v>
      </c>
      <c r="R104" s="275">
        <f t="shared" si="39"/>
        <v>4</v>
      </c>
      <c r="S104" s="275">
        <f t="shared" si="39"/>
        <v>54</v>
      </c>
      <c r="T104" s="275">
        <f t="shared" si="39"/>
        <v>21</v>
      </c>
      <c r="U104" s="275">
        <f t="shared" si="39"/>
        <v>20</v>
      </c>
      <c r="V104" s="275">
        <f t="shared" si="39"/>
        <v>15</v>
      </c>
      <c r="W104" s="275">
        <f t="shared" si="39"/>
        <v>4</v>
      </c>
      <c r="X104" s="275">
        <f t="shared" si="39"/>
        <v>12</v>
      </c>
      <c r="Y104" s="275">
        <f t="shared" si="39"/>
        <v>12</v>
      </c>
      <c r="Z104" s="275">
        <f t="shared" si="39"/>
        <v>17</v>
      </c>
      <c r="AA104" s="275">
        <f t="shared" si="39"/>
        <v>14</v>
      </c>
      <c r="AB104" s="275">
        <f t="shared" si="39"/>
        <v>20</v>
      </c>
      <c r="AC104" s="275">
        <f t="shared" si="39"/>
        <v>7</v>
      </c>
      <c r="AD104" s="275">
        <f t="shared" si="39"/>
        <v>10</v>
      </c>
      <c r="AE104" s="275">
        <f t="shared" si="39"/>
        <v>5</v>
      </c>
      <c r="AF104" s="155">
        <f t="shared" si="38"/>
        <v>296</v>
      </c>
    </row>
    <row r="105">
      <c r="A105" s="24"/>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258"/>
    </row>
    <row r="106">
      <c r="A106" s="73" t="s">
        <v>325</v>
      </c>
      <c r="B106" s="130"/>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258"/>
    </row>
    <row r="107">
      <c r="A107" s="78" t="s">
        <v>326</v>
      </c>
      <c r="B107" s="286">
        <f t="shared" ref="B107:AE107" si="40">B53-(B200+B205+B246+B296+B305)</f>
        <v>12</v>
      </c>
      <c r="C107" s="286">
        <f t="shared" si="40"/>
        <v>25</v>
      </c>
      <c r="D107" s="286">
        <f t="shared" si="40"/>
        <v>27</v>
      </c>
      <c r="E107" s="286">
        <f t="shared" si="40"/>
        <v>43</v>
      </c>
      <c r="F107" s="286">
        <f t="shared" si="40"/>
        <v>33</v>
      </c>
      <c r="G107" s="286">
        <f t="shared" si="40"/>
        <v>23</v>
      </c>
      <c r="H107" s="286">
        <f t="shared" si="40"/>
        <v>19</v>
      </c>
      <c r="I107" s="286">
        <f t="shared" si="40"/>
        <v>12</v>
      </c>
      <c r="J107" s="286">
        <f t="shared" si="40"/>
        <v>13</v>
      </c>
      <c r="K107" s="286">
        <f t="shared" si="40"/>
        <v>13</v>
      </c>
      <c r="L107" s="286">
        <f t="shared" si="40"/>
        <v>7</v>
      </c>
      <c r="M107" s="286">
        <f t="shared" si="40"/>
        <v>3</v>
      </c>
      <c r="N107" s="286">
        <f t="shared" si="40"/>
        <v>13</v>
      </c>
      <c r="O107" s="415">
        <f t="shared" si="40"/>
        <v>10</v>
      </c>
      <c r="P107" s="286">
        <f t="shared" si="40"/>
        <v>15</v>
      </c>
      <c r="Q107" s="286">
        <f t="shared" si="40"/>
        <v>15</v>
      </c>
      <c r="R107" s="286">
        <f t="shared" si="40"/>
        <v>20</v>
      </c>
      <c r="S107" s="286">
        <f t="shared" si="40"/>
        <v>26</v>
      </c>
      <c r="T107" s="286">
        <f t="shared" si="40"/>
        <v>16</v>
      </c>
      <c r="U107" s="286">
        <f t="shared" si="40"/>
        <v>13</v>
      </c>
      <c r="V107" s="286">
        <f t="shared" si="40"/>
        <v>17</v>
      </c>
      <c r="W107" s="286">
        <f t="shared" si="40"/>
        <v>12</v>
      </c>
      <c r="X107" s="286">
        <f t="shared" si="40"/>
        <v>9</v>
      </c>
      <c r="Y107" s="286">
        <f t="shared" si="40"/>
        <v>11</v>
      </c>
      <c r="Z107" s="415">
        <f t="shared" si="40"/>
        <v>8</v>
      </c>
      <c r="AA107" s="286">
        <f t="shared" si="40"/>
        <v>9</v>
      </c>
      <c r="AB107" s="286">
        <f t="shared" si="40"/>
        <v>14</v>
      </c>
      <c r="AC107" s="415">
        <f t="shared" si="40"/>
        <v>19</v>
      </c>
      <c r="AD107" s="415">
        <f t="shared" si="40"/>
        <v>13</v>
      </c>
      <c r="AE107" s="415">
        <f t="shared" si="40"/>
        <v>13</v>
      </c>
      <c r="AF107" s="155">
        <f t="shared" ref="AF107:AF111" si="42">sum(B107:AE107)</f>
        <v>483</v>
      </c>
    </row>
    <row r="108">
      <c r="A108" s="78" t="s">
        <v>332</v>
      </c>
      <c r="B108" s="286">
        <f t="shared" ref="B108:AE108" si="41">B54-(B201+B206+B247+B297+B306)</f>
        <v>-2</v>
      </c>
      <c r="C108" s="286">
        <f t="shared" si="41"/>
        <v>2</v>
      </c>
      <c r="D108" s="286">
        <f t="shared" si="41"/>
        <v>4</v>
      </c>
      <c r="E108" s="286">
        <f t="shared" si="41"/>
        <v>11</v>
      </c>
      <c r="F108" s="286">
        <f t="shared" si="41"/>
        <v>9</v>
      </c>
      <c r="G108" s="286">
        <f t="shared" si="41"/>
        <v>9</v>
      </c>
      <c r="H108" s="286">
        <f t="shared" si="41"/>
        <v>0</v>
      </c>
      <c r="I108" s="286">
        <f t="shared" si="41"/>
        <v>1</v>
      </c>
      <c r="J108" s="286">
        <f t="shared" si="41"/>
        <v>2</v>
      </c>
      <c r="K108" s="286">
        <f t="shared" si="41"/>
        <v>4</v>
      </c>
      <c r="L108" s="286">
        <f t="shared" si="41"/>
        <v>-3</v>
      </c>
      <c r="M108" s="286">
        <f t="shared" si="41"/>
        <v>0</v>
      </c>
      <c r="N108" s="286">
        <f t="shared" si="41"/>
        <v>1</v>
      </c>
      <c r="O108" s="415">
        <f t="shared" si="41"/>
        <v>5</v>
      </c>
      <c r="P108" s="286">
        <f t="shared" si="41"/>
        <v>4</v>
      </c>
      <c r="Q108" s="286">
        <f t="shared" si="41"/>
        <v>1</v>
      </c>
      <c r="R108" s="286">
        <f t="shared" si="41"/>
        <v>3</v>
      </c>
      <c r="S108" s="286">
        <f t="shared" si="41"/>
        <v>6</v>
      </c>
      <c r="T108" s="286">
        <f t="shared" si="41"/>
        <v>6</v>
      </c>
      <c r="U108" s="286">
        <f t="shared" si="41"/>
        <v>6</v>
      </c>
      <c r="V108" s="286">
        <f t="shared" si="41"/>
        <v>2</v>
      </c>
      <c r="W108" s="286">
        <f t="shared" si="41"/>
        <v>1</v>
      </c>
      <c r="X108" s="286">
        <f t="shared" si="41"/>
        <v>1</v>
      </c>
      <c r="Y108" s="286">
        <f t="shared" si="41"/>
        <v>9</v>
      </c>
      <c r="Z108" s="415">
        <f t="shared" si="41"/>
        <v>8</v>
      </c>
      <c r="AA108" s="286">
        <f t="shared" si="41"/>
        <v>4</v>
      </c>
      <c r="AB108" s="286">
        <f t="shared" si="41"/>
        <v>5</v>
      </c>
      <c r="AC108" s="415">
        <f t="shared" si="41"/>
        <v>5</v>
      </c>
      <c r="AD108" s="415">
        <f t="shared" si="41"/>
        <v>4</v>
      </c>
      <c r="AE108" s="415">
        <f t="shared" si="41"/>
        <v>4</v>
      </c>
      <c r="AF108" s="155">
        <f t="shared" si="42"/>
        <v>112</v>
      </c>
    </row>
    <row r="109">
      <c r="A109" s="78" t="s">
        <v>339</v>
      </c>
      <c r="B109" s="286">
        <f t="shared" ref="B109:AE109" si="43">B55-(B202+B207+B248+B298+B307)</f>
        <v>38</v>
      </c>
      <c r="C109" s="286">
        <f t="shared" si="43"/>
        <v>60</v>
      </c>
      <c r="D109" s="286">
        <f t="shared" si="43"/>
        <v>66</v>
      </c>
      <c r="E109" s="286">
        <f t="shared" si="43"/>
        <v>80</v>
      </c>
      <c r="F109" s="286">
        <f t="shared" si="43"/>
        <v>80</v>
      </c>
      <c r="G109" s="286">
        <f t="shared" si="43"/>
        <v>48</v>
      </c>
      <c r="H109" s="286">
        <f t="shared" si="43"/>
        <v>42</v>
      </c>
      <c r="I109" s="286">
        <f t="shared" si="43"/>
        <v>31</v>
      </c>
      <c r="J109" s="286">
        <f t="shared" si="43"/>
        <v>38</v>
      </c>
      <c r="K109" s="286">
        <f t="shared" si="43"/>
        <v>44</v>
      </c>
      <c r="L109" s="286">
        <f t="shared" si="43"/>
        <v>26</v>
      </c>
      <c r="M109" s="286">
        <f t="shared" si="43"/>
        <v>11</v>
      </c>
      <c r="N109" s="286">
        <f t="shared" si="43"/>
        <v>26</v>
      </c>
      <c r="O109" s="415">
        <f t="shared" si="43"/>
        <v>28</v>
      </c>
      <c r="P109" s="286">
        <f t="shared" si="43"/>
        <v>42</v>
      </c>
      <c r="Q109" s="286">
        <f t="shared" si="43"/>
        <v>45</v>
      </c>
      <c r="R109" s="286">
        <f t="shared" si="43"/>
        <v>44</v>
      </c>
      <c r="S109" s="286">
        <f t="shared" si="43"/>
        <v>40</v>
      </c>
      <c r="T109" s="286">
        <f t="shared" si="43"/>
        <v>30</v>
      </c>
      <c r="U109" s="286">
        <f t="shared" si="43"/>
        <v>34</v>
      </c>
      <c r="V109" s="286">
        <f t="shared" si="43"/>
        <v>31</v>
      </c>
      <c r="W109" s="286">
        <f t="shared" si="43"/>
        <v>18</v>
      </c>
      <c r="X109" s="286">
        <f t="shared" si="43"/>
        <v>31</v>
      </c>
      <c r="Y109" s="286">
        <f t="shared" si="43"/>
        <v>31</v>
      </c>
      <c r="Z109" s="286">
        <f t="shared" si="43"/>
        <v>31</v>
      </c>
      <c r="AA109" s="286">
        <f t="shared" si="43"/>
        <v>15</v>
      </c>
      <c r="AB109" s="286">
        <f t="shared" si="43"/>
        <v>34</v>
      </c>
      <c r="AC109" s="286">
        <f t="shared" si="43"/>
        <v>22</v>
      </c>
      <c r="AD109" s="286">
        <f t="shared" si="43"/>
        <v>30</v>
      </c>
      <c r="AE109" s="286">
        <f t="shared" si="43"/>
        <v>43</v>
      </c>
      <c r="AF109" s="155">
        <f t="shared" si="42"/>
        <v>1139</v>
      </c>
    </row>
    <row r="110">
      <c r="A110" s="78" t="s">
        <v>341</v>
      </c>
      <c r="B110" s="286">
        <f t="shared" ref="B110:AE110" si="44">B56-(B203+B208+B249+B299+B308)</f>
        <v>2</v>
      </c>
      <c r="C110" s="286">
        <f t="shared" si="44"/>
        <v>8</v>
      </c>
      <c r="D110" s="286">
        <f t="shared" si="44"/>
        <v>16</v>
      </c>
      <c r="E110" s="286">
        <f t="shared" si="44"/>
        <v>16</v>
      </c>
      <c r="F110" s="286">
        <f t="shared" si="44"/>
        <v>12</v>
      </c>
      <c r="G110" s="286">
        <f t="shared" si="44"/>
        <v>12</v>
      </c>
      <c r="H110" s="286">
        <f t="shared" si="44"/>
        <v>2</v>
      </c>
      <c r="I110" s="286">
        <f t="shared" si="44"/>
        <v>5</v>
      </c>
      <c r="J110" s="286">
        <f t="shared" si="44"/>
        <v>4</v>
      </c>
      <c r="K110" s="286">
        <f t="shared" si="44"/>
        <v>12</v>
      </c>
      <c r="L110" s="286">
        <f t="shared" si="44"/>
        <v>3</v>
      </c>
      <c r="M110" s="415">
        <f t="shared" si="44"/>
        <v>-1</v>
      </c>
      <c r="N110" s="286">
        <f t="shared" si="44"/>
        <v>4</v>
      </c>
      <c r="O110" s="415">
        <f t="shared" si="44"/>
        <v>8</v>
      </c>
      <c r="P110" s="286">
        <f t="shared" si="44"/>
        <v>11</v>
      </c>
      <c r="Q110" s="286">
        <f t="shared" si="44"/>
        <v>5</v>
      </c>
      <c r="R110" s="286">
        <f t="shared" si="44"/>
        <v>7</v>
      </c>
      <c r="S110" s="286">
        <f t="shared" si="44"/>
        <v>10</v>
      </c>
      <c r="T110" s="286">
        <f t="shared" si="44"/>
        <v>17</v>
      </c>
      <c r="U110" s="286">
        <f t="shared" si="44"/>
        <v>4</v>
      </c>
      <c r="V110" s="286">
        <f t="shared" si="44"/>
        <v>7</v>
      </c>
      <c r="W110" s="286">
        <f t="shared" si="44"/>
        <v>13</v>
      </c>
      <c r="X110" s="286">
        <f t="shared" si="44"/>
        <v>16</v>
      </c>
      <c r="Y110" s="286">
        <f t="shared" si="44"/>
        <v>18</v>
      </c>
      <c r="Z110" s="286">
        <f t="shared" si="44"/>
        <v>24</v>
      </c>
      <c r="AA110" s="286">
        <f t="shared" si="44"/>
        <v>18</v>
      </c>
      <c r="AB110" s="286">
        <f t="shared" si="44"/>
        <v>30</v>
      </c>
      <c r="AC110" s="286">
        <f t="shared" si="44"/>
        <v>19</v>
      </c>
      <c r="AD110" s="286">
        <f t="shared" si="44"/>
        <v>21</v>
      </c>
      <c r="AE110" s="286">
        <f t="shared" si="44"/>
        <v>15</v>
      </c>
      <c r="AF110" s="155">
        <f t="shared" si="42"/>
        <v>338</v>
      </c>
    </row>
    <row r="111">
      <c r="A111" s="91" t="s">
        <v>145</v>
      </c>
      <c r="B111" s="275">
        <f t="shared" ref="B111:AE111" si="45">SUM(B107:B110)</f>
        <v>50</v>
      </c>
      <c r="C111" s="275">
        <f t="shared" si="45"/>
        <v>95</v>
      </c>
      <c r="D111" s="275">
        <f t="shared" si="45"/>
        <v>113</v>
      </c>
      <c r="E111" s="275">
        <f t="shared" si="45"/>
        <v>150</v>
      </c>
      <c r="F111" s="275">
        <f t="shared" si="45"/>
        <v>134</v>
      </c>
      <c r="G111" s="275">
        <f t="shared" si="45"/>
        <v>92</v>
      </c>
      <c r="H111" s="275">
        <f t="shared" si="45"/>
        <v>63</v>
      </c>
      <c r="I111" s="275">
        <f t="shared" si="45"/>
        <v>49</v>
      </c>
      <c r="J111" s="275">
        <f t="shared" si="45"/>
        <v>57</v>
      </c>
      <c r="K111" s="275">
        <f t="shared" si="45"/>
        <v>73</v>
      </c>
      <c r="L111" s="275">
        <f t="shared" si="45"/>
        <v>33</v>
      </c>
      <c r="M111" s="275">
        <f t="shared" si="45"/>
        <v>13</v>
      </c>
      <c r="N111" s="275">
        <f t="shared" si="45"/>
        <v>44</v>
      </c>
      <c r="O111" s="275">
        <f t="shared" si="45"/>
        <v>51</v>
      </c>
      <c r="P111" s="275">
        <f t="shared" si="45"/>
        <v>72</v>
      </c>
      <c r="Q111" s="275">
        <f t="shared" si="45"/>
        <v>66</v>
      </c>
      <c r="R111" s="275">
        <f t="shared" si="45"/>
        <v>74</v>
      </c>
      <c r="S111" s="275">
        <f t="shared" si="45"/>
        <v>82</v>
      </c>
      <c r="T111" s="275">
        <f t="shared" si="45"/>
        <v>69</v>
      </c>
      <c r="U111" s="275">
        <f t="shared" si="45"/>
        <v>57</v>
      </c>
      <c r="V111" s="275">
        <f t="shared" si="45"/>
        <v>57</v>
      </c>
      <c r="W111" s="275">
        <f t="shared" si="45"/>
        <v>44</v>
      </c>
      <c r="X111" s="275">
        <f t="shared" si="45"/>
        <v>57</v>
      </c>
      <c r="Y111" s="275">
        <f t="shared" si="45"/>
        <v>69</v>
      </c>
      <c r="Z111" s="275">
        <f t="shared" si="45"/>
        <v>71</v>
      </c>
      <c r="AA111" s="275">
        <f t="shared" si="45"/>
        <v>46</v>
      </c>
      <c r="AB111" s="275">
        <f t="shared" si="45"/>
        <v>83</v>
      </c>
      <c r="AC111" s="275">
        <f t="shared" si="45"/>
        <v>65</v>
      </c>
      <c r="AD111" s="275">
        <f t="shared" si="45"/>
        <v>68</v>
      </c>
      <c r="AE111" s="275">
        <f t="shared" si="45"/>
        <v>75</v>
      </c>
      <c r="AF111" s="155">
        <f t="shared" si="42"/>
        <v>2072</v>
      </c>
    </row>
    <row r="112">
      <c r="A112" s="24"/>
      <c r="B112" s="130"/>
      <c r="C112" s="130"/>
      <c r="D112" s="130"/>
      <c r="E112" s="130"/>
      <c r="F112" s="130"/>
      <c r="G112" s="130"/>
      <c r="H112" s="130"/>
      <c r="I112" s="130"/>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258"/>
    </row>
    <row r="113">
      <c r="A113" s="78" t="s">
        <v>147</v>
      </c>
      <c r="B113" s="286">
        <f t="shared" ref="B113:AE113" si="46">B59-(B213+B224+B259+B317+B328)</f>
        <v>19</v>
      </c>
      <c r="C113" s="286">
        <f t="shared" si="46"/>
        <v>33</v>
      </c>
      <c r="D113" s="286">
        <f t="shared" si="46"/>
        <v>47</v>
      </c>
      <c r="E113" s="286">
        <f t="shared" si="46"/>
        <v>41</v>
      </c>
      <c r="F113" s="286">
        <f t="shared" si="46"/>
        <v>34</v>
      </c>
      <c r="G113" s="286">
        <f t="shared" si="46"/>
        <v>27</v>
      </c>
      <c r="H113" s="286">
        <f t="shared" si="46"/>
        <v>24</v>
      </c>
      <c r="I113" s="286">
        <f t="shared" si="46"/>
        <v>12</v>
      </c>
      <c r="J113" s="286">
        <f t="shared" si="46"/>
        <v>16</v>
      </c>
      <c r="K113" s="286">
        <f t="shared" si="46"/>
        <v>27</v>
      </c>
      <c r="L113" s="286">
        <f t="shared" si="46"/>
        <v>15</v>
      </c>
      <c r="M113" s="286">
        <f t="shared" si="46"/>
        <v>2</v>
      </c>
      <c r="N113" s="286">
        <f t="shared" si="46"/>
        <v>12</v>
      </c>
      <c r="O113" s="286">
        <f t="shared" si="46"/>
        <v>13</v>
      </c>
      <c r="P113" s="286">
        <f t="shared" si="46"/>
        <v>22</v>
      </c>
      <c r="Q113" s="286">
        <f t="shared" si="46"/>
        <v>27</v>
      </c>
      <c r="R113" s="286">
        <f t="shared" si="46"/>
        <v>22</v>
      </c>
      <c r="S113" s="286">
        <f t="shared" si="46"/>
        <v>38</v>
      </c>
      <c r="T113" s="286">
        <f t="shared" si="46"/>
        <v>37</v>
      </c>
      <c r="U113" s="286">
        <f t="shared" si="46"/>
        <v>23</v>
      </c>
      <c r="V113" s="286">
        <f t="shared" si="46"/>
        <v>18</v>
      </c>
      <c r="W113" s="286">
        <f t="shared" si="46"/>
        <v>15</v>
      </c>
      <c r="X113" s="286">
        <f t="shared" si="46"/>
        <v>20</v>
      </c>
      <c r="Y113" s="286">
        <f t="shared" si="46"/>
        <v>31</v>
      </c>
      <c r="Z113" s="286">
        <f t="shared" si="46"/>
        <v>27</v>
      </c>
      <c r="AA113" s="286">
        <f t="shared" si="46"/>
        <v>16</v>
      </c>
      <c r="AB113" s="286">
        <f t="shared" si="46"/>
        <v>30</v>
      </c>
      <c r="AC113" s="286">
        <f t="shared" si="46"/>
        <v>28</v>
      </c>
      <c r="AD113" s="286">
        <f t="shared" si="46"/>
        <v>19</v>
      </c>
      <c r="AE113" s="286">
        <f t="shared" si="46"/>
        <v>16</v>
      </c>
      <c r="AF113" s="155">
        <f t="shared" ref="AF113:AF121" si="48">sum(B113:AE113)</f>
        <v>711</v>
      </c>
    </row>
    <row r="114">
      <c r="A114" s="78" t="s">
        <v>150</v>
      </c>
      <c r="B114" s="286">
        <f t="shared" ref="B114:AE114" si="47">B60-(B214+B225+B260+B318+B329)</f>
        <v>10</v>
      </c>
      <c r="C114" s="286">
        <f t="shared" si="47"/>
        <v>22</v>
      </c>
      <c r="D114" s="286">
        <f t="shared" si="47"/>
        <v>29</v>
      </c>
      <c r="E114" s="286">
        <f t="shared" si="47"/>
        <v>26</v>
      </c>
      <c r="F114" s="286">
        <f t="shared" si="47"/>
        <v>24</v>
      </c>
      <c r="G114" s="286">
        <f t="shared" si="47"/>
        <v>18</v>
      </c>
      <c r="H114" s="286">
        <f t="shared" si="47"/>
        <v>17</v>
      </c>
      <c r="I114" s="286">
        <f t="shared" si="47"/>
        <v>9</v>
      </c>
      <c r="J114" s="286">
        <f t="shared" si="47"/>
        <v>8</v>
      </c>
      <c r="K114" s="286">
        <f t="shared" si="47"/>
        <v>22</v>
      </c>
      <c r="L114" s="286">
        <f t="shared" si="47"/>
        <v>14</v>
      </c>
      <c r="M114" s="286">
        <f t="shared" si="47"/>
        <v>-4</v>
      </c>
      <c r="N114" s="286">
        <f t="shared" si="47"/>
        <v>8</v>
      </c>
      <c r="O114" s="286">
        <f t="shared" si="47"/>
        <v>15</v>
      </c>
      <c r="P114" s="286">
        <f t="shared" si="47"/>
        <v>9</v>
      </c>
      <c r="Q114" s="286">
        <f t="shared" si="47"/>
        <v>18</v>
      </c>
      <c r="R114" s="286">
        <f t="shared" si="47"/>
        <v>13</v>
      </c>
      <c r="S114" s="286">
        <f t="shared" si="47"/>
        <v>28</v>
      </c>
      <c r="T114" s="286">
        <f t="shared" si="47"/>
        <v>33</v>
      </c>
      <c r="U114" s="286">
        <f t="shared" si="47"/>
        <v>15</v>
      </c>
      <c r="V114" s="286">
        <f t="shared" si="47"/>
        <v>12</v>
      </c>
      <c r="W114" s="286">
        <f t="shared" si="47"/>
        <v>11</v>
      </c>
      <c r="X114" s="286">
        <f t="shared" si="47"/>
        <v>16</v>
      </c>
      <c r="Y114" s="286">
        <f t="shared" si="47"/>
        <v>21</v>
      </c>
      <c r="Z114" s="286">
        <f t="shared" si="47"/>
        <v>22</v>
      </c>
      <c r="AA114" s="286">
        <f t="shared" si="47"/>
        <v>19</v>
      </c>
      <c r="AB114" s="286">
        <f t="shared" si="47"/>
        <v>19</v>
      </c>
      <c r="AC114" s="286">
        <f t="shared" si="47"/>
        <v>22</v>
      </c>
      <c r="AD114" s="286">
        <f t="shared" si="47"/>
        <v>13</v>
      </c>
      <c r="AE114" s="286">
        <f t="shared" si="47"/>
        <v>19</v>
      </c>
      <c r="AF114" s="155">
        <f t="shared" si="48"/>
        <v>508</v>
      </c>
    </row>
    <row r="115">
      <c r="A115" s="78" t="s">
        <v>352</v>
      </c>
      <c r="B115" s="286">
        <f t="shared" ref="B115:L115" si="49">B61-(B215+B226+B261+B319+B330)</f>
        <v>7</v>
      </c>
      <c r="C115" s="286">
        <f t="shared" si="49"/>
        <v>19</v>
      </c>
      <c r="D115" s="286">
        <f t="shared" si="49"/>
        <v>28</v>
      </c>
      <c r="E115" s="286">
        <f t="shared" si="49"/>
        <v>24</v>
      </c>
      <c r="F115" s="286">
        <f t="shared" si="49"/>
        <v>22</v>
      </c>
      <c r="G115" s="286">
        <f t="shared" si="49"/>
        <v>14</v>
      </c>
      <c r="H115" s="286">
        <f t="shared" si="49"/>
        <v>16</v>
      </c>
      <c r="I115" s="286">
        <f t="shared" si="49"/>
        <v>10</v>
      </c>
      <c r="J115" s="286">
        <f t="shared" si="49"/>
        <v>9</v>
      </c>
      <c r="K115" s="286">
        <f t="shared" si="49"/>
        <v>13</v>
      </c>
      <c r="L115" s="286">
        <f t="shared" si="49"/>
        <v>13</v>
      </c>
      <c r="M115" s="286">
        <f t="shared" ref="M115:M116" si="52">M61-(M215+M226+M263+M319+M330)</f>
        <v>10</v>
      </c>
      <c r="N115" s="286">
        <f t="shared" ref="N115:AE115" si="50">N61-(N215+N226+N261+N319+N330)</f>
        <v>6</v>
      </c>
      <c r="O115" s="286">
        <f t="shared" si="50"/>
        <v>5</v>
      </c>
      <c r="P115" s="286">
        <f t="shared" si="50"/>
        <v>6</v>
      </c>
      <c r="Q115" s="286">
        <f t="shared" si="50"/>
        <v>12</v>
      </c>
      <c r="R115" s="286">
        <f t="shared" si="50"/>
        <v>5</v>
      </c>
      <c r="S115" s="286">
        <f t="shared" si="50"/>
        <v>82</v>
      </c>
      <c r="T115" s="286">
        <f t="shared" si="50"/>
        <v>36</v>
      </c>
      <c r="U115" s="286">
        <f t="shared" si="50"/>
        <v>17</v>
      </c>
      <c r="V115" s="286">
        <f t="shared" si="50"/>
        <v>21</v>
      </c>
      <c r="W115" s="286">
        <f t="shared" si="50"/>
        <v>4</v>
      </c>
      <c r="X115" s="286">
        <f t="shared" si="50"/>
        <v>12</v>
      </c>
      <c r="Y115" s="286">
        <f t="shared" si="50"/>
        <v>9</v>
      </c>
      <c r="Z115" s="286">
        <f t="shared" si="50"/>
        <v>9</v>
      </c>
      <c r="AA115" s="286">
        <f t="shared" si="50"/>
        <v>8</v>
      </c>
      <c r="AB115" s="286">
        <f t="shared" si="50"/>
        <v>4</v>
      </c>
      <c r="AC115" s="286">
        <f t="shared" si="50"/>
        <v>7</v>
      </c>
      <c r="AD115" s="286">
        <f t="shared" si="50"/>
        <v>8</v>
      </c>
      <c r="AE115" s="286">
        <f t="shared" si="50"/>
        <v>7</v>
      </c>
      <c r="AF115" s="155">
        <f t="shared" si="48"/>
        <v>443</v>
      </c>
    </row>
    <row r="116">
      <c r="A116" s="78" t="s">
        <v>354</v>
      </c>
      <c r="B116" s="286">
        <f t="shared" ref="B116:L116" si="51">B62-(B216+B227+B262+B320+B331)</f>
        <v>2</v>
      </c>
      <c r="C116" s="286">
        <f t="shared" si="51"/>
        <v>6</v>
      </c>
      <c r="D116" s="286">
        <f t="shared" si="51"/>
        <v>7</v>
      </c>
      <c r="E116" s="286">
        <f t="shared" si="51"/>
        <v>6</v>
      </c>
      <c r="F116" s="286">
        <f t="shared" si="51"/>
        <v>5</v>
      </c>
      <c r="G116" s="286">
        <f t="shared" si="51"/>
        <v>4</v>
      </c>
      <c r="H116" s="286">
        <f t="shared" si="51"/>
        <v>1</v>
      </c>
      <c r="I116" s="286">
        <f t="shared" si="51"/>
        <v>1</v>
      </c>
      <c r="J116" s="286">
        <f t="shared" si="51"/>
        <v>0</v>
      </c>
      <c r="K116" s="286">
        <f t="shared" si="51"/>
        <v>5</v>
      </c>
      <c r="L116" s="286">
        <f t="shared" si="51"/>
        <v>5</v>
      </c>
      <c r="M116" s="286">
        <f t="shared" si="52"/>
        <v>-1</v>
      </c>
      <c r="N116" s="286">
        <f t="shared" ref="N116:AE116" si="53">N62-(N216+N227+N262+N320+N331)</f>
        <v>1</v>
      </c>
      <c r="O116" s="286">
        <f t="shared" si="53"/>
        <v>9</v>
      </c>
      <c r="P116" s="286">
        <f t="shared" si="53"/>
        <v>7</v>
      </c>
      <c r="Q116" s="286">
        <f t="shared" si="53"/>
        <v>2</v>
      </c>
      <c r="R116" s="286">
        <f t="shared" si="53"/>
        <v>3</v>
      </c>
      <c r="S116" s="286">
        <f t="shared" si="53"/>
        <v>37</v>
      </c>
      <c r="T116" s="286">
        <f t="shared" si="53"/>
        <v>23</v>
      </c>
      <c r="U116" s="286">
        <f t="shared" si="53"/>
        <v>2</v>
      </c>
      <c r="V116" s="286">
        <f t="shared" si="53"/>
        <v>11</v>
      </c>
      <c r="W116" s="286">
        <f t="shared" si="53"/>
        <v>10</v>
      </c>
      <c r="X116" s="286">
        <f t="shared" si="53"/>
        <v>6</v>
      </c>
      <c r="Y116" s="286">
        <f t="shared" si="53"/>
        <v>11</v>
      </c>
      <c r="Z116" s="286">
        <f t="shared" si="53"/>
        <v>9</v>
      </c>
      <c r="AA116" s="286">
        <f t="shared" si="53"/>
        <v>6</v>
      </c>
      <c r="AB116" s="286">
        <f t="shared" si="53"/>
        <v>6</v>
      </c>
      <c r="AC116" s="286">
        <f t="shared" si="53"/>
        <v>5</v>
      </c>
      <c r="AD116" s="286">
        <f t="shared" si="53"/>
        <v>11</v>
      </c>
      <c r="AE116" s="286">
        <f t="shared" si="53"/>
        <v>5</v>
      </c>
      <c r="AF116" s="155">
        <f t="shared" si="48"/>
        <v>205</v>
      </c>
    </row>
    <row r="117">
      <c r="A117" s="78" t="s">
        <v>358</v>
      </c>
      <c r="B117" s="286">
        <f t="shared" ref="B117:AE117" si="54">B63-(B217+B228+B263+B321+B332)</f>
        <v>3</v>
      </c>
      <c r="C117" s="286">
        <f t="shared" si="54"/>
        <v>5</v>
      </c>
      <c r="D117" s="286">
        <f t="shared" si="54"/>
        <v>8</v>
      </c>
      <c r="E117" s="286">
        <f t="shared" si="54"/>
        <v>6</v>
      </c>
      <c r="F117" s="286">
        <f t="shared" si="54"/>
        <v>7</v>
      </c>
      <c r="G117" s="286">
        <f t="shared" si="54"/>
        <v>11</v>
      </c>
      <c r="H117" s="286">
        <f t="shared" si="54"/>
        <v>5</v>
      </c>
      <c r="I117" s="286">
        <f t="shared" si="54"/>
        <v>3</v>
      </c>
      <c r="J117" s="286">
        <f t="shared" si="54"/>
        <v>2</v>
      </c>
      <c r="K117" s="286">
        <f t="shared" si="54"/>
        <v>5</v>
      </c>
      <c r="L117" s="286">
        <f t="shared" si="54"/>
        <v>0</v>
      </c>
      <c r="M117" s="286">
        <f t="shared" si="54"/>
        <v>0</v>
      </c>
      <c r="N117" s="286">
        <f t="shared" si="54"/>
        <v>3</v>
      </c>
      <c r="O117" s="286">
        <f t="shared" si="54"/>
        <v>3</v>
      </c>
      <c r="P117" s="286">
        <f t="shared" si="54"/>
        <v>5</v>
      </c>
      <c r="Q117" s="286">
        <f t="shared" si="54"/>
        <v>4</v>
      </c>
      <c r="R117" s="286">
        <f t="shared" si="54"/>
        <v>7</v>
      </c>
      <c r="S117" s="286">
        <f t="shared" si="54"/>
        <v>5</v>
      </c>
      <c r="T117" s="286">
        <f t="shared" si="54"/>
        <v>6</v>
      </c>
      <c r="U117" s="286">
        <f t="shared" si="54"/>
        <v>5</v>
      </c>
      <c r="V117" s="286">
        <f t="shared" si="54"/>
        <v>7</v>
      </c>
      <c r="W117" s="286">
        <f t="shared" si="54"/>
        <v>7</v>
      </c>
      <c r="X117" s="286">
        <f t="shared" si="54"/>
        <v>7</v>
      </c>
      <c r="Y117" s="286">
        <f t="shared" si="54"/>
        <v>5</v>
      </c>
      <c r="Z117" s="286">
        <f t="shared" si="54"/>
        <v>-12</v>
      </c>
      <c r="AA117" s="286">
        <f t="shared" si="54"/>
        <v>-1</v>
      </c>
      <c r="AB117" s="286">
        <f t="shared" si="54"/>
        <v>3</v>
      </c>
      <c r="AC117" s="286">
        <f t="shared" si="54"/>
        <v>3</v>
      </c>
      <c r="AD117" s="286">
        <f t="shared" si="54"/>
        <v>8</v>
      </c>
      <c r="AE117" s="286">
        <f t="shared" si="54"/>
        <v>1</v>
      </c>
      <c r="AF117" s="155">
        <f t="shared" si="48"/>
        <v>121</v>
      </c>
    </row>
    <row r="118">
      <c r="A118" s="78" t="s">
        <v>361</v>
      </c>
      <c r="B118" s="286">
        <f t="shared" ref="B118:AE118" si="55">B64-(B218+B229+B264+B322+B333)</f>
        <v>3</v>
      </c>
      <c r="C118" s="286">
        <f t="shared" si="55"/>
        <v>3</v>
      </c>
      <c r="D118" s="286">
        <f t="shared" si="55"/>
        <v>4</v>
      </c>
      <c r="E118" s="286">
        <f t="shared" si="55"/>
        <v>3</v>
      </c>
      <c r="F118" s="286">
        <f t="shared" si="55"/>
        <v>3</v>
      </c>
      <c r="G118" s="286">
        <f t="shared" si="55"/>
        <v>2</v>
      </c>
      <c r="H118" s="286">
        <f t="shared" si="55"/>
        <v>1</v>
      </c>
      <c r="I118" s="286">
        <f t="shared" si="55"/>
        <v>0</v>
      </c>
      <c r="J118" s="286">
        <f t="shared" si="55"/>
        <v>3</v>
      </c>
      <c r="K118" s="286">
        <f t="shared" si="55"/>
        <v>1</v>
      </c>
      <c r="L118" s="286">
        <f t="shared" si="55"/>
        <v>3</v>
      </c>
      <c r="M118" s="286">
        <f t="shared" si="55"/>
        <v>-2</v>
      </c>
      <c r="N118" s="286">
        <f t="shared" si="55"/>
        <v>0</v>
      </c>
      <c r="O118" s="286">
        <f t="shared" si="55"/>
        <v>0</v>
      </c>
      <c r="P118" s="286">
        <f t="shared" si="55"/>
        <v>1</v>
      </c>
      <c r="Q118" s="286">
        <f t="shared" si="55"/>
        <v>3</v>
      </c>
      <c r="R118" s="286">
        <f t="shared" si="55"/>
        <v>2</v>
      </c>
      <c r="S118" s="286">
        <f t="shared" si="55"/>
        <v>7</v>
      </c>
      <c r="T118" s="286">
        <f t="shared" si="55"/>
        <v>0</v>
      </c>
      <c r="U118" s="286">
        <f t="shared" si="55"/>
        <v>4</v>
      </c>
      <c r="V118" s="286">
        <f t="shared" si="55"/>
        <v>4</v>
      </c>
      <c r="W118" s="286">
        <f t="shared" si="55"/>
        <v>2</v>
      </c>
      <c r="X118" s="286">
        <f t="shared" si="55"/>
        <v>1</v>
      </c>
      <c r="Y118" s="286">
        <f t="shared" si="55"/>
        <v>1</v>
      </c>
      <c r="Z118" s="286">
        <f t="shared" si="55"/>
        <v>-3</v>
      </c>
      <c r="AA118" s="286">
        <f t="shared" si="55"/>
        <v>1</v>
      </c>
      <c r="AB118" s="286">
        <f t="shared" si="55"/>
        <v>-1</v>
      </c>
      <c r="AC118" s="286">
        <f t="shared" si="55"/>
        <v>1</v>
      </c>
      <c r="AD118" s="286">
        <f t="shared" si="55"/>
        <v>0</v>
      </c>
      <c r="AE118" s="286">
        <f t="shared" si="55"/>
        <v>0</v>
      </c>
      <c r="AF118" s="155">
        <f t="shared" si="48"/>
        <v>47</v>
      </c>
    </row>
    <row r="119">
      <c r="A119" s="78" t="s">
        <v>362</v>
      </c>
      <c r="B119" s="286">
        <f t="shared" ref="B119:AE119" si="56">B65-(B219+B230+B265+B323+B334)</f>
        <v>0</v>
      </c>
      <c r="C119" s="286">
        <f t="shared" si="56"/>
        <v>0</v>
      </c>
      <c r="D119" s="286">
        <f t="shared" si="56"/>
        <v>0</v>
      </c>
      <c r="E119" s="286">
        <f t="shared" si="56"/>
        <v>0</v>
      </c>
      <c r="F119" s="286">
        <f t="shared" si="56"/>
        <v>0</v>
      </c>
      <c r="G119" s="286">
        <f t="shared" si="56"/>
        <v>0</v>
      </c>
      <c r="H119" s="286">
        <f t="shared" si="56"/>
        <v>0</v>
      </c>
      <c r="I119" s="286">
        <f t="shared" si="56"/>
        <v>0</v>
      </c>
      <c r="J119" s="286">
        <f t="shared" si="56"/>
        <v>0</v>
      </c>
      <c r="K119" s="286">
        <f t="shared" si="56"/>
        <v>0</v>
      </c>
      <c r="L119" s="286">
        <f t="shared" si="56"/>
        <v>0</v>
      </c>
      <c r="M119" s="286">
        <f t="shared" si="56"/>
        <v>0</v>
      </c>
      <c r="N119" s="286">
        <f t="shared" si="56"/>
        <v>0</v>
      </c>
      <c r="O119" s="286">
        <f t="shared" si="56"/>
        <v>0</v>
      </c>
      <c r="P119" s="286">
        <f t="shared" si="56"/>
        <v>0</v>
      </c>
      <c r="Q119" s="286">
        <f t="shared" si="56"/>
        <v>0</v>
      </c>
      <c r="R119" s="286">
        <f t="shared" si="56"/>
        <v>0</v>
      </c>
      <c r="S119" s="286">
        <f t="shared" si="56"/>
        <v>428</v>
      </c>
      <c r="T119" s="286">
        <f t="shared" si="56"/>
        <v>194</v>
      </c>
      <c r="U119" s="286">
        <f t="shared" si="56"/>
        <v>97</v>
      </c>
      <c r="V119" s="286">
        <f t="shared" si="56"/>
        <v>61</v>
      </c>
      <c r="W119" s="286">
        <f t="shared" si="56"/>
        <v>55</v>
      </c>
      <c r="X119" s="286">
        <f t="shared" si="56"/>
        <v>63</v>
      </c>
      <c r="Y119" s="286">
        <f t="shared" si="56"/>
        <v>54</v>
      </c>
      <c r="Z119" s="286">
        <f t="shared" si="56"/>
        <v>38</v>
      </c>
      <c r="AA119" s="286">
        <f t="shared" si="56"/>
        <v>26</v>
      </c>
      <c r="AB119" s="286">
        <f t="shared" si="56"/>
        <v>34</v>
      </c>
      <c r="AC119" s="286">
        <f t="shared" si="56"/>
        <v>36</v>
      </c>
      <c r="AD119" s="286">
        <f t="shared" si="56"/>
        <v>31</v>
      </c>
      <c r="AE119" s="286">
        <f t="shared" si="56"/>
        <v>26</v>
      </c>
      <c r="AF119" s="155">
        <f t="shared" si="48"/>
        <v>1143</v>
      </c>
    </row>
    <row r="120">
      <c r="A120" s="78" t="s">
        <v>366</v>
      </c>
      <c r="B120" s="286">
        <f t="shared" ref="B120:AE120" si="57">B66-(B220+B231+B266+B324+B335)</f>
        <v>0</v>
      </c>
      <c r="C120" s="286">
        <f t="shared" si="57"/>
        <v>0</v>
      </c>
      <c r="D120" s="286">
        <f t="shared" si="57"/>
        <v>0</v>
      </c>
      <c r="E120" s="286">
        <f t="shared" si="57"/>
        <v>0</v>
      </c>
      <c r="F120" s="286">
        <f t="shared" si="57"/>
        <v>0</v>
      </c>
      <c r="G120" s="286">
        <f t="shared" si="57"/>
        <v>0</v>
      </c>
      <c r="H120" s="286">
        <f t="shared" si="57"/>
        <v>0</v>
      </c>
      <c r="I120" s="286">
        <f t="shared" si="57"/>
        <v>0</v>
      </c>
      <c r="J120" s="286">
        <f t="shared" si="57"/>
        <v>0</v>
      </c>
      <c r="K120" s="286">
        <f t="shared" si="57"/>
        <v>0</v>
      </c>
      <c r="L120" s="286">
        <f t="shared" si="57"/>
        <v>0</v>
      </c>
      <c r="M120" s="286">
        <f t="shared" si="57"/>
        <v>0</v>
      </c>
      <c r="N120" s="286">
        <f t="shared" si="57"/>
        <v>0</v>
      </c>
      <c r="O120" s="286">
        <f t="shared" si="57"/>
        <v>0</v>
      </c>
      <c r="P120" s="286">
        <f t="shared" si="57"/>
        <v>0</v>
      </c>
      <c r="Q120" s="286">
        <f t="shared" si="57"/>
        <v>0</v>
      </c>
      <c r="R120" s="286">
        <f t="shared" si="57"/>
        <v>0</v>
      </c>
      <c r="S120" s="286">
        <f t="shared" si="57"/>
        <v>102</v>
      </c>
      <c r="T120" s="286">
        <f t="shared" si="57"/>
        <v>58</v>
      </c>
      <c r="U120" s="286">
        <f t="shared" si="57"/>
        <v>22</v>
      </c>
      <c r="V120" s="286">
        <f t="shared" si="57"/>
        <v>17</v>
      </c>
      <c r="W120" s="286">
        <f t="shared" si="57"/>
        <v>15</v>
      </c>
      <c r="X120" s="286">
        <f t="shared" si="57"/>
        <v>10</v>
      </c>
      <c r="Y120" s="286">
        <f t="shared" si="57"/>
        <v>19</v>
      </c>
      <c r="Z120" s="286">
        <f t="shared" si="57"/>
        <v>15</v>
      </c>
      <c r="AA120" s="286">
        <f t="shared" si="57"/>
        <v>14</v>
      </c>
      <c r="AB120" s="286">
        <f t="shared" si="57"/>
        <v>14</v>
      </c>
      <c r="AC120" s="286">
        <f t="shared" si="57"/>
        <v>14</v>
      </c>
      <c r="AD120" s="286">
        <f t="shared" si="57"/>
        <v>8</v>
      </c>
      <c r="AE120" s="286">
        <f t="shared" si="57"/>
        <v>12</v>
      </c>
      <c r="AF120" s="155">
        <f t="shared" si="48"/>
        <v>320</v>
      </c>
    </row>
    <row r="121">
      <c r="A121" s="91" t="s">
        <v>159</v>
      </c>
      <c r="B121" s="275">
        <f t="shared" ref="B121:AE121" si="58">SUM(B113:B120)</f>
        <v>44</v>
      </c>
      <c r="C121" s="275">
        <f t="shared" si="58"/>
        <v>88</v>
      </c>
      <c r="D121" s="275">
        <f t="shared" si="58"/>
        <v>123</v>
      </c>
      <c r="E121" s="275">
        <f t="shared" si="58"/>
        <v>106</v>
      </c>
      <c r="F121" s="275">
        <f t="shared" si="58"/>
        <v>95</v>
      </c>
      <c r="G121" s="275">
        <f t="shared" si="58"/>
        <v>76</v>
      </c>
      <c r="H121" s="275">
        <f t="shared" si="58"/>
        <v>64</v>
      </c>
      <c r="I121" s="275">
        <f t="shared" si="58"/>
        <v>35</v>
      </c>
      <c r="J121" s="275">
        <f t="shared" si="58"/>
        <v>38</v>
      </c>
      <c r="K121" s="275">
        <f t="shared" si="58"/>
        <v>73</v>
      </c>
      <c r="L121" s="275">
        <f t="shared" si="58"/>
        <v>50</v>
      </c>
      <c r="M121" s="275">
        <f t="shared" si="58"/>
        <v>5</v>
      </c>
      <c r="N121" s="275">
        <f t="shared" si="58"/>
        <v>30</v>
      </c>
      <c r="O121" s="275">
        <f t="shared" si="58"/>
        <v>45</v>
      </c>
      <c r="P121" s="275">
        <f t="shared" si="58"/>
        <v>50</v>
      </c>
      <c r="Q121" s="275">
        <f t="shared" si="58"/>
        <v>66</v>
      </c>
      <c r="R121" s="275">
        <f t="shared" si="58"/>
        <v>52</v>
      </c>
      <c r="S121" s="275">
        <f t="shared" si="58"/>
        <v>727</v>
      </c>
      <c r="T121" s="275">
        <f t="shared" si="58"/>
        <v>387</v>
      </c>
      <c r="U121" s="275">
        <f t="shared" si="58"/>
        <v>185</v>
      </c>
      <c r="V121" s="275">
        <f t="shared" si="58"/>
        <v>151</v>
      </c>
      <c r="W121" s="275">
        <f t="shared" si="58"/>
        <v>119</v>
      </c>
      <c r="X121" s="275">
        <f t="shared" si="58"/>
        <v>135</v>
      </c>
      <c r="Y121" s="275">
        <f t="shared" si="58"/>
        <v>151</v>
      </c>
      <c r="Z121" s="275">
        <f t="shared" si="58"/>
        <v>105</v>
      </c>
      <c r="AA121" s="275">
        <f t="shared" si="58"/>
        <v>89</v>
      </c>
      <c r="AB121" s="275">
        <f t="shared" si="58"/>
        <v>109</v>
      </c>
      <c r="AC121" s="275">
        <f t="shared" si="58"/>
        <v>116</v>
      </c>
      <c r="AD121" s="275">
        <f t="shared" si="58"/>
        <v>98</v>
      </c>
      <c r="AE121" s="275">
        <f t="shared" si="58"/>
        <v>86</v>
      </c>
      <c r="AF121" s="155">
        <f t="shared" si="48"/>
        <v>3498</v>
      </c>
    </row>
    <row r="122">
      <c r="A122" s="24"/>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258"/>
    </row>
    <row r="123">
      <c r="A123" s="168" t="s">
        <v>371</v>
      </c>
      <c r="B123" s="138"/>
      <c r="C123" s="138"/>
      <c r="D123" s="138"/>
      <c r="E123" s="138"/>
      <c r="F123" s="138"/>
      <c r="G123" s="138"/>
      <c r="H123" s="138"/>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258"/>
    </row>
    <row r="124">
      <c r="A124" s="259" t="s">
        <v>373</v>
      </c>
      <c r="B124" s="427"/>
      <c r="C124" s="427"/>
      <c r="D124" s="427"/>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258"/>
    </row>
    <row r="125" outlineLevel="1">
      <c r="A125" s="259" t="s">
        <v>375</v>
      </c>
      <c r="B125" s="262">
        <v>13.0</v>
      </c>
      <c r="C125" s="262">
        <v>23.0</v>
      </c>
      <c r="D125" s="262">
        <v>26.0</v>
      </c>
      <c r="E125" s="262">
        <v>35.0</v>
      </c>
      <c r="F125" s="262">
        <v>32.0</v>
      </c>
      <c r="G125" s="262">
        <v>20.0</v>
      </c>
      <c r="H125" s="262">
        <v>20.0</v>
      </c>
      <c r="I125" s="262">
        <v>8.0</v>
      </c>
      <c r="J125" s="262">
        <v>13.0</v>
      </c>
      <c r="K125" s="262">
        <v>14.0</v>
      </c>
      <c r="L125" s="262">
        <v>14.0</v>
      </c>
      <c r="M125" s="262">
        <v>19.0</v>
      </c>
      <c r="N125" s="262">
        <v>15.0</v>
      </c>
      <c r="O125" s="262">
        <v>21.0</v>
      </c>
      <c r="P125" s="262">
        <v>15.0</v>
      </c>
      <c r="Q125" s="262">
        <v>18.0</v>
      </c>
      <c r="R125" s="262">
        <v>18.0</v>
      </c>
      <c r="S125" s="262">
        <v>24.0</v>
      </c>
      <c r="T125" s="262">
        <v>15.0</v>
      </c>
      <c r="U125" s="262">
        <v>13.0</v>
      </c>
      <c r="V125" s="262">
        <v>18.0</v>
      </c>
      <c r="W125" s="262">
        <v>15.0</v>
      </c>
      <c r="X125" s="262">
        <v>7.0</v>
      </c>
      <c r="Y125" s="262">
        <v>11.0</v>
      </c>
      <c r="Z125" s="262">
        <v>5.0</v>
      </c>
      <c r="AA125" s="262">
        <v>8.0</v>
      </c>
      <c r="AB125" s="262">
        <v>19.0</v>
      </c>
      <c r="AC125" s="262">
        <v>15.0</v>
      </c>
      <c r="AD125" s="262">
        <v>12.0</v>
      </c>
      <c r="AE125" s="262">
        <v>14.0</v>
      </c>
      <c r="AF125" s="155">
        <f t="shared" ref="AF125:AF128" si="59">sum(B125:AE125)</f>
        <v>500</v>
      </c>
    </row>
    <row r="126" outlineLevel="1">
      <c r="A126" s="259" t="s">
        <v>376</v>
      </c>
      <c r="B126" s="262">
        <v>3.0</v>
      </c>
      <c r="C126" s="262">
        <v>2.0</v>
      </c>
      <c r="D126" s="262">
        <v>4.0</v>
      </c>
      <c r="E126" s="262">
        <v>10.0</v>
      </c>
      <c r="F126" s="262">
        <v>9.0</v>
      </c>
      <c r="G126" s="262">
        <v>11.0</v>
      </c>
      <c r="H126" s="262">
        <v>1.0</v>
      </c>
      <c r="I126" s="262">
        <v>1.0</v>
      </c>
      <c r="J126" s="262">
        <v>3.0</v>
      </c>
      <c r="K126" s="262">
        <v>3.0</v>
      </c>
      <c r="L126" s="262">
        <v>5.0</v>
      </c>
      <c r="M126" s="262">
        <v>6.0</v>
      </c>
      <c r="N126" s="262">
        <v>3.0</v>
      </c>
      <c r="O126" s="262">
        <v>8.0</v>
      </c>
      <c r="P126" s="262">
        <v>5.0</v>
      </c>
      <c r="Q126" s="262">
        <v>1.0</v>
      </c>
      <c r="R126" s="262">
        <v>2.0</v>
      </c>
      <c r="S126" s="104">
        <v>6.0</v>
      </c>
      <c r="T126" s="104">
        <v>5.0</v>
      </c>
      <c r="U126" s="262">
        <v>6.0</v>
      </c>
      <c r="V126" s="262">
        <v>1.0</v>
      </c>
      <c r="W126" s="262">
        <v>2.0</v>
      </c>
      <c r="X126" s="262">
        <v>1.0</v>
      </c>
      <c r="Y126" s="262">
        <v>9.0</v>
      </c>
      <c r="Z126" s="262">
        <v>8.0</v>
      </c>
      <c r="AA126" s="262">
        <v>5.0</v>
      </c>
      <c r="AB126" s="262">
        <v>6.0</v>
      </c>
      <c r="AC126" s="262">
        <v>5.0</v>
      </c>
      <c r="AD126" s="262">
        <v>4.0</v>
      </c>
      <c r="AE126" s="262">
        <v>4.0</v>
      </c>
      <c r="AF126" s="155">
        <f t="shared" si="59"/>
        <v>139</v>
      </c>
    </row>
    <row r="127" outlineLevel="1">
      <c r="A127" s="259" t="s">
        <v>377</v>
      </c>
      <c r="B127" s="262">
        <v>41.0</v>
      </c>
      <c r="C127" s="262">
        <v>56.0</v>
      </c>
      <c r="D127" s="262">
        <v>63.0</v>
      </c>
      <c r="E127" s="262">
        <v>75.0</v>
      </c>
      <c r="F127" s="262">
        <v>79.0</v>
      </c>
      <c r="G127" s="262">
        <v>53.0</v>
      </c>
      <c r="H127" s="262">
        <v>39.0</v>
      </c>
      <c r="I127" s="262">
        <v>25.0</v>
      </c>
      <c r="J127" s="262">
        <v>34.0</v>
      </c>
      <c r="K127" s="262">
        <v>41.0</v>
      </c>
      <c r="L127" s="262">
        <v>36.0</v>
      </c>
      <c r="M127" s="262">
        <v>28.0</v>
      </c>
      <c r="N127" s="262">
        <v>30.0</v>
      </c>
      <c r="O127" s="262">
        <v>30.0</v>
      </c>
      <c r="P127" s="262">
        <v>37.0</v>
      </c>
      <c r="Q127" s="262">
        <v>40.0</v>
      </c>
      <c r="R127" s="262">
        <v>43.0</v>
      </c>
      <c r="S127" s="262">
        <v>42.0</v>
      </c>
      <c r="T127" s="262">
        <v>30.0</v>
      </c>
      <c r="U127" s="262">
        <v>36.0</v>
      </c>
      <c r="V127" s="262">
        <v>32.0</v>
      </c>
      <c r="W127" s="262">
        <v>21.0</v>
      </c>
      <c r="X127" s="262">
        <v>31.0</v>
      </c>
      <c r="Y127" s="262">
        <v>30.0</v>
      </c>
      <c r="Z127" s="262">
        <v>24.0</v>
      </c>
      <c r="AA127" s="262">
        <v>16.0</v>
      </c>
      <c r="AB127" s="262">
        <v>36.0</v>
      </c>
      <c r="AC127" s="262">
        <v>22.0</v>
      </c>
      <c r="AD127" s="262">
        <v>31.0</v>
      </c>
      <c r="AE127" s="262">
        <v>41.0</v>
      </c>
      <c r="AF127" s="155">
        <f t="shared" si="59"/>
        <v>1142</v>
      </c>
    </row>
    <row r="128" outlineLevel="1">
      <c r="A128" s="259" t="s">
        <v>378</v>
      </c>
      <c r="B128" s="262">
        <v>3.0</v>
      </c>
      <c r="C128" s="262">
        <v>10.0</v>
      </c>
      <c r="D128" s="262">
        <v>15.0</v>
      </c>
      <c r="E128" s="262">
        <v>17.0</v>
      </c>
      <c r="F128" s="262">
        <v>12.0</v>
      </c>
      <c r="G128" s="262">
        <v>13.0</v>
      </c>
      <c r="H128" s="262">
        <v>2.0</v>
      </c>
      <c r="I128" s="262">
        <v>5.0</v>
      </c>
      <c r="J128" s="262">
        <v>3.0</v>
      </c>
      <c r="K128" s="262">
        <v>9.0</v>
      </c>
      <c r="L128" s="262">
        <v>8.0</v>
      </c>
      <c r="M128" s="262">
        <v>6.0</v>
      </c>
      <c r="N128" s="262">
        <v>8.0</v>
      </c>
      <c r="O128" s="262">
        <v>10.0</v>
      </c>
      <c r="P128" s="262">
        <v>13.0</v>
      </c>
      <c r="Q128" s="262">
        <v>5.0</v>
      </c>
      <c r="R128" s="262">
        <v>7.0</v>
      </c>
      <c r="S128" s="104">
        <v>10.0</v>
      </c>
      <c r="T128" s="104">
        <v>14.0</v>
      </c>
      <c r="U128" s="262">
        <v>5.0</v>
      </c>
      <c r="V128" s="262">
        <v>7.0</v>
      </c>
      <c r="W128" s="262">
        <v>14.0</v>
      </c>
      <c r="X128" s="262">
        <v>13.0</v>
      </c>
      <c r="Y128" s="262">
        <v>16.0</v>
      </c>
      <c r="Z128" s="262">
        <v>20.0</v>
      </c>
      <c r="AA128" s="262">
        <v>17.0</v>
      </c>
      <c r="AB128" s="262">
        <v>30.0</v>
      </c>
      <c r="AC128" s="262">
        <v>17.0</v>
      </c>
      <c r="AD128" s="262">
        <v>21.0</v>
      </c>
      <c r="AE128" s="262">
        <v>15.0</v>
      </c>
      <c r="AF128" s="155">
        <f t="shared" si="59"/>
        <v>345</v>
      </c>
    </row>
    <row r="129">
      <c r="A129" s="259" t="s">
        <v>380</v>
      </c>
      <c r="B129" s="427"/>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258"/>
    </row>
    <row r="130" outlineLevel="1">
      <c r="A130" s="259" t="s">
        <v>381</v>
      </c>
      <c r="B130" s="262">
        <v>1.0</v>
      </c>
      <c r="C130" s="262">
        <v>2.0</v>
      </c>
      <c r="D130" s="262">
        <v>2.0</v>
      </c>
      <c r="E130" s="262">
        <v>8.0</v>
      </c>
      <c r="F130" s="262">
        <v>3.0</v>
      </c>
      <c r="G130" s="262">
        <v>5.0</v>
      </c>
      <c r="H130" s="262">
        <v>1.0</v>
      </c>
      <c r="I130" s="262">
        <v>4.0</v>
      </c>
      <c r="J130" s="262">
        <v>0.0</v>
      </c>
      <c r="K130" s="262">
        <v>1.0</v>
      </c>
      <c r="L130" s="262">
        <v>3.0</v>
      </c>
      <c r="M130" s="262">
        <v>0.0</v>
      </c>
      <c r="N130" s="262">
        <v>3.0</v>
      </c>
      <c r="O130" s="262">
        <v>0.0</v>
      </c>
      <c r="P130" s="262">
        <v>1.0</v>
      </c>
      <c r="Q130" s="262">
        <v>0.0</v>
      </c>
      <c r="R130" s="262">
        <v>2.0</v>
      </c>
      <c r="S130" s="262">
        <v>3.0</v>
      </c>
      <c r="T130" s="262">
        <v>3.0</v>
      </c>
      <c r="U130" s="262">
        <v>3.0</v>
      </c>
      <c r="V130" s="262">
        <v>1.0</v>
      </c>
      <c r="W130" s="262">
        <v>1.0</v>
      </c>
      <c r="X130" s="262">
        <v>3.0</v>
      </c>
      <c r="Y130" s="262">
        <v>0.0</v>
      </c>
      <c r="Z130" s="262">
        <v>4.0</v>
      </c>
      <c r="AA130" s="262">
        <v>2.0</v>
      </c>
      <c r="AB130" s="262">
        <v>1.0</v>
      </c>
      <c r="AC130" s="262">
        <v>5.0</v>
      </c>
      <c r="AD130" s="262">
        <v>1.0</v>
      </c>
      <c r="AE130" s="262">
        <v>1.0</v>
      </c>
      <c r="AF130" s="155">
        <f t="shared" ref="AF130:AF135" si="60">sum(B130:AE130)</f>
        <v>64</v>
      </c>
    </row>
    <row r="131" outlineLevel="1">
      <c r="A131" s="259" t="s">
        <v>382</v>
      </c>
      <c r="B131" s="262">
        <v>0.0</v>
      </c>
      <c r="C131" s="262">
        <v>0.0</v>
      </c>
      <c r="D131" s="262">
        <v>0.0</v>
      </c>
      <c r="E131" s="262">
        <v>1.0</v>
      </c>
      <c r="F131" s="262">
        <v>0.0</v>
      </c>
      <c r="G131" s="262">
        <v>0.0</v>
      </c>
      <c r="H131" s="262">
        <v>0.0</v>
      </c>
      <c r="I131" s="262">
        <v>0.0</v>
      </c>
      <c r="J131" s="262">
        <v>0.0</v>
      </c>
      <c r="K131" s="262">
        <v>1.0</v>
      </c>
      <c r="L131" s="262">
        <v>0.0</v>
      </c>
      <c r="M131" s="262">
        <v>0.0</v>
      </c>
      <c r="N131" s="262">
        <v>0.0</v>
      </c>
      <c r="O131" s="262">
        <v>0.0</v>
      </c>
      <c r="P131" s="262">
        <v>0.0</v>
      </c>
      <c r="Q131" s="262">
        <v>0.0</v>
      </c>
      <c r="R131" s="262">
        <v>1.0</v>
      </c>
      <c r="S131" s="104">
        <v>0.0</v>
      </c>
      <c r="T131" s="104">
        <v>1.0</v>
      </c>
      <c r="U131" s="262">
        <v>0.0</v>
      </c>
      <c r="V131" s="262">
        <v>1.0</v>
      </c>
      <c r="W131" s="262">
        <v>0.0</v>
      </c>
      <c r="X131" s="262">
        <v>0.0</v>
      </c>
      <c r="Y131" s="262">
        <v>0.0</v>
      </c>
      <c r="Z131" s="262">
        <v>0.0</v>
      </c>
      <c r="AA131" s="262">
        <v>0.0</v>
      </c>
      <c r="AB131" s="262">
        <v>0.0</v>
      </c>
      <c r="AC131" s="262">
        <v>0.0</v>
      </c>
      <c r="AD131" s="262">
        <v>0.0</v>
      </c>
      <c r="AE131" s="262">
        <v>0.0</v>
      </c>
      <c r="AF131" s="155">
        <f t="shared" si="60"/>
        <v>5</v>
      </c>
    </row>
    <row r="132" outlineLevel="1">
      <c r="A132" s="259" t="s">
        <v>384</v>
      </c>
      <c r="B132" s="262">
        <v>4.0</v>
      </c>
      <c r="C132" s="262">
        <v>4.0</v>
      </c>
      <c r="D132" s="262">
        <v>6.0</v>
      </c>
      <c r="E132" s="262">
        <v>5.0</v>
      </c>
      <c r="F132" s="262">
        <v>5.0</v>
      </c>
      <c r="G132" s="262">
        <v>5.0</v>
      </c>
      <c r="H132" s="262">
        <v>7.0</v>
      </c>
      <c r="I132" s="262">
        <v>6.0</v>
      </c>
      <c r="J132" s="262">
        <v>5.0</v>
      </c>
      <c r="K132" s="262">
        <v>4.0</v>
      </c>
      <c r="L132" s="262">
        <v>2.0</v>
      </c>
      <c r="M132" s="262">
        <v>2.0</v>
      </c>
      <c r="N132" s="262">
        <v>4.0</v>
      </c>
      <c r="O132" s="262">
        <v>7.0</v>
      </c>
      <c r="P132" s="262">
        <v>5.0</v>
      </c>
      <c r="Q132" s="262">
        <v>5.0</v>
      </c>
      <c r="R132" s="262">
        <v>2.0</v>
      </c>
      <c r="S132" s="262">
        <v>1.0</v>
      </c>
      <c r="T132" s="262">
        <v>3.0</v>
      </c>
      <c r="U132" s="262">
        <v>2.0</v>
      </c>
      <c r="V132" s="262">
        <v>2.0</v>
      </c>
      <c r="W132" s="262">
        <v>4.0</v>
      </c>
      <c r="X132" s="262">
        <v>0.0</v>
      </c>
      <c r="Y132" s="262">
        <v>2.0</v>
      </c>
      <c r="Z132" s="262">
        <v>7.0</v>
      </c>
      <c r="AA132" s="262">
        <v>1.0</v>
      </c>
      <c r="AB132" s="262">
        <v>1.0</v>
      </c>
      <c r="AC132" s="262">
        <v>3.0</v>
      </c>
      <c r="AD132" s="262">
        <v>3.0</v>
      </c>
      <c r="AE132" s="262">
        <v>3.0</v>
      </c>
      <c r="AF132" s="155">
        <f t="shared" si="60"/>
        <v>110</v>
      </c>
    </row>
    <row r="133" outlineLevel="1">
      <c r="A133" s="259" t="s">
        <v>385</v>
      </c>
      <c r="B133" s="262">
        <v>0.0</v>
      </c>
      <c r="C133" s="262">
        <v>1.0</v>
      </c>
      <c r="D133" s="262">
        <v>1.0</v>
      </c>
      <c r="E133" s="262">
        <v>0.0</v>
      </c>
      <c r="F133" s="262">
        <v>0.0</v>
      </c>
      <c r="G133" s="262">
        <v>0.0</v>
      </c>
      <c r="H133" s="262">
        <v>0.0</v>
      </c>
      <c r="I133" s="262">
        <v>0.0</v>
      </c>
      <c r="J133" s="262">
        <v>1.0</v>
      </c>
      <c r="K133" s="262">
        <v>3.0</v>
      </c>
      <c r="L133" s="262">
        <v>0.0</v>
      </c>
      <c r="M133" s="262">
        <v>0.0</v>
      </c>
      <c r="N133" s="262">
        <v>0.0</v>
      </c>
      <c r="O133" s="262">
        <v>0.0</v>
      </c>
      <c r="P133" s="262">
        <v>0.0</v>
      </c>
      <c r="Q133" s="262">
        <v>0.0</v>
      </c>
      <c r="R133" s="262">
        <v>0.0</v>
      </c>
      <c r="S133" s="104">
        <v>0.0</v>
      </c>
      <c r="T133" s="104">
        <v>3.0</v>
      </c>
      <c r="U133" s="262">
        <v>0.0</v>
      </c>
      <c r="V133" s="262">
        <v>0.0</v>
      </c>
      <c r="W133" s="262">
        <v>2.0</v>
      </c>
      <c r="X133" s="262">
        <v>3.0</v>
      </c>
      <c r="Y133" s="262">
        <v>2.0</v>
      </c>
      <c r="Z133" s="262">
        <v>4.0</v>
      </c>
      <c r="AA133" s="262">
        <v>2.0</v>
      </c>
      <c r="AB133" s="262">
        <v>1.0</v>
      </c>
      <c r="AC133" s="262">
        <v>2.0</v>
      </c>
      <c r="AD133" s="262">
        <v>1.0</v>
      </c>
      <c r="AE133" s="262">
        <v>0.0</v>
      </c>
      <c r="AF133" s="155">
        <f t="shared" si="60"/>
        <v>26</v>
      </c>
    </row>
    <row r="134">
      <c r="A134" s="454" t="s">
        <v>261</v>
      </c>
      <c r="B134" s="455">
        <f t="shared" ref="B134:AE134" si="61">B125+B130+B126+B131</f>
        <v>17</v>
      </c>
      <c r="C134" s="455">
        <f t="shared" si="61"/>
        <v>27</v>
      </c>
      <c r="D134" s="455">
        <f t="shared" si="61"/>
        <v>32</v>
      </c>
      <c r="E134" s="455">
        <f t="shared" si="61"/>
        <v>54</v>
      </c>
      <c r="F134" s="455">
        <f t="shared" si="61"/>
        <v>44</v>
      </c>
      <c r="G134" s="455">
        <f t="shared" si="61"/>
        <v>36</v>
      </c>
      <c r="H134" s="455">
        <f t="shared" si="61"/>
        <v>22</v>
      </c>
      <c r="I134" s="455">
        <f t="shared" si="61"/>
        <v>13</v>
      </c>
      <c r="J134" s="455">
        <f t="shared" si="61"/>
        <v>16</v>
      </c>
      <c r="K134" s="455">
        <f t="shared" si="61"/>
        <v>19</v>
      </c>
      <c r="L134" s="455">
        <f t="shared" si="61"/>
        <v>22</v>
      </c>
      <c r="M134" s="455">
        <f t="shared" si="61"/>
        <v>25</v>
      </c>
      <c r="N134" s="455">
        <f t="shared" si="61"/>
        <v>21</v>
      </c>
      <c r="O134" s="455">
        <f t="shared" si="61"/>
        <v>29</v>
      </c>
      <c r="P134" s="455">
        <f t="shared" si="61"/>
        <v>21</v>
      </c>
      <c r="Q134" s="455">
        <f t="shared" si="61"/>
        <v>19</v>
      </c>
      <c r="R134" s="455">
        <f t="shared" si="61"/>
        <v>23</v>
      </c>
      <c r="S134" s="455">
        <f t="shared" si="61"/>
        <v>33</v>
      </c>
      <c r="T134" s="455">
        <f t="shared" si="61"/>
        <v>24</v>
      </c>
      <c r="U134" s="455">
        <f t="shared" si="61"/>
        <v>22</v>
      </c>
      <c r="V134" s="455">
        <f t="shared" si="61"/>
        <v>21</v>
      </c>
      <c r="W134" s="455">
        <f t="shared" si="61"/>
        <v>18</v>
      </c>
      <c r="X134" s="455">
        <f t="shared" si="61"/>
        <v>11</v>
      </c>
      <c r="Y134" s="455">
        <f t="shared" si="61"/>
        <v>20</v>
      </c>
      <c r="Z134" s="455">
        <f t="shared" si="61"/>
        <v>17</v>
      </c>
      <c r="AA134" s="455">
        <f t="shared" si="61"/>
        <v>15</v>
      </c>
      <c r="AB134" s="455">
        <f t="shared" si="61"/>
        <v>26</v>
      </c>
      <c r="AC134" s="455">
        <f t="shared" si="61"/>
        <v>25</v>
      </c>
      <c r="AD134" s="455">
        <f t="shared" si="61"/>
        <v>17</v>
      </c>
      <c r="AE134" s="455">
        <f t="shared" si="61"/>
        <v>19</v>
      </c>
      <c r="AF134" s="155">
        <f t="shared" si="60"/>
        <v>708</v>
      </c>
    </row>
    <row r="135">
      <c r="A135" s="454" t="s">
        <v>263</v>
      </c>
      <c r="B135" s="455">
        <f t="shared" ref="B135:AE135" si="62">B127+B132+B128+B133</f>
        <v>48</v>
      </c>
      <c r="C135" s="455">
        <f t="shared" si="62"/>
        <v>71</v>
      </c>
      <c r="D135" s="455">
        <f t="shared" si="62"/>
        <v>85</v>
      </c>
      <c r="E135" s="455">
        <f t="shared" si="62"/>
        <v>97</v>
      </c>
      <c r="F135" s="455">
        <f t="shared" si="62"/>
        <v>96</v>
      </c>
      <c r="G135" s="455">
        <f t="shared" si="62"/>
        <v>71</v>
      </c>
      <c r="H135" s="455">
        <f t="shared" si="62"/>
        <v>48</v>
      </c>
      <c r="I135" s="455">
        <f t="shared" si="62"/>
        <v>36</v>
      </c>
      <c r="J135" s="455">
        <f t="shared" si="62"/>
        <v>43</v>
      </c>
      <c r="K135" s="455">
        <f t="shared" si="62"/>
        <v>57</v>
      </c>
      <c r="L135" s="455">
        <f t="shared" si="62"/>
        <v>46</v>
      </c>
      <c r="M135" s="455">
        <f t="shared" si="62"/>
        <v>36</v>
      </c>
      <c r="N135" s="455">
        <f t="shared" si="62"/>
        <v>42</v>
      </c>
      <c r="O135" s="455">
        <f t="shared" si="62"/>
        <v>47</v>
      </c>
      <c r="P135" s="455">
        <f t="shared" si="62"/>
        <v>55</v>
      </c>
      <c r="Q135" s="455">
        <f t="shared" si="62"/>
        <v>50</v>
      </c>
      <c r="R135" s="455">
        <f t="shared" si="62"/>
        <v>52</v>
      </c>
      <c r="S135" s="455">
        <f t="shared" si="62"/>
        <v>53</v>
      </c>
      <c r="T135" s="455">
        <f t="shared" si="62"/>
        <v>50</v>
      </c>
      <c r="U135" s="455">
        <f t="shared" si="62"/>
        <v>43</v>
      </c>
      <c r="V135" s="455">
        <f t="shared" si="62"/>
        <v>41</v>
      </c>
      <c r="W135" s="455">
        <f t="shared" si="62"/>
        <v>41</v>
      </c>
      <c r="X135" s="455">
        <f t="shared" si="62"/>
        <v>47</v>
      </c>
      <c r="Y135" s="455">
        <f t="shared" si="62"/>
        <v>50</v>
      </c>
      <c r="Z135" s="455">
        <f t="shared" si="62"/>
        <v>55</v>
      </c>
      <c r="AA135" s="455">
        <f t="shared" si="62"/>
        <v>36</v>
      </c>
      <c r="AB135" s="455">
        <f t="shared" si="62"/>
        <v>68</v>
      </c>
      <c r="AC135" s="455">
        <f t="shared" si="62"/>
        <v>44</v>
      </c>
      <c r="AD135" s="455">
        <f t="shared" si="62"/>
        <v>56</v>
      </c>
      <c r="AE135" s="455">
        <f t="shared" si="62"/>
        <v>59</v>
      </c>
      <c r="AF135" s="155">
        <f t="shared" si="60"/>
        <v>1623</v>
      </c>
    </row>
    <row r="136">
      <c r="A136" s="24"/>
      <c r="B136" s="138"/>
      <c r="C136" s="138"/>
      <c r="D136" s="138"/>
      <c r="E136" s="138"/>
      <c r="F136" s="138"/>
      <c r="G136" s="138"/>
      <c r="H136" s="138"/>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258"/>
    </row>
    <row r="137">
      <c r="A137" s="259" t="s">
        <v>387</v>
      </c>
      <c r="B137" s="427"/>
      <c r="C137" s="427"/>
      <c r="D137" s="427"/>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258"/>
    </row>
    <row r="138" outlineLevel="1">
      <c r="A138" s="259" t="s">
        <v>266</v>
      </c>
      <c r="B138" s="262">
        <v>19.0</v>
      </c>
      <c r="C138" s="262">
        <v>28.0</v>
      </c>
      <c r="D138" s="262">
        <v>41.0</v>
      </c>
      <c r="E138" s="262">
        <v>33.0</v>
      </c>
      <c r="F138" s="262">
        <v>31.0</v>
      </c>
      <c r="G138" s="262">
        <v>29.0</v>
      </c>
      <c r="H138" s="262">
        <v>21.0</v>
      </c>
      <c r="I138" s="262">
        <v>11.0</v>
      </c>
      <c r="J138" s="262">
        <v>15.0</v>
      </c>
      <c r="K138" s="262">
        <v>22.0</v>
      </c>
      <c r="L138" s="262">
        <v>27.0</v>
      </c>
      <c r="M138" s="262">
        <v>17.0</v>
      </c>
      <c r="N138" s="262">
        <v>13.0</v>
      </c>
      <c r="O138" s="262">
        <v>24.0</v>
      </c>
      <c r="P138" s="262">
        <v>23.0</v>
      </c>
      <c r="Q138" s="262">
        <v>26.0</v>
      </c>
      <c r="R138" s="262">
        <v>23.0</v>
      </c>
      <c r="S138" s="262">
        <v>36.0</v>
      </c>
      <c r="T138" s="262">
        <v>31.0</v>
      </c>
      <c r="U138" s="104">
        <v>21.0</v>
      </c>
      <c r="V138" s="104">
        <v>20.0</v>
      </c>
      <c r="W138" s="104">
        <v>17.0</v>
      </c>
      <c r="X138" s="104">
        <v>18.0</v>
      </c>
      <c r="Y138" s="262">
        <v>28.0</v>
      </c>
      <c r="Z138" s="262">
        <v>21.0</v>
      </c>
      <c r="AA138" s="262">
        <v>15.0</v>
      </c>
      <c r="AB138" s="262">
        <v>30.0</v>
      </c>
      <c r="AC138" s="262">
        <v>23.0</v>
      </c>
      <c r="AD138" s="262">
        <v>18.0</v>
      </c>
      <c r="AE138" s="262">
        <v>18.0</v>
      </c>
      <c r="AF138" s="155">
        <f t="shared" ref="AF138:AF146" si="63">sum(B138:AE138)</f>
        <v>699</v>
      </c>
    </row>
    <row r="139" outlineLevel="1">
      <c r="A139" s="259" t="s">
        <v>267</v>
      </c>
      <c r="B139" s="262">
        <v>9.0</v>
      </c>
      <c r="C139" s="262">
        <v>18.0</v>
      </c>
      <c r="D139" s="262">
        <v>24.0</v>
      </c>
      <c r="E139" s="262">
        <v>22.0</v>
      </c>
      <c r="F139" s="262">
        <v>21.0</v>
      </c>
      <c r="G139" s="262">
        <v>17.0</v>
      </c>
      <c r="H139" s="262">
        <v>13.0</v>
      </c>
      <c r="I139" s="262">
        <v>8.0</v>
      </c>
      <c r="J139" s="262">
        <v>7.0</v>
      </c>
      <c r="K139" s="262">
        <v>19.0</v>
      </c>
      <c r="L139" s="262">
        <v>17.0</v>
      </c>
      <c r="M139" s="262">
        <v>10.0</v>
      </c>
      <c r="N139" s="262">
        <v>11.0</v>
      </c>
      <c r="O139" s="262">
        <v>19.0</v>
      </c>
      <c r="P139" s="262">
        <v>12.0</v>
      </c>
      <c r="Q139" s="262">
        <v>18.0</v>
      </c>
      <c r="R139" s="262">
        <v>13.0</v>
      </c>
      <c r="S139" s="262">
        <v>23.0</v>
      </c>
      <c r="T139" s="262">
        <v>28.0</v>
      </c>
      <c r="U139" s="104">
        <v>13.0</v>
      </c>
      <c r="V139" s="104">
        <v>14.0</v>
      </c>
      <c r="W139" s="104">
        <v>12.0</v>
      </c>
      <c r="X139" s="104">
        <v>12.0</v>
      </c>
      <c r="Y139" s="262">
        <v>18.0</v>
      </c>
      <c r="Z139" s="262">
        <v>17.0</v>
      </c>
      <c r="AA139" s="262">
        <v>16.0</v>
      </c>
      <c r="AB139" s="262">
        <v>17.0</v>
      </c>
      <c r="AC139" s="262">
        <v>17.0</v>
      </c>
      <c r="AD139" s="262">
        <v>10.0</v>
      </c>
      <c r="AE139" s="262">
        <v>19.0</v>
      </c>
      <c r="AF139" s="155">
        <f t="shared" si="63"/>
        <v>474</v>
      </c>
    </row>
    <row r="140" outlineLevel="1">
      <c r="A140" s="259" t="s">
        <v>390</v>
      </c>
      <c r="B140" s="262">
        <v>6.0</v>
      </c>
      <c r="C140" s="262">
        <v>18.0</v>
      </c>
      <c r="D140" s="262">
        <v>25.0</v>
      </c>
      <c r="E140" s="262">
        <v>20.0</v>
      </c>
      <c r="F140" s="262">
        <v>19.0</v>
      </c>
      <c r="G140" s="262">
        <v>15.0</v>
      </c>
      <c r="H140" s="262">
        <v>14.0</v>
      </c>
      <c r="I140" s="262">
        <v>9.0</v>
      </c>
      <c r="J140" s="262">
        <v>6.0</v>
      </c>
      <c r="K140" s="262">
        <v>10.0</v>
      </c>
      <c r="L140" s="262">
        <v>13.0</v>
      </c>
      <c r="M140" s="262">
        <v>12.0</v>
      </c>
      <c r="N140" s="262">
        <v>7.0</v>
      </c>
      <c r="O140" s="262">
        <v>5.0</v>
      </c>
      <c r="P140" s="262">
        <v>6.0</v>
      </c>
      <c r="Q140" s="262">
        <v>12.0</v>
      </c>
      <c r="R140" s="262">
        <v>5.0</v>
      </c>
      <c r="S140" s="262">
        <v>67.0</v>
      </c>
      <c r="T140" s="262">
        <v>32.0</v>
      </c>
      <c r="U140" s="262">
        <v>19.0</v>
      </c>
      <c r="V140" s="262">
        <v>20.0</v>
      </c>
      <c r="W140" s="262">
        <v>6.0</v>
      </c>
      <c r="X140" s="262">
        <v>9.0</v>
      </c>
      <c r="Y140" s="262">
        <v>9.0</v>
      </c>
      <c r="Z140" s="104">
        <v>7.0</v>
      </c>
      <c r="AA140" s="262">
        <v>6.0</v>
      </c>
      <c r="AB140" s="262">
        <v>5.0</v>
      </c>
      <c r="AC140" s="262">
        <v>6.0</v>
      </c>
      <c r="AD140" s="262">
        <v>7.0</v>
      </c>
      <c r="AE140" s="262">
        <v>7.0</v>
      </c>
      <c r="AF140" s="155">
        <f t="shared" si="63"/>
        <v>402</v>
      </c>
    </row>
    <row r="141" outlineLevel="1">
      <c r="A141" s="259" t="s">
        <v>391</v>
      </c>
      <c r="B141" s="262">
        <v>2.0</v>
      </c>
      <c r="C141" s="262">
        <v>7.0</v>
      </c>
      <c r="D141" s="262">
        <v>7.0</v>
      </c>
      <c r="E141" s="262">
        <v>7.0</v>
      </c>
      <c r="F141" s="262">
        <v>5.0</v>
      </c>
      <c r="G141" s="262">
        <v>4.0</v>
      </c>
      <c r="H141" s="262">
        <v>0.0</v>
      </c>
      <c r="I141" s="262">
        <v>1.0</v>
      </c>
      <c r="J141" s="262">
        <v>0.0</v>
      </c>
      <c r="K141" s="262">
        <v>4.0</v>
      </c>
      <c r="L141" s="262">
        <v>4.0</v>
      </c>
      <c r="M141" s="262">
        <v>1.0</v>
      </c>
      <c r="N141" s="262">
        <v>2.0</v>
      </c>
      <c r="O141" s="262">
        <v>10.0</v>
      </c>
      <c r="P141" s="262">
        <v>7.0</v>
      </c>
      <c r="Q141" s="262">
        <v>2.0</v>
      </c>
      <c r="R141" s="262">
        <v>3.0</v>
      </c>
      <c r="S141" s="104">
        <v>34.0</v>
      </c>
      <c r="T141" s="104">
        <v>18.0</v>
      </c>
      <c r="U141" s="104">
        <v>2.0</v>
      </c>
      <c r="V141" s="262">
        <v>10.0</v>
      </c>
      <c r="W141" s="262">
        <v>9.0</v>
      </c>
      <c r="X141" s="262">
        <v>5.0</v>
      </c>
      <c r="Y141" s="262">
        <v>11.0</v>
      </c>
      <c r="Z141" s="104">
        <v>7.0</v>
      </c>
      <c r="AA141" s="262">
        <v>5.0</v>
      </c>
      <c r="AB141" s="262">
        <v>5.0</v>
      </c>
      <c r="AC141" s="262">
        <v>5.0</v>
      </c>
      <c r="AD141" s="262">
        <v>10.0</v>
      </c>
      <c r="AE141" s="262">
        <v>5.0</v>
      </c>
      <c r="AF141" s="155">
        <f t="shared" si="63"/>
        <v>192</v>
      </c>
    </row>
    <row r="142" outlineLevel="1">
      <c r="A142" s="259" t="s">
        <v>392</v>
      </c>
      <c r="B142" s="262">
        <v>2.0</v>
      </c>
      <c r="C142" s="262">
        <v>4.0</v>
      </c>
      <c r="D142" s="262">
        <v>7.0</v>
      </c>
      <c r="E142" s="262">
        <v>6.0</v>
      </c>
      <c r="F142" s="262">
        <v>7.0</v>
      </c>
      <c r="G142" s="262">
        <v>9.0</v>
      </c>
      <c r="H142" s="262">
        <v>5.0</v>
      </c>
      <c r="I142" s="262">
        <v>3.0</v>
      </c>
      <c r="J142" s="262">
        <v>0.0</v>
      </c>
      <c r="K142" s="262">
        <v>6.0</v>
      </c>
      <c r="L142" s="262">
        <v>5.0</v>
      </c>
      <c r="M142" s="262">
        <v>3.0</v>
      </c>
      <c r="N142" s="262">
        <v>3.0</v>
      </c>
      <c r="O142" s="262">
        <v>4.0</v>
      </c>
      <c r="P142" s="262">
        <v>6.0</v>
      </c>
      <c r="Q142" s="262">
        <v>4.0</v>
      </c>
      <c r="R142" s="262">
        <v>7.0</v>
      </c>
      <c r="S142" s="262">
        <v>5.0</v>
      </c>
      <c r="T142" s="262">
        <v>4.0</v>
      </c>
      <c r="U142" s="262">
        <v>4.0</v>
      </c>
      <c r="V142" s="262">
        <v>6.0</v>
      </c>
      <c r="W142" s="262">
        <v>6.0</v>
      </c>
      <c r="X142" s="262">
        <v>6.0</v>
      </c>
      <c r="Y142" s="262">
        <v>3.0</v>
      </c>
      <c r="Z142" s="262">
        <v>4.0</v>
      </c>
      <c r="AA142" s="262">
        <v>4.0</v>
      </c>
      <c r="AB142" s="262">
        <v>4.0</v>
      </c>
      <c r="AC142" s="262">
        <v>2.0</v>
      </c>
      <c r="AD142" s="262">
        <v>8.0</v>
      </c>
      <c r="AE142" s="262">
        <v>2.0</v>
      </c>
      <c r="AF142" s="155">
        <f t="shared" si="63"/>
        <v>139</v>
      </c>
    </row>
    <row r="143" outlineLevel="1">
      <c r="A143" s="259" t="s">
        <v>394</v>
      </c>
      <c r="B143" s="262">
        <v>3.0</v>
      </c>
      <c r="C143" s="262">
        <v>3.0</v>
      </c>
      <c r="D143" s="262">
        <v>4.0</v>
      </c>
      <c r="E143" s="262">
        <v>3.0</v>
      </c>
      <c r="F143" s="262">
        <v>3.0</v>
      </c>
      <c r="G143" s="262">
        <v>2.0</v>
      </c>
      <c r="H143" s="262">
        <v>1.0</v>
      </c>
      <c r="I143" s="262">
        <v>0.0</v>
      </c>
      <c r="J143" s="262">
        <v>3.0</v>
      </c>
      <c r="K143" s="262">
        <v>1.0</v>
      </c>
      <c r="L143" s="262">
        <v>3.0</v>
      </c>
      <c r="M143" s="262">
        <v>0.0</v>
      </c>
      <c r="N143" s="262">
        <v>0.0</v>
      </c>
      <c r="O143" s="262">
        <v>1.0</v>
      </c>
      <c r="P143" s="262">
        <v>2.0</v>
      </c>
      <c r="Q143" s="262">
        <v>3.0</v>
      </c>
      <c r="R143" s="262">
        <v>2.0</v>
      </c>
      <c r="S143" s="104">
        <v>5.0</v>
      </c>
      <c r="T143" s="104">
        <v>0.0</v>
      </c>
      <c r="U143" s="262">
        <v>3.0</v>
      </c>
      <c r="V143" s="262">
        <v>3.0</v>
      </c>
      <c r="W143" s="262">
        <v>3.0</v>
      </c>
      <c r="X143" s="262">
        <v>1.0</v>
      </c>
      <c r="Y143" s="262">
        <v>1.0</v>
      </c>
      <c r="Z143" s="262">
        <v>0.0</v>
      </c>
      <c r="AA143" s="262">
        <v>3.0</v>
      </c>
      <c r="AB143" s="262">
        <v>0.0</v>
      </c>
      <c r="AC143" s="262">
        <v>1.0</v>
      </c>
      <c r="AD143" s="262">
        <v>0.0</v>
      </c>
      <c r="AE143" s="262">
        <v>0.0</v>
      </c>
      <c r="AF143" s="155">
        <f t="shared" si="63"/>
        <v>54</v>
      </c>
    </row>
    <row r="144" outlineLevel="1">
      <c r="A144" s="259" t="s">
        <v>395</v>
      </c>
      <c r="B144" s="262">
        <v>0.0</v>
      </c>
      <c r="C144" s="262">
        <v>0.0</v>
      </c>
      <c r="D144" s="262">
        <v>0.0</v>
      </c>
      <c r="E144" s="262">
        <v>0.0</v>
      </c>
      <c r="F144" s="262">
        <v>0.0</v>
      </c>
      <c r="G144" s="262">
        <v>0.0</v>
      </c>
      <c r="H144" s="262">
        <v>0.0</v>
      </c>
      <c r="I144" s="262">
        <v>0.0</v>
      </c>
      <c r="J144" s="262">
        <v>0.0</v>
      </c>
      <c r="K144" s="262">
        <v>0.0</v>
      </c>
      <c r="L144" s="262">
        <v>0.0</v>
      </c>
      <c r="M144" s="262">
        <v>0.0</v>
      </c>
      <c r="N144" s="262">
        <v>0.0</v>
      </c>
      <c r="O144" s="262">
        <v>0.0</v>
      </c>
      <c r="P144" s="262">
        <v>0.0</v>
      </c>
      <c r="Q144" s="262">
        <v>0.0</v>
      </c>
      <c r="R144" s="262">
        <v>0.0</v>
      </c>
      <c r="S144" s="262">
        <v>368.0</v>
      </c>
      <c r="T144" s="262">
        <v>168.0</v>
      </c>
      <c r="U144" s="262">
        <v>78.0</v>
      </c>
      <c r="V144" s="262">
        <v>51.0</v>
      </c>
      <c r="W144" s="262">
        <v>46.0</v>
      </c>
      <c r="X144" s="262">
        <v>50.0</v>
      </c>
      <c r="Y144" s="262">
        <v>44.0</v>
      </c>
      <c r="Z144" s="262">
        <v>35.0</v>
      </c>
      <c r="AA144" s="262">
        <v>24.0</v>
      </c>
      <c r="AB144" s="262">
        <v>30.0</v>
      </c>
      <c r="AC144" s="262">
        <v>26.0</v>
      </c>
      <c r="AD144" s="262">
        <v>26.0</v>
      </c>
      <c r="AE144" s="262">
        <v>25.0</v>
      </c>
      <c r="AF144" s="155">
        <f t="shared" si="63"/>
        <v>971</v>
      </c>
    </row>
    <row r="145" outlineLevel="1">
      <c r="A145" s="259" t="s">
        <v>397</v>
      </c>
      <c r="B145" s="262">
        <v>0.0</v>
      </c>
      <c r="C145" s="262">
        <v>0.0</v>
      </c>
      <c r="D145" s="262">
        <v>0.0</v>
      </c>
      <c r="E145" s="262">
        <v>0.0</v>
      </c>
      <c r="F145" s="262">
        <v>0.0</v>
      </c>
      <c r="G145" s="262">
        <v>0.0</v>
      </c>
      <c r="H145" s="262">
        <v>0.0</v>
      </c>
      <c r="I145" s="262">
        <v>0.0</v>
      </c>
      <c r="J145" s="262">
        <v>0.0</v>
      </c>
      <c r="K145" s="262">
        <v>0.0</v>
      </c>
      <c r="L145" s="262">
        <v>0.0</v>
      </c>
      <c r="M145" s="262">
        <v>0.0</v>
      </c>
      <c r="N145" s="262">
        <v>0.0</v>
      </c>
      <c r="O145" s="262">
        <v>0.0</v>
      </c>
      <c r="P145" s="262">
        <v>0.0</v>
      </c>
      <c r="Q145" s="262">
        <v>0.0</v>
      </c>
      <c r="R145" s="262">
        <v>0.0</v>
      </c>
      <c r="S145" s="104">
        <v>89.0</v>
      </c>
      <c r="T145" s="104">
        <v>53.0</v>
      </c>
      <c r="U145" s="262">
        <v>20.0</v>
      </c>
      <c r="V145" s="262">
        <v>14.0</v>
      </c>
      <c r="W145" s="262">
        <v>12.0</v>
      </c>
      <c r="X145" s="262">
        <v>7.0</v>
      </c>
      <c r="Y145" s="262">
        <v>16.0</v>
      </c>
      <c r="Z145" s="262">
        <v>12.0</v>
      </c>
      <c r="AA145" s="262">
        <v>12.0</v>
      </c>
      <c r="AB145" s="262">
        <v>13.0</v>
      </c>
      <c r="AC145" s="262">
        <v>11.0</v>
      </c>
      <c r="AD145" s="262">
        <v>8.0</v>
      </c>
      <c r="AE145" s="262">
        <v>9.0</v>
      </c>
      <c r="AF145" s="155">
        <f t="shared" si="63"/>
        <v>276</v>
      </c>
    </row>
    <row r="146">
      <c r="A146" s="454" t="s">
        <v>159</v>
      </c>
      <c r="B146" s="455">
        <f t="shared" ref="B146:AE146" si="64">SUM(B138:B145)</f>
        <v>41</v>
      </c>
      <c r="C146" s="455">
        <f t="shared" si="64"/>
        <v>78</v>
      </c>
      <c r="D146" s="455">
        <f t="shared" si="64"/>
        <v>108</v>
      </c>
      <c r="E146" s="455">
        <f t="shared" si="64"/>
        <v>91</v>
      </c>
      <c r="F146" s="455">
        <f t="shared" si="64"/>
        <v>86</v>
      </c>
      <c r="G146" s="455">
        <f t="shared" si="64"/>
        <v>76</v>
      </c>
      <c r="H146" s="455">
        <f t="shared" si="64"/>
        <v>54</v>
      </c>
      <c r="I146" s="455">
        <f t="shared" si="64"/>
        <v>32</v>
      </c>
      <c r="J146" s="455">
        <f t="shared" si="64"/>
        <v>31</v>
      </c>
      <c r="K146" s="455">
        <f t="shared" si="64"/>
        <v>62</v>
      </c>
      <c r="L146" s="455">
        <f t="shared" si="64"/>
        <v>69</v>
      </c>
      <c r="M146" s="455">
        <f t="shared" si="64"/>
        <v>43</v>
      </c>
      <c r="N146" s="455">
        <f t="shared" si="64"/>
        <v>36</v>
      </c>
      <c r="O146" s="455">
        <f t="shared" si="64"/>
        <v>63</v>
      </c>
      <c r="P146" s="455">
        <f t="shared" si="64"/>
        <v>56</v>
      </c>
      <c r="Q146" s="455">
        <f t="shared" si="64"/>
        <v>65</v>
      </c>
      <c r="R146" s="455">
        <f t="shared" si="64"/>
        <v>53</v>
      </c>
      <c r="S146" s="455">
        <f t="shared" si="64"/>
        <v>627</v>
      </c>
      <c r="T146" s="455">
        <f t="shared" si="64"/>
        <v>334</v>
      </c>
      <c r="U146" s="455">
        <f t="shared" si="64"/>
        <v>160</v>
      </c>
      <c r="V146" s="455">
        <f t="shared" si="64"/>
        <v>138</v>
      </c>
      <c r="W146" s="455">
        <f t="shared" si="64"/>
        <v>111</v>
      </c>
      <c r="X146" s="455">
        <f t="shared" si="64"/>
        <v>108</v>
      </c>
      <c r="Y146" s="455">
        <f t="shared" si="64"/>
        <v>130</v>
      </c>
      <c r="Z146" s="455">
        <f t="shared" si="64"/>
        <v>103</v>
      </c>
      <c r="AA146" s="455">
        <f t="shared" si="64"/>
        <v>85</v>
      </c>
      <c r="AB146" s="455">
        <f t="shared" si="64"/>
        <v>104</v>
      </c>
      <c r="AC146" s="455">
        <f t="shared" si="64"/>
        <v>91</v>
      </c>
      <c r="AD146" s="455">
        <f t="shared" si="64"/>
        <v>87</v>
      </c>
      <c r="AE146" s="455">
        <f t="shared" si="64"/>
        <v>85</v>
      </c>
      <c r="AF146" s="155">
        <f t="shared" si="63"/>
        <v>3207</v>
      </c>
    </row>
    <row r="147">
      <c r="A147" s="24"/>
      <c r="B147" s="138"/>
      <c r="C147" s="138"/>
      <c r="D147" s="138"/>
      <c r="E147" s="138"/>
      <c r="F147" s="138"/>
      <c r="G147" s="138"/>
      <c r="H147" s="138"/>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258"/>
    </row>
    <row r="148">
      <c r="A148" s="259" t="s">
        <v>399</v>
      </c>
      <c r="B148" s="427"/>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258"/>
    </row>
    <row r="149" outlineLevel="1">
      <c r="A149" s="259" t="s">
        <v>266</v>
      </c>
      <c r="B149" s="262">
        <v>1.0</v>
      </c>
      <c r="C149" s="262">
        <v>6.0</v>
      </c>
      <c r="D149" s="262">
        <v>7.0</v>
      </c>
      <c r="E149" s="262">
        <v>8.0</v>
      </c>
      <c r="F149" s="262">
        <v>5.0</v>
      </c>
      <c r="G149" s="262">
        <v>1.0</v>
      </c>
      <c r="H149" s="262">
        <v>3.0</v>
      </c>
      <c r="I149" s="262">
        <v>2.0</v>
      </c>
      <c r="J149" s="262">
        <v>3.0</v>
      </c>
      <c r="K149" s="262">
        <v>5.0</v>
      </c>
      <c r="L149" s="262">
        <v>3.0</v>
      </c>
      <c r="M149" s="262">
        <v>2.0</v>
      </c>
      <c r="N149" s="262">
        <v>4.0</v>
      </c>
      <c r="O149" s="262">
        <v>1.0</v>
      </c>
      <c r="P149" s="262">
        <v>0.0</v>
      </c>
      <c r="Q149" s="262">
        <v>4.0</v>
      </c>
      <c r="R149" s="262">
        <v>1.0</v>
      </c>
      <c r="S149" s="262">
        <v>2.0</v>
      </c>
      <c r="T149" s="104">
        <v>6.0</v>
      </c>
      <c r="U149" s="262">
        <v>2.0</v>
      </c>
      <c r="V149" s="262">
        <v>0.0</v>
      </c>
      <c r="W149" s="262">
        <v>3.0</v>
      </c>
      <c r="X149" s="262">
        <v>3.0</v>
      </c>
      <c r="Y149" s="262">
        <v>4.0</v>
      </c>
      <c r="Z149" s="262">
        <v>6.0</v>
      </c>
      <c r="AA149" s="262">
        <v>3.0</v>
      </c>
      <c r="AB149" s="262">
        <v>1.0</v>
      </c>
      <c r="AC149" s="262">
        <v>6.0</v>
      </c>
      <c r="AD149" s="262">
        <v>2.0</v>
      </c>
      <c r="AE149" s="262">
        <v>1.0</v>
      </c>
      <c r="AF149" s="155">
        <f t="shared" ref="AF149:AF157" si="65">sum(B149:AE149)</f>
        <v>95</v>
      </c>
    </row>
    <row r="150" outlineLevel="1">
      <c r="A150" s="259" t="s">
        <v>267</v>
      </c>
      <c r="B150" s="262">
        <v>1.0</v>
      </c>
      <c r="C150" s="262">
        <v>4.0</v>
      </c>
      <c r="D150" s="262">
        <v>5.0</v>
      </c>
      <c r="E150" s="262">
        <v>4.0</v>
      </c>
      <c r="F150" s="262">
        <v>3.0</v>
      </c>
      <c r="G150" s="262">
        <v>1.0</v>
      </c>
      <c r="H150" s="262">
        <v>4.0</v>
      </c>
      <c r="I150" s="262">
        <v>2.0</v>
      </c>
      <c r="J150" s="262">
        <v>2.0</v>
      </c>
      <c r="K150" s="262">
        <v>3.0</v>
      </c>
      <c r="L150" s="262">
        <v>0.0</v>
      </c>
      <c r="M150" s="262">
        <v>2.0</v>
      </c>
      <c r="N150" s="262">
        <v>2.0</v>
      </c>
      <c r="O150" s="262">
        <v>2.0</v>
      </c>
      <c r="P150" s="262">
        <v>0.0</v>
      </c>
      <c r="Q150" s="262">
        <v>1.0</v>
      </c>
      <c r="R150" s="262">
        <v>0.0</v>
      </c>
      <c r="S150" s="262">
        <v>5.0</v>
      </c>
      <c r="T150" s="262">
        <v>6.0</v>
      </c>
      <c r="U150" s="262">
        <v>3.0</v>
      </c>
      <c r="V150" s="262">
        <v>0.0</v>
      </c>
      <c r="W150" s="262">
        <v>2.0</v>
      </c>
      <c r="X150" s="262">
        <v>4.0</v>
      </c>
      <c r="Y150" s="262">
        <v>4.0</v>
      </c>
      <c r="Z150" s="262">
        <v>6.0</v>
      </c>
      <c r="AA150" s="262">
        <v>3.0</v>
      </c>
      <c r="AB150" s="262">
        <v>4.0</v>
      </c>
      <c r="AC150" s="262">
        <v>6.0</v>
      </c>
      <c r="AD150" s="262">
        <v>3.0</v>
      </c>
      <c r="AE150" s="262">
        <v>2.0</v>
      </c>
      <c r="AF150" s="155">
        <f t="shared" si="65"/>
        <v>84</v>
      </c>
    </row>
    <row r="151" outlineLevel="1">
      <c r="A151" s="259" t="s">
        <v>401</v>
      </c>
      <c r="B151" s="262">
        <v>1.0</v>
      </c>
      <c r="C151" s="262">
        <v>1.0</v>
      </c>
      <c r="D151" s="262">
        <v>3.0</v>
      </c>
      <c r="E151" s="262">
        <v>4.0</v>
      </c>
      <c r="F151" s="262">
        <v>3.0</v>
      </c>
      <c r="G151" s="262">
        <v>0.0</v>
      </c>
      <c r="H151" s="262">
        <v>2.0</v>
      </c>
      <c r="I151" s="262">
        <v>1.0</v>
      </c>
      <c r="J151" s="262">
        <v>4.0</v>
      </c>
      <c r="K151" s="262">
        <v>3.0</v>
      </c>
      <c r="L151" s="262">
        <v>0.0</v>
      </c>
      <c r="M151" s="262">
        <v>2.0</v>
      </c>
      <c r="N151" s="262">
        <v>3.0</v>
      </c>
      <c r="O151" s="262">
        <v>1.0</v>
      </c>
      <c r="P151" s="262">
        <v>0.0</v>
      </c>
      <c r="Q151" s="262">
        <v>1.0</v>
      </c>
      <c r="R151" s="262">
        <v>0.0</v>
      </c>
      <c r="S151" s="262">
        <v>16.0</v>
      </c>
      <c r="T151" s="262">
        <v>4.0</v>
      </c>
      <c r="U151" s="262">
        <v>0.0</v>
      </c>
      <c r="V151" s="262">
        <v>2.0</v>
      </c>
      <c r="W151" s="262">
        <v>0.0</v>
      </c>
      <c r="X151" s="262">
        <v>4.0</v>
      </c>
      <c r="Y151" s="262">
        <v>2.0</v>
      </c>
      <c r="Z151" s="262">
        <v>2.0</v>
      </c>
      <c r="AA151" s="262">
        <v>2.0</v>
      </c>
      <c r="AB151" s="262">
        <v>0.0</v>
      </c>
      <c r="AC151" s="262">
        <v>3.0</v>
      </c>
      <c r="AD151" s="262">
        <v>1.0</v>
      </c>
      <c r="AE151" s="262">
        <v>0.0</v>
      </c>
      <c r="AF151" s="155">
        <f t="shared" si="65"/>
        <v>65</v>
      </c>
    </row>
    <row r="152" outlineLevel="1">
      <c r="A152" s="259" t="s">
        <v>402</v>
      </c>
      <c r="B152" s="262">
        <v>0.0</v>
      </c>
      <c r="C152" s="262">
        <v>0.0</v>
      </c>
      <c r="D152" s="262">
        <v>0.0</v>
      </c>
      <c r="E152" s="262">
        <v>0.0</v>
      </c>
      <c r="F152" s="262">
        <v>0.0</v>
      </c>
      <c r="G152" s="262">
        <v>1.0</v>
      </c>
      <c r="H152" s="262">
        <v>1.0</v>
      </c>
      <c r="I152" s="262">
        <v>0.0</v>
      </c>
      <c r="J152" s="262">
        <v>0.0</v>
      </c>
      <c r="K152" s="262">
        <v>1.0</v>
      </c>
      <c r="L152" s="262">
        <v>1.0</v>
      </c>
      <c r="M152" s="262">
        <v>0.0</v>
      </c>
      <c r="N152" s="262">
        <v>0.0</v>
      </c>
      <c r="O152" s="262">
        <v>0.0</v>
      </c>
      <c r="P152" s="262">
        <v>1.0</v>
      </c>
      <c r="Q152" s="262">
        <v>0.0</v>
      </c>
      <c r="R152" s="262">
        <v>0.0</v>
      </c>
      <c r="S152" s="104">
        <v>3.0</v>
      </c>
      <c r="T152" s="104">
        <v>5.0</v>
      </c>
      <c r="U152" s="262">
        <v>0.0</v>
      </c>
      <c r="V152" s="262">
        <v>1.0</v>
      </c>
      <c r="W152" s="262">
        <v>1.0</v>
      </c>
      <c r="X152" s="262">
        <v>1.0</v>
      </c>
      <c r="Y152" s="262">
        <v>0.0</v>
      </c>
      <c r="Z152" s="262">
        <v>2.0</v>
      </c>
      <c r="AA152" s="262">
        <v>1.0</v>
      </c>
      <c r="AB152" s="262">
        <v>2.0</v>
      </c>
      <c r="AC152" s="262">
        <v>0.0</v>
      </c>
      <c r="AD152" s="262">
        <v>1.0</v>
      </c>
      <c r="AE152" s="262">
        <v>0.0</v>
      </c>
      <c r="AF152" s="155">
        <f t="shared" si="65"/>
        <v>22</v>
      </c>
    </row>
    <row r="153" outlineLevel="1">
      <c r="A153" s="259" t="s">
        <v>403</v>
      </c>
      <c r="B153" s="262">
        <v>1.0</v>
      </c>
      <c r="C153" s="262">
        <v>1.0</v>
      </c>
      <c r="D153" s="262">
        <v>1.0</v>
      </c>
      <c r="E153" s="262">
        <v>0.0</v>
      </c>
      <c r="F153" s="262">
        <v>0.0</v>
      </c>
      <c r="G153" s="262">
        <v>2.0</v>
      </c>
      <c r="H153" s="262">
        <v>0.0</v>
      </c>
      <c r="I153" s="262">
        <v>0.0</v>
      </c>
      <c r="J153" s="262">
        <v>2.0</v>
      </c>
      <c r="K153" s="262">
        <v>0.0</v>
      </c>
      <c r="L153" s="262">
        <v>1.0</v>
      </c>
      <c r="M153" s="262">
        <v>0.0</v>
      </c>
      <c r="N153" s="262">
        <v>0.0</v>
      </c>
      <c r="O153" s="262">
        <v>0.0</v>
      </c>
      <c r="P153" s="262">
        <v>0.0</v>
      </c>
      <c r="Q153" s="262">
        <v>0.0</v>
      </c>
      <c r="R153" s="262">
        <v>0.0</v>
      </c>
      <c r="S153" s="262">
        <v>0.0</v>
      </c>
      <c r="T153" s="262">
        <v>2.0</v>
      </c>
      <c r="U153" s="262">
        <v>1.0</v>
      </c>
      <c r="V153" s="262">
        <v>1.0</v>
      </c>
      <c r="W153" s="262">
        <v>1.0</v>
      </c>
      <c r="X153" s="262">
        <v>1.0</v>
      </c>
      <c r="Y153" s="262">
        <v>2.0</v>
      </c>
      <c r="Z153" s="104">
        <v>0.0</v>
      </c>
      <c r="AA153" s="262">
        <v>2.0</v>
      </c>
      <c r="AB153" s="262">
        <v>0.0</v>
      </c>
      <c r="AC153" s="262">
        <v>1.0</v>
      </c>
      <c r="AD153" s="262">
        <v>0.0</v>
      </c>
      <c r="AE153" s="262">
        <v>0.0</v>
      </c>
      <c r="AF153" s="155">
        <f t="shared" si="65"/>
        <v>19</v>
      </c>
    </row>
    <row r="154" outlineLevel="1">
      <c r="A154" s="259" t="s">
        <v>404</v>
      </c>
      <c r="B154" s="262">
        <v>0.0</v>
      </c>
      <c r="C154" s="262">
        <v>0.0</v>
      </c>
      <c r="D154" s="262">
        <v>0.0</v>
      </c>
      <c r="E154" s="262">
        <v>0.0</v>
      </c>
      <c r="F154" s="262">
        <v>0.0</v>
      </c>
      <c r="G154" s="262">
        <v>1.0</v>
      </c>
      <c r="H154" s="262">
        <v>0.0</v>
      </c>
      <c r="I154" s="262">
        <v>0.0</v>
      </c>
      <c r="J154" s="262">
        <v>0.0</v>
      </c>
      <c r="K154" s="262">
        <v>0.0</v>
      </c>
      <c r="L154" s="262">
        <v>0.0</v>
      </c>
      <c r="M154" s="262">
        <v>0.0</v>
      </c>
      <c r="N154" s="262">
        <v>0.0</v>
      </c>
      <c r="O154" s="262">
        <v>0.0</v>
      </c>
      <c r="P154" s="262">
        <v>0.0</v>
      </c>
      <c r="Q154" s="262">
        <v>0.0</v>
      </c>
      <c r="R154" s="262">
        <v>0.0</v>
      </c>
      <c r="S154" s="104">
        <v>2.0</v>
      </c>
      <c r="T154" s="104">
        <v>0.0</v>
      </c>
      <c r="U154" s="262">
        <v>1.0</v>
      </c>
      <c r="V154" s="262">
        <v>1.0</v>
      </c>
      <c r="W154" s="262">
        <v>0.0</v>
      </c>
      <c r="X154" s="262">
        <v>0.0</v>
      </c>
      <c r="Y154" s="262">
        <v>0.0</v>
      </c>
      <c r="Z154" s="262">
        <v>0.0</v>
      </c>
      <c r="AA154" s="262">
        <v>0.0</v>
      </c>
      <c r="AB154" s="262">
        <v>1.0</v>
      </c>
      <c r="AC154" s="262">
        <v>0.0</v>
      </c>
      <c r="AD154" s="262">
        <v>0.0</v>
      </c>
      <c r="AE154" s="262">
        <v>0.0</v>
      </c>
      <c r="AF154" s="155">
        <f t="shared" si="65"/>
        <v>6</v>
      </c>
    </row>
    <row r="155" outlineLevel="1">
      <c r="A155" s="259" t="s">
        <v>405</v>
      </c>
      <c r="B155" s="262">
        <v>0.0</v>
      </c>
      <c r="C155" s="262">
        <v>0.0</v>
      </c>
      <c r="D155" s="262">
        <v>0.0</v>
      </c>
      <c r="E155" s="262">
        <v>0.0</v>
      </c>
      <c r="F155" s="262">
        <v>0.0</v>
      </c>
      <c r="G155" s="262">
        <v>0.0</v>
      </c>
      <c r="H155" s="262">
        <v>0.0</v>
      </c>
      <c r="I155" s="262">
        <v>0.0</v>
      </c>
      <c r="J155" s="262">
        <v>0.0</v>
      </c>
      <c r="K155" s="262">
        <v>0.0</v>
      </c>
      <c r="L155" s="262">
        <v>0.0</v>
      </c>
      <c r="M155" s="262">
        <v>0.0</v>
      </c>
      <c r="N155" s="262">
        <v>0.0</v>
      </c>
      <c r="O155" s="262">
        <v>0.0</v>
      </c>
      <c r="P155" s="262">
        <v>0.0</v>
      </c>
      <c r="Q155" s="262">
        <v>0.0</v>
      </c>
      <c r="R155" s="262">
        <v>0.0</v>
      </c>
      <c r="S155" s="262">
        <v>62.0</v>
      </c>
      <c r="T155" s="262">
        <v>26.0</v>
      </c>
      <c r="U155" s="262">
        <v>20.0</v>
      </c>
      <c r="V155" s="262">
        <v>11.0</v>
      </c>
      <c r="W155" s="262">
        <v>9.0</v>
      </c>
      <c r="X155" s="262">
        <v>13.0</v>
      </c>
      <c r="Y155" s="262">
        <v>10.0</v>
      </c>
      <c r="Z155" s="262">
        <v>4.0</v>
      </c>
      <c r="AA155" s="262">
        <v>2.0</v>
      </c>
      <c r="AB155" s="262">
        <v>4.0</v>
      </c>
      <c r="AC155" s="262">
        <v>10.0</v>
      </c>
      <c r="AD155" s="262">
        <v>5.0</v>
      </c>
      <c r="AE155" s="262">
        <v>1.0</v>
      </c>
      <c r="AF155" s="155">
        <f t="shared" si="65"/>
        <v>177</v>
      </c>
    </row>
    <row r="156" outlineLevel="1">
      <c r="A156" s="259" t="s">
        <v>406</v>
      </c>
      <c r="B156" s="262">
        <v>0.0</v>
      </c>
      <c r="C156" s="262">
        <v>0.0</v>
      </c>
      <c r="D156" s="262">
        <v>0.0</v>
      </c>
      <c r="E156" s="262">
        <v>0.0</v>
      </c>
      <c r="F156" s="262">
        <v>0.0</v>
      </c>
      <c r="G156" s="262">
        <v>0.0</v>
      </c>
      <c r="H156" s="262">
        <v>0.0</v>
      </c>
      <c r="I156" s="262">
        <v>0.0</v>
      </c>
      <c r="J156" s="262">
        <v>0.0</v>
      </c>
      <c r="K156" s="262">
        <v>0.0</v>
      </c>
      <c r="L156" s="262">
        <v>0.0</v>
      </c>
      <c r="M156" s="262">
        <v>0.0</v>
      </c>
      <c r="N156" s="262">
        <v>0.0</v>
      </c>
      <c r="O156" s="262">
        <v>0.0</v>
      </c>
      <c r="P156" s="262">
        <v>0.0</v>
      </c>
      <c r="Q156" s="262">
        <v>0.0</v>
      </c>
      <c r="R156" s="262">
        <v>0.0</v>
      </c>
      <c r="S156" s="104">
        <v>13.0</v>
      </c>
      <c r="T156" s="104">
        <v>5.0</v>
      </c>
      <c r="U156" s="262">
        <v>2.0</v>
      </c>
      <c r="V156" s="262">
        <v>3.0</v>
      </c>
      <c r="W156" s="262">
        <v>3.0</v>
      </c>
      <c r="X156" s="262">
        <v>3.0</v>
      </c>
      <c r="Y156" s="262">
        <v>3.0</v>
      </c>
      <c r="Z156" s="262">
        <v>3.0</v>
      </c>
      <c r="AA156" s="262">
        <v>2.0</v>
      </c>
      <c r="AB156" s="262">
        <v>1.0</v>
      </c>
      <c r="AC156" s="262">
        <v>3.0</v>
      </c>
      <c r="AD156" s="262">
        <v>0.0</v>
      </c>
      <c r="AE156" s="262">
        <v>3.0</v>
      </c>
      <c r="AF156" s="155">
        <f t="shared" si="65"/>
        <v>44</v>
      </c>
    </row>
    <row r="157">
      <c r="A157" s="454" t="s">
        <v>159</v>
      </c>
      <c r="B157" s="455">
        <f t="shared" ref="B157:AE157" si="66">SUM(B149:B156)</f>
        <v>4</v>
      </c>
      <c r="C157" s="455">
        <f t="shared" si="66"/>
        <v>12</v>
      </c>
      <c r="D157" s="455">
        <f t="shared" si="66"/>
        <v>16</v>
      </c>
      <c r="E157" s="455">
        <f t="shared" si="66"/>
        <v>16</v>
      </c>
      <c r="F157" s="455">
        <f t="shared" si="66"/>
        <v>11</v>
      </c>
      <c r="G157" s="455">
        <f t="shared" si="66"/>
        <v>6</v>
      </c>
      <c r="H157" s="455">
        <f t="shared" si="66"/>
        <v>10</v>
      </c>
      <c r="I157" s="455">
        <f t="shared" si="66"/>
        <v>5</v>
      </c>
      <c r="J157" s="455">
        <f t="shared" si="66"/>
        <v>11</v>
      </c>
      <c r="K157" s="455">
        <f t="shared" si="66"/>
        <v>12</v>
      </c>
      <c r="L157" s="455">
        <f t="shared" si="66"/>
        <v>5</v>
      </c>
      <c r="M157" s="455">
        <f t="shared" si="66"/>
        <v>6</v>
      </c>
      <c r="N157" s="455">
        <f t="shared" si="66"/>
        <v>9</v>
      </c>
      <c r="O157" s="455">
        <f t="shared" si="66"/>
        <v>4</v>
      </c>
      <c r="P157" s="455">
        <f t="shared" si="66"/>
        <v>1</v>
      </c>
      <c r="Q157" s="455">
        <f t="shared" si="66"/>
        <v>6</v>
      </c>
      <c r="R157" s="455">
        <f t="shared" si="66"/>
        <v>1</v>
      </c>
      <c r="S157" s="455">
        <f t="shared" si="66"/>
        <v>103</v>
      </c>
      <c r="T157" s="455">
        <f t="shared" si="66"/>
        <v>54</v>
      </c>
      <c r="U157" s="455">
        <f t="shared" si="66"/>
        <v>29</v>
      </c>
      <c r="V157" s="455">
        <f t="shared" si="66"/>
        <v>19</v>
      </c>
      <c r="W157" s="455">
        <f t="shared" si="66"/>
        <v>19</v>
      </c>
      <c r="X157" s="455">
        <f t="shared" si="66"/>
        <v>29</v>
      </c>
      <c r="Y157" s="455">
        <f t="shared" si="66"/>
        <v>25</v>
      </c>
      <c r="Z157" s="455">
        <f t="shared" si="66"/>
        <v>23</v>
      </c>
      <c r="AA157" s="455">
        <f t="shared" si="66"/>
        <v>15</v>
      </c>
      <c r="AB157" s="455">
        <f t="shared" si="66"/>
        <v>13</v>
      </c>
      <c r="AC157" s="455">
        <f t="shared" si="66"/>
        <v>29</v>
      </c>
      <c r="AD157" s="455">
        <f t="shared" si="66"/>
        <v>12</v>
      </c>
      <c r="AE157" s="455">
        <f t="shared" si="66"/>
        <v>7</v>
      </c>
      <c r="AF157" s="155">
        <f t="shared" si="65"/>
        <v>512</v>
      </c>
    </row>
    <row r="158">
      <c r="A158" s="24"/>
      <c r="B158" s="138"/>
      <c r="C158" s="138"/>
      <c r="D158" s="138"/>
      <c r="E158" s="138"/>
      <c r="F158" s="138"/>
      <c r="G158" s="138"/>
      <c r="H158" s="138"/>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258"/>
    </row>
    <row r="159">
      <c r="A159" s="168" t="s">
        <v>408</v>
      </c>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58"/>
    </row>
    <row r="160">
      <c r="A160" s="259" t="s">
        <v>373</v>
      </c>
      <c r="B160" s="427"/>
      <c r="C160" s="427"/>
      <c r="D160" s="427"/>
      <c r="E160" s="427"/>
      <c r="F160" s="427"/>
      <c r="G160" s="427"/>
      <c r="H160" s="427"/>
      <c r="I160" s="427"/>
      <c r="J160" s="427"/>
      <c r="K160" s="427"/>
      <c r="L160" s="427"/>
      <c r="M160" s="427"/>
      <c r="N160" s="427"/>
      <c r="O160" s="427"/>
      <c r="P160" s="427"/>
      <c r="Q160" s="427"/>
      <c r="R160" s="427"/>
      <c r="S160" s="427"/>
      <c r="T160" s="427"/>
      <c r="U160" s="427"/>
      <c r="V160" s="427"/>
      <c r="W160" s="427"/>
      <c r="X160" s="427"/>
      <c r="Y160" s="427"/>
      <c r="Z160" s="427"/>
      <c r="AA160" s="427"/>
      <c r="AB160" s="427"/>
      <c r="AC160" s="427"/>
      <c r="AD160" s="427"/>
      <c r="AE160" s="427"/>
      <c r="AF160" s="459"/>
    </row>
    <row r="161" outlineLevel="1">
      <c r="A161" s="259" t="s">
        <v>409</v>
      </c>
      <c r="B161" s="119">
        <v>2396.42</v>
      </c>
      <c r="C161" s="119">
        <v>3878.67</v>
      </c>
      <c r="D161" s="119">
        <v>4402.44</v>
      </c>
      <c r="E161" s="119">
        <v>5947.3</v>
      </c>
      <c r="F161" s="119">
        <v>5444.28</v>
      </c>
      <c r="G161" s="119">
        <v>3401.68</v>
      </c>
      <c r="H161" s="119">
        <v>3914.79</v>
      </c>
      <c r="I161" s="119">
        <v>1639.21</v>
      </c>
      <c r="J161" s="119">
        <v>2769.46</v>
      </c>
      <c r="K161" s="119">
        <v>2941.52</v>
      </c>
      <c r="L161" s="119">
        <v>2851.93</v>
      </c>
      <c r="M161" s="119">
        <v>3996.11</v>
      </c>
      <c r="N161" s="119">
        <v>2754.1</v>
      </c>
      <c r="O161" s="119">
        <v>3970.88</v>
      </c>
      <c r="P161" s="119">
        <v>2842.48</v>
      </c>
      <c r="Q161" s="119">
        <v>3429.91</v>
      </c>
      <c r="R161" s="119">
        <v>3430.41</v>
      </c>
      <c r="S161" s="119">
        <v>4715.61</v>
      </c>
      <c r="T161" s="119">
        <v>3109.21</v>
      </c>
      <c r="U161" s="119">
        <v>2695.59</v>
      </c>
      <c r="V161" s="119">
        <v>3742.98</v>
      </c>
      <c r="W161" s="119">
        <v>3054.92</v>
      </c>
      <c r="X161" s="119">
        <v>1481.57</v>
      </c>
      <c r="Y161" s="119">
        <v>2311.37</v>
      </c>
      <c r="Z161" s="119">
        <v>1038.8</v>
      </c>
      <c r="AA161" s="119">
        <v>1218.48</v>
      </c>
      <c r="AB161" s="119">
        <v>3677.07</v>
      </c>
      <c r="AC161" s="119">
        <v>2927.01</v>
      </c>
      <c r="AD161" s="119">
        <v>2483.52</v>
      </c>
      <c r="AE161" s="119">
        <v>2875.6</v>
      </c>
      <c r="AF161" s="67">
        <f t="shared" ref="AF161:AF164" si="67">SUM(B161:AE161)</f>
        <v>95343.32</v>
      </c>
    </row>
    <row r="162" outlineLevel="1">
      <c r="A162" s="259" t="s">
        <v>411</v>
      </c>
      <c r="B162" s="119">
        <v>540.08</v>
      </c>
      <c r="C162" s="119">
        <v>341.09</v>
      </c>
      <c r="D162" s="119">
        <v>667.44</v>
      </c>
      <c r="E162" s="119">
        <v>1692.65</v>
      </c>
      <c r="F162" s="119">
        <v>1488.65</v>
      </c>
      <c r="G162" s="119">
        <v>1809.43</v>
      </c>
      <c r="H162" s="119">
        <v>168.75</v>
      </c>
      <c r="I162" s="119">
        <v>199.0</v>
      </c>
      <c r="J162" s="119">
        <v>627.1</v>
      </c>
      <c r="K162" s="119">
        <v>646.22</v>
      </c>
      <c r="L162" s="119">
        <v>995.61</v>
      </c>
      <c r="M162" s="119">
        <v>1268.05</v>
      </c>
      <c r="N162" s="119">
        <v>580.51</v>
      </c>
      <c r="O162" s="119">
        <v>1501.12</v>
      </c>
      <c r="P162" s="119">
        <v>953.26</v>
      </c>
      <c r="Q162" s="119">
        <v>189.85</v>
      </c>
      <c r="R162" s="119">
        <v>370.96</v>
      </c>
      <c r="S162" s="119">
        <v>1239.99</v>
      </c>
      <c r="T162" s="119">
        <v>1036.05</v>
      </c>
      <c r="U162" s="119">
        <v>1256.54</v>
      </c>
      <c r="V162" s="119">
        <v>209.95</v>
      </c>
      <c r="W162" s="119">
        <v>421.56</v>
      </c>
      <c r="X162" s="119">
        <v>212.93</v>
      </c>
      <c r="Y162" s="119">
        <v>1915.65</v>
      </c>
      <c r="Z162" s="119">
        <v>1703.94</v>
      </c>
      <c r="AA162" s="119">
        <v>1036.13</v>
      </c>
      <c r="AB162" s="119">
        <v>1229.56</v>
      </c>
      <c r="AC162" s="119">
        <v>850.74</v>
      </c>
      <c r="AD162" s="119">
        <v>851.63</v>
      </c>
      <c r="AE162" s="119">
        <v>798.11</v>
      </c>
      <c r="AF162" s="67">
        <f t="shared" si="67"/>
        <v>26802.55</v>
      </c>
    </row>
    <row r="163" outlineLevel="1">
      <c r="A163" s="259" t="s">
        <v>412</v>
      </c>
      <c r="B163" s="119">
        <v>9884.14</v>
      </c>
      <c r="C163" s="119">
        <v>12786.17</v>
      </c>
      <c r="D163" s="119">
        <v>14448.62</v>
      </c>
      <c r="E163" s="119">
        <v>17099.0</v>
      </c>
      <c r="F163" s="119">
        <v>18071.11</v>
      </c>
      <c r="G163" s="119">
        <v>12115.24</v>
      </c>
      <c r="H163" s="119">
        <v>9735.92</v>
      </c>
      <c r="I163" s="119">
        <v>7071.43</v>
      </c>
      <c r="J163" s="119">
        <v>9741.01</v>
      </c>
      <c r="K163" s="119">
        <v>11591.12</v>
      </c>
      <c r="L163" s="119">
        <v>9894.79</v>
      </c>
      <c r="M163" s="119">
        <v>7893.14</v>
      </c>
      <c r="N163" s="119">
        <v>7954.01</v>
      </c>
      <c r="O163" s="119">
        <v>7765.24</v>
      </c>
      <c r="P163" s="119">
        <v>9452.73</v>
      </c>
      <c r="Q163" s="119">
        <v>10285.61</v>
      </c>
      <c r="R163" s="119">
        <v>10844.88</v>
      </c>
      <c r="S163" s="119">
        <v>11555.03</v>
      </c>
      <c r="T163" s="119">
        <v>8335.29</v>
      </c>
      <c r="U163" s="119">
        <v>10067.99</v>
      </c>
      <c r="V163" s="119">
        <v>9095.53</v>
      </c>
      <c r="W163" s="119">
        <v>5694.35</v>
      </c>
      <c r="X163" s="119">
        <v>8668.28</v>
      </c>
      <c r="Y163" s="119">
        <v>8538.77</v>
      </c>
      <c r="Z163" s="119">
        <v>6202.54</v>
      </c>
      <c r="AA163" s="119">
        <v>4494.95</v>
      </c>
      <c r="AB163" s="119">
        <v>9561.4</v>
      </c>
      <c r="AC163" s="119">
        <v>6027.75</v>
      </c>
      <c r="AD163" s="119">
        <v>8638.87</v>
      </c>
      <c r="AE163" s="119">
        <v>11489.09</v>
      </c>
      <c r="AF163" s="67">
        <f t="shared" si="67"/>
        <v>295004</v>
      </c>
    </row>
    <row r="164" outlineLevel="1">
      <c r="A164" s="259" t="s">
        <v>413</v>
      </c>
      <c r="B164" s="119">
        <v>658.51</v>
      </c>
      <c r="C164" s="119">
        <v>2247.98</v>
      </c>
      <c r="D164" s="119">
        <v>3448.21</v>
      </c>
      <c r="E164" s="119">
        <v>3915.26</v>
      </c>
      <c r="F164" s="119">
        <v>2726.2</v>
      </c>
      <c r="G164" s="119">
        <v>3005.31</v>
      </c>
      <c r="H164" s="119">
        <v>489.74</v>
      </c>
      <c r="I164" s="119">
        <v>1155.36</v>
      </c>
      <c r="J164" s="119">
        <v>859.59</v>
      </c>
      <c r="K164" s="119">
        <v>2518.79</v>
      </c>
      <c r="L164" s="119">
        <v>2316.3</v>
      </c>
      <c r="M164" s="119">
        <v>1605.8</v>
      </c>
      <c r="N164" s="119">
        <v>2058.24</v>
      </c>
      <c r="O164" s="119">
        <v>2552.22</v>
      </c>
      <c r="P164" s="119">
        <v>3346.84</v>
      </c>
      <c r="Q164" s="119">
        <v>1272.52</v>
      </c>
      <c r="R164" s="119">
        <v>1821.46</v>
      </c>
      <c r="S164" s="119">
        <v>2756.51</v>
      </c>
      <c r="T164" s="119">
        <v>3937.26</v>
      </c>
      <c r="U164" s="119">
        <v>1370.75</v>
      </c>
      <c r="V164" s="119">
        <v>2006.09</v>
      </c>
      <c r="W164" s="119">
        <v>3939.9</v>
      </c>
      <c r="X164" s="119">
        <v>3656.65</v>
      </c>
      <c r="Y164" s="119">
        <v>4550.49</v>
      </c>
      <c r="Z164" s="119">
        <v>5756.21</v>
      </c>
      <c r="AA164" s="119">
        <v>4810.94</v>
      </c>
      <c r="AB164" s="119">
        <v>8171.77</v>
      </c>
      <c r="AC164" s="119">
        <v>4789.37</v>
      </c>
      <c r="AD164" s="119">
        <v>5855.25</v>
      </c>
      <c r="AE164" s="119">
        <v>4247.77</v>
      </c>
      <c r="AF164" s="67">
        <f t="shared" si="67"/>
        <v>91847.29</v>
      </c>
    </row>
    <row r="165">
      <c r="A165" s="259" t="s">
        <v>380</v>
      </c>
      <c r="B165" s="427"/>
      <c r="C165" s="427"/>
      <c r="D165" s="427"/>
      <c r="E165" s="427"/>
      <c r="F165" s="427"/>
      <c r="G165" s="427"/>
      <c r="H165" s="427"/>
      <c r="I165" s="427"/>
      <c r="J165" s="427"/>
      <c r="K165" s="427"/>
      <c r="L165" s="427"/>
      <c r="M165" s="427"/>
      <c r="N165" s="427"/>
      <c r="O165" s="427"/>
      <c r="P165" s="427"/>
      <c r="Q165" s="427"/>
      <c r="R165" s="427"/>
      <c r="S165" s="427"/>
      <c r="T165" s="427"/>
      <c r="U165" s="427"/>
      <c r="V165" s="427"/>
      <c r="W165" s="427"/>
      <c r="X165" s="427"/>
      <c r="Y165" s="427"/>
      <c r="Z165" s="427"/>
      <c r="AA165" s="427"/>
      <c r="AB165" s="427"/>
      <c r="AC165" s="427"/>
      <c r="AD165" s="427"/>
      <c r="AE165" s="427"/>
      <c r="AF165" s="459"/>
    </row>
    <row r="166" outlineLevel="1">
      <c r="A166" s="259" t="s">
        <v>415</v>
      </c>
      <c r="B166" s="124">
        <v>159.2</v>
      </c>
      <c r="C166" s="124">
        <v>318.4</v>
      </c>
      <c r="D166" s="124">
        <v>318.4</v>
      </c>
      <c r="E166" s="124">
        <v>1273.6</v>
      </c>
      <c r="F166" s="124">
        <v>477.6</v>
      </c>
      <c r="G166" s="124">
        <v>796.0</v>
      </c>
      <c r="H166" s="124">
        <v>139.3</v>
      </c>
      <c r="I166" s="124">
        <v>597.0</v>
      </c>
      <c r="J166" s="124">
        <v>0.0</v>
      </c>
      <c r="K166" s="124">
        <v>199.0</v>
      </c>
      <c r="L166" s="124">
        <v>597.0</v>
      </c>
      <c r="M166" s="124">
        <v>0.0</v>
      </c>
      <c r="N166" s="124">
        <v>577.1</v>
      </c>
      <c r="O166" s="124">
        <v>0.0</v>
      </c>
      <c r="P166" s="124">
        <v>179.1</v>
      </c>
      <c r="Q166" s="124">
        <v>0.0</v>
      </c>
      <c r="R166" s="124">
        <v>358.2</v>
      </c>
      <c r="S166" s="124">
        <v>577.1</v>
      </c>
      <c r="T166" s="124">
        <v>597.0</v>
      </c>
      <c r="U166" s="124">
        <v>597.0</v>
      </c>
      <c r="V166" s="124">
        <v>189.0</v>
      </c>
      <c r="W166" s="124">
        <v>189.0</v>
      </c>
      <c r="X166" s="124">
        <v>597.0</v>
      </c>
      <c r="Y166" s="124">
        <v>0.0</v>
      </c>
      <c r="Z166" s="124">
        <v>796.0</v>
      </c>
      <c r="AA166" s="124">
        <v>398.0</v>
      </c>
      <c r="AB166" s="124">
        <v>1.99</v>
      </c>
      <c r="AC166" s="124">
        <v>931.96</v>
      </c>
      <c r="AD166" s="124">
        <v>139.3</v>
      </c>
      <c r="AE166" s="124">
        <v>199.0</v>
      </c>
      <c r="AF166" s="67">
        <f t="shared" ref="AF166:AF171" si="68">SUM(B166:AE166)</f>
        <v>11202.25</v>
      </c>
    </row>
    <row r="167" outlineLevel="1">
      <c r="A167" s="259" t="s">
        <v>416</v>
      </c>
      <c r="B167" s="124">
        <v>0.0</v>
      </c>
      <c r="C167" s="124">
        <v>0.0</v>
      </c>
      <c r="D167" s="124">
        <v>0.0</v>
      </c>
      <c r="E167" s="124">
        <v>159.2</v>
      </c>
      <c r="F167" s="124">
        <v>0.0</v>
      </c>
      <c r="G167" s="124">
        <v>0.0</v>
      </c>
      <c r="H167" s="124">
        <v>0.0</v>
      </c>
      <c r="I167" s="124">
        <v>0.0</v>
      </c>
      <c r="J167" s="124">
        <v>0.0</v>
      </c>
      <c r="K167" s="124">
        <v>199.0</v>
      </c>
      <c r="L167" s="124">
        <v>0.0</v>
      </c>
      <c r="M167" s="124">
        <v>0.0</v>
      </c>
      <c r="N167" s="124">
        <v>0.0</v>
      </c>
      <c r="O167" s="124">
        <v>0.0</v>
      </c>
      <c r="P167" s="124">
        <v>0.0</v>
      </c>
      <c r="Q167" s="124">
        <v>0.0</v>
      </c>
      <c r="R167" s="124">
        <v>179.1</v>
      </c>
      <c r="S167" s="124">
        <v>0.0</v>
      </c>
      <c r="T167" s="124">
        <v>139.3</v>
      </c>
      <c r="U167" s="124">
        <v>0.0</v>
      </c>
      <c r="V167" s="124">
        <v>199.0</v>
      </c>
      <c r="W167" s="124">
        <v>0.0</v>
      </c>
      <c r="X167" s="124">
        <v>0.0</v>
      </c>
      <c r="Y167" s="124">
        <v>0.0</v>
      </c>
      <c r="Z167" s="124">
        <v>0.0</v>
      </c>
      <c r="AA167" s="124">
        <v>0.0</v>
      </c>
      <c r="AB167" s="124">
        <v>0.0</v>
      </c>
      <c r="AC167" s="124">
        <v>0.0</v>
      </c>
      <c r="AD167" s="124">
        <v>0.0</v>
      </c>
      <c r="AE167" s="124">
        <v>0.0</v>
      </c>
      <c r="AF167" s="67">
        <f t="shared" si="68"/>
        <v>875.6</v>
      </c>
    </row>
    <row r="168" outlineLevel="1">
      <c r="A168" s="259" t="s">
        <v>417</v>
      </c>
      <c r="B168" s="124">
        <v>860.8</v>
      </c>
      <c r="C168" s="124">
        <v>860.8</v>
      </c>
      <c r="D168" s="124">
        <v>1291.2</v>
      </c>
      <c r="E168" s="124">
        <v>1076.0</v>
      </c>
      <c r="F168" s="124">
        <v>1076.0</v>
      </c>
      <c r="G168" s="124">
        <v>1076.0</v>
      </c>
      <c r="H168" s="124">
        <v>1655.3</v>
      </c>
      <c r="I168" s="124">
        <v>1614.0</v>
      </c>
      <c r="J168" s="124">
        <v>1264.3</v>
      </c>
      <c r="K168" s="124">
        <v>1076.0</v>
      </c>
      <c r="L168" s="124">
        <v>538.0</v>
      </c>
      <c r="M168" s="124">
        <v>510.5</v>
      </c>
      <c r="N168" s="124">
        <v>968.4</v>
      </c>
      <c r="O168" s="124">
        <v>1694.7</v>
      </c>
      <c r="P168" s="124">
        <v>1183.6</v>
      </c>
      <c r="Q168" s="124">
        <v>1210.5</v>
      </c>
      <c r="R168" s="124">
        <v>484.2</v>
      </c>
      <c r="S168" s="124">
        <v>269.0</v>
      </c>
      <c r="T168" s="124">
        <v>807.0</v>
      </c>
      <c r="U168" s="124">
        <v>474.2</v>
      </c>
      <c r="V168" s="124">
        <v>538.0</v>
      </c>
      <c r="W168" s="124">
        <v>1066.0</v>
      </c>
      <c r="X168" s="124">
        <v>0.0</v>
      </c>
      <c r="Y168" s="124">
        <v>538.0</v>
      </c>
      <c r="Z168" s="124">
        <v>1883.0</v>
      </c>
      <c r="AA168" s="124">
        <v>269.0</v>
      </c>
      <c r="AB168" s="124">
        <v>269.0</v>
      </c>
      <c r="AC168" s="124">
        <v>807.0</v>
      </c>
      <c r="AD168" s="124">
        <v>807.0</v>
      </c>
      <c r="AE168" s="124">
        <v>807.0</v>
      </c>
      <c r="AF168" s="67">
        <f t="shared" si="68"/>
        <v>26974.5</v>
      </c>
    </row>
    <row r="169" outlineLevel="1">
      <c r="A169" s="259" t="s">
        <v>418</v>
      </c>
      <c r="B169" s="124">
        <v>0.0</v>
      </c>
      <c r="C169" s="124">
        <v>215.2</v>
      </c>
      <c r="D169" s="124">
        <v>215.2</v>
      </c>
      <c r="E169" s="124">
        <v>0.0</v>
      </c>
      <c r="F169" s="124">
        <v>0.0</v>
      </c>
      <c r="G169" s="124">
        <v>0.0</v>
      </c>
      <c r="H169" s="124">
        <v>0.0</v>
      </c>
      <c r="I169" s="124">
        <v>0.0</v>
      </c>
      <c r="J169" s="124">
        <v>269.0</v>
      </c>
      <c r="K169" s="124">
        <v>807.0</v>
      </c>
      <c r="L169" s="124">
        <v>0.0</v>
      </c>
      <c r="M169" s="124">
        <v>0.0</v>
      </c>
      <c r="N169" s="124">
        <v>0.0</v>
      </c>
      <c r="O169" s="124">
        <v>0.0</v>
      </c>
      <c r="P169" s="124">
        <v>0.0</v>
      </c>
      <c r="Q169" s="124">
        <v>0.0</v>
      </c>
      <c r="R169" s="124">
        <v>0.0</v>
      </c>
      <c r="S169" s="124">
        <v>0.0</v>
      </c>
      <c r="T169" s="124">
        <v>753.2</v>
      </c>
      <c r="U169" s="124">
        <v>0.0</v>
      </c>
      <c r="V169" s="124">
        <v>0.0</v>
      </c>
      <c r="W169" s="124">
        <v>538.0</v>
      </c>
      <c r="X169" s="124">
        <v>797.0</v>
      </c>
      <c r="Y169" s="124">
        <v>538.0</v>
      </c>
      <c r="Z169" s="124">
        <v>1076.0</v>
      </c>
      <c r="AA169" s="124">
        <v>497.65</v>
      </c>
      <c r="AB169" s="124">
        <v>269.0</v>
      </c>
      <c r="AC169" s="124">
        <v>535.5</v>
      </c>
      <c r="AD169" s="124">
        <v>269.0</v>
      </c>
      <c r="AE169" s="124">
        <v>0.0</v>
      </c>
      <c r="AF169" s="67">
        <f t="shared" si="68"/>
        <v>6779.75</v>
      </c>
    </row>
    <row r="170">
      <c r="A170" s="454" t="s">
        <v>261</v>
      </c>
      <c r="B170" s="460">
        <f t="shared" ref="B170:AE170" si="69">B161+B166+B162+B167</f>
        <v>3095.7</v>
      </c>
      <c r="C170" s="460">
        <f t="shared" si="69"/>
        <v>4538.16</v>
      </c>
      <c r="D170" s="460">
        <f t="shared" si="69"/>
        <v>5388.28</v>
      </c>
      <c r="E170" s="460">
        <f t="shared" si="69"/>
        <v>9072.75</v>
      </c>
      <c r="F170" s="460">
        <f t="shared" si="69"/>
        <v>7410.53</v>
      </c>
      <c r="G170" s="460">
        <f t="shared" si="69"/>
        <v>6007.11</v>
      </c>
      <c r="H170" s="460">
        <f t="shared" si="69"/>
        <v>4222.84</v>
      </c>
      <c r="I170" s="460">
        <f t="shared" si="69"/>
        <v>2435.21</v>
      </c>
      <c r="J170" s="460">
        <f t="shared" si="69"/>
        <v>3396.56</v>
      </c>
      <c r="K170" s="460">
        <f t="shared" si="69"/>
        <v>3985.74</v>
      </c>
      <c r="L170" s="460">
        <f t="shared" si="69"/>
        <v>4444.54</v>
      </c>
      <c r="M170" s="460">
        <f t="shared" si="69"/>
        <v>5264.16</v>
      </c>
      <c r="N170" s="460">
        <f t="shared" si="69"/>
        <v>3911.71</v>
      </c>
      <c r="O170" s="460">
        <f t="shared" si="69"/>
        <v>5472</v>
      </c>
      <c r="P170" s="460">
        <f t="shared" si="69"/>
        <v>3974.84</v>
      </c>
      <c r="Q170" s="460">
        <f t="shared" si="69"/>
        <v>3619.76</v>
      </c>
      <c r="R170" s="460">
        <f t="shared" si="69"/>
        <v>4338.67</v>
      </c>
      <c r="S170" s="460">
        <f t="shared" si="69"/>
        <v>6532.7</v>
      </c>
      <c r="T170" s="460">
        <f t="shared" si="69"/>
        <v>4881.56</v>
      </c>
      <c r="U170" s="460">
        <f t="shared" si="69"/>
        <v>4549.13</v>
      </c>
      <c r="V170" s="460">
        <f t="shared" si="69"/>
        <v>4340.93</v>
      </c>
      <c r="W170" s="460">
        <f t="shared" si="69"/>
        <v>3665.48</v>
      </c>
      <c r="X170" s="460">
        <f t="shared" si="69"/>
        <v>2291.5</v>
      </c>
      <c r="Y170" s="460">
        <f t="shared" si="69"/>
        <v>4227.02</v>
      </c>
      <c r="Z170" s="460">
        <f t="shared" si="69"/>
        <v>3538.74</v>
      </c>
      <c r="AA170" s="460">
        <f t="shared" si="69"/>
        <v>2652.61</v>
      </c>
      <c r="AB170" s="460">
        <f t="shared" si="69"/>
        <v>4908.62</v>
      </c>
      <c r="AC170" s="460">
        <f t="shared" si="69"/>
        <v>4709.71</v>
      </c>
      <c r="AD170" s="460">
        <f t="shared" si="69"/>
        <v>3474.45</v>
      </c>
      <c r="AE170" s="460">
        <f t="shared" si="69"/>
        <v>3872.71</v>
      </c>
      <c r="AF170" s="67">
        <f t="shared" si="68"/>
        <v>134223.72</v>
      </c>
    </row>
    <row r="171">
      <c r="A171" s="454" t="s">
        <v>263</v>
      </c>
      <c r="B171" s="460">
        <f t="shared" ref="B171:AE171" si="70">B163+B168+B164+B169</f>
        <v>11403.45</v>
      </c>
      <c r="C171" s="460">
        <f t="shared" si="70"/>
        <v>16110.15</v>
      </c>
      <c r="D171" s="460">
        <f t="shared" si="70"/>
        <v>19403.23</v>
      </c>
      <c r="E171" s="460">
        <f t="shared" si="70"/>
        <v>22090.26</v>
      </c>
      <c r="F171" s="460">
        <f t="shared" si="70"/>
        <v>21873.31</v>
      </c>
      <c r="G171" s="460">
        <f t="shared" si="70"/>
        <v>16196.55</v>
      </c>
      <c r="H171" s="460">
        <f t="shared" si="70"/>
        <v>11880.96</v>
      </c>
      <c r="I171" s="460">
        <f t="shared" si="70"/>
        <v>9840.79</v>
      </c>
      <c r="J171" s="460">
        <f t="shared" si="70"/>
        <v>12133.9</v>
      </c>
      <c r="K171" s="460">
        <f t="shared" si="70"/>
        <v>15992.91</v>
      </c>
      <c r="L171" s="460">
        <f t="shared" si="70"/>
        <v>12749.09</v>
      </c>
      <c r="M171" s="460">
        <f t="shared" si="70"/>
        <v>10009.44</v>
      </c>
      <c r="N171" s="460">
        <f t="shared" si="70"/>
        <v>10980.65</v>
      </c>
      <c r="O171" s="460">
        <f t="shared" si="70"/>
        <v>12012.16</v>
      </c>
      <c r="P171" s="460">
        <f t="shared" si="70"/>
        <v>13983.17</v>
      </c>
      <c r="Q171" s="460">
        <f t="shared" si="70"/>
        <v>12768.63</v>
      </c>
      <c r="R171" s="460">
        <f t="shared" si="70"/>
        <v>13150.54</v>
      </c>
      <c r="S171" s="460">
        <f t="shared" si="70"/>
        <v>14580.54</v>
      </c>
      <c r="T171" s="460">
        <f t="shared" si="70"/>
        <v>13832.75</v>
      </c>
      <c r="U171" s="460">
        <f t="shared" si="70"/>
        <v>11912.94</v>
      </c>
      <c r="V171" s="460">
        <f t="shared" si="70"/>
        <v>11639.62</v>
      </c>
      <c r="W171" s="460">
        <f t="shared" si="70"/>
        <v>11238.25</v>
      </c>
      <c r="X171" s="460">
        <f t="shared" si="70"/>
        <v>13121.93</v>
      </c>
      <c r="Y171" s="460">
        <f t="shared" si="70"/>
        <v>14165.26</v>
      </c>
      <c r="Z171" s="460">
        <f t="shared" si="70"/>
        <v>14917.75</v>
      </c>
      <c r="AA171" s="460">
        <f t="shared" si="70"/>
        <v>10072.54</v>
      </c>
      <c r="AB171" s="460">
        <f t="shared" si="70"/>
        <v>18271.17</v>
      </c>
      <c r="AC171" s="460">
        <f t="shared" si="70"/>
        <v>12159.62</v>
      </c>
      <c r="AD171" s="460">
        <f t="shared" si="70"/>
        <v>15570.12</v>
      </c>
      <c r="AE171" s="460">
        <f t="shared" si="70"/>
        <v>16543.86</v>
      </c>
      <c r="AF171" s="67">
        <f t="shared" si="68"/>
        <v>420605.54</v>
      </c>
    </row>
    <row r="172">
      <c r="A172" s="24"/>
      <c r="B172" s="204"/>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459"/>
    </row>
    <row r="173">
      <c r="A173" s="259" t="s">
        <v>387</v>
      </c>
      <c r="B173" s="427"/>
      <c r="C173" s="427"/>
      <c r="D173" s="427"/>
      <c r="E173" s="427"/>
      <c r="F173" s="427"/>
      <c r="G173" s="427"/>
      <c r="H173" s="427"/>
      <c r="I173" s="427"/>
      <c r="J173" s="427"/>
      <c r="K173" s="427"/>
      <c r="L173" s="427"/>
      <c r="M173" s="427"/>
      <c r="N173" s="427"/>
      <c r="O173" s="427"/>
      <c r="P173" s="427"/>
      <c r="Q173" s="427"/>
      <c r="R173" s="427"/>
      <c r="S173" s="427"/>
      <c r="T173" s="427"/>
      <c r="U173" s="427"/>
      <c r="V173" s="427"/>
      <c r="W173" s="427"/>
      <c r="X173" s="427"/>
      <c r="Y173" s="427"/>
      <c r="Z173" s="427"/>
      <c r="AA173" s="427"/>
      <c r="AB173" s="427"/>
      <c r="AC173" s="427"/>
      <c r="AD173" s="427"/>
      <c r="AE173" s="427"/>
      <c r="AF173" s="459"/>
    </row>
    <row r="174" outlineLevel="1">
      <c r="A174" s="259" t="s">
        <v>266</v>
      </c>
      <c r="B174" s="119">
        <v>402.42</v>
      </c>
      <c r="C174" s="119">
        <v>572.0</v>
      </c>
      <c r="D174" s="119">
        <v>834.57</v>
      </c>
      <c r="E174" s="119">
        <v>669.05</v>
      </c>
      <c r="F174" s="119">
        <v>632.11</v>
      </c>
      <c r="G174" s="119">
        <v>592.27</v>
      </c>
      <c r="H174" s="119">
        <v>427.47</v>
      </c>
      <c r="I174" s="119">
        <v>277.74</v>
      </c>
      <c r="J174" s="119">
        <v>358.44</v>
      </c>
      <c r="K174" s="119">
        <v>538.82</v>
      </c>
      <c r="L174" s="119">
        <v>681.92</v>
      </c>
      <c r="M174" s="119">
        <v>426.14</v>
      </c>
      <c r="N174" s="119">
        <v>298.03</v>
      </c>
      <c r="O174" s="119">
        <v>549.35</v>
      </c>
      <c r="P174" s="119">
        <v>526.14</v>
      </c>
      <c r="Q174" s="119">
        <v>597.46</v>
      </c>
      <c r="R174" s="119">
        <v>527.75</v>
      </c>
      <c r="S174" s="119">
        <v>889.57</v>
      </c>
      <c r="T174" s="119">
        <v>746.13</v>
      </c>
      <c r="U174" s="119">
        <v>519.38</v>
      </c>
      <c r="V174" s="119">
        <v>492.27</v>
      </c>
      <c r="W174" s="119">
        <v>418.15</v>
      </c>
      <c r="X174" s="119">
        <v>453.44</v>
      </c>
      <c r="Y174" s="119">
        <v>710.09</v>
      </c>
      <c r="Z174" s="119">
        <v>533.17</v>
      </c>
      <c r="AA174" s="119">
        <v>372.94</v>
      </c>
      <c r="AB174" s="119">
        <v>764.85</v>
      </c>
      <c r="AC174" s="119">
        <v>589.98</v>
      </c>
      <c r="AD174" s="119">
        <v>443.73</v>
      </c>
      <c r="AE174" s="119">
        <v>439.38</v>
      </c>
      <c r="AF174" s="67">
        <f t="shared" ref="AF174:AF182" si="71">SUM(B174:AE174)</f>
        <v>16284.76</v>
      </c>
    </row>
    <row r="175" outlineLevel="1">
      <c r="A175" s="259" t="s">
        <v>267</v>
      </c>
      <c r="B175" s="119">
        <v>114.76</v>
      </c>
      <c r="C175" s="119">
        <v>214.45</v>
      </c>
      <c r="D175" s="119">
        <v>281.96</v>
      </c>
      <c r="E175" s="119">
        <v>261.95</v>
      </c>
      <c r="F175" s="119">
        <v>250.42</v>
      </c>
      <c r="G175" s="119">
        <v>192.28</v>
      </c>
      <c r="H175" s="119">
        <v>158.28</v>
      </c>
      <c r="I175" s="119">
        <v>115.33</v>
      </c>
      <c r="J175" s="119">
        <v>92.42</v>
      </c>
      <c r="K175" s="119">
        <v>285.06</v>
      </c>
      <c r="L175" s="119">
        <v>252.35</v>
      </c>
      <c r="M175" s="119">
        <v>145.46</v>
      </c>
      <c r="N175" s="119">
        <v>149.2</v>
      </c>
      <c r="O175" s="119">
        <v>255.54</v>
      </c>
      <c r="P175" s="119">
        <v>162.19</v>
      </c>
      <c r="Q175" s="119">
        <v>240.01</v>
      </c>
      <c r="R175" s="119">
        <v>174.77</v>
      </c>
      <c r="S175" s="119">
        <v>333.97</v>
      </c>
      <c r="T175" s="119">
        <v>400.31</v>
      </c>
      <c r="U175" s="119">
        <v>190.84</v>
      </c>
      <c r="V175" s="119">
        <v>200.76</v>
      </c>
      <c r="W175" s="119">
        <v>166.25</v>
      </c>
      <c r="X175" s="119">
        <v>169.26</v>
      </c>
      <c r="Y175" s="119">
        <v>262.03</v>
      </c>
      <c r="Z175" s="119">
        <v>250.96</v>
      </c>
      <c r="AA175" s="119">
        <v>228.64</v>
      </c>
      <c r="AB175" s="119">
        <v>250.04</v>
      </c>
      <c r="AC175" s="119">
        <v>222.59</v>
      </c>
      <c r="AD175" s="119">
        <v>142.51</v>
      </c>
      <c r="AE175" s="119">
        <v>266.18</v>
      </c>
      <c r="AF175" s="67">
        <f t="shared" si="71"/>
        <v>6430.77</v>
      </c>
    </row>
    <row r="176" outlineLevel="1">
      <c r="A176" s="259" t="s">
        <v>422</v>
      </c>
      <c r="B176" s="119">
        <v>161.55</v>
      </c>
      <c r="C176" s="119">
        <v>445.03</v>
      </c>
      <c r="D176" s="119">
        <v>616.2</v>
      </c>
      <c r="E176" s="119">
        <v>492.7</v>
      </c>
      <c r="F176" s="119">
        <v>474.3</v>
      </c>
      <c r="G176" s="119">
        <v>369.92</v>
      </c>
      <c r="H176" s="119">
        <v>358.54</v>
      </c>
      <c r="I176" s="119">
        <v>278.41</v>
      </c>
      <c r="J176" s="119">
        <v>181.18</v>
      </c>
      <c r="K176" s="119">
        <v>309.49</v>
      </c>
      <c r="L176" s="119">
        <v>402.5</v>
      </c>
      <c r="M176" s="119">
        <v>365.92</v>
      </c>
      <c r="N176" s="119">
        <v>201.11</v>
      </c>
      <c r="O176" s="119">
        <v>141.15</v>
      </c>
      <c r="P176" s="119">
        <v>165.98</v>
      </c>
      <c r="Q176" s="119">
        <v>338.13</v>
      </c>
      <c r="R176" s="119">
        <v>139.48</v>
      </c>
      <c r="S176" s="119">
        <v>2725.39</v>
      </c>
      <c r="T176" s="119">
        <v>1332.27</v>
      </c>
      <c r="U176" s="119">
        <v>786.78</v>
      </c>
      <c r="V176" s="119">
        <v>825.4</v>
      </c>
      <c r="W176" s="119">
        <v>250.95</v>
      </c>
      <c r="X176" s="119">
        <v>370.31</v>
      </c>
      <c r="Y176" s="119">
        <v>370.7</v>
      </c>
      <c r="Z176" s="119">
        <v>289.61</v>
      </c>
      <c r="AA176" s="119">
        <v>252.8</v>
      </c>
      <c r="AB176" s="119">
        <v>208.87</v>
      </c>
      <c r="AC176" s="119">
        <v>249.22</v>
      </c>
      <c r="AD176" s="119">
        <v>273.17</v>
      </c>
      <c r="AE176" s="119">
        <v>285.54</v>
      </c>
      <c r="AF176" s="67">
        <f t="shared" si="71"/>
        <v>13662.6</v>
      </c>
    </row>
    <row r="177" outlineLevel="1">
      <c r="A177" s="259" t="s">
        <v>424</v>
      </c>
      <c r="B177" s="119">
        <v>47.79</v>
      </c>
      <c r="C177" s="119">
        <v>164.7</v>
      </c>
      <c r="D177" s="119">
        <v>173.02</v>
      </c>
      <c r="E177" s="119">
        <v>173.98</v>
      </c>
      <c r="F177" s="119">
        <v>118.59</v>
      </c>
      <c r="G177" s="119">
        <v>94.02</v>
      </c>
      <c r="H177" s="119">
        <v>0.0</v>
      </c>
      <c r="I177" s="119">
        <v>30.74</v>
      </c>
      <c r="J177" s="119">
        <v>0.0</v>
      </c>
      <c r="K177" s="119">
        <v>123.6</v>
      </c>
      <c r="L177" s="119">
        <v>123.16</v>
      </c>
      <c r="M177" s="119">
        <v>30.96</v>
      </c>
      <c r="N177" s="119">
        <v>54.23</v>
      </c>
      <c r="O177" s="119">
        <v>276.75</v>
      </c>
      <c r="P177" s="119">
        <v>195.5</v>
      </c>
      <c r="Q177" s="119">
        <v>56.27</v>
      </c>
      <c r="R177" s="119">
        <v>83.33</v>
      </c>
      <c r="S177" s="119">
        <v>1393.81</v>
      </c>
      <c r="T177" s="119">
        <v>705.35</v>
      </c>
      <c r="U177" s="119">
        <v>83.0</v>
      </c>
      <c r="V177" s="119">
        <v>417.4</v>
      </c>
      <c r="W177" s="119">
        <v>357.55</v>
      </c>
      <c r="X177" s="119">
        <v>201.38</v>
      </c>
      <c r="Y177" s="119">
        <v>460.1</v>
      </c>
      <c r="Z177" s="119">
        <v>287.35</v>
      </c>
      <c r="AA177" s="119">
        <v>205.75</v>
      </c>
      <c r="AB177" s="119">
        <v>208.17</v>
      </c>
      <c r="AC177" s="119">
        <v>206.81</v>
      </c>
      <c r="AD177" s="119">
        <v>406.72</v>
      </c>
      <c r="AE177" s="119">
        <v>204.78</v>
      </c>
      <c r="AF177" s="67">
        <f t="shared" si="71"/>
        <v>6884.81</v>
      </c>
    </row>
    <row r="178" outlineLevel="1">
      <c r="A178" s="259" t="s">
        <v>425</v>
      </c>
      <c r="B178" s="119">
        <v>115.78</v>
      </c>
      <c r="C178" s="119">
        <v>242.96</v>
      </c>
      <c r="D178" s="119">
        <v>416.59</v>
      </c>
      <c r="E178" s="119">
        <v>356.13</v>
      </c>
      <c r="F178" s="119">
        <v>410.51</v>
      </c>
      <c r="G178" s="119">
        <v>536.76</v>
      </c>
      <c r="H178" s="119">
        <v>358.1</v>
      </c>
      <c r="I178" s="119">
        <v>201.75</v>
      </c>
      <c r="J178" s="119">
        <v>0.0</v>
      </c>
      <c r="K178" s="119">
        <v>443.47</v>
      </c>
      <c r="L178" s="119">
        <v>328.31</v>
      </c>
      <c r="M178" s="119">
        <v>215.26</v>
      </c>
      <c r="N178" s="119">
        <v>196.95</v>
      </c>
      <c r="O178" s="119">
        <v>267.68</v>
      </c>
      <c r="P178" s="119">
        <v>398.98</v>
      </c>
      <c r="Q178" s="119">
        <v>266.18</v>
      </c>
      <c r="R178" s="119">
        <v>474.36</v>
      </c>
      <c r="S178" s="119">
        <v>490.17</v>
      </c>
      <c r="T178" s="119">
        <v>352.33</v>
      </c>
      <c r="U178" s="119">
        <v>298.21</v>
      </c>
      <c r="V178" s="119">
        <v>406.42</v>
      </c>
      <c r="W178" s="119">
        <v>426.0</v>
      </c>
      <c r="X178" s="119">
        <v>420.07</v>
      </c>
      <c r="Y178" s="119">
        <v>222.61</v>
      </c>
      <c r="Z178" s="119">
        <v>278.53</v>
      </c>
      <c r="AA178" s="119">
        <v>258.45</v>
      </c>
      <c r="AB178" s="119">
        <v>256.73</v>
      </c>
      <c r="AC178" s="119">
        <v>127.65</v>
      </c>
      <c r="AD178" s="119">
        <v>571.28</v>
      </c>
      <c r="AE178" s="119">
        <v>144.64</v>
      </c>
      <c r="AF178" s="67">
        <f t="shared" si="71"/>
        <v>9482.86</v>
      </c>
    </row>
    <row r="179" outlineLevel="1">
      <c r="A179" s="259" t="s">
        <v>427</v>
      </c>
      <c r="B179" s="119">
        <v>178.64</v>
      </c>
      <c r="C179" s="119">
        <v>176.05</v>
      </c>
      <c r="D179" s="119">
        <v>241.29</v>
      </c>
      <c r="E179" s="119">
        <v>187.76</v>
      </c>
      <c r="F179" s="119">
        <v>171.47</v>
      </c>
      <c r="G179" s="119">
        <v>119.14</v>
      </c>
      <c r="H179" s="119">
        <v>58.37</v>
      </c>
      <c r="I179" s="119">
        <v>0.0</v>
      </c>
      <c r="J179" s="119">
        <v>187.0</v>
      </c>
      <c r="K179" s="119">
        <v>76.37</v>
      </c>
      <c r="L179" s="119">
        <v>221.94</v>
      </c>
      <c r="M179" s="119">
        <v>0.0</v>
      </c>
      <c r="N179" s="119">
        <v>0.0</v>
      </c>
      <c r="O179" s="119">
        <v>60.83</v>
      </c>
      <c r="P179" s="119">
        <v>133.72</v>
      </c>
      <c r="Q179" s="119">
        <v>197.03</v>
      </c>
      <c r="R179" s="119">
        <v>135.14</v>
      </c>
      <c r="S179" s="119">
        <v>302.15</v>
      </c>
      <c r="T179" s="119">
        <v>0.0</v>
      </c>
      <c r="U179" s="119">
        <v>196.84</v>
      </c>
      <c r="V179" s="119">
        <v>201.12</v>
      </c>
      <c r="W179" s="119">
        <v>227.24</v>
      </c>
      <c r="X179" s="119">
        <v>76.13</v>
      </c>
      <c r="Y179" s="119">
        <v>74.45</v>
      </c>
      <c r="Z179" s="119">
        <v>0.0</v>
      </c>
      <c r="AA179" s="119">
        <v>203.7</v>
      </c>
      <c r="AB179" s="119">
        <v>0.0</v>
      </c>
      <c r="AC179" s="119">
        <v>52.94</v>
      </c>
      <c r="AD179" s="119">
        <v>0.0</v>
      </c>
      <c r="AE179" s="119">
        <v>0.0</v>
      </c>
      <c r="AF179" s="67">
        <f t="shared" si="71"/>
        <v>3479.32</v>
      </c>
    </row>
    <row r="180" outlineLevel="1">
      <c r="A180" s="259" t="s">
        <v>428</v>
      </c>
      <c r="B180" s="119">
        <v>0.0</v>
      </c>
      <c r="C180" s="119">
        <v>0.0</v>
      </c>
      <c r="D180" s="119">
        <v>0.0</v>
      </c>
      <c r="E180" s="119">
        <v>0.0</v>
      </c>
      <c r="F180" s="119">
        <v>0.0</v>
      </c>
      <c r="G180" s="119">
        <v>0.0</v>
      </c>
      <c r="H180" s="119">
        <v>0.0</v>
      </c>
      <c r="I180" s="119">
        <v>0.0</v>
      </c>
      <c r="J180" s="119">
        <v>0.0</v>
      </c>
      <c r="K180" s="119">
        <v>0.0</v>
      </c>
      <c r="L180" s="119">
        <v>0.0</v>
      </c>
      <c r="M180" s="119">
        <v>0.0</v>
      </c>
      <c r="N180" s="119">
        <v>0.0</v>
      </c>
      <c r="O180" s="119">
        <v>0.0</v>
      </c>
      <c r="P180" s="119">
        <v>0.0</v>
      </c>
      <c r="Q180" s="119">
        <v>0.0</v>
      </c>
      <c r="R180" s="119">
        <v>0.0</v>
      </c>
      <c r="S180" s="119">
        <v>11315.16</v>
      </c>
      <c r="T180" s="119">
        <v>5155.33</v>
      </c>
      <c r="U180" s="119">
        <v>2394.13</v>
      </c>
      <c r="V180" s="119">
        <v>1555.79</v>
      </c>
      <c r="W180" s="119">
        <v>1408.86</v>
      </c>
      <c r="X180" s="119">
        <v>1541.45</v>
      </c>
      <c r="Y180" s="119">
        <v>1353.09</v>
      </c>
      <c r="Z180" s="119">
        <v>1073.85</v>
      </c>
      <c r="AA180" s="119">
        <v>736.63</v>
      </c>
      <c r="AB180" s="119">
        <v>913.76</v>
      </c>
      <c r="AC180" s="119">
        <v>799.94</v>
      </c>
      <c r="AD180" s="119">
        <v>789.1</v>
      </c>
      <c r="AE180" s="119">
        <v>750.37</v>
      </c>
      <c r="AF180" s="67">
        <f t="shared" si="71"/>
        <v>29787.46</v>
      </c>
    </row>
    <row r="181" outlineLevel="1">
      <c r="A181" s="259" t="s">
        <v>429</v>
      </c>
      <c r="B181" s="119">
        <v>0.0</v>
      </c>
      <c r="C181" s="119">
        <v>0.0</v>
      </c>
      <c r="D181" s="119">
        <v>0.0</v>
      </c>
      <c r="E181" s="119">
        <v>0.0</v>
      </c>
      <c r="F181" s="119">
        <v>0.0</v>
      </c>
      <c r="G181" s="119">
        <v>0.0</v>
      </c>
      <c r="H181" s="119">
        <v>0.0</v>
      </c>
      <c r="I181" s="119">
        <v>0.0</v>
      </c>
      <c r="J181" s="119">
        <v>0.0</v>
      </c>
      <c r="K181" s="119">
        <v>0.0</v>
      </c>
      <c r="L181" s="119">
        <v>0.0</v>
      </c>
      <c r="M181" s="119">
        <v>0.0</v>
      </c>
      <c r="N181" s="119">
        <v>0.0</v>
      </c>
      <c r="O181" s="119">
        <v>0.0</v>
      </c>
      <c r="P181" s="119">
        <v>0.0</v>
      </c>
      <c r="Q181" s="119">
        <v>0.0</v>
      </c>
      <c r="R181" s="119">
        <v>0.0</v>
      </c>
      <c r="S181" s="119">
        <v>2727.48</v>
      </c>
      <c r="T181" s="119">
        <v>1629.74</v>
      </c>
      <c r="U181" s="119">
        <v>617.8</v>
      </c>
      <c r="V181" s="119">
        <v>422.43</v>
      </c>
      <c r="W181" s="119">
        <v>350.48</v>
      </c>
      <c r="X181" s="119">
        <v>214.15</v>
      </c>
      <c r="Y181" s="119">
        <v>498.39</v>
      </c>
      <c r="Z181" s="119">
        <v>373.42</v>
      </c>
      <c r="AA181" s="119">
        <v>370.5</v>
      </c>
      <c r="AB181" s="119">
        <v>391.94</v>
      </c>
      <c r="AC181" s="119">
        <v>338.46</v>
      </c>
      <c r="AD181" s="119">
        <v>246.57</v>
      </c>
      <c r="AE181" s="119">
        <v>268.58</v>
      </c>
      <c r="AF181" s="67">
        <f t="shared" si="71"/>
        <v>8449.94</v>
      </c>
    </row>
    <row r="182">
      <c r="A182" s="454" t="s">
        <v>159</v>
      </c>
      <c r="B182" s="460">
        <f t="shared" ref="B182:AE182" si="72">SUM(B174:B181)</f>
        <v>1020.94</v>
      </c>
      <c r="C182" s="460">
        <f t="shared" si="72"/>
        <v>1815.19</v>
      </c>
      <c r="D182" s="460">
        <f t="shared" si="72"/>
        <v>2563.63</v>
      </c>
      <c r="E182" s="460">
        <f t="shared" si="72"/>
        <v>2141.57</v>
      </c>
      <c r="F182" s="460">
        <f t="shared" si="72"/>
        <v>2057.4</v>
      </c>
      <c r="G182" s="460">
        <f t="shared" si="72"/>
        <v>1904.39</v>
      </c>
      <c r="H182" s="460">
        <f t="shared" si="72"/>
        <v>1360.76</v>
      </c>
      <c r="I182" s="460">
        <f t="shared" si="72"/>
        <v>903.97</v>
      </c>
      <c r="J182" s="460">
        <f t="shared" si="72"/>
        <v>819.04</v>
      </c>
      <c r="K182" s="460">
        <f t="shared" si="72"/>
        <v>1776.81</v>
      </c>
      <c r="L182" s="460">
        <f t="shared" si="72"/>
        <v>2010.18</v>
      </c>
      <c r="M182" s="460">
        <f t="shared" si="72"/>
        <v>1183.74</v>
      </c>
      <c r="N182" s="460">
        <f t="shared" si="72"/>
        <v>899.52</v>
      </c>
      <c r="O182" s="460">
        <f t="shared" si="72"/>
        <v>1551.3</v>
      </c>
      <c r="P182" s="460">
        <f t="shared" si="72"/>
        <v>1582.51</v>
      </c>
      <c r="Q182" s="460">
        <f t="shared" si="72"/>
        <v>1695.08</v>
      </c>
      <c r="R182" s="460">
        <f t="shared" si="72"/>
        <v>1534.83</v>
      </c>
      <c r="S182" s="460">
        <f t="shared" si="72"/>
        <v>20177.7</v>
      </c>
      <c r="T182" s="460">
        <f t="shared" si="72"/>
        <v>10321.46</v>
      </c>
      <c r="U182" s="460">
        <f t="shared" si="72"/>
        <v>5086.98</v>
      </c>
      <c r="V182" s="460">
        <f t="shared" si="72"/>
        <v>4521.59</v>
      </c>
      <c r="W182" s="460">
        <f t="shared" si="72"/>
        <v>3605.48</v>
      </c>
      <c r="X182" s="460">
        <f t="shared" si="72"/>
        <v>3446.19</v>
      </c>
      <c r="Y182" s="460">
        <f t="shared" si="72"/>
        <v>3951.46</v>
      </c>
      <c r="Z182" s="460">
        <f t="shared" si="72"/>
        <v>3086.89</v>
      </c>
      <c r="AA182" s="460">
        <f t="shared" si="72"/>
        <v>2629.41</v>
      </c>
      <c r="AB182" s="460">
        <f t="shared" si="72"/>
        <v>2994.36</v>
      </c>
      <c r="AC182" s="460">
        <f t="shared" si="72"/>
        <v>2587.59</v>
      </c>
      <c r="AD182" s="460">
        <f t="shared" si="72"/>
        <v>2873.08</v>
      </c>
      <c r="AE182" s="460">
        <f t="shared" si="72"/>
        <v>2359.47</v>
      </c>
      <c r="AF182" s="67">
        <f t="shared" si="71"/>
        <v>94462.52</v>
      </c>
    </row>
    <row r="183">
      <c r="A183" s="24"/>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459"/>
    </row>
    <row r="184">
      <c r="A184" s="259" t="s">
        <v>430</v>
      </c>
      <c r="B184" s="427"/>
      <c r="C184" s="427"/>
      <c r="D184" s="427"/>
      <c r="E184" s="427"/>
      <c r="F184" s="427"/>
      <c r="G184" s="427"/>
      <c r="H184" s="427"/>
      <c r="I184" s="427"/>
      <c r="J184" s="427"/>
      <c r="K184" s="427"/>
      <c r="L184" s="427"/>
      <c r="M184" s="427"/>
      <c r="N184" s="427"/>
      <c r="O184" s="427"/>
      <c r="P184" s="427"/>
      <c r="Q184" s="427"/>
      <c r="R184" s="427"/>
      <c r="S184" s="427"/>
      <c r="T184" s="427"/>
      <c r="U184" s="427"/>
      <c r="V184" s="427"/>
      <c r="W184" s="427"/>
      <c r="X184" s="427"/>
      <c r="Y184" s="427"/>
      <c r="Z184" s="427"/>
      <c r="AA184" s="427"/>
      <c r="AB184" s="427"/>
      <c r="AC184" s="427"/>
      <c r="AD184" s="427"/>
      <c r="AE184" s="427"/>
      <c r="AF184" s="459"/>
    </row>
    <row r="185" outlineLevel="1">
      <c r="A185" s="259" t="s">
        <v>266</v>
      </c>
      <c r="B185" s="124">
        <v>19.2</v>
      </c>
      <c r="C185" s="124">
        <v>115.2</v>
      </c>
      <c r="D185" s="124">
        <v>134.4</v>
      </c>
      <c r="E185" s="124">
        <v>153.6</v>
      </c>
      <c r="F185" s="124">
        <v>96.0</v>
      </c>
      <c r="G185" s="124">
        <v>19.2</v>
      </c>
      <c r="H185" s="124">
        <v>57.5</v>
      </c>
      <c r="I185" s="124">
        <v>48.0</v>
      </c>
      <c r="J185" s="124">
        <v>72.0</v>
      </c>
      <c r="K185" s="124">
        <v>120.0</v>
      </c>
      <c r="L185" s="124">
        <v>72.0</v>
      </c>
      <c r="M185" s="124">
        <v>45.5</v>
      </c>
      <c r="N185" s="124">
        <v>86.4</v>
      </c>
      <c r="O185" s="124">
        <v>21.6</v>
      </c>
      <c r="P185" s="124">
        <v>0.0</v>
      </c>
      <c r="Q185" s="124">
        <v>86.4</v>
      </c>
      <c r="R185" s="124">
        <v>21.6</v>
      </c>
      <c r="S185" s="124">
        <v>45.6</v>
      </c>
      <c r="T185" s="488">
        <v>144.0</v>
      </c>
      <c r="U185" s="124">
        <v>48.0</v>
      </c>
      <c r="V185" s="124">
        <v>0.0</v>
      </c>
      <c r="W185" s="124">
        <v>72.0</v>
      </c>
      <c r="X185" s="124">
        <v>72.0</v>
      </c>
      <c r="Y185" s="124">
        <v>96.0</v>
      </c>
      <c r="Z185" s="124">
        <v>144.0</v>
      </c>
      <c r="AA185" s="124">
        <v>72.0</v>
      </c>
      <c r="AB185" s="124">
        <v>24.0</v>
      </c>
      <c r="AC185" s="124">
        <v>141.5</v>
      </c>
      <c r="AD185" s="124">
        <v>48.0</v>
      </c>
      <c r="AE185" s="124">
        <v>24.0</v>
      </c>
      <c r="AF185" s="67">
        <f t="shared" ref="AF185:AF193" si="73">SUM(B185:AE185)</f>
        <v>2099.7</v>
      </c>
    </row>
    <row r="186" outlineLevel="1">
      <c r="A186" s="259" t="s">
        <v>267</v>
      </c>
      <c r="B186" s="124">
        <v>11.2</v>
      </c>
      <c r="C186" s="124">
        <v>44.8</v>
      </c>
      <c r="D186" s="124">
        <v>56.0</v>
      </c>
      <c r="E186" s="124">
        <v>44.8</v>
      </c>
      <c r="F186" s="124">
        <v>33.6</v>
      </c>
      <c r="G186" s="124">
        <v>11.2</v>
      </c>
      <c r="H186" s="124">
        <v>50.7</v>
      </c>
      <c r="I186" s="124">
        <v>14.0</v>
      </c>
      <c r="J186" s="124">
        <v>28.0</v>
      </c>
      <c r="K186" s="124">
        <v>42.0</v>
      </c>
      <c r="L186" s="124">
        <v>0.0</v>
      </c>
      <c r="M186" s="124">
        <v>25.5</v>
      </c>
      <c r="N186" s="124">
        <v>25.2</v>
      </c>
      <c r="O186" s="124">
        <v>25.2</v>
      </c>
      <c r="P186" s="124">
        <v>0.0</v>
      </c>
      <c r="Q186" s="124">
        <v>12.6</v>
      </c>
      <c r="R186" s="124">
        <v>0.0</v>
      </c>
      <c r="S186" s="124">
        <v>70.0</v>
      </c>
      <c r="T186" s="124">
        <v>84.0</v>
      </c>
      <c r="U186" s="124">
        <v>42.0</v>
      </c>
      <c r="V186" s="124">
        <v>0.0</v>
      </c>
      <c r="W186" s="124">
        <v>28.0</v>
      </c>
      <c r="X186" s="124">
        <v>56.0</v>
      </c>
      <c r="Y186" s="124">
        <v>56.0</v>
      </c>
      <c r="Z186" s="124">
        <v>84.0</v>
      </c>
      <c r="AA186" s="124">
        <v>42.0</v>
      </c>
      <c r="AB186" s="124">
        <v>56.0</v>
      </c>
      <c r="AC186" s="124">
        <v>81.5</v>
      </c>
      <c r="AD186" s="124">
        <v>42.0</v>
      </c>
      <c r="AE186" s="124">
        <v>28.0</v>
      </c>
      <c r="AF186" s="67">
        <f t="shared" si="73"/>
        <v>1094.3</v>
      </c>
    </row>
    <row r="187" outlineLevel="1">
      <c r="A187" s="259" t="s">
        <v>431</v>
      </c>
      <c r="B187" s="124">
        <v>23.2</v>
      </c>
      <c r="C187" s="124">
        <v>23.2</v>
      </c>
      <c r="D187" s="124">
        <v>69.6</v>
      </c>
      <c r="E187" s="124">
        <v>92.8</v>
      </c>
      <c r="F187" s="124">
        <v>69.6</v>
      </c>
      <c r="G187" s="124">
        <v>0.0</v>
      </c>
      <c r="H187" s="124">
        <v>55.5</v>
      </c>
      <c r="I187" s="124">
        <v>29.0</v>
      </c>
      <c r="J187" s="124">
        <v>116.0</v>
      </c>
      <c r="K187" s="124">
        <v>87.0</v>
      </c>
      <c r="L187" s="124">
        <v>0.0</v>
      </c>
      <c r="M187" s="124">
        <v>55.5</v>
      </c>
      <c r="N187" s="124">
        <v>78.3</v>
      </c>
      <c r="O187" s="124">
        <v>26.1</v>
      </c>
      <c r="P187" s="124">
        <v>0.0</v>
      </c>
      <c r="Q187" s="124">
        <v>26.1</v>
      </c>
      <c r="R187" s="124">
        <v>0.0</v>
      </c>
      <c r="S187" s="124">
        <v>599.0</v>
      </c>
      <c r="T187" s="124">
        <v>156.0</v>
      </c>
      <c r="U187" s="124">
        <v>0.0</v>
      </c>
      <c r="V187" s="124">
        <v>78.0</v>
      </c>
      <c r="W187" s="124">
        <v>0.0</v>
      </c>
      <c r="X187" s="124">
        <v>143.5</v>
      </c>
      <c r="Y187" s="124">
        <v>78.0</v>
      </c>
      <c r="Z187" s="124">
        <v>78.0</v>
      </c>
      <c r="AA187" s="124">
        <v>78.0</v>
      </c>
      <c r="AB187" s="124">
        <v>0.0</v>
      </c>
      <c r="AC187" s="124">
        <v>117.0</v>
      </c>
      <c r="AD187" s="124">
        <v>39.0</v>
      </c>
      <c r="AE187" s="124">
        <v>0.0</v>
      </c>
      <c r="AF187" s="67">
        <f t="shared" si="73"/>
        <v>2118.4</v>
      </c>
    </row>
    <row r="188" outlineLevel="1">
      <c r="A188" s="259" t="s">
        <v>432</v>
      </c>
      <c r="B188" s="124">
        <v>0.0</v>
      </c>
      <c r="C188" s="124">
        <v>0.0</v>
      </c>
      <c r="D188" s="124">
        <v>0.0</v>
      </c>
      <c r="E188" s="124">
        <v>0.0</v>
      </c>
      <c r="F188" s="124">
        <v>0.0</v>
      </c>
      <c r="G188" s="124">
        <v>23.2</v>
      </c>
      <c r="H188" s="124">
        <v>29.0</v>
      </c>
      <c r="I188" s="124">
        <v>0.0</v>
      </c>
      <c r="J188" s="124">
        <v>0.0</v>
      </c>
      <c r="K188" s="124">
        <v>29.0</v>
      </c>
      <c r="L188" s="124">
        <v>0.0</v>
      </c>
      <c r="M188" s="124">
        <v>0.0</v>
      </c>
      <c r="N188" s="124">
        <v>0.0</v>
      </c>
      <c r="O188" s="124">
        <v>0.0</v>
      </c>
      <c r="P188" s="124">
        <v>26.1</v>
      </c>
      <c r="Q188" s="124">
        <v>0.0</v>
      </c>
      <c r="R188" s="124">
        <v>0.0</v>
      </c>
      <c r="S188" s="124">
        <v>117.0</v>
      </c>
      <c r="T188" s="124">
        <v>195.0</v>
      </c>
      <c r="U188" s="124">
        <v>0.0</v>
      </c>
      <c r="V188" s="124">
        <v>39.0</v>
      </c>
      <c r="W188" s="124">
        <v>39.0</v>
      </c>
      <c r="X188" s="124">
        <v>39.0</v>
      </c>
      <c r="Y188" s="124">
        <v>0.0</v>
      </c>
      <c r="Z188" s="124">
        <v>78.0</v>
      </c>
      <c r="AA188" s="124">
        <v>39.0</v>
      </c>
      <c r="AB188" s="124">
        <v>78.0</v>
      </c>
      <c r="AC188" s="124">
        <v>0.0</v>
      </c>
      <c r="AD188" s="124">
        <v>39.0</v>
      </c>
      <c r="AE188" s="124">
        <v>0.0</v>
      </c>
      <c r="AF188" s="67">
        <f t="shared" si="73"/>
        <v>770.3</v>
      </c>
    </row>
    <row r="189" outlineLevel="1">
      <c r="A189" s="259" t="s">
        <v>433</v>
      </c>
      <c r="B189" s="124">
        <v>56.0</v>
      </c>
      <c r="C189" s="124">
        <v>56.0</v>
      </c>
      <c r="D189" s="124">
        <v>56.0</v>
      </c>
      <c r="E189" s="124">
        <v>0.0</v>
      </c>
      <c r="F189" s="124">
        <v>0.0</v>
      </c>
      <c r="G189" s="124">
        <v>112.0</v>
      </c>
      <c r="H189" s="124">
        <v>0.0</v>
      </c>
      <c r="I189" s="124">
        <v>0.0</v>
      </c>
      <c r="J189" s="124">
        <v>140.0</v>
      </c>
      <c r="K189" s="124">
        <v>0.0</v>
      </c>
      <c r="L189" s="124">
        <v>70.0</v>
      </c>
      <c r="M189" s="124">
        <v>0.0</v>
      </c>
      <c r="N189" s="124">
        <v>0.0</v>
      </c>
      <c r="O189" s="124">
        <v>0.0</v>
      </c>
      <c r="P189" s="124">
        <v>0.0</v>
      </c>
      <c r="Q189" s="124">
        <v>0.0</v>
      </c>
      <c r="R189" s="124">
        <v>0.0</v>
      </c>
      <c r="S189" s="124">
        <v>0.0</v>
      </c>
      <c r="T189" s="124">
        <v>140.0</v>
      </c>
      <c r="U189" s="124">
        <v>70.0</v>
      </c>
      <c r="V189" s="124">
        <v>70.0</v>
      </c>
      <c r="W189" s="124">
        <v>70.0</v>
      </c>
      <c r="X189" s="124">
        <v>70.0</v>
      </c>
      <c r="Y189" s="124">
        <v>140.0</v>
      </c>
      <c r="Z189" s="124">
        <v>0.0</v>
      </c>
      <c r="AA189" s="124">
        <v>1.4</v>
      </c>
      <c r="AB189" s="124">
        <v>0.0</v>
      </c>
      <c r="AC189" s="124">
        <v>66.67</v>
      </c>
      <c r="AD189" s="124">
        <v>0.0</v>
      </c>
      <c r="AE189" s="124">
        <v>0.0</v>
      </c>
      <c r="AF189" s="67">
        <f t="shared" si="73"/>
        <v>1118.07</v>
      </c>
    </row>
    <row r="190" outlineLevel="1">
      <c r="A190" s="259" t="s">
        <v>434</v>
      </c>
      <c r="B190" s="124">
        <v>0.0</v>
      </c>
      <c r="C190" s="124">
        <v>0.0</v>
      </c>
      <c r="D190" s="124">
        <v>0.0</v>
      </c>
      <c r="E190" s="124">
        <v>0.0</v>
      </c>
      <c r="F190" s="124">
        <v>0.0</v>
      </c>
      <c r="G190" s="124">
        <v>56.0</v>
      </c>
      <c r="H190" s="124">
        <v>0.0</v>
      </c>
      <c r="I190" s="124">
        <v>0.0</v>
      </c>
      <c r="J190" s="124">
        <v>0.0</v>
      </c>
      <c r="K190" s="124">
        <v>0.0</v>
      </c>
      <c r="L190" s="124">
        <v>0.0</v>
      </c>
      <c r="M190" s="124">
        <v>0.0</v>
      </c>
      <c r="N190" s="124">
        <v>0.0</v>
      </c>
      <c r="O190" s="124">
        <v>0.0</v>
      </c>
      <c r="P190" s="124">
        <v>0.0</v>
      </c>
      <c r="Q190" s="124">
        <v>0.0</v>
      </c>
      <c r="R190" s="124">
        <v>0.0</v>
      </c>
      <c r="S190" s="124">
        <v>140.0</v>
      </c>
      <c r="T190" s="124">
        <v>0.0</v>
      </c>
      <c r="U190" s="124">
        <v>70.0</v>
      </c>
      <c r="V190" s="124">
        <v>70.0</v>
      </c>
      <c r="W190" s="124">
        <v>0.0</v>
      </c>
      <c r="X190" s="124">
        <v>0.0</v>
      </c>
      <c r="Y190" s="124">
        <v>0.0</v>
      </c>
      <c r="Z190" s="124">
        <v>0.0</v>
      </c>
      <c r="AA190" s="124">
        <v>0.0</v>
      </c>
      <c r="AB190" s="124">
        <v>70.0</v>
      </c>
      <c r="AC190" s="124">
        <v>0.0</v>
      </c>
      <c r="AD190" s="124">
        <v>0.0</v>
      </c>
      <c r="AE190" s="124">
        <v>0.0</v>
      </c>
      <c r="AF190" s="67">
        <f t="shared" si="73"/>
        <v>406</v>
      </c>
    </row>
    <row r="191" outlineLevel="1">
      <c r="A191" s="259" t="s">
        <v>435</v>
      </c>
      <c r="B191" s="124">
        <v>0.0</v>
      </c>
      <c r="C191" s="124">
        <v>0.0</v>
      </c>
      <c r="D191" s="124">
        <v>0.0</v>
      </c>
      <c r="E191" s="124">
        <v>0.0</v>
      </c>
      <c r="F191" s="124">
        <v>0.0</v>
      </c>
      <c r="G191" s="124">
        <v>0.0</v>
      </c>
      <c r="H191" s="124">
        <v>0.0</v>
      </c>
      <c r="I191" s="124">
        <v>0.0</v>
      </c>
      <c r="J191" s="124">
        <v>0.0</v>
      </c>
      <c r="K191" s="124">
        <v>0.0</v>
      </c>
      <c r="L191" s="124">
        <v>0.0</v>
      </c>
      <c r="M191" s="124">
        <v>0.0</v>
      </c>
      <c r="N191" s="124">
        <v>0.0</v>
      </c>
      <c r="O191" s="124">
        <v>0.0</v>
      </c>
      <c r="P191" s="124">
        <v>0.0</v>
      </c>
      <c r="Q191" s="124">
        <v>0.0</v>
      </c>
      <c r="R191" s="124">
        <v>0.0</v>
      </c>
      <c r="S191" s="124">
        <v>1773.0</v>
      </c>
      <c r="T191" s="124">
        <v>729.0</v>
      </c>
      <c r="U191" s="124">
        <v>555.0</v>
      </c>
      <c r="V191" s="124">
        <v>306.5</v>
      </c>
      <c r="W191" s="124">
        <v>261.0</v>
      </c>
      <c r="X191" s="124">
        <v>364.5</v>
      </c>
      <c r="Y191" s="124">
        <v>290.0</v>
      </c>
      <c r="Z191" s="124">
        <v>116.0</v>
      </c>
      <c r="AA191" s="124">
        <v>58.0</v>
      </c>
      <c r="AB191" s="124">
        <v>116.0</v>
      </c>
      <c r="AC191" s="124">
        <v>286.67</v>
      </c>
      <c r="AD191" s="124">
        <v>145.0</v>
      </c>
      <c r="AE191" s="124">
        <v>29.0</v>
      </c>
      <c r="AF191" s="67">
        <f t="shared" si="73"/>
        <v>5029.67</v>
      </c>
    </row>
    <row r="192" outlineLevel="1">
      <c r="A192" s="259" t="s">
        <v>436</v>
      </c>
      <c r="B192" s="124">
        <v>0.0</v>
      </c>
      <c r="C192" s="124">
        <v>0.0</v>
      </c>
      <c r="D192" s="124">
        <v>0.0</v>
      </c>
      <c r="E192" s="124">
        <v>0.0</v>
      </c>
      <c r="F192" s="124">
        <v>0.0</v>
      </c>
      <c r="G192" s="124">
        <v>0.0</v>
      </c>
      <c r="H192" s="124">
        <v>0.0</v>
      </c>
      <c r="I192" s="124">
        <v>0.0</v>
      </c>
      <c r="J192" s="124">
        <v>0.0</v>
      </c>
      <c r="K192" s="124">
        <v>0.0</v>
      </c>
      <c r="L192" s="124">
        <v>0.0</v>
      </c>
      <c r="M192" s="124">
        <v>0.0</v>
      </c>
      <c r="N192" s="124">
        <v>0.0</v>
      </c>
      <c r="O192" s="124">
        <v>0.0</v>
      </c>
      <c r="P192" s="124">
        <v>0.0</v>
      </c>
      <c r="Q192" s="124">
        <v>0.0</v>
      </c>
      <c r="R192" s="124">
        <v>0.0</v>
      </c>
      <c r="S192" s="124">
        <v>377.0</v>
      </c>
      <c r="T192" s="124">
        <v>145.0</v>
      </c>
      <c r="U192" s="124">
        <v>58.0</v>
      </c>
      <c r="V192" s="124">
        <v>74.5</v>
      </c>
      <c r="W192" s="124">
        <v>87.0</v>
      </c>
      <c r="X192" s="124">
        <v>87.0</v>
      </c>
      <c r="Y192" s="124">
        <v>87.0</v>
      </c>
      <c r="Z192" s="124">
        <v>87.0</v>
      </c>
      <c r="AA192" s="124">
        <v>58.0</v>
      </c>
      <c r="AB192" s="124">
        <v>29.0</v>
      </c>
      <c r="AC192" s="124">
        <v>84.5</v>
      </c>
      <c r="AD192" s="124">
        <v>0.0</v>
      </c>
      <c r="AE192" s="124">
        <v>87.0</v>
      </c>
      <c r="AF192" s="67">
        <f t="shared" si="73"/>
        <v>1261</v>
      </c>
    </row>
    <row r="193">
      <c r="A193" s="454" t="s">
        <v>159</v>
      </c>
      <c r="B193" s="460">
        <f t="shared" ref="B193:AE193" si="74">SUM(B185:B192)</f>
        <v>109.6</v>
      </c>
      <c r="C193" s="460">
        <f t="shared" si="74"/>
        <v>239.2</v>
      </c>
      <c r="D193" s="460">
        <f t="shared" si="74"/>
        <v>316</v>
      </c>
      <c r="E193" s="460">
        <f t="shared" si="74"/>
        <v>291.2</v>
      </c>
      <c r="F193" s="460">
        <f t="shared" si="74"/>
        <v>199.2</v>
      </c>
      <c r="G193" s="460">
        <f t="shared" si="74"/>
        <v>221.6</v>
      </c>
      <c r="H193" s="460">
        <f t="shared" si="74"/>
        <v>192.7</v>
      </c>
      <c r="I193" s="460">
        <f t="shared" si="74"/>
        <v>91</v>
      </c>
      <c r="J193" s="460">
        <f t="shared" si="74"/>
        <v>356</v>
      </c>
      <c r="K193" s="460">
        <f t="shared" si="74"/>
        <v>278</v>
      </c>
      <c r="L193" s="460">
        <f t="shared" si="74"/>
        <v>142</v>
      </c>
      <c r="M193" s="460">
        <f t="shared" si="74"/>
        <v>126.5</v>
      </c>
      <c r="N193" s="460">
        <f t="shared" si="74"/>
        <v>189.9</v>
      </c>
      <c r="O193" s="460">
        <f t="shared" si="74"/>
        <v>72.9</v>
      </c>
      <c r="P193" s="460">
        <f t="shared" si="74"/>
        <v>26.1</v>
      </c>
      <c r="Q193" s="460">
        <f t="shared" si="74"/>
        <v>125.1</v>
      </c>
      <c r="R193" s="460">
        <f t="shared" si="74"/>
        <v>21.6</v>
      </c>
      <c r="S193" s="460">
        <f t="shared" si="74"/>
        <v>3121.6</v>
      </c>
      <c r="T193" s="460">
        <f t="shared" si="74"/>
        <v>1593</v>
      </c>
      <c r="U193" s="460">
        <f t="shared" si="74"/>
        <v>843</v>
      </c>
      <c r="V193" s="460">
        <f t="shared" si="74"/>
        <v>638</v>
      </c>
      <c r="W193" s="460">
        <f t="shared" si="74"/>
        <v>557</v>
      </c>
      <c r="X193" s="460">
        <f t="shared" si="74"/>
        <v>832</v>
      </c>
      <c r="Y193" s="460">
        <f t="shared" si="74"/>
        <v>747</v>
      </c>
      <c r="Z193" s="460">
        <f t="shared" si="74"/>
        <v>587</v>
      </c>
      <c r="AA193" s="460">
        <f t="shared" si="74"/>
        <v>348.4</v>
      </c>
      <c r="AB193" s="460">
        <f t="shared" si="74"/>
        <v>373</v>
      </c>
      <c r="AC193" s="460">
        <f t="shared" si="74"/>
        <v>777.84</v>
      </c>
      <c r="AD193" s="460">
        <f t="shared" si="74"/>
        <v>313</v>
      </c>
      <c r="AE193" s="460">
        <f t="shared" si="74"/>
        <v>168</v>
      </c>
      <c r="AF193" s="67">
        <f t="shared" si="73"/>
        <v>13897.44</v>
      </c>
    </row>
    <row r="194">
      <c r="A194" s="24"/>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7"/>
    </row>
    <row r="195">
      <c r="A195" s="458" t="s">
        <v>437</v>
      </c>
      <c r="B195" s="533"/>
      <c r="C195" s="533"/>
      <c r="D195" s="533"/>
      <c r="E195" s="533"/>
      <c r="F195" s="533"/>
      <c r="G195" s="533"/>
      <c r="H195" s="533"/>
      <c r="I195" s="533"/>
      <c r="J195" s="533"/>
      <c r="K195" s="533"/>
      <c r="L195" s="533"/>
      <c r="M195" s="533"/>
      <c r="N195" s="533"/>
      <c r="O195" s="533"/>
      <c r="P195" s="533"/>
      <c r="Q195" s="533"/>
      <c r="R195" s="533"/>
      <c r="S195" s="533"/>
      <c r="T195" s="533"/>
      <c r="U195" s="533"/>
      <c r="V195" s="533"/>
      <c r="W195" s="533"/>
      <c r="X195" s="533"/>
      <c r="Y195" s="533"/>
      <c r="Z195" s="533"/>
      <c r="AA195" s="533"/>
      <c r="AB195" s="533"/>
      <c r="AC195" s="533"/>
      <c r="AD195" s="533"/>
      <c r="AE195" s="533"/>
      <c r="AF195" s="7"/>
    </row>
    <row r="196">
      <c r="A196" s="539" t="s">
        <v>117</v>
      </c>
      <c r="B196" s="541"/>
      <c r="C196" s="541"/>
      <c r="D196" s="541"/>
      <c r="E196" s="541"/>
      <c r="F196" s="541"/>
      <c r="G196" s="541"/>
      <c r="H196" s="541"/>
      <c r="I196" s="541"/>
      <c r="J196" s="541"/>
      <c r="K196" s="541"/>
      <c r="L196" s="541"/>
      <c r="M196" s="541"/>
      <c r="N196" s="541"/>
      <c r="O196" s="541"/>
      <c r="P196" s="541"/>
      <c r="Q196" s="541"/>
      <c r="R196" s="541"/>
      <c r="S196" s="541"/>
      <c r="T196" s="541"/>
      <c r="U196" s="541"/>
      <c r="V196" s="541"/>
      <c r="W196" s="541"/>
      <c r="X196" s="541"/>
      <c r="Y196" s="541"/>
      <c r="Z196" s="541"/>
      <c r="AA196" s="541"/>
      <c r="AB196" s="541"/>
      <c r="AC196" s="541"/>
      <c r="AD196" s="541"/>
      <c r="AE196" s="541"/>
      <c r="AF196" s="67"/>
    </row>
    <row r="197">
      <c r="A197" s="24"/>
      <c r="B197" s="17"/>
      <c r="C197" s="17"/>
      <c r="D197" s="17"/>
      <c r="E197" s="17"/>
      <c r="F197" s="17"/>
      <c r="G197" s="17"/>
      <c r="H197" s="17"/>
      <c r="I197" s="17"/>
      <c r="J197" s="17" t="s">
        <v>334</v>
      </c>
      <c r="K197" s="17"/>
      <c r="L197" s="17"/>
      <c r="M197" s="17"/>
      <c r="N197" s="17"/>
      <c r="O197" s="17"/>
      <c r="P197" s="17"/>
      <c r="Q197" s="17"/>
      <c r="R197" s="17"/>
      <c r="S197" s="17"/>
      <c r="T197" s="17"/>
      <c r="U197" s="17"/>
      <c r="V197" s="17"/>
      <c r="W197" s="17"/>
      <c r="X197" s="17"/>
      <c r="Y197" s="17"/>
      <c r="Z197" s="17"/>
      <c r="AA197" s="17"/>
      <c r="AB197" s="17"/>
      <c r="AC197" s="17"/>
      <c r="AD197" s="17"/>
      <c r="AE197" s="17"/>
      <c r="AF197" s="7"/>
    </row>
    <row r="198">
      <c r="A198" s="546" t="s">
        <v>439</v>
      </c>
      <c r="B198" s="548"/>
      <c r="C198" s="548"/>
      <c r="D198" s="548"/>
      <c r="E198" s="548"/>
      <c r="F198" s="548"/>
      <c r="G198" s="548"/>
      <c r="H198" s="548"/>
      <c r="I198" s="550"/>
      <c r="J198" s="550"/>
      <c r="K198" s="550"/>
      <c r="L198" s="550"/>
      <c r="M198" s="550"/>
      <c r="N198" s="550"/>
      <c r="O198" s="550"/>
      <c r="P198" s="550"/>
      <c r="Q198" s="550"/>
      <c r="R198" s="550"/>
      <c r="S198" s="550"/>
      <c r="T198" s="550"/>
      <c r="U198" s="550"/>
      <c r="V198" s="550"/>
      <c r="W198" s="550"/>
      <c r="X198" s="550"/>
      <c r="Y198" s="550"/>
      <c r="Z198" s="550"/>
      <c r="AA198" s="550"/>
      <c r="AB198" s="550"/>
      <c r="AC198" s="550"/>
      <c r="AD198" s="550"/>
      <c r="AE198" s="550"/>
      <c r="AF198" s="7"/>
    </row>
    <row r="199">
      <c r="A199" s="116" t="s">
        <v>373</v>
      </c>
      <c r="B199" s="279"/>
      <c r="C199" s="279"/>
      <c r="D199" s="279"/>
      <c r="E199" s="279"/>
      <c r="F199" s="279"/>
      <c r="G199" s="279"/>
      <c r="H199" s="279"/>
      <c r="I199" s="279"/>
      <c r="J199" s="279"/>
      <c r="K199" s="279"/>
      <c r="L199" s="279"/>
      <c r="M199" s="279"/>
      <c r="N199" s="279"/>
      <c r="O199" s="279"/>
      <c r="P199" s="279"/>
      <c r="Q199" s="279"/>
      <c r="R199" s="279"/>
      <c r="S199" s="279"/>
      <c r="T199" s="279"/>
      <c r="U199" s="279"/>
      <c r="V199" s="279"/>
      <c r="W199" s="279"/>
      <c r="X199" s="279"/>
      <c r="Y199" s="279"/>
      <c r="Z199" s="279"/>
      <c r="AA199" s="279"/>
      <c r="AB199" s="279"/>
      <c r="AC199" s="279"/>
      <c r="AD199" s="279"/>
      <c r="AE199" s="279"/>
      <c r="AF199" s="258"/>
    </row>
    <row r="200" outlineLevel="1">
      <c r="A200" s="116" t="s">
        <v>440</v>
      </c>
      <c r="B200" s="331">
        <v>0.0</v>
      </c>
      <c r="C200" s="331">
        <v>0.0</v>
      </c>
      <c r="D200" s="331">
        <v>1.0</v>
      </c>
      <c r="E200" s="331">
        <v>0.0</v>
      </c>
      <c r="F200" s="331">
        <v>0.0</v>
      </c>
      <c r="G200" s="331">
        <v>1.0</v>
      </c>
      <c r="H200" s="331">
        <v>0.0</v>
      </c>
      <c r="I200" s="331">
        <v>0.0</v>
      </c>
      <c r="J200" s="331">
        <v>0.0</v>
      </c>
      <c r="K200" s="331">
        <v>2.0</v>
      </c>
      <c r="L200" s="331">
        <v>0.0</v>
      </c>
      <c r="M200" s="331">
        <v>0.0</v>
      </c>
      <c r="N200" s="331">
        <v>0.0</v>
      </c>
      <c r="O200" s="331">
        <v>1.0</v>
      </c>
      <c r="P200" s="331">
        <v>0.0</v>
      </c>
      <c r="Q200" s="331">
        <v>0.0</v>
      </c>
      <c r="R200" s="331">
        <v>0.0</v>
      </c>
      <c r="S200" s="331">
        <v>1.0</v>
      </c>
      <c r="T200" s="331">
        <v>0.0</v>
      </c>
      <c r="U200" s="331">
        <v>0.0</v>
      </c>
      <c r="V200" s="331">
        <v>0.0</v>
      </c>
      <c r="W200" s="331">
        <v>0.0</v>
      </c>
      <c r="X200" s="331">
        <v>0.0</v>
      </c>
      <c r="Y200" s="331">
        <v>0.0</v>
      </c>
      <c r="Z200" s="331">
        <v>0.0</v>
      </c>
      <c r="AA200" s="331">
        <v>1.0</v>
      </c>
      <c r="AB200" s="331">
        <v>0.0</v>
      </c>
      <c r="AC200" s="331">
        <v>0.0</v>
      </c>
      <c r="AD200" s="331">
        <v>0.0</v>
      </c>
      <c r="AE200" s="331">
        <v>0.0</v>
      </c>
      <c r="AF200" s="155">
        <f t="shared" ref="AF200:AF203" si="75">SUM(B200:AE200)</f>
        <v>7</v>
      </c>
    </row>
    <row r="201" outlineLevel="1">
      <c r="A201" s="116" t="s">
        <v>441</v>
      </c>
      <c r="B201" s="331">
        <v>0.0</v>
      </c>
      <c r="C201" s="331">
        <v>0.0</v>
      </c>
      <c r="D201" s="331">
        <v>0.0</v>
      </c>
      <c r="E201" s="331">
        <v>0.0</v>
      </c>
      <c r="F201" s="331">
        <v>0.0</v>
      </c>
      <c r="G201" s="331">
        <v>1.0</v>
      </c>
      <c r="H201" s="331">
        <v>1.0</v>
      </c>
      <c r="I201" s="331">
        <v>0.0</v>
      </c>
      <c r="J201" s="331">
        <v>0.0</v>
      </c>
      <c r="K201" s="331">
        <v>0.0</v>
      </c>
      <c r="L201" s="331">
        <v>0.0</v>
      </c>
      <c r="M201" s="331">
        <v>0.0</v>
      </c>
      <c r="N201" s="331">
        <v>0.0</v>
      </c>
      <c r="O201" s="331">
        <v>0.0</v>
      </c>
      <c r="P201" s="331">
        <v>0.0</v>
      </c>
      <c r="Q201" s="331">
        <v>0.0</v>
      </c>
      <c r="R201" s="331">
        <v>0.0</v>
      </c>
      <c r="S201" s="331">
        <v>0.0</v>
      </c>
      <c r="T201" s="331">
        <v>0.0</v>
      </c>
      <c r="U201" s="331">
        <v>0.0</v>
      </c>
      <c r="V201" s="331">
        <v>0.0</v>
      </c>
      <c r="W201" s="331">
        <v>0.0</v>
      </c>
      <c r="X201" s="331">
        <v>0.0</v>
      </c>
      <c r="Y201" s="331">
        <v>0.0</v>
      </c>
      <c r="Z201" s="331">
        <v>0.0</v>
      </c>
      <c r="AA201" s="331">
        <v>0.0</v>
      </c>
      <c r="AB201" s="331">
        <v>0.0</v>
      </c>
      <c r="AC201" s="331">
        <v>0.0</v>
      </c>
      <c r="AD201" s="331">
        <v>0.0</v>
      </c>
      <c r="AE201" s="331">
        <v>0.0</v>
      </c>
      <c r="AF201" s="155">
        <f t="shared" si="75"/>
        <v>2</v>
      </c>
    </row>
    <row r="202" outlineLevel="1">
      <c r="A202" s="116" t="s">
        <v>442</v>
      </c>
      <c r="B202" s="332">
        <v>0.0</v>
      </c>
      <c r="C202" s="332">
        <v>0.0</v>
      </c>
      <c r="D202" s="332">
        <v>0.0</v>
      </c>
      <c r="E202" s="332">
        <v>0.0</v>
      </c>
      <c r="F202" s="332">
        <v>0.0</v>
      </c>
      <c r="G202" s="331">
        <v>2.0</v>
      </c>
      <c r="H202" s="331">
        <v>1.0</v>
      </c>
      <c r="I202" s="331">
        <v>0.0</v>
      </c>
      <c r="J202" s="331">
        <v>0.0</v>
      </c>
      <c r="K202" s="331">
        <v>0.0</v>
      </c>
      <c r="L202" s="331">
        <v>0.0</v>
      </c>
      <c r="M202" s="331">
        <v>0.0</v>
      </c>
      <c r="N202" s="331">
        <v>0.0</v>
      </c>
      <c r="O202" s="331">
        <v>0.0</v>
      </c>
      <c r="P202" s="331">
        <v>0.0</v>
      </c>
      <c r="Q202" s="331">
        <v>0.0</v>
      </c>
      <c r="R202" s="331">
        <v>0.0</v>
      </c>
      <c r="S202" s="331">
        <v>0.0</v>
      </c>
      <c r="T202" s="331">
        <v>0.0</v>
      </c>
      <c r="U202" s="331">
        <v>0.0</v>
      </c>
      <c r="V202" s="331">
        <v>0.0</v>
      </c>
      <c r="W202" s="331">
        <v>0.0</v>
      </c>
      <c r="X202" s="331">
        <v>0.0</v>
      </c>
      <c r="Y202" s="331">
        <v>1.0</v>
      </c>
      <c r="Z202" s="331">
        <v>0.0</v>
      </c>
      <c r="AA202" s="331">
        <v>0.0</v>
      </c>
      <c r="AB202" s="331">
        <v>0.0</v>
      </c>
      <c r="AC202" s="331">
        <v>0.0</v>
      </c>
      <c r="AD202" s="331">
        <v>0.0</v>
      </c>
      <c r="AE202" s="331">
        <v>0.0</v>
      </c>
      <c r="AF202" s="155">
        <f t="shared" si="75"/>
        <v>4</v>
      </c>
    </row>
    <row r="203" outlineLevel="1">
      <c r="A203" s="116" t="s">
        <v>443</v>
      </c>
      <c r="B203" s="332">
        <v>0.0</v>
      </c>
      <c r="C203" s="332">
        <v>0.0</v>
      </c>
      <c r="D203" s="332">
        <v>0.0</v>
      </c>
      <c r="E203" s="332">
        <v>1.0</v>
      </c>
      <c r="F203" s="332">
        <v>0.0</v>
      </c>
      <c r="G203" s="331">
        <v>0.0</v>
      </c>
      <c r="H203" s="331">
        <v>0.0</v>
      </c>
      <c r="I203" s="331">
        <v>0.0</v>
      </c>
      <c r="J203" s="331">
        <v>0.0</v>
      </c>
      <c r="K203" s="331">
        <v>0.0</v>
      </c>
      <c r="L203" s="331">
        <v>0.0</v>
      </c>
      <c r="M203" s="331">
        <v>0.0</v>
      </c>
      <c r="N203" s="331">
        <v>0.0</v>
      </c>
      <c r="O203" s="331">
        <v>0.0</v>
      </c>
      <c r="P203" s="331">
        <v>2.0</v>
      </c>
      <c r="Q203" s="331">
        <v>0.0</v>
      </c>
      <c r="R203" s="331">
        <v>0.0</v>
      </c>
      <c r="S203" s="331">
        <v>0.0</v>
      </c>
      <c r="T203" s="331">
        <v>0.0</v>
      </c>
      <c r="U203" s="331">
        <v>0.0</v>
      </c>
      <c r="V203" s="331">
        <v>0.0</v>
      </c>
      <c r="W203" s="331">
        <v>0.0</v>
      </c>
      <c r="X203" s="331">
        <v>0.0</v>
      </c>
      <c r="Y203" s="331">
        <v>0.0</v>
      </c>
      <c r="Z203" s="331">
        <v>0.0</v>
      </c>
      <c r="AA203" s="331">
        <v>0.0</v>
      </c>
      <c r="AB203" s="331">
        <v>0.0</v>
      </c>
      <c r="AC203" s="331">
        <v>0.0</v>
      </c>
      <c r="AD203" s="331">
        <v>0.0</v>
      </c>
      <c r="AE203" s="331">
        <v>0.0</v>
      </c>
      <c r="AF203" s="155">
        <f t="shared" si="75"/>
        <v>3</v>
      </c>
    </row>
    <row r="204">
      <c r="A204" s="116" t="s">
        <v>380</v>
      </c>
      <c r="B204" s="574"/>
      <c r="C204" s="574"/>
      <c r="D204" s="574"/>
      <c r="E204" s="574"/>
      <c r="F204" s="574"/>
      <c r="G204" s="574"/>
      <c r="H204" s="574"/>
      <c r="I204" s="574"/>
      <c r="J204" s="574"/>
      <c r="K204" s="574"/>
      <c r="L204" s="574"/>
      <c r="M204" s="574"/>
      <c r="N204" s="574"/>
      <c r="O204" s="574"/>
      <c r="P204" s="574"/>
      <c r="Q204" s="574"/>
      <c r="R204" s="574"/>
      <c r="S204" s="574"/>
      <c r="T204" s="574"/>
      <c r="U204" s="574"/>
      <c r="V204" s="574"/>
      <c r="W204" s="574"/>
      <c r="X204" s="574"/>
      <c r="Y204" s="574"/>
      <c r="Z204" s="574"/>
      <c r="AA204" s="574"/>
      <c r="AB204" s="574"/>
      <c r="AC204" s="574"/>
      <c r="AD204" s="574"/>
      <c r="AE204" s="574"/>
      <c r="AF204" s="258"/>
    </row>
    <row r="205" outlineLevel="1">
      <c r="A205" s="116" t="s">
        <v>445</v>
      </c>
      <c r="B205" s="331">
        <v>0.0</v>
      </c>
      <c r="C205" s="331">
        <v>0.0</v>
      </c>
      <c r="D205" s="331">
        <v>0.0</v>
      </c>
      <c r="E205" s="331">
        <v>0.0</v>
      </c>
      <c r="F205" s="331">
        <v>1.0</v>
      </c>
      <c r="G205" s="331">
        <v>0.0</v>
      </c>
      <c r="H205" s="331">
        <v>0.0</v>
      </c>
      <c r="I205" s="331">
        <v>0.0</v>
      </c>
      <c r="J205" s="331">
        <v>0.0</v>
      </c>
      <c r="K205" s="331">
        <v>0.0</v>
      </c>
      <c r="L205" s="331">
        <v>0.0</v>
      </c>
      <c r="M205" s="331">
        <v>0.0</v>
      </c>
      <c r="N205" s="331">
        <v>0.0</v>
      </c>
      <c r="O205" s="331">
        <v>0.0</v>
      </c>
      <c r="P205" s="331">
        <v>0.0</v>
      </c>
      <c r="Q205" s="331">
        <v>0.0</v>
      </c>
      <c r="R205" s="331">
        <v>0.0</v>
      </c>
      <c r="S205" s="331">
        <v>0.0</v>
      </c>
      <c r="T205" s="331">
        <v>0.0</v>
      </c>
      <c r="U205" s="331">
        <v>0.0</v>
      </c>
      <c r="V205" s="331">
        <v>0.0</v>
      </c>
      <c r="W205" s="331">
        <v>0.0</v>
      </c>
      <c r="X205" s="331">
        <v>0.0</v>
      </c>
      <c r="Y205" s="331">
        <v>0.0</v>
      </c>
      <c r="Z205" s="331">
        <v>0.0</v>
      </c>
      <c r="AA205" s="331">
        <v>0.0</v>
      </c>
      <c r="AB205" s="331">
        <v>0.0</v>
      </c>
      <c r="AC205" s="331">
        <v>0.0</v>
      </c>
      <c r="AD205" s="331">
        <v>0.0</v>
      </c>
      <c r="AE205" s="331">
        <v>0.0</v>
      </c>
      <c r="AF205" s="155">
        <f t="shared" ref="AF205:AF210" si="76">SUM(B205:AE205)</f>
        <v>1</v>
      </c>
    </row>
    <row r="206" outlineLevel="1">
      <c r="A206" s="116" t="s">
        <v>447</v>
      </c>
      <c r="B206" s="331">
        <v>0.0</v>
      </c>
      <c r="C206" s="331">
        <v>0.0</v>
      </c>
      <c r="D206" s="331">
        <v>0.0</v>
      </c>
      <c r="E206" s="331">
        <v>0.0</v>
      </c>
      <c r="F206" s="331">
        <v>0.0</v>
      </c>
      <c r="G206" s="331">
        <v>0.0</v>
      </c>
      <c r="H206" s="331">
        <v>0.0</v>
      </c>
      <c r="I206" s="331">
        <v>0.0</v>
      </c>
      <c r="J206" s="331">
        <v>1.0</v>
      </c>
      <c r="K206" s="331">
        <v>0.0</v>
      </c>
      <c r="L206" s="331">
        <v>0.0</v>
      </c>
      <c r="M206" s="331">
        <v>0.0</v>
      </c>
      <c r="N206" s="331">
        <v>0.0</v>
      </c>
      <c r="O206" s="331">
        <v>0.0</v>
      </c>
      <c r="P206" s="331">
        <v>0.0</v>
      </c>
      <c r="Q206" s="331">
        <v>0.0</v>
      </c>
      <c r="R206" s="331">
        <v>0.0</v>
      </c>
      <c r="S206" s="331">
        <v>0.0</v>
      </c>
      <c r="T206" s="331">
        <v>0.0</v>
      </c>
      <c r="U206" s="331">
        <v>0.0</v>
      </c>
      <c r="V206" s="331">
        <v>0.0</v>
      </c>
      <c r="W206" s="331">
        <v>0.0</v>
      </c>
      <c r="X206" s="331">
        <v>0.0</v>
      </c>
      <c r="Y206" s="331">
        <v>0.0</v>
      </c>
      <c r="Z206" s="331">
        <v>0.0</v>
      </c>
      <c r="AA206" s="331">
        <v>0.0</v>
      </c>
      <c r="AB206" s="331">
        <v>0.0</v>
      </c>
      <c r="AC206" s="331">
        <v>0.0</v>
      </c>
      <c r="AD206" s="331">
        <v>0.0</v>
      </c>
      <c r="AE206" s="331">
        <v>0.0</v>
      </c>
      <c r="AF206" s="155">
        <f t="shared" si="76"/>
        <v>1</v>
      </c>
    </row>
    <row r="207" outlineLevel="1">
      <c r="A207" s="116" t="s">
        <v>448</v>
      </c>
      <c r="B207" s="331">
        <v>0.0</v>
      </c>
      <c r="C207" s="331">
        <v>0.0</v>
      </c>
      <c r="D207" s="331">
        <v>0.0</v>
      </c>
      <c r="E207" s="331">
        <v>0.0</v>
      </c>
      <c r="F207" s="331">
        <v>0.0</v>
      </c>
      <c r="G207" s="331">
        <v>0.0</v>
      </c>
      <c r="H207" s="331">
        <v>0.0</v>
      </c>
      <c r="I207" s="331">
        <v>0.0</v>
      </c>
      <c r="J207" s="331">
        <v>0.0</v>
      </c>
      <c r="K207" s="331">
        <v>0.0</v>
      </c>
      <c r="L207" s="331">
        <v>0.0</v>
      </c>
      <c r="M207" s="331">
        <v>0.0</v>
      </c>
      <c r="N207" s="331">
        <v>0.0</v>
      </c>
      <c r="O207" s="331">
        <v>0.0</v>
      </c>
      <c r="P207" s="331">
        <v>0.0</v>
      </c>
      <c r="Q207" s="331">
        <v>0.0</v>
      </c>
      <c r="R207" s="331">
        <v>0.0</v>
      </c>
      <c r="S207" s="331">
        <v>0.0</v>
      </c>
      <c r="T207" s="331">
        <v>0.0</v>
      </c>
      <c r="U207" s="331">
        <v>0.0</v>
      </c>
      <c r="V207" s="331">
        <v>0.0</v>
      </c>
      <c r="W207" s="331">
        <v>0.0</v>
      </c>
      <c r="X207" s="331">
        <v>0.0</v>
      </c>
      <c r="Y207" s="331">
        <v>0.0</v>
      </c>
      <c r="Z207" s="331">
        <v>0.0</v>
      </c>
      <c r="AA207" s="331">
        <v>0.0</v>
      </c>
      <c r="AB207" s="331">
        <v>0.0</v>
      </c>
      <c r="AC207" s="331">
        <v>0.0</v>
      </c>
      <c r="AD207" s="331">
        <v>0.0</v>
      </c>
      <c r="AE207" s="331">
        <v>0.0</v>
      </c>
      <c r="AF207" s="155">
        <f t="shared" si="76"/>
        <v>0</v>
      </c>
    </row>
    <row r="208" outlineLevel="1">
      <c r="A208" s="116" t="s">
        <v>449</v>
      </c>
      <c r="B208" s="331">
        <v>0.0</v>
      </c>
      <c r="C208" s="331">
        <v>0.0</v>
      </c>
      <c r="D208" s="331">
        <v>0.0</v>
      </c>
      <c r="E208" s="331">
        <v>0.0</v>
      </c>
      <c r="F208" s="331">
        <v>0.0</v>
      </c>
      <c r="G208" s="331">
        <v>0.0</v>
      </c>
      <c r="H208" s="331">
        <v>0.0</v>
      </c>
      <c r="I208" s="331">
        <v>0.0</v>
      </c>
      <c r="J208" s="331">
        <v>0.0</v>
      </c>
      <c r="K208" s="331">
        <v>0.0</v>
      </c>
      <c r="L208" s="331">
        <v>0.0</v>
      </c>
      <c r="M208" s="331">
        <v>0.0</v>
      </c>
      <c r="N208" s="331">
        <v>0.0</v>
      </c>
      <c r="O208" s="331">
        <v>0.0</v>
      </c>
      <c r="P208" s="331">
        <v>0.0</v>
      </c>
      <c r="Q208" s="331">
        <v>0.0</v>
      </c>
      <c r="R208" s="331">
        <v>0.0</v>
      </c>
      <c r="S208" s="331">
        <v>0.0</v>
      </c>
      <c r="T208" s="331">
        <v>0.0</v>
      </c>
      <c r="U208" s="331">
        <v>0.0</v>
      </c>
      <c r="V208" s="331">
        <v>0.0</v>
      </c>
      <c r="W208" s="331">
        <v>0.0</v>
      </c>
      <c r="X208" s="331">
        <v>0.0</v>
      </c>
      <c r="Y208" s="331">
        <v>0.0</v>
      </c>
      <c r="Z208" s="331">
        <v>0.0</v>
      </c>
      <c r="AA208" s="331">
        <v>0.0</v>
      </c>
      <c r="AB208" s="331">
        <v>0.0</v>
      </c>
      <c r="AC208" s="331">
        <v>0.0</v>
      </c>
      <c r="AD208" s="331">
        <v>0.0</v>
      </c>
      <c r="AE208" s="331">
        <v>0.0</v>
      </c>
      <c r="AF208" s="155">
        <f t="shared" si="76"/>
        <v>0</v>
      </c>
    </row>
    <row r="209">
      <c r="A209" s="271" t="s">
        <v>261</v>
      </c>
      <c r="B209" s="578">
        <f t="shared" ref="B209:AE209" si="77">SUM(B200,B201,B205,B206)</f>
        <v>0</v>
      </c>
      <c r="C209" s="578">
        <f t="shared" si="77"/>
        <v>0</v>
      </c>
      <c r="D209" s="578">
        <f t="shared" si="77"/>
        <v>1</v>
      </c>
      <c r="E209" s="578">
        <f t="shared" si="77"/>
        <v>0</v>
      </c>
      <c r="F209" s="578">
        <f t="shared" si="77"/>
        <v>1</v>
      </c>
      <c r="G209" s="578">
        <f t="shared" si="77"/>
        <v>2</v>
      </c>
      <c r="H209" s="578">
        <f t="shared" si="77"/>
        <v>1</v>
      </c>
      <c r="I209" s="578">
        <f t="shared" si="77"/>
        <v>0</v>
      </c>
      <c r="J209" s="578">
        <f t="shared" si="77"/>
        <v>1</v>
      </c>
      <c r="K209" s="578">
        <f t="shared" si="77"/>
        <v>2</v>
      </c>
      <c r="L209" s="578">
        <f t="shared" si="77"/>
        <v>0</v>
      </c>
      <c r="M209" s="578">
        <f t="shared" si="77"/>
        <v>0</v>
      </c>
      <c r="N209" s="578">
        <f t="shared" si="77"/>
        <v>0</v>
      </c>
      <c r="O209" s="578">
        <f t="shared" si="77"/>
        <v>1</v>
      </c>
      <c r="P209" s="578">
        <f t="shared" si="77"/>
        <v>0</v>
      </c>
      <c r="Q209" s="578">
        <f t="shared" si="77"/>
        <v>0</v>
      </c>
      <c r="R209" s="578">
        <f t="shared" si="77"/>
        <v>0</v>
      </c>
      <c r="S209" s="578">
        <f t="shared" si="77"/>
        <v>1</v>
      </c>
      <c r="T209" s="578">
        <f t="shared" si="77"/>
        <v>0</v>
      </c>
      <c r="U209" s="578">
        <f t="shared" si="77"/>
        <v>0</v>
      </c>
      <c r="V209" s="578">
        <f t="shared" si="77"/>
        <v>0</v>
      </c>
      <c r="W209" s="578">
        <f t="shared" si="77"/>
        <v>0</v>
      </c>
      <c r="X209" s="578">
        <f t="shared" si="77"/>
        <v>0</v>
      </c>
      <c r="Y209" s="578">
        <f t="shared" si="77"/>
        <v>0</v>
      </c>
      <c r="Z209" s="578">
        <f t="shared" si="77"/>
        <v>0</v>
      </c>
      <c r="AA209" s="578">
        <f t="shared" si="77"/>
        <v>1</v>
      </c>
      <c r="AB209" s="578">
        <f t="shared" si="77"/>
        <v>0</v>
      </c>
      <c r="AC209" s="578">
        <f t="shared" si="77"/>
        <v>0</v>
      </c>
      <c r="AD209" s="578">
        <f t="shared" si="77"/>
        <v>0</v>
      </c>
      <c r="AE209" s="578">
        <f t="shared" si="77"/>
        <v>0</v>
      </c>
      <c r="AF209" s="155">
        <f t="shared" si="76"/>
        <v>11</v>
      </c>
    </row>
    <row r="210">
      <c r="A210" s="271" t="s">
        <v>263</v>
      </c>
      <c r="B210" s="578">
        <f t="shared" ref="B210:AE210" si="78">SUM(B202,B203,B207,B208)</f>
        <v>0</v>
      </c>
      <c r="C210" s="578">
        <f t="shared" si="78"/>
        <v>0</v>
      </c>
      <c r="D210" s="578">
        <f t="shared" si="78"/>
        <v>0</v>
      </c>
      <c r="E210" s="578">
        <f t="shared" si="78"/>
        <v>1</v>
      </c>
      <c r="F210" s="578">
        <f t="shared" si="78"/>
        <v>0</v>
      </c>
      <c r="G210" s="578">
        <f t="shared" si="78"/>
        <v>2</v>
      </c>
      <c r="H210" s="578">
        <f t="shared" si="78"/>
        <v>1</v>
      </c>
      <c r="I210" s="578">
        <f t="shared" si="78"/>
        <v>0</v>
      </c>
      <c r="J210" s="578">
        <f t="shared" si="78"/>
        <v>0</v>
      </c>
      <c r="K210" s="578">
        <f t="shared" si="78"/>
        <v>0</v>
      </c>
      <c r="L210" s="578">
        <f t="shared" si="78"/>
        <v>0</v>
      </c>
      <c r="M210" s="578">
        <f t="shared" si="78"/>
        <v>0</v>
      </c>
      <c r="N210" s="578">
        <f t="shared" si="78"/>
        <v>0</v>
      </c>
      <c r="O210" s="578">
        <f t="shared" si="78"/>
        <v>0</v>
      </c>
      <c r="P210" s="578">
        <f t="shared" si="78"/>
        <v>2</v>
      </c>
      <c r="Q210" s="578">
        <f t="shared" si="78"/>
        <v>0</v>
      </c>
      <c r="R210" s="578">
        <f t="shared" si="78"/>
        <v>0</v>
      </c>
      <c r="S210" s="578">
        <f t="shared" si="78"/>
        <v>0</v>
      </c>
      <c r="T210" s="578">
        <f t="shared" si="78"/>
        <v>0</v>
      </c>
      <c r="U210" s="578">
        <f t="shared" si="78"/>
        <v>0</v>
      </c>
      <c r="V210" s="578">
        <f t="shared" si="78"/>
        <v>0</v>
      </c>
      <c r="W210" s="578">
        <f t="shared" si="78"/>
        <v>0</v>
      </c>
      <c r="X210" s="578">
        <f t="shared" si="78"/>
        <v>0</v>
      </c>
      <c r="Y210" s="578">
        <f t="shared" si="78"/>
        <v>1</v>
      </c>
      <c r="Z210" s="578">
        <f t="shared" si="78"/>
        <v>0</v>
      </c>
      <c r="AA210" s="578">
        <f t="shared" si="78"/>
        <v>0</v>
      </c>
      <c r="AB210" s="578">
        <f t="shared" si="78"/>
        <v>0</v>
      </c>
      <c r="AC210" s="578">
        <f t="shared" si="78"/>
        <v>0</v>
      </c>
      <c r="AD210" s="578">
        <f t="shared" si="78"/>
        <v>0</v>
      </c>
      <c r="AE210" s="578">
        <f t="shared" si="78"/>
        <v>0</v>
      </c>
      <c r="AF210" s="155">
        <f t="shared" si="76"/>
        <v>7</v>
      </c>
    </row>
    <row r="211">
      <c r="A211" s="24"/>
      <c r="B211" s="138"/>
      <c r="C211" s="138"/>
      <c r="D211" s="138"/>
      <c r="E211" s="138"/>
      <c r="F211" s="138"/>
      <c r="G211" s="138"/>
      <c r="H211" s="138"/>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258"/>
    </row>
    <row r="212">
      <c r="A212" s="116" t="s">
        <v>387</v>
      </c>
      <c r="B212" s="279"/>
      <c r="C212" s="279"/>
      <c r="D212" s="279"/>
      <c r="E212" s="279"/>
      <c r="F212" s="279"/>
      <c r="G212" s="279"/>
      <c r="H212" s="279"/>
      <c r="I212" s="279"/>
      <c r="J212" s="279"/>
      <c r="K212" s="279"/>
      <c r="L212" s="279"/>
      <c r="M212" s="279"/>
      <c r="N212" s="279"/>
      <c r="O212" s="279"/>
      <c r="P212" s="279"/>
      <c r="Q212" s="279"/>
      <c r="R212" s="279"/>
      <c r="S212" s="279"/>
      <c r="T212" s="279"/>
      <c r="U212" s="279"/>
      <c r="V212" s="279"/>
      <c r="W212" s="279"/>
      <c r="X212" s="279"/>
      <c r="Y212" s="279"/>
      <c r="Z212" s="279"/>
      <c r="AA212" s="279"/>
      <c r="AB212" s="279"/>
      <c r="AC212" s="279"/>
      <c r="AD212" s="279"/>
      <c r="AE212" s="279"/>
      <c r="AF212" s="258"/>
    </row>
    <row r="213" outlineLevel="1">
      <c r="A213" s="116" t="s">
        <v>266</v>
      </c>
      <c r="B213" s="331">
        <v>0.0</v>
      </c>
      <c r="C213" s="331">
        <v>0.0</v>
      </c>
      <c r="D213" s="331">
        <v>0.0</v>
      </c>
      <c r="E213" s="331">
        <v>0.0</v>
      </c>
      <c r="F213" s="331">
        <v>0.0</v>
      </c>
      <c r="G213" s="331">
        <v>0.0</v>
      </c>
      <c r="H213" s="331">
        <v>0.0</v>
      </c>
      <c r="I213" s="331">
        <v>0.0</v>
      </c>
      <c r="J213" s="331">
        <v>0.0</v>
      </c>
      <c r="K213" s="331">
        <v>0.0</v>
      </c>
      <c r="L213" s="331">
        <v>0.0</v>
      </c>
      <c r="M213" s="331">
        <v>0.0</v>
      </c>
      <c r="N213" s="331">
        <v>0.0</v>
      </c>
      <c r="O213" s="331">
        <v>0.0</v>
      </c>
      <c r="P213" s="331">
        <v>1.0</v>
      </c>
      <c r="Q213" s="331">
        <v>0.0</v>
      </c>
      <c r="R213" s="331">
        <v>1.0</v>
      </c>
      <c r="S213" s="331">
        <v>0.0</v>
      </c>
      <c r="T213" s="331">
        <v>0.0</v>
      </c>
      <c r="U213" s="331">
        <v>0.0</v>
      </c>
      <c r="V213" s="331">
        <v>0.0</v>
      </c>
      <c r="W213" s="331">
        <v>0.0</v>
      </c>
      <c r="X213" s="331">
        <v>1.0</v>
      </c>
      <c r="Y213" s="331">
        <v>1.0</v>
      </c>
      <c r="Z213" s="331">
        <v>0.0</v>
      </c>
      <c r="AA213" s="331">
        <v>0.0</v>
      </c>
      <c r="AB213" s="331">
        <v>0.0</v>
      </c>
      <c r="AC213" s="331">
        <v>0.0</v>
      </c>
      <c r="AD213" s="331">
        <v>0.0</v>
      </c>
      <c r="AE213" s="331">
        <v>0.0</v>
      </c>
      <c r="AF213" s="155">
        <f t="shared" ref="AF213:AF221" si="79">SUM(B213:AE213)</f>
        <v>4</v>
      </c>
    </row>
    <row r="214" outlineLevel="1">
      <c r="A214" s="116" t="s">
        <v>267</v>
      </c>
      <c r="B214" s="331">
        <v>0.0</v>
      </c>
      <c r="C214" s="331">
        <v>0.0</v>
      </c>
      <c r="D214" s="331">
        <v>0.0</v>
      </c>
      <c r="E214" s="331">
        <v>0.0</v>
      </c>
      <c r="F214" s="331">
        <v>0.0</v>
      </c>
      <c r="G214" s="331">
        <v>0.0</v>
      </c>
      <c r="H214" s="331">
        <v>0.0</v>
      </c>
      <c r="I214" s="331">
        <v>1.0</v>
      </c>
      <c r="J214" s="331">
        <v>0.0</v>
      </c>
      <c r="K214" s="331">
        <v>0.0</v>
      </c>
      <c r="L214" s="331">
        <v>0.0</v>
      </c>
      <c r="M214" s="331">
        <v>0.0</v>
      </c>
      <c r="N214" s="331">
        <v>0.0</v>
      </c>
      <c r="O214" s="331">
        <v>0.0</v>
      </c>
      <c r="P214" s="331">
        <v>1.0</v>
      </c>
      <c r="Q214" s="331">
        <v>0.0</v>
      </c>
      <c r="R214" s="331">
        <v>0.0</v>
      </c>
      <c r="S214" s="331">
        <v>0.0</v>
      </c>
      <c r="T214" s="331">
        <v>0.0</v>
      </c>
      <c r="U214" s="331">
        <v>1.0</v>
      </c>
      <c r="V214" s="331">
        <v>0.0</v>
      </c>
      <c r="W214" s="331">
        <v>0.0</v>
      </c>
      <c r="X214" s="331">
        <v>0.0</v>
      </c>
      <c r="Y214" s="331">
        <v>1.0</v>
      </c>
      <c r="Z214" s="331">
        <v>0.0</v>
      </c>
      <c r="AA214" s="331">
        <v>0.0</v>
      </c>
      <c r="AB214" s="331">
        <v>0.0</v>
      </c>
      <c r="AC214" s="331">
        <v>0.0</v>
      </c>
      <c r="AD214" s="331">
        <v>0.0</v>
      </c>
      <c r="AE214" s="331">
        <v>0.0</v>
      </c>
      <c r="AF214" s="155">
        <f t="shared" si="79"/>
        <v>4</v>
      </c>
    </row>
    <row r="215" outlineLevel="1">
      <c r="A215" s="116" t="s">
        <v>450</v>
      </c>
      <c r="B215" s="331">
        <v>0.0</v>
      </c>
      <c r="C215" s="331">
        <v>0.0</v>
      </c>
      <c r="D215" s="331">
        <v>0.0</v>
      </c>
      <c r="E215" s="331">
        <v>0.0</v>
      </c>
      <c r="F215" s="331">
        <v>0.0</v>
      </c>
      <c r="G215" s="331">
        <v>1.0</v>
      </c>
      <c r="H215" s="331">
        <v>0.0</v>
      </c>
      <c r="I215" s="331">
        <v>0.0</v>
      </c>
      <c r="J215" s="331">
        <v>0.0</v>
      </c>
      <c r="K215" s="331">
        <v>0.0</v>
      </c>
      <c r="L215" s="331">
        <v>0.0</v>
      </c>
      <c r="M215" s="331">
        <v>1.0</v>
      </c>
      <c r="N215" s="331">
        <v>2.0</v>
      </c>
      <c r="O215" s="331">
        <v>0.0</v>
      </c>
      <c r="P215" s="331">
        <v>0.0</v>
      </c>
      <c r="Q215" s="331">
        <v>0.0</v>
      </c>
      <c r="R215" s="331">
        <v>0.0</v>
      </c>
      <c r="S215" s="331">
        <v>0.0</v>
      </c>
      <c r="T215" s="331">
        <v>0.0</v>
      </c>
      <c r="U215" s="331">
        <v>0.0</v>
      </c>
      <c r="V215" s="331">
        <v>0.0</v>
      </c>
      <c r="W215" s="331">
        <v>1.0</v>
      </c>
      <c r="X215" s="331">
        <v>1.0</v>
      </c>
      <c r="Y215" s="331">
        <v>1.0</v>
      </c>
      <c r="Z215" s="331">
        <v>0.0</v>
      </c>
      <c r="AA215" s="331">
        <v>0.0</v>
      </c>
      <c r="AB215" s="331">
        <v>0.0</v>
      </c>
      <c r="AC215" s="331">
        <v>1.0</v>
      </c>
      <c r="AD215" s="331">
        <v>0.0</v>
      </c>
      <c r="AE215" s="331">
        <v>0.0</v>
      </c>
      <c r="AF215" s="155">
        <f t="shared" si="79"/>
        <v>8</v>
      </c>
    </row>
    <row r="216" outlineLevel="1">
      <c r="A216" s="116" t="s">
        <v>451</v>
      </c>
      <c r="B216" s="331">
        <v>0.0</v>
      </c>
      <c r="C216" s="331">
        <v>0.0</v>
      </c>
      <c r="D216" s="331">
        <v>0.0</v>
      </c>
      <c r="E216" s="331">
        <v>1.0</v>
      </c>
      <c r="F216" s="331">
        <v>0.0</v>
      </c>
      <c r="G216" s="331">
        <v>0.0</v>
      </c>
      <c r="H216" s="331">
        <v>0.0</v>
      </c>
      <c r="I216" s="331">
        <v>0.0</v>
      </c>
      <c r="J216" s="331">
        <v>0.0</v>
      </c>
      <c r="K216" s="331">
        <v>0.0</v>
      </c>
      <c r="L216" s="331">
        <v>0.0</v>
      </c>
      <c r="M216" s="331">
        <v>0.0</v>
      </c>
      <c r="N216" s="331">
        <v>0.0</v>
      </c>
      <c r="O216" s="331">
        <v>0.0</v>
      </c>
      <c r="P216" s="331">
        <v>1.0</v>
      </c>
      <c r="Q216" s="331">
        <v>0.0</v>
      </c>
      <c r="R216" s="331">
        <v>0.0</v>
      </c>
      <c r="S216" s="331">
        <v>0.0</v>
      </c>
      <c r="T216" s="331">
        <v>0.0</v>
      </c>
      <c r="U216" s="331">
        <v>0.0</v>
      </c>
      <c r="V216" s="331">
        <v>0.0</v>
      </c>
      <c r="W216" s="331">
        <v>0.0</v>
      </c>
      <c r="X216" s="331">
        <v>0.0</v>
      </c>
      <c r="Y216" s="331">
        <v>0.0</v>
      </c>
      <c r="Z216" s="331">
        <v>0.0</v>
      </c>
      <c r="AA216" s="331">
        <v>0.0</v>
      </c>
      <c r="AB216" s="331">
        <v>0.0</v>
      </c>
      <c r="AC216" s="331">
        <v>0.0</v>
      </c>
      <c r="AD216" s="331">
        <v>0.0</v>
      </c>
      <c r="AE216" s="331">
        <v>0.0</v>
      </c>
      <c r="AF216" s="155">
        <f t="shared" si="79"/>
        <v>2</v>
      </c>
    </row>
    <row r="217" outlineLevel="1">
      <c r="A217" s="116" t="s">
        <v>452</v>
      </c>
      <c r="B217" s="331">
        <v>0.0</v>
      </c>
      <c r="C217" s="331">
        <v>0.0</v>
      </c>
      <c r="D217" s="331">
        <v>0.0</v>
      </c>
      <c r="E217" s="331">
        <v>0.0</v>
      </c>
      <c r="F217" s="331">
        <v>0.0</v>
      </c>
      <c r="G217" s="331">
        <v>0.0</v>
      </c>
      <c r="H217" s="331">
        <v>0.0</v>
      </c>
      <c r="I217" s="331">
        <v>0.0</v>
      </c>
      <c r="J217" s="331">
        <v>0.0</v>
      </c>
      <c r="K217" s="331">
        <v>1.0</v>
      </c>
      <c r="L217" s="331">
        <v>0.0</v>
      </c>
      <c r="M217" s="331">
        <v>0.0</v>
      </c>
      <c r="N217" s="331">
        <v>0.0</v>
      </c>
      <c r="O217" s="331">
        <v>0.0</v>
      </c>
      <c r="P217" s="331">
        <v>0.0</v>
      </c>
      <c r="Q217" s="331">
        <v>0.0</v>
      </c>
      <c r="R217" s="331">
        <v>0.0</v>
      </c>
      <c r="S217" s="331">
        <v>0.0</v>
      </c>
      <c r="T217" s="331">
        <v>0.0</v>
      </c>
      <c r="U217" s="331">
        <v>0.0</v>
      </c>
      <c r="V217" s="331">
        <v>0.0</v>
      </c>
      <c r="W217" s="331">
        <v>0.0</v>
      </c>
      <c r="X217" s="331">
        <v>0.0</v>
      </c>
      <c r="Y217" s="331">
        <v>0.0</v>
      </c>
      <c r="Z217" s="331">
        <v>0.0</v>
      </c>
      <c r="AA217" s="331">
        <v>0.0</v>
      </c>
      <c r="AB217" s="331">
        <v>0.0</v>
      </c>
      <c r="AC217" s="331">
        <v>0.0</v>
      </c>
      <c r="AD217" s="331">
        <v>0.0</v>
      </c>
      <c r="AE217" s="331">
        <v>0.0</v>
      </c>
      <c r="AF217" s="155">
        <f t="shared" si="79"/>
        <v>1</v>
      </c>
    </row>
    <row r="218" outlineLevel="1">
      <c r="A218" s="116" t="s">
        <v>453</v>
      </c>
      <c r="B218" s="331">
        <v>0.0</v>
      </c>
      <c r="C218" s="331">
        <v>0.0</v>
      </c>
      <c r="D218" s="331">
        <v>0.0</v>
      </c>
      <c r="E218" s="331">
        <v>0.0</v>
      </c>
      <c r="F218" s="331">
        <v>0.0</v>
      </c>
      <c r="G218" s="331">
        <v>0.0</v>
      </c>
      <c r="H218" s="331">
        <v>0.0</v>
      </c>
      <c r="I218" s="331">
        <v>0.0</v>
      </c>
      <c r="J218" s="331">
        <v>0.0</v>
      </c>
      <c r="K218" s="331">
        <v>0.0</v>
      </c>
      <c r="L218" s="331">
        <v>0.0</v>
      </c>
      <c r="M218" s="331">
        <v>0.0</v>
      </c>
      <c r="N218" s="331">
        <v>0.0</v>
      </c>
      <c r="O218" s="331">
        <v>0.0</v>
      </c>
      <c r="P218" s="331">
        <v>0.0</v>
      </c>
      <c r="Q218" s="331">
        <v>0.0</v>
      </c>
      <c r="R218" s="331">
        <v>0.0</v>
      </c>
      <c r="S218" s="331">
        <v>0.0</v>
      </c>
      <c r="T218" s="331">
        <v>0.0</v>
      </c>
      <c r="U218" s="331">
        <v>0.0</v>
      </c>
      <c r="V218" s="331">
        <v>0.0</v>
      </c>
      <c r="W218" s="331">
        <v>0.0</v>
      </c>
      <c r="X218" s="331">
        <v>0.0</v>
      </c>
      <c r="Y218" s="331">
        <v>0.0</v>
      </c>
      <c r="Z218" s="331">
        <v>0.0</v>
      </c>
      <c r="AA218" s="331">
        <v>0.0</v>
      </c>
      <c r="AB218" s="331">
        <v>0.0</v>
      </c>
      <c r="AC218" s="331">
        <v>0.0</v>
      </c>
      <c r="AD218" s="331">
        <v>0.0</v>
      </c>
      <c r="AE218" s="331">
        <v>0.0</v>
      </c>
      <c r="AF218" s="155">
        <f t="shared" si="79"/>
        <v>0</v>
      </c>
    </row>
    <row r="219" outlineLevel="1">
      <c r="A219" s="116" t="s">
        <v>454</v>
      </c>
      <c r="B219" s="331">
        <v>0.0</v>
      </c>
      <c r="C219" s="331">
        <v>0.0</v>
      </c>
      <c r="D219" s="331">
        <v>0.0</v>
      </c>
      <c r="E219" s="331">
        <v>0.0</v>
      </c>
      <c r="F219" s="331">
        <v>0.0</v>
      </c>
      <c r="G219" s="331">
        <v>0.0</v>
      </c>
      <c r="H219" s="331">
        <v>0.0</v>
      </c>
      <c r="I219" s="331">
        <v>0.0</v>
      </c>
      <c r="J219" s="331">
        <v>0.0</v>
      </c>
      <c r="K219" s="331">
        <v>0.0</v>
      </c>
      <c r="L219" s="331">
        <v>0.0</v>
      </c>
      <c r="M219" s="331">
        <v>0.0</v>
      </c>
      <c r="N219" s="331">
        <v>0.0</v>
      </c>
      <c r="O219" s="331">
        <v>0.0</v>
      </c>
      <c r="P219" s="331">
        <v>0.0</v>
      </c>
      <c r="Q219" s="331">
        <v>0.0</v>
      </c>
      <c r="R219" s="331">
        <v>0.0</v>
      </c>
      <c r="S219" s="331">
        <v>2.0</v>
      </c>
      <c r="T219" s="331">
        <v>0.0</v>
      </c>
      <c r="U219" s="331">
        <v>0.0</v>
      </c>
      <c r="V219" s="331">
        <v>0.0</v>
      </c>
      <c r="W219" s="331">
        <v>0.0</v>
      </c>
      <c r="X219" s="331">
        <v>0.0</v>
      </c>
      <c r="Y219" s="331">
        <v>0.0</v>
      </c>
      <c r="Z219" s="331">
        <v>1.0</v>
      </c>
      <c r="AA219" s="331">
        <v>0.0</v>
      </c>
      <c r="AB219" s="331">
        <v>0.0</v>
      </c>
      <c r="AC219" s="331">
        <v>0.0</v>
      </c>
      <c r="AD219" s="331">
        <v>0.0</v>
      </c>
      <c r="AE219" s="331">
        <v>0.0</v>
      </c>
      <c r="AF219" s="155">
        <f t="shared" si="79"/>
        <v>3</v>
      </c>
    </row>
    <row r="220" outlineLevel="1">
      <c r="A220" s="116" t="s">
        <v>455</v>
      </c>
      <c r="B220" s="331">
        <v>0.0</v>
      </c>
      <c r="C220" s="331">
        <v>0.0</v>
      </c>
      <c r="D220" s="331">
        <v>0.0</v>
      </c>
      <c r="E220" s="331">
        <v>0.0</v>
      </c>
      <c r="F220" s="331">
        <v>0.0</v>
      </c>
      <c r="G220" s="331">
        <v>0.0</v>
      </c>
      <c r="H220" s="331">
        <v>0.0</v>
      </c>
      <c r="I220" s="331">
        <v>0.0</v>
      </c>
      <c r="J220" s="331">
        <v>0.0</v>
      </c>
      <c r="K220" s="331">
        <v>0.0</v>
      </c>
      <c r="L220" s="331">
        <v>0.0</v>
      </c>
      <c r="M220" s="331">
        <v>0.0</v>
      </c>
      <c r="N220" s="331">
        <v>0.0</v>
      </c>
      <c r="O220" s="331">
        <v>0.0</v>
      </c>
      <c r="P220" s="331">
        <v>0.0</v>
      </c>
      <c r="Q220" s="331">
        <v>0.0</v>
      </c>
      <c r="R220" s="331">
        <v>0.0</v>
      </c>
      <c r="S220" s="331">
        <v>0.0</v>
      </c>
      <c r="T220" s="331">
        <v>0.0</v>
      </c>
      <c r="U220" s="331">
        <v>0.0</v>
      </c>
      <c r="V220" s="331">
        <v>0.0</v>
      </c>
      <c r="W220" s="331">
        <v>0.0</v>
      </c>
      <c r="X220" s="331">
        <v>0.0</v>
      </c>
      <c r="Y220" s="331">
        <v>0.0</v>
      </c>
      <c r="Z220" s="331">
        <v>0.0</v>
      </c>
      <c r="AA220" s="331">
        <v>0.0</v>
      </c>
      <c r="AB220" s="331">
        <v>0.0</v>
      </c>
      <c r="AC220" s="331">
        <v>0.0</v>
      </c>
      <c r="AD220" s="331">
        <v>0.0</v>
      </c>
      <c r="AE220" s="331">
        <v>0.0</v>
      </c>
      <c r="AF220" s="155">
        <f t="shared" si="79"/>
        <v>0</v>
      </c>
    </row>
    <row r="221">
      <c r="A221" s="271" t="s">
        <v>159</v>
      </c>
      <c r="B221" s="578">
        <f t="shared" ref="B221:AE221" si="80">SUM(B213:B220)</f>
        <v>0</v>
      </c>
      <c r="C221" s="578">
        <f t="shared" si="80"/>
        <v>0</v>
      </c>
      <c r="D221" s="578">
        <f t="shared" si="80"/>
        <v>0</v>
      </c>
      <c r="E221" s="578">
        <f t="shared" si="80"/>
        <v>1</v>
      </c>
      <c r="F221" s="578">
        <f t="shared" si="80"/>
        <v>0</v>
      </c>
      <c r="G221" s="578">
        <f t="shared" si="80"/>
        <v>1</v>
      </c>
      <c r="H221" s="578">
        <f t="shared" si="80"/>
        <v>0</v>
      </c>
      <c r="I221" s="578">
        <f t="shared" si="80"/>
        <v>1</v>
      </c>
      <c r="J221" s="578">
        <f t="shared" si="80"/>
        <v>0</v>
      </c>
      <c r="K221" s="578">
        <f t="shared" si="80"/>
        <v>1</v>
      </c>
      <c r="L221" s="578">
        <f t="shared" si="80"/>
        <v>0</v>
      </c>
      <c r="M221" s="578">
        <f t="shared" si="80"/>
        <v>1</v>
      </c>
      <c r="N221" s="578">
        <f t="shared" si="80"/>
        <v>2</v>
      </c>
      <c r="O221" s="578">
        <f t="shared" si="80"/>
        <v>0</v>
      </c>
      <c r="P221" s="578">
        <f t="shared" si="80"/>
        <v>3</v>
      </c>
      <c r="Q221" s="578">
        <f t="shared" si="80"/>
        <v>0</v>
      </c>
      <c r="R221" s="578">
        <f t="shared" si="80"/>
        <v>1</v>
      </c>
      <c r="S221" s="578">
        <f t="shared" si="80"/>
        <v>2</v>
      </c>
      <c r="T221" s="578">
        <f t="shared" si="80"/>
        <v>0</v>
      </c>
      <c r="U221" s="578">
        <f t="shared" si="80"/>
        <v>1</v>
      </c>
      <c r="V221" s="578">
        <f t="shared" si="80"/>
        <v>0</v>
      </c>
      <c r="W221" s="578">
        <f t="shared" si="80"/>
        <v>1</v>
      </c>
      <c r="X221" s="578">
        <f t="shared" si="80"/>
        <v>2</v>
      </c>
      <c r="Y221" s="578">
        <f t="shared" si="80"/>
        <v>3</v>
      </c>
      <c r="Z221" s="578">
        <f t="shared" si="80"/>
        <v>1</v>
      </c>
      <c r="AA221" s="578">
        <f t="shared" si="80"/>
        <v>0</v>
      </c>
      <c r="AB221" s="578">
        <f t="shared" si="80"/>
        <v>0</v>
      </c>
      <c r="AC221" s="578">
        <f t="shared" si="80"/>
        <v>1</v>
      </c>
      <c r="AD221" s="578">
        <f t="shared" si="80"/>
        <v>0</v>
      </c>
      <c r="AE221" s="578">
        <f t="shared" si="80"/>
        <v>0</v>
      </c>
      <c r="AF221" s="155">
        <f t="shared" si="79"/>
        <v>22</v>
      </c>
    </row>
    <row r="222">
      <c r="A222" s="24"/>
      <c r="B222" s="138"/>
      <c r="C222" s="138"/>
      <c r="D222" s="138"/>
      <c r="E222" s="138"/>
      <c r="F222" s="138"/>
      <c r="G222" s="138"/>
      <c r="H222" s="138"/>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258"/>
    </row>
    <row r="223">
      <c r="A223" s="116" t="s">
        <v>456</v>
      </c>
      <c r="B223" s="279"/>
      <c r="C223" s="279"/>
      <c r="D223" s="279"/>
      <c r="E223" s="279"/>
      <c r="F223" s="279"/>
      <c r="G223" s="279"/>
      <c r="H223" s="279"/>
      <c r="I223" s="279"/>
      <c r="J223" s="279"/>
      <c r="K223" s="279"/>
      <c r="L223" s="279"/>
      <c r="M223" s="279"/>
      <c r="N223" s="279"/>
      <c r="O223" s="279"/>
      <c r="P223" s="279"/>
      <c r="Q223" s="279"/>
      <c r="R223" s="279"/>
      <c r="S223" s="279"/>
      <c r="T223" s="279"/>
      <c r="U223" s="279"/>
      <c r="V223" s="279"/>
      <c r="W223" s="279"/>
      <c r="X223" s="279"/>
      <c r="Y223" s="279"/>
      <c r="Z223" s="279"/>
      <c r="AA223" s="279"/>
      <c r="AB223" s="279"/>
      <c r="AC223" s="279"/>
      <c r="AD223" s="279"/>
      <c r="AE223" s="279"/>
      <c r="AF223" s="258"/>
    </row>
    <row r="224" outlineLevel="1">
      <c r="A224" s="116" t="s">
        <v>266</v>
      </c>
      <c r="B224" s="331">
        <v>0.0</v>
      </c>
      <c r="C224" s="331">
        <v>0.0</v>
      </c>
      <c r="D224" s="331">
        <v>0.0</v>
      </c>
      <c r="E224" s="331">
        <v>0.0</v>
      </c>
      <c r="F224" s="331">
        <v>0.0</v>
      </c>
      <c r="G224" s="331">
        <v>0.0</v>
      </c>
      <c r="H224" s="331">
        <v>0.0</v>
      </c>
      <c r="I224" s="331">
        <v>0.0</v>
      </c>
      <c r="J224" s="331">
        <v>0.0</v>
      </c>
      <c r="K224" s="331">
        <v>0.0</v>
      </c>
      <c r="L224" s="331">
        <v>0.0</v>
      </c>
      <c r="M224" s="331">
        <v>0.0</v>
      </c>
      <c r="N224" s="331">
        <v>0.0</v>
      </c>
      <c r="O224" s="331">
        <v>0.0</v>
      </c>
      <c r="P224" s="331">
        <v>0.0</v>
      </c>
      <c r="Q224" s="331">
        <v>0.0</v>
      </c>
      <c r="R224" s="331">
        <v>0.0</v>
      </c>
      <c r="S224" s="331">
        <v>0.0</v>
      </c>
      <c r="T224" s="331">
        <v>0.0</v>
      </c>
      <c r="U224" s="331">
        <v>0.0</v>
      </c>
      <c r="V224" s="331">
        <v>0.0</v>
      </c>
      <c r="W224" s="331">
        <v>0.0</v>
      </c>
      <c r="X224" s="331">
        <v>0.0</v>
      </c>
      <c r="Y224" s="331">
        <v>0.0</v>
      </c>
      <c r="Z224" s="331">
        <v>0.0</v>
      </c>
      <c r="AA224" s="331">
        <v>0.0</v>
      </c>
      <c r="AB224" s="331">
        <v>0.0</v>
      </c>
      <c r="AC224" s="331">
        <v>0.0</v>
      </c>
      <c r="AD224" s="331">
        <v>0.0</v>
      </c>
      <c r="AE224" s="331">
        <v>0.0</v>
      </c>
      <c r="AF224" s="155">
        <f t="shared" ref="AF224:AF232" si="81">SUM(B224:AE224)</f>
        <v>0</v>
      </c>
    </row>
    <row r="225" outlineLevel="1">
      <c r="A225" s="116" t="s">
        <v>267</v>
      </c>
      <c r="B225" s="331">
        <v>0.0</v>
      </c>
      <c r="C225" s="331">
        <v>0.0</v>
      </c>
      <c r="D225" s="331">
        <v>0.0</v>
      </c>
      <c r="E225" s="331">
        <v>0.0</v>
      </c>
      <c r="F225" s="331">
        <v>0.0</v>
      </c>
      <c r="G225" s="331">
        <v>0.0</v>
      </c>
      <c r="H225" s="331">
        <v>0.0</v>
      </c>
      <c r="I225" s="331">
        <v>0.0</v>
      </c>
      <c r="J225" s="331">
        <v>0.0</v>
      </c>
      <c r="K225" s="331">
        <v>0.0</v>
      </c>
      <c r="L225" s="331">
        <v>0.0</v>
      </c>
      <c r="M225" s="331">
        <v>0.0</v>
      </c>
      <c r="N225" s="331">
        <v>0.0</v>
      </c>
      <c r="O225" s="331">
        <v>0.0</v>
      </c>
      <c r="P225" s="331">
        <v>0.0</v>
      </c>
      <c r="Q225" s="331">
        <v>0.0</v>
      </c>
      <c r="R225" s="331">
        <v>0.0</v>
      </c>
      <c r="S225" s="331">
        <v>0.0</v>
      </c>
      <c r="T225" s="331">
        <v>0.0</v>
      </c>
      <c r="U225" s="331">
        <v>0.0</v>
      </c>
      <c r="V225" s="331">
        <v>0.0</v>
      </c>
      <c r="W225" s="331">
        <v>0.0</v>
      </c>
      <c r="X225" s="331">
        <v>0.0</v>
      </c>
      <c r="Y225" s="331">
        <v>0.0</v>
      </c>
      <c r="Z225" s="331">
        <v>0.0</v>
      </c>
      <c r="AA225" s="331">
        <v>0.0</v>
      </c>
      <c r="AB225" s="331">
        <v>0.0</v>
      </c>
      <c r="AC225" s="331">
        <v>0.0</v>
      </c>
      <c r="AD225" s="331">
        <v>0.0</v>
      </c>
      <c r="AE225" s="331">
        <v>0.0</v>
      </c>
      <c r="AF225" s="155">
        <f t="shared" si="81"/>
        <v>0</v>
      </c>
    </row>
    <row r="226" outlineLevel="1">
      <c r="A226" s="116" t="s">
        <v>457</v>
      </c>
      <c r="B226" s="331">
        <v>0.0</v>
      </c>
      <c r="C226" s="331">
        <v>0.0</v>
      </c>
      <c r="D226" s="331">
        <v>0.0</v>
      </c>
      <c r="E226" s="331">
        <v>0.0</v>
      </c>
      <c r="F226" s="331">
        <v>0.0</v>
      </c>
      <c r="G226" s="331">
        <v>0.0</v>
      </c>
      <c r="H226" s="331">
        <v>0.0</v>
      </c>
      <c r="I226" s="331">
        <v>0.0</v>
      </c>
      <c r="J226" s="331">
        <v>0.0</v>
      </c>
      <c r="K226" s="331">
        <v>0.0</v>
      </c>
      <c r="L226" s="331">
        <v>0.0</v>
      </c>
      <c r="M226" s="331">
        <v>0.0</v>
      </c>
      <c r="N226" s="331">
        <v>0.0</v>
      </c>
      <c r="O226" s="331">
        <v>0.0</v>
      </c>
      <c r="P226" s="331">
        <v>0.0</v>
      </c>
      <c r="Q226" s="331">
        <v>0.0</v>
      </c>
      <c r="R226" s="331">
        <v>0.0</v>
      </c>
      <c r="S226" s="331">
        <v>0.0</v>
      </c>
      <c r="T226" s="331">
        <v>0.0</v>
      </c>
      <c r="U226" s="331">
        <v>1.0</v>
      </c>
      <c r="V226" s="331">
        <v>0.0</v>
      </c>
      <c r="W226" s="331">
        <v>0.0</v>
      </c>
      <c r="X226" s="331">
        <v>0.0</v>
      </c>
      <c r="Y226" s="331">
        <v>1.0</v>
      </c>
      <c r="Z226" s="331">
        <v>0.0</v>
      </c>
      <c r="AA226" s="331">
        <v>0.0</v>
      </c>
      <c r="AB226" s="331">
        <v>0.0</v>
      </c>
      <c r="AC226" s="331">
        <v>0.0</v>
      </c>
      <c r="AD226" s="331">
        <v>0.0</v>
      </c>
      <c r="AE226" s="331">
        <v>0.0</v>
      </c>
      <c r="AF226" s="155">
        <f t="shared" si="81"/>
        <v>2</v>
      </c>
    </row>
    <row r="227" outlineLevel="1">
      <c r="A227" s="116" t="s">
        <v>458</v>
      </c>
      <c r="B227" s="331">
        <v>0.0</v>
      </c>
      <c r="C227" s="331">
        <v>0.0</v>
      </c>
      <c r="D227" s="331">
        <v>0.0</v>
      </c>
      <c r="E227" s="331">
        <v>0.0</v>
      </c>
      <c r="F227" s="331">
        <v>0.0</v>
      </c>
      <c r="G227" s="331">
        <v>0.0</v>
      </c>
      <c r="H227" s="331">
        <v>0.0</v>
      </c>
      <c r="I227" s="331">
        <v>0.0</v>
      </c>
      <c r="J227" s="331">
        <v>0.0</v>
      </c>
      <c r="K227" s="331">
        <v>0.0</v>
      </c>
      <c r="L227" s="331">
        <v>0.0</v>
      </c>
      <c r="M227" s="331">
        <v>0.0</v>
      </c>
      <c r="N227" s="331">
        <v>0.0</v>
      </c>
      <c r="O227" s="331">
        <v>0.0</v>
      </c>
      <c r="P227" s="331">
        <v>0.0</v>
      </c>
      <c r="Q227" s="331">
        <v>0.0</v>
      </c>
      <c r="R227" s="331">
        <v>0.0</v>
      </c>
      <c r="S227" s="331">
        <v>0.0</v>
      </c>
      <c r="T227" s="331">
        <v>0.0</v>
      </c>
      <c r="U227" s="331">
        <v>0.0</v>
      </c>
      <c r="V227" s="331">
        <v>0.0</v>
      </c>
      <c r="W227" s="331">
        <v>0.0</v>
      </c>
      <c r="X227" s="331">
        <v>0.0</v>
      </c>
      <c r="Y227" s="331">
        <v>0.0</v>
      </c>
      <c r="Z227" s="331">
        <v>0.0</v>
      </c>
      <c r="AA227" s="331">
        <v>0.0</v>
      </c>
      <c r="AB227" s="331">
        <v>0.0</v>
      </c>
      <c r="AC227" s="331">
        <v>0.0</v>
      </c>
      <c r="AD227" s="331">
        <v>0.0</v>
      </c>
      <c r="AE227" s="331">
        <v>0.0</v>
      </c>
      <c r="AF227" s="155">
        <f t="shared" si="81"/>
        <v>0</v>
      </c>
    </row>
    <row r="228" outlineLevel="1">
      <c r="A228" s="116" t="s">
        <v>459</v>
      </c>
      <c r="B228" s="331">
        <v>0.0</v>
      </c>
      <c r="C228" s="331">
        <v>0.0</v>
      </c>
      <c r="D228" s="331">
        <v>0.0</v>
      </c>
      <c r="E228" s="331">
        <v>0.0</v>
      </c>
      <c r="F228" s="331">
        <v>0.0</v>
      </c>
      <c r="G228" s="331">
        <v>0.0</v>
      </c>
      <c r="H228" s="331">
        <v>0.0</v>
      </c>
      <c r="I228" s="331">
        <v>0.0</v>
      </c>
      <c r="J228" s="331">
        <v>0.0</v>
      </c>
      <c r="K228" s="331">
        <v>0.0</v>
      </c>
      <c r="L228" s="331">
        <v>0.0</v>
      </c>
      <c r="M228" s="331">
        <v>0.0</v>
      </c>
      <c r="N228" s="331">
        <v>0.0</v>
      </c>
      <c r="O228" s="331">
        <v>0.0</v>
      </c>
      <c r="P228" s="331">
        <v>0.0</v>
      </c>
      <c r="Q228" s="331">
        <v>0.0</v>
      </c>
      <c r="R228" s="331">
        <v>0.0</v>
      </c>
      <c r="S228" s="331">
        <v>0.0</v>
      </c>
      <c r="T228" s="331">
        <v>0.0</v>
      </c>
      <c r="U228" s="331">
        <v>0.0</v>
      </c>
      <c r="V228" s="331">
        <v>0.0</v>
      </c>
      <c r="W228" s="331">
        <v>0.0</v>
      </c>
      <c r="X228" s="331">
        <v>0.0</v>
      </c>
      <c r="Y228" s="331">
        <v>0.0</v>
      </c>
      <c r="Z228" s="331">
        <v>0.0</v>
      </c>
      <c r="AA228" s="331">
        <v>0.0</v>
      </c>
      <c r="AB228" s="331">
        <v>0.0</v>
      </c>
      <c r="AC228" s="331">
        <v>0.0</v>
      </c>
      <c r="AD228" s="331">
        <v>0.0</v>
      </c>
      <c r="AE228" s="331">
        <v>0.0</v>
      </c>
      <c r="AF228" s="155">
        <f t="shared" si="81"/>
        <v>0</v>
      </c>
    </row>
    <row r="229" outlineLevel="1">
      <c r="A229" s="116" t="s">
        <v>460</v>
      </c>
      <c r="B229" s="331">
        <v>0.0</v>
      </c>
      <c r="C229" s="331">
        <v>0.0</v>
      </c>
      <c r="D229" s="331">
        <v>0.0</v>
      </c>
      <c r="E229" s="331">
        <v>0.0</v>
      </c>
      <c r="F229" s="331">
        <v>0.0</v>
      </c>
      <c r="G229" s="331">
        <v>0.0</v>
      </c>
      <c r="H229" s="331">
        <v>0.0</v>
      </c>
      <c r="I229" s="331">
        <v>0.0</v>
      </c>
      <c r="J229" s="331">
        <v>0.0</v>
      </c>
      <c r="K229" s="331">
        <v>0.0</v>
      </c>
      <c r="L229" s="331">
        <v>0.0</v>
      </c>
      <c r="M229" s="331">
        <v>0.0</v>
      </c>
      <c r="N229" s="331">
        <v>0.0</v>
      </c>
      <c r="O229" s="331">
        <v>0.0</v>
      </c>
      <c r="P229" s="331">
        <v>0.0</v>
      </c>
      <c r="Q229" s="331">
        <v>0.0</v>
      </c>
      <c r="R229" s="331">
        <v>0.0</v>
      </c>
      <c r="S229" s="331">
        <v>0.0</v>
      </c>
      <c r="T229" s="331">
        <v>0.0</v>
      </c>
      <c r="U229" s="331">
        <v>0.0</v>
      </c>
      <c r="V229" s="331">
        <v>0.0</v>
      </c>
      <c r="W229" s="331">
        <v>0.0</v>
      </c>
      <c r="X229" s="331">
        <v>0.0</v>
      </c>
      <c r="Y229" s="331">
        <v>0.0</v>
      </c>
      <c r="Z229" s="331">
        <v>0.0</v>
      </c>
      <c r="AA229" s="331">
        <v>0.0</v>
      </c>
      <c r="AB229" s="331">
        <v>0.0</v>
      </c>
      <c r="AC229" s="331">
        <v>0.0</v>
      </c>
      <c r="AD229" s="331">
        <v>0.0</v>
      </c>
      <c r="AE229" s="331">
        <v>0.0</v>
      </c>
      <c r="AF229" s="155">
        <f t="shared" si="81"/>
        <v>0</v>
      </c>
    </row>
    <row r="230" outlineLevel="1">
      <c r="A230" s="116" t="s">
        <v>461</v>
      </c>
      <c r="B230" s="331">
        <v>0.0</v>
      </c>
      <c r="C230" s="331">
        <v>0.0</v>
      </c>
      <c r="D230" s="331">
        <v>0.0</v>
      </c>
      <c r="E230" s="331">
        <v>0.0</v>
      </c>
      <c r="F230" s="331">
        <v>0.0</v>
      </c>
      <c r="G230" s="331">
        <v>0.0</v>
      </c>
      <c r="H230" s="331">
        <v>0.0</v>
      </c>
      <c r="I230" s="331">
        <v>0.0</v>
      </c>
      <c r="J230" s="331">
        <v>0.0</v>
      </c>
      <c r="K230" s="331">
        <v>0.0</v>
      </c>
      <c r="L230" s="331">
        <v>0.0</v>
      </c>
      <c r="M230" s="331">
        <v>0.0</v>
      </c>
      <c r="N230" s="331">
        <v>0.0</v>
      </c>
      <c r="O230" s="331">
        <v>0.0</v>
      </c>
      <c r="P230" s="331">
        <v>0.0</v>
      </c>
      <c r="Q230" s="331">
        <v>0.0</v>
      </c>
      <c r="R230" s="331">
        <v>0.0</v>
      </c>
      <c r="S230" s="331">
        <v>0.0</v>
      </c>
      <c r="T230" s="331">
        <v>0.0</v>
      </c>
      <c r="U230" s="331">
        <v>1.0</v>
      </c>
      <c r="V230" s="331">
        <v>1.0</v>
      </c>
      <c r="W230" s="331">
        <v>0.0</v>
      </c>
      <c r="X230" s="331">
        <v>0.0</v>
      </c>
      <c r="Y230" s="331">
        <v>0.0</v>
      </c>
      <c r="Z230" s="331">
        <v>0.0</v>
      </c>
      <c r="AA230" s="331">
        <v>0.0</v>
      </c>
      <c r="AB230" s="331">
        <v>0.0</v>
      </c>
      <c r="AC230" s="331">
        <v>0.0</v>
      </c>
      <c r="AD230" s="331">
        <v>0.0</v>
      </c>
      <c r="AE230" s="331">
        <v>0.0</v>
      </c>
      <c r="AF230" s="155">
        <f t="shared" si="81"/>
        <v>2</v>
      </c>
    </row>
    <row r="231" outlineLevel="1">
      <c r="A231" s="116" t="s">
        <v>462</v>
      </c>
      <c r="B231" s="331">
        <v>0.0</v>
      </c>
      <c r="C231" s="331">
        <v>0.0</v>
      </c>
      <c r="D231" s="331">
        <v>0.0</v>
      </c>
      <c r="E231" s="331">
        <v>0.0</v>
      </c>
      <c r="F231" s="331">
        <v>0.0</v>
      </c>
      <c r="G231" s="331">
        <v>0.0</v>
      </c>
      <c r="H231" s="331">
        <v>0.0</v>
      </c>
      <c r="I231" s="331">
        <v>0.0</v>
      </c>
      <c r="J231" s="331">
        <v>0.0</v>
      </c>
      <c r="K231" s="331">
        <v>0.0</v>
      </c>
      <c r="L231" s="331">
        <v>0.0</v>
      </c>
      <c r="M231" s="331">
        <v>0.0</v>
      </c>
      <c r="N231" s="331">
        <v>0.0</v>
      </c>
      <c r="O231" s="331">
        <v>0.0</v>
      </c>
      <c r="P231" s="331">
        <v>0.0</v>
      </c>
      <c r="Q231" s="331">
        <v>0.0</v>
      </c>
      <c r="R231" s="331">
        <v>0.0</v>
      </c>
      <c r="S231" s="331">
        <v>0.0</v>
      </c>
      <c r="T231" s="331">
        <v>0.0</v>
      </c>
      <c r="U231" s="331">
        <v>0.0</v>
      </c>
      <c r="V231" s="331">
        <v>0.0</v>
      </c>
      <c r="W231" s="331">
        <v>0.0</v>
      </c>
      <c r="X231" s="331">
        <v>0.0</v>
      </c>
      <c r="Y231" s="331">
        <v>0.0</v>
      </c>
      <c r="Z231" s="331">
        <v>0.0</v>
      </c>
      <c r="AA231" s="331">
        <v>0.0</v>
      </c>
      <c r="AB231" s="331">
        <v>0.0</v>
      </c>
      <c r="AC231" s="331">
        <v>0.0</v>
      </c>
      <c r="AD231" s="331">
        <v>0.0</v>
      </c>
      <c r="AE231" s="331">
        <v>0.0</v>
      </c>
      <c r="AF231" s="155">
        <f t="shared" si="81"/>
        <v>0</v>
      </c>
    </row>
    <row r="232">
      <c r="A232" s="271" t="s">
        <v>159</v>
      </c>
      <c r="B232" s="578">
        <f t="shared" ref="B232:AE232" si="82">SUM(B224:B231)</f>
        <v>0</v>
      </c>
      <c r="C232" s="578">
        <f t="shared" si="82"/>
        <v>0</v>
      </c>
      <c r="D232" s="578">
        <f t="shared" si="82"/>
        <v>0</v>
      </c>
      <c r="E232" s="578">
        <f t="shared" si="82"/>
        <v>0</v>
      </c>
      <c r="F232" s="578">
        <f t="shared" si="82"/>
        <v>0</v>
      </c>
      <c r="G232" s="578">
        <f t="shared" si="82"/>
        <v>0</v>
      </c>
      <c r="H232" s="578">
        <f t="shared" si="82"/>
        <v>0</v>
      </c>
      <c r="I232" s="578">
        <f t="shared" si="82"/>
        <v>0</v>
      </c>
      <c r="J232" s="578">
        <f t="shared" si="82"/>
        <v>0</v>
      </c>
      <c r="K232" s="578">
        <f t="shared" si="82"/>
        <v>0</v>
      </c>
      <c r="L232" s="578">
        <f t="shared" si="82"/>
        <v>0</v>
      </c>
      <c r="M232" s="578">
        <f t="shared" si="82"/>
        <v>0</v>
      </c>
      <c r="N232" s="578">
        <f t="shared" si="82"/>
        <v>0</v>
      </c>
      <c r="O232" s="578">
        <f t="shared" si="82"/>
        <v>0</v>
      </c>
      <c r="P232" s="578">
        <f t="shared" si="82"/>
        <v>0</v>
      </c>
      <c r="Q232" s="578">
        <f t="shared" si="82"/>
        <v>0</v>
      </c>
      <c r="R232" s="578">
        <f t="shared" si="82"/>
        <v>0</v>
      </c>
      <c r="S232" s="578">
        <f t="shared" si="82"/>
        <v>0</v>
      </c>
      <c r="T232" s="578">
        <f t="shared" si="82"/>
        <v>0</v>
      </c>
      <c r="U232" s="578">
        <f t="shared" si="82"/>
        <v>2</v>
      </c>
      <c r="V232" s="578">
        <f t="shared" si="82"/>
        <v>1</v>
      </c>
      <c r="W232" s="578">
        <f t="shared" si="82"/>
        <v>0</v>
      </c>
      <c r="X232" s="578">
        <f t="shared" si="82"/>
        <v>0</v>
      </c>
      <c r="Y232" s="578">
        <f t="shared" si="82"/>
        <v>1</v>
      </c>
      <c r="Z232" s="578">
        <f t="shared" si="82"/>
        <v>0</v>
      </c>
      <c r="AA232" s="578">
        <f t="shared" si="82"/>
        <v>0</v>
      </c>
      <c r="AB232" s="578">
        <f t="shared" si="82"/>
        <v>0</v>
      </c>
      <c r="AC232" s="578">
        <f t="shared" si="82"/>
        <v>0</v>
      </c>
      <c r="AD232" s="578">
        <f t="shared" si="82"/>
        <v>0</v>
      </c>
      <c r="AE232" s="578">
        <f t="shared" si="82"/>
        <v>0</v>
      </c>
      <c r="AF232" s="155">
        <f t="shared" si="81"/>
        <v>4</v>
      </c>
    </row>
    <row r="233">
      <c r="A233" s="24"/>
      <c r="B233" s="138"/>
      <c r="C233" s="138"/>
      <c r="D233" s="138"/>
      <c r="E233" s="138"/>
      <c r="F233" s="138"/>
      <c r="G233" s="138"/>
      <c r="H233" s="138"/>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258"/>
    </row>
    <row r="234">
      <c r="A234" s="73" t="s">
        <v>463</v>
      </c>
      <c r="B234" s="138"/>
      <c r="C234" s="138"/>
      <c r="D234" s="138"/>
      <c r="E234" s="138"/>
      <c r="F234" s="138"/>
      <c r="G234" s="204"/>
      <c r="H234" s="138"/>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7"/>
    </row>
    <row r="235">
      <c r="A235" s="116" t="s">
        <v>464</v>
      </c>
      <c r="B235" s="579">
        <v>0.0</v>
      </c>
      <c r="C235" s="579">
        <v>0.0</v>
      </c>
      <c r="D235" s="579">
        <v>182.74</v>
      </c>
      <c r="E235" s="579">
        <v>322.59</v>
      </c>
      <c r="F235" s="579">
        <v>0.0</v>
      </c>
      <c r="G235" s="579">
        <v>948.29</v>
      </c>
      <c r="H235" s="579">
        <v>470.7</v>
      </c>
      <c r="I235" s="579">
        <v>25.3</v>
      </c>
      <c r="J235" s="579">
        <v>0.0</v>
      </c>
      <c r="K235" s="579">
        <v>506.58</v>
      </c>
      <c r="L235" s="579">
        <v>0.0</v>
      </c>
      <c r="M235" s="579">
        <v>34.26</v>
      </c>
      <c r="N235" s="579">
        <v>52.56</v>
      </c>
      <c r="O235" s="579">
        <v>199.85</v>
      </c>
      <c r="P235" s="579">
        <v>704.68</v>
      </c>
      <c r="Q235" s="579">
        <v>0.0</v>
      </c>
      <c r="R235" s="579">
        <v>24.0</v>
      </c>
      <c r="S235" s="579">
        <v>304.27</v>
      </c>
      <c r="T235" s="579">
        <v>0.0</v>
      </c>
      <c r="U235" s="579">
        <v>13.48</v>
      </c>
      <c r="V235" s="579">
        <v>0.0</v>
      </c>
      <c r="W235" s="579">
        <v>34.17</v>
      </c>
      <c r="X235" s="579">
        <v>59.25</v>
      </c>
      <c r="Y235" s="579">
        <v>398.59</v>
      </c>
      <c r="Z235" s="579">
        <v>41.34</v>
      </c>
      <c r="AA235" s="579">
        <v>226.92</v>
      </c>
      <c r="AB235" s="579">
        <v>0.0</v>
      </c>
      <c r="AC235" s="579">
        <v>32.0</v>
      </c>
      <c r="AD235" s="579">
        <v>0.0</v>
      </c>
      <c r="AE235" s="579">
        <v>0.0</v>
      </c>
      <c r="AF235" s="67">
        <f t="shared" ref="AF235:AF236" si="84">SUM(B235:AE235)</f>
        <v>4581.57</v>
      </c>
    </row>
    <row r="236">
      <c r="A236" s="126" t="s">
        <v>466</v>
      </c>
      <c r="B236" s="128">
        <f t="shared" ref="B236:AE236" si="83">SUM(B235)</f>
        <v>0</v>
      </c>
      <c r="C236" s="128">
        <f t="shared" si="83"/>
        <v>0</v>
      </c>
      <c r="D236" s="128">
        <f t="shared" si="83"/>
        <v>182.74</v>
      </c>
      <c r="E236" s="128">
        <f t="shared" si="83"/>
        <v>322.59</v>
      </c>
      <c r="F236" s="128">
        <f t="shared" si="83"/>
        <v>0</v>
      </c>
      <c r="G236" s="128">
        <f t="shared" si="83"/>
        <v>948.29</v>
      </c>
      <c r="H236" s="128">
        <f t="shared" si="83"/>
        <v>470.7</v>
      </c>
      <c r="I236" s="128">
        <f t="shared" si="83"/>
        <v>25.3</v>
      </c>
      <c r="J236" s="128">
        <f t="shared" si="83"/>
        <v>0</v>
      </c>
      <c r="K236" s="128">
        <f t="shared" si="83"/>
        <v>506.58</v>
      </c>
      <c r="L236" s="128">
        <f t="shared" si="83"/>
        <v>0</v>
      </c>
      <c r="M236" s="128">
        <f t="shared" si="83"/>
        <v>34.26</v>
      </c>
      <c r="N236" s="128">
        <f t="shared" si="83"/>
        <v>52.56</v>
      </c>
      <c r="O236" s="128">
        <f t="shared" si="83"/>
        <v>199.85</v>
      </c>
      <c r="P236" s="128">
        <f t="shared" si="83"/>
        <v>704.68</v>
      </c>
      <c r="Q236" s="128">
        <f t="shared" si="83"/>
        <v>0</v>
      </c>
      <c r="R236" s="128">
        <f t="shared" si="83"/>
        <v>24</v>
      </c>
      <c r="S236" s="128">
        <f t="shared" si="83"/>
        <v>304.27</v>
      </c>
      <c r="T236" s="128">
        <f t="shared" si="83"/>
        <v>0</v>
      </c>
      <c r="U236" s="128">
        <f t="shared" si="83"/>
        <v>13.48</v>
      </c>
      <c r="V236" s="128">
        <f t="shared" si="83"/>
        <v>0</v>
      </c>
      <c r="W236" s="128">
        <f t="shared" si="83"/>
        <v>34.17</v>
      </c>
      <c r="X236" s="128">
        <f t="shared" si="83"/>
        <v>59.25</v>
      </c>
      <c r="Y236" s="128">
        <f t="shared" si="83"/>
        <v>398.59</v>
      </c>
      <c r="Z236" s="128">
        <f t="shared" si="83"/>
        <v>41.34</v>
      </c>
      <c r="AA236" s="128">
        <f t="shared" si="83"/>
        <v>226.92</v>
      </c>
      <c r="AB236" s="128">
        <f t="shared" si="83"/>
        <v>0</v>
      </c>
      <c r="AC236" s="128">
        <f t="shared" si="83"/>
        <v>32</v>
      </c>
      <c r="AD236" s="128">
        <f t="shared" si="83"/>
        <v>0</v>
      </c>
      <c r="AE236" s="128">
        <f t="shared" si="83"/>
        <v>0</v>
      </c>
      <c r="AF236" s="67">
        <f t="shared" si="84"/>
        <v>4581.57</v>
      </c>
    </row>
    <row r="237">
      <c r="A237" s="24"/>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459"/>
    </row>
    <row r="238">
      <c r="A238" s="116" t="s">
        <v>468</v>
      </c>
      <c r="B238" s="579">
        <v>0.0</v>
      </c>
      <c r="C238" s="579">
        <v>0.0</v>
      </c>
      <c r="D238" s="579">
        <v>0.0</v>
      </c>
      <c r="E238" s="579">
        <v>0.0</v>
      </c>
      <c r="F238" s="580">
        <v>234.0</v>
      </c>
      <c r="G238" s="579">
        <v>0.0</v>
      </c>
      <c r="H238" s="579">
        <v>0.0</v>
      </c>
      <c r="I238" s="579">
        <v>0.0</v>
      </c>
      <c r="J238" s="580">
        <v>179.1</v>
      </c>
      <c r="K238" s="579">
        <v>0.0</v>
      </c>
      <c r="L238" s="579">
        <v>0.0</v>
      </c>
      <c r="M238" s="579">
        <v>0.0</v>
      </c>
      <c r="N238" s="579">
        <v>0.0</v>
      </c>
      <c r="O238" s="579">
        <v>0.0</v>
      </c>
      <c r="P238" s="579">
        <v>0.0</v>
      </c>
      <c r="Q238" s="579">
        <v>0.0</v>
      </c>
      <c r="R238" s="579">
        <v>0.0</v>
      </c>
      <c r="S238" s="579">
        <v>0.0</v>
      </c>
      <c r="T238" s="579">
        <v>0.0</v>
      </c>
      <c r="U238" s="579">
        <v>44.4</v>
      </c>
      <c r="V238" s="579">
        <v>29.0</v>
      </c>
      <c r="W238" s="579">
        <v>0.0</v>
      </c>
      <c r="X238" s="579">
        <v>0.0</v>
      </c>
      <c r="Y238" s="579">
        <v>29.0</v>
      </c>
      <c r="Z238" s="579">
        <v>0.0</v>
      </c>
      <c r="AA238" s="579">
        <v>0.0</v>
      </c>
      <c r="AB238" s="579">
        <v>0.0</v>
      </c>
      <c r="AC238" s="579">
        <v>0.0</v>
      </c>
      <c r="AD238" s="579">
        <v>0.0</v>
      </c>
      <c r="AE238" s="579">
        <v>0.0</v>
      </c>
      <c r="AF238" s="67">
        <f t="shared" ref="AF238:AF241" si="85">SUM(B238:AE238)</f>
        <v>515.5</v>
      </c>
    </row>
    <row r="239">
      <c r="A239" s="116" t="s">
        <v>470</v>
      </c>
      <c r="B239" s="579">
        <v>0.0</v>
      </c>
      <c r="C239" s="579">
        <v>0.0</v>
      </c>
      <c r="D239" s="579">
        <v>0.0</v>
      </c>
      <c r="E239" s="579">
        <v>0.0</v>
      </c>
      <c r="F239" s="579">
        <v>35.0</v>
      </c>
      <c r="G239" s="579">
        <v>0.0</v>
      </c>
      <c r="H239" s="579">
        <v>0.0</v>
      </c>
      <c r="I239" s="579">
        <v>0.0</v>
      </c>
      <c r="J239" s="579">
        <v>35.0</v>
      </c>
      <c r="K239" s="579">
        <v>0.0</v>
      </c>
      <c r="L239" s="579">
        <v>0.0</v>
      </c>
      <c r="M239" s="579">
        <v>0.0</v>
      </c>
      <c r="N239" s="579">
        <v>0.0</v>
      </c>
      <c r="O239" s="579">
        <v>0.0</v>
      </c>
      <c r="P239" s="579">
        <v>0.0</v>
      </c>
      <c r="Q239" s="579">
        <v>0.0</v>
      </c>
      <c r="R239" s="579">
        <v>0.0</v>
      </c>
      <c r="S239" s="579">
        <v>0.0</v>
      </c>
      <c r="T239" s="579">
        <v>0.0</v>
      </c>
      <c r="U239" s="579">
        <v>20.0</v>
      </c>
      <c r="V239" s="579">
        <v>10.0</v>
      </c>
      <c r="W239" s="579">
        <v>0.0</v>
      </c>
      <c r="X239" s="579">
        <v>0.0</v>
      </c>
      <c r="Y239" s="579">
        <v>10.0</v>
      </c>
      <c r="Z239" s="579">
        <v>0.0</v>
      </c>
      <c r="AA239" s="579">
        <v>0.0</v>
      </c>
      <c r="AB239" s="579">
        <v>0.0</v>
      </c>
      <c r="AC239" s="579">
        <v>0.0</v>
      </c>
      <c r="AD239" s="579">
        <v>0.0</v>
      </c>
      <c r="AE239" s="579">
        <v>0.0</v>
      </c>
      <c r="AF239" s="67">
        <f t="shared" si="85"/>
        <v>110</v>
      </c>
    </row>
    <row r="240">
      <c r="A240" s="116" t="s">
        <v>471</v>
      </c>
      <c r="B240" s="579">
        <f t="shared" ref="B240:AE240" si="86">B238*0.22</f>
        <v>0</v>
      </c>
      <c r="C240" s="579">
        <f t="shared" si="86"/>
        <v>0</v>
      </c>
      <c r="D240" s="579">
        <f t="shared" si="86"/>
        <v>0</v>
      </c>
      <c r="E240" s="579">
        <f t="shared" si="86"/>
        <v>0</v>
      </c>
      <c r="F240" s="579">
        <f t="shared" si="86"/>
        <v>51.48</v>
      </c>
      <c r="G240" s="579">
        <f t="shared" si="86"/>
        <v>0</v>
      </c>
      <c r="H240" s="579">
        <f t="shared" si="86"/>
        <v>0</v>
      </c>
      <c r="I240" s="579">
        <f t="shared" si="86"/>
        <v>0</v>
      </c>
      <c r="J240" s="579">
        <f t="shared" si="86"/>
        <v>39.402</v>
      </c>
      <c r="K240" s="579">
        <f t="shared" si="86"/>
        <v>0</v>
      </c>
      <c r="L240" s="579">
        <f t="shared" si="86"/>
        <v>0</v>
      </c>
      <c r="M240" s="579">
        <f t="shared" si="86"/>
        <v>0</v>
      </c>
      <c r="N240" s="579">
        <f t="shared" si="86"/>
        <v>0</v>
      </c>
      <c r="O240" s="579">
        <f t="shared" si="86"/>
        <v>0</v>
      </c>
      <c r="P240" s="579">
        <f t="shared" si="86"/>
        <v>0</v>
      </c>
      <c r="Q240" s="579">
        <f t="shared" si="86"/>
        <v>0</v>
      </c>
      <c r="R240" s="579">
        <f t="shared" si="86"/>
        <v>0</v>
      </c>
      <c r="S240" s="579">
        <f t="shared" si="86"/>
        <v>0</v>
      </c>
      <c r="T240" s="579">
        <f t="shared" si="86"/>
        <v>0</v>
      </c>
      <c r="U240" s="579">
        <f t="shared" si="86"/>
        <v>9.768</v>
      </c>
      <c r="V240" s="579">
        <f t="shared" si="86"/>
        <v>6.38</v>
      </c>
      <c r="W240" s="579">
        <f t="shared" si="86"/>
        <v>0</v>
      </c>
      <c r="X240" s="579">
        <f t="shared" si="86"/>
        <v>0</v>
      </c>
      <c r="Y240" s="579">
        <f t="shared" si="86"/>
        <v>6.38</v>
      </c>
      <c r="Z240" s="579">
        <f t="shared" si="86"/>
        <v>0</v>
      </c>
      <c r="AA240" s="579">
        <f t="shared" si="86"/>
        <v>0</v>
      </c>
      <c r="AB240" s="579">
        <f t="shared" si="86"/>
        <v>0</v>
      </c>
      <c r="AC240" s="579">
        <f t="shared" si="86"/>
        <v>0</v>
      </c>
      <c r="AD240" s="579">
        <f t="shared" si="86"/>
        <v>0</v>
      </c>
      <c r="AE240" s="579">
        <f t="shared" si="86"/>
        <v>0</v>
      </c>
      <c r="AF240" s="67">
        <f t="shared" si="85"/>
        <v>113.41</v>
      </c>
    </row>
    <row r="241">
      <c r="A241" s="126" t="s">
        <v>473</v>
      </c>
      <c r="B241" s="128">
        <f t="shared" ref="B241:AE241" si="87">B238+B239</f>
        <v>0</v>
      </c>
      <c r="C241" s="128">
        <f t="shared" si="87"/>
        <v>0</v>
      </c>
      <c r="D241" s="128">
        <f t="shared" si="87"/>
        <v>0</v>
      </c>
      <c r="E241" s="128">
        <f t="shared" si="87"/>
        <v>0</v>
      </c>
      <c r="F241" s="128">
        <f t="shared" si="87"/>
        <v>269</v>
      </c>
      <c r="G241" s="128">
        <f t="shared" si="87"/>
        <v>0</v>
      </c>
      <c r="H241" s="128">
        <f t="shared" si="87"/>
        <v>0</v>
      </c>
      <c r="I241" s="128">
        <f t="shared" si="87"/>
        <v>0</v>
      </c>
      <c r="J241" s="128">
        <f t="shared" si="87"/>
        <v>214.1</v>
      </c>
      <c r="K241" s="128">
        <f t="shared" si="87"/>
        <v>0</v>
      </c>
      <c r="L241" s="128">
        <f t="shared" si="87"/>
        <v>0</v>
      </c>
      <c r="M241" s="128">
        <f t="shared" si="87"/>
        <v>0</v>
      </c>
      <c r="N241" s="128">
        <f t="shared" si="87"/>
        <v>0</v>
      </c>
      <c r="O241" s="128">
        <f t="shared" si="87"/>
        <v>0</v>
      </c>
      <c r="P241" s="128">
        <f t="shared" si="87"/>
        <v>0</v>
      </c>
      <c r="Q241" s="128">
        <f t="shared" si="87"/>
        <v>0</v>
      </c>
      <c r="R241" s="128">
        <f t="shared" si="87"/>
        <v>0</v>
      </c>
      <c r="S241" s="128">
        <f t="shared" si="87"/>
        <v>0</v>
      </c>
      <c r="T241" s="128">
        <f t="shared" si="87"/>
        <v>0</v>
      </c>
      <c r="U241" s="128">
        <f t="shared" si="87"/>
        <v>64.4</v>
      </c>
      <c r="V241" s="128">
        <f t="shared" si="87"/>
        <v>39</v>
      </c>
      <c r="W241" s="128">
        <f t="shared" si="87"/>
        <v>0</v>
      </c>
      <c r="X241" s="128">
        <f t="shared" si="87"/>
        <v>0</v>
      </c>
      <c r="Y241" s="128">
        <f t="shared" si="87"/>
        <v>39</v>
      </c>
      <c r="Z241" s="128">
        <f t="shared" si="87"/>
        <v>0</v>
      </c>
      <c r="AA241" s="128">
        <f t="shared" si="87"/>
        <v>0</v>
      </c>
      <c r="AB241" s="128">
        <f t="shared" si="87"/>
        <v>0</v>
      </c>
      <c r="AC241" s="128">
        <f t="shared" si="87"/>
        <v>0</v>
      </c>
      <c r="AD241" s="128">
        <f t="shared" si="87"/>
        <v>0</v>
      </c>
      <c r="AE241" s="128">
        <f t="shared" si="87"/>
        <v>0</v>
      </c>
      <c r="AF241" s="67">
        <f t="shared" si="85"/>
        <v>625.5</v>
      </c>
    </row>
    <row r="242">
      <c r="A242" s="24"/>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7"/>
    </row>
    <row r="243">
      <c r="A243" s="24"/>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7"/>
    </row>
    <row r="244">
      <c r="A244" s="546" t="s">
        <v>474</v>
      </c>
      <c r="B244" s="550"/>
      <c r="C244" s="550"/>
      <c r="D244" s="550"/>
      <c r="E244" s="550"/>
      <c r="F244" s="550"/>
      <c r="G244" s="550"/>
      <c r="H244" s="550"/>
      <c r="I244" s="550"/>
      <c r="J244" s="550"/>
      <c r="K244" s="550"/>
      <c r="L244" s="550"/>
      <c r="M244" s="550"/>
      <c r="N244" s="550"/>
      <c r="O244" s="550"/>
      <c r="P244" s="550"/>
      <c r="Q244" s="550"/>
      <c r="R244" s="550"/>
      <c r="S244" s="550"/>
      <c r="T244" s="550"/>
      <c r="U244" s="550"/>
      <c r="V244" s="550"/>
      <c r="W244" s="550"/>
      <c r="X244" s="550"/>
      <c r="Y244" s="550"/>
      <c r="Z244" s="550"/>
      <c r="AA244" s="550"/>
      <c r="AB244" s="550"/>
      <c r="AC244" s="550"/>
      <c r="AD244" s="550"/>
      <c r="AE244" s="550"/>
      <c r="AF244" s="7"/>
    </row>
    <row r="245">
      <c r="A245" s="116" t="s">
        <v>373</v>
      </c>
      <c r="B245" s="279"/>
      <c r="C245" s="279"/>
      <c r="D245" s="279"/>
      <c r="E245" s="279"/>
      <c r="F245" s="279"/>
      <c r="G245" s="279"/>
      <c r="H245" s="279"/>
      <c r="I245" s="279"/>
      <c r="J245" s="279"/>
      <c r="K245" s="279"/>
      <c r="L245" s="279"/>
      <c r="M245" s="279"/>
      <c r="N245" s="279"/>
      <c r="O245" s="279"/>
      <c r="P245" s="279"/>
      <c r="Q245" s="279"/>
      <c r="R245" s="279"/>
      <c r="S245" s="279"/>
      <c r="T245" s="279"/>
      <c r="U245" s="279"/>
      <c r="V245" s="279"/>
      <c r="W245" s="279"/>
      <c r="X245" s="279"/>
      <c r="Y245" s="279"/>
      <c r="Z245" s="279"/>
      <c r="AA245" s="279"/>
      <c r="AB245" s="279"/>
      <c r="AC245" s="279"/>
      <c r="AD245" s="279"/>
      <c r="AE245" s="279"/>
      <c r="AF245" s="258"/>
    </row>
    <row r="246" outlineLevel="1">
      <c r="A246" s="116" t="s">
        <v>476</v>
      </c>
      <c r="B246" s="331">
        <v>2.0</v>
      </c>
      <c r="C246" s="331">
        <v>0.0</v>
      </c>
      <c r="D246" s="331">
        <v>0.0</v>
      </c>
      <c r="E246" s="331">
        <v>0.0</v>
      </c>
      <c r="F246" s="331">
        <v>1.0</v>
      </c>
      <c r="G246" s="331">
        <v>1.0</v>
      </c>
      <c r="H246" s="331">
        <v>2.0</v>
      </c>
      <c r="I246" s="331">
        <v>0.0</v>
      </c>
      <c r="J246" s="331">
        <v>0.0</v>
      </c>
      <c r="K246" s="331">
        <v>0.0</v>
      </c>
      <c r="L246" s="331">
        <v>8.0</v>
      </c>
      <c r="M246" s="331">
        <v>11.0</v>
      </c>
      <c r="N246" s="331">
        <v>5.0</v>
      </c>
      <c r="O246" s="331">
        <v>10.0</v>
      </c>
      <c r="P246" s="331">
        <v>1.0</v>
      </c>
      <c r="Q246" s="331">
        <v>3.0</v>
      </c>
      <c r="R246" s="331">
        <v>0.0</v>
      </c>
      <c r="S246" s="331">
        <v>0.0</v>
      </c>
      <c r="T246" s="331">
        <v>2.0</v>
      </c>
      <c r="U246" s="331">
        <v>3.0</v>
      </c>
      <c r="V246" s="331">
        <v>2.0</v>
      </c>
      <c r="W246" s="331">
        <v>4.0</v>
      </c>
      <c r="X246" s="331">
        <v>1.0</v>
      </c>
      <c r="Y246" s="331">
        <v>0.0</v>
      </c>
      <c r="Z246" s="331">
        <v>0.0</v>
      </c>
      <c r="AA246" s="331">
        <v>0.0</v>
      </c>
      <c r="AB246" s="331">
        <v>6.0</v>
      </c>
      <c r="AC246" s="331">
        <v>1.0</v>
      </c>
      <c r="AD246" s="331">
        <v>0.0</v>
      </c>
      <c r="AE246" s="331">
        <v>2.0</v>
      </c>
      <c r="AF246" s="155">
        <f t="shared" ref="AF246:AF249" si="88">SUM(B246:AE246)</f>
        <v>65</v>
      </c>
    </row>
    <row r="247" outlineLevel="1">
      <c r="A247" s="116" t="s">
        <v>477</v>
      </c>
      <c r="B247" s="331">
        <v>5.0</v>
      </c>
      <c r="C247" s="331">
        <v>0.0</v>
      </c>
      <c r="D247" s="331">
        <v>0.0</v>
      </c>
      <c r="E247" s="331">
        <v>0.0</v>
      </c>
      <c r="F247" s="331">
        <v>0.0</v>
      </c>
      <c r="G247" s="331">
        <v>1.0</v>
      </c>
      <c r="H247" s="331">
        <v>0.0</v>
      </c>
      <c r="I247" s="331">
        <v>0.0</v>
      </c>
      <c r="J247" s="331">
        <v>0.0</v>
      </c>
      <c r="K247" s="331">
        <v>0.0</v>
      </c>
      <c r="L247" s="331">
        <v>4.0</v>
      </c>
      <c r="M247" s="331">
        <v>6.0</v>
      </c>
      <c r="N247" s="331">
        <v>2.0</v>
      </c>
      <c r="O247" s="331">
        <v>3.0</v>
      </c>
      <c r="P247" s="331">
        <v>1.0</v>
      </c>
      <c r="Q247" s="331">
        <v>0.0</v>
      </c>
      <c r="R247" s="331">
        <v>0.0</v>
      </c>
      <c r="S247" s="331">
        <v>0.0</v>
      </c>
      <c r="T247" s="331">
        <v>0.0</v>
      </c>
      <c r="U247" s="331">
        <v>0.0</v>
      </c>
      <c r="V247" s="331">
        <v>0.0</v>
      </c>
      <c r="W247" s="331">
        <v>0.0</v>
      </c>
      <c r="X247" s="331">
        <v>0.0</v>
      </c>
      <c r="Y247" s="331">
        <v>0.0</v>
      </c>
      <c r="Z247" s="331">
        <v>0.0</v>
      </c>
      <c r="AA247" s="331">
        <v>1.0</v>
      </c>
      <c r="AB247" s="331">
        <v>1.0</v>
      </c>
      <c r="AC247" s="331">
        <v>0.0</v>
      </c>
      <c r="AD247" s="331">
        <v>0.0</v>
      </c>
      <c r="AE247" s="331">
        <v>0.0</v>
      </c>
      <c r="AF247" s="155">
        <f t="shared" si="88"/>
        <v>24</v>
      </c>
    </row>
    <row r="248" outlineLevel="1">
      <c r="A248" s="116" t="s">
        <v>478</v>
      </c>
      <c r="B248" s="332">
        <v>7.0</v>
      </c>
      <c r="C248" s="332">
        <v>0.0</v>
      </c>
      <c r="D248" s="332">
        <v>3.0</v>
      </c>
      <c r="E248" s="332">
        <v>0.0</v>
      </c>
      <c r="F248" s="331">
        <v>4.0</v>
      </c>
      <c r="G248" s="331">
        <v>8.0</v>
      </c>
      <c r="H248" s="331">
        <v>3.0</v>
      </c>
      <c r="I248" s="331">
        <v>0.0</v>
      </c>
      <c r="J248" s="331">
        <v>1.0</v>
      </c>
      <c r="K248" s="331">
        <v>1.0</v>
      </c>
      <c r="L248" s="331">
        <v>8.0</v>
      </c>
      <c r="M248" s="331">
        <v>16.0</v>
      </c>
      <c r="N248" s="331">
        <v>8.0</v>
      </c>
      <c r="O248" s="331">
        <v>9.0</v>
      </c>
      <c r="P248" s="331">
        <v>0.0</v>
      </c>
      <c r="Q248" s="331">
        <v>0.0</v>
      </c>
      <c r="R248" s="331">
        <v>1.0</v>
      </c>
      <c r="S248" s="331">
        <v>3.0</v>
      </c>
      <c r="T248" s="331">
        <v>3.0</v>
      </c>
      <c r="U248" s="331">
        <v>4.0</v>
      </c>
      <c r="V248" s="331">
        <v>3.0</v>
      </c>
      <c r="W248" s="331">
        <v>7.0</v>
      </c>
      <c r="X248" s="331">
        <v>0.0</v>
      </c>
      <c r="Y248" s="331">
        <v>0.0</v>
      </c>
      <c r="Z248" s="331">
        <v>0.0</v>
      </c>
      <c r="AA248" s="331">
        <v>2.0</v>
      </c>
      <c r="AB248" s="331">
        <v>3.0</v>
      </c>
      <c r="AC248" s="331">
        <v>3.0</v>
      </c>
      <c r="AD248" s="331">
        <v>4.0</v>
      </c>
      <c r="AE248" s="331">
        <v>1.0</v>
      </c>
      <c r="AF248" s="155">
        <f t="shared" si="88"/>
        <v>102</v>
      </c>
    </row>
    <row r="249" outlineLevel="1">
      <c r="A249" s="116" t="s">
        <v>479</v>
      </c>
      <c r="B249" s="332">
        <v>1.0</v>
      </c>
      <c r="C249" s="332">
        <v>3.0</v>
      </c>
      <c r="D249" s="332">
        <v>0.0</v>
      </c>
      <c r="E249" s="332">
        <v>0.0</v>
      </c>
      <c r="F249" s="331">
        <v>0.0</v>
      </c>
      <c r="G249" s="331">
        <v>1.0</v>
      </c>
      <c r="H249" s="331">
        <v>0.0</v>
      </c>
      <c r="I249" s="331">
        <v>0.0</v>
      </c>
      <c r="J249" s="331">
        <v>0.0</v>
      </c>
      <c r="K249" s="331">
        <v>0.0</v>
      </c>
      <c r="L249" s="331">
        <v>3.0</v>
      </c>
      <c r="M249" s="331">
        <v>6.0</v>
      </c>
      <c r="N249" s="331">
        <v>4.0</v>
      </c>
      <c r="O249" s="331">
        <v>2.0</v>
      </c>
      <c r="P249" s="331">
        <v>0.0</v>
      </c>
      <c r="Q249" s="331">
        <v>0.0</v>
      </c>
      <c r="R249" s="331">
        <v>0.0</v>
      </c>
      <c r="S249" s="331">
        <v>0.0</v>
      </c>
      <c r="T249" s="331">
        <v>0.0</v>
      </c>
      <c r="U249" s="331">
        <v>1.0</v>
      </c>
      <c r="V249" s="331">
        <v>0.0</v>
      </c>
      <c r="W249" s="331">
        <v>3.0</v>
      </c>
      <c r="X249" s="331">
        <v>0.0</v>
      </c>
      <c r="Y249" s="331">
        <v>0.0</v>
      </c>
      <c r="Z249" s="331">
        <v>0.0</v>
      </c>
      <c r="AA249" s="331">
        <v>1.0</v>
      </c>
      <c r="AB249" s="331">
        <v>1.0</v>
      </c>
      <c r="AC249" s="331">
        <v>0.0</v>
      </c>
      <c r="AD249" s="331">
        <v>1.0</v>
      </c>
      <c r="AE249" s="331">
        <v>0.0</v>
      </c>
      <c r="AF249" s="155">
        <f t="shared" si="88"/>
        <v>27</v>
      </c>
    </row>
    <row r="250">
      <c r="A250" s="116" t="s">
        <v>380</v>
      </c>
      <c r="B250" s="279"/>
      <c r="C250" s="279"/>
      <c r="D250" s="279"/>
      <c r="E250" s="279"/>
      <c r="F250" s="279"/>
      <c r="G250" s="279"/>
      <c r="H250" s="279"/>
      <c r="I250" s="279"/>
      <c r="J250" s="279"/>
      <c r="K250" s="279"/>
      <c r="L250" s="279"/>
      <c r="M250" s="279"/>
      <c r="N250" s="279"/>
      <c r="O250" s="279"/>
      <c r="P250" s="279"/>
      <c r="Q250" s="279"/>
      <c r="R250" s="279"/>
      <c r="S250" s="279"/>
      <c r="T250" s="279"/>
      <c r="U250" s="279"/>
      <c r="V250" s="279"/>
      <c r="W250" s="279"/>
      <c r="X250" s="279"/>
      <c r="Y250" s="279"/>
      <c r="Z250" s="279"/>
      <c r="AA250" s="279"/>
      <c r="AB250" s="279"/>
      <c r="AC250" s="279"/>
      <c r="AD250" s="279"/>
      <c r="AE250" s="279"/>
      <c r="AF250" s="258"/>
    </row>
    <row r="251" outlineLevel="1">
      <c r="A251" s="116" t="s">
        <v>480</v>
      </c>
      <c r="B251" s="331">
        <v>0.0</v>
      </c>
      <c r="C251" s="331">
        <v>0.0</v>
      </c>
      <c r="D251" s="331">
        <v>0.0</v>
      </c>
      <c r="E251" s="331">
        <v>0.0</v>
      </c>
      <c r="F251" s="331">
        <v>0.0</v>
      </c>
      <c r="G251" s="331">
        <v>0.0</v>
      </c>
      <c r="H251" s="331">
        <v>0.0</v>
      </c>
      <c r="I251" s="331">
        <v>0.0</v>
      </c>
      <c r="J251" s="331">
        <v>0.0</v>
      </c>
      <c r="K251" s="331">
        <v>0.0</v>
      </c>
      <c r="L251" s="331">
        <v>0.0</v>
      </c>
      <c r="M251" s="331">
        <v>1.0</v>
      </c>
      <c r="N251" s="331">
        <v>3.0</v>
      </c>
      <c r="O251" s="331">
        <v>0.0</v>
      </c>
      <c r="P251" s="331">
        <v>0.0</v>
      </c>
      <c r="Q251" s="331">
        <v>0.0</v>
      </c>
      <c r="R251" s="331">
        <v>0.0</v>
      </c>
      <c r="S251" s="331">
        <v>1.0</v>
      </c>
      <c r="T251" s="331">
        <v>0.0</v>
      </c>
      <c r="U251" s="331">
        <v>0.0</v>
      </c>
      <c r="V251" s="331">
        <v>0.0</v>
      </c>
      <c r="W251" s="331">
        <v>0.0</v>
      </c>
      <c r="X251" s="331">
        <v>0.0</v>
      </c>
      <c r="Y251" s="331">
        <v>0.0</v>
      </c>
      <c r="Z251" s="331">
        <v>0.0</v>
      </c>
      <c r="AA251" s="331">
        <v>0.0</v>
      </c>
      <c r="AB251" s="331">
        <v>0.0</v>
      </c>
      <c r="AC251" s="331">
        <v>1.0</v>
      </c>
      <c r="AD251" s="331">
        <v>0.0</v>
      </c>
      <c r="AE251" s="331">
        <v>0.0</v>
      </c>
      <c r="AF251" s="155">
        <f t="shared" ref="AF251:AF256" si="89">SUM(B251:AE251)</f>
        <v>6</v>
      </c>
    </row>
    <row r="252" outlineLevel="1">
      <c r="A252" s="116" t="s">
        <v>482</v>
      </c>
      <c r="B252" s="331">
        <v>0.0</v>
      </c>
      <c r="C252" s="331">
        <v>0.0</v>
      </c>
      <c r="D252" s="331">
        <v>0.0</v>
      </c>
      <c r="E252" s="331">
        <v>0.0</v>
      </c>
      <c r="F252" s="331">
        <v>0.0</v>
      </c>
      <c r="G252" s="331">
        <v>0.0</v>
      </c>
      <c r="H252" s="331">
        <v>0.0</v>
      </c>
      <c r="I252" s="331">
        <v>0.0</v>
      </c>
      <c r="J252" s="331">
        <v>0.0</v>
      </c>
      <c r="K252" s="331">
        <v>0.0</v>
      </c>
      <c r="L252" s="331">
        <v>0.0</v>
      </c>
      <c r="M252" s="331">
        <v>0.0</v>
      </c>
      <c r="N252" s="331">
        <v>0.0</v>
      </c>
      <c r="O252" s="331">
        <v>0.0</v>
      </c>
      <c r="P252" s="331">
        <v>0.0</v>
      </c>
      <c r="Q252" s="331">
        <v>0.0</v>
      </c>
      <c r="R252" s="331">
        <v>0.0</v>
      </c>
      <c r="S252" s="331">
        <v>0.0</v>
      </c>
      <c r="T252" s="331">
        <v>0.0</v>
      </c>
      <c r="U252" s="331">
        <v>0.0</v>
      </c>
      <c r="V252" s="331">
        <v>0.0</v>
      </c>
      <c r="W252" s="331">
        <v>0.0</v>
      </c>
      <c r="X252" s="331">
        <v>0.0</v>
      </c>
      <c r="Y252" s="331">
        <v>0.0</v>
      </c>
      <c r="Z252" s="331">
        <v>0.0</v>
      </c>
      <c r="AA252" s="331">
        <v>0.0</v>
      </c>
      <c r="AB252" s="331">
        <v>0.0</v>
      </c>
      <c r="AC252" s="331">
        <v>0.0</v>
      </c>
      <c r="AD252" s="331">
        <v>0.0</v>
      </c>
      <c r="AE252" s="331">
        <v>0.0</v>
      </c>
      <c r="AF252" s="155">
        <f t="shared" si="89"/>
        <v>0</v>
      </c>
    </row>
    <row r="253" outlineLevel="1">
      <c r="A253" s="116" t="s">
        <v>483</v>
      </c>
      <c r="B253" s="331">
        <v>0.0</v>
      </c>
      <c r="C253" s="332">
        <v>0.0</v>
      </c>
      <c r="D253" s="332">
        <v>0.0</v>
      </c>
      <c r="E253" s="332">
        <v>0.0</v>
      </c>
      <c r="F253" s="331">
        <v>0.0</v>
      </c>
      <c r="G253" s="331">
        <v>0.0</v>
      </c>
      <c r="H253" s="331">
        <v>0.0</v>
      </c>
      <c r="I253" s="331">
        <v>0.0</v>
      </c>
      <c r="J253" s="331">
        <v>0.0</v>
      </c>
      <c r="K253" s="331">
        <v>0.0</v>
      </c>
      <c r="L253" s="331">
        <v>0.0</v>
      </c>
      <c r="M253" s="331">
        <v>0.0</v>
      </c>
      <c r="N253" s="331">
        <v>0.0</v>
      </c>
      <c r="O253" s="331">
        <v>0.0</v>
      </c>
      <c r="P253" s="331">
        <v>0.0</v>
      </c>
      <c r="Q253" s="331">
        <v>0.0</v>
      </c>
      <c r="R253" s="331">
        <v>0.0</v>
      </c>
      <c r="S253" s="331">
        <v>0.0</v>
      </c>
      <c r="T253" s="331">
        <v>0.0</v>
      </c>
      <c r="U253" s="331">
        <v>0.0</v>
      </c>
      <c r="V253" s="331">
        <v>1.0</v>
      </c>
      <c r="W253" s="331">
        <v>0.0</v>
      </c>
      <c r="X253" s="331">
        <v>0.0</v>
      </c>
      <c r="Y253" s="331">
        <v>0.0</v>
      </c>
      <c r="Z253" s="331">
        <v>0.0</v>
      </c>
      <c r="AA253" s="331">
        <v>0.0</v>
      </c>
      <c r="AB253" s="331">
        <v>0.0</v>
      </c>
      <c r="AC253" s="331">
        <v>0.0</v>
      </c>
      <c r="AD253" s="331">
        <v>0.0</v>
      </c>
      <c r="AE253" s="331">
        <v>0.0</v>
      </c>
      <c r="AF253" s="155">
        <f t="shared" si="89"/>
        <v>1</v>
      </c>
    </row>
    <row r="254" outlineLevel="1">
      <c r="A254" s="116" t="s">
        <v>484</v>
      </c>
      <c r="B254" s="331">
        <v>0.0</v>
      </c>
      <c r="C254" s="332">
        <v>0.0</v>
      </c>
      <c r="D254" s="332">
        <v>0.0</v>
      </c>
      <c r="E254" s="332">
        <v>0.0</v>
      </c>
      <c r="F254" s="331">
        <v>0.0</v>
      </c>
      <c r="G254" s="331">
        <v>0.0</v>
      </c>
      <c r="H254" s="331">
        <v>0.0</v>
      </c>
      <c r="I254" s="331">
        <v>0.0</v>
      </c>
      <c r="J254" s="331">
        <v>0.0</v>
      </c>
      <c r="K254" s="331">
        <v>0.0</v>
      </c>
      <c r="L254" s="331">
        <v>0.0</v>
      </c>
      <c r="M254" s="331">
        <v>0.0</v>
      </c>
      <c r="N254" s="331">
        <v>0.0</v>
      </c>
      <c r="O254" s="331">
        <v>0.0</v>
      </c>
      <c r="P254" s="331">
        <v>0.0</v>
      </c>
      <c r="Q254" s="331">
        <v>0.0</v>
      </c>
      <c r="R254" s="331">
        <v>0.0</v>
      </c>
      <c r="S254" s="331">
        <v>0.0</v>
      </c>
      <c r="T254" s="331">
        <v>0.0</v>
      </c>
      <c r="U254" s="331">
        <v>0.0</v>
      </c>
      <c r="V254" s="331">
        <v>0.0</v>
      </c>
      <c r="W254" s="331">
        <v>0.0</v>
      </c>
      <c r="X254" s="331">
        <v>0.0</v>
      </c>
      <c r="Y254" s="331">
        <v>0.0</v>
      </c>
      <c r="Z254" s="331">
        <v>0.0</v>
      </c>
      <c r="AA254" s="331">
        <v>0.0</v>
      </c>
      <c r="AB254" s="331">
        <v>0.0</v>
      </c>
      <c r="AC254" s="331">
        <v>0.0</v>
      </c>
      <c r="AD254" s="331">
        <v>0.0</v>
      </c>
      <c r="AE254" s="331">
        <v>0.0</v>
      </c>
      <c r="AF254" s="155">
        <f t="shared" si="89"/>
        <v>0</v>
      </c>
    </row>
    <row r="255">
      <c r="A255" s="271" t="s">
        <v>261</v>
      </c>
      <c r="B255" s="578">
        <f t="shared" ref="B255:AE255" si="90">SUM(B246,B247,B251,B252,)</f>
        <v>7</v>
      </c>
      <c r="C255" s="578">
        <f t="shared" si="90"/>
        <v>0</v>
      </c>
      <c r="D255" s="578">
        <f t="shared" si="90"/>
        <v>0</v>
      </c>
      <c r="E255" s="578">
        <f t="shared" si="90"/>
        <v>0</v>
      </c>
      <c r="F255" s="578">
        <f t="shared" si="90"/>
        <v>1</v>
      </c>
      <c r="G255" s="578">
        <f t="shared" si="90"/>
        <v>2</v>
      </c>
      <c r="H255" s="578">
        <f t="shared" si="90"/>
        <v>2</v>
      </c>
      <c r="I255" s="578">
        <f t="shared" si="90"/>
        <v>0</v>
      </c>
      <c r="J255" s="578">
        <f t="shared" si="90"/>
        <v>0</v>
      </c>
      <c r="K255" s="578">
        <f t="shared" si="90"/>
        <v>0</v>
      </c>
      <c r="L255" s="578">
        <f t="shared" si="90"/>
        <v>12</v>
      </c>
      <c r="M255" s="578">
        <f t="shared" si="90"/>
        <v>18</v>
      </c>
      <c r="N255" s="578">
        <f t="shared" si="90"/>
        <v>10</v>
      </c>
      <c r="O255" s="578">
        <f t="shared" si="90"/>
        <v>13</v>
      </c>
      <c r="P255" s="578">
        <f t="shared" si="90"/>
        <v>2</v>
      </c>
      <c r="Q255" s="578">
        <f t="shared" si="90"/>
        <v>3</v>
      </c>
      <c r="R255" s="578">
        <f t="shared" si="90"/>
        <v>0</v>
      </c>
      <c r="S255" s="578">
        <f t="shared" si="90"/>
        <v>1</v>
      </c>
      <c r="T255" s="578">
        <f t="shared" si="90"/>
        <v>2</v>
      </c>
      <c r="U255" s="578">
        <f t="shared" si="90"/>
        <v>3</v>
      </c>
      <c r="V255" s="578">
        <f t="shared" si="90"/>
        <v>2</v>
      </c>
      <c r="W255" s="578">
        <f t="shared" si="90"/>
        <v>4</v>
      </c>
      <c r="X255" s="578">
        <f t="shared" si="90"/>
        <v>1</v>
      </c>
      <c r="Y255" s="578">
        <f t="shared" si="90"/>
        <v>0</v>
      </c>
      <c r="Z255" s="578">
        <f t="shared" si="90"/>
        <v>0</v>
      </c>
      <c r="AA255" s="578">
        <f t="shared" si="90"/>
        <v>1</v>
      </c>
      <c r="AB255" s="578">
        <f t="shared" si="90"/>
        <v>7</v>
      </c>
      <c r="AC255" s="578">
        <f t="shared" si="90"/>
        <v>2</v>
      </c>
      <c r="AD255" s="578">
        <f t="shared" si="90"/>
        <v>0</v>
      </c>
      <c r="AE255" s="578">
        <f t="shared" si="90"/>
        <v>2</v>
      </c>
      <c r="AF255" s="155">
        <f t="shared" si="89"/>
        <v>95</v>
      </c>
    </row>
    <row r="256">
      <c r="A256" s="271" t="s">
        <v>263</v>
      </c>
      <c r="B256" s="578">
        <f t="shared" ref="B256:AE256" si="91">SUM(B248,B249,B253,B254,)</f>
        <v>8</v>
      </c>
      <c r="C256" s="578">
        <f t="shared" si="91"/>
        <v>3</v>
      </c>
      <c r="D256" s="578">
        <f t="shared" si="91"/>
        <v>3</v>
      </c>
      <c r="E256" s="578">
        <f t="shared" si="91"/>
        <v>0</v>
      </c>
      <c r="F256" s="578">
        <f t="shared" si="91"/>
        <v>4</v>
      </c>
      <c r="G256" s="578">
        <f t="shared" si="91"/>
        <v>9</v>
      </c>
      <c r="H256" s="578">
        <f t="shared" si="91"/>
        <v>3</v>
      </c>
      <c r="I256" s="578">
        <f t="shared" si="91"/>
        <v>0</v>
      </c>
      <c r="J256" s="578">
        <f t="shared" si="91"/>
        <v>1</v>
      </c>
      <c r="K256" s="578">
        <f t="shared" si="91"/>
        <v>1</v>
      </c>
      <c r="L256" s="578">
        <f t="shared" si="91"/>
        <v>11</v>
      </c>
      <c r="M256" s="578">
        <f t="shared" si="91"/>
        <v>22</v>
      </c>
      <c r="N256" s="578">
        <f t="shared" si="91"/>
        <v>12</v>
      </c>
      <c r="O256" s="578">
        <f t="shared" si="91"/>
        <v>11</v>
      </c>
      <c r="P256" s="578">
        <f t="shared" si="91"/>
        <v>0</v>
      </c>
      <c r="Q256" s="578">
        <f t="shared" si="91"/>
        <v>0</v>
      </c>
      <c r="R256" s="578">
        <f t="shared" si="91"/>
        <v>1</v>
      </c>
      <c r="S256" s="578">
        <f t="shared" si="91"/>
        <v>3</v>
      </c>
      <c r="T256" s="578">
        <f t="shared" si="91"/>
        <v>3</v>
      </c>
      <c r="U256" s="578">
        <f t="shared" si="91"/>
        <v>5</v>
      </c>
      <c r="V256" s="578">
        <f t="shared" si="91"/>
        <v>4</v>
      </c>
      <c r="W256" s="578">
        <f t="shared" si="91"/>
        <v>10</v>
      </c>
      <c r="X256" s="578">
        <f t="shared" si="91"/>
        <v>0</v>
      </c>
      <c r="Y256" s="578">
        <f t="shared" si="91"/>
        <v>0</v>
      </c>
      <c r="Z256" s="578">
        <f t="shared" si="91"/>
        <v>0</v>
      </c>
      <c r="AA256" s="578">
        <f t="shared" si="91"/>
        <v>3</v>
      </c>
      <c r="AB256" s="578">
        <f t="shared" si="91"/>
        <v>4</v>
      </c>
      <c r="AC256" s="578">
        <f t="shared" si="91"/>
        <v>3</v>
      </c>
      <c r="AD256" s="578">
        <f t="shared" si="91"/>
        <v>5</v>
      </c>
      <c r="AE256" s="578">
        <f t="shared" si="91"/>
        <v>1</v>
      </c>
      <c r="AF256" s="155">
        <f t="shared" si="89"/>
        <v>130</v>
      </c>
    </row>
    <row r="257">
      <c r="A257" s="24"/>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7"/>
    </row>
    <row r="258">
      <c r="A258" s="116" t="s">
        <v>387</v>
      </c>
      <c r="B258" s="279"/>
      <c r="C258" s="279"/>
      <c r="D258" s="279"/>
      <c r="E258" s="279"/>
      <c r="F258" s="279"/>
      <c r="G258" s="279"/>
      <c r="H258" s="279"/>
      <c r="I258" s="279"/>
      <c r="J258" s="279"/>
      <c r="K258" s="279"/>
      <c r="L258" s="279"/>
      <c r="M258" s="279"/>
      <c r="N258" s="279"/>
      <c r="O258" s="279"/>
      <c r="P258" s="279"/>
      <c r="Q258" s="279"/>
      <c r="R258" s="279"/>
      <c r="S258" s="279"/>
      <c r="T258" s="279"/>
      <c r="U258" s="279"/>
      <c r="V258" s="279"/>
      <c r="W258" s="279"/>
      <c r="X258" s="279"/>
      <c r="Y258" s="279"/>
      <c r="Z258" s="279"/>
      <c r="AA258" s="279"/>
      <c r="AB258" s="279"/>
      <c r="AC258" s="279"/>
      <c r="AD258" s="279"/>
      <c r="AE258" s="279"/>
      <c r="AF258" s="258"/>
    </row>
    <row r="259" outlineLevel="1">
      <c r="A259" s="116" t="s">
        <v>266</v>
      </c>
      <c r="B259" s="331">
        <v>1.0</v>
      </c>
      <c r="C259" s="331">
        <v>1.0</v>
      </c>
      <c r="D259" s="331">
        <v>1.0</v>
      </c>
      <c r="E259" s="331">
        <v>0.0</v>
      </c>
      <c r="F259" s="331">
        <v>2.0</v>
      </c>
      <c r="G259" s="331">
        <v>3.0</v>
      </c>
      <c r="H259" s="331">
        <v>0.0</v>
      </c>
      <c r="I259" s="331">
        <v>1.0</v>
      </c>
      <c r="J259" s="331">
        <v>2.0</v>
      </c>
      <c r="K259" s="331">
        <v>0.0</v>
      </c>
      <c r="L259" s="331">
        <v>12.0</v>
      </c>
      <c r="M259" s="331">
        <v>14.0</v>
      </c>
      <c r="N259" s="331">
        <v>5.0</v>
      </c>
      <c r="O259" s="331">
        <v>12.0</v>
      </c>
      <c r="P259" s="331">
        <v>0.0</v>
      </c>
      <c r="Q259" s="331">
        <v>3.0</v>
      </c>
      <c r="R259" s="331">
        <v>1.0</v>
      </c>
      <c r="S259" s="331">
        <v>0.0</v>
      </c>
      <c r="T259" s="331">
        <v>0.0</v>
      </c>
      <c r="U259" s="331">
        <v>0.0</v>
      </c>
      <c r="V259" s="331">
        <v>2.0</v>
      </c>
      <c r="W259" s="331">
        <v>5.0</v>
      </c>
      <c r="X259" s="331">
        <v>0.0</v>
      </c>
      <c r="Y259" s="331">
        <v>0.0</v>
      </c>
      <c r="Z259" s="331">
        <v>0.0</v>
      </c>
      <c r="AA259" s="331">
        <v>0.0</v>
      </c>
      <c r="AB259" s="331">
        <v>1.0</v>
      </c>
      <c r="AC259" s="331">
        <v>1.0</v>
      </c>
      <c r="AD259" s="331">
        <v>1.0</v>
      </c>
      <c r="AE259" s="331">
        <v>3.0</v>
      </c>
      <c r="AF259" s="155">
        <f t="shared" ref="AF259:AF267" si="92">SUM(B259:AE259)</f>
        <v>71</v>
      </c>
    </row>
    <row r="260" outlineLevel="1">
      <c r="A260" s="116" t="s">
        <v>267</v>
      </c>
      <c r="B260" s="331">
        <v>0.0</v>
      </c>
      <c r="C260" s="331">
        <v>0.0</v>
      </c>
      <c r="D260" s="331">
        <v>0.0</v>
      </c>
      <c r="E260" s="331">
        <v>0.0</v>
      </c>
      <c r="F260" s="331">
        <v>0.0</v>
      </c>
      <c r="G260" s="331">
        <v>0.0</v>
      </c>
      <c r="H260" s="331">
        <v>0.0</v>
      </c>
      <c r="I260" s="331">
        <v>0.0</v>
      </c>
      <c r="J260" s="331">
        <v>1.0</v>
      </c>
      <c r="K260" s="331">
        <v>0.0</v>
      </c>
      <c r="L260" s="331">
        <v>1.0</v>
      </c>
      <c r="M260" s="331">
        <v>13.0</v>
      </c>
      <c r="N260" s="331">
        <v>5.0</v>
      </c>
      <c r="O260" s="331">
        <v>6.0</v>
      </c>
      <c r="P260" s="331">
        <v>2.0</v>
      </c>
      <c r="Q260" s="331">
        <v>1.0</v>
      </c>
      <c r="R260" s="331">
        <v>0.0</v>
      </c>
      <c r="S260" s="331">
        <v>0.0</v>
      </c>
      <c r="T260" s="331">
        <v>1.0</v>
      </c>
      <c r="U260" s="331">
        <v>0.0</v>
      </c>
      <c r="V260" s="331">
        <v>2.0</v>
      </c>
      <c r="W260" s="331">
        <v>3.0</v>
      </c>
      <c r="X260" s="331">
        <v>0.0</v>
      </c>
      <c r="Y260" s="331">
        <v>0.0</v>
      </c>
      <c r="Z260" s="331">
        <v>0.0</v>
      </c>
      <c r="AA260" s="331">
        <v>0.0</v>
      </c>
      <c r="AB260" s="331">
        <v>2.0</v>
      </c>
      <c r="AC260" s="331">
        <v>1.0</v>
      </c>
      <c r="AD260" s="331">
        <v>0.0</v>
      </c>
      <c r="AE260" s="331">
        <v>2.0</v>
      </c>
      <c r="AF260" s="155">
        <f t="shared" si="92"/>
        <v>40</v>
      </c>
    </row>
    <row r="261" outlineLevel="1">
      <c r="A261" s="116" t="s">
        <v>486</v>
      </c>
      <c r="B261" s="331">
        <v>0.0</v>
      </c>
      <c r="C261" s="331">
        <v>0.0</v>
      </c>
      <c r="D261" s="331">
        <v>0.0</v>
      </c>
      <c r="E261" s="332">
        <v>0.0</v>
      </c>
      <c r="F261" s="331">
        <v>0.0</v>
      </c>
      <c r="G261" s="331">
        <v>0.0</v>
      </c>
      <c r="H261" s="331">
        <v>0.0</v>
      </c>
      <c r="I261" s="331">
        <v>0.0</v>
      </c>
      <c r="J261" s="331">
        <v>1.0</v>
      </c>
      <c r="K261" s="331">
        <v>0.0</v>
      </c>
      <c r="L261" s="331">
        <v>0.0</v>
      </c>
      <c r="M261" s="581">
        <v>4.0</v>
      </c>
      <c r="N261" s="331">
        <v>2.0</v>
      </c>
      <c r="O261" s="331">
        <v>1.0</v>
      </c>
      <c r="P261" s="331">
        <v>0.0</v>
      </c>
      <c r="Q261" s="331">
        <v>1.0</v>
      </c>
      <c r="R261" s="331">
        <v>0.0</v>
      </c>
      <c r="S261" s="331">
        <v>0.0</v>
      </c>
      <c r="T261" s="331">
        <v>0.0</v>
      </c>
      <c r="U261" s="331">
        <v>1.0</v>
      </c>
      <c r="V261" s="331">
        <v>1.0</v>
      </c>
      <c r="W261" s="331">
        <v>1.0</v>
      </c>
      <c r="X261" s="331">
        <v>0.0</v>
      </c>
      <c r="Y261" s="331">
        <v>0.0</v>
      </c>
      <c r="Z261" s="331">
        <v>0.0</v>
      </c>
      <c r="AA261" s="331">
        <v>0.0</v>
      </c>
      <c r="AB261" s="331">
        <v>1.0</v>
      </c>
      <c r="AC261" s="331">
        <v>1.0</v>
      </c>
      <c r="AD261" s="331">
        <v>0.0</v>
      </c>
      <c r="AE261" s="331">
        <v>0.0</v>
      </c>
      <c r="AF261" s="155">
        <f t="shared" si="92"/>
        <v>14</v>
      </c>
    </row>
    <row r="262" outlineLevel="1">
      <c r="A262" s="116" t="s">
        <v>487</v>
      </c>
      <c r="B262" s="331">
        <v>0.0</v>
      </c>
      <c r="C262" s="331">
        <v>1.0</v>
      </c>
      <c r="D262" s="331">
        <v>0.0</v>
      </c>
      <c r="E262" s="332">
        <v>0.0</v>
      </c>
      <c r="F262" s="331">
        <v>0.0</v>
      </c>
      <c r="G262" s="331">
        <v>1.0</v>
      </c>
      <c r="H262" s="331">
        <v>0.0</v>
      </c>
      <c r="I262" s="331">
        <v>0.0</v>
      </c>
      <c r="J262" s="331">
        <v>0.0</v>
      </c>
      <c r="K262" s="331">
        <v>0.0</v>
      </c>
      <c r="L262" s="331">
        <v>0.0</v>
      </c>
      <c r="M262" s="581">
        <v>3.0</v>
      </c>
      <c r="N262" s="331">
        <v>1.0</v>
      </c>
      <c r="O262" s="331">
        <v>1.0</v>
      </c>
      <c r="P262" s="331">
        <v>0.0</v>
      </c>
      <c r="Q262" s="331">
        <v>0.0</v>
      </c>
      <c r="R262" s="331">
        <v>0.0</v>
      </c>
      <c r="S262" s="331">
        <v>0.0</v>
      </c>
      <c r="T262" s="331">
        <v>0.0</v>
      </c>
      <c r="U262" s="331">
        <v>0.0</v>
      </c>
      <c r="V262" s="331">
        <v>0.0</v>
      </c>
      <c r="W262" s="331">
        <v>0.0</v>
      </c>
      <c r="X262" s="331">
        <v>0.0</v>
      </c>
      <c r="Y262" s="331">
        <v>0.0</v>
      </c>
      <c r="Z262" s="331">
        <v>0.0</v>
      </c>
      <c r="AA262" s="331">
        <v>0.0</v>
      </c>
      <c r="AB262" s="331">
        <v>1.0</v>
      </c>
      <c r="AC262" s="331">
        <v>0.0</v>
      </c>
      <c r="AD262" s="331">
        <v>0.0</v>
      </c>
      <c r="AE262" s="331">
        <v>0.0</v>
      </c>
      <c r="AF262" s="155">
        <f t="shared" si="92"/>
        <v>8</v>
      </c>
    </row>
    <row r="263" outlineLevel="1">
      <c r="A263" s="116" t="s">
        <v>488</v>
      </c>
      <c r="B263" s="331">
        <v>0.0</v>
      </c>
      <c r="C263" s="331">
        <v>0.0</v>
      </c>
      <c r="D263" s="331">
        <v>0.0</v>
      </c>
      <c r="E263" s="331">
        <v>0.0</v>
      </c>
      <c r="F263" s="331">
        <v>0.0</v>
      </c>
      <c r="G263" s="331">
        <v>0.0</v>
      </c>
      <c r="H263" s="331">
        <v>0.0</v>
      </c>
      <c r="I263" s="331">
        <v>0.0</v>
      </c>
      <c r="J263" s="331">
        <v>0.0</v>
      </c>
      <c r="K263" s="331">
        <v>0.0</v>
      </c>
      <c r="L263" s="331">
        <v>4.0</v>
      </c>
      <c r="M263" s="331">
        <v>3.0</v>
      </c>
      <c r="N263" s="331">
        <v>0.0</v>
      </c>
      <c r="O263" s="331">
        <v>1.0</v>
      </c>
      <c r="P263" s="331">
        <v>1.0</v>
      </c>
      <c r="Q263" s="331">
        <v>0.0</v>
      </c>
      <c r="R263" s="331">
        <v>0.0</v>
      </c>
      <c r="S263" s="331">
        <v>0.0</v>
      </c>
      <c r="T263" s="331">
        <v>0.0</v>
      </c>
      <c r="U263" s="331">
        <v>0.0</v>
      </c>
      <c r="V263" s="331">
        <v>0.0</v>
      </c>
      <c r="W263" s="331">
        <v>0.0</v>
      </c>
      <c r="X263" s="331">
        <v>0.0</v>
      </c>
      <c r="Y263" s="331">
        <v>0.0</v>
      </c>
      <c r="Z263" s="331">
        <v>0.0</v>
      </c>
      <c r="AA263" s="331">
        <v>0.0</v>
      </c>
      <c r="AB263" s="331">
        <v>1.0</v>
      </c>
      <c r="AC263" s="331">
        <v>0.0</v>
      </c>
      <c r="AD263" s="331">
        <v>0.0</v>
      </c>
      <c r="AE263" s="331">
        <v>1.0</v>
      </c>
      <c r="AF263" s="155">
        <f t="shared" si="92"/>
        <v>11</v>
      </c>
    </row>
    <row r="264" outlineLevel="1">
      <c r="A264" s="116" t="s">
        <v>489</v>
      </c>
      <c r="B264" s="331">
        <v>0.0</v>
      </c>
      <c r="C264" s="331">
        <v>0.0</v>
      </c>
      <c r="D264" s="331">
        <v>0.0</v>
      </c>
      <c r="E264" s="331">
        <v>0.0</v>
      </c>
      <c r="F264" s="331">
        <v>0.0</v>
      </c>
      <c r="G264" s="331">
        <v>1.0</v>
      </c>
      <c r="H264" s="331">
        <v>0.0</v>
      </c>
      <c r="I264" s="331">
        <v>0.0</v>
      </c>
      <c r="J264" s="331">
        <v>0.0</v>
      </c>
      <c r="K264" s="331">
        <v>0.0</v>
      </c>
      <c r="L264" s="331">
        <v>0.0</v>
      </c>
      <c r="M264" s="331">
        <v>2.0</v>
      </c>
      <c r="N264" s="331">
        <v>0.0</v>
      </c>
      <c r="O264" s="331">
        <v>1.0</v>
      </c>
      <c r="P264" s="331">
        <v>1.0</v>
      </c>
      <c r="Q264" s="331">
        <v>0.0</v>
      </c>
      <c r="R264" s="331">
        <v>0.0</v>
      </c>
      <c r="S264" s="331">
        <v>0.0</v>
      </c>
      <c r="T264" s="331">
        <v>0.0</v>
      </c>
      <c r="U264" s="331">
        <v>0.0</v>
      </c>
      <c r="V264" s="331">
        <v>0.0</v>
      </c>
      <c r="W264" s="331">
        <v>1.0</v>
      </c>
      <c r="X264" s="331">
        <v>0.0</v>
      </c>
      <c r="Y264" s="331">
        <v>0.0</v>
      </c>
      <c r="Z264" s="331">
        <v>0.0</v>
      </c>
      <c r="AA264" s="331">
        <v>0.0</v>
      </c>
      <c r="AB264" s="331">
        <v>2.0</v>
      </c>
      <c r="AC264" s="331">
        <v>0.0</v>
      </c>
      <c r="AD264" s="331">
        <v>0.0</v>
      </c>
      <c r="AE264" s="331">
        <v>0.0</v>
      </c>
      <c r="AF264" s="155">
        <f t="shared" si="92"/>
        <v>8</v>
      </c>
    </row>
    <row r="265" outlineLevel="1">
      <c r="A265" s="116" t="s">
        <v>490</v>
      </c>
      <c r="B265" s="331">
        <v>0.0</v>
      </c>
      <c r="C265" s="331">
        <v>0.0</v>
      </c>
      <c r="D265" s="331">
        <v>0.0</v>
      </c>
      <c r="E265" s="332">
        <v>0.0</v>
      </c>
      <c r="F265" s="331">
        <v>0.0</v>
      </c>
      <c r="G265" s="331">
        <v>0.0</v>
      </c>
      <c r="H265" s="331">
        <v>0.0</v>
      </c>
      <c r="I265" s="331">
        <v>0.0</v>
      </c>
      <c r="J265" s="331">
        <v>0.0</v>
      </c>
      <c r="K265" s="331">
        <v>0.0</v>
      </c>
      <c r="L265" s="331">
        <v>0.0</v>
      </c>
      <c r="M265" s="331">
        <v>0.0</v>
      </c>
      <c r="N265" s="331">
        <v>0.0</v>
      </c>
      <c r="O265" s="331">
        <v>0.0</v>
      </c>
      <c r="P265" s="331">
        <v>0.0</v>
      </c>
      <c r="Q265" s="331">
        <v>0.0</v>
      </c>
      <c r="R265" s="331">
        <v>0.0</v>
      </c>
      <c r="S265" s="331">
        <v>0.0</v>
      </c>
      <c r="T265" s="331">
        <v>0.0</v>
      </c>
      <c r="U265" s="331">
        <v>0.0</v>
      </c>
      <c r="V265" s="331">
        <v>0.0</v>
      </c>
      <c r="W265" s="331">
        <v>0.0</v>
      </c>
      <c r="X265" s="331">
        <v>0.0</v>
      </c>
      <c r="Y265" s="331">
        <v>0.0</v>
      </c>
      <c r="Z265" s="331">
        <v>0.0</v>
      </c>
      <c r="AA265" s="331">
        <v>0.0</v>
      </c>
      <c r="AB265" s="331">
        <v>0.0</v>
      </c>
      <c r="AC265" s="331">
        <v>0.0</v>
      </c>
      <c r="AD265" s="331">
        <v>0.0</v>
      </c>
      <c r="AE265" s="331">
        <v>0.0</v>
      </c>
      <c r="AF265" s="155">
        <f t="shared" si="92"/>
        <v>0</v>
      </c>
    </row>
    <row r="266" outlineLevel="1">
      <c r="A266" s="116" t="s">
        <v>491</v>
      </c>
      <c r="B266" s="331">
        <v>0.0</v>
      </c>
      <c r="C266" s="331">
        <v>0.0</v>
      </c>
      <c r="D266" s="331">
        <v>0.0</v>
      </c>
      <c r="E266" s="332">
        <v>0.0</v>
      </c>
      <c r="F266" s="331">
        <v>0.0</v>
      </c>
      <c r="G266" s="331">
        <v>0.0</v>
      </c>
      <c r="H266" s="331">
        <v>0.0</v>
      </c>
      <c r="I266" s="331">
        <v>0.0</v>
      </c>
      <c r="J266" s="331">
        <v>0.0</v>
      </c>
      <c r="K266" s="331">
        <v>0.0</v>
      </c>
      <c r="L266" s="331">
        <v>0.0</v>
      </c>
      <c r="M266" s="331">
        <v>0.0</v>
      </c>
      <c r="N266" s="331">
        <v>0.0</v>
      </c>
      <c r="O266" s="331">
        <v>0.0</v>
      </c>
      <c r="P266" s="331">
        <v>0.0</v>
      </c>
      <c r="Q266" s="331">
        <v>0.0</v>
      </c>
      <c r="R266" s="331">
        <v>0.0</v>
      </c>
      <c r="S266" s="331">
        <v>0.0</v>
      </c>
      <c r="T266" s="331">
        <v>0.0</v>
      </c>
      <c r="U266" s="331">
        <v>0.0</v>
      </c>
      <c r="V266" s="331">
        <v>0.0</v>
      </c>
      <c r="W266" s="331">
        <v>0.0</v>
      </c>
      <c r="X266" s="331">
        <v>0.0</v>
      </c>
      <c r="Y266" s="331">
        <v>0.0</v>
      </c>
      <c r="Z266" s="331">
        <v>0.0</v>
      </c>
      <c r="AA266" s="331">
        <v>0.0</v>
      </c>
      <c r="AB266" s="331">
        <v>0.0</v>
      </c>
      <c r="AC266" s="331">
        <v>0.0</v>
      </c>
      <c r="AD266" s="331">
        <v>0.0</v>
      </c>
      <c r="AE266" s="331">
        <v>0.0</v>
      </c>
      <c r="AF266" s="155">
        <f t="shared" si="92"/>
        <v>0</v>
      </c>
    </row>
    <row r="267">
      <c r="A267" s="271" t="s">
        <v>159</v>
      </c>
      <c r="B267" s="578">
        <f t="shared" ref="B267:AE267" si="93">SUM(B259:B266)</f>
        <v>1</v>
      </c>
      <c r="C267" s="578">
        <f t="shared" si="93"/>
        <v>2</v>
      </c>
      <c r="D267" s="578">
        <f t="shared" si="93"/>
        <v>1</v>
      </c>
      <c r="E267" s="578">
        <f t="shared" si="93"/>
        <v>0</v>
      </c>
      <c r="F267" s="578">
        <f t="shared" si="93"/>
        <v>2</v>
      </c>
      <c r="G267" s="578">
        <f t="shared" si="93"/>
        <v>5</v>
      </c>
      <c r="H267" s="578">
        <f t="shared" si="93"/>
        <v>0</v>
      </c>
      <c r="I267" s="578">
        <f t="shared" si="93"/>
        <v>1</v>
      </c>
      <c r="J267" s="578">
        <f t="shared" si="93"/>
        <v>4</v>
      </c>
      <c r="K267" s="578">
        <f t="shared" si="93"/>
        <v>0</v>
      </c>
      <c r="L267" s="578">
        <f t="shared" si="93"/>
        <v>17</v>
      </c>
      <c r="M267" s="578">
        <f t="shared" si="93"/>
        <v>39</v>
      </c>
      <c r="N267" s="578">
        <f t="shared" si="93"/>
        <v>13</v>
      </c>
      <c r="O267" s="578">
        <f t="shared" si="93"/>
        <v>22</v>
      </c>
      <c r="P267" s="578">
        <f t="shared" si="93"/>
        <v>4</v>
      </c>
      <c r="Q267" s="578">
        <f t="shared" si="93"/>
        <v>5</v>
      </c>
      <c r="R267" s="578">
        <f t="shared" si="93"/>
        <v>1</v>
      </c>
      <c r="S267" s="578">
        <f t="shared" si="93"/>
        <v>0</v>
      </c>
      <c r="T267" s="578">
        <f t="shared" si="93"/>
        <v>1</v>
      </c>
      <c r="U267" s="578">
        <f t="shared" si="93"/>
        <v>1</v>
      </c>
      <c r="V267" s="578">
        <f t="shared" si="93"/>
        <v>5</v>
      </c>
      <c r="W267" s="578">
        <f t="shared" si="93"/>
        <v>10</v>
      </c>
      <c r="X267" s="578">
        <f t="shared" si="93"/>
        <v>0</v>
      </c>
      <c r="Y267" s="578">
        <f t="shared" si="93"/>
        <v>0</v>
      </c>
      <c r="Z267" s="578">
        <f t="shared" si="93"/>
        <v>0</v>
      </c>
      <c r="AA267" s="578">
        <f t="shared" si="93"/>
        <v>0</v>
      </c>
      <c r="AB267" s="578">
        <f t="shared" si="93"/>
        <v>8</v>
      </c>
      <c r="AC267" s="578">
        <f t="shared" si="93"/>
        <v>3</v>
      </c>
      <c r="AD267" s="578">
        <f t="shared" si="93"/>
        <v>1</v>
      </c>
      <c r="AE267" s="578">
        <f t="shared" si="93"/>
        <v>6</v>
      </c>
      <c r="AF267" s="155">
        <f t="shared" si="92"/>
        <v>152</v>
      </c>
    </row>
    <row r="268">
      <c r="A268" s="24"/>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582" t="s">
        <v>334</v>
      </c>
      <c r="AA268" s="17"/>
      <c r="AB268" s="17"/>
      <c r="AC268" s="17"/>
      <c r="AD268" s="17"/>
      <c r="AE268" s="17"/>
      <c r="AF268" s="7"/>
    </row>
    <row r="269">
      <c r="A269" s="116" t="s">
        <v>456</v>
      </c>
      <c r="B269" s="279"/>
      <c r="C269" s="279"/>
      <c r="D269" s="279"/>
      <c r="E269" s="279"/>
      <c r="F269" s="279"/>
      <c r="G269" s="279"/>
      <c r="H269" s="279"/>
      <c r="I269" s="279"/>
      <c r="J269" s="279"/>
      <c r="K269" s="279"/>
      <c r="L269" s="279"/>
      <c r="M269" s="279"/>
      <c r="N269" s="279"/>
      <c r="O269" s="279"/>
      <c r="P269" s="279"/>
      <c r="Q269" s="279"/>
      <c r="R269" s="279"/>
      <c r="S269" s="279"/>
      <c r="T269" s="279"/>
      <c r="U269" s="279"/>
      <c r="V269" s="279"/>
      <c r="W269" s="279"/>
      <c r="X269" s="279"/>
      <c r="Y269" s="279"/>
      <c r="Z269" s="279"/>
      <c r="AA269" s="279"/>
      <c r="AB269" s="279"/>
      <c r="AC269" s="279"/>
      <c r="AD269" s="279"/>
      <c r="AE269" s="279"/>
      <c r="AF269" s="258"/>
    </row>
    <row r="270" outlineLevel="1">
      <c r="A270" s="116" t="s">
        <v>266</v>
      </c>
      <c r="B270" s="331">
        <v>0.0</v>
      </c>
      <c r="C270" s="331">
        <v>0.0</v>
      </c>
      <c r="D270" s="331">
        <v>0.0</v>
      </c>
      <c r="E270" s="331">
        <v>0.0</v>
      </c>
      <c r="F270" s="331">
        <v>0.0</v>
      </c>
      <c r="G270" s="331">
        <v>0.0</v>
      </c>
      <c r="H270" s="331">
        <v>0.0</v>
      </c>
      <c r="I270" s="331">
        <v>0.0</v>
      </c>
      <c r="J270" s="331">
        <v>0.0</v>
      </c>
      <c r="K270" s="331">
        <v>0.0</v>
      </c>
      <c r="L270" s="331">
        <v>0.0</v>
      </c>
      <c r="M270" s="331">
        <v>1.0</v>
      </c>
      <c r="N270" s="331">
        <v>2.0</v>
      </c>
      <c r="O270" s="331">
        <v>0.0</v>
      </c>
      <c r="P270" s="331">
        <v>0.0</v>
      </c>
      <c r="Q270" s="331">
        <v>0.0</v>
      </c>
      <c r="R270" s="331">
        <v>0.0</v>
      </c>
      <c r="S270" s="331">
        <v>0.0</v>
      </c>
      <c r="T270" s="331">
        <v>0.0</v>
      </c>
      <c r="U270" s="331">
        <v>0.0</v>
      </c>
      <c r="V270" s="331">
        <v>1.0</v>
      </c>
      <c r="W270" s="331">
        <v>0.0</v>
      </c>
      <c r="X270" s="331">
        <v>0.0</v>
      </c>
      <c r="Y270" s="331">
        <v>0.0</v>
      </c>
      <c r="Z270" s="331">
        <v>0.0</v>
      </c>
      <c r="AA270" s="331">
        <v>0.0</v>
      </c>
      <c r="AB270" s="331">
        <v>0.0</v>
      </c>
      <c r="AC270" s="331">
        <v>0.0</v>
      </c>
      <c r="AD270" s="331">
        <v>0.0</v>
      </c>
      <c r="AE270" s="331">
        <v>0.0</v>
      </c>
      <c r="AF270" s="155">
        <f t="shared" ref="AF270:AF278" si="94">SUM(B270:AE270)</f>
        <v>4</v>
      </c>
    </row>
    <row r="271" outlineLevel="1">
      <c r="A271" s="116" t="s">
        <v>267</v>
      </c>
      <c r="B271" s="331">
        <v>0.0</v>
      </c>
      <c r="C271" s="331">
        <v>0.0</v>
      </c>
      <c r="D271" s="331">
        <v>0.0</v>
      </c>
      <c r="E271" s="331">
        <v>0.0</v>
      </c>
      <c r="F271" s="331">
        <v>0.0</v>
      </c>
      <c r="G271" s="331">
        <v>0.0</v>
      </c>
      <c r="H271" s="331">
        <v>0.0</v>
      </c>
      <c r="I271" s="331">
        <v>0.0</v>
      </c>
      <c r="J271" s="331">
        <v>0.0</v>
      </c>
      <c r="K271" s="331">
        <v>0.0</v>
      </c>
      <c r="L271" s="331">
        <v>0.0</v>
      </c>
      <c r="M271" s="331">
        <v>1.0</v>
      </c>
      <c r="N271" s="331">
        <v>0.0</v>
      </c>
      <c r="O271" s="331">
        <v>0.0</v>
      </c>
      <c r="P271" s="331">
        <v>0.0</v>
      </c>
      <c r="Q271" s="331">
        <v>0.0</v>
      </c>
      <c r="R271" s="331">
        <v>0.0</v>
      </c>
      <c r="S271" s="331">
        <v>0.0</v>
      </c>
      <c r="T271" s="331">
        <v>0.0</v>
      </c>
      <c r="U271" s="331">
        <v>0.0</v>
      </c>
      <c r="V271" s="331">
        <v>1.0</v>
      </c>
      <c r="W271" s="331">
        <v>0.0</v>
      </c>
      <c r="X271" s="331">
        <v>0.0</v>
      </c>
      <c r="Y271" s="331">
        <v>0.0</v>
      </c>
      <c r="Z271" s="331">
        <v>0.0</v>
      </c>
      <c r="AA271" s="331">
        <v>0.0</v>
      </c>
      <c r="AB271" s="331">
        <v>0.0</v>
      </c>
      <c r="AC271" s="331">
        <v>1.0</v>
      </c>
      <c r="AD271" s="331">
        <v>0.0</v>
      </c>
      <c r="AE271" s="331">
        <v>0.0</v>
      </c>
      <c r="AF271" s="155">
        <f t="shared" si="94"/>
        <v>3</v>
      </c>
    </row>
    <row r="272" outlineLevel="1">
      <c r="A272" s="116" t="s">
        <v>492</v>
      </c>
      <c r="B272" s="331">
        <v>0.0</v>
      </c>
      <c r="C272" s="331">
        <v>0.0</v>
      </c>
      <c r="D272" s="331">
        <v>0.0</v>
      </c>
      <c r="E272" s="332">
        <v>0.0</v>
      </c>
      <c r="F272" s="332">
        <v>0.0</v>
      </c>
      <c r="G272" s="332">
        <v>0.0</v>
      </c>
      <c r="H272" s="332">
        <v>0.0</v>
      </c>
      <c r="I272" s="331">
        <v>0.0</v>
      </c>
      <c r="J272" s="331">
        <v>0.0</v>
      </c>
      <c r="K272" s="331">
        <v>0.0</v>
      </c>
      <c r="L272" s="331">
        <v>0.0</v>
      </c>
      <c r="M272" s="331">
        <v>0.0</v>
      </c>
      <c r="N272" s="331">
        <v>0.0</v>
      </c>
      <c r="O272" s="331">
        <v>0.0</v>
      </c>
      <c r="P272" s="331">
        <v>0.0</v>
      </c>
      <c r="Q272" s="331">
        <v>0.0</v>
      </c>
      <c r="R272" s="331">
        <v>0.0</v>
      </c>
      <c r="S272" s="331">
        <v>0.0</v>
      </c>
      <c r="T272" s="331">
        <v>0.0</v>
      </c>
      <c r="U272" s="331">
        <v>0.0</v>
      </c>
      <c r="V272" s="331">
        <v>0.0</v>
      </c>
      <c r="W272" s="331">
        <v>0.0</v>
      </c>
      <c r="X272" s="331">
        <v>0.0</v>
      </c>
      <c r="Y272" s="331">
        <v>0.0</v>
      </c>
      <c r="Z272" s="331">
        <v>0.0</v>
      </c>
      <c r="AA272" s="331">
        <v>0.0</v>
      </c>
      <c r="AB272" s="331">
        <v>0.0</v>
      </c>
      <c r="AC272" s="331">
        <v>0.0</v>
      </c>
      <c r="AD272" s="331">
        <v>0.0</v>
      </c>
      <c r="AE272" s="331">
        <v>0.0</v>
      </c>
      <c r="AF272" s="155">
        <f t="shared" si="94"/>
        <v>0</v>
      </c>
    </row>
    <row r="273" outlineLevel="1">
      <c r="A273" s="116" t="s">
        <v>493</v>
      </c>
      <c r="B273" s="331">
        <v>0.0</v>
      </c>
      <c r="C273" s="331">
        <v>0.0</v>
      </c>
      <c r="D273" s="331">
        <v>0.0</v>
      </c>
      <c r="E273" s="332">
        <v>0.0</v>
      </c>
      <c r="F273" s="332">
        <v>0.0</v>
      </c>
      <c r="G273" s="332">
        <v>0.0</v>
      </c>
      <c r="H273" s="332">
        <v>0.0</v>
      </c>
      <c r="I273" s="331">
        <v>0.0</v>
      </c>
      <c r="J273" s="331">
        <v>0.0</v>
      </c>
      <c r="K273" s="331">
        <v>0.0</v>
      </c>
      <c r="L273" s="331">
        <v>0.0</v>
      </c>
      <c r="M273" s="331">
        <v>0.0</v>
      </c>
      <c r="N273" s="331">
        <v>1.0</v>
      </c>
      <c r="O273" s="331">
        <v>0.0</v>
      </c>
      <c r="P273" s="331">
        <v>0.0</v>
      </c>
      <c r="Q273" s="331">
        <v>0.0</v>
      </c>
      <c r="R273" s="331">
        <v>0.0</v>
      </c>
      <c r="S273" s="331">
        <v>0.0</v>
      </c>
      <c r="T273" s="331">
        <v>0.0</v>
      </c>
      <c r="U273" s="331">
        <v>0.0</v>
      </c>
      <c r="V273" s="331">
        <v>0.0</v>
      </c>
      <c r="W273" s="331">
        <v>0.0</v>
      </c>
      <c r="X273" s="331">
        <v>0.0</v>
      </c>
      <c r="Y273" s="331">
        <v>0.0</v>
      </c>
      <c r="Z273" s="331">
        <v>0.0</v>
      </c>
      <c r="AA273" s="331">
        <v>0.0</v>
      </c>
      <c r="AB273" s="331">
        <v>0.0</v>
      </c>
      <c r="AC273" s="331">
        <v>0.0</v>
      </c>
      <c r="AD273" s="331">
        <v>0.0</v>
      </c>
      <c r="AE273" s="331">
        <v>0.0</v>
      </c>
      <c r="AF273" s="155">
        <f t="shared" si="94"/>
        <v>1</v>
      </c>
    </row>
    <row r="274" outlineLevel="1">
      <c r="A274" s="116" t="s">
        <v>494</v>
      </c>
      <c r="B274" s="331">
        <v>0.0</v>
      </c>
      <c r="C274" s="331">
        <v>0.0</v>
      </c>
      <c r="D274" s="331">
        <v>0.0</v>
      </c>
      <c r="E274" s="331">
        <v>0.0</v>
      </c>
      <c r="F274" s="331">
        <v>0.0</v>
      </c>
      <c r="G274" s="331">
        <v>0.0</v>
      </c>
      <c r="H274" s="331">
        <v>0.0</v>
      </c>
      <c r="I274" s="331">
        <v>0.0</v>
      </c>
      <c r="J274" s="331">
        <v>0.0</v>
      </c>
      <c r="K274" s="331">
        <v>0.0</v>
      </c>
      <c r="L274" s="331">
        <v>0.0</v>
      </c>
      <c r="M274" s="331">
        <v>0.0</v>
      </c>
      <c r="N274" s="331">
        <v>0.0</v>
      </c>
      <c r="O274" s="331">
        <v>0.0</v>
      </c>
      <c r="P274" s="331">
        <v>0.0</v>
      </c>
      <c r="Q274" s="331">
        <v>0.0</v>
      </c>
      <c r="R274" s="331">
        <v>0.0</v>
      </c>
      <c r="S274" s="331">
        <v>0.0</v>
      </c>
      <c r="T274" s="331">
        <v>0.0</v>
      </c>
      <c r="U274" s="331">
        <v>0.0</v>
      </c>
      <c r="V274" s="331">
        <v>0.0</v>
      </c>
      <c r="W274" s="331">
        <v>0.0</v>
      </c>
      <c r="X274" s="331">
        <v>0.0</v>
      </c>
      <c r="Y274" s="331">
        <v>0.0</v>
      </c>
      <c r="Z274" s="331">
        <v>0.0</v>
      </c>
      <c r="AA274" s="331">
        <v>0.0</v>
      </c>
      <c r="AB274" s="331">
        <v>0.0</v>
      </c>
      <c r="AC274" s="331">
        <v>0.0</v>
      </c>
      <c r="AD274" s="331">
        <v>0.0</v>
      </c>
      <c r="AE274" s="331">
        <v>0.0</v>
      </c>
      <c r="AF274" s="155">
        <f t="shared" si="94"/>
        <v>0</v>
      </c>
    </row>
    <row r="275" outlineLevel="1">
      <c r="A275" s="116" t="s">
        <v>495</v>
      </c>
      <c r="B275" s="331">
        <v>0.0</v>
      </c>
      <c r="C275" s="331">
        <v>0.0</v>
      </c>
      <c r="D275" s="331">
        <v>0.0</v>
      </c>
      <c r="E275" s="331">
        <v>0.0</v>
      </c>
      <c r="F275" s="331">
        <v>0.0</v>
      </c>
      <c r="G275" s="331">
        <v>0.0</v>
      </c>
      <c r="H275" s="331">
        <v>0.0</v>
      </c>
      <c r="I275" s="331">
        <v>0.0</v>
      </c>
      <c r="J275" s="331">
        <v>0.0</v>
      </c>
      <c r="K275" s="331">
        <v>0.0</v>
      </c>
      <c r="L275" s="331">
        <v>0.0</v>
      </c>
      <c r="M275" s="331">
        <v>0.0</v>
      </c>
      <c r="N275" s="331">
        <v>0.0</v>
      </c>
      <c r="O275" s="331">
        <v>0.0</v>
      </c>
      <c r="P275" s="331">
        <v>0.0</v>
      </c>
      <c r="Q275" s="331">
        <v>0.0</v>
      </c>
      <c r="R275" s="331">
        <v>0.0</v>
      </c>
      <c r="S275" s="331">
        <v>0.0</v>
      </c>
      <c r="T275" s="331">
        <v>0.0</v>
      </c>
      <c r="U275" s="331">
        <v>0.0</v>
      </c>
      <c r="V275" s="331">
        <v>0.0</v>
      </c>
      <c r="W275" s="331">
        <v>0.0</v>
      </c>
      <c r="X275" s="331">
        <v>0.0</v>
      </c>
      <c r="Y275" s="331">
        <v>0.0</v>
      </c>
      <c r="Z275" s="331">
        <v>0.0</v>
      </c>
      <c r="AA275" s="331">
        <v>0.0</v>
      </c>
      <c r="AB275" s="331">
        <v>0.0</v>
      </c>
      <c r="AC275" s="331">
        <v>0.0</v>
      </c>
      <c r="AD275" s="331">
        <v>0.0</v>
      </c>
      <c r="AE275" s="331">
        <v>0.0</v>
      </c>
      <c r="AF275" s="155">
        <f t="shared" si="94"/>
        <v>0</v>
      </c>
    </row>
    <row r="276" outlineLevel="1">
      <c r="A276" s="116" t="s">
        <v>496</v>
      </c>
      <c r="B276" s="331">
        <v>0.0</v>
      </c>
      <c r="C276" s="331">
        <v>0.0</v>
      </c>
      <c r="D276" s="331">
        <v>0.0</v>
      </c>
      <c r="E276" s="332">
        <v>0.0</v>
      </c>
      <c r="F276" s="332">
        <v>0.0</v>
      </c>
      <c r="G276" s="332">
        <v>0.0</v>
      </c>
      <c r="H276" s="332">
        <v>0.0</v>
      </c>
      <c r="I276" s="331">
        <v>0.0</v>
      </c>
      <c r="J276" s="331">
        <v>0.0</v>
      </c>
      <c r="K276" s="331">
        <v>0.0</v>
      </c>
      <c r="L276" s="331">
        <v>0.0</v>
      </c>
      <c r="M276" s="331">
        <v>0.0</v>
      </c>
      <c r="N276" s="331">
        <v>0.0</v>
      </c>
      <c r="O276" s="331">
        <v>0.0</v>
      </c>
      <c r="P276" s="331">
        <v>0.0</v>
      </c>
      <c r="Q276" s="331">
        <v>0.0</v>
      </c>
      <c r="R276" s="331">
        <v>0.0</v>
      </c>
      <c r="S276" s="331">
        <v>0.0</v>
      </c>
      <c r="T276" s="331">
        <v>0.0</v>
      </c>
      <c r="U276" s="331">
        <v>0.0</v>
      </c>
      <c r="V276" s="331">
        <v>0.0</v>
      </c>
      <c r="W276" s="331">
        <v>0.0</v>
      </c>
      <c r="X276" s="331">
        <v>0.0</v>
      </c>
      <c r="Y276" s="331">
        <v>0.0</v>
      </c>
      <c r="Z276" s="331">
        <v>0.0</v>
      </c>
      <c r="AA276" s="331">
        <v>0.0</v>
      </c>
      <c r="AB276" s="331">
        <v>0.0</v>
      </c>
      <c r="AC276" s="331">
        <v>0.0</v>
      </c>
      <c r="AD276" s="331">
        <v>0.0</v>
      </c>
      <c r="AE276" s="331">
        <v>0.0</v>
      </c>
      <c r="AF276" s="155">
        <f t="shared" si="94"/>
        <v>0</v>
      </c>
    </row>
    <row r="277" outlineLevel="1">
      <c r="A277" s="116" t="s">
        <v>497</v>
      </c>
      <c r="B277" s="331">
        <v>0.0</v>
      </c>
      <c r="C277" s="331">
        <v>0.0</v>
      </c>
      <c r="D277" s="331">
        <v>0.0</v>
      </c>
      <c r="E277" s="332">
        <v>0.0</v>
      </c>
      <c r="F277" s="332">
        <v>0.0</v>
      </c>
      <c r="G277" s="332">
        <v>0.0</v>
      </c>
      <c r="H277" s="332">
        <v>0.0</v>
      </c>
      <c r="I277" s="331">
        <v>0.0</v>
      </c>
      <c r="J277" s="331">
        <v>0.0</v>
      </c>
      <c r="K277" s="331">
        <v>0.0</v>
      </c>
      <c r="L277" s="331">
        <v>0.0</v>
      </c>
      <c r="M277" s="331">
        <v>0.0</v>
      </c>
      <c r="N277" s="331">
        <v>0.0</v>
      </c>
      <c r="O277" s="331">
        <v>0.0</v>
      </c>
      <c r="P277" s="331">
        <v>0.0</v>
      </c>
      <c r="Q277" s="331">
        <v>0.0</v>
      </c>
      <c r="R277" s="331">
        <v>0.0</v>
      </c>
      <c r="S277" s="331">
        <v>0.0</v>
      </c>
      <c r="T277" s="331">
        <v>0.0</v>
      </c>
      <c r="U277" s="331">
        <v>0.0</v>
      </c>
      <c r="V277" s="331">
        <v>0.0</v>
      </c>
      <c r="W277" s="331">
        <v>0.0</v>
      </c>
      <c r="X277" s="331">
        <v>0.0</v>
      </c>
      <c r="Y277" s="331">
        <v>0.0</v>
      </c>
      <c r="Z277" s="331">
        <v>0.0</v>
      </c>
      <c r="AA277" s="331">
        <v>0.0</v>
      </c>
      <c r="AB277" s="331">
        <v>0.0</v>
      </c>
      <c r="AC277" s="331">
        <v>0.0</v>
      </c>
      <c r="AD277" s="331">
        <v>0.0</v>
      </c>
      <c r="AE277" s="331">
        <v>0.0</v>
      </c>
      <c r="AF277" s="155">
        <f t="shared" si="94"/>
        <v>0</v>
      </c>
    </row>
    <row r="278">
      <c r="A278" s="271" t="s">
        <v>159</v>
      </c>
      <c r="B278" s="578">
        <f t="shared" ref="B278:AE278" si="95">SUM(B270:B277)</f>
        <v>0</v>
      </c>
      <c r="C278" s="578">
        <f t="shared" si="95"/>
        <v>0</v>
      </c>
      <c r="D278" s="578">
        <f t="shared" si="95"/>
        <v>0</v>
      </c>
      <c r="E278" s="578">
        <f t="shared" si="95"/>
        <v>0</v>
      </c>
      <c r="F278" s="578">
        <f t="shared" si="95"/>
        <v>0</v>
      </c>
      <c r="G278" s="578">
        <f t="shared" si="95"/>
        <v>0</v>
      </c>
      <c r="H278" s="578">
        <f t="shared" si="95"/>
        <v>0</v>
      </c>
      <c r="I278" s="578">
        <f t="shared" si="95"/>
        <v>0</v>
      </c>
      <c r="J278" s="578">
        <f t="shared" si="95"/>
        <v>0</v>
      </c>
      <c r="K278" s="578">
        <f t="shared" si="95"/>
        <v>0</v>
      </c>
      <c r="L278" s="578">
        <f t="shared" si="95"/>
        <v>0</v>
      </c>
      <c r="M278" s="578">
        <f t="shared" si="95"/>
        <v>2</v>
      </c>
      <c r="N278" s="578">
        <f t="shared" si="95"/>
        <v>3</v>
      </c>
      <c r="O278" s="578">
        <f t="shared" si="95"/>
        <v>0</v>
      </c>
      <c r="P278" s="578">
        <f t="shared" si="95"/>
        <v>0</v>
      </c>
      <c r="Q278" s="578">
        <f t="shared" si="95"/>
        <v>0</v>
      </c>
      <c r="R278" s="578">
        <f t="shared" si="95"/>
        <v>0</v>
      </c>
      <c r="S278" s="578">
        <f t="shared" si="95"/>
        <v>0</v>
      </c>
      <c r="T278" s="578">
        <f t="shared" si="95"/>
        <v>0</v>
      </c>
      <c r="U278" s="578">
        <f t="shared" si="95"/>
        <v>0</v>
      </c>
      <c r="V278" s="578">
        <f t="shared" si="95"/>
        <v>2</v>
      </c>
      <c r="W278" s="578">
        <f t="shared" si="95"/>
        <v>0</v>
      </c>
      <c r="X278" s="578">
        <f t="shared" si="95"/>
        <v>0</v>
      </c>
      <c r="Y278" s="578">
        <f t="shared" si="95"/>
        <v>0</v>
      </c>
      <c r="Z278" s="578">
        <f t="shared" si="95"/>
        <v>0</v>
      </c>
      <c r="AA278" s="578">
        <f t="shared" si="95"/>
        <v>0</v>
      </c>
      <c r="AB278" s="578">
        <f t="shared" si="95"/>
        <v>0</v>
      </c>
      <c r="AC278" s="578">
        <f t="shared" si="95"/>
        <v>1</v>
      </c>
      <c r="AD278" s="578">
        <f t="shared" si="95"/>
        <v>0</v>
      </c>
      <c r="AE278" s="578">
        <f t="shared" si="95"/>
        <v>0</v>
      </c>
      <c r="AF278" s="155">
        <f t="shared" si="94"/>
        <v>8</v>
      </c>
    </row>
    <row r="279">
      <c r="A279" s="24"/>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7"/>
    </row>
    <row r="280">
      <c r="A280" s="116" t="s">
        <v>498</v>
      </c>
      <c r="B280" s="331">
        <v>15.0</v>
      </c>
      <c r="C280" s="331">
        <v>3.0</v>
      </c>
      <c r="D280" s="331">
        <v>3.0</v>
      </c>
      <c r="E280" s="331">
        <v>0.0</v>
      </c>
      <c r="F280" s="331">
        <v>5.0</v>
      </c>
      <c r="G280" s="331">
        <v>13.0</v>
      </c>
      <c r="H280" s="331">
        <v>5.0</v>
      </c>
      <c r="I280" s="331">
        <v>1.0</v>
      </c>
      <c r="J280" s="331">
        <v>1.0</v>
      </c>
      <c r="K280" s="331">
        <v>1.0</v>
      </c>
      <c r="L280" s="331">
        <v>28.0</v>
      </c>
      <c r="M280" s="331">
        <v>42.0</v>
      </c>
      <c r="N280" s="331">
        <v>21.0</v>
      </c>
      <c r="O280" s="331">
        <v>31.0</v>
      </c>
      <c r="P280" s="331">
        <v>3.0</v>
      </c>
      <c r="Q280" s="331">
        <v>3.0</v>
      </c>
      <c r="R280" s="331">
        <v>1.0</v>
      </c>
      <c r="S280" s="331">
        <v>3.0</v>
      </c>
      <c r="T280" s="331">
        <v>6.0</v>
      </c>
      <c r="U280" s="331">
        <v>8.0</v>
      </c>
      <c r="V280" s="331">
        <v>5.0</v>
      </c>
      <c r="W280" s="331">
        <v>15.0</v>
      </c>
      <c r="X280" s="331">
        <v>1.0</v>
      </c>
      <c r="Y280" s="331">
        <v>0.0</v>
      </c>
      <c r="Z280" s="331">
        <v>0.0</v>
      </c>
      <c r="AA280" s="331">
        <v>4.0</v>
      </c>
      <c r="AB280" s="331">
        <v>14.0</v>
      </c>
      <c r="AC280" s="331">
        <v>4.0</v>
      </c>
      <c r="AD280" s="331">
        <v>6.0</v>
      </c>
      <c r="AE280" s="331">
        <v>3.0</v>
      </c>
      <c r="AF280" s="155">
        <f t="shared" ref="AF280:AF282" si="96">SUM(B280:AE280)</f>
        <v>245</v>
      </c>
    </row>
    <row r="281">
      <c r="A281" s="116" t="s">
        <v>499</v>
      </c>
      <c r="B281" s="331">
        <v>0.0</v>
      </c>
      <c r="C281" s="331">
        <v>0.0</v>
      </c>
      <c r="D281" s="331">
        <v>0.0</v>
      </c>
      <c r="E281" s="331">
        <v>0.0</v>
      </c>
      <c r="F281" s="331">
        <v>0.0</v>
      </c>
      <c r="G281" s="331">
        <v>0.0</v>
      </c>
      <c r="H281" s="331">
        <v>0.0</v>
      </c>
      <c r="I281" s="331">
        <v>0.0</v>
      </c>
      <c r="J281" s="331">
        <v>0.0</v>
      </c>
      <c r="K281" s="331">
        <v>0.0</v>
      </c>
      <c r="L281" s="331">
        <v>0.0</v>
      </c>
      <c r="M281" s="331">
        <v>1.0</v>
      </c>
      <c r="N281" s="331">
        <v>3.0</v>
      </c>
      <c r="O281" s="331">
        <v>0.0</v>
      </c>
      <c r="P281" s="331">
        <v>0.0</v>
      </c>
      <c r="Q281" s="331">
        <v>0.0</v>
      </c>
      <c r="R281" s="331">
        <v>0.0</v>
      </c>
      <c r="S281" s="331">
        <v>1.0</v>
      </c>
      <c r="T281" s="331">
        <v>0.0</v>
      </c>
      <c r="U281" s="331">
        <v>0.0</v>
      </c>
      <c r="V281" s="331">
        <v>1.0</v>
      </c>
      <c r="W281" s="331">
        <v>0.0</v>
      </c>
      <c r="X281" s="331">
        <v>0.0</v>
      </c>
      <c r="Y281" s="331">
        <v>0.0</v>
      </c>
      <c r="Z281" s="331">
        <v>0.0</v>
      </c>
      <c r="AA281" s="331">
        <v>0.0</v>
      </c>
      <c r="AB281" s="331">
        <v>0.0</v>
      </c>
      <c r="AC281" s="331">
        <v>1.0</v>
      </c>
      <c r="AD281" s="331">
        <v>0.0</v>
      </c>
      <c r="AE281" s="331">
        <v>0.0</v>
      </c>
      <c r="AF281" s="155">
        <f t="shared" si="96"/>
        <v>7</v>
      </c>
    </row>
    <row r="282">
      <c r="A282" s="126" t="s">
        <v>117</v>
      </c>
      <c r="B282" s="578">
        <f t="shared" ref="B282:AE282" si="97">SUM(B280:B281)</f>
        <v>15</v>
      </c>
      <c r="C282" s="578">
        <f t="shared" si="97"/>
        <v>3</v>
      </c>
      <c r="D282" s="578">
        <f t="shared" si="97"/>
        <v>3</v>
      </c>
      <c r="E282" s="578">
        <f t="shared" si="97"/>
        <v>0</v>
      </c>
      <c r="F282" s="578">
        <f t="shared" si="97"/>
        <v>5</v>
      </c>
      <c r="G282" s="578">
        <f t="shared" si="97"/>
        <v>13</v>
      </c>
      <c r="H282" s="578">
        <f t="shared" si="97"/>
        <v>5</v>
      </c>
      <c r="I282" s="578">
        <f t="shared" si="97"/>
        <v>1</v>
      </c>
      <c r="J282" s="578">
        <f t="shared" si="97"/>
        <v>1</v>
      </c>
      <c r="K282" s="578">
        <f t="shared" si="97"/>
        <v>1</v>
      </c>
      <c r="L282" s="578">
        <f t="shared" si="97"/>
        <v>28</v>
      </c>
      <c r="M282" s="578">
        <f t="shared" si="97"/>
        <v>43</v>
      </c>
      <c r="N282" s="578">
        <f t="shared" si="97"/>
        <v>24</v>
      </c>
      <c r="O282" s="578">
        <f t="shared" si="97"/>
        <v>31</v>
      </c>
      <c r="P282" s="578">
        <f t="shared" si="97"/>
        <v>3</v>
      </c>
      <c r="Q282" s="578">
        <f t="shared" si="97"/>
        <v>3</v>
      </c>
      <c r="R282" s="578">
        <f t="shared" si="97"/>
        <v>1</v>
      </c>
      <c r="S282" s="578">
        <f t="shared" si="97"/>
        <v>4</v>
      </c>
      <c r="T282" s="578">
        <f t="shared" si="97"/>
        <v>6</v>
      </c>
      <c r="U282" s="578">
        <f t="shared" si="97"/>
        <v>8</v>
      </c>
      <c r="V282" s="578">
        <f t="shared" si="97"/>
        <v>6</v>
      </c>
      <c r="W282" s="578">
        <f t="shared" si="97"/>
        <v>15</v>
      </c>
      <c r="X282" s="578">
        <f t="shared" si="97"/>
        <v>1</v>
      </c>
      <c r="Y282" s="578">
        <f t="shared" si="97"/>
        <v>0</v>
      </c>
      <c r="Z282" s="578">
        <f t="shared" si="97"/>
        <v>0</v>
      </c>
      <c r="AA282" s="578">
        <f t="shared" si="97"/>
        <v>4</v>
      </c>
      <c r="AB282" s="578">
        <f t="shared" si="97"/>
        <v>14</v>
      </c>
      <c r="AC282" s="578">
        <f t="shared" si="97"/>
        <v>5</v>
      </c>
      <c r="AD282" s="578">
        <f t="shared" si="97"/>
        <v>6</v>
      </c>
      <c r="AE282" s="578">
        <f t="shared" si="97"/>
        <v>3</v>
      </c>
      <c r="AF282" s="155">
        <f t="shared" si="96"/>
        <v>252</v>
      </c>
    </row>
    <row r="283">
      <c r="A283" s="24"/>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7"/>
    </row>
    <row r="284">
      <c r="A284" s="73" t="s">
        <v>501</v>
      </c>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7"/>
    </row>
    <row r="285">
      <c r="A285" s="116" t="s">
        <v>464</v>
      </c>
      <c r="B285" s="579">
        <v>3665.08</v>
      </c>
      <c r="C285" s="579">
        <v>910.02</v>
      </c>
      <c r="D285" s="579">
        <v>830.05</v>
      </c>
      <c r="E285" s="579">
        <v>0.0</v>
      </c>
      <c r="F285" s="579">
        <v>1462.66</v>
      </c>
      <c r="G285" s="579">
        <v>3036.53</v>
      </c>
      <c r="H285" s="579">
        <v>1275.41</v>
      </c>
      <c r="I285" s="579">
        <v>25.44</v>
      </c>
      <c r="J285" s="579">
        <v>395.77</v>
      </c>
      <c r="K285" s="579">
        <v>303.42</v>
      </c>
      <c r="L285" s="579">
        <v>6332.29</v>
      </c>
      <c r="M285" s="579">
        <v>11254.27</v>
      </c>
      <c r="N285" s="579">
        <v>5410.65</v>
      </c>
      <c r="O285" s="579">
        <v>6596.07</v>
      </c>
      <c r="P285" s="579">
        <v>639.99</v>
      </c>
      <c r="Q285" s="579">
        <v>895.4</v>
      </c>
      <c r="R285" s="579">
        <v>237.31</v>
      </c>
      <c r="S285" s="579">
        <v>698.62</v>
      </c>
      <c r="T285" s="579">
        <v>1196.8</v>
      </c>
      <c r="U285" s="579">
        <v>1931.39</v>
      </c>
      <c r="V285" s="579">
        <v>1295.78</v>
      </c>
      <c r="W285" s="579">
        <v>3867.79</v>
      </c>
      <c r="X285" s="579">
        <v>198.3</v>
      </c>
      <c r="Y285" s="579">
        <v>0.0</v>
      </c>
      <c r="Z285" s="579">
        <v>0.0</v>
      </c>
      <c r="AA285" s="579">
        <v>941.52</v>
      </c>
      <c r="AB285" s="579">
        <v>2916.45</v>
      </c>
      <c r="AC285" s="579">
        <v>1127.14</v>
      </c>
      <c r="AD285" s="579">
        <v>1421.16</v>
      </c>
      <c r="AE285" s="579">
        <v>848.91</v>
      </c>
      <c r="AF285" s="67">
        <f t="shared" ref="AF285:AF286" si="99">SUM(B285:AE285)</f>
        <v>59714.22</v>
      </c>
    </row>
    <row r="286">
      <c r="A286" s="126" t="s">
        <v>466</v>
      </c>
      <c r="B286" s="128">
        <f t="shared" ref="B286:AE286" si="98">sum(B285)</f>
        <v>3665.08</v>
      </c>
      <c r="C286" s="128">
        <f t="shared" si="98"/>
        <v>910.02</v>
      </c>
      <c r="D286" s="128">
        <f t="shared" si="98"/>
        <v>830.05</v>
      </c>
      <c r="E286" s="128">
        <f t="shared" si="98"/>
        <v>0</v>
      </c>
      <c r="F286" s="128">
        <f t="shared" si="98"/>
        <v>1462.66</v>
      </c>
      <c r="G286" s="128">
        <f t="shared" si="98"/>
        <v>3036.53</v>
      </c>
      <c r="H286" s="128">
        <f t="shared" si="98"/>
        <v>1275.41</v>
      </c>
      <c r="I286" s="128">
        <f t="shared" si="98"/>
        <v>25.44</v>
      </c>
      <c r="J286" s="128">
        <f t="shared" si="98"/>
        <v>395.77</v>
      </c>
      <c r="K286" s="128">
        <f t="shared" si="98"/>
        <v>303.42</v>
      </c>
      <c r="L286" s="128">
        <f t="shared" si="98"/>
        <v>6332.29</v>
      </c>
      <c r="M286" s="128">
        <f t="shared" si="98"/>
        <v>11254.27</v>
      </c>
      <c r="N286" s="128">
        <f t="shared" si="98"/>
        <v>5410.65</v>
      </c>
      <c r="O286" s="128">
        <f t="shared" si="98"/>
        <v>6596.07</v>
      </c>
      <c r="P286" s="128">
        <f t="shared" si="98"/>
        <v>639.99</v>
      </c>
      <c r="Q286" s="128">
        <f t="shared" si="98"/>
        <v>895.4</v>
      </c>
      <c r="R286" s="128">
        <f t="shared" si="98"/>
        <v>237.31</v>
      </c>
      <c r="S286" s="128">
        <f t="shared" si="98"/>
        <v>698.62</v>
      </c>
      <c r="T286" s="128">
        <f t="shared" si="98"/>
        <v>1196.8</v>
      </c>
      <c r="U286" s="128">
        <f t="shared" si="98"/>
        <v>1931.39</v>
      </c>
      <c r="V286" s="128">
        <f t="shared" si="98"/>
        <v>1295.78</v>
      </c>
      <c r="W286" s="128">
        <f t="shared" si="98"/>
        <v>3867.79</v>
      </c>
      <c r="X286" s="128">
        <f t="shared" si="98"/>
        <v>198.3</v>
      </c>
      <c r="Y286" s="128">
        <f t="shared" si="98"/>
        <v>0</v>
      </c>
      <c r="Z286" s="128">
        <f t="shared" si="98"/>
        <v>0</v>
      </c>
      <c r="AA286" s="128">
        <f t="shared" si="98"/>
        <v>941.52</v>
      </c>
      <c r="AB286" s="128">
        <f t="shared" si="98"/>
        <v>2916.45</v>
      </c>
      <c r="AC286" s="128">
        <f t="shared" si="98"/>
        <v>1127.14</v>
      </c>
      <c r="AD286" s="128">
        <f t="shared" si="98"/>
        <v>1421.16</v>
      </c>
      <c r="AE286" s="128">
        <f t="shared" si="98"/>
        <v>848.91</v>
      </c>
      <c r="AF286" s="67">
        <f t="shared" si="99"/>
        <v>59714.22</v>
      </c>
    </row>
    <row r="287">
      <c r="A287" s="24"/>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7"/>
    </row>
    <row r="288">
      <c r="A288" s="116" t="s">
        <v>468</v>
      </c>
      <c r="B288" s="579">
        <v>0.0</v>
      </c>
      <c r="C288" s="579">
        <v>0.0</v>
      </c>
      <c r="D288" s="579">
        <v>0.0</v>
      </c>
      <c r="E288" s="579">
        <v>0.0</v>
      </c>
      <c r="F288" s="579">
        <v>0.0</v>
      </c>
      <c r="G288" s="579">
        <v>0.0</v>
      </c>
      <c r="H288" s="579">
        <v>0.0</v>
      </c>
      <c r="I288" s="579">
        <v>0.0</v>
      </c>
      <c r="J288" s="579">
        <v>0.0</v>
      </c>
      <c r="K288" s="579">
        <v>0.0</v>
      </c>
      <c r="L288" s="579">
        <v>0.0</v>
      </c>
      <c r="M288" s="580">
        <v>237.0</v>
      </c>
      <c r="N288" s="580">
        <v>827.0</v>
      </c>
      <c r="O288" s="579">
        <v>0.0</v>
      </c>
      <c r="P288" s="579">
        <v>0.0</v>
      </c>
      <c r="Q288" s="579">
        <v>0.0</v>
      </c>
      <c r="R288" s="579">
        <v>0.0</v>
      </c>
      <c r="S288" s="580">
        <v>189.0</v>
      </c>
      <c r="T288" s="579">
        <v>0.0</v>
      </c>
      <c r="U288" s="579">
        <v>0.0</v>
      </c>
      <c r="V288" s="580">
        <v>315.0</v>
      </c>
      <c r="W288" s="579">
        <v>0.0</v>
      </c>
      <c r="X288" s="579">
        <v>0.0</v>
      </c>
      <c r="Y288" s="579">
        <v>0.0</v>
      </c>
      <c r="Z288" s="579">
        <v>0.0</v>
      </c>
      <c r="AA288" s="579">
        <v>0.0</v>
      </c>
      <c r="AB288" s="579">
        <v>0.0</v>
      </c>
      <c r="AC288" s="580">
        <v>152.2</v>
      </c>
      <c r="AD288" s="579">
        <v>0.0</v>
      </c>
      <c r="AE288" s="579">
        <v>0.0</v>
      </c>
      <c r="AF288" s="67">
        <f t="shared" ref="AF288:AF291" si="100">SUM(B288:AE288)</f>
        <v>1720.2</v>
      </c>
    </row>
    <row r="289">
      <c r="A289" s="116" t="s">
        <v>470</v>
      </c>
      <c r="B289" s="579">
        <v>0.0</v>
      </c>
      <c r="C289" s="579">
        <v>0.0</v>
      </c>
      <c r="D289" s="579">
        <v>0.0</v>
      </c>
      <c r="E289" s="579">
        <v>0.0</v>
      </c>
      <c r="F289" s="579">
        <v>0.0</v>
      </c>
      <c r="G289" s="579">
        <v>0.0</v>
      </c>
      <c r="H289" s="579">
        <v>0.0</v>
      </c>
      <c r="I289" s="579">
        <v>0.0</v>
      </c>
      <c r="J289" s="579">
        <v>0.0</v>
      </c>
      <c r="K289" s="579">
        <v>0.0</v>
      </c>
      <c r="L289" s="579">
        <v>0.0</v>
      </c>
      <c r="M289" s="579">
        <v>35.0</v>
      </c>
      <c r="N289" s="579">
        <v>105.0</v>
      </c>
      <c r="O289" s="579">
        <v>0.0</v>
      </c>
      <c r="P289" s="579">
        <v>0.0</v>
      </c>
      <c r="Q289" s="579">
        <v>0.0</v>
      </c>
      <c r="R289" s="579">
        <v>0.0</v>
      </c>
      <c r="S289" s="579">
        <v>32.0</v>
      </c>
      <c r="T289" s="579">
        <v>0.0</v>
      </c>
      <c r="U289" s="579">
        <v>0.0</v>
      </c>
      <c r="V289" s="579">
        <v>35.0</v>
      </c>
      <c r="W289" s="579">
        <v>0.0</v>
      </c>
      <c r="X289" s="579">
        <v>0.0</v>
      </c>
      <c r="Y289" s="579">
        <v>0.0</v>
      </c>
      <c r="Z289" s="579">
        <v>0.0</v>
      </c>
      <c r="AA289" s="579">
        <v>0.0</v>
      </c>
      <c r="AB289" s="579">
        <v>0.0</v>
      </c>
      <c r="AC289" s="579">
        <v>35.0</v>
      </c>
      <c r="AD289" s="579">
        <v>0.0</v>
      </c>
      <c r="AE289" s="579">
        <v>0.0</v>
      </c>
      <c r="AF289" s="67">
        <f t="shared" si="100"/>
        <v>242</v>
      </c>
    </row>
    <row r="290">
      <c r="A290" s="116" t="s">
        <v>471</v>
      </c>
      <c r="B290" s="122">
        <f t="shared" ref="B290:AE290" si="101">B288*0.22</f>
        <v>0</v>
      </c>
      <c r="C290" s="122">
        <f t="shared" si="101"/>
        <v>0</v>
      </c>
      <c r="D290" s="122">
        <f t="shared" si="101"/>
        <v>0</v>
      </c>
      <c r="E290" s="122">
        <f t="shared" si="101"/>
        <v>0</v>
      </c>
      <c r="F290" s="122">
        <f t="shared" si="101"/>
        <v>0</v>
      </c>
      <c r="G290" s="122">
        <f t="shared" si="101"/>
        <v>0</v>
      </c>
      <c r="H290" s="122">
        <f t="shared" si="101"/>
        <v>0</v>
      </c>
      <c r="I290" s="122">
        <f t="shared" si="101"/>
        <v>0</v>
      </c>
      <c r="J290" s="122">
        <f t="shared" si="101"/>
        <v>0</v>
      </c>
      <c r="K290" s="122">
        <f t="shared" si="101"/>
        <v>0</v>
      </c>
      <c r="L290" s="122">
        <f t="shared" si="101"/>
        <v>0</v>
      </c>
      <c r="M290" s="122">
        <f t="shared" si="101"/>
        <v>52.14</v>
      </c>
      <c r="N290" s="122">
        <f t="shared" si="101"/>
        <v>181.94</v>
      </c>
      <c r="O290" s="122">
        <f t="shared" si="101"/>
        <v>0</v>
      </c>
      <c r="P290" s="122">
        <f t="shared" si="101"/>
        <v>0</v>
      </c>
      <c r="Q290" s="122">
        <f t="shared" si="101"/>
        <v>0</v>
      </c>
      <c r="R290" s="122">
        <f t="shared" si="101"/>
        <v>0</v>
      </c>
      <c r="S290" s="122">
        <f t="shared" si="101"/>
        <v>41.58</v>
      </c>
      <c r="T290" s="122">
        <f t="shared" si="101"/>
        <v>0</v>
      </c>
      <c r="U290" s="122">
        <f t="shared" si="101"/>
        <v>0</v>
      </c>
      <c r="V290" s="122">
        <f t="shared" si="101"/>
        <v>69.3</v>
      </c>
      <c r="W290" s="122">
        <f t="shared" si="101"/>
        <v>0</v>
      </c>
      <c r="X290" s="122">
        <f t="shared" si="101"/>
        <v>0</v>
      </c>
      <c r="Y290" s="122">
        <f t="shared" si="101"/>
        <v>0</v>
      </c>
      <c r="Z290" s="122">
        <f t="shared" si="101"/>
        <v>0</v>
      </c>
      <c r="AA290" s="122">
        <f t="shared" si="101"/>
        <v>0</v>
      </c>
      <c r="AB290" s="122">
        <f t="shared" si="101"/>
        <v>0</v>
      </c>
      <c r="AC290" s="122">
        <f t="shared" si="101"/>
        <v>33.484</v>
      </c>
      <c r="AD290" s="122">
        <f t="shared" si="101"/>
        <v>0</v>
      </c>
      <c r="AE290" s="122">
        <f t="shared" si="101"/>
        <v>0</v>
      </c>
      <c r="AF290" s="67">
        <f t="shared" si="100"/>
        <v>378.444</v>
      </c>
    </row>
    <row r="291">
      <c r="A291" s="126" t="s">
        <v>473</v>
      </c>
      <c r="B291" s="128">
        <f t="shared" ref="B291:AE291" si="102">SUM(B288+B289)</f>
        <v>0</v>
      </c>
      <c r="C291" s="128">
        <f t="shared" si="102"/>
        <v>0</v>
      </c>
      <c r="D291" s="128">
        <f t="shared" si="102"/>
        <v>0</v>
      </c>
      <c r="E291" s="128">
        <f t="shared" si="102"/>
        <v>0</v>
      </c>
      <c r="F291" s="128">
        <f t="shared" si="102"/>
        <v>0</v>
      </c>
      <c r="G291" s="128">
        <f t="shared" si="102"/>
        <v>0</v>
      </c>
      <c r="H291" s="128">
        <f t="shared" si="102"/>
        <v>0</v>
      </c>
      <c r="I291" s="128">
        <f t="shared" si="102"/>
        <v>0</v>
      </c>
      <c r="J291" s="128">
        <f t="shared" si="102"/>
        <v>0</v>
      </c>
      <c r="K291" s="128">
        <f t="shared" si="102"/>
        <v>0</v>
      </c>
      <c r="L291" s="128">
        <f t="shared" si="102"/>
        <v>0</v>
      </c>
      <c r="M291" s="128">
        <f t="shared" si="102"/>
        <v>272</v>
      </c>
      <c r="N291" s="128">
        <f t="shared" si="102"/>
        <v>932</v>
      </c>
      <c r="O291" s="128">
        <f t="shared" si="102"/>
        <v>0</v>
      </c>
      <c r="P291" s="128">
        <f t="shared" si="102"/>
        <v>0</v>
      </c>
      <c r="Q291" s="128">
        <f t="shared" si="102"/>
        <v>0</v>
      </c>
      <c r="R291" s="128">
        <f t="shared" si="102"/>
        <v>0</v>
      </c>
      <c r="S291" s="128">
        <f t="shared" si="102"/>
        <v>221</v>
      </c>
      <c r="T291" s="128">
        <f t="shared" si="102"/>
        <v>0</v>
      </c>
      <c r="U291" s="128">
        <f t="shared" si="102"/>
        <v>0</v>
      </c>
      <c r="V291" s="128">
        <f t="shared" si="102"/>
        <v>350</v>
      </c>
      <c r="W291" s="128">
        <f t="shared" si="102"/>
        <v>0</v>
      </c>
      <c r="X291" s="128">
        <f t="shared" si="102"/>
        <v>0</v>
      </c>
      <c r="Y291" s="128">
        <f t="shared" si="102"/>
        <v>0</v>
      </c>
      <c r="Z291" s="128">
        <f t="shared" si="102"/>
        <v>0</v>
      </c>
      <c r="AA291" s="128">
        <f t="shared" si="102"/>
        <v>0</v>
      </c>
      <c r="AB291" s="128">
        <f t="shared" si="102"/>
        <v>0</v>
      </c>
      <c r="AC291" s="128">
        <f t="shared" si="102"/>
        <v>187.2</v>
      </c>
      <c r="AD291" s="128">
        <f t="shared" si="102"/>
        <v>0</v>
      </c>
      <c r="AE291" s="128">
        <f t="shared" si="102"/>
        <v>0</v>
      </c>
      <c r="AF291" s="67">
        <f t="shared" si="100"/>
        <v>1962.2</v>
      </c>
    </row>
    <row r="292">
      <c r="A292" s="24"/>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7"/>
    </row>
    <row r="293">
      <c r="A293" s="24"/>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7"/>
    </row>
    <row r="294">
      <c r="A294" s="73" t="s">
        <v>504</v>
      </c>
      <c r="B294" s="550"/>
      <c r="C294" s="550"/>
      <c r="D294" s="550"/>
      <c r="E294" s="550"/>
      <c r="F294" s="550"/>
      <c r="G294" s="550"/>
      <c r="H294" s="550"/>
      <c r="I294" s="550"/>
      <c r="J294" s="550"/>
      <c r="K294" s="550"/>
      <c r="L294" s="550"/>
      <c r="M294" s="550"/>
      <c r="N294" s="550"/>
      <c r="O294" s="550"/>
      <c r="P294" s="550"/>
      <c r="Q294" s="550"/>
      <c r="R294" s="550"/>
      <c r="S294" s="550"/>
      <c r="T294" s="550"/>
      <c r="U294" s="550"/>
      <c r="V294" s="550"/>
      <c r="W294" s="550"/>
      <c r="X294" s="550"/>
      <c r="Y294" s="550"/>
      <c r="Z294" s="550"/>
      <c r="AA294" s="550"/>
      <c r="AB294" s="550"/>
      <c r="AC294" s="550"/>
      <c r="AD294" s="550"/>
      <c r="AE294" s="550"/>
      <c r="AF294" s="7"/>
    </row>
    <row r="295">
      <c r="A295" s="116" t="s">
        <v>373</v>
      </c>
      <c r="B295" s="583"/>
      <c r="C295" s="583"/>
      <c r="D295" s="583"/>
      <c r="E295" s="583"/>
      <c r="F295" s="583"/>
      <c r="G295" s="583"/>
      <c r="H295" s="583"/>
      <c r="I295" s="583"/>
      <c r="J295" s="583"/>
      <c r="K295" s="583"/>
      <c r="L295" s="583"/>
      <c r="M295" s="583"/>
      <c r="N295" s="583"/>
      <c r="O295" s="583"/>
      <c r="P295" s="583"/>
      <c r="Q295" s="583"/>
      <c r="R295" s="583"/>
      <c r="S295" s="583"/>
      <c r="T295" s="583"/>
      <c r="U295" s="583"/>
      <c r="V295" s="583"/>
      <c r="W295" s="583"/>
      <c r="X295" s="583"/>
      <c r="Y295" s="583"/>
      <c r="Z295" s="583"/>
      <c r="AA295" s="583"/>
      <c r="AB295" s="583"/>
      <c r="AC295" s="583"/>
      <c r="AD295" s="583"/>
      <c r="AE295" s="583"/>
      <c r="AF295" s="258"/>
    </row>
    <row r="296" outlineLevel="1">
      <c r="A296" s="116" t="s">
        <v>505</v>
      </c>
      <c r="B296" s="331">
        <v>0.0</v>
      </c>
      <c r="C296" s="331">
        <v>0.0</v>
      </c>
      <c r="D296" s="331">
        <v>0.0</v>
      </c>
      <c r="E296" s="331">
        <v>0.0</v>
      </c>
      <c r="F296" s="331">
        <v>0.0</v>
      </c>
      <c r="G296" s="331">
        <v>0.0</v>
      </c>
      <c r="H296" s="331">
        <v>0.0</v>
      </c>
      <c r="I296" s="331">
        <v>0.0</v>
      </c>
      <c r="J296" s="331">
        <v>0.0</v>
      </c>
      <c r="K296" s="331">
        <v>0.0</v>
      </c>
      <c r="L296" s="331">
        <v>2.0</v>
      </c>
      <c r="M296" s="331">
        <v>2.0</v>
      </c>
      <c r="N296" s="331">
        <v>0.0</v>
      </c>
      <c r="O296" s="331">
        <v>0.0</v>
      </c>
      <c r="P296" s="331">
        <v>0.0</v>
      </c>
      <c r="Q296" s="331">
        <v>0.0</v>
      </c>
      <c r="R296" s="331">
        <v>0.0</v>
      </c>
      <c r="S296" s="331">
        <v>0.0</v>
      </c>
      <c r="T296" s="331">
        <v>0.0</v>
      </c>
      <c r="U296" s="331">
        <v>0.0</v>
      </c>
      <c r="V296" s="331">
        <v>0.0</v>
      </c>
      <c r="W296" s="331">
        <v>0.0</v>
      </c>
      <c r="X296" s="331">
        <v>0.0</v>
      </c>
      <c r="Y296" s="331">
        <v>0.0</v>
      </c>
      <c r="Z296" s="331">
        <v>1.0</v>
      </c>
      <c r="AA296" s="331">
        <v>0.0</v>
      </c>
      <c r="AB296" s="331">
        <v>0.0</v>
      </c>
      <c r="AC296" s="331">
        <v>0.0</v>
      </c>
      <c r="AD296" s="331">
        <v>0.0</v>
      </c>
      <c r="AE296" s="331">
        <v>0.0</v>
      </c>
      <c r="AF296" s="155">
        <f t="shared" ref="AF296:AF299" si="103">SUM(B296:AE296)</f>
        <v>5</v>
      </c>
    </row>
    <row r="297" outlineLevel="1">
      <c r="A297" s="116" t="s">
        <v>506</v>
      </c>
      <c r="B297" s="331">
        <v>0.0</v>
      </c>
      <c r="C297" s="331">
        <v>0.0</v>
      </c>
      <c r="D297" s="331">
        <v>0.0</v>
      </c>
      <c r="E297" s="331">
        <v>0.0</v>
      </c>
      <c r="F297" s="331">
        <v>0.0</v>
      </c>
      <c r="G297" s="331">
        <v>0.0</v>
      </c>
      <c r="H297" s="331">
        <v>0.0</v>
      </c>
      <c r="I297" s="331">
        <v>0.0</v>
      </c>
      <c r="J297" s="331">
        <v>0.0</v>
      </c>
      <c r="K297" s="331">
        <v>0.0</v>
      </c>
      <c r="L297" s="331">
        <v>4.0</v>
      </c>
      <c r="M297" s="331">
        <v>0.0</v>
      </c>
      <c r="N297" s="331">
        <v>0.0</v>
      </c>
      <c r="O297" s="331">
        <v>0.0</v>
      </c>
      <c r="P297" s="331">
        <v>0.0</v>
      </c>
      <c r="Q297" s="331">
        <v>0.0</v>
      </c>
      <c r="R297" s="331">
        <v>0.0</v>
      </c>
      <c r="S297" s="331">
        <v>0.0</v>
      </c>
      <c r="T297" s="331">
        <v>0.0</v>
      </c>
      <c r="U297" s="331">
        <v>0.0</v>
      </c>
      <c r="V297" s="331">
        <v>0.0</v>
      </c>
      <c r="W297" s="331">
        <v>0.0</v>
      </c>
      <c r="X297" s="331">
        <v>0.0</v>
      </c>
      <c r="Y297" s="331">
        <v>0.0</v>
      </c>
      <c r="Z297" s="331">
        <v>0.0</v>
      </c>
      <c r="AA297" s="331">
        <v>0.0</v>
      </c>
      <c r="AB297" s="331">
        <v>0.0</v>
      </c>
      <c r="AC297" s="331">
        <v>0.0</v>
      </c>
      <c r="AD297" s="331">
        <v>0.0</v>
      </c>
      <c r="AE297" s="331">
        <v>0.0</v>
      </c>
      <c r="AF297" s="155">
        <f t="shared" si="103"/>
        <v>4</v>
      </c>
    </row>
    <row r="298" outlineLevel="1">
      <c r="A298" s="116" t="s">
        <v>507</v>
      </c>
      <c r="B298" s="331">
        <v>0.0</v>
      </c>
      <c r="C298" s="331">
        <v>0.0</v>
      </c>
      <c r="D298" s="331">
        <v>0.0</v>
      </c>
      <c r="E298" s="331">
        <v>0.0</v>
      </c>
      <c r="F298" s="331">
        <v>0.0</v>
      </c>
      <c r="G298" s="331">
        <v>0.0</v>
      </c>
      <c r="H298" s="331">
        <v>0.0</v>
      </c>
      <c r="I298" s="331">
        <v>0.0</v>
      </c>
      <c r="J298" s="331">
        <v>0.0</v>
      </c>
      <c r="K298" s="331">
        <v>0.0</v>
      </c>
      <c r="L298" s="331">
        <v>4.0</v>
      </c>
      <c r="M298" s="331">
        <v>0.0</v>
      </c>
      <c r="N298" s="331">
        <v>0.0</v>
      </c>
      <c r="O298" s="331">
        <v>0.0</v>
      </c>
      <c r="P298" s="331">
        <v>0.0</v>
      </c>
      <c r="Q298" s="331">
        <v>0.0</v>
      </c>
      <c r="R298" s="331">
        <v>0.0</v>
      </c>
      <c r="S298" s="331">
        <v>0.0</v>
      </c>
      <c r="T298" s="331">
        <v>0.0</v>
      </c>
      <c r="U298" s="331">
        <v>0.0</v>
      </c>
      <c r="V298" s="331">
        <v>0.0</v>
      </c>
      <c r="W298" s="331">
        <v>0.0</v>
      </c>
      <c r="X298" s="331">
        <v>0.0</v>
      </c>
      <c r="Y298" s="331">
        <v>0.0</v>
      </c>
      <c r="Z298" s="331">
        <v>0.0</v>
      </c>
      <c r="AA298" s="331">
        <v>0.0</v>
      </c>
      <c r="AB298" s="331">
        <v>0.0</v>
      </c>
      <c r="AC298" s="331">
        <v>0.0</v>
      </c>
      <c r="AD298" s="331">
        <v>0.0</v>
      </c>
      <c r="AE298" s="331">
        <v>0.0</v>
      </c>
      <c r="AF298" s="155">
        <f t="shared" si="103"/>
        <v>4</v>
      </c>
    </row>
    <row r="299" outlineLevel="1">
      <c r="A299" s="116" t="s">
        <v>508</v>
      </c>
      <c r="B299" s="331">
        <v>0.0</v>
      </c>
      <c r="C299" s="331">
        <v>0.0</v>
      </c>
      <c r="D299" s="331">
        <v>0.0</v>
      </c>
      <c r="E299" s="331">
        <v>0.0</v>
      </c>
      <c r="F299" s="331">
        <v>0.0</v>
      </c>
      <c r="G299" s="331">
        <v>0.0</v>
      </c>
      <c r="H299" s="331">
        <v>0.0</v>
      </c>
      <c r="I299" s="331">
        <v>0.0</v>
      </c>
      <c r="J299" s="331">
        <v>0.0</v>
      </c>
      <c r="K299" s="331">
        <v>0.0</v>
      </c>
      <c r="L299" s="331">
        <v>2.0</v>
      </c>
      <c r="M299" s="331">
        <v>0.0</v>
      </c>
      <c r="N299" s="331">
        <v>0.0</v>
      </c>
      <c r="O299" s="331">
        <v>0.0</v>
      </c>
      <c r="P299" s="331">
        <v>0.0</v>
      </c>
      <c r="Q299" s="331">
        <v>0.0</v>
      </c>
      <c r="R299" s="331">
        <v>0.0</v>
      </c>
      <c r="S299" s="331">
        <v>0.0</v>
      </c>
      <c r="T299" s="331">
        <v>0.0</v>
      </c>
      <c r="U299" s="331">
        <v>0.0</v>
      </c>
      <c r="V299" s="331">
        <v>0.0</v>
      </c>
      <c r="W299" s="331">
        <v>0.0</v>
      </c>
      <c r="X299" s="331">
        <v>0.0</v>
      </c>
      <c r="Y299" s="331">
        <v>0.0</v>
      </c>
      <c r="Z299" s="331">
        <v>0.0</v>
      </c>
      <c r="AA299" s="331">
        <v>0.0</v>
      </c>
      <c r="AB299" s="331">
        <v>0.0</v>
      </c>
      <c r="AC299" s="331">
        <v>0.0</v>
      </c>
      <c r="AD299" s="331">
        <v>0.0</v>
      </c>
      <c r="AE299" s="331">
        <v>0.0</v>
      </c>
      <c r="AF299" s="155">
        <f t="shared" si="103"/>
        <v>2</v>
      </c>
    </row>
    <row r="300">
      <c r="A300" s="116" t="s">
        <v>509</v>
      </c>
      <c r="B300" s="583"/>
      <c r="C300" s="583"/>
      <c r="D300" s="583"/>
      <c r="E300" s="583"/>
      <c r="F300" s="583"/>
      <c r="G300" s="583"/>
      <c r="H300" s="583"/>
      <c r="I300" s="583"/>
      <c r="J300" s="583"/>
      <c r="K300" s="583"/>
      <c r="L300" s="583"/>
      <c r="M300" s="583"/>
      <c r="N300" s="583"/>
      <c r="O300" s="583"/>
      <c r="P300" s="583"/>
      <c r="Q300" s="583"/>
      <c r="R300" s="583"/>
      <c r="S300" s="583"/>
      <c r="T300" s="583"/>
      <c r="U300" s="583"/>
      <c r="V300" s="583"/>
      <c r="W300" s="583"/>
      <c r="X300" s="583"/>
      <c r="Y300" s="583"/>
      <c r="Z300" s="583"/>
      <c r="AA300" s="583"/>
      <c r="AB300" s="583"/>
      <c r="AC300" s="583"/>
      <c r="AD300" s="583"/>
      <c r="AE300" s="583"/>
      <c r="AF300" s="258"/>
    </row>
    <row r="301" outlineLevel="1">
      <c r="A301" s="116" t="s">
        <v>510</v>
      </c>
      <c r="B301" s="584">
        <v>0.0</v>
      </c>
      <c r="C301" s="584">
        <v>0.0</v>
      </c>
      <c r="D301" s="584">
        <v>0.0</v>
      </c>
      <c r="E301" s="584">
        <v>0.0</v>
      </c>
      <c r="F301" s="584">
        <v>0.0</v>
      </c>
      <c r="G301" s="584">
        <v>0.0</v>
      </c>
      <c r="H301" s="584">
        <v>0.0</v>
      </c>
      <c r="I301" s="584">
        <v>0.0</v>
      </c>
      <c r="J301" s="584">
        <v>0.0</v>
      </c>
      <c r="K301" s="584">
        <v>0.0</v>
      </c>
      <c r="L301" s="584">
        <v>0.0</v>
      </c>
      <c r="M301" s="331">
        <v>0.0</v>
      </c>
      <c r="N301" s="331">
        <v>0.0</v>
      </c>
      <c r="O301" s="331">
        <v>0.0</v>
      </c>
      <c r="P301" s="331">
        <v>0.0</v>
      </c>
      <c r="Q301" s="331">
        <v>0.0</v>
      </c>
      <c r="R301" s="331">
        <v>0.0</v>
      </c>
      <c r="S301" s="331">
        <v>0.0</v>
      </c>
      <c r="T301" s="331">
        <v>0.0</v>
      </c>
      <c r="U301" s="331">
        <v>0.0</v>
      </c>
      <c r="V301" s="331">
        <v>0.0</v>
      </c>
      <c r="W301" s="331">
        <v>0.0</v>
      </c>
      <c r="X301" s="331">
        <v>0.0</v>
      </c>
      <c r="Y301" s="331">
        <v>0.0</v>
      </c>
      <c r="Z301" s="331">
        <v>0.0</v>
      </c>
      <c r="AA301" s="331">
        <v>0.0</v>
      </c>
      <c r="AB301" s="331">
        <v>0.0</v>
      </c>
      <c r="AC301" s="331">
        <v>0.0</v>
      </c>
      <c r="AD301" s="331">
        <v>0.0</v>
      </c>
      <c r="AE301" s="331">
        <v>0.0</v>
      </c>
      <c r="AF301" s="155">
        <f t="shared" ref="AF301:AF303" si="104">SUM(B301:AE301)</f>
        <v>0</v>
      </c>
    </row>
    <row r="302" outlineLevel="1">
      <c r="A302" s="116" t="s">
        <v>511</v>
      </c>
      <c r="B302" s="584">
        <v>0.0</v>
      </c>
      <c r="C302" s="584">
        <v>0.0</v>
      </c>
      <c r="D302" s="584">
        <v>0.0</v>
      </c>
      <c r="E302" s="584">
        <v>0.0</v>
      </c>
      <c r="F302" s="584">
        <v>0.0</v>
      </c>
      <c r="G302" s="584">
        <v>0.0</v>
      </c>
      <c r="H302" s="584">
        <v>0.0</v>
      </c>
      <c r="I302" s="584">
        <v>0.0</v>
      </c>
      <c r="J302" s="584">
        <v>0.0</v>
      </c>
      <c r="K302" s="584">
        <v>0.0</v>
      </c>
      <c r="L302" s="584">
        <v>0.0</v>
      </c>
      <c r="M302" s="331">
        <v>0.0</v>
      </c>
      <c r="N302" s="331">
        <v>0.0</v>
      </c>
      <c r="O302" s="331">
        <v>0.0</v>
      </c>
      <c r="P302" s="331">
        <v>0.0</v>
      </c>
      <c r="Q302" s="331">
        <v>0.0</v>
      </c>
      <c r="R302" s="331">
        <v>0.0</v>
      </c>
      <c r="S302" s="331">
        <v>0.0</v>
      </c>
      <c r="T302" s="331">
        <v>0.0</v>
      </c>
      <c r="U302" s="331">
        <v>0.0</v>
      </c>
      <c r="V302" s="331">
        <v>0.0</v>
      </c>
      <c r="W302" s="331">
        <v>0.0</v>
      </c>
      <c r="X302" s="331">
        <v>0.0</v>
      </c>
      <c r="Y302" s="331">
        <v>0.0</v>
      </c>
      <c r="Z302" s="331">
        <v>0.0</v>
      </c>
      <c r="AA302" s="331">
        <v>0.0</v>
      </c>
      <c r="AB302" s="331">
        <v>0.0</v>
      </c>
      <c r="AC302" s="331">
        <v>0.0</v>
      </c>
      <c r="AD302" s="331">
        <v>0.0</v>
      </c>
      <c r="AE302" s="331">
        <v>0.0</v>
      </c>
      <c r="AF302" s="155">
        <f t="shared" si="104"/>
        <v>0</v>
      </c>
    </row>
    <row r="303" outlineLevel="1">
      <c r="A303" s="116" t="s">
        <v>512</v>
      </c>
      <c r="B303" s="584">
        <v>0.0</v>
      </c>
      <c r="C303" s="584">
        <v>0.0</v>
      </c>
      <c r="D303" s="584">
        <v>0.0</v>
      </c>
      <c r="E303" s="584">
        <v>0.0</v>
      </c>
      <c r="F303" s="584">
        <v>0.0</v>
      </c>
      <c r="G303" s="584">
        <v>0.0</v>
      </c>
      <c r="H303" s="584">
        <v>0.0</v>
      </c>
      <c r="I303" s="584">
        <v>0.0</v>
      </c>
      <c r="J303" s="584">
        <v>0.0</v>
      </c>
      <c r="K303" s="584">
        <v>0.0</v>
      </c>
      <c r="L303" s="584">
        <v>0.0</v>
      </c>
      <c r="M303" s="331">
        <v>0.0</v>
      </c>
      <c r="N303" s="331">
        <v>0.0</v>
      </c>
      <c r="O303" s="331">
        <v>0.0</v>
      </c>
      <c r="P303" s="331">
        <v>0.0</v>
      </c>
      <c r="Q303" s="331">
        <v>0.0</v>
      </c>
      <c r="R303" s="331">
        <v>0.0</v>
      </c>
      <c r="S303" s="331">
        <v>0.0</v>
      </c>
      <c r="T303" s="331">
        <v>0.0</v>
      </c>
      <c r="U303" s="331">
        <v>0.0</v>
      </c>
      <c r="V303" s="331">
        <v>0.0</v>
      </c>
      <c r="W303" s="331">
        <v>0.0</v>
      </c>
      <c r="X303" s="331">
        <v>0.0</v>
      </c>
      <c r="Y303" s="331">
        <v>0.0</v>
      </c>
      <c r="Z303" s="331">
        <v>0.0</v>
      </c>
      <c r="AA303" s="331">
        <v>0.0</v>
      </c>
      <c r="AB303" s="331">
        <v>0.0</v>
      </c>
      <c r="AC303" s="331">
        <v>0.0</v>
      </c>
      <c r="AD303" s="331">
        <v>0.0</v>
      </c>
      <c r="AE303" s="331">
        <v>0.0</v>
      </c>
      <c r="AF303" s="155">
        <f t="shared" si="104"/>
        <v>0</v>
      </c>
    </row>
    <row r="304">
      <c r="A304" s="116" t="s">
        <v>380</v>
      </c>
      <c r="B304" s="583"/>
      <c r="C304" s="583"/>
      <c r="D304" s="583"/>
      <c r="E304" s="583"/>
      <c r="F304" s="583"/>
      <c r="G304" s="583"/>
      <c r="H304" s="583"/>
      <c r="I304" s="583"/>
      <c r="J304" s="583"/>
      <c r="K304" s="583"/>
      <c r="L304" s="583"/>
      <c r="M304" s="583"/>
      <c r="N304" s="583"/>
      <c r="O304" s="583"/>
      <c r="P304" s="583"/>
      <c r="Q304" s="583"/>
      <c r="R304" s="583"/>
      <c r="S304" s="583"/>
      <c r="T304" s="583"/>
      <c r="U304" s="583"/>
      <c r="V304" s="583"/>
      <c r="W304" s="583"/>
      <c r="X304" s="583"/>
      <c r="Y304" s="583"/>
      <c r="Z304" s="583"/>
      <c r="AA304" s="583"/>
      <c r="AB304" s="583"/>
      <c r="AC304" s="583"/>
      <c r="AD304" s="583"/>
      <c r="AE304" s="583"/>
      <c r="AF304" s="258"/>
    </row>
    <row r="305" outlineLevel="1">
      <c r="A305" s="116" t="s">
        <v>513</v>
      </c>
      <c r="B305" s="331">
        <v>0.0</v>
      </c>
      <c r="C305" s="331">
        <v>0.0</v>
      </c>
      <c r="D305" s="331">
        <v>0.0</v>
      </c>
      <c r="E305" s="331">
        <v>0.0</v>
      </c>
      <c r="F305" s="331">
        <v>0.0</v>
      </c>
      <c r="G305" s="331">
        <v>0.0</v>
      </c>
      <c r="H305" s="331">
        <v>0.0</v>
      </c>
      <c r="I305" s="331">
        <v>0.0</v>
      </c>
      <c r="J305" s="331">
        <v>0.0</v>
      </c>
      <c r="K305" s="331">
        <v>0.0</v>
      </c>
      <c r="L305" s="331">
        <v>0.0</v>
      </c>
      <c r="M305" s="331">
        <v>3.0</v>
      </c>
      <c r="N305" s="331">
        <v>0.0</v>
      </c>
      <c r="O305" s="331">
        <v>0.0</v>
      </c>
      <c r="P305" s="331">
        <v>0.0</v>
      </c>
      <c r="Q305" s="331">
        <v>0.0</v>
      </c>
      <c r="R305" s="331">
        <v>0.0</v>
      </c>
      <c r="S305" s="331">
        <v>0.0</v>
      </c>
      <c r="T305" s="331">
        <v>0.0</v>
      </c>
      <c r="U305" s="331">
        <v>0.0</v>
      </c>
      <c r="V305" s="331">
        <v>0.0</v>
      </c>
      <c r="W305" s="331">
        <v>0.0</v>
      </c>
      <c r="X305" s="331">
        <v>0.0</v>
      </c>
      <c r="Y305" s="331">
        <v>0.0</v>
      </c>
      <c r="Z305" s="331">
        <v>0.0</v>
      </c>
      <c r="AA305" s="331">
        <v>0.0</v>
      </c>
      <c r="AB305" s="331">
        <v>0.0</v>
      </c>
      <c r="AC305" s="331">
        <v>0.0</v>
      </c>
      <c r="AD305" s="331">
        <v>0.0</v>
      </c>
      <c r="AE305" s="331">
        <v>0.0</v>
      </c>
      <c r="AF305" s="155">
        <f t="shared" ref="AF305:AF308" si="105">SUM(B305:AE305)</f>
        <v>3</v>
      </c>
    </row>
    <row r="306" outlineLevel="1">
      <c r="A306" s="116" t="s">
        <v>514</v>
      </c>
      <c r="B306" s="331">
        <v>0.0</v>
      </c>
      <c r="C306" s="331">
        <v>0.0</v>
      </c>
      <c r="D306" s="331">
        <v>0.0</v>
      </c>
      <c r="E306" s="331">
        <v>0.0</v>
      </c>
      <c r="F306" s="331">
        <v>0.0</v>
      </c>
      <c r="G306" s="331">
        <v>0.0</v>
      </c>
      <c r="H306" s="331">
        <v>0.0</v>
      </c>
      <c r="I306" s="331">
        <v>0.0</v>
      </c>
      <c r="J306" s="331">
        <v>0.0</v>
      </c>
      <c r="K306" s="331">
        <v>0.0</v>
      </c>
      <c r="L306" s="331">
        <v>0.0</v>
      </c>
      <c r="M306" s="331">
        <v>0.0</v>
      </c>
      <c r="N306" s="331">
        <v>0.0</v>
      </c>
      <c r="O306" s="331">
        <v>0.0</v>
      </c>
      <c r="P306" s="331">
        <v>0.0</v>
      </c>
      <c r="Q306" s="331">
        <v>0.0</v>
      </c>
      <c r="R306" s="331">
        <v>0.0</v>
      </c>
      <c r="S306" s="331">
        <v>0.0</v>
      </c>
      <c r="T306" s="331">
        <v>0.0</v>
      </c>
      <c r="U306" s="331">
        <v>0.0</v>
      </c>
      <c r="V306" s="331">
        <v>0.0</v>
      </c>
      <c r="W306" s="331">
        <v>1.0</v>
      </c>
      <c r="X306" s="331">
        <v>0.0</v>
      </c>
      <c r="Y306" s="331">
        <v>0.0</v>
      </c>
      <c r="Z306" s="331">
        <v>0.0</v>
      </c>
      <c r="AA306" s="331">
        <v>0.0</v>
      </c>
      <c r="AB306" s="331">
        <v>0.0</v>
      </c>
      <c r="AC306" s="331">
        <v>0.0</v>
      </c>
      <c r="AD306" s="331">
        <v>0.0</v>
      </c>
      <c r="AE306" s="331">
        <v>0.0</v>
      </c>
      <c r="AF306" s="155">
        <f t="shared" si="105"/>
        <v>1</v>
      </c>
    </row>
    <row r="307" outlineLevel="1">
      <c r="A307" s="116" t="s">
        <v>515</v>
      </c>
      <c r="B307" s="331">
        <v>0.0</v>
      </c>
      <c r="C307" s="331">
        <v>0.0</v>
      </c>
      <c r="D307" s="331">
        <v>0.0</v>
      </c>
      <c r="E307" s="331">
        <v>0.0</v>
      </c>
      <c r="F307" s="331">
        <v>0.0</v>
      </c>
      <c r="G307" s="331">
        <v>0.0</v>
      </c>
      <c r="H307" s="331">
        <v>0.0</v>
      </c>
      <c r="I307" s="331">
        <v>0.0</v>
      </c>
      <c r="J307" s="331">
        <v>0.0</v>
      </c>
      <c r="K307" s="331">
        <v>0.0</v>
      </c>
      <c r="L307" s="331">
        <v>0.0</v>
      </c>
      <c r="M307" s="331">
        <v>3.0</v>
      </c>
      <c r="N307" s="331">
        <v>0.0</v>
      </c>
      <c r="O307" s="331">
        <v>0.0</v>
      </c>
      <c r="P307" s="331">
        <v>0.0</v>
      </c>
      <c r="Q307" s="331">
        <v>0.0</v>
      </c>
      <c r="R307" s="331">
        <v>0.0</v>
      </c>
      <c r="S307" s="331">
        <v>0.0</v>
      </c>
      <c r="T307" s="331">
        <v>0.0</v>
      </c>
      <c r="U307" s="331">
        <v>0.0</v>
      </c>
      <c r="V307" s="331">
        <v>0.0</v>
      </c>
      <c r="W307" s="331">
        <v>0.0</v>
      </c>
      <c r="X307" s="331">
        <v>0.0</v>
      </c>
      <c r="Y307" s="331">
        <v>0.0</v>
      </c>
      <c r="Z307" s="331">
        <v>0.0</v>
      </c>
      <c r="AA307" s="331">
        <v>0.0</v>
      </c>
      <c r="AB307" s="331">
        <v>0.0</v>
      </c>
      <c r="AC307" s="331">
        <v>0.0</v>
      </c>
      <c r="AD307" s="331">
        <v>0.0</v>
      </c>
      <c r="AE307" s="331">
        <v>0.0</v>
      </c>
      <c r="AF307" s="155">
        <f t="shared" si="105"/>
        <v>3</v>
      </c>
    </row>
    <row r="308" outlineLevel="1">
      <c r="A308" s="116" t="s">
        <v>516</v>
      </c>
      <c r="B308" s="331">
        <v>0.0</v>
      </c>
      <c r="C308" s="331">
        <v>0.0</v>
      </c>
      <c r="D308" s="331">
        <v>0.0</v>
      </c>
      <c r="E308" s="331">
        <v>0.0</v>
      </c>
      <c r="F308" s="331">
        <v>0.0</v>
      </c>
      <c r="G308" s="331">
        <v>0.0</v>
      </c>
      <c r="H308" s="331">
        <v>0.0</v>
      </c>
      <c r="I308" s="331">
        <v>0.0</v>
      </c>
      <c r="J308" s="331">
        <v>0.0</v>
      </c>
      <c r="K308" s="331">
        <v>0.0</v>
      </c>
      <c r="L308" s="331">
        <v>0.0</v>
      </c>
      <c r="M308" s="331">
        <v>1.0</v>
      </c>
      <c r="N308" s="331">
        <v>0.0</v>
      </c>
      <c r="O308" s="331">
        <v>0.0</v>
      </c>
      <c r="P308" s="331">
        <v>0.0</v>
      </c>
      <c r="Q308" s="331">
        <v>0.0</v>
      </c>
      <c r="R308" s="331">
        <v>0.0</v>
      </c>
      <c r="S308" s="331">
        <v>0.0</v>
      </c>
      <c r="T308" s="331">
        <v>0.0</v>
      </c>
      <c r="U308" s="331">
        <v>0.0</v>
      </c>
      <c r="V308" s="331">
        <v>0.0</v>
      </c>
      <c r="W308" s="331">
        <v>0.0</v>
      </c>
      <c r="X308" s="331">
        <v>0.0</v>
      </c>
      <c r="Y308" s="331">
        <v>0.0</v>
      </c>
      <c r="Z308" s="331">
        <v>0.0</v>
      </c>
      <c r="AA308" s="331">
        <v>0.0</v>
      </c>
      <c r="AB308" s="331">
        <v>0.0</v>
      </c>
      <c r="AC308" s="331">
        <v>0.0</v>
      </c>
      <c r="AD308" s="331">
        <v>0.0</v>
      </c>
      <c r="AE308" s="331">
        <v>0.0</v>
      </c>
      <c r="AF308" s="155">
        <f t="shared" si="105"/>
        <v>1</v>
      </c>
    </row>
    <row r="309">
      <c r="A309" s="116" t="s">
        <v>517</v>
      </c>
      <c r="B309" s="279"/>
      <c r="C309" s="279"/>
      <c r="D309" s="279"/>
      <c r="E309" s="279"/>
      <c r="F309" s="279"/>
      <c r="G309" s="279"/>
      <c r="H309" s="279"/>
      <c r="I309" s="279"/>
      <c r="J309" s="279"/>
      <c r="K309" s="279"/>
      <c r="L309" s="279"/>
      <c r="M309" s="279"/>
      <c r="N309" s="279"/>
      <c r="O309" s="279"/>
      <c r="P309" s="279"/>
      <c r="Q309" s="279"/>
      <c r="R309" s="279"/>
      <c r="S309" s="279"/>
      <c r="T309" s="279"/>
      <c r="U309" s="279"/>
      <c r="V309" s="279"/>
      <c r="W309" s="279"/>
      <c r="X309" s="279"/>
      <c r="Y309" s="279"/>
      <c r="Z309" s="279"/>
      <c r="AA309" s="279"/>
      <c r="AB309" s="279"/>
      <c r="AC309" s="279"/>
      <c r="AD309" s="279"/>
      <c r="AE309" s="279"/>
      <c r="AF309" s="258"/>
    </row>
    <row r="310" outlineLevel="1">
      <c r="A310" s="116" t="s">
        <v>518</v>
      </c>
      <c r="B310" s="584">
        <v>0.0</v>
      </c>
      <c r="C310" s="584">
        <v>0.0</v>
      </c>
      <c r="D310" s="584">
        <v>0.0</v>
      </c>
      <c r="E310" s="584">
        <v>0.0</v>
      </c>
      <c r="F310" s="584">
        <v>0.0</v>
      </c>
      <c r="G310" s="584">
        <v>0.0</v>
      </c>
      <c r="H310" s="584">
        <v>0.0</v>
      </c>
      <c r="I310" s="584">
        <v>0.0</v>
      </c>
      <c r="J310" s="584">
        <v>0.0</v>
      </c>
      <c r="K310" s="584">
        <v>0.0</v>
      </c>
      <c r="L310" s="584">
        <v>0.0</v>
      </c>
      <c r="M310" s="331">
        <v>0.0</v>
      </c>
      <c r="N310" s="331">
        <v>0.0</v>
      </c>
      <c r="O310" s="331">
        <v>0.0</v>
      </c>
      <c r="P310" s="331">
        <v>0.0</v>
      </c>
      <c r="Q310" s="331">
        <v>0.0</v>
      </c>
      <c r="R310" s="331">
        <v>0.0</v>
      </c>
      <c r="S310" s="331">
        <v>0.0</v>
      </c>
      <c r="T310" s="331">
        <v>0.0</v>
      </c>
      <c r="U310" s="331">
        <v>0.0</v>
      </c>
      <c r="V310" s="331">
        <v>0.0</v>
      </c>
      <c r="W310" s="331">
        <v>0.0</v>
      </c>
      <c r="X310" s="331">
        <v>0.0</v>
      </c>
      <c r="Y310" s="331">
        <v>0.0</v>
      </c>
      <c r="Z310" s="331">
        <v>0.0</v>
      </c>
      <c r="AA310" s="331">
        <v>0.0</v>
      </c>
      <c r="AB310" s="331">
        <v>0.0</v>
      </c>
      <c r="AC310" s="331">
        <v>0.0</v>
      </c>
      <c r="AD310" s="331">
        <v>0.0</v>
      </c>
      <c r="AE310" s="331">
        <v>0.0</v>
      </c>
      <c r="AF310" s="155">
        <f t="shared" ref="AF310:AF314" si="106">SUM(B310:AE310)</f>
        <v>0</v>
      </c>
    </row>
    <row r="311" outlineLevel="1">
      <c r="A311" s="116" t="s">
        <v>519</v>
      </c>
      <c r="B311" s="584">
        <v>0.0</v>
      </c>
      <c r="C311" s="584">
        <v>0.0</v>
      </c>
      <c r="D311" s="584">
        <v>0.0</v>
      </c>
      <c r="E311" s="584">
        <v>0.0</v>
      </c>
      <c r="F311" s="584">
        <v>0.0</v>
      </c>
      <c r="G311" s="584">
        <v>0.0</v>
      </c>
      <c r="H311" s="584">
        <v>0.0</v>
      </c>
      <c r="I311" s="584">
        <v>0.0</v>
      </c>
      <c r="J311" s="584">
        <v>0.0</v>
      </c>
      <c r="K311" s="584">
        <v>0.0</v>
      </c>
      <c r="L311" s="584">
        <v>0.0</v>
      </c>
      <c r="M311" s="331">
        <v>0.0</v>
      </c>
      <c r="N311" s="331">
        <v>0.0</v>
      </c>
      <c r="O311" s="331">
        <v>0.0</v>
      </c>
      <c r="P311" s="331">
        <v>0.0</v>
      </c>
      <c r="Q311" s="331">
        <v>0.0</v>
      </c>
      <c r="R311" s="331">
        <v>0.0</v>
      </c>
      <c r="S311" s="331">
        <v>0.0</v>
      </c>
      <c r="T311" s="331">
        <v>0.0</v>
      </c>
      <c r="U311" s="331">
        <v>0.0</v>
      </c>
      <c r="V311" s="331">
        <v>0.0</v>
      </c>
      <c r="W311" s="331">
        <v>0.0</v>
      </c>
      <c r="X311" s="331">
        <v>0.0</v>
      </c>
      <c r="Y311" s="331">
        <v>0.0</v>
      </c>
      <c r="Z311" s="331">
        <v>0.0</v>
      </c>
      <c r="AA311" s="331">
        <v>0.0</v>
      </c>
      <c r="AB311" s="331">
        <v>0.0</v>
      </c>
      <c r="AC311" s="331">
        <v>0.0</v>
      </c>
      <c r="AD311" s="331">
        <v>0.0</v>
      </c>
      <c r="AE311" s="331">
        <v>0.0</v>
      </c>
      <c r="AF311" s="155">
        <f t="shared" si="106"/>
        <v>0</v>
      </c>
    </row>
    <row r="312" outlineLevel="1">
      <c r="A312" s="116" t="s">
        <v>512</v>
      </c>
      <c r="B312" s="584">
        <v>0.0</v>
      </c>
      <c r="C312" s="584">
        <v>0.0</v>
      </c>
      <c r="D312" s="584">
        <v>0.0</v>
      </c>
      <c r="E312" s="584">
        <v>0.0</v>
      </c>
      <c r="F312" s="584">
        <v>0.0</v>
      </c>
      <c r="G312" s="584">
        <v>0.0</v>
      </c>
      <c r="H312" s="584">
        <v>0.0</v>
      </c>
      <c r="I312" s="584">
        <v>0.0</v>
      </c>
      <c r="J312" s="584">
        <v>0.0</v>
      </c>
      <c r="K312" s="584">
        <v>0.0</v>
      </c>
      <c r="L312" s="584">
        <v>0.0</v>
      </c>
      <c r="M312" s="331">
        <v>0.0</v>
      </c>
      <c r="N312" s="331">
        <v>0.0</v>
      </c>
      <c r="O312" s="331">
        <v>0.0</v>
      </c>
      <c r="P312" s="331">
        <v>0.0</v>
      </c>
      <c r="Q312" s="331">
        <v>0.0</v>
      </c>
      <c r="R312" s="331">
        <v>0.0</v>
      </c>
      <c r="S312" s="331">
        <v>0.0</v>
      </c>
      <c r="T312" s="331">
        <v>0.0</v>
      </c>
      <c r="U312" s="331">
        <v>0.0</v>
      </c>
      <c r="V312" s="331">
        <v>0.0</v>
      </c>
      <c r="W312" s="331">
        <v>0.0</v>
      </c>
      <c r="X312" s="331">
        <v>0.0</v>
      </c>
      <c r="Y312" s="331">
        <v>0.0</v>
      </c>
      <c r="Z312" s="331">
        <v>0.0</v>
      </c>
      <c r="AA312" s="331">
        <v>0.0</v>
      </c>
      <c r="AB312" s="331">
        <v>0.0</v>
      </c>
      <c r="AC312" s="331">
        <v>0.0</v>
      </c>
      <c r="AD312" s="331">
        <v>0.0</v>
      </c>
      <c r="AE312" s="331">
        <v>0.0</v>
      </c>
      <c r="AF312" s="155">
        <f t="shared" si="106"/>
        <v>0</v>
      </c>
    </row>
    <row r="313">
      <c r="A313" s="271" t="s">
        <v>261</v>
      </c>
      <c r="B313" s="578">
        <f t="shared" ref="B313:AE313" si="107">B296+B297+B305+B306</f>
        <v>0</v>
      </c>
      <c r="C313" s="578">
        <f t="shared" si="107"/>
        <v>0</v>
      </c>
      <c r="D313" s="578">
        <f t="shared" si="107"/>
        <v>0</v>
      </c>
      <c r="E313" s="578">
        <f t="shared" si="107"/>
        <v>0</v>
      </c>
      <c r="F313" s="578">
        <f t="shared" si="107"/>
        <v>0</v>
      </c>
      <c r="G313" s="578">
        <f t="shared" si="107"/>
        <v>0</v>
      </c>
      <c r="H313" s="578">
        <f t="shared" si="107"/>
        <v>0</v>
      </c>
      <c r="I313" s="578">
        <f t="shared" si="107"/>
        <v>0</v>
      </c>
      <c r="J313" s="578">
        <f t="shared" si="107"/>
        <v>0</v>
      </c>
      <c r="K313" s="578">
        <f t="shared" si="107"/>
        <v>0</v>
      </c>
      <c r="L313" s="578">
        <f t="shared" si="107"/>
        <v>6</v>
      </c>
      <c r="M313" s="578">
        <f t="shared" si="107"/>
        <v>5</v>
      </c>
      <c r="N313" s="578">
        <f t="shared" si="107"/>
        <v>0</v>
      </c>
      <c r="O313" s="578">
        <f t="shared" si="107"/>
        <v>0</v>
      </c>
      <c r="P313" s="578">
        <f t="shared" si="107"/>
        <v>0</v>
      </c>
      <c r="Q313" s="578">
        <f t="shared" si="107"/>
        <v>0</v>
      </c>
      <c r="R313" s="578">
        <f t="shared" si="107"/>
        <v>0</v>
      </c>
      <c r="S313" s="578">
        <f t="shared" si="107"/>
        <v>0</v>
      </c>
      <c r="T313" s="578">
        <f t="shared" si="107"/>
        <v>0</v>
      </c>
      <c r="U313" s="578">
        <f t="shared" si="107"/>
        <v>0</v>
      </c>
      <c r="V313" s="578">
        <f t="shared" si="107"/>
        <v>0</v>
      </c>
      <c r="W313" s="578">
        <f t="shared" si="107"/>
        <v>1</v>
      </c>
      <c r="X313" s="578">
        <f t="shared" si="107"/>
        <v>0</v>
      </c>
      <c r="Y313" s="578">
        <f t="shared" si="107"/>
        <v>0</v>
      </c>
      <c r="Z313" s="578">
        <f t="shared" si="107"/>
        <v>1</v>
      </c>
      <c r="AA313" s="578">
        <f t="shared" si="107"/>
        <v>0</v>
      </c>
      <c r="AB313" s="578">
        <f t="shared" si="107"/>
        <v>0</v>
      </c>
      <c r="AC313" s="578">
        <f t="shared" si="107"/>
        <v>0</v>
      </c>
      <c r="AD313" s="578">
        <f t="shared" si="107"/>
        <v>0</v>
      </c>
      <c r="AE313" s="578">
        <f t="shared" si="107"/>
        <v>0</v>
      </c>
      <c r="AF313" s="155">
        <f t="shared" si="106"/>
        <v>13</v>
      </c>
    </row>
    <row r="314">
      <c r="A314" s="271" t="s">
        <v>263</v>
      </c>
      <c r="B314" s="578">
        <f t="shared" ref="B314:AE314" si="108">+B298+B299+B307+B308</f>
        <v>0</v>
      </c>
      <c r="C314" s="578">
        <f t="shared" si="108"/>
        <v>0</v>
      </c>
      <c r="D314" s="578">
        <f t="shared" si="108"/>
        <v>0</v>
      </c>
      <c r="E314" s="578">
        <f t="shared" si="108"/>
        <v>0</v>
      </c>
      <c r="F314" s="578">
        <f t="shared" si="108"/>
        <v>0</v>
      </c>
      <c r="G314" s="578">
        <f t="shared" si="108"/>
        <v>0</v>
      </c>
      <c r="H314" s="578">
        <f t="shared" si="108"/>
        <v>0</v>
      </c>
      <c r="I314" s="578">
        <f t="shared" si="108"/>
        <v>0</v>
      </c>
      <c r="J314" s="578">
        <f t="shared" si="108"/>
        <v>0</v>
      </c>
      <c r="K314" s="578">
        <f t="shared" si="108"/>
        <v>0</v>
      </c>
      <c r="L314" s="578">
        <f t="shared" si="108"/>
        <v>6</v>
      </c>
      <c r="M314" s="578">
        <f t="shared" si="108"/>
        <v>4</v>
      </c>
      <c r="N314" s="578">
        <f t="shared" si="108"/>
        <v>0</v>
      </c>
      <c r="O314" s="578">
        <f t="shared" si="108"/>
        <v>0</v>
      </c>
      <c r="P314" s="578">
        <f t="shared" si="108"/>
        <v>0</v>
      </c>
      <c r="Q314" s="578">
        <f t="shared" si="108"/>
        <v>0</v>
      </c>
      <c r="R314" s="578">
        <f t="shared" si="108"/>
        <v>0</v>
      </c>
      <c r="S314" s="578">
        <f t="shared" si="108"/>
        <v>0</v>
      </c>
      <c r="T314" s="578">
        <f t="shared" si="108"/>
        <v>0</v>
      </c>
      <c r="U314" s="578">
        <f t="shared" si="108"/>
        <v>0</v>
      </c>
      <c r="V314" s="578">
        <f t="shared" si="108"/>
        <v>0</v>
      </c>
      <c r="W314" s="578">
        <f t="shared" si="108"/>
        <v>0</v>
      </c>
      <c r="X314" s="578">
        <f t="shared" si="108"/>
        <v>0</v>
      </c>
      <c r="Y314" s="578">
        <f t="shared" si="108"/>
        <v>0</v>
      </c>
      <c r="Z314" s="578">
        <f t="shared" si="108"/>
        <v>0</v>
      </c>
      <c r="AA314" s="578">
        <f t="shared" si="108"/>
        <v>0</v>
      </c>
      <c r="AB314" s="578">
        <f t="shared" si="108"/>
        <v>0</v>
      </c>
      <c r="AC314" s="578">
        <f t="shared" si="108"/>
        <v>0</v>
      </c>
      <c r="AD314" s="578">
        <f t="shared" si="108"/>
        <v>0</v>
      </c>
      <c r="AE314" s="578">
        <f t="shared" si="108"/>
        <v>0</v>
      </c>
      <c r="AF314" s="155">
        <f t="shared" si="106"/>
        <v>10</v>
      </c>
    </row>
    <row r="315">
      <c r="A315" s="24"/>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7"/>
    </row>
    <row r="316">
      <c r="A316" s="116" t="s">
        <v>387</v>
      </c>
      <c r="B316" s="583"/>
      <c r="C316" s="583"/>
      <c r="D316" s="583"/>
      <c r="E316" s="583"/>
      <c r="F316" s="583"/>
      <c r="G316" s="583"/>
      <c r="H316" s="583"/>
      <c r="I316" s="583"/>
      <c r="J316" s="583"/>
      <c r="K316" s="583"/>
      <c r="L316" s="583"/>
      <c r="M316" s="583"/>
      <c r="N316" s="583"/>
      <c r="O316" s="583"/>
      <c r="P316" s="583"/>
      <c r="Q316" s="583"/>
      <c r="R316" s="583"/>
      <c r="S316" s="583"/>
      <c r="T316" s="583"/>
      <c r="U316" s="583"/>
      <c r="V316" s="583"/>
      <c r="W316" s="583"/>
      <c r="X316" s="583"/>
      <c r="Y316" s="583"/>
      <c r="Z316" s="583"/>
      <c r="AA316" s="583"/>
      <c r="AB316" s="583"/>
      <c r="AC316" s="583"/>
      <c r="AD316" s="583"/>
      <c r="AE316" s="583"/>
      <c r="AF316" s="258"/>
    </row>
    <row r="317" outlineLevel="1">
      <c r="A317" s="116" t="s">
        <v>266</v>
      </c>
      <c r="B317" s="331">
        <v>0.0</v>
      </c>
      <c r="C317" s="331">
        <v>0.0</v>
      </c>
      <c r="D317" s="331">
        <v>0.0</v>
      </c>
      <c r="E317" s="331">
        <v>0.0</v>
      </c>
      <c r="F317" s="331">
        <v>0.0</v>
      </c>
      <c r="G317" s="331">
        <v>0.0</v>
      </c>
      <c r="H317" s="331">
        <v>0.0</v>
      </c>
      <c r="I317" s="331">
        <v>0.0</v>
      </c>
      <c r="J317" s="331">
        <v>0.0</v>
      </c>
      <c r="K317" s="331">
        <v>0.0</v>
      </c>
      <c r="L317" s="331">
        <v>3.0</v>
      </c>
      <c r="M317" s="331">
        <v>0.0</v>
      </c>
      <c r="N317" s="331">
        <v>0.0</v>
      </c>
      <c r="O317" s="331">
        <v>0.0</v>
      </c>
      <c r="P317" s="331">
        <v>0.0</v>
      </c>
      <c r="Q317" s="331">
        <v>0.0</v>
      </c>
      <c r="R317" s="331">
        <v>0.0</v>
      </c>
      <c r="S317" s="331">
        <v>0.0</v>
      </c>
      <c r="T317" s="331">
        <v>0.0</v>
      </c>
      <c r="U317" s="331">
        <v>0.0</v>
      </c>
      <c r="V317" s="331">
        <v>0.0</v>
      </c>
      <c r="W317" s="331">
        <v>0.0</v>
      </c>
      <c r="X317" s="331">
        <v>0.0</v>
      </c>
      <c r="Y317" s="331">
        <v>0.0</v>
      </c>
      <c r="Z317" s="331">
        <v>0.0</v>
      </c>
      <c r="AA317" s="331">
        <v>0.0</v>
      </c>
      <c r="AB317" s="331">
        <v>0.0</v>
      </c>
      <c r="AC317" s="331">
        <v>0.0</v>
      </c>
      <c r="AD317" s="331">
        <v>0.0</v>
      </c>
      <c r="AE317" s="331">
        <v>0.0</v>
      </c>
      <c r="AF317" s="155">
        <f t="shared" ref="AF317:AF325" si="109">SUM(B317:AE317)</f>
        <v>3</v>
      </c>
    </row>
    <row r="318" outlineLevel="1">
      <c r="A318" s="116" t="s">
        <v>267</v>
      </c>
      <c r="B318" s="331">
        <v>0.0</v>
      </c>
      <c r="C318" s="331">
        <v>0.0</v>
      </c>
      <c r="D318" s="331">
        <v>0.0</v>
      </c>
      <c r="E318" s="331">
        <v>0.0</v>
      </c>
      <c r="F318" s="331">
        <v>0.0</v>
      </c>
      <c r="G318" s="331">
        <v>0.0</v>
      </c>
      <c r="H318" s="331">
        <v>0.0</v>
      </c>
      <c r="I318" s="331">
        <v>0.0</v>
      </c>
      <c r="J318" s="331">
        <v>0.0</v>
      </c>
      <c r="K318" s="331">
        <v>0.0</v>
      </c>
      <c r="L318" s="331">
        <v>2.0</v>
      </c>
      <c r="M318" s="331">
        <v>0.0</v>
      </c>
      <c r="N318" s="331">
        <v>0.0</v>
      </c>
      <c r="O318" s="331">
        <v>0.0</v>
      </c>
      <c r="P318" s="331">
        <v>0.0</v>
      </c>
      <c r="Q318" s="331">
        <v>0.0</v>
      </c>
      <c r="R318" s="331">
        <v>0.0</v>
      </c>
      <c r="S318" s="331">
        <v>0.0</v>
      </c>
      <c r="T318" s="331">
        <v>0.0</v>
      </c>
      <c r="U318" s="331">
        <v>0.0</v>
      </c>
      <c r="V318" s="331">
        <v>0.0</v>
      </c>
      <c r="W318" s="331">
        <v>0.0</v>
      </c>
      <c r="X318" s="331">
        <v>0.0</v>
      </c>
      <c r="Y318" s="331">
        <v>0.0</v>
      </c>
      <c r="Z318" s="331">
        <v>1.0</v>
      </c>
      <c r="AA318" s="331">
        <v>0.0</v>
      </c>
      <c r="AB318" s="331">
        <v>0.0</v>
      </c>
      <c r="AC318" s="331">
        <v>0.0</v>
      </c>
      <c r="AD318" s="331">
        <v>0.0</v>
      </c>
      <c r="AE318" s="331">
        <v>0.0</v>
      </c>
      <c r="AF318" s="155">
        <f t="shared" si="109"/>
        <v>3</v>
      </c>
    </row>
    <row r="319" outlineLevel="1">
      <c r="A319" s="116" t="s">
        <v>520</v>
      </c>
      <c r="B319" s="331">
        <v>0.0</v>
      </c>
      <c r="C319" s="331">
        <v>0.0</v>
      </c>
      <c r="D319" s="331">
        <v>0.0</v>
      </c>
      <c r="E319" s="331">
        <v>0.0</v>
      </c>
      <c r="F319" s="331">
        <v>0.0</v>
      </c>
      <c r="G319" s="331">
        <v>0.0</v>
      </c>
      <c r="H319" s="331">
        <v>0.0</v>
      </c>
      <c r="I319" s="331">
        <v>0.0</v>
      </c>
      <c r="J319" s="331">
        <v>0.0</v>
      </c>
      <c r="K319" s="331">
        <v>0.0</v>
      </c>
      <c r="L319" s="331">
        <v>0.0</v>
      </c>
      <c r="M319" s="331">
        <v>0.0</v>
      </c>
      <c r="N319" s="331">
        <v>0.0</v>
      </c>
      <c r="O319" s="331">
        <v>0.0</v>
      </c>
      <c r="P319" s="331">
        <v>0.0</v>
      </c>
      <c r="Q319" s="331">
        <v>0.0</v>
      </c>
      <c r="R319" s="331">
        <v>0.0</v>
      </c>
      <c r="S319" s="331">
        <v>1.0</v>
      </c>
      <c r="T319" s="331">
        <v>0.0</v>
      </c>
      <c r="U319" s="331">
        <v>0.0</v>
      </c>
      <c r="V319" s="331">
        <v>0.0</v>
      </c>
      <c r="W319" s="331">
        <v>0.0</v>
      </c>
      <c r="X319" s="331">
        <v>0.0</v>
      </c>
      <c r="Y319" s="331">
        <v>0.0</v>
      </c>
      <c r="Z319" s="331">
        <v>0.0</v>
      </c>
      <c r="AA319" s="331">
        <v>0.0</v>
      </c>
      <c r="AB319" s="331">
        <v>0.0</v>
      </c>
      <c r="AC319" s="331">
        <v>0.0</v>
      </c>
      <c r="AD319" s="331">
        <v>0.0</v>
      </c>
      <c r="AE319" s="331">
        <v>0.0</v>
      </c>
      <c r="AF319" s="155">
        <f t="shared" si="109"/>
        <v>1</v>
      </c>
    </row>
    <row r="320" outlineLevel="1">
      <c r="A320" s="116" t="s">
        <v>521</v>
      </c>
      <c r="B320" s="331">
        <v>0.0</v>
      </c>
      <c r="C320" s="331">
        <v>0.0</v>
      </c>
      <c r="D320" s="331">
        <v>0.0</v>
      </c>
      <c r="E320" s="331">
        <v>0.0</v>
      </c>
      <c r="F320" s="331">
        <v>0.0</v>
      </c>
      <c r="G320" s="331">
        <v>0.0</v>
      </c>
      <c r="H320" s="331">
        <v>0.0</v>
      </c>
      <c r="I320" s="331">
        <v>0.0</v>
      </c>
      <c r="J320" s="331">
        <v>0.0</v>
      </c>
      <c r="K320" s="331">
        <v>0.0</v>
      </c>
      <c r="L320" s="331">
        <v>0.0</v>
      </c>
      <c r="M320" s="331">
        <v>0.0</v>
      </c>
      <c r="N320" s="331">
        <v>0.0</v>
      </c>
      <c r="O320" s="331">
        <v>0.0</v>
      </c>
      <c r="P320" s="331">
        <v>0.0</v>
      </c>
      <c r="Q320" s="331">
        <v>0.0</v>
      </c>
      <c r="R320" s="331">
        <v>0.0</v>
      </c>
      <c r="S320" s="331">
        <v>0.0</v>
      </c>
      <c r="T320" s="331">
        <v>0.0</v>
      </c>
      <c r="U320" s="331">
        <v>0.0</v>
      </c>
      <c r="V320" s="331">
        <v>0.0</v>
      </c>
      <c r="W320" s="331">
        <v>0.0</v>
      </c>
      <c r="X320" s="331">
        <v>0.0</v>
      </c>
      <c r="Y320" s="331">
        <v>0.0</v>
      </c>
      <c r="Z320" s="331">
        <v>0.0</v>
      </c>
      <c r="AA320" s="331">
        <v>0.0</v>
      </c>
      <c r="AB320" s="331">
        <v>0.0</v>
      </c>
      <c r="AC320" s="331">
        <v>0.0</v>
      </c>
      <c r="AD320" s="331">
        <v>0.0</v>
      </c>
      <c r="AE320" s="331">
        <v>0.0</v>
      </c>
      <c r="AF320" s="155">
        <f t="shared" si="109"/>
        <v>0</v>
      </c>
    </row>
    <row r="321" outlineLevel="1">
      <c r="A321" s="116" t="s">
        <v>522</v>
      </c>
      <c r="B321" s="331">
        <v>0.0</v>
      </c>
      <c r="C321" s="331">
        <v>0.0</v>
      </c>
      <c r="D321" s="331">
        <v>0.0</v>
      </c>
      <c r="E321" s="331">
        <v>0.0</v>
      </c>
      <c r="F321" s="331">
        <v>0.0</v>
      </c>
      <c r="G321" s="331">
        <v>0.0</v>
      </c>
      <c r="H321" s="331">
        <v>0.0</v>
      </c>
      <c r="I321" s="331">
        <v>0.0</v>
      </c>
      <c r="J321" s="331">
        <v>0.0</v>
      </c>
      <c r="K321" s="331">
        <v>0.0</v>
      </c>
      <c r="L321" s="331">
        <v>2.0</v>
      </c>
      <c r="M321" s="331">
        <v>0.0</v>
      </c>
      <c r="N321" s="331">
        <v>0.0</v>
      </c>
      <c r="O321" s="331">
        <v>0.0</v>
      </c>
      <c r="P321" s="331">
        <v>0.0</v>
      </c>
      <c r="Q321" s="331">
        <v>0.0</v>
      </c>
      <c r="R321" s="331">
        <v>0.0</v>
      </c>
      <c r="S321" s="331">
        <v>0.0</v>
      </c>
      <c r="T321" s="331">
        <v>0.0</v>
      </c>
      <c r="U321" s="331">
        <v>0.0</v>
      </c>
      <c r="V321" s="331">
        <v>0.0</v>
      </c>
      <c r="W321" s="331">
        <v>0.0</v>
      </c>
      <c r="X321" s="331">
        <v>0.0</v>
      </c>
      <c r="Y321" s="331">
        <v>0.0</v>
      </c>
      <c r="Z321" s="331">
        <v>16.0</v>
      </c>
      <c r="AA321" s="331">
        <v>0.0</v>
      </c>
      <c r="AB321" s="331">
        <v>0.0</v>
      </c>
      <c r="AC321" s="331">
        <v>0.0</v>
      </c>
      <c r="AD321" s="331">
        <v>0.0</v>
      </c>
      <c r="AE321" s="331">
        <v>0.0</v>
      </c>
      <c r="AF321" s="155">
        <f t="shared" si="109"/>
        <v>18</v>
      </c>
    </row>
    <row r="322" outlineLevel="1">
      <c r="A322" s="116" t="s">
        <v>523</v>
      </c>
      <c r="B322" s="331">
        <v>0.0</v>
      </c>
      <c r="C322" s="331">
        <v>0.0</v>
      </c>
      <c r="D322" s="331">
        <v>0.0</v>
      </c>
      <c r="E322" s="331">
        <v>0.0</v>
      </c>
      <c r="F322" s="331">
        <v>0.0</v>
      </c>
      <c r="G322" s="331">
        <v>0.0</v>
      </c>
      <c r="H322" s="331">
        <v>0.0</v>
      </c>
      <c r="I322" s="331">
        <v>0.0</v>
      </c>
      <c r="J322" s="331">
        <v>0.0</v>
      </c>
      <c r="K322" s="331">
        <v>0.0</v>
      </c>
      <c r="L322" s="331">
        <v>0.0</v>
      </c>
      <c r="M322" s="331">
        <v>0.0</v>
      </c>
      <c r="N322" s="331">
        <v>0.0</v>
      </c>
      <c r="O322" s="331">
        <v>0.0</v>
      </c>
      <c r="P322" s="331">
        <v>0.0</v>
      </c>
      <c r="Q322" s="331">
        <v>0.0</v>
      </c>
      <c r="R322" s="331">
        <v>0.0</v>
      </c>
      <c r="S322" s="331">
        <v>0.0</v>
      </c>
      <c r="T322" s="331">
        <v>0.0</v>
      </c>
      <c r="U322" s="331">
        <v>0.0</v>
      </c>
      <c r="V322" s="331">
        <v>0.0</v>
      </c>
      <c r="W322" s="331">
        <v>0.0</v>
      </c>
      <c r="X322" s="331">
        <v>0.0</v>
      </c>
      <c r="Y322" s="331">
        <v>0.0</v>
      </c>
      <c r="Z322" s="331">
        <v>3.0</v>
      </c>
      <c r="AA322" s="331">
        <v>0.0</v>
      </c>
      <c r="AB322" s="331">
        <v>0.0</v>
      </c>
      <c r="AC322" s="331">
        <v>0.0</v>
      </c>
      <c r="AD322" s="331">
        <v>0.0</v>
      </c>
      <c r="AE322" s="331">
        <v>0.0</v>
      </c>
      <c r="AF322" s="155">
        <f t="shared" si="109"/>
        <v>3</v>
      </c>
    </row>
    <row r="323" outlineLevel="1">
      <c r="A323" s="116" t="s">
        <v>524</v>
      </c>
      <c r="B323" s="331">
        <v>0.0</v>
      </c>
      <c r="C323" s="331">
        <v>0.0</v>
      </c>
      <c r="D323" s="331">
        <v>0.0</v>
      </c>
      <c r="E323" s="331">
        <v>0.0</v>
      </c>
      <c r="F323" s="331">
        <v>0.0</v>
      </c>
      <c r="G323" s="331">
        <v>0.0</v>
      </c>
      <c r="H323" s="331">
        <v>0.0</v>
      </c>
      <c r="I323" s="331">
        <v>0.0</v>
      </c>
      <c r="J323" s="331">
        <v>0.0</v>
      </c>
      <c r="K323" s="331">
        <v>0.0</v>
      </c>
      <c r="L323" s="331">
        <v>0.0</v>
      </c>
      <c r="M323" s="331">
        <v>0.0</v>
      </c>
      <c r="N323" s="331">
        <v>0.0</v>
      </c>
      <c r="O323" s="331">
        <v>0.0</v>
      </c>
      <c r="P323" s="331">
        <v>0.0</v>
      </c>
      <c r="Q323" s="331">
        <v>0.0</v>
      </c>
      <c r="R323" s="331">
        <v>0.0</v>
      </c>
      <c r="S323" s="331">
        <v>0.0</v>
      </c>
      <c r="T323" s="331">
        <v>0.0</v>
      </c>
      <c r="U323" s="331">
        <v>0.0</v>
      </c>
      <c r="V323" s="331">
        <v>0.0</v>
      </c>
      <c r="W323" s="331">
        <v>0.0</v>
      </c>
      <c r="X323" s="331">
        <v>0.0</v>
      </c>
      <c r="Y323" s="331">
        <v>0.0</v>
      </c>
      <c r="Z323" s="331">
        <v>0.0</v>
      </c>
      <c r="AA323" s="331">
        <v>0.0</v>
      </c>
      <c r="AB323" s="331">
        <v>0.0</v>
      </c>
      <c r="AC323" s="331">
        <v>0.0</v>
      </c>
      <c r="AD323" s="331">
        <v>0.0</v>
      </c>
      <c r="AE323" s="331">
        <v>0.0</v>
      </c>
      <c r="AF323" s="155">
        <f t="shared" si="109"/>
        <v>0</v>
      </c>
    </row>
    <row r="324" outlineLevel="1">
      <c r="A324" s="116" t="s">
        <v>525</v>
      </c>
      <c r="B324" s="331">
        <v>0.0</v>
      </c>
      <c r="C324" s="331">
        <v>0.0</v>
      </c>
      <c r="D324" s="331">
        <v>0.0</v>
      </c>
      <c r="E324" s="331">
        <v>0.0</v>
      </c>
      <c r="F324" s="331">
        <v>0.0</v>
      </c>
      <c r="G324" s="331">
        <v>0.0</v>
      </c>
      <c r="H324" s="331">
        <v>0.0</v>
      </c>
      <c r="I324" s="331">
        <v>0.0</v>
      </c>
      <c r="J324" s="331">
        <v>0.0</v>
      </c>
      <c r="K324" s="331">
        <v>0.0</v>
      </c>
      <c r="L324" s="331">
        <v>0.0</v>
      </c>
      <c r="M324" s="331">
        <v>0.0</v>
      </c>
      <c r="N324" s="331">
        <v>0.0</v>
      </c>
      <c r="O324" s="331">
        <v>0.0</v>
      </c>
      <c r="P324" s="331">
        <v>0.0</v>
      </c>
      <c r="Q324" s="331">
        <v>0.0</v>
      </c>
      <c r="R324" s="331">
        <v>0.0</v>
      </c>
      <c r="S324" s="331">
        <v>0.0</v>
      </c>
      <c r="T324" s="331">
        <v>0.0</v>
      </c>
      <c r="U324" s="331">
        <v>0.0</v>
      </c>
      <c r="V324" s="331">
        <v>0.0</v>
      </c>
      <c r="W324" s="331">
        <v>0.0</v>
      </c>
      <c r="X324" s="331">
        <v>0.0</v>
      </c>
      <c r="Y324" s="331">
        <v>0.0</v>
      </c>
      <c r="Z324" s="331">
        <v>0.0</v>
      </c>
      <c r="AA324" s="331">
        <v>0.0</v>
      </c>
      <c r="AB324" s="331">
        <v>0.0</v>
      </c>
      <c r="AC324" s="331">
        <v>0.0</v>
      </c>
      <c r="AD324" s="331">
        <v>0.0</v>
      </c>
      <c r="AE324" s="331">
        <v>0.0</v>
      </c>
      <c r="AF324" s="155">
        <f t="shared" si="109"/>
        <v>0</v>
      </c>
    </row>
    <row r="325">
      <c r="A325" s="271" t="s">
        <v>159</v>
      </c>
      <c r="B325" s="578">
        <f t="shared" ref="B325:AE325" si="110">SUM(B317:B324)</f>
        <v>0</v>
      </c>
      <c r="C325" s="578">
        <f t="shared" si="110"/>
        <v>0</v>
      </c>
      <c r="D325" s="578">
        <f t="shared" si="110"/>
        <v>0</v>
      </c>
      <c r="E325" s="578">
        <f t="shared" si="110"/>
        <v>0</v>
      </c>
      <c r="F325" s="578">
        <f t="shared" si="110"/>
        <v>0</v>
      </c>
      <c r="G325" s="578">
        <f t="shared" si="110"/>
        <v>0</v>
      </c>
      <c r="H325" s="578">
        <f t="shared" si="110"/>
        <v>0</v>
      </c>
      <c r="I325" s="578">
        <f t="shared" si="110"/>
        <v>0</v>
      </c>
      <c r="J325" s="578">
        <f t="shared" si="110"/>
        <v>0</v>
      </c>
      <c r="K325" s="578">
        <f t="shared" si="110"/>
        <v>0</v>
      </c>
      <c r="L325" s="578">
        <f t="shared" si="110"/>
        <v>7</v>
      </c>
      <c r="M325" s="578">
        <f t="shared" si="110"/>
        <v>0</v>
      </c>
      <c r="N325" s="578">
        <f t="shared" si="110"/>
        <v>0</v>
      </c>
      <c r="O325" s="578">
        <f t="shared" si="110"/>
        <v>0</v>
      </c>
      <c r="P325" s="578">
        <f t="shared" si="110"/>
        <v>0</v>
      </c>
      <c r="Q325" s="578">
        <f t="shared" si="110"/>
        <v>0</v>
      </c>
      <c r="R325" s="578">
        <f t="shared" si="110"/>
        <v>0</v>
      </c>
      <c r="S325" s="578">
        <f t="shared" si="110"/>
        <v>1</v>
      </c>
      <c r="T325" s="578">
        <f t="shared" si="110"/>
        <v>0</v>
      </c>
      <c r="U325" s="578">
        <f t="shared" si="110"/>
        <v>0</v>
      </c>
      <c r="V325" s="578">
        <f t="shared" si="110"/>
        <v>0</v>
      </c>
      <c r="W325" s="578">
        <f t="shared" si="110"/>
        <v>0</v>
      </c>
      <c r="X325" s="578">
        <f t="shared" si="110"/>
        <v>0</v>
      </c>
      <c r="Y325" s="578">
        <f t="shared" si="110"/>
        <v>0</v>
      </c>
      <c r="Z325" s="578">
        <f t="shared" si="110"/>
        <v>20</v>
      </c>
      <c r="AA325" s="578">
        <f t="shared" si="110"/>
        <v>0</v>
      </c>
      <c r="AB325" s="578">
        <f t="shared" si="110"/>
        <v>0</v>
      </c>
      <c r="AC325" s="578">
        <f t="shared" si="110"/>
        <v>0</v>
      </c>
      <c r="AD325" s="578">
        <f t="shared" si="110"/>
        <v>0</v>
      </c>
      <c r="AE325" s="578">
        <f t="shared" si="110"/>
        <v>0</v>
      </c>
      <c r="AF325" s="155">
        <f t="shared" si="109"/>
        <v>28</v>
      </c>
    </row>
    <row r="326">
      <c r="A326" s="24"/>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258"/>
    </row>
    <row r="327">
      <c r="A327" s="116" t="s">
        <v>456</v>
      </c>
      <c r="B327" s="583"/>
      <c r="C327" s="583"/>
      <c r="D327" s="583"/>
      <c r="E327" s="583"/>
      <c r="F327" s="583"/>
      <c r="G327" s="583"/>
      <c r="H327" s="583"/>
      <c r="I327" s="583"/>
      <c r="J327" s="583"/>
      <c r="K327" s="583"/>
      <c r="L327" s="583"/>
      <c r="M327" s="583"/>
      <c r="N327" s="583"/>
      <c r="O327" s="583"/>
      <c r="P327" s="583"/>
      <c r="Q327" s="583"/>
      <c r="R327" s="583"/>
      <c r="S327" s="583"/>
      <c r="T327" s="583"/>
      <c r="U327" s="583"/>
      <c r="V327" s="583"/>
      <c r="W327" s="583"/>
      <c r="X327" s="583"/>
      <c r="Y327" s="583"/>
      <c r="Z327" s="583"/>
      <c r="AA327" s="583"/>
      <c r="AB327" s="583"/>
      <c r="AC327" s="583"/>
      <c r="AD327" s="583"/>
      <c r="AE327" s="583"/>
      <c r="AF327" s="258"/>
    </row>
    <row r="328" outlineLevel="1">
      <c r="A328" s="116" t="s">
        <v>266</v>
      </c>
      <c r="B328" s="331">
        <v>0.0</v>
      </c>
      <c r="C328" s="331">
        <v>0.0</v>
      </c>
      <c r="D328" s="331">
        <v>0.0</v>
      </c>
      <c r="E328" s="331">
        <v>0.0</v>
      </c>
      <c r="F328" s="331">
        <v>0.0</v>
      </c>
      <c r="G328" s="331">
        <v>0.0</v>
      </c>
      <c r="H328" s="331">
        <v>0.0</v>
      </c>
      <c r="I328" s="331">
        <v>0.0</v>
      </c>
      <c r="J328" s="331">
        <v>0.0</v>
      </c>
      <c r="K328" s="331">
        <v>0.0</v>
      </c>
      <c r="L328" s="331">
        <v>0.0</v>
      </c>
      <c r="M328" s="331">
        <v>3.0</v>
      </c>
      <c r="N328" s="331">
        <v>0.0</v>
      </c>
      <c r="O328" s="331">
        <v>0.0</v>
      </c>
      <c r="P328" s="331">
        <v>0.0</v>
      </c>
      <c r="Q328" s="331">
        <v>0.0</v>
      </c>
      <c r="R328" s="331">
        <v>0.0</v>
      </c>
      <c r="S328" s="331">
        <v>0.0</v>
      </c>
      <c r="T328" s="331">
        <v>0.0</v>
      </c>
      <c r="U328" s="331">
        <v>0.0</v>
      </c>
      <c r="V328" s="331">
        <v>0.0</v>
      </c>
      <c r="W328" s="331">
        <v>0.0</v>
      </c>
      <c r="X328" s="331">
        <v>0.0</v>
      </c>
      <c r="Y328" s="331">
        <v>0.0</v>
      </c>
      <c r="Z328" s="331">
        <v>0.0</v>
      </c>
      <c r="AA328" s="331">
        <v>2.0</v>
      </c>
      <c r="AB328" s="331">
        <v>0.0</v>
      </c>
      <c r="AC328" s="331">
        <v>0.0</v>
      </c>
      <c r="AD328" s="331">
        <v>0.0</v>
      </c>
      <c r="AE328" s="331">
        <v>0.0</v>
      </c>
      <c r="AF328" s="155">
        <f t="shared" ref="AF328:AF336" si="111">SUM(B328:AE328)</f>
        <v>5</v>
      </c>
    </row>
    <row r="329" outlineLevel="1">
      <c r="A329" s="116" t="s">
        <v>267</v>
      </c>
      <c r="B329" s="331">
        <v>0.0</v>
      </c>
      <c r="C329" s="331">
        <v>0.0</v>
      </c>
      <c r="D329" s="331">
        <v>0.0</v>
      </c>
      <c r="E329" s="331">
        <v>0.0</v>
      </c>
      <c r="F329" s="331">
        <v>0.0</v>
      </c>
      <c r="G329" s="331">
        <v>0.0</v>
      </c>
      <c r="H329" s="331">
        <v>0.0</v>
      </c>
      <c r="I329" s="331">
        <v>0.0</v>
      </c>
      <c r="J329" s="331">
        <v>0.0</v>
      </c>
      <c r="K329" s="331">
        <v>0.0</v>
      </c>
      <c r="L329" s="331">
        <v>0.0</v>
      </c>
      <c r="M329" s="331">
        <v>3.0</v>
      </c>
      <c r="N329" s="331">
        <v>0.0</v>
      </c>
      <c r="O329" s="331">
        <v>0.0</v>
      </c>
      <c r="P329" s="331">
        <v>0.0</v>
      </c>
      <c r="Q329" s="331">
        <v>0.0</v>
      </c>
      <c r="R329" s="331">
        <v>0.0</v>
      </c>
      <c r="S329" s="331">
        <v>0.0</v>
      </c>
      <c r="T329" s="331">
        <v>0.0</v>
      </c>
      <c r="U329" s="331">
        <v>0.0</v>
      </c>
      <c r="V329" s="331">
        <v>0.0</v>
      </c>
      <c r="W329" s="331">
        <v>0.0</v>
      </c>
      <c r="X329" s="331">
        <v>0.0</v>
      </c>
      <c r="Y329" s="331">
        <v>0.0</v>
      </c>
      <c r="Z329" s="331">
        <v>0.0</v>
      </c>
      <c r="AA329" s="331">
        <v>0.0</v>
      </c>
      <c r="AB329" s="331">
        <v>0.0</v>
      </c>
      <c r="AC329" s="331">
        <v>0.0</v>
      </c>
      <c r="AD329" s="331">
        <v>0.0</v>
      </c>
      <c r="AE329" s="331">
        <v>0.0</v>
      </c>
      <c r="AF329" s="155">
        <f t="shared" si="111"/>
        <v>3</v>
      </c>
    </row>
    <row r="330" outlineLevel="1">
      <c r="A330" s="116" t="s">
        <v>526</v>
      </c>
      <c r="B330" s="331">
        <v>0.0</v>
      </c>
      <c r="C330" s="331">
        <v>0.0</v>
      </c>
      <c r="D330" s="331">
        <v>0.0</v>
      </c>
      <c r="E330" s="331">
        <v>0.0</v>
      </c>
      <c r="F330" s="331">
        <v>0.0</v>
      </c>
      <c r="G330" s="331">
        <v>0.0</v>
      </c>
      <c r="H330" s="331">
        <v>0.0</v>
      </c>
      <c r="I330" s="331">
        <v>0.0</v>
      </c>
      <c r="J330" s="331">
        <v>0.0</v>
      </c>
      <c r="K330" s="331">
        <v>0.0</v>
      </c>
      <c r="L330" s="331">
        <v>0.0</v>
      </c>
      <c r="M330" s="331">
        <v>0.0</v>
      </c>
      <c r="N330" s="331">
        <v>0.0</v>
      </c>
      <c r="O330" s="331">
        <v>0.0</v>
      </c>
      <c r="P330" s="331">
        <v>0.0</v>
      </c>
      <c r="Q330" s="331">
        <v>0.0</v>
      </c>
      <c r="R330" s="331">
        <v>0.0</v>
      </c>
      <c r="S330" s="331">
        <v>0.0</v>
      </c>
      <c r="T330" s="331">
        <v>0.0</v>
      </c>
      <c r="U330" s="331">
        <v>0.0</v>
      </c>
      <c r="V330" s="331">
        <v>0.0</v>
      </c>
      <c r="W330" s="331">
        <v>0.0</v>
      </c>
      <c r="X330" s="331">
        <v>0.0</v>
      </c>
      <c r="Y330" s="331">
        <v>0.0</v>
      </c>
      <c r="Z330" s="331">
        <v>0.0</v>
      </c>
      <c r="AA330" s="331">
        <v>0.0</v>
      </c>
      <c r="AB330" s="331">
        <v>0.0</v>
      </c>
      <c r="AC330" s="331">
        <v>0.0</v>
      </c>
      <c r="AD330" s="331">
        <v>0.0</v>
      </c>
      <c r="AE330" s="331">
        <v>0.0</v>
      </c>
      <c r="AF330" s="155">
        <f t="shared" si="111"/>
        <v>0</v>
      </c>
    </row>
    <row r="331" outlineLevel="1">
      <c r="A331" s="116" t="s">
        <v>527</v>
      </c>
      <c r="B331" s="331">
        <v>0.0</v>
      </c>
      <c r="C331" s="331">
        <v>0.0</v>
      </c>
      <c r="D331" s="331">
        <v>0.0</v>
      </c>
      <c r="E331" s="331">
        <v>0.0</v>
      </c>
      <c r="F331" s="331">
        <v>0.0</v>
      </c>
      <c r="G331" s="331">
        <v>0.0</v>
      </c>
      <c r="H331" s="331">
        <v>0.0</v>
      </c>
      <c r="I331" s="331">
        <v>0.0</v>
      </c>
      <c r="J331" s="331">
        <v>0.0</v>
      </c>
      <c r="K331" s="331">
        <v>0.0</v>
      </c>
      <c r="L331" s="331">
        <v>0.0</v>
      </c>
      <c r="M331" s="331">
        <v>0.0</v>
      </c>
      <c r="N331" s="331">
        <v>0.0</v>
      </c>
      <c r="O331" s="331">
        <v>0.0</v>
      </c>
      <c r="P331" s="331">
        <v>0.0</v>
      </c>
      <c r="Q331" s="331">
        <v>0.0</v>
      </c>
      <c r="R331" s="331">
        <v>0.0</v>
      </c>
      <c r="S331" s="331">
        <v>0.0</v>
      </c>
      <c r="T331" s="331">
        <v>0.0</v>
      </c>
      <c r="U331" s="331">
        <v>0.0</v>
      </c>
      <c r="V331" s="331">
        <v>0.0</v>
      </c>
      <c r="W331" s="331">
        <v>0.0</v>
      </c>
      <c r="X331" s="331">
        <v>0.0</v>
      </c>
      <c r="Y331" s="331">
        <v>0.0</v>
      </c>
      <c r="Z331" s="331">
        <v>0.0</v>
      </c>
      <c r="AA331" s="331">
        <v>0.0</v>
      </c>
      <c r="AB331" s="331">
        <v>0.0</v>
      </c>
      <c r="AC331" s="331">
        <v>0.0</v>
      </c>
      <c r="AD331" s="331">
        <v>0.0</v>
      </c>
      <c r="AE331" s="331">
        <v>0.0</v>
      </c>
      <c r="AF331" s="155">
        <f t="shared" si="111"/>
        <v>0</v>
      </c>
    </row>
    <row r="332" outlineLevel="1">
      <c r="A332" s="116" t="s">
        <v>529</v>
      </c>
      <c r="B332" s="331">
        <v>0.0</v>
      </c>
      <c r="C332" s="331">
        <v>0.0</v>
      </c>
      <c r="D332" s="331">
        <v>0.0</v>
      </c>
      <c r="E332" s="331">
        <v>0.0</v>
      </c>
      <c r="F332" s="331">
        <v>0.0</v>
      </c>
      <c r="G332" s="331">
        <v>0.0</v>
      </c>
      <c r="H332" s="331">
        <v>0.0</v>
      </c>
      <c r="I332" s="331">
        <v>0.0</v>
      </c>
      <c r="J332" s="331">
        <v>0.0</v>
      </c>
      <c r="K332" s="331">
        <v>0.0</v>
      </c>
      <c r="L332" s="331">
        <v>0.0</v>
      </c>
      <c r="M332" s="331">
        <v>0.0</v>
      </c>
      <c r="N332" s="331">
        <v>0.0</v>
      </c>
      <c r="O332" s="331">
        <v>0.0</v>
      </c>
      <c r="P332" s="331">
        <v>0.0</v>
      </c>
      <c r="Q332" s="331">
        <v>0.0</v>
      </c>
      <c r="R332" s="331">
        <v>0.0</v>
      </c>
      <c r="S332" s="331">
        <v>0.0</v>
      </c>
      <c r="T332" s="331">
        <v>0.0</v>
      </c>
      <c r="U332" s="331">
        <v>0.0</v>
      </c>
      <c r="V332" s="331">
        <v>0.0</v>
      </c>
      <c r="W332" s="331">
        <v>0.0</v>
      </c>
      <c r="X332" s="331">
        <v>0.0</v>
      </c>
      <c r="Y332" s="331">
        <v>0.0</v>
      </c>
      <c r="Z332" s="331">
        <v>0.0</v>
      </c>
      <c r="AA332" s="331">
        <v>7.0</v>
      </c>
      <c r="AB332" s="331">
        <v>0.0</v>
      </c>
      <c r="AC332" s="331">
        <v>0.0</v>
      </c>
      <c r="AD332" s="331">
        <v>0.0</v>
      </c>
      <c r="AE332" s="331">
        <v>0.0</v>
      </c>
      <c r="AF332" s="155">
        <f t="shared" si="111"/>
        <v>7</v>
      </c>
    </row>
    <row r="333" outlineLevel="1">
      <c r="A333" s="116" t="s">
        <v>530</v>
      </c>
      <c r="B333" s="331">
        <v>0.0</v>
      </c>
      <c r="C333" s="331">
        <v>0.0</v>
      </c>
      <c r="D333" s="331">
        <v>0.0</v>
      </c>
      <c r="E333" s="331">
        <v>0.0</v>
      </c>
      <c r="F333" s="331">
        <v>0.0</v>
      </c>
      <c r="G333" s="331">
        <v>0.0</v>
      </c>
      <c r="H333" s="331">
        <v>0.0</v>
      </c>
      <c r="I333" s="331">
        <v>0.0</v>
      </c>
      <c r="J333" s="331">
        <v>0.0</v>
      </c>
      <c r="K333" s="331">
        <v>0.0</v>
      </c>
      <c r="L333" s="331">
        <v>0.0</v>
      </c>
      <c r="M333" s="331">
        <v>0.0</v>
      </c>
      <c r="N333" s="331">
        <v>0.0</v>
      </c>
      <c r="O333" s="331">
        <v>0.0</v>
      </c>
      <c r="P333" s="331">
        <v>0.0</v>
      </c>
      <c r="Q333" s="331">
        <v>0.0</v>
      </c>
      <c r="R333" s="331">
        <v>0.0</v>
      </c>
      <c r="S333" s="331">
        <v>0.0</v>
      </c>
      <c r="T333" s="331">
        <v>0.0</v>
      </c>
      <c r="U333" s="331">
        <v>0.0</v>
      </c>
      <c r="V333" s="331">
        <v>0.0</v>
      </c>
      <c r="W333" s="331">
        <v>0.0</v>
      </c>
      <c r="X333" s="331">
        <v>0.0</v>
      </c>
      <c r="Y333" s="331">
        <v>0.0</v>
      </c>
      <c r="Z333" s="331">
        <v>0.0</v>
      </c>
      <c r="AA333" s="331">
        <v>2.0</v>
      </c>
      <c r="AB333" s="331">
        <v>0.0</v>
      </c>
      <c r="AC333" s="331">
        <v>0.0</v>
      </c>
      <c r="AD333" s="331">
        <v>0.0</v>
      </c>
      <c r="AE333" s="331">
        <v>0.0</v>
      </c>
      <c r="AF333" s="155">
        <f t="shared" si="111"/>
        <v>2</v>
      </c>
    </row>
    <row r="334" outlineLevel="1">
      <c r="A334" s="116" t="s">
        <v>531</v>
      </c>
      <c r="B334" s="331">
        <v>0.0</v>
      </c>
      <c r="C334" s="331">
        <v>0.0</v>
      </c>
      <c r="D334" s="331">
        <v>0.0</v>
      </c>
      <c r="E334" s="331">
        <v>0.0</v>
      </c>
      <c r="F334" s="331">
        <v>0.0</v>
      </c>
      <c r="G334" s="331">
        <v>0.0</v>
      </c>
      <c r="H334" s="331">
        <v>0.0</v>
      </c>
      <c r="I334" s="331">
        <v>0.0</v>
      </c>
      <c r="J334" s="331">
        <v>0.0</v>
      </c>
      <c r="K334" s="331">
        <v>0.0</v>
      </c>
      <c r="L334" s="331">
        <v>0.0</v>
      </c>
      <c r="M334" s="331">
        <v>0.0</v>
      </c>
      <c r="N334" s="331">
        <v>0.0</v>
      </c>
      <c r="O334" s="331">
        <v>0.0</v>
      </c>
      <c r="P334" s="331">
        <v>0.0</v>
      </c>
      <c r="Q334" s="331">
        <v>0.0</v>
      </c>
      <c r="R334" s="331">
        <v>0.0</v>
      </c>
      <c r="S334" s="331">
        <v>0.0</v>
      </c>
      <c r="T334" s="331">
        <v>0.0</v>
      </c>
      <c r="U334" s="331">
        <v>0.0</v>
      </c>
      <c r="V334" s="331">
        <v>0.0</v>
      </c>
      <c r="W334" s="331">
        <v>0.0</v>
      </c>
      <c r="X334" s="331">
        <v>0.0</v>
      </c>
      <c r="Y334" s="331">
        <v>0.0</v>
      </c>
      <c r="Z334" s="331">
        <v>0.0</v>
      </c>
      <c r="AA334" s="331">
        <v>0.0</v>
      </c>
      <c r="AB334" s="331">
        <v>0.0</v>
      </c>
      <c r="AC334" s="331">
        <v>0.0</v>
      </c>
      <c r="AD334" s="331">
        <v>0.0</v>
      </c>
      <c r="AE334" s="331">
        <v>0.0</v>
      </c>
      <c r="AF334" s="155">
        <f t="shared" si="111"/>
        <v>0</v>
      </c>
    </row>
    <row r="335" outlineLevel="1">
      <c r="A335" s="116" t="s">
        <v>532</v>
      </c>
      <c r="B335" s="331">
        <v>0.0</v>
      </c>
      <c r="C335" s="331">
        <v>0.0</v>
      </c>
      <c r="D335" s="331">
        <v>0.0</v>
      </c>
      <c r="E335" s="331">
        <v>0.0</v>
      </c>
      <c r="F335" s="331">
        <v>0.0</v>
      </c>
      <c r="G335" s="331">
        <v>0.0</v>
      </c>
      <c r="H335" s="331">
        <v>0.0</v>
      </c>
      <c r="I335" s="331">
        <v>0.0</v>
      </c>
      <c r="J335" s="331">
        <v>0.0</v>
      </c>
      <c r="K335" s="331">
        <v>0.0</v>
      </c>
      <c r="L335" s="331">
        <v>0.0</v>
      </c>
      <c r="M335" s="331">
        <v>0.0</v>
      </c>
      <c r="N335" s="331">
        <v>0.0</v>
      </c>
      <c r="O335" s="331">
        <v>0.0</v>
      </c>
      <c r="P335" s="331">
        <v>0.0</v>
      </c>
      <c r="Q335" s="331">
        <v>0.0</v>
      </c>
      <c r="R335" s="331">
        <v>0.0</v>
      </c>
      <c r="S335" s="331">
        <v>0.0</v>
      </c>
      <c r="T335" s="331">
        <v>0.0</v>
      </c>
      <c r="U335" s="331">
        <v>0.0</v>
      </c>
      <c r="V335" s="331">
        <v>0.0</v>
      </c>
      <c r="W335" s="331">
        <v>0.0</v>
      </c>
      <c r="X335" s="331">
        <v>0.0</v>
      </c>
      <c r="Y335" s="331">
        <v>0.0</v>
      </c>
      <c r="Z335" s="331">
        <v>0.0</v>
      </c>
      <c r="AA335" s="331">
        <v>0.0</v>
      </c>
      <c r="AB335" s="331">
        <v>0.0</v>
      </c>
      <c r="AC335" s="331">
        <v>0.0</v>
      </c>
      <c r="AD335" s="331">
        <v>0.0</v>
      </c>
      <c r="AE335" s="331">
        <v>0.0</v>
      </c>
      <c r="AF335" s="155">
        <f t="shared" si="111"/>
        <v>0</v>
      </c>
    </row>
    <row r="336">
      <c r="A336" s="271" t="s">
        <v>159</v>
      </c>
      <c r="B336" s="578">
        <f t="shared" ref="B336:AE336" si="112">SUM(B328:B335)</f>
        <v>0</v>
      </c>
      <c r="C336" s="578">
        <f t="shared" si="112"/>
        <v>0</v>
      </c>
      <c r="D336" s="578">
        <f t="shared" si="112"/>
        <v>0</v>
      </c>
      <c r="E336" s="578">
        <f t="shared" si="112"/>
        <v>0</v>
      </c>
      <c r="F336" s="578">
        <f t="shared" si="112"/>
        <v>0</v>
      </c>
      <c r="G336" s="578">
        <f t="shared" si="112"/>
        <v>0</v>
      </c>
      <c r="H336" s="578">
        <f t="shared" si="112"/>
        <v>0</v>
      </c>
      <c r="I336" s="578">
        <f t="shared" si="112"/>
        <v>0</v>
      </c>
      <c r="J336" s="578">
        <f t="shared" si="112"/>
        <v>0</v>
      </c>
      <c r="K336" s="578">
        <f t="shared" si="112"/>
        <v>0</v>
      </c>
      <c r="L336" s="578">
        <f t="shared" si="112"/>
        <v>0</v>
      </c>
      <c r="M336" s="578">
        <f t="shared" si="112"/>
        <v>6</v>
      </c>
      <c r="N336" s="578">
        <f t="shared" si="112"/>
        <v>0</v>
      </c>
      <c r="O336" s="578">
        <f t="shared" si="112"/>
        <v>0</v>
      </c>
      <c r="P336" s="578">
        <f t="shared" si="112"/>
        <v>0</v>
      </c>
      <c r="Q336" s="578">
        <f t="shared" si="112"/>
        <v>0</v>
      </c>
      <c r="R336" s="578">
        <f t="shared" si="112"/>
        <v>0</v>
      </c>
      <c r="S336" s="578">
        <f t="shared" si="112"/>
        <v>0</v>
      </c>
      <c r="T336" s="578">
        <f t="shared" si="112"/>
        <v>0</v>
      </c>
      <c r="U336" s="578">
        <f t="shared" si="112"/>
        <v>0</v>
      </c>
      <c r="V336" s="578">
        <f t="shared" si="112"/>
        <v>0</v>
      </c>
      <c r="W336" s="578">
        <f t="shared" si="112"/>
        <v>0</v>
      </c>
      <c r="X336" s="578">
        <f t="shared" si="112"/>
        <v>0</v>
      </c>
      <c r="Y336" s="578">
        <f t="shared" si="112"/>
        <v>0</v>
      </c>
      <c r="Z336" s="578">
        <f t="shared" si="112"/>
        <v>0</v>
      </c>
      <c r="AA336" s="578">
        <f t="shared" si="112"/>
        <v>11</v>
      </c>
      <c r="AB336" s="578">
        <f t="shared" si="112"/>
        <v>0</v>
      </c>
      <c r="AC336" s="578">
        <f t="shared" si="112"/>
        <v>0</v>
      </c>
      <c r="AD336" s="578">
        <f t="shared" si="112"/>
        <v>0</v>
      </c>
      <c r="AE336" s="578">
        <f t="shared" si="112"/>
        <v>0</v>
      </c>
      <c r="AF336" s="155">
        <f t="shared" si="111"/>
        <v>17</v>
      </c>
    </row>
    <row r="337">
      <c r="A337" s="422"/>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258"/>
    </row>
    <row r="338">
      <c r="A338" s="575" t="s">
        <v>534</v>
      </c>
      <c r="B338" s="594">
        <v>0.0</v>
      </c>
      <c r="C338" s="594">
        <v>0.0</v>
      </c>
      <c r="D338" s="594">
        <v>0.0</v>
      </c>
      <c r="E338" s="594">
        <v>0.0</v>
      </c>
      <c r="F338" s="594">
        <v>0.0</v>
      </c>
      <c r="G338" s="594">
        <v>0.0</v>
      </c>
      <c r="H338" s="594">
        <v>0.0</v>
      </c>
      <c r="I338" s="594">
        <v>0.0</v>
      </c>
      <c r="J338" s="594">
        <v>0.0</v>
      </c>
      <c r="K338" s="594">
        <v>0.0</v>
      </c>
      <c r="L338" s="594">
        <v>13.0</v>
      </c>
      <c r="M338" s="594">
        <v>2.0</v>
      </c>
      <c r="N338" s="594">
        <v>0.0</v>
      </c>
      <c r="O338" s="594">
        <v>0.0</v>
      </c>
      <c r="P338" s="594">
        <v>0.0</v>
      </c>
      <c r="Q338" s="594">
        <v>0.0</v>
      </c>
      <c r="R338" s="594">
        <v>0.0</v>
      </c>
      <c r="S338" s="594">
        <v>1.0</v>
      </c>
      <c r="T338" s="594">
        <v>0.0</v>
      </c>
      <c r="U338" s="594">
        <v>0.0</v>
      </c>
      <c r="V338" s="594">
        <v>0.0</v>
      </c>
      <c r="W338" s="594">
        <v>0.0</v>
      </c>
      <c r="X338" s="594">
        <v>0.0</v>
      </c>
      <c r="Y338" s="594">
        <v>0.0</v>
      </c>
      <c r="Z338" s="594">
        <v>20.0</v>
      </c>
      <c r="AA338" s="594">
        <v>0.0</v>
      </c>
      <c r="AB338" s="594">
        <v>0.0</v>
      </c>
      <c r="AC338" s="594">
        <v>0.0</v>
      </c>
      <c r="AD338" s="594">
        <v>0.0</v>
      </c>
      <c r="AE338" s="594">
        <v>0.0</v>
      </c>
      <c r="AF338" s="155">
        <f t="shared" ref="AF338:AF339" si="113">SUM(B338:AE338)</f>
        <v>36</v>
      </c>
    </row>
    <row r="339">
      <c r="A339" s="575" t="s">
        <v>535</v>
      </c>
      <c r="B339" s="594">
        <v>0.0</v>
      </c>
      <c r="C339" s="594">
        <v>0.0</v>
      </c>
      <c r="D339" s="594">
        <v>0.0</v>
      </c>
      <c r="E339" s="594">
        <v>0.0</v>
      </c>
      <c r="F339" s="594">
        <v>0.0</v>
      </c>
      <c r="G339" s="594">
        <v>0.0</v>
      </c>
      <c r="H339" s="594">
        <v>0.0</v>
      </c>
      <c r="I339" s="594">
        <v>0.0</v>
      </c>
      <c r="J339" s="594">
        <v>0.0</v>
      </c>
      <c r="K339" s="594">
        <v>0.0</v>
      </c>
      <c r="L339" s="594">
        <v>0.0</v>
      </c>
      <c r="M339" s="594">
        <v>9.0</v>
      </c>
      <c r="N339" s="594">
        <v>0.0</v>
      </c>
      <c r="O339" s="594">
        <v>0.0</v>
      </c>
      <c r="P339" s="594">
        <v>0.0</v>
      </c>
      <c r="Q339" s="594">
        <v>0.0</v>
      </c>
      <c r="R339" s="594">
        <v>0.0</v>
      </c>
      <c r="S339" s="594">
        <v>0.0</v>
      </c>
      <c r="T339" s="594">
        <v>0.0</v>
      </c>
      <c r="U339" s="594">
        <v>0.0</v>
      </c>
      <c r="V339" s="594">
        <v>0.0</v>
      </c>
      <c r="W339" s="594">
        <v>1.0</v>
      </c>
      <c r="X339" s="594">
        <v>0.0</v>
      </c>
      <c r="Y339" s="594">
        <v>0.0</v>
      </c>
      <c r="Z339" s="594">
        <v>0.0</v>
      </c>
      <c r="AA339" s="594">
        <v>11.0</v>
      </c>
      <c r="AB339" s="594">
        <v>0.0</v>
      </c>
      <c r="AC339" s="594">
        <v>0.0</v>
      </c>
      <c r="AD339" s="594">
        <v>0.0</v>
      </c>
      <c r="AE339" s="594">
        <v>0.0</v>
      </c>
      <c r="AF339" s="155">
        <f t="shared" si="113"/>
        <v>21</v>
      </c>
    </row>
    <row r="340">
      <c r="A340" s="24"/>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7"/>
    </row>
    <row r="341">
      <c r="A341" s="73" t="s">
        <v>537</v>
      </c>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7"/>
    </row>
    <row r="342">
      <c r="A342" s="126" t="s">
        <v>538</v>
      </c>
      <c r="B342" s="596">
        <v>0.0</v>
      </c>
      <c r="C342" s="596">
        <v>0.0</v>
      </c>
      <c r="D342" s="596">
        <v>0.0</v>
      </c>
      <c r="E342" s="596">
        <v>0.0</v>
      </c>
      <c r="F342" s="596">
        <v>0.0</v>
      </c>
      <c r="G342" s="596">
        <v>0.0</v>
      </c>
      <c r="H342" s="596">
        <v>0.0</v>
      </c>
      <c r="I342" s="596">
        <v>0.0</v>
      </c>
      <c r="J342" s="596">
        <v>0.0</v>
      </c>
      <c r="K342" s="596">
        <v>0.0</v>
      </c>
      <c r="L342" s="596">
        <v>10.0</v>
      </c>
      <c r="M342" s="596">
        <v>1.0</v>
      </c>
      <c r="N342" s="596">
        <v>0.0</v>
      </c>
      <c r="O342" s="596">
        <v>0.0</v>
      </c>
      <c r="P342" s="596">
        <v>0.0</v>
      </c>
      <c r="Q342" s="596">
        <v>0.0</v>
      </c>
      <c r="R342" s="596">
        <v>0.0</v>
      </c>
      <c r="S342" s="596">
        <v>0.0</v>
      </c>
      <c r="T342" s="596">
        <v>0.0</v>
      </c>
      <c r="U342" s="596">
        <v>0.0</v>
      </c>
      <c r="V342" s="596">
        <v>0.0</v>
      </c>
      <c r="W342" s="596">
        <v>0.0</v>
      </c>
      <c r="X342" s="596">
        <v>0.0</v>
      </c>
      <c r="Y342" s="596">
        <v>0.0</v>
      </c>
      <c r="Z342" s="596">
        <v>0.0</v>
      </c>
      <c r="AA342" s="596">
        <v>0.0</v>
      </c>
      <c r="AB342" s="596">
        <v>0.0</v>
      </c>
      <c r="AC342" s="596">
        <v>0.0</v>
      </c>
      <c r="AD342" s="596">
        <v>0.0</v>
      </c>
      <c r="AE342" s="596">
        <v>0.0</v>
      </c>
      <c r="AF342" s="37">
        <f t="shared" ref="AF342:AF343" si="114">SUM(B342:AE342)</f>
        <v>11</v>
      </c>
    </row>
    <row r="343">
      <c r="A343" s="126" t="s">
        <v>539</v>
      </c>
      <c r="B343" s="596">
        <v>0.0</v>
      </c>
      <c r="C343" s="596">
        <v>0.0</v>
      </c>
      <c r="D343" s="596">
        <v>0.0</v>
      </c>
      <c r="E343" s="596">
        <v>0.0</v>
      </c>
      <c r="F343" s="596">
        <v>0.0</v>
      </c>
      <c r="G343" s="596">
        <v>0.0</v>
      </c>
      <c r="H343" s="596">
        <v>0.0</v>
      </c>
      <c r="I343" s="596">
        <v>0.0</v>
      </c>
      <c r="J343" s="596">
        <v>0.0</v>
      </c>
      <c r="K343" s="596">
        <v>0.0</v>
      </c>
      <c r="L343" s="596">
        <v>0.0</v>
      </c>
      <c r="M343" s="596">
        <v>16.0</v>
      </c>
      <c r="N343" s="596">
        <v>0.0</v>
      </c>
      <c r="O343" s="596">
        <v>0.0</v>
      </c>
      <c r="P343" s="596">
        <v>0.0</v>
      </c>
      <c r="Q343" s="596">
        <v>0.0</v>
      </c>
      <c r="R343" s="596">
        <v>0.0</v>
      </c>
      <c r="S343" s="596">
        <v>0.0</v>
      </c>
      <c r="T343" s="596">
        <v>0.0</v>
      </c>
      <c r="U343" s="596">
        <v>0.0</v>
      </c>
      <c r="V343" s="596">
        <v>1.0</v>
      </c>
      <c r="W343" s="596">
        <v>0.0</v>
      </c>
      <c r="X343" s="596">
        <v>0.0</v>
      </c>
      <c r="Y343" s="596">
        <v>0.0</v>
      </c>
      <c r="Z343" s="596">
        <v>0.0</v>
      </c>
      <c r="AA343" s="596">
        <v>0.0</v>
      </c>
      <c r="AB343" s="596">
        <v>0.0</v>
      </c>
      <c r="AC343" s="596">
        <v>0.0</v>
      </c>
      <c r="AD343" s="596">
        <v>0.0</v>
      </c>
      <c r="AE343" s="596">
        <v>0.0</v>
      </c>
      <c r="AF343" s="37">
        <f t="shared" si="114"/>
        <v>17</v>
      </c>
    </row>
    <row r="344">
      <c r="A344" s="24"/>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33"/>
    </row>
    <row r="345">
      <c r="A345" s="73" t="s">
        <v>369</v>
      </c>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33"/>
    </row>
    <row r="346">
      <c r="A346" s="271" t="s">
        <v>540</v>
      </c>
      <c r="B346" s="598">
        <v>0.0</v>
      </c>
      <c r="C346" s="598">
        <v>0.0</v>
      </c>
      <c r="D346" s="598">
        <v>0.0</v>
      </c>
      <c r="E346" s="598">
        <v>0.0</v>
      </c>
      <c r="F346" s="598">
        <v>0.0</v>
      </c>
      <c r="G346" s="598">
        <v>0.0</v>
      </c>
      <c r="H346" s="598">
        <v>0.0</v>
      </c>
      <c r="I346" s="598">
        <v>0.0</v>
      </c>
      <c r="J346" s="598">
        <v>0.0</v>
      </c>
      <c r="K346" s="598">
        <v>0.0</v>
      </c>
      <c r="L346" s="598">
        <v>0.0</v>
      </c>
      <c r="M346" s="598">
        <v>0.0</v>
      </c>
      <c r="N346" s="598">
        <v>0.0</v>
      </c>
      <c r="O346" s="598">
        <v>1.0</v>
      </c>
      <c r="P346" s="598">
        <v>0.0</v>
      </c>
      <c r="Q346" s="598">
        <v>0.0</v>
      </c>
      <c r="R346" s="598">
        <v>0.0</v>
      </c>
      <c r="S346" s="598">
        <v>1.0</v>
      </c>
      <c r="T346" s="598">
        <v>0.0</v>
      </c>
      <c r="U346" s="598">
        <v>0.0</v>
      </c>
      <c r="V346" s="598">
        <v>0.0</v>
      </c>
      <c r="W346" s="598">
        <v>0.0</v>
      </c>
      <c r="X346" s="598">
        <v>0.0</v>
      </c>
      <c r="Y346" s="598">
        <v>0.0</v>
      </c>
      <c r="Z346" s="598">
        <v>0.0</v>
      </c>
      <c r="AA346" s="598">
        <v>0.0</v>
      </c>
      <c r="AB346" s="598">
        <v>0.0</v>
      </c>
      <c r="AC346" s="598">
        <v>0.0</v>
      </c>
      <c r="AD346" s="598">
        <v>0.0</v>
      </c>
      <c r="AE346" s="598">
        <v>0.0</v>
      </c>
      <c r="AF346" s="33">
        <f>SUM(B346:AE346)</f>
        <v>2</v>
      </c>
    </row>
    <row r="347">
      <c r="A347" s="24"/>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7"/>
    </row>
    <row r="348">
      <c r="A348" s="600" t="s">
        <v>372</v>
      </c>
      <c r="B348" s="601"/>
      <c r="C348" s="601"/>
      <c r="D348" s="601"/>
      <c r="E348" s="601"/>
      <c r="F348" s="601"/>
      <c r="G348" s="601"/>
      <c r="H348" s="601"/>
      <c r="I348" s="601"/>
      <c r="J348" s="601"/>
      <c r="K348" s="601"/>
      <c r="L348" s="601"/>
      <c r="M348" s="601"/>
      <c r="N348" s="601"/>
      <c r="O348" s="601"/>
      <c r="P348" s="601"/>
      <c r="Q348" s="601"/>
      <c r="R348" s="601"/>
      <c r="S348" s="601"/>
      <c r="T348" s="601"/>
      <c r="U348" s="601"/>
      <c r="V348" s="601"/>
      <c r="W348" s="601"/>
      <c r="X348" s="601"/>
      <c r="Y348" s="601"/>
      <c r="Z348" s="601"/>
      <c r="AA348" s="601"/>
      <c r="AB348" s="601"/>
      <c r="AC348" s="601"/>
      <c r="AD348" s="601"/>
      <c r="AE348" s="601"/>
      <c r="AF348" s="602"/>
    </row>
    <row r="349">
      <c r="A349" s="603" t="s">
        <v>374</v>
      </c>
      <c r="B349" s="604">
        <f t="shared" ref="B349:AE349" si="115">SUM(B25:B29)</f>
        <v>6335.137752</v>
      </c>
      <c r="C349" s="604">
        <f t="shared" si="115"/>
        <v>6110.96008</v>
      </c>
      <c r="D349" s="605">
        <f t="shared" si="115"/>
        <v>8231.459447</v>
      </c>
      <c r="E349" s="606">
        <f t="shared" si="115"/>
        <v>8704.13309</v>
      </c>
      <c r="F349" s="607">
        <f t="shared" si="115"/>
        <v>11149.82928</v>
      </c>
      <c r="G349" s="608">
        <f t="shared" si="115"/>
        <v>11543.51895</v>
      </c>
      <c r="H349" s="610">
        <f t="shared" si="115"/>
        <v>5762.4406</v>
      </c>
      <c r="I349" s="611">
        <f t="shared" si="115"/>
        <v>3522.084905</v>
      </c>
      <c r="J349" s="612">
        <f t="shared" si="115"/>
        <v>5357.735453</v>
      </c>
      <c r="K349" s="613">
        <f t="shared" si="115"/>
        <v>8796.031605</v>
      </c>
      <c r="L349" s="615">
        <f t="shared" si="115"/>
        <v>8715.679</v>
      </c>
      <c r="M349" s="616">
        <f t="shared" si="115"/>
        <v>7503.916536</v>
      </c>
      <c r="N349" s="429">
        <f t="shared" si="115"/>
        <v>5976.339611</v>
      </c>
      <c r="O349" s="486">
        <f t="shared" si="115"/>
        <v>4760.232142</v>
      </c>
      <c r="P349" s="173">
        <f t="shared" si="115"/>
        <v>6216.56883</v>
      </c>
      <c r="Q349" s="173">
        <f t="shared" si="115"/>
        <v>6943.75966</v>
      </c>
      <c r="R349" s="173">
        <f t="shared" si="115"/>
        <v>7606.913712</v>
      </c>
      <c r="S349" s="173">
        <f t="shared" si="115"/>
        <v>7355.368432</v>
      </c>
      <c r="T349" s="173">
        <f t="shared" si="115"/>
        <v>8154.789242</v>
      </c>
      <c r="U349" s="173">
        <f t="shared" si="115"/>
        <v>7383.07971</v>
      </c>
      <c r="V349" s="173">
        <f t="shared" si="115"/>
        <v>7521.116795</v>
      </c>
      <c r="W349" s="173">
        <f t="shared" si="115"/>
        <v>2538.77</v>
      </c>
      <c r="X349" s="173">
        <f t="shared" si="115"/>
        <v>9117.314888</v>
      </c>
      <c r="Y349" s="173">
        <f t="shared" si="115"/>
        <v>11109.70815</v>
      </c>
      <c r="Z349" s="173">
        <f t="shared" si="115"/>
        <v>9783.074384</v>
      </c>
      <c r="AA349" s="173">
        <f t="shared" si="115"/>
        <v>8891.983962</v>
      </c>
      <c r="AB349" s="173">
        <f t="shared" si="115"/>
        <v>6868.827905</v>
      </c>
      <c r="AC349" s="173">
        <f t="shared" si="115"/>
        <v>6154.55115</v>
      </c>
      <c r="AD349" s="173">
        <f t="shared" si="115"/>
        <v>6821.294194</v>
      </c>
      <c r="AE349" s="173">
        <f t="shared" si="115"/>
        <v>7913.99442</v>
      </c>
      <c r="AF349" s="87">
        <f t="shared" ref="AF349:AF367" si="117">SUM(B349:AE349)</f>
        <v>222850.6139</v>
      </c>
    </row>
    <row r="350">
      <c r="A350" s="617" t="s">
        <v>545</v>
      </c>
      <c r="B350" s="618">
        <f t="shared" ref="B350:AE350" si="116">B30</f>
        <v>0</v>
      </c>
      <c r="C350" s="618">
        <f t="shared" si="116"/>
        <v>0</v>
      </c>
      <c r="D350" s="618">
        <f t="shared" si="116"/>
        <v>0</v>
      </c>
      <c r="E350" s="618">
        <f t="shared" si="116"/>
        <v>47.81</v>
      </c>
      <c r="F350" s="618">
        <f t="shared" si="116"/>
        <v>113.06</v>
      </c>
      <c r="G350" s="618">
        <f t="shared" si="116"/>
        <v>62.55</v>
      </c>
      <c r="H350" s="618">
        <f t="shared" si="116"/>
        <v>0</v>
      </c>
      <c r="I350" s="618">
        <f t="shared" si="116"/>
        <v>0</v>
      </c>
      <c r="J350" s="618">
        <f t="shared" si="116"/>
        <v>0</v>
      </c>
      <c r="K350" s="618">
        <f t="shared" si="116"/>
        <v>149.78</v>
      </c>
      <c r="L350" s="618">
        <f t="shared" si="116"/>
        <v>0</v>
      </c>
      <c r="M350" s="618">
        <f t="shared" si="116"/>
        <v>0</v>
      </c>
      <c r="N350" s="618">
        <f t="shared" si="116"/>
        <v>0</v>
      </c>
      <c r="O350" s="618">
        <f t="shared" si="116"/>
        <v>139.61</v>
      </c>
      <c r="P350" s="618">
        <f t="shared" si="116"/>
        <v>53.32</v>
      </c>
      <c r="Q350" s="618">
        <f t="shared" si="116"/>
        <v>59.92</v>
      </c>
      <c r="R350" s="618">
        <f t="shared" si="116"/>
        <v>53.62</v>
      </c>
      <c r="S350" s="618">
        <f t="shared" si="116"/>
        <v>15.48</v>
      </c>
      <c r="T350" s="618">
        <f t="shared" si="116"/>
        <v>59.05</v>
      </c>
      <c r="U350" s="618">
        <f t="shared" si="116"/>
        <v>57.04</v>
      </c>
      <c r="V350" s="618">
        <f t="shared" si="116"/>
        <v>0</v>
      </c>
      <c r="W350" s="618">
        <f t="shared" si="116"/>
        <v>57.16</v>
      </c>
      <c r="X350" s="618">
        <f t="shared" si="116"/>
        <v>0</v>
      </c>
      <c r="Y350" s="618">
        <f t="shared" si="116"/>
        <v>26.91</v>
      </c>
      <c r="Z350" s="618">
        <f t="shared" si="116"/>
        <v>0</v>
      </c>
      <c r="AA350" s="618">
        <f t="shared" si="116"/>
        <v>0</v>
      </c>
      <c r="AB350" s="618">
        <f t="shared" si="116"/>
        <v>0</v>
      </c>
      <c r="AC350" s="618">
        <f t="shared" si="116"/>
        <v>0</v>
      </c>
      <c r="AD350" s="618">
        <f t="shared" si="116"/>
        <v>0</v>
      </c>
      <c r="AE350" s="618">
        <f t="shared" si="116"/>
        <v>0</v>
      </c>
      <c r="AF350" s="129">
        <f t="shared" si="117"/>
        <v>895.31</v>
      </c>
    </row>
    <row r="351">
      <c r="A351" s="603" t="s">
        <v>548</v>
      </c>
      <c r="B351" s="70">
        <f>(B53+B54)*'DATA - P&amp;L'!$C$3</f>
        <v>1477.3</v>
      </c>
      <c r="C351" s="70">
        <f>(C53+C54)*'DATA - P&amp;L'!$C$3</f>
        <v>2346.3</v>
      </c>
      <c r="D351" s="70">
        <f>(D53+D54)*'DATA - P&amp;L'!$C$3</f>
        <v>2780.8</v>
      </c>
      <c r="E351" s="70">
        <f>(E53+E54)*'DATA - P&amp;L'!$C$3</f>
        <v>4692.6</v>
      </c>
      <c r="F351" s="70">
        <f>(F53+F54)*'DATA - P&amp;L'!$C$3</f>
        <v>3823.6</v>
      </c>
      <c r="G351" s="70">
        <f>(G53+G54)*'DATA - P&amp;L'!$C$3</f>
        <v>3128.4</v>
      </c>
      <c r="H351" s="70">
        <f>(H53+H54)*'DATA - P&amp;L'!$C$3</f>
        <v>1911.8</v>
      </c>
      <c r="I351" s="70">
        <f>(I53+I54)*'DATA - P&amp;L'!$C$3</f>
        <v>1129.7</v>
      </c>
      <c r="J351" s="70">
        <f>(J53+J54)*'DATA - P&amp;L'!$C$3</f>
        <v>1390.4</v>
      </c>
      <c r="K351" s="70">
        <f>(K53+K54)*'DATA - P&amp;L'!$C$3</f>
        <v>1651.1</v>
      </c>
      <c r="L351" s="70">
        <f>(L53+L54)*'DATA - P&amp;L'!$C$3</f>
        <v>1911.8</v>
      </c>
      <c r="M351" s="70">
        <f>(M53+M54)*'DATA - P&amp;L'!$C$3</f>
        <v>2172.5</v>
      </c>
      <c r="N351" s="70">
        <f>(N53+N54)*'DATA - P&amp;L'!$C$3</f>
        <v>1824.9</v>
      </c>
      <c r="O351" s="70">
        <f>(O53+O54)*'DATA - P&amp;L'!$C$3</f>
        <v>2520.1</v>
      </c>
      <c r="P351" s="70">
        <f>(P53+P54)*'DATA - P&amp;L'!$C$3</f>
        <v>1824.9</v>
      </c>
      <c r="Q351" s="70">
        <f>(Q53+Q54)*'DATA - P&amp;L'!$C$3</f>
        <v>1651.1</v>
      </c>
      <c r="R351" s="70">
        <f>(R53+R54)*'DATA - P&amp;L'!$C$3</f>
        <v>1998.7</v>
      </c>
      <c r="S351" s="70">
        <f>(S53+S54)*'DATA - P&amp;L'!$C$3</f>
        <v>2867.7</v>
      </c>
      <c r="T351" s="70">
        <f>(T53+T54)*'DATA - P&amp;L'!$C$3</f>
        <v>2085.6</v>
      </c>
      <c r="U351" s="70">
        <f>(U53+U54)*'DATA - P&amp;L'!$C$3</f>
        <v>1911.8</v>
      </c>
      <c r="V351" s="70">
        <f>(V53+V54)*'DATA - P&amp;L'!$C$3</f>
        <v>1824.9</v>
      </c>
      <c r="W351" s="70">
        <f>(W53+W54)*'DATA - P&amp;L'!$C$3</f>
        <v>1564.2</v>
      </c>
      <c r="X351" s="70">
        <f>(X53+X54)*'DATA - P&amp;L'!$C$3</f>
        <v>955.9</v>
      </c>
      <c r="Y351" s="70">
        <f>(Y53+Y54)*'DATA - P&amp;L'!$C$3</f>
        <v>1738</v>
      </c>
      <c r="Z351" s="70">
        <f>(Z53+Z54)*'DATA - P&amp;L'!$C$3</f>
        <v>1477.3</v>
      </c>
      <c r="AA351" s="70">
        <f>(AA53+AA54)*'DATA - P&amp;L'!$C$3</f>
        <v>1303.5</v>
      </c>
      <c r="AB351" s="70">
        <f>(AB53+AB54)*'DATA - P&amp;L'!$C$3</f>
        <v>2259.4</v>
      </c>
      <c r="AC351" s="70">
        <f>(AC53+AC54)*'DATA - P&amp;L'!$C$3</f>
        <v>2172.5</v>
      </c>
      <c r="AD351" s="70">
        <f>(AD53+AD54)*'DATA - P&amp;L'!$C$3</f>
        <v>1477.3</v>
      </c>
      <c r="AE351" s="74">
        <f>(AE53+AE54)*'DATA - P&amp;L'!$C$3</f>
        <v>1651.1</v>
      </c>
      <c r="AF351" s="87">
        <f t="shared" si="117"/>
        <v>61525.2</v>
      </c>
    </row>
    <row r="352">
      <c r="A352" s="603" t="s">
        <v>552</v>
      </c>
      <c r="B352" s="70">
        <f>(B55+B56)*'DATA - P&amp;L'!$C$4</f>
        <v>4685.28</v>
      </c>
      <c r="C352" s="70">
        <f>(C55+C56)*'DATA - P&amp;L'!$C$4</f>
        <v>6930.31</v>
      </c>
      <c r="D352" s="70">
        <f>(D55+D56)*'DATA - P&amp;L'!$C$4</f>
        <v>8296.85</v>
      </c>
      <c r="E352" s="70">
        <f>(E55+E56)*'DATA - P&amp;L'!$C$4</f>
        <v>9468.17</v>
      </c>
      <c r="F352" s="70">
        <f>(F55+F56)*'DATA - P&amp;L'!$C$4</f>
        <v>9370.56</v>
      </c>
      <c r="G352" s="70">
        <f>(G55+G56)*'DATA - P&amp;L'!$C$4</f>
        <v>6930.31</v>
      </c>
      <c r="H352" s="70">
        <f>(H55+H56)*'DATA - P&amp;L'!$C$4</f>
        <v>4685.28</v>
      </c>
      <c r="I352" s="70">
        <f>(I55+I56)*'DATA - P&amp;L'!$C$4</f>
        <v>3513.96</v>
      </c>
      <c r="J352" s="70">
        <f>(J55+J56)*'DATA - P&amp;L'!$C$4</f>
        <v>4197.23</v>
      </c>
      <c r="K352" s="70">
        <f>(K55+K56)*'DATA - P&amp;L'!$C$4</f>
        <v>5563.77</v>
      </c>
      <c r="L352" s="70">
        <f>(L55+L56)*'DATA - P&amp;L'!$C$4</f>
        <v>4490.06</v>
      </c>
      <c r="M352" s="70">
        <f>(M55+M56)*'DATA - P&amp;L'!$C$4</f>
        <v>3513.96</v>
      </c>
      <c r="N352" s="70">
        <f>(N55+N56)*'DATA - P&amp;L'!$C$4</f>
        <v>4099.62</v>
      </c>
      <c r="O352" s="70">
        <f>(O55+O56)*'DATA - P&amp;L'!$C$4</f>
        <v>4587.67</v>
      </c>
      <c r="P352" s="70">
        <f>(P55+P56)*'DATA - P&amp;L'!$C$4</f>
        <v>5368.55</v>
      </c>
      <c r="Q352" s="70">
        <f>(Q55+Q56)*'DATA - P&amp;L'!$C$4</f>
        <v>4880.5</v>
      </c>
      <c r="R352" s="70">
        <f>(R55+R56)*'DATA - P&amp;L'!$C$4</f>
        <v>5075.72</v>
      </c>
      <c r="S352" s="70">
        <f>(S55+S56)*'DATA - P&amp;L'!$C$4</f>
        <v>5173.33</v>
      </c>
      <c r="T352" s="70">
        <f>(T55+T56)*'DATA - P&amp;L'!$C$4</f>
        <v>4880.5</v>
      </c>
      <c r="U352" s="70">
        <f>(U55+U56)*'DATA - P&amp;L'!$C$4</f>
        <v>4197.23</v>
      </c>
      <c r="V352" s="70">
        <f>(V55+V56)*'DATA - P&amp;L'!$C$4</f>
        <v>4002.01</v>
      </c>
      <c r="W352" s="70">
        <f>(W55+W56)*'DATA - P&amp;L'!$C$4</f>
        <v>4002.01</v>
      </c>
      <c r="X352" s="70">
        <f>(X55+X56)*'DATA - P&amp;L'!$C$4</f>
        <v>4587.67</v>
      </c>
      <c r="Y352" s="70">
        <f>(Y55+Y56)*'DATA - P&amp;L'!$C$4</f>
        <v>4880.5</v>
      </c>
      <c r="Z352" s="70">
        <f>(Z55+Z56)*'DATA - P&amp;L'!$C$4</f>
        <v>5368.55</v>
      </c>
      <c r="AA352" s="70">
        <f>(AA55+AA56)*'DATA - P&amp;L'!$C$4</f>
        <v>3513.96</v>
      </c>
      <c r="AB352" s="70">
        <f>(AB55+AB56)*'DATA - P&amp;L'!$C$4</f>
        <v>6637.48</v>
      </c>
      <c r="AC352" s="70">
        <f>(AC55+AC56)*'DATA - P&amp;L'!$C$4</f>
        <v>4294.84</v>
      </c>
      <c r="AD352" s="70">
        <f>(AD55+AD56)*'DATA - P&amp;L'!$C$4</f>
        <v>5466.16</v>
      </c>
      <c r="AE352" s="74">
        <f>(AE55+AE56)*'DATA - P&amp;L'!$C$4</f>
        <v>5758.99</v>
      </c>
      <c r="AF352" s="87">
        <f t="shared" si="117"/>
        <v>158421.03</v>
      </c>
    </row>
    <row r="353">
      <c r="A353" s="603" t="s">
        <v>559</v>
      </c>
      <c r="B353" s="70">
        <f>B59*'DATA - P&amp;L'!$C$6</f>
        <v>109.8</v>
      </c>
      <c r="C353" s="70">
        <f>C59*'DATA - P&amp;L'!$C$6</f>
        <v>186.66</v>
      </c>
      <c r="D353" s="70">
        <f>D59*'DATA - P&amp;L'!$C$6</f>
        <v>263.52</v>
      </c>
      <c r="E353" s="70">
        <f>E59*'DATA - P&amp;L'!$C$6</f>
        <v>225.09</v>
      </c>
      <c r="F353" s="70">
        <f>F59*'DATA - P&amp;L'!$C$6</f>
        <v>197.64</v>
      </c>
      <c r="G353" s="70">
        <f>G59*'DATA - P&amp;L'!$C$6</f>
        <v>164.7</v>
      </c>
      <c r="H353" s="70">
        <f>H59*'DATA - P&amp;L'!$C$6</f>
        <v>131.76</v>
      </c>
      <c r="I353" s="70">
        <f>I59*'DATA - P&amp;L'!$C$6</f>
        <v>71.37</v>
      </c>
      <c r="J353" s="70">
        <f>J59*'DATA - P&amp;L'!$C$6</f>
        <v>98.82</v>
      </c>
      <c r="K353" s="70">
        <f>K59*'DATA - P&amp;L'!$C$6</f>
        <v>148.23</v>
      </c>
      <c r="L353" s="70">
        <f>L59*'DATA - P&amp;L'!$C$6</f>
        <v>164.7</v>
      </c>
      <c r="M353" s="70">
        <f>M59*'DATA - P&amp;L'!$C$6</f>
        <v>104.31</v>
      </c>
      <c r="N353" s="70">
        <f>N59*'DATA - P&amp;L'!$C$6</f>
        <v>93.33</v>
      </c>
      <c r="O353" s="70">
        <f>O59*'DATA - P&amp;L'!$C$6</f>
        <v>137.25</v>
      </c>
      <c r="P353" s="70">
        <f>P59*'DATA - P&amp;L'!$C$6</f>
        <v>126.27</v>
      </c>
      <c r="Q353" s="70">
        <f>Q59*'DATA - P&amp;L'!$C$6</f>
        <v>164.7</v>
      </c>
      <c r="R353" s="70">
        <f>R59*'DATA - P&amp;L'!$C$6</f>
        <v>131.76</v>
      </c>
      <c r="S353" s="70">
        <f>S59*'DATA - P&amp;L'!$C$6</f>
        <v>208.62</v>
      </c>
      <c r="T353" s="70">
        <f>T59*'DATA - P&amp;L'!$C$6</f>
        <v>203.13</v>
      </c>
      <c r="U353" s="70">
        <f>U59*'DATA - P&amp;L'!$C$6</f>
        <v>126.27</v>
      </c>
      <c r="V353" s="70">
        <f>V59*'DATA - P&amp;L'!$C$6</f>
        <v>109.8</v>
      </c>
      <c r="W353" s="70">
        <f>W59*'DATA - P&amp;L'!$C$6</f>
        <v>109.8</v>
      </c>
      <c r="X353" s="70">
        <f>X59*'DATA - P&amp;L'!$C$6</f>
        <v>115.29</v>
      </c>
      <c r="Y353" s="70">
        <f>Y59*'DATA - P&amp;L'!$C$6</f>
        <v>175.68</v>
      </c>
      <c r="Z353" s="70">
        <f>Z59*'DATA - P&amp;L'!$C$6</f>
        <v>148.23</v>
      </c>
      <c r="AA353" s="70">
        <f>AA59*'DATA - P&amp;L'!$C$6</f>
        <v>98.82</v>
      </c>
      <c r="AB353" s="70">
        <f>AB59*'DATA - P&amp;L'!$C$6</f>
        <v>170.19</v>
      </c>
      <c r="AC353" s="70">
        <f>AC59*'DATA - P&amp;L'!$C$6</f>
        <v>159.21</v>
      </c>
      <c r="AD353" s="70">
        <f>AD59*'DATA - P&amp;L'!$C$6</f>
        <v>109.8</v>
      </c>
      <c r="AE353" s="74">
        <f>AE59*'DATA - P&amp;L'!$C$6</f>
        <v>104.31</v>
      </c>
      <c r="AF353" s="87">
        <f t="shared" si="117"/>
        <v>4359.06</v>
      </c>
    </row>
    <row r="354">
      <c r="A354" s="603" t="s">
        <v>565</v>
      </c>
      <c r="B354" s="70">
        <f>B60*'DATA - P&amp;L'!$C$8</f>
        <v>11.9</v>
      </c>
      <c r="C354" s="70">
        <f>C60*'DATA - P&amp;L'!$C$8</f>
        <v>26.18</v>
      </c>
      <c r="D354" s="70">
        <f>D60*'DATA - P&amp;L'!$C$8</f>
        <v>34.51</v>
      </c>
      <c r="E354" s="70">
        <f>E60*'DATA - P&amp;L'!$C$8</f>
        <v>30.94</v>
      </c>
      <c r="F354" s="70">
        <f>F60*'DATA - P&amp;L'!$C$8</f>
        <v>28.56</v>
      </c>
      <c r="G354" s="70">
        <f>G60*'DATA - P&amp;L'!$C$8</f>
        <v>21.42</v>
      </c>
      <c r="H354" s="70">
        <f>H60*'DATA - P&amp;L'!$C$8</f>
        <v>20.23</v>
      </c>
      <c r="I354" s="70">
        <f>I60*'DATA - P&amp;L'!$C$8</f>
        <v>11.9</v>
      </c>
      <c r="J354" s="70">
        <f>J60*'DATA - P&amp;L'!$C$8</f>
        <v>10.71</v>
      </c>
      <c r="K354" s="70">
        <f>K60*'DATA - P&amp;L'!$C$8</f>
        <v>26.18</v>
      </c>
      <c r="L354" s="70">
        <f>L60*'DATA - P&amp;L'!$C$8</f>
        <v>20.23</v>
      </c>
      <c r="M354" s="70">
        <f>M60*'DATA - P&amp;L'!$C$8</f>
        <v>14.28</v>
      </c>
      <c r="N354" s="70">
        <f>N60*'DATA - P&amp;L'!$C$8</f>
        <v>15.47</v>
      </c>
      <c r="O354" s="70">
        <f>O60*'DATA - P&amp;L'!$C$8</f>
        <v>24.99</v>
      </c>
      <c r="P354" s="70">
        <f>P60*'DATA - P&amp;L'!$C$8</f>
        <v>14.28</v>
      </c>
      <c r="Q354" s="70">
        <f>Q60*'DATA - P&amp;L'!$C$8</f>
        <v>22.61</v>
      </c>
      <c r="R354" s="70">
        <f>R60*'DATA - P&amp;L'!$C$8</f>
        <v>15.47</v>
      </c>
      <c r="S354" s="70">
        <f>S60*'DATA - P&amp;L'!$C$8</f>
        <v>33.32</v>
      </c>
      <c r="T354" s="70">
        <f>T60*'DATA - P&amp;L'!$C$8</f>
        <v>40.46</v>
      </c>
      <c r="U354" s="70">
        <f>U60*'DATA - P&amp;L'!$C$8</f>
        <v>19.04</v>
      </c>
      <c r="V354" s="70">
        <f>V60*'DATA - P&amp;L'!$C$8</f>
        <v>16.66</v>
      </c>
      <c r="W354" s="70">
        <f>W60*'DATA - P&amp;L'!$C$8</f>
        <v>16.66</v>
      </c>
      <c r="X354" s="70">
        <f>X60*'DATA - P&amp;L'!$C$8</f>
        <v>19.04</v>
      </c>
      <c r="Y354" s="70">
        <f>Y60*'DATA - P&amp;L'!$C$8</f>
        <v>26.18</v>
      </c>
      <c r="Z354" s="70">
        <f>Z60*'DATA - P&amp;L'!$C$8</f>
        <v>27.37</v>
      </c>
      <c r="AA354" s="70">
        <f>AA60*'DATA - P&amp;L'!$C$8</f>
        <v>22.61</v>
      </c>
      <c r="AB354" s="70">
        <f>AB60*'DATA - P&amp;L'!$C$8</f>
        <v>24.99</v>
      </c>
      <c r="AC354" s="70">
        <f>AC60*'DATA - P&amp;L'!$C$8</f>
        <v>27.37</v>
      </c>
      <c r="AD354" s="70">
        <f>AD60*'DATA - P&amp;L'!$C$8</f>
        <v>15.47</v>
      </c>
      <c r="AE354" s="74">
        <f>AE60*'DATA - P&amp;L'!$C$8</f>
        <v>24.99</v>
      </c>
      <c r="AF354" s="87">
        <f t="shared" si="117"/>
        <v>664.02</v>
      </c>
    </row>
    <row r="355">
      <c r="A355" s="603" t="s">
        <v>568</v>
      </c>
      <c r="B355" s="70">
        <f>(B61+B62)*'DATA - P&amp;L'!$C$9</f>
        <v>59.94</v>
      </c>
      <c r="C355" s="70">
        <f>(C61+C62)*'DATA - P&amp;L'!$C$9</f>
        <v>173.16</v>
      </c>
      <c r="D355" s="70">
        <f>(D61+D62)*'DATA - P&amp;L'!$C$9</f>
        <v>233.1</v>
      </c>
      <c r="E355" s="70">
        <f>(E61+E62)*'DATA - P&amp;L'!$C$9</f>
        <v>206.46</v>
      </c>
      <c r="F355" s="70">
        <f>(F61+F62)*'DATA - P&amp;L'!$C$9</f>
        <v>179.82</v>
      </c>
      <c r="G355" s="70">
        <f>(G61+G62)*'DATA - P&amp;L'!$C$9</f>
        <v>133.2</v>
      </c>
      <c r="H355" s="70">
        <f>(H61+H62)*'DATA - P&amp;L'!$C$9</f>
        <v>113.22</v>
      </c>
      <c r="I355" s="70">
        <f>(I61+I62)*'DATA - P&amp;L'!$C$9</f>
        <v>73.26</v>
      </c>
      <c r="J355" s="70">
        <f>(J61+J62)*'DATA - P&amp;L'!$C$9</f>
        <v>66.6</v>
      </c>
      <c r="K355" s="70">
        <f>(K61+K62)*'DATA - P&amp;L'!$C$9</f>
        <v>119.88</v>
      </c>
      <c r="L355" s="70">
        <f>(L61+L62)*'DATA - P&amp;L'!$C$9</f>
        <v>119.88</v>
      </c>
      <c r="M355" s="70">
        <f>(M61+M62)*'DATA - P&amp;L'!$C$9</f>
        <v>99.9</v>
      </c>
      <c r="N355" s="70">
        <f>(N61+N62)*'DATA - P&amp;L'!$C$9</f>
        <v>79.92</v>
      </c>
      <c r="O355" s="70">
        <f>(O61+O62)*'DATA - P&amp;L'!$C$9</f>
        <v>106.56</v>
      </c>
      <c r="P355" s="70">
        <f>(P61+P62)*'DATA - P&amp;L'!$C$9</f>
        <v>93.24</v>
      </c>
      <c r="Q355" s="70">
        <f>(Q61+Q62)*'DATA - P&amp;L'!$C$9</f>
        <v>99.9</v>
      </c>
      <c r="R355" s="70">
        <f>(R61+R62)*'DATA - P&amp;L'!$C$9</f>
        <v>53.28</v>
      </c>
      <c r="S355" s="70">
        <f>(S61+S62)*'DATA - P&amp;L'!$C$9</f>
        <v>799.2</v>
      </c>
      <c r="T355" s="70">
        <f>(T61+T62)*'DATA - P&amp;L'!$C$9</f>
        <v>392.94</v>
      </c>
      <c r="U355" s="70">
        <f>(U61+U62)*'DATA - P&amp;L'!$C$9</f>
        <v>139.86</v>
      </c>
      <c r="V355" s="70">
        <f>(V61+V62)*'DATA - P&amp;L'!$C$9</f>
        <v>219.78</v>
      </c>
      <c r="W355" s="70">
        <f>(W61+W62)*'DATA - P&amp;L'!$C$9</f>
        <v>106.56</v>
      </c>
      <c r="X355" s="70">
        <f>(X61+X62)*'DATA - P&amp;L'!$C$9</f>
        <v>126.54</v>
      </c>
      <c r="Y355" s="70">
        <f>(Y61+Y62)*'DATA - P&amp;L'!$C$9</f>
        <v>146.52</v>
      </c>
      <c r="Z355" s="70">
        <f>(Z61+Z62)*'DATA - P&amp;L'!$C$9</f>
        <v>119.88</v>
      </c>
      <c r="AA355" s="70">
        <f>(AA61+AA62)*'DATA - P&amp;L'!$C$9</f>
        <v>93.24</v>
      </c>
      <c r="AB355" s="70">
        <f>(AB61+AB62)*'DATA - P&amp;L'!$C$9</f>
        <v>79.92</v>
      </c>
      <c r="AC355" s="70">
        <f>(AC61+AC62)*'DATA - P&amp;L'!$C$9</f>
        <v>93.24</v>
      </c>
      <c r="AD355" s="70">
        <f>(AD61+AD62)*'DATA - P&amp;L'!$C$9</f>
        <v>126.54</v>
      </c>
      <c r="AE355" s="74">
        <f>(AE61+AE62)*'DATA - P&amp;L'!$C$9</f>
        <v>79.92</v>
      </c>
      <c r="AF355" s="87">
        <f t="shared" si="117"/>
        <v>4535.46</v>
      </c>
    </row>
    <row r="356">
      <c r="A356" s="603" t="s">
        <v>577</v>
      </c>
      <c r="B356" s="70">
        <f>(B63+B64)*'DATA - P&amp;L'!$C$5</f>
        <v>80.64</v>
      </c>
      <c r="C356" s="70">
        <f>(C63+C64)*'DATA - P&amp;L'!$C$5</f>
        <v>107.52</v>
      </c>
      <c r="D356" s="70">
        <f>(D63+D64)*'DATA - P&amp;L'!$C$5</f>
        <v>161.28</v>
      </c>
      <c r="E356" s="70">
        <f>(E63+E64)*'DATA - P&amp;L'!$C$5</f>
        <v>120.96</v>
      </c>
      <c r="F356" s="70">
        <f>(F63+F64)*'DATA - P&amp;L'!$C$5</f>
        <v>134.4</v>
      </c>
      <c r="G356" s="70">
        <f>(G63+G64)*'DATA - P&amp;L'!$C$5</f>
        <v>188.16</v>
      </c>
      <c r="H356" s="70">
        <f>(H63+H64)*'DATA - P&amp;L'!$C$5</f>
        <v>80.64</v>
      </c>
      <c r="I356" s="70">
        <f>(I63+I64)*'DATA - P&amp;L'!$C$5</f>
        <v>40.32</v>
      </c>
      <c r="J356" s="70">
        <f>(J63+J64)*'DATA - P&amp;L'!$C$5</f>
        <v>67.2</v>
      </c>
      <c r="K356" s="70">
        <f>(K63+K64)*'DATA - P&amp;L'!$C$5</f>
        <v>94.08</v>
      </c>
      <c r="L356" s="70">
        <f>(L63+L64)*'DATA - P&amp;L'!$C$5</f>
        <v>120.96</v>
      </c>
      <c r="M356" s="70">
        <f>(M63+M64)*'DATA - P&amp;L'!$C$5</f>
        <v>40.32</v>
      </c>
      <c r="N356" s="70">
        <f>(N63+N64)*'DATA - P&amp;L'!$C$5</f>
        <v>40.32</v>
      </c>
      <c r="O356" s="70">
        <f>(O63+O64)*'DATA - P&amp;L'!$C$5</f>
        <v>67.2</v>
      </c>
      <c r="P356" s="70">
        <f>(P63+P64)*'DATA - P&amp;L'!$C$5</f>
        <v>107.52</v>
      </c>
      <c r="Q356" s="70">
        <f>(Q63+Q64)*'DATA - P&amp;L'!$C$5</f>
        <v>94.08</v>
      </c>
      <c r="R356" s="70">
        <f>(R63+R64)*'DATA - P&amp;L'!$C$5</f>
        <v>120.96</v>
      </c>
      <c r="S356" s="70">
        <f>(S63+S64)*'DATA - P&amp;L'!$C$5</f>
        <v>161.28</v>
      </c>
      <c r="T356" s="70">
        <f>(T63+T64)*'DATA - P&amp;L'!$C$5</f>
        <v>80.64</v>
      </c>
      <c r="U356" s="70">
        <f>(U63+U64)*'DATA - P&amp;L'!$C$5</f>
        <v>120.96</v>
      </c>
      <c r="V356" s="70">
        <f>(V63+V64)*'DATA - P&amp;L'!$C$5</f>
        <v>147.84</v>
      </c>
      <c r="W356" s="70">
        <f>(W63+W64)*'DATA - P&amp;L'!$C$5</f>
        <v>134.4</v>
      </c>
      <c r="X356" s="70">
        <f>(X63+X64)*'DATA - P&amp;L'!$C$5</f>
        <v>107.52</v>
      </c>
      <c r="Y356" s="70">
        <f>(Y63+Y64)*'DATA - P&amp;L'!$C$5</f>
        <v>80.64</v>
      </c>
      <c r="Z356" s="70">
        <f>(Z63+Z64)*'DATA - P&amp;L'!$C$5</f>
        <v>53.76</v>
      </c>
      <c r="AA356" s="70">
        <f>(AA63+AA64)*'DATA - P&amp;L'!$C$5</f>
        <v>120.96</v>
      </c>
      <c r="AB356" s="70">
        <f>(AB63+AB64)*'DATA - P&amp;L'!$C$5</f>
        <v>67.2</v>
      </c>
      <c r="AC356" s="70">
        <f>(AC63+AC64)*'DATA - P&amp;L'!$C$5</f>
        <v>53.76</v>
      </c>
      <c r="AD356" s="70">
        <f>(AD63+AD64)*'DATA - P&amp;L'!$C$5</f>
        <v>107.52</v>
      </c>
      <c r="AE356" s="74">
        <f>(AE63+AE64)*'DATA - P&amp;L'!$C$5</f>
        <v>26.88</v>
      </c>
      <c r="AF356" s="87">
        <f t="shared" si="117"/>
        <v>2929.92</v>
      </c>
    </row>
    <row r="357">
      <c r="A357" s="603" t="s">
        <v>582</v>
      </c>
      <c r="B357" s="456">
        <f>(B65+B66)*'DATA - P&amp;L'!$C$10</f>
        <v>0</v>
      </c>
      <c r="C357" s="456">
        <f>(C65+C66)*'DATA - P&amp;L'!$C$10</f>
        <v>0</v>
      </c>
      <c r="D357" s="456">
        <f>(D65+D66)*'DATA - P&amp;L'!$C$10</f>
        <v>0</v>
      </c>
      <c r="E357" s="456">
        <f>(E65+E66)*'DATA - P&amp;L'!$C$10</f>
        <v>0</v>
      </c>
      <c r="F357" s="456">
        <f>(F65+F66)*'DATA - P&amp;L'!$C$10</f>
        <v>0</v>
      </c>
      <c r="G357" s="456">
        <f>(G65+G66)*'DATA - P&amp;L'!$C$10</f>
        <v>0</v>
      </c>
      <c r="H357" s="456">
        <f>(H65+H66)*'DATA - P&amp;L'!$C$10</f>
        <v>0</v>
      </c>
      <c r="I357" s="456">
        <f>(I65+I66)*'DATA - P&amp;L'!$C$10</f>
        <v>0</v>
      </c>
      <c r="J357" s="456">
        <f>(J65+J66)*'DATA - P&amp;L'!$C$10</f>
        <v>0</v>
      </c>
      <c r="K357" s="456">
        <f>(K65+K66)*'DATA - P&amp;L'!$C$10</f>
        <v>0</v>
      </c>
      <c r="L357" s="456">
        <f>(L65+L66)*'DATA - P&amp;L'!$C$10</f>
        <v>0</v>
      </c>
      <c r="M357" s="456">
        <f>(M65+M66)*'DATA - P&amp;L'!$C$10</f>
        <v>0</v>
      </c>
      <c r="N357" s="456">
        <f>(N65+N66)*'DATA - P&amp;L'!$C$10</f>
        <v>0</v>
      </c>
      <c r="O357" s="456">
        <f>(O65+O66)*'DATA - P&amp;L'!$C$10</f>
        <v>0</v>
      </c>
      <c r="P357" s="456">
        <f>(P65+P66)*'DATA - P&amp;L'!$C$10</f>
        <v>0</v>
      </c>
      <c r="Q357" s="456">
        <f>(Q65+Q66)*'DATA - P&amp;L'!$C$10</f>
        <v>0</v>
      </c>
      <c r="R357" s="456">
        <f>(R65+R66)*'DATA - P&amp;L'!$C$10</f>
        <v>0</v>
      </c>
      <c r="S357" s="456">
        <f>(S65+S66)*'DATA - P&amp;L'!$C$10</f>
        <v>3192</v>
      </c>
      <c r="T357" s="456">
        <f>(T65+T66)*'DATA - P&amp;L'!$C$10</f>
        <v>1512</v>
      </c>
      <c r="U357" s="456">
        <f>(U65+U66)*'DATA - P&amp;L'!$C$10</f>
        <v>720</v>
      </c>
      <c r="V357" s="456">
        <f>(V65+V66)*'DATA - P&amp;L'!$C$10</f>
        <v>474</v>
      </c>
      <c r="W357" s="456">
        <f>(W65+W66)*'DATA - P&amp;L'!$C$10</f>
        <v>420</v>
      </c>
      <c r="X357" s="456">
        <f>(X65+X66)*'DATA - P&amp;L'!$C$10</f>
        <v>438</v>
      </c>
      <c r="Y357" s="456">
        <f>(Y65+Y66)*'DATA - P&amp;L'!$C$10</f>
        <v>438</v>
      </c>
      <c r="Z357" s="456">
        <f>(Z65+Z66)*'DATA - P&amp;L'!$C$10</f>
        <v>324</v>
      </c>
      <c r="AA357" s="456">
        <f>(AA65+AA66)*'DATA - P&amp;L'!$C$10</f>
        <v>240</v>
      </c>
      <c r="AB357" s="456">
        <f>(AB65+AB66)*'DATA - P&amp;L'!$C$10</f>
        <v>288</v>
      </c>
      <c r="AC357" s="456">
        <f>(AC65+AC66)*'DATA - P&amp;L'!$C$10</f>
        <v>300</v>
      </c>
      <c r="AD357" s="456">
        <f>(AD65+AD66)*'DATA - P&amp;L'!$C$10</f>
        <v>234</v>
      </c>
      <c r="AE357" s="457">
        <f>(AE65+AE66)*'DATA - P&amp;L'!$C$10</f>
        <v>228</v>
      </c>
      <c r="AF357" s="87">
        <f t="shared" si="117"/>
        <v>8808</v>
      </c>
    </row>
    <row r="358">
      <c r="A358" s="617" t="s">
        <v>588</v>
      </c>
      <c r="B358" s="691">
        <f>B70*'DATA - P&amp;L'!$C$11</f>
        <v>0</v>
      </c>
      <c r="C358" s="691">
        <f>C70*'DATA - P&amp;L'!$C$11</f>
        <v>0</v>
      </c>
      <c r="D358" s="691">
        <f>D70*'DATA - P&amp;L'!$C$11</f>
        <v>0</v>
      </c>
      <c r="E358" s="691">
        <f>E70*'DATA - P&amp;L'!$C$11</f>
        <v>0</v>
      </c>
      <c r="F358" s="691">
        <f>F70*'DATA - P&amp;L'!$C$11</f>
        <v>0</v>
      </c>
      <c r="G358" s="691">
        <f>G70*'DATA - P&amp;L'!$C$11</f>
        <v>0</v>
      </c>
      <c r="H358" s="691">
        <f>H70*'DATA - P&amp;L'!$C$11</f>
        <v>0</v>
      </c>
      <c r="I358" s="691">
        <f>I70*'DATA - P&amp;L'!$C$11</f>
        <v>0</v>
      </c>
      <c r="J358" s="691">
        <f>J70*'DATA - P&amp;L'!$C$11</f>
        <v>0</v>
      </c>
      <c r="K358" s="691">
        <f>K70*'DATA - P&amp;L'!$C$11</f>
        <v>0</v>
      </c>
      <c r="L358" s="691">
        <f>L70*'DATA - P&amp;L'!$C$11</f>
        <v>0</v>
      </c>
      <c r="M358" s="691">
        <f>M70*'DATA - P&amp;L'!$C$11</f>
        <v>0</v>
      </c>
      <c r="N358" s="691">
        <f>N70*'DATA - P&amp;L'!$C$11</f>
        <v>0</v>
      </c>
      <c r="O358" s="691">
        <f>O70*'DATA - P&amp;L'!$C$11</f>
        <v>0</v>
      </c>
      <c r="P358" s="691">
        <f>P70*'DATA - P&amp;L'!$C$11</f>
        <v>0</v>
      </c>
      <c r="Q358" s="691">
        <f>Q70*'DATA - P&amp;L'!$C$11</f>
        <v>0</v>
      </c>
      <c r="R358" s="691">
        <f>R70*'DATA - P&amp;L'!$C$11</f>
        <v>0</v>
      </c>
      <c r="S358" s="691">
        <f>S70*'DATA - P&amp;L'!$C$11</f>
        <v>0</v>
      </c>
      <c r="T358" s="691">
        <f>T70*'DATA - P&amp;L'!$C$11</f>
        <v>0</v>
      </c>
      <c r="U358" s="691">
        <f>U70*'DATA - P&amp;L'!$C$11</f>
        <v>0</v>
      </c>
      <c r="V358" s="691">
        <f>V70*'DATA - P&amp;L'!$C$11</f>
        <v>0</v>
      </c>
      <c r="W358" s="691">
        <f>W70*'DATA - P&amp;L'!$C$11</f>
        <v>0</v>
      </c>
      <c r="X358" s="691">
        <f>X70*'DATA - P&amp;L'!$C$11</f>
        <v>0</v>
      </c>
      <c r="Y358" s="691">
        <f>Y70*'DATA - P&amp;L'!$C$11</f>
        <v>0</v>
      </c>
      <c r="Z358" s="691">
        <f>Z70*'DATA - P&amp;L'!$C$11</f>
        <v>0</v>
      </c>
      <c r="AA358" s="691">
        <f>AA70*'DATA - P&amp;L'!$C$11</f>
        <v>0</v>
      </c>
      <c r="AB358" s="691">
        <f>AB70*'DATA - P&amp;L'!$C$11</f>
        <v>0</v>
      </c>
      <c r="AC358" s="691">
        <f>AC70*'DATA - P&amp;L'!$C$11</f>
        <v>0</v>
      </c>
      <c r="AD358" s="691">
        <f>AD70*'DATA - P&amp;L'!$C$11</f>
        <v>0</v>
      </c>
      <c r="AE358" s="692">
        <f>AE70*'DATA - P&amp;L'!$C$11</f>
        <v>0</v>
      </c>
      <c r="AF358" s="129">
        <f t="shared" si="117"/>
        <v>0</v>
      </c>
    </row>
    <row r="359">
      <c r="A359" s="603" t="s">
        <v>591</v>
      </c>
      <c r="B359" s="70">
        <f>(B50*'DATA - P&amp;L'!$L$12*'DATA - P&amp;L'!$L$3)+(B50*'DATA - P&amp;L'!$L$13*'DATA - P&amp;L'!$L$14)</f>
        <v>511.8818319</v>
      </c>
      <c r="C359" s="70">
        <f>(C50*'DATA - P&amp;L'!$L$12*'DATA - P&amp;L'!$L$3)+(C50*'DATA - P&amp;L'!$L$13*'DATA - P&amp;L'!$L$14)</f>
        <v>748.4811915</v>
      </c>
      <c r="D359" s="70">
        <f>(D50*'DATA - P&amp;L'!$L$12*'DATA - P&amp;L'!$L$3)+(D50*'DATA - P&amp;L'!$L$13*'DATA - P&amp;L'!$L$14)</f>
        <v>910.3286382</v>
      </c>
      <c r="E359" s="70">
        <f>(E50*'DATA - P&amp;L'!$L$12*'DATA - P&amp;L'!$L$3)+(E50*'DATA - P&amp;L'!$L$13*'DATA - P&amp;L'!$L$14)</f>
        <v>1106.197155</v>
      </c>
      <c r="F359" s="70">
        <f>(F50*'DATA - P&amp;L'!$L$12*'DATA - P&amp;L'!$L$3)+(F50*'DATA - P&amp;L'!$L$13*'DATA - P&amp;L'!$L$14)</f>
        <v>1031.04215</v>
      </c>
      <c r="G359" s="70">
        <f>(G50*'DATA - P&amp;L'!$L$12*'DATA - P&amp;L'!$L$3)+(G50*'DATA - P&amp;L'!$L$13*'DATA - P&amp;L'!$L$14)</f>
        <v>798.3385324</v>
      </c>
      <c r="H359" s="70">
        <f>(H50*'DATA - P&amp;L'!$L$12*'DATA - P&amp;L'!$L$3)+(H50*'DATA - P&amp;L'!$L$13*'DATA - P&amp;L'!$L$14)</f>
        <v>578.7783259</v>
      </c>
      <c r="I359" s="70">
        <f>(I50*'DATA - P&amp;L'!$L$12*'DATA - P&amp;L'!$L$3)+(I50*'DATA - P&amp;L'!$L$13*'DATA - P&amp;L'!$L$14)</f>
        <v>434.2616955</v>
      </c>
      <c r="J359" s="70">
        <f>(J50*'DATA - P&amp;L'!$L$12*'DATA - P&amp;L'!$L$3)+(J50*'DATA - P&amp;L'!$L$13*'DATA - P&amp;L'!$L$14)</f>
        <v>539.0719569</v>
      </c>
      <c r="K359" s="70">
        <f>(K50*'DATA - P&amp;L'!$L$12*'DATA - P&amp;L'!$L$3)+(K50*'DATA - P&amp;L'!$L$13*'DATA - P&amp;L'!$L$14)</f>
        <v>717.5402425</v>
      </c>
      <c r="L359" s="70">
        <f>(L50*'DATA - P&amp;L'!$L$12*'DATA - P&amp;L'!$L$3)+(L50*'DATA - P&amp;L'!$L$13*'DATA - P&amp;L'!$L$14)</f>
        <v>631.618059</v>
      </c>
      <c r="M359" s="70">
        <f>(M50*'DATA - P&amp;L'!$L$12*'DATA - P&amp;L'!$L$3)+(M50*'DATA - P&amp;L'!$L$13*'DATA - P&amp;L'!$L$14)</f>
        <v>535.9973164</v>
      </c>
      <c r="N359" s="70">
        <f>(N50*'DATA - P&amp;L'!$L$12*'DATA - P&amp;L'!$L$3)+(N50*'DATA - P&amp;L'!$L$13*'DATA - P&amp;L'!$L$14)</f>
        <v>520.9328259</v>
      </c>
      <c r="O359" s="70">
        <f>(O50*'DATA - P&amp;L'!$L$12*'DATA - P&amp;L'!$L$3)+(O50*'DATA - P&amp;L'!$L$13*'DATA - P&amp;L'!$L$14)</f>
        <v>626.7559925</v>
      </c>
      <c r="P359" s="70">
        <f>(P50*'DATA - P&amp;L'!$L$12*'DATA - P&amp;L'!$L$3)+(P50*'DATA - P&amp;L'!$L$13*'DATA - P&amp;L'!$L$14)</f>
        <v>641.887462</v>
      </c>
      <c r="Q359" s="70">
        <f>(Q50*'DATA - P&amp;L'!$L$12*'DATA - P&amp;L'!$L$3)+(Q50*'DATA - P&amp;L'!$L$13*'DATA - P&amp;L'!$L$14)</f>
        <v>594.1774069</v>
      </c>
      <c r="R359" s="70">
        <f>(R50*'DATA - P&amp;L'!$L$12*'DATA - P&amp;L'!$L$3)+(R50*'DATA - P&amp;L'!$L$13*'DATA - P&amp;L'!$L$14)</f>
        <v>618.2989804</v>
      </c>
      <c r="S359" s="70">
        <f>(S50*'DATA - P&amp;L'!$L$12*'DATA - P&amp;L'!$L$3)+(S50*'DATA - P&amp;L'!$L$13*'DATA - P&amp;L'!$L$14)</f>
        <v>1602.907939</v>
      </c>
      <c r="T359" s="70">
        <f>(T50*'DATA - P&amp;L'!$L$12*'DATA - P&amp;L'!$L$3)+(T50*'DATA - P&amp;L'!$L$13*'DATA - P&amp;L'!$L$14)</f>
        <v>1072.80721</v>
      </c>
      <c r="U359" s="70">
        <f>(U50*'DATA - P&amp;L'!$L$12*'DATA - P&amp;L'!$L$3)+(U50*'DATA - P&amp;L'!$L$13*'DATA - P&amp;L'!$L$14)</f>
        <v>759.8621414</v>
      </c>
      <c r="V359" s="70">
        <f>(V50*'DATA - P&amp;L'!$L$12*'DATA - P&amp;L'!$L$3)+(V50*'DATA - P&amp;L'!$L$13*'DATA - P&amp;L'!$L$14)</f>
        <v>710.1533721</v>
      </c>
      <c r="W359" s="70">
        <f>(W50*'DATA - P&amp;L'!$L$12*'DATA - P&amp;L'!$L$3)+(W50*'DATA - P&amp;L'!$L$13*'DATA - P&amp;L'!$L$14)</f>
        <v>640.0519329</v>
      </c>
      <c r="X359" s="70">
        <f>(X50*'DATA - P&amp;L'!$L$12*'DATA - P&amp;L'!$L$3)+(X50*'DATA - P&amp;L'!$L$13*'DATA - P&amp;L'!$L$14)</f>
        <v>659.1561704</v>
      </c>
      <c r="Y359" s="70">
        <f>(Y50*'DATA - P&amp;L'!$L$12*'DATA - P&amp;L'!$L$3)+(Y50*'DATA - P&amp;L'!$L$13*'DATA - P&amp;L'!$L$14)</f>
        <v>769.9768838</v>
      </c>
      <c r="Z359" s="70">
        <f>(Z50*'DATA - P&amp;L'!$L$12*'DATA - P&amp;L'!$L$3)+(Z50*'DATA - P&amp;L'!$L$13*'DATA - P&amp;L'!$L$14)</f>
        <v>741.2401527</v>
      </c>
      <c r="AA359" s="70">
        <f>(AA50*'DATA - P&amp;L'!$L$12*'DATA - P&amp;L'!$L$3)+(AA50*'DATA - P&amp;L'!$L$13*'DATA - P&amp;L'!$L$14)</f>
        <v>523.2049363</v>
      </c>
      <c r="AB359" s="70">
        <f>(AB50*'DATA - P&amp;L'!$L$12*'DATA - P&amp;L'!$L$3)+(AB50*'DATA - P&amp;L'!$L$13*'DATA - P&amp;L'!$L$14)</f>
        <v>864.933621</v>
      </c>
      <c r="AC359" s="70">
        <f>(AC50*'DATA - P&amp;L'!$L$12*'DATA - P&amp;L'!$L$3)+(AC50*'DATA - P&amp;L'!$L$13*'DATA - P&amp;L'!$L$14)</f>
        <v>670.6141462</v>
      </c>
      <c r="AD359" s="70">
        <f>(AD50*'DATA - P&amp;L'!$L$12*'DATA - P&amp;L'!$L$3)+(AD50*'DATA - P&amp;L'!$L$13*'DATA - P&amp;L'!$L$14)</f>
        <v>724.7977216</v>
      </c>
      <c r="AE359" s="74">
        <f>(AE50*'DATA - P&amp;L'!$L$12*'DATA - P&amp;L'!$L$3)+(AE50*'DATA - P&amp;L'!$L$13*'DATA - P&amp;L'!$L$14)</f>
        <v>750.6409598</v>
      </c>
      <c r="AF359" s="87">
        <f t="shared" si="117"/>
        <v>22035.93695</v>
      </c>
    </row>
    <row r="360">
      <c r="A360" s="617" t="s">
        <v>599</v>
      </c>
      <c r="B360" s="81">
        <f>(B42*'DATA - P&amp;L'!$L$12*'DATA - P&amp;L'!$I$10)+(B42*'DATA - P&amp;L'!$L$13*'DATA - P&amp;L'!$L$15)</f>
        <v>24</v>
      </c>
      <c r="C360" s="81">
        <f>(C42*'DATA - P&amp;L'!$L$12*'DATA - P&amp;L'!$I$10)+(C42*'DATA - P&amp;L'!$L$13*'DATA - P&amp;L'!$L$15)</f>
        <v>33.9</v>
      </c>
      <c r="D360" s="81">
        <f>(D42*'DATA - P&amp;L'!$L$12*'DATA - P&amp;L'!$I$10)+(D42*'DATA - P&amp;L'!$L$13*'DATA - P&amp;L'!$L$15)</f>
        <v>41.7</v>
      </c>
      <c r="E360" s="81">
        <f>(E42*'DATA - P&amp;L'!$L$12*'DATA - P&amp;L'!$I$10)+(E42*'DATA - P&amp;L'!$L$13*'DATA - P&amp;L'!$L$15)</f>
        <v>50.4</v>
      </c>
      <c r="F360" s="81">
        <f>(F42*'DATA - P&amp;L'!$L$12*'DATA - P&amp;L'!$I$10)+(F42*'DATA - P&amp;L'!$L$13*'DATA - P&amp;L'!$L$15)</f>
        <v>45.9</v>
      </c>
      <c r="G360" s="81">
        <f>(G42*'DATA - P&amp;L'!$L$12*'DATA - P&amp;L'!$I$10)+(G42*'DATA - P&amp;L'!$L$13*'DATA - P&amp;L'!$L$15)</f>
        <v>37.5</v>
      </c>
      <c r="H360" s="81">
        <f>(H42*'DATA - P&amp;L'!$L$12*'DATA - P&amp;L'!$I$10)+(H42*'DATA - P&amp;L'!$L$13*'DATA - P&amp;L'!$L$15)</f>
        <v>24.3</v>
      </c>
      <c r="I360" s="81">
        <f>(I42*'DATA - P&amp;L'!$L$12*'DATA - P&amp;L'!$I$10)+(I42*'DATA - P&amp;L'!$L$13*'DATA - P&amp;L'!$L$15)</f>
        <v>15.9</v>
      </c>
      <c r="J360" s="81">
        <f>(J42*'DATA - P&amp;L'!$L$12*'DATA - P&amp;L'!$I$10)+(J42*'DATA - P&amp;L'!$L$13*'DATA - P&amp;L'!$L$15)</f>
        <v>19.2</v>
      </c>
      <c r="K360" s="81">
        <f>(K42*'DATA - P&amp;L'!$L$12*'DATA - P&amp;L'!$I$10)+(K42*'DATA - P&amp;L'!$L$13*'DATA - P&amp;L'!$L$15)</f>
        <v>27.9</v>
      </c>
      <c r="L360" s="81">
        <f>(L42*'DATA - P&amp;L'!$L$12*'DATA - P&amp;L'!$I$10)+(L42*'DATA - P&amp;L'!$L$13*'DATA - P&amp;L'!$L$15)</f>
        <v>25.8</v>
      </c>
      <c r="M360" s="81">
        <f>(M42*'DATA - P&amp;L'!$L$12*'DATA - P&amp;L'!$I$10)+(M42*'DATA - P&amp;L'!$L$13*'DATA - P&amp;L'!$L$15)</f>
        <v>20.7</v>
      </c>
      <c r="N360" s="81">
        <f>(N42*'DATA - P&amp;L'!$L$12*'DATA - P&amp;L'!$I$10)+(N42*'DATA - P&amp;L'!$L$13*'DATA - P&amp;L'!$L$15)</f>
        <v>19.8</v>
      </c>
      <c r="O360" s="81">
        <f>(O42*'DATA - P&amp;L'!$L$12*'DATA - P&amp;L'!$I$10)+(O42*'DATA - P&amp;L'!$L$13*'DATA - P&amp;L'!$L$15)</f>
        <v>23.7</v>
      </c>
      <c r="P360" s="81">
        <f>(P42*'DATA - P&amp;L'!$L$12*'DATA - P&amp;L'!$I$10)+(P42*'DATA - P&amp;L'!$L$13*'DATA - P&amp;L'!$L$15)</f>
        <v>27.9</v>
      </c>
      <c r="Q360" s="81">
        <f>(Q42*'DATA - P&amp;L'!$L$12*'DATA - P&amp;L'!$I$10)+(Q42*'DATA - P&amp;L'!$L$13*'DATA - P&amp;L'!$L$15)</f>
        <v>25.8</v>
      </c>
      <c r="R360" s="81">
        <f>(R42*'DATA - P&amp;L'!$L$12*'DATA - P&amp;L'!$I$10)+(R42*'DATA - P&amp;L'!$L$13*'DATA - P&amp;L'!$L$15)</f>
        <v>24.9</v>
      </c>
      <c r="S360" s="81">
        <f>(S42*'DATA - P&amp;L'!$L$12*'DATA - P&amp;L'!$I$10)+(S42*'DATA - P&amp;L'!$L$13*'DATA - P&amp;L'!$L$15)</f>
        <v>178.2</v>
      </c>
      <c r="T360" s="81">
        <f>(T42*'DATA - P&amp;L'!$L$12*'DATA - P&amp;L'!$I$10)+(T42*'DATA - P&amp;L'!$L$13*'DATA - P&amp;L'!$L$15)</f>
        <v>93</v>
      </c>
      <c r="U360" s="81">
        <f>(U42*'DATA - P&amp;L'!$L$12*'DATA - P&amp;L'!$I$10)+(U42*'DATA - P&amp;L'!$L$13*'DATA - P&amp;L'!$L$15)</f>
        <v>52.5</v>
      </c>
      <c r="V360" s="81">
        <f>(V42*'DATA - P&amp;L'!$L$12*'DATA - P&amp;L'!$I$10)+(V42*'DATA - P&amp;L'!$L$13*'DATA - P&amp;L'!$L$15)</f>
        <v>41.7</v>
      </c>
      <c r="W360" s="81">
        <f>(W42*'DATA - P&amp;L'!$L$12*'DATA - P&amp;L'!$I$10)+(W42*'DATA - P&amp;L'!$L$13*'DATA - P&amp;L'!$L$15)</f>
        <v>36.6</v>
      </c>
      <c r="X360" s="81">
        <f>(X42*'DATA - P&amp;L'!$L$12*'DATA - P&amp;L'!$I$10)+(X42*'DATA - P&amp;L'!$L$13*'DATA - P&amp;L'!$L$15)</f>
        <v>37.5</v>
      </c>
      <c r="Y360" s="81">
        <f>(Y42*'DATA - P&amp;L'!$L$12*'DATA - P&amp;L'!$I$10)+(Y42*'DATA - P&amp;L'!$L$13*'DATA - P&amp;L'!$L$15)</f>
        <v>40.5</v>
      </c>
      <c r="Z360" s="81">
        <f>(Z42*'DATA - P&amp;L'!$L$12*'DATA - P&amp;L'!$I$10)+(Z42*'DATA - P&amp;L'!$L$13*'DATA - P&amp;L'!$L$15)</f>
        <v>36.9</v>
      </c>
      <c r="AA360" s="81">
        <f>(AA42*'DATA - P&amp;L'!$L$12*'DATA - P&amp;L'!$I$10)+(AA42*'DATA - P&amp;L'!$L$13*'DATA - P&amp;L'!$L$15)</f>
        <v>30</v>
      </c>
      <c r="AB360" s="81">
        <f>(AB42*'DATA - P&amp;L'!$L$12*'DATA - P&amp;L'!$I$10)+(AB42*'DATA - P&amp;L'!$L$13*'DATA - P&amp;L'!$L$15)</f>
        <v>36</v>
      </c>
      <c r="AC360" s="81">
        <f>(AC42*'DATA - P&amp;L'!$L$12*'DATA - P&amp;L'!$I$10)+(AC42*'DATA - P&amp;L'!$L$13*'DATA - P&amp;L'!$L$15)</f>
        <v>32.7</v>
      </c>
      <c r="AD360" s="81">
        <f>(AD42*'DATA - P&amp;L'!$L$12*'DATA - P&amp;L'!$I$10)+(AD42*'DATA - P&amp;L'!$L$13*'DATA - P&amp;L'!$L$15)</f>
        <v>30.9</v>
      </c>
      <c r="AE360" s="89">
        <f>(AE42*'DATA - P&amp;L'!$L$12*'DATA - P&amp;L'!$I$10)+(AE42*'DATA - P&amp;L'!$L$13*'DATA - P&amp;L'!$L$15)</f>
        <v>30.9</v>
      </c>
      <c r="AF360" s="129">
        <f t="shared" si="117"/>
        <v>1166.7</v>
      </c>
    </row>
    <row r="361">
      <c r="A361" s="603" t="s">
        <v>605</v>
      </c>
      <c r="B361" s="70">
        <f>((SUM(B125:B128))*'DATA - P&amp;L'!$C$38)+((SUM(B130:B133))*'DATA - P&amp;L'!$C$39)</f>
        <v>776.1</v>
      </c>
      <c r="C361" s="70">
        <f>((SUM(C125:C128))*'DATA - P&amp;L'!$C$38)+((SUM(C130:C133))*'DATA - P&amp;L'!$C$39)</f>
        <v>1170.12</v>
      </c>
      <c r="D361" s="70">
        <f>((SUM(D125:D128))*'DATA - P&amp;L'!$C$38)+((SUM(D130:D133))*'DATA - P&amp;L'!$C$39)</f>
        <v>1396.98</v>
      </c>
      <c r="E361" s="70">
        <f>((SUM(E125:E128))*'DATA - P&amp;L'!$C$38)+((SUM(E130:E133))*'DATA - P&amp;L'!$C$39)</f>
        <v>1802.94</v>
      </c>
      <c r="F361" s="70">
        <f>((SUM(F125:F128))*'DATA - P&amp;L'!$C$38)+((SUM(F130:F133))*'DATA - P&amp;L'!$C$39)</f>
        <v>1671.6</v>
      </c>
      <c r="G361" s="70">
        <f>((SUM(G125:G128))*'DATA - P&amp;L'!$C$38)+((SUM(G130:G133))*'DATA - P&amp;L'!$C$39)</f>
        <v>1277.58</v>
      </c>
      <c r="H361" s="70">
        <f>((SUM(H125:H128))*'DATA - P&amp;L'!$C$38)+((SUM(H130:H133))*'DATA - P&amp;L'!$C$39)</f>
        <v>835.8</v>
      </c>
      <c r="I361" s="70">
        <f>((SUM(I125:I128))*'DATA - P&amp;L'!$C$38)+((SUM(I130:I133))*'DATA - P&amp;L'!$C$39)</f>
        <v>585.06</v>
      </c>
      <c r="J361" s="70">
        <f>((SUM(J125:J128))*'DATA - P&amp;L'!$C$38)+((SUM(J130:J133))*'DATA - P&amp;L'!$C$39)</f>
        <v>704.46</v>
      </c>
      <c r="K361" s="70">
        <f>((SUM(K125:K128))*'DATA - P&amp;L'!$C$38)+((SUM(K130:K133))*'DATA - P&amp;L'!$C$39)</f>
        <v>907.44</v>
      </c>
      <c r="L361" s="70">
        <f>((SUM(L125:L128))*'DATA - P&amp;L'!$C$38)+((SUM(L130:L133))*'DATA - P&amp;L'!$C$39)</f>
        <v>811.92</v>
      </c>
      <c r="M361" s="70">
        <f>((SUM(M125:M128))*'DATA - P&amp;L'!$C$38)+((SUM(M130:M133))*'DATA - P&amp;L'!$C$39)</f>
        <v>728.34</v>
      </c>
      <c r="N361" s="70">
        <f>((SUM(N125:N128))*'DATA - P&amp;L'!$C$38)+((SUM(N130:N133))*'DATA - P&amp;L'!$C$39)</f>
        <v>752.22</v>
      </c>
      <c r="O361" s="70">
        <f>((SUM(O125:O128))*'DATA - P&amp;L'!$C$38)+((SUM(O130:O133))*'DATA - P&amp;L'!$C$39)</f>
        <v>907.44</v>
      </c>
      <c r="P361" s="70">
        <f>((SUM(P125:P128))*'DATA - P&amp;L'!$C$38)+((SUM(P130:P133))*'DATA - P&amp;L'!$C$39)</f>
        <v>907.44</v>
      </c>
      <c r="Q361" s="70">
        <f>((SUM(Q125:Q128))*'DATA - P&amp;L'!$C$38)+((SUM(Q130:Q133))*'DATA - P&amp;L'!$C$39)</f>
        <v>823.86</v>
      </c>
      <c r="R361" s="70">
        <f>((SUM(R125:R128))*'DATA - P&amp;L'!$C$38)+((SUM(R130:R133))*'DATA - P&amp;L'!$C$39)</f>
        <v>895.5</v>
      </c>
      <c r="S361" s="70">
        <f>((SUM(S125:S128))*'DATA - P&amp;L'!$C$38)+((SUM(S130:S133))*'DATA - P&amp;L'!$C$39)</f>
        <v>1026.84</v>
      </c>
      <c r="T361" s="70">
        <f>((SUM(T125:T128))*'DATA - P&amp;L'!$C$38)+((SUM(T130:T133))*'DATA - P&amp;L'!$C$39)</f>
        <v>883.56</v>
      </c>
      <c r="U361" s="70">
        <f>((SUM(U125:U128))*'DATA - P&amp;L'!$C$38)+((SUM(U130:U133))*'DATA - P&amp;L'!$C$39)</f>
        <v>776.1</v>
      </c>
      <c r="V361" s="70">
        <f>((SUM(V125:V128))*'DATA - P&amp;L'!$C$38)+((SUM(V130:V133))*'DATA - P&amp;L'!$C$39)</f>
        <v>740.28</v>
      </c>
      <c r="W361" s="70">
        <f>((SUM(W125:W128))*'DATA - P&amp;L'!$C$38)+((SUM(W130:W133))*'DATA - P&amp;L'!$C$39)</f>
        <v>704.46</v>
      </c>
      <c r="X361" s="70">
        <f>((SUM(X125:X128))*'DATA - P&amp;L'!$C$38)+((SUM(X130:X133))*'DATA - P&amp;L'!$C$39)</f>
        <v>692.52</v>
      </c>
      <c r="Y361" s="70">
        <f>((SUM(Y125:Y128))*'DATA - P&amp;L'!$C$38)+((SUM(Y130:Y133))*'DATA - P&amp;L'!$C$39)</f>
        <v>835.8</v>
      </c>
      <c r="Z361" s="70">
        <f>((SUM(Z125:Z128))*'DATA - P&amp;L'!$C$38)+((SUM(Z130:Z133))*'DATA - P&amp;L'!$C$39)</f>
        <v>859.68</v>
      </c>
      <c r="AA361" s="70">
        <f>((SUM(AA125:AA128))*'DATA - P&amp;L'!$C$38)+((SUM(AA130:AA133))*'DATA - P&amp;L'!$C$39)</f>
        <v>608.94</v>
      </c>
      <c r="AB361" s="70">
        <f>((SUM(AB125:AB128))*'DATA - P&amp;L'!$C$38)+((SUM(AB130:AB133))*'DATA - P&amp;L'!$C$39)</f>
        <v>1122.36</v>
      </c>
      <c r="AC361" s="70">
        <f>((SUM(AC125:AC128))*'DATA - P&amp;L'!$C$38)+((SUM(AC130:AC133))*'DATA - P&amp;L'!$C$39)</f>
        <v>823.86</v>
      </c>
      <c r="AD361" s="70">
        <f>((SUM(AD125:AD128))*'DATA - P&amp;L'!$C$38)+((SUM(AD130:AD133))*'DATA - P&amp;L'!$C$39)</f>
        <v>871.62</v>
      </c>
      <c r="AE361" s="74">
        <f>((SUM(AE125:AE128))*'DATA - P&amp;L'!$C$38)+((SUM(AE130:AE133))*'DATA - P&amp;L'!$C$39)</f>
        <v>931.32</v>
      </c>
      <c r="AF361" s="87">
        <f t="shared" si="117"/>
        <v>27832.14</v>
      </c>
    </row>
    <row r="362">
      <c r="A362" s="603" t="s">
        <v>610</v>
      </c>
      <c r="B362" s="456">
        <f>((SUM(B125:B128))*'DATA - P&amp;L'!$C$34)+((SUM(B130:B133))*'DATA - P&amp;L'!$C$35)</f>
        <v>791.7</v>
      </c>
      <c r="C362" s="456">
        <f>((SUM(C125:C128))*'DATA - P&amp;L'!$C$34)+((SUM(C130:C133))*'DATA - P&amp;L'!$C$35)</f>
        <v>1191.96</v>
      </c>
      <c r="D362" s="456">
        <f>((SUM(D125:D128))*'DATA - P&amp;L'!$C$34)+((SUM(D130:D133))*'DATA - P&amp;L'!$C$35)</f>
        <v>1425.06</v>
      </c>
      <c r="E362" s="456">
        <f>((SUM(E125:E128))*'DATA - P&amp;L'!$C$34)+((SUM(E130:E133))*'DATA - P&amp;L'!$C$35)</f>
        <v>1846.62</v>
      </c>
      <c r="F362" s="456">
        <f>((SUM(F125:F128))*'DATA - P&amp;L'!$C$34)+((SUM(F130:F133))*'DATA - P&amp;L'!$C$35)</f>
        <v>1696.56</v>
      </c>
      <c r="G362" s="456">
        <f>((SUM(G125:G128))*'DATA - P&amp;L'!$C$34)+((SUM(G130:G133))*'DATA - P&amp;L'!$C$35)</f>
        <v>1308.78</v>
      </c>
      <c r="H362" s="456">
        <f>((SUM(H125:H128))*'DATA - P&amp;L'!$C$34)+((SUM(H130:H133))*'DATA - P&amp;L'!$C$35)</f>
        <v>860.76</v>
      </c>
      <c r="I362" s="456">
        <f>((SUM(I125:I128))*'DATA - P&amp;L'!$C$34)+((SUM(I130:I133))*'DATA - P&amp;L'!$C$35)</f>
        <v>616.26</v>
      </c>
      <c r="J362" s="456">
        <f>((SUM(J125:J128))*'DATA - P&amp;L'!$C$34)+((SUM(J130:J133))*'DATA - P&amp;L'!$C$35)</f>
        <v>723.18</v>
      </c>
      <c r="K362" s="456">
        <f>((SUM(K125:K128))*'DATA - P&amp;L'!$C$34)+((SUM(K130:K133))*'DATA - P&amp;L'!$C$35)</f>
        <v>935.52</v>
      </c>
      <c r="L362" s="456">
        <f>((SUM(L125:L128))*'DATA - P&amp;L'!$C$34)+((SUM(L130:L133))*'DATA - P&amp;L'!$C$35)</f>
        <v>827.52</v>
      </c>
      <c r="M362" s="456">
        <f>((SUM(M125:M128))*'DATA - P&amp;L'!$C$34)+((SUM(M130:M133))*'DATA - P&amp;L'!$C$35)</f>
        <v>734.58</v>
      </c>
      <c r="N362" s="456">
        <f>((SUM(N125:N128))*'DATA - P&amp;L'!$C$34)+((SUM(N130:N133))*'DATA - P&amp;L'!$C$35)</f>
        <v>774.06</v>
      </c>
      <c r="O362" s="456">
        <f>((SUM(O125:O128))*'DATA - P&amp;L'!$C$34)+((SUM(O130:O133))*'DATA - P&amp;L'!$C$35)</f>
        <v>929.28</v>
      </c>
      <c r="P362" s="456">
        <f>((SUM(P125:P128))*'DATA - P&amp;L'!$C$34)+((SUM(P130:P133))*'DATA - P&amp;L'!$C$35)</f>
        <v>926.16</v>
      </c>
      <c r="Q362" s="456">
        <f>((SUM(Q125:Q128))*'DATA - P&amp;L'!$C$34)+((SUM(Q130:Q133))*'DATA - P&amp;L'!$C$35)</f>
        <v>839.46</v>
      </c>
      <c r="R362" s="456">
        <f>((SUM(R125:R128))*'DATA - P&amp;L'!$C$34)+((SUM(R130:R133))*'DATA - P&amp;L'!$C$35)</f>
        <v>911.1</v>
      </c>
      <c r="S362" s="456">
        <f>((SUM(S125:S128))*'DATA - P&amp;L'!$C$34)+((SUM(S130:S133))*'DATA - P&amp;L'!$C$35)</f>
        <v>1039.32</v>
      </c>
      <c r="T362" s="456">
        <f>((SUM(T125:T128))*'DATA - P&amp;L'!$C$34)+((SUM(T130:T133))*'DATA - P&amp;L'!$C$35)</f>
        <v>914.76</v>
      </c>
      <c r="U362" s="456">
        <f>((SUM(U125:U128))*'DATA - P&amp;L'!$C$34)+((SUM(U130:U133))*'DATA - P&amp;L'!$C$35)</f>
        <v>791.7</v>
      </c>
      <c r="V362" s="456">
        <f>((SUM(V125:V128))*'DATA - P&amp;L'!$C$34)+((SUM(V130:V133))*'DATA - P&amp;L'!$C$35)</f>
        <v>752.76</v>
      </c>
      <c r="W362" s="456">
        <f>((SUM(W125:W128))*'DATA - P&amp;L'!$C$34)+((SUM(W130:W133))*'DATA - P&amp;L'!$C$35)</f>
        <v>726.3</v>
      </c>
      <c r="X362" s="456">
        <f>((SUM(X125:X128))*'DATA - P&amp;L'!$C$34)+((SUM(X130:X133))*'DATA - P&amp;L'!$C$35)</f>
        <v>711.24</v>
      </c>
      <c r="Y362" s="456">
        <f>((SUM(Y125:Y128))*'DATA - P&amp;L'!$C$34)+((SUM(Y130:Y133))*'DATA - P&amp;L'!$C$35)</f>
        <v>848.28</v>
      </c>
      <c r="Z362" s="456">
        <f>((SUM(Z125:Z128))*'DATA - P&amp;L'!$C$34)+((SUM(Z130:Z133))*'DATA - P&amp;L'!$C$35)</f>
        <v>906.48</v>
      </c>
      <c r="AA362" s="456">
        <f>((SUM(AA125:AA128))*'DATA - P&amp;L'!$C$34)+((SUM(AA130:AA133))*'DATA - P&amp;L'!$C$35)</f>
        <v>624.54</v>
      </c>
      <c r="AB362" s="456">
        <f>((SUM(AB125:AB128))*'DATA - P&amp;L'!$C$34)+((SUM(AB130:AB133))*'DATA - P&amp;L'!$C$35)</f>
        <v>1131.72</v>
      </c>
      <c r="AC362" s="456">
        <f>((SUM(AC125:AC128))*'DATA - P&amp;L'!$C$34)+((SUM(AC130:AC133))*'DATA - P&amp;L'!$C$35)</f>
        <v>855.06</v>
      </c>
      <c r="AD362" s="456">
        <f>((SUM(AD125:AD128))*'DATA - P&amp;L'!$C$34)+((SUM(AD130:AD133))*'DATA - P&amp;L'!$C$35)</f>
        <v>887.22</v>
      </c>
      <c r="AE362" s="457">
        <f>((SUM(AE125:AE128))*'DATA - P&amp;L'!$C$34)+((SUM(AE130:AE133))*'DATA - P&amp;L'!$C$35)</f>
        <v>943.8</v>
      </c>
      <c r="AF362" s="87">
        <f t="shared" si="117"/>
        <v>28471.74</v>
      </c>
    </row>
    <row r="363">
      <c r="A363" s="603" t="s">
        <v>626</v>
      </c>
      <c r="B363" s="70">
        <f>((SUM(B138:B145))*'DATA - P&amp;L'!$D$38)+((SUM(B149:B156))*'DATA - P&amp;L'!$D$39)</f>
        <v>64.595</v>
      </c>
      <c r="C363" s="70">
        <f>((SUM(C138:C145))*'DATA - P&amp;L'!$D$38)+((SUM(C149:C156))*'DATA - P&amp;L'!$D$39)</f>
        <v>129.21</v>
      </c>
      <c r="D363" s="70">
        <f>((SUM(D138:D145))*'DATA - P&amp;L'!$D$38)+((SUM(D149:D156))*'DATA - P&amp;L'!$D$39)</f>
        <v>178.02</v>
      </c>
      <c r="E363" s="70">
        <f>((SUM(E138:E145))*'DATA - P&amp;L'!$D$38)+((SUM(E149:E156))*'DATA - P&amp;L'!$D$39)</f>
        <v>153.625</v>
      </c>
      <c r="F363" s="70">
        <f>((SUM(F138:F145))*'DATA - P&amp;L'!$D$38)+((SUM(F149:F156))*'DATA - P&amp;L'!$D$39)</f>
        <v>139.25</v>
      </c>
      <c r="G363" s="70">
        <f>((SUM(G138:G145))*'DATA - P&amp;L'!$D$38)+((SUM(G149:G156))*'DATA - P&amp;L'!$D$39)</f>
        <v>117.7</v>
      </c>
      <c r="H363" s="70">
        <f>((SUM(H138:H145))*'DATA - P&amp;L'!$D$38)+((SUM(H149:H156))*'DATA - P&amp;L'!$D$39)</f>
        <v>91.89</v>
      </c>
      <c r="I363" s="70">
        <f>((SUM(I138:I145))*'DATA - P&amp;L'!$D$38)+((SUM(I149:I156))*'DATA - P&amp;L'!$D$39)</f>
        <v>53.12</v>
      </c>
      <c r="J363" s="70">
        <f>((SUM(J138:J145))*'DATA - P&amp;L'!$D$38)+((SUM(J149:J156))*'DATA - P&amp;L'!$D$39)</f>
        <v>60.325</v>
      </c>
      <c r="K363" s="70">
        <f>((SUM(K138:K145))*'DATA - P&amp;L'!$D$38)+((SUM(K149:K156))*'DATA - P&amp;L'!$D$39)</f>
        <v>106.25</v>
      </c>
      <c r="L363" s="70">
        <f>((SUM(L138:L145))*'DATA - P&amp;L'!$D$38)+((SUM(L149:L156))*'DATA - P&amp;L'!$D$39)</f>
        <v>106.215</v>
      </c>
      <c r="M363" s="70">
        <f>((SUM(M138:M145))*'DATA - P&amp;L'!$D$38)+((SUM(M149:M156))*'DATA - P&amp;L'!$D$39)</f>
        <v>70.345</v>
      </c>
      <c r="N363" s="70">
        <f>((SUM(N138:N145))*'DATA - P&amp;L'!$D$38)+((SUM(N149:N156))*'DATA - P&amp;L'!$D$39)</f>
        <v>64.62</v>
      </c>
      <c r="O363" s="70">
        <f>((SUM(O138:O145))*'DATA - P&amp;L'!$D$38)+((SUM(O149:O156))*'DATA - P&amp;L'!$D$39)</f>
        <v>96.165</v>
      </c>
      <c r="P363" s="70">
        <f>((SUM(P138:P145))*'DATA - P&amp;L'!$D$38)+((SUM(P149:P156))*'DATA - P&amp;L'!$D$39)</f>
        <v>81.8</v>
      </c>
      <c r="Q363" s="70">
        <f>((SUM(Q138:Q145))*'DATA - P&amp;L'!$D$38)+((SUM(Q149:Q156))*'DATA - P&amp;L'!$D$39)</f>
        <v>101.915</v>
      </c>
      <c r="R363" s="70">
        <f>((SUM(R138:R145))*'DATA - P&amp;L'!$D$38)+((SUM(R149:R156))*'DATA - P&amp;L'!$D$39)</f>
        <v>77.495</v>
      </c>
      <c r="S363" s="70">
        <f>((SUM(S138:S145))*'DATA - P&amp;L'!$D$38)+((SUM(S149:S156))*'DATA - P&amp;L'!$D$39)</f>
        <v>1048.065</v>
      </c>
      <c r="T363" s="70">
        <f>((SUM(T138:T145))*'DATA - P&amp;L'!$D$38)+((SUM(T149:T156))*'DATA - P&amp;L'!$D$39)</f>
        <v>557.05</v>
      </c>
      <c r="U363" s="70">
        <f>((SUM(U138:U145))*'DATA - P&amp;L'!$D$38)+((SUM(U149:U156))*'DATA - P&amp;L'!$D$39)</f>
        <v>271.36</v>
      </c>
      <c r="V363" s="70">
        <f>((SUM(V138:V145))*'DATA - P&amp;L'!$D$38)+((SUM(V149:V156))*'DATA - P&amp;L'!$D$39)</f>
        <v>225.39</v>
      </c>
      <c r="W363" s="70">
        <f>((SUM(W138:W145))*'DATA - P&amp;L'!$D$38)+((SUM(W149:W156))*'DATA - P&amp;L'!$D$39)</f>
        <v>186.645</v>
      </c>
      <c r="X363" s="70">
        <f>((SUM(X138:X145))*'DATA - P&amp;L'!$D$38)+((SUM(X149:X156))*'DATA - P&amp;L'!$D$39)</f>
        <v>196.74</v>
      </c>
      <c r="Y363" s="70">
        <f>((SUM(Y138:Y145))*'DATA - P&amp;L'!$D$38)+((SUM(Y149:Y156))*'DATA - P&amp;L'!$D$39)</f>
        <v>222.55</v>
      </c>
      <c r="Z363" s="70">
        <f>((SUM(Z138:Z145))*'DATA - P&amp;L'!$D$38)+((SUM(Z149:Z156))*'DATA - P&amp;L'!$D$39)</f>
        <v>180.925</v>
      </c>
      <c r="AA363" s="70">
        <f>((SUM(AA138:AA145))*'DATA - P&amp;L'!$D$38)+((SUM(AA149:AA156))*'DATA - P&amp;L'!$D$39)</f>
        <v>143.575</v>
      </c>
      <c r="AB363" s="70">
        <f>((SUM(AB138:AB145))*'DATA - P&amp;L'!$D$38)+((SUM(AB149:AB156))*'DATA - P&amp;L'!$D$39)</f>
        <v>167.96</v>
      </c>
      <c r="AC363" s="70">
        <f>((SUM(AC138:AC145))*'DATA - P&amp;L'!$D$38)+((SUM(AC149:AC156))*'DATA - P&amp;L'!$D$39)</f>
        <v>172.345</v>
      </c>
      <c r="AD363" s="70">
        <f>((SUM(AD138:AD145))*'DATA - P&amp;L'!$D$38)+((SUM(AD149:AD156))*'DATA - P&amp;L'!$D$39)</f>
        <v>142.125</v>
      </c>
      <c r="AE363" s="74">
        <f>((SUM(AE138:AE145))*'DATA - P&amp;L'!$D$38)+((SUM(AE149:AE156))*'DATA - P&amp;L'!$D$39)</f>
        <v>132.055</v>
      </c>
      <c r="AF363" s="87">
        <f t="shared" si="117"/>
        <v>5339.325</v>
      </c>
    </row>
    <row r="364">
      <c r="A364" s="603" t="s">
        <v>675</v>
      </c>
      <c r="B364" s="70">
        <f>(B146*'DATA - P&amp;L'!$D$34)+(B157*'DATA - P&amp;L'!$D$35)</f>
        <v>276.995</v>
      </c>
      <c r="C364" s="70">
        <f>(C146*'DATA - P&amp;L'!$D$34)+(C157*'DATA - P&amp;L'!$D$35)</f>
        <v>554.01</v>
      </c>
      <c r="D364" s="70">
        <f>(D146*'DATA - P&amp;L'!$D$34)+(D157*'DATA - P&amp;L'!$D$35)</f>
        <v>763.3</v>
      </c>
      <c r="E364" s="70">
        <f>(E146*'DATA - P&amp;L'!$D$34)+(E157*'DATA - P&amp;L'!$D$35)</f>
        <v>658.665</v>
      </c>
      <c r="F364" s="70">
        <f>(F146*'DATA - P&amp;L'!$D$34)+(F157*'DATA - P&amp;L'!$D$35)</f>
        <v>597.09</v>
      </c>
      <c r="G364" s="70">
        <f>(G146*'DATA - P&amp;L'!$D$34)+(G157*'DATA - P&amp;L'!$D$35)</f>
        <v>504.74</v>
      </c>
      <c r="H364" s="70">
        <f>(H146*'DATA - P&amp;L'!$D$34)+(H157*'DATA - P&amp;L'!$D$35)</f>
        <v>393.97</v>
      </c>
      <c r="I364" s="70">
        <f>(I146*'DATA - P&amp;L'!$D$34)+(I157*'DATA - P&amp;L'!$D$35)</f>
        <v>227.76</v>
      </c>
      <c r="J364" s="70">
        <f>(J146*'DATA - P&amp;L'!$D$34)+(J157*'DATA - P&amp;L'!$D$35)</f>
        <v>258.565</v>
      </c>
      <c r="K364" s="70">
        <f>(K146*'DATA - P&amp;L'!$D$34)+(K157*'DATA - P&amp;L'!$D$35)</f>
        <v>455.53</v>
      </c>
      <c r="L364" s="70">
        <f>(L146*'DATA - P&amp;L'!$D$34)+(L157*'DATA - P&amp;L'!$D$35)</f>
        <v>455.495</v>
      </c>
      <c r="M364" s="70">
        <f>(M146*'DATA - P&amp;L'!$D$34)+(M157*'DATA - P&amp;L'!$D$35)</f>
        <v>301.625</v>
      </c>
      <c r="N364" s="70">
        <f>(N146*'DATA - P&amp;L'!$D$34)+(N157*'DATA - P&amp;L'!$D$35)</f>
        <v>277.02</v>
      </c>
      <c r="O364" s="70">
        <f>(O146*'DATA - P&amp;L'!$D$34)+(O157*'DATA - P&amp;L'!$D$35)</f>
        <v>412.405</v>
      </c>
      <c r="P364" s="70">
        <f>(P146*'DATA - P&amp;L'!$D$34)+(P157*'DATA - P&amp;L'!$D$35)</f>
        <v>350.84</v>
      </c>
      <c r="Q364" s="70">
        <f>(Q146*'DATA - P&amp;L'!$D$34)+(Q157*'DATA - P&amp;L'!$D$35)</f>
        <v>437.035</v>
      </c>
      <c r="R364" s="70">
        <f>(R146*'DATA - P&amp;L'!$D$34)+(R157*'DATA - P&amp;L'!$D$35)</f>
        <v>332.375</v>
      </c>
      <c r="S364" s="70">
        <f>(S146*'DATA - P&amp;L'!$D$34)+(S157*'DATA - P&amp;L'!$D$35)</f>
        <v>4493.665</v>
      </c>
      <c r="T364" s="70">
        <f>(T146*'DATA - P&amp;L'!$D$34)+(T157*'DATA - P&amp;L'!$D$35)</f>
        <v>2388.41</v>
      </c>
      <c r="U364" s="70">
        <f>(U146*'DATA - P&amp;L'!$D$34)+(U157*'DATA - P&amp;L'!$D$35)</f>
        <v>1163.44</v>
      </c>
      <c r="V364" s="70">
        <f>(V146*'DATA - P&amp;L'!$D$34)+(V157*'DATA - P&amp;L'!$D$35)</f>
        <v>966.43</v>
      </c>
      <c r="W364" s="70">
        <f>(W146*'DATA - P&amp;L'!$D$34)+(W157*'DATA - P&amp;L'!$D$35)</f>
        <v>800.245</v>
      </c>
      <c r="X364" s="70">
        <f>(X146*'DATA - P&amp;L'!$D$34)+(X157*'DATA - P&amp;L'!$D$35)</f>
        <v>843.38</v>
      </c>
      <c r="Y364" s="70">
        <f>(Y146*'DATA - P&amp;L'!$D$34)+(Y157*'DATA - P&amp;L'!$D$35)</f>
        <v>954.15</v>
      </c>
      <c r="Z364" s="70">
        <f>(Z146*'DATA - P&amp;L'!$D$34)+(Z157*'DATA - P&amp;L'!$D$35)</f>
        <v>775.645</v>
      </c>
      <c r="AA364" s="70">
        <f>(AA146*'DATA - P&amp;L'!$D$34)+(AA157*'DATA - P&amp;L'!$D$35)</f>
        <v>615.575</v>
      </c>
      <c r="AB364" s="70">
        <f>(AB146*'DATA - P&amp;L'!$D$34)+(AB157*'DATA - P&amp;L'!$D$35)</f>
        <v>720.2</v>
      </c>
      <c r="AC364" s="70">
        <f>(AC146*'DATA - P&amp;L'!$D$34)+(AC157*'DATA - P&amp;L'!$D$35)</f>
        <v>738.745</v>
      </c>
      <c r="AD364" s="70">
        <f>(AD146*'DATA - P&amp;L'!$D$34)+(AD157*'DATA - P&amp;L'!$D$35)</f>
        <v>609.405</v>
      </c>
      <c r="AE364" s="74">
        <f>(AE146*'DATA - P&amp;L'!$D$34)+(AE157*'DATA - P&amp;L'!$D$35)</f>
        <v>566.295</v>
      </c>
      <c r="AF364" s="87">
        <f t="shared" si="117"/>
        <v>22893.005</v>
      </c>
    </row>
    <row r="365">
      <c r="A365" s="617" t="s">
        <v>703</v>
      </c>
      <c r="B365" s="81">
        <f>B70*'DATA - P&amp;L'!$E$23</f>
        <v>0</v>
      </c>
      <c r="C365" s="81">
        <f>C70*'DATA - P&amp;L'!$E$23</f>
        <v>0</v>
      </c>
      <c r="D365" s="81">
        <f>D70*'DATA - P&amp;L'!$E$23</f>
        <v>0</v>
      </c>
      <c r="E365" s="81">
        <f>E70*'DATA - P&amp;L'!$E$23</f>
        <v>0</v>
      </c>
      <c r="F365" s="81">
        <f>F70*'DATA - P&amp;L'!$E$23</f>
        <v>0</v>
      </c>
      <c r="G365" s="81">
        <f>G70*'DATA - P&amp;L'!$E$23</f>
        <v>0</v>
      </c>
      <c r="H365" s="81">
        <f>H70*'DATA - P&amp;L'!$E$23</f>
        <v>0</v>
      </c>
      <c r="I365" s="81">
        <f>I70*'DATA - P&amp;L'!$E$23</f>
        <v>0</v>
      </c>
      <c r="J365" s="81">
        <f>J70*'DATA - P&amp;L'!$E$23</f>
        <v>0</v>
      </c>
      <c r="K365" s="81">
        <f>K70*'DATA - P&amp;L'!$E$23</f>
        <v>0</v>
      </c>
      <c r="L365" s="81">
        <f>L70*'DATA - P&amp;L'!$E$23</f>
        <v>0</v>
      </c>
      <c r="M365" s="81">
        <f>M70*'DATA - P&amp;L'!$E$23</f>
        <v>0</v>
      </c>
      <c r="N365" s="81">
        <f>N70*'DATA - P&amp;L'!$E$23</f>
        <v>0</v>
      </c>
      <c r="O365" s="81">
        <f>O70*'DATA - P&amp;L'!$E$23</f>
        <v>0</v>
      </c>
      <c r="P365" s="81">
        <f>P70*'DATA - P&amp;L'!$E$23</f>
        <v>0</v>
      </c>
      <c r="Q365" s="81">
        <f>Q70*'DATA - P&amp;L'!$E$23</f>
        <v>0</v>
      </c>
      <c r="R365" s="81">
        <f>R70*'DATA - P&amp;L'!$E$23</f>
        <v>0</v>
      </c>
      <c r="S365" s="81">
        <f>S70*'DATA - P&amp;L'!$E$23</f>
        <v>0</v>
      </c>
      <c r="T365" s="81">
        <f>T70*'DATA - P&amp;L'!$E$23</f>
        <v>0</v>
      </c>
      <c r="U365" s="81">
        <f>U70*'DATA - P&amp;L'!$E$23</f>
        <v>0</v>
      </c>
      <c r="V365" s="81">
        <f>V70*'DATA - P&amp;L'!$E$23</f>
        <v>0</v>
      </c>
      <c r="W365" s="81">
        <f>W70*'DATA - P&amp;L'!$E$23</f>
        <v>0</v>
      </c>
      <c r="X365" s="81">
        <f>X70*'DATA - P&amp;L'!$E$23</f>
        <v>0</v>
      </c>
      <c r="Y365" s="81">
        <f>Y70*'DATA - P&amp;L'!$E$23</f>
        <v>0</v>
      </c>
      <c r="Z365" s="81">
        <f>Z70*'DATA - P&amp;L'!$E$23</f>
        <v>0</v>
      </c>
      <c r="AA365" s="81">
        <f>AA70*'DATA - P&amp;L'!$E$23</f>
        <v>0</v>
      </c>
      <c r="AB365" s="81">
        <f>AB70*'DATA - P&amp;L'!$E$23</f>
        <v>0</v>
      </c>
      <c r="AC365" s="81">
        <f>AC70*'DATA - P&amp;L'!$E$23</f>
        <v>0</v>
      </c>
      <c r="AD365" s="81">
        <f>AD70*'DATA - P&amp;L'!$E$23</f>
        <v>0</v>
      </c>
      <c r="AE365" s="89">
        <f>AE70*'DATA - P&amp;L'!$E$23</f>
        <v>0</v>
      </c>
      <c r="AF365" s="129">
        <f t="shared" si="117"/>
        <v>0</v>
      </c>
    </row>
    <row r="366">
      <c r="A366" s="603" t="s">
        <v>715</v>
      </c>
      <c r="B366" s="462">
        <f t="shared" ref="B366:AE366" si="118">B48</f>
        <v>868.43</v>
      </c>
      <c r="C366" s="462">
        <f t="shared" si="118"/>
        <v>1259.4</v>
      </c>
      <c r="D366" s="462">
        <f t="shared" si="118"/>
        <v>1585.36</v>
      </c>
      <c r="E366" s="462">
        <f t="shared" si="118"/>
        <v>1889.03</v>
      </c>
      <c r="F366" s="462">
        <f t="shared" si="118"/>
        <v>1815.33</v>
      </c>
      <c r="G366" s="462">
        <f t="shared" si="118"/>
        <v>1391.82</v>
      </c>
      <c r="H366" s="462">
        <f t="shared" si="118"/>
        <v>1024.42</v>
      </c>
      <c r="I366" s="462">
        <f t="shared" si="118"/>
        <v>584.81</v>
      </c>
      <c r="J366" s="462">
        <f t="shared" si="118"/>
        <v>1032.12</v>
      </c>
      <c r="K366" s="462">
        <f t="shared" si="118"/>
        <v>1238.66</v>
      </c>
      <c r="L366" s="462">
        <f t="shared" si="118"/>
        <v>1152.7</v>
      </c>
      <c r="M366" s="462">
        <f t="shared" si="118"/>
        <v>933.13</v>
      </c>
      <c r="N366" s="462">
        <f t="shared" si="118"/>
        <v>850.02</v>
      </c>
      <c r="O366" s="462">
        <f t="shared" si="118"/>
        <v>1041.8</v>
      </c>
      <c r="P366" s="462">
        <f t="shared" si="118"/>
        <v>1073.31</v>
      </c>
      <c r="Q366" s="462">
        <f t="shared" si="118"/>
        <v>1026.42</v>
      </c>
      <c r="R366" s="462">
        <f t="shared" si="118"/>
        <v>1169.32</v>
      </c>
      <c r="S366" s="462">
        <f t="shared" si="118"/>
        <v>2713</v>
      </c>
      <c r="T366" s="462">
        <f t="shared" si="118"/>
        <v>1702.35</v>
      </c>
      <c r="U366" s="462">
        <f t="shared" si="118"/>
        <v>1234.72</v>
      </c>
      <c r="V366" s="462">
        <f t="shared" si="118"/>
        <v>1184.78</v>
      </c>
      <c r="W366" s="462">
        <f t="shared" si="118"/>
        <v>1095.42</v>
      </c>
      <c r="X366" s="462">
        <f t="shared" si="118"/>
        <v>1040.12</v>
      </c>
      <c r="Y366" s="462">
        <f t="shared" si="118"/>
        <v>1309.75</v>
      </c>
      <c r="Z366" s="462">
        <f t="shared" si="118"/>
        <v>1109.86</v>
      </c>
      <c r="AA366" s="462">
        <f t="shared" si="118"/>
        <v>881.17</v>
      </c>
      <c r="AB366" s="462">
        <f t="shared" si="118"/>
        <v>1570.77</v>
      </c>
      <c r="AC366" s="462">
        <f t="shared" si="118"/>
        <v>1125.82</v>
      </c>
      <c r="AD366" s="462">
        <f t="shared" si="118"/>
        <v>1271.39</v>
      </c>
      <c r="AE366" s="463">
        <f t="shared" si="118"/>
        <v>1353.49</v>
      </c>
      <c r="AF366" s="87">
        <f t="shared" si="117"/>
        <v>37528.72</v>
      </c>
    </row>
    <row r="367">
      <c r="A367" s="617" t="s">
        <v>719</v>
      </c>
      <c r="B367" s="81">
        <f>((SUM(B166:B169))+B193)*'DATA - P&amp;L'!$O$3</f>
        <v>248.512</v>
      </c>
      <c r="C367" s="81">
        <f>((SUM(C166:C169))+C193)*'DATA - P&amp;L'!$O$3</f>
        <v>359.392</v>
      </c>
      <c r="D367" s="81">
        <f>((SUM(D166:D169))+D193)*'DATA - P&amp;L'!$O$3</f>
        <v>470.976</v>
      </c>
      <c r="E367" s="81">
        <f>((SUM(E166:E169))+E193)*'DATA - P&amp;L'!$O$3</f>
        <v>616</v>
      </c>
      <c r="F367" s="81">
        <f>((SUM(F166:F169))+F193)*'DATA - P&amp;L'!$O$3</f>
        <v>385.616</v>
      </c>
      <c r="G367" s="81">
        <f>((SUM(G166:G169))+G193)*'DATA - P&amp;L'!$O$3</f>
        <v>460.592</v>
      </c>
      <c r="H367" s="81">
        <f>((SUM(H166:H169))+H193)*'DATA - P&amp;L'!$O$3</f>
        <v>437.206</v>
      </c>
      <c r="I367" s="81">
        <f>((SUM(I166:I169))+I193)*'DATA - P&amp;L'!$O$3</f>
        <v>506.44</v>
      </c>
      <c r="J367" s="81">
        <f>((SUM(J166:J169))+J193)*'DATA - P&amp;L'!$O$3</f>
        <v>415.646</v>
      </c>
      <c r="K367" s="81">
        <f>((SUM(K166:K169))+K193)*'DATA - P&amp;L'!$O$3</f>
        <v>562.98</v>
      </c>
      <c r="L367" s="81">
        <f>((SUM(L166:L169))+L193)*'DATA - P&amp;L'!$O$3</f>
        <v>280.94</v>
      </c>
      <c r="M367" s="81">
        <f>((SUM(M166:M169))+M193)*'DATA - P&amp;L'!$O$3</f>
        <v>140.14</v>
      </c>
      <c r="N367" s="81">
        <f>((SUM(N166:N169))+N193)*'DATA - P&amp;L'!$O$3</f>
        <v>381.788</v>
      </c>
      <c r="O367" s="81">
        <f>((SUM(O166:O169))+O193)*'DATA - P&amp;L'!$O$3</f>
        <v>388.872</v>
      </c>
      <c r="P367" s="81">
        <f>((SUM(P166:P169))+P193)*'DATA - P&amp;L'!$O$3</f>
        <v>305.536</v>
      </c>
      <c r="Q367" s="81">
        <f>((SUM(Q166:Q169))+Q193)*'DATA - P&amp;L'!$O$3</f>
        <v>293.832</v>
      </c>
      <c r="R367" s="81">
        <f>((SUM(R166:R169))+R193)*'DATA - P&amp;L'!$O$3</f>
        <v>229.482</v>
      </c>
      <c r="S367" s="81">
        <f>((SUM(S166:S169))+S193)*'DATA - P&amp;L'!$O$3</f>
        <v>872.894</v>
      </c>
      <c r="T367" s="81">
        <f>((SUM(T166:T169))+T193)*'DATA - P&amp;L'!$O$3</f>
        <v>855.69</v>
      </c>
      <c r="U367" s="81">
        <f>((SUM(U166:U169))+U193)*'DATA - P&amp;L'!$O$3</f>
        <v>421.124</v>
      </c>
      <c r="V367" s="81">
        <f>((SUM(V166:V169))+V193)*'DATA - P&amp;L'!$O$3</f>
        <v>344.08</v>
      </c>
      <c r="W367" s="81">
        <f>((SUM(W166:W169))+W193)*'DATA - P&amp;L'!$O$3</f>
        <v>517</v>
      </c>
      <c r="X367" s="81">
        <f>((SUM(X166:X169))+X193)*'DATA - P&amp;L'!$O$3</f>
        <v>489.72</v>
      </c>
      <c r="Y367" s="81">
        <f>((SUM(Y166:Y169))+Y193)*'DATA - P&amp;L'!$O$3</f>
        <v>401.06</v>
      </c>
      <c r="Z367" s="81">
        <f>((SUM(Z166:Z169))+Z193)*'DATA - P&amp;L'!$O$3</f>
        <v>955.24</v>
      </c>
      <c r="AA367" s="81">
        <f>((SUM(AA166:AA169))+AA193)*'DATA - P&amp;L'!$O$3</f>
        <v>332.871</v>
      </c>
      <c r="AB367" s="81">
        <f>((SUM(AB166:AB169))+AB193)*'DATA - P&amp;L'!$O$3</f>
        <v>200.8578</v>
      </c>
      <c r="AC367" s="81">
        <f>((SUM(AC166:AC169))+AC193)*'DATA - P&amp;L'!$O$3</f>
        <v>671.506</v>
      </c>
      <c r="AD367" s="81">
        <f>((SUM(AD166:AD169))+AD193)*'DATA - P&amp;L'!$O$3</f>
        <v>336.226</v>
      </c>
      <c r="AE367" s="89">
        <f>((SUM(AE166:AE169))+AE193)*'DATA - P&amp;L'!$O$3</f>
        <v>258.28</v>
      </c>
      <c r="AF367" s="129">
        <f t="shared" si="117"/>
        <v>13140.4988</v>
      </c>
    </row>
    <row r="368">
      <c r="A368" s="24"/>
      <c r="B368" s="462"/>
      <c r="C368" s="462"/>
      <c r="D368" s="462"/>
      <c r="E368" s="462"/>
      <c r="F368" s="462"/>
      <c r="G368" s="462"/>
      <c r="H368" s="462"/>
      <c r="I368" s="462"/>
      <c r="J368" s="462"/>
      <c r="K368" s="462"/>
      <c r="L368" s="462"/>
      <c r="M368" s="462"/>
      <c r="N368" s="462"/>
      <c r="O368" s="462"/>
      <c r="P368" s="462"/>
      <c r="Q368" s="462"/>
      <c r="R368" s="462"/>
      <c r="S368" s="462"/>
      <c r="T368" s="462"/>
      <c r="U368" s="462"/>
      <c r="V368" s="462"/>
      <c r="W368" s="462"/>
      <c r="X368" s="462"/>
      <c r="Y368" s="462"/>
      <c r="Z368" s="462"/>
      <c r="AA368" s="462"/>
      <c r="AB368" s="462"/>
      <c r="AC368" s="462"/>
      <c r="AD368" s="462"/>
      <c r="AE368" s="463"/>
      <c r="AF368" s="140"/>
    </row>
    <row r="369">
      <c r="A369" s="271" t="s">
        <v>567</v>
      </c>
      <c r="B369" s="776">
        <f t="shared" ref="B369:AE369" si="119">SUM(B349:B367)</f>
        <v>16322.21158</v>
      </c>
      <c r="C369" s="776">
        <f t="shared" si="119"/>
        <v>21327.56327</v>
      </c>
      <c r="D369" s="776">
        <f t="shared" si="119"/>
        <v>26773.24409</v>
      </c>
      <c r="E369" s="776">
        <f t="shared" si="119"/>
        <v>31619.64024</v>
      </c>
      <c r="F369" s="776">
        <f t="shared" si="119"/>
        <v>32379.85743</v>
      </c>
      <c r="G369" s="776">
        <f t="shared" si="119"/>
        <v>28069.30948</v>
      </c>
      <c r="H369" s="776">
        <f t="shared" si="119"/>
        <v>16952.49493</v>
      </c>
      <c r="I369" s="776">
        <f t="shared" si="119"/>
        <v>11386.2066</v>
      </c>
      <c r="J369" s="776">
        <f t="shared" si="119"/>
        <v>14941.26341</v>
      </c>
      <c r="K369" s="776">
        <f t="shared" si="119"/>
        <v>21500.87185</v>
      </c>
      <c r="L369" s="776">
        <f t="shared" si="119"/>
        <v>19835.51706</v>
      </c>
      <c r="M369" s="776">
        <f t="shared" si="119"/>
        <v>16914.04385</v>
      </c>
      <c r="N369" s="776">
        <f t="shared" si="119"/>
        <v>15770.36044</v>
      </c>
      <c r="O369" s="776">
        <f t="shared" si="119"/>
        <v>16770.03013</v>
      </c>
      <c r="P369" s="776">
        <f t="shared" si="119"/>
        <v>18119.52229</v>
      </c>
      <c r="Q369" s="776">
        <f t="shared" si="119"/>
        <v>18059.06907</v>
      </c>
      <c r="R369" s="776">
        <f t="shared" si="119"/>
        <v>19314.89469</v>
      </c>
      <c r="S369" s="776">
        <f t="shared" si="119"/>
        <v>32781.19037</v>
      </c>
      <c r="T369" s="776">
        <f t="shared" si="119"/>
        <v>25876.73645</v>
      </c>
      <c r="U369" s="776">
        <f t="shared" si="119"/>
        <v>20146.08585</v>
      </c>
      <c r="V369" s="776">
        <f t="shared" si="119"/>
        <v>19281.68017</v>
      </c>
      <c r="W369" s="776">
        <f t="shared" si="119"/>
        <v>13656.28193</v>
      </c>
      <c r="X369" s="776">
        <f t="shared" si="119"/>
        <v>20137.65106</v>
      </c>
      <c r="Y369" s="776">
        <f t="shared" si="119"/>
        <v>24004.20503</v>
      </c>
      <c r="Z369" s="776">
        <f t="shared" si="119"/>
        <v>22868.13454</v>
      </c>
      <c r="AA369" s="776">
        <f t="shared" si="119"/>
        <v>18044.9499</v>
      </c>
      <c r="AB369" s="776">
        <f t="shared" si="119"/>
        <v>22210.80933</v>
      </c>
      <c r="AC369" s="776">
        <f t="shared" si="119"/>
        <v>18346.1213</v>
      </c>
      <c r="AD369" s="776">
        <f t="shared" si="119"/>
        <v>19231.76792</v>
      </c>
      <c r="AE369" s="776">
        <f t="shared" si="119"/>
        <v>20754.96538</v>
      </c>
      <c r="AF369" s="779">
        <f>SUM(B369:AE369)</f>
        <v>623396.6796</v>
      </c>
    </row>
    <row r="370">
      <c r="A370" s="24"/>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24"/>
      <c r="AF370" s="7"/>
    </row>
    <row r="371">
      <c r="A371" s="24"/>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24"/>
      <c r="AF371" s="7"/>
    </row>
    <row r="372">
      <c r="A372" s="782"/>
      <c r="B372" s="783"/>
      <c r="C372" s="783"/>
      <c r="D372" s="783"/>
      <c r="E372" s="783"/>
      <c r="F372" s="783"/>
      <c r="G372" s="783"/>
      <c r="H372" s="783"/>
      <c r="I372" s="783"/>
      <c r="J372" s="783"/>
      <c r="K372" s="783"/>
      <c r="L372" s="783"/>
      <c r="M372" s="783"/>
      <c r="N372" s="783"/>
      <c r="O372" s="783"/>
      <c r="P372" s="783"/>
      <c r="Q372" s="783"/>
      <c r="R372" s="783"/>
      <c r="S372" s="783"/>
      <c r="T372" s="783"/>
      <c r="U372" s="783"/>
      <c r="V372" s="783"/>
      <c r="W372" s="783"/>
      <c r="X372" s="783"/>
      <c r="Y372" s="783"/>
      <c r="Z372" s="783"/>
      <c r="AA372" s="783"/>
      <c r="AB372" s="783"/>
      <c r="AC372" s="783"/>
      <c r="AD372" s="783"/>
      <c r="AE372" s="786"/>
      <c r="AF372" s="787"/>
    </row>
    <row r="373">
      <c r="A373" s="325" t="s">
        <v>108</v>
      </c>
      <c r="B373" s="462"/>
      <c r="C373" s="462"/>
      <c r="D373" s="462"/>
      <c r="E373" s="462"/>
      <c r="F373" s="462"/>
      <c r="G373" s="462"/>
      <c r="H373" s="462"/>
      <c r="I373" s="462"/>
      <c r="J373" s="462"/>
      <c r="K373" s="462"/>
      <c r="L373" s="462"/>
      <c r="M373" s="462"/>
      <c r="N373" s="462"/>
      <c r="O373" s="462"/>
      <c r="P373" s="462"/>
      <c r="Q373" s="462"/>
      <c r="R373" s="462"/>
      <c r="S373" s="462"/>
      <c r="T373" s="462"/>
      <c r="U373" s="462"/>
      <c r="V373" s="462"/>
      <c r="W373" s="462"/>
      <c r="X373" s="462"/>
      <c r="Y373" s="462"/>
      <c r="Z373" s="462"/>
      <c r="AA373" s="462"/>
      <c r="AB373" s="462"/>
      <c r="AC373" s="462"/>
      <c r="AD373" s="462"/>
      <c r="AE373" s="463"/>
      <c r="AF373" s="140"/>
    </row>
    <row r="374">
      <c r="A374" s="328">
        <f>SUM(B50:AE50)</f>
        <v>723794.94</v>
      </c>
      <c r="B374" s="462"/>
      <c r="C374" s="462"/>
      <c r="D374" s="462"/>
      <c r="E374" s="462"/>
      <c r="F374" s="462"/>
      <c r="G374" s="462"/>
      <c r="H374" s="462"/>
      <c r="I374" s="462"/>
      <c r="J374" s="462"/>
      <c r="K374" s="462"/>
      <c r="L374" s="462"/>
      <c r="M374" s="462"/>
      <c r="N374" s="462"/>
      <c r="O374" s="462"/>
      <c r="P374" s="462"/>
      <c r="Q374" s="462"/>
      <c r="R374" s="462"/>
      <c r="S374" s="462"/>
      <c r="T374" s="462"/>
      <c r="U374" s="462"/>
      <c r="V374" s="462"/>
      <c r="W374" s="462"/>
      <c r="X374" s="462"/>
      <c r="Y374" s="462"/>
      <c r="Z374" s="462"/>
      <c r="AA374" s="462"/>
      <c r="AB374" s="462"/>
      <c r="AC374" s="462"/>
      <c r="AD374" s="462"/>
      <c r="AE374" s="463"/>
      <c r="AF374" s="140"/>
    </row>
    <row r="375">
      <c r="A375" s="325" t="s">
        <v>281</v>
      </c>
      <c r="B375" s="791">
        <f t="shared" ref="B375:AE375" si="120">B50-B369</f>
        <v>491.1184162</v>
      </c>
      <c r="C375" s="792">
        <f t="shared" si="120"/>
        <v>3257.136729</v>
      </c>
      <c r="D375" s="794">
        <f t="shared" si="120"/>
        <v>3127.515915</v>
      </c>
      <c r="E375" s="638">
        <f t="shared" si="120"/>
        <v>4714.639755</v>
      </c>
      <c r="F375" s="795">
        <f t="shared" si="120"/>
        <v>1485.872568</v>
      </c>
      <c r="G375" s="796">
        <f t="shared" si="120"/>
        <v>-1846.989477</v>
      </c>
      <c r="H375" s="635">
        <f t="shared" si="120"/>
        <v>2058.125074</v>
      </c>
      <c r="I375" s="797">
        <f t="shared" si="120"/>
        <v>2877.6034</v>
      </c>
      <c r="J375" s="798">
        <f t="shared" si="120"/>
        <v>2765.15659</v>
      </c>
      <c r="K375" s="514">
        <f t="shared" si="120"/>
        <v>2067.538153</v>
      </c>
      <c r="L375" s="510">
        <f t="shared" si="120"/>
        <v>910.682941</v>
      </c>
      <c r="M375" s="799">
        <f t="shared" si="120"/>
        <v>691.3861477</v>
      </c>
      <c r="N375" s="647">
        <f t="shared" si="120"/>
        <v>1340.259563</v>
      </c>
      <c r="O375" s="798">
        <f t="shared" si="120"/>
        <v>3816.469866</v>
      </c>
      <c r="P375" s="800">
        <f t="shared" si="120"/>
        <v>2963.987708</v>
      </c>
      <c r="Q375" s="801">
        <f t="shared" si="120"/>
        <v>1457.350933</v>
      </c>
      <c r="R375" s="802">
        <f t="shared" si="120"/>
        <v>993.8253076</v>
      </c>
      <c r="S375" s="804">
        <f t="shared" si="120"/>
        <v>19868.10963</v>
      </c>
      <c r="T375" s="805">
        <f t="shared" si="120"/>
        <v>9360.813548</v>
      </c>
      <c r="U375" s="806">
        <f t="shared" si="120"/>
        <v>4812.434149</v>
      </c>
      <c r="V375" s="173">
        <f t="shared" si="120"/>
        <v>4044.099833</v>
      </c>
      <c r="W375" s="807">
        <f t="shared" si="120"/>
        <v>7366.938067</v>
      </c>
      <c r="X375" s="807">
        <f t="shared" si="120"/>
        <v>1513.068942</v>
      </c>
      <c r="Y375" s="808">
        <f t="shared" si="120"/>
        <v>1286.544966</v>
      </c>
      <c r="Z375" s="809">
        <f t="shared" si="120"/>
        <v>1478.725463</v>
      </c>
      <c r="AA375" s="810">
        <f t="shared" si="120"/>
        <v>-859.6998983</v>
      </c>
      <c r="AB375" s="811">
        <f t="shared" si="120"/>
        <v>6198.900674</v>
      </c>
      <c r="AC375" s="812">
        <f t="shared" si="120"/>
        <v>3680.948704</v>
      </c>
      <c r="AD375" s="810">
        <f t="shared" si="120"/>
        <v>4575.022084</v>
      </c>
      <c r="AE375" s="813">
        <f t="shared" si="120"/>
        <v>3900.67462</v>
      </c>
      <c r="AF375" s="87">
        <f>SUM(B375:AE375)</f>
        <v>100398.2604</v>
      </c>
    </row>
    <row r="376">
      <c r="A376" s="328">
        <f>SUM(B375:AE375)</f>
        <v>100398.2604</v>
      </c>
      <c r="B376" s="334"/>
      <c r="C376" s="334"/>
      <c r="D376" s="334"/>
      <c r="E376" s="334"/>
      <c r="F376" s="334"/>
      <c r="G376" s="334"/>
      <c r="H376" s="334"/>
      <c r="I376" s="334"/>
      <c r="J376" s="334"/>
      <c r="K376" s="334"/>
      <c r="L376" s="334"/>
      <c r="M376" s="334"/>
      <c r="N376" s="334"/>
      <c r="O376" s="334"/>
      <c r="P376" s="334"/>
      <c r="Q376" s="334"/>
      <c r="R376" s="334"/>
      <c r="S376" s="334"/>
      <c r="T376" s="334"/>
      <c r="U376" s="334"/>
      <c r="V376" s="334"/>
      <c r="W376" s="334"/>
      <c r="X376" s="334"/>
      <c r="Y376" s="334"/>
      <c r="Z376" s="334"/>
      <c r="AA376" s="334"/>
      <c r="AB376" s="334"/>
      <c r="AC376" s="334"/>
      <c r="AD376" s="334"/>
      <c r="AE376" s="516"/>
      <c r="AF376" s="140"/>
    </row>
    <row r="377">
      <c r="A377" s="325" t="s">
        <v>285</v>
      </c>
      <c r="B377" s="679">
        <f t="shared" ref="B377:AE377" si="121">B375/B50</f>
        <v>0.02921006226</v>
      </c>
      <c r="C377" s="814">
        <f t="shared" si="121"/>
        <v>0.1324863321</v>
      </c>
      <c r="D377" s="815">
        <f t="shared" si="121"/>
        <v>0.1045965358</v>
      </c>
      <c r="E377" s="816">
        <f t="shared" si="121"/>
        <v>0.1297573464</v>
      </c>
      <c r="F377" s="817">
        <f t="shared" si="121"/>
        <v>0.04387540349</v>
      </c>
      <c r="G377" s="818">
        <f t="shared" si="121"/>
        <v>-0.07043577675</v>
      </c>
      <c r="H377" s="819">
        <f t="shared" si="121"/>
        <v>0.1082618596</v>
      </c>
      <c r="I377" s="820">
        <f t="shared" si="121"/>
        <v>0.2017415683</v>
      </c>
      <c r="J377" s="821">
        <f t="shared" si="121"/>
        <v>0.1561668926</v>
      </c>
      <c r="K377" s="822">
        <f t="shared" si="121"/>
        <v>0.08772497392</v>
      </c>
      <c r="L377" s="823">
        <f t="shared" si="121"/>
        <v>0.04389637336</v>
      </c>
      <c r="M377" s="824">
        <f t="shared" si="121"/>
        <v>0.03927118779</v>
      </c>
      <c r="N377" s="530">
        <f t="shared" si="121"/>
        <v>0.07832910573</v>
      </c>
      <c r="O377" s="825">
        <f t="shared" si="121"/>
        <v>0.1853870189</v>
      </c>
      <c r="P377" s="542">
        <f t="shared" si="121"/>
        <v>0.1405832192</v>
      </c>
      <c r="Q377" s="826">
        <f t="shared" si="121"/>
        <v>0.07467306674</v>
      </c>
      <c r="R377" s="824">
        <f t="shared" si="121"/>
        <v>0.04893589097</v>
      </c>
      <c r="S377" s="827">
        <f t="shared" si="121"/>
        <v>0.3773670235</v>
      </c>
      <c r="T377" s="822">
        <f t="shared" si="121"/>
        <v>0.2656488192</v>
      </c>
      <c r="U377" s="828">
        <f t="shared" si="121"/>
        <v>0.1928172884</v>
      </c>
      <c r="V377" s="654">
        <f t="shared" si="121"/>
        <v>0.1733746881</v>
      </c>
      <c r="W377" s="829">
        <f t="shared" si="121"/>
        <v>0.3504191112</v>
      </c>
      <c r="X377" s="830">
        <f t="shared" si="121"/>
        <v>0.0698853868</v>
      </c>
      <c r="Y377" s="831">
        <f t="shared" si="121"/>
        <v>0.05087017847</v>
      </c>
      <c r="Z377" s="832">
        <f t="shared" si="121"/>
        <v>0.06073577715</v>
      </c>
      <c r="AA377" s="542">
        <f t="shared" si="121"/>
        <v>-0.05002545196</v>
      </c>
      <c r="AB377" s="526">
        <f t="shared" si="121"/>
        <v>0.2181965488</v>
      </c>
      <c r="AC377" s="833">
        <f t="shared" si="121"/>
        <v>0.1671102286</v>
      </c>
      <c r="AD377" s="834">
        <f t="shared" si="121"/>
        <v>0.1921729928</v>
      </c>
      <c r="AE377" s="835">
        <f t="shared" si="121"/>
        <v>0.15820618</v>
      </c>
      <c r="AF377" s="140"/>
    </row>
    <row r="378">
      <c r="A378" s="329">
        <f>A376/A374</f>
        <v>0.1387109177</v>
      </c>
      <c r="B378" s="462"/>
      <c r="C378" s="462"/>
      <c r="D378" s="462"/>
      <c r="E378" s="462"/>
      <c r="F378" s="462"/>
      <c r="G378" s="462"/>
      <c r="H378" s="462"/>
      <c r="I378" s="462"/>
      <c r="J378" s="462"/>
      <c r="K378" s="462"/>
      <c r="L378" s="462"/>
      <c r="M378" s="462"/>
      <c r="N378" s="462"/>
      <c r="O378" s="462"/>
      <c r="P378" s="462"/>
      <c r="Q378" s="462"/>
      <c r="R378" s="462"/>
      <c r="S378" s="462"/>
      <c r="T378" s="462"/>
      <c r="U378" s="462"/>
      <c r="V378" s="462"/>
      <c r="W378" s="462"/>
      <c r="X378" s="462"/>
      <c r="Y378" s="462"/>
      <c r="Z378" s="462"/>
      <c r="AA378" s="462"/>
      <c r="AB378" s="462"/>
      <c r="AC378" s="462"/>
      <c r="AD378" s="462"/>
      <c r="AE378" s="463"/>
      <c r="AF378" s="140"/>
    </row>
    <row r="379">
      <c r="A379" s="836" t="s">
        <v>438</v>
      </c>
      <c r="B379" s="837">
        <f>Summary!B84</f>
        <v>2.639989166</v>
      </c>
      <c r="C379" s="837">
        <f>Summary!C84</f>
        <v>3.453584374</v>
      </c>
      <c r="D379" s="837">
        <f>Summary!D84</f>
        <v>3.330667246</v>
      </c>
      <c r="E379" s="837">
        <f>Summary!E84</f>
        <v>4.006451068</v>
      </c>
      <c r="F379" s="837">
        <f>Summary!F84</f>
        <v>3.147891873</v>
      </c>
      <c r="G379" s="837">
        <f>Summary!G84</f>
        <v>2.450466171</v>
      </c>
      <c r="H379" s="837">
        <f>Summary!H84</f>
        <v>3.169347713</v>
      </c>
      <c r="I379" s="837">
        <f>Summary!I84</f>
        <v>3.689130185</v>
      </c>
      <c r="J379" s="837">
        <f>Summary!J84</f>
        <v>3.684431394</v>
      </c>
      <c r="K379" s="837">
        <f>Summary!K84</f>
        <v>2.630043731</v>
      </c>
      <c r="L379" s="837">
        <f>Summary!L84</f>
        <v>2.656510092</v>
      </c>
      <c r="M379" s="837">
        <f>Summary!M84</f>
        <v>2.731363734</v>
      </c>
      <c r="N379" s="837">
        <f>Summary!N84</f>
        <v>2.698869735</v>
      </c>
      <c r="O379" s="837">
        <f>Summary!O84</f>
        <v>3.556734358</v>
      </c>
      <c r="P379" s="837">
        <f>Summary!P84</f>
        <v>2.857095636</v>
      </c>
      <c r="Q379" s="837">
        <f>Summary!Q84</f>
        <v>2.827044394</v>
      </c>
      <c r="R379" s="837">
        <f>Summary!R84</f>
        <v>2.262344946</v>
      </c>
      <c r="S379" s="837">
        <f>Summary!S84</f>
        <v>5.485333835</v>
      </c>
      <c r="T379" s="837">
        <f>Summary!T84</f>
        <v>4.550976596</v>
      </c>
      <c r="U379" s="837">
        <f>Summary!U84</f>
        <v>3.732003502</v>
      </c>
      <c r="V379" s="837">
        <f>Summary!V84</f>
        <v>3.494615583</v>
      </c>
      <c r="W379" s="837">
        <f>Summary!W84</f>
        <v>8.067482787</v>
      </c>
      <c r="X379" s="837">
        <f>Summary!X84</f>
        <v>2.542386962</v>
      </c>
      <c r="Y379" s="837">
        <f>Summary!Y84</f>
        <v>2.783290323</v>
      </c>
      <c r="Z379" s="837">
        <f>Summary!Z84</f>
        <v>2.959524703</v>
      </c>
      <c r="AA379" s="837">
        <f>Summary!AA84</f>
        <v>2.647055854</v>
      </c>
      <c r="AB379" s="837">
        <f>Summary!AB84</f>
        <v>4.080433983</v>
      </c>
      <c r="AC379" s="837">
        <f>Summary!AC84</f>
        <v>3.667973497</v>
      </c>
      <c r="AD379" s="837">
        <f>Summary!AD84</f>
        <v>3.788820589</v>
      </c>
      <c r="AE379" s="838">
        <f>Summary!AE84</f>
        <v>2.750605481</v>
      </c>
      <c r="AF379" s="787"/>
    </row>
    <row r="380">
      <c r="A380" s="24"/>
      <c r="B380" s="462"/>
      <c r="C380" s="462"/>
      <c r="D380" s="462"/>
      <c r="E380" s="462"/>
      <c r="F380" s="462"/>
      <c r="G380" s="462"/>
      <c r="H380" s="462"/>
      <c r="I380" s="462"/>
      <c r="J380" s="462"/>
      <c r="K380" s="462"/>
      <c r="L380" s="462"/>
      <c r="M380" s="462"/>
      <c r="N380" s="462"/>
      <c r="O380" s="462"/>
      <c r="P380" s="462"/>
      <c r="Q380" s="462"/>
      <c r="R380" s="462"/>
      <c r="S380" s="462"/>
      <c r="T380" s="462"/>
      <c r="U380" s="462"/>
      <c r="V380" s="462"/>
      <c r="W380" s="462"/>
      <c r="X380" s="462"/>
      <c r="Y380" s="462"/>
      <c r="Z380" s="462"/>
      <c r="AA380" s="462"/>
      <c r="AB380" s="462"/>
      <c r="AC380" s="462"/>
      <c r="AD380" s="462"/>
      <c r="AE380" s="462"/>
      <c r="AF380" s="140"/>
    </row>
    <row r="381">
      <c r="A381" s="24"/>
      <c r="B381" s="462"/>
      <c r="C381" s="462"/>
      <c r="D381" s="462"/>
      <c r="E381" s="462"/>
      <c r="F381" s="462"/>
      <c r="G381" s="462"/>
      <c r="H381" s="462"/>
      <c r="I381" s="462"/>
      <c r="J381" s="462"/>
      <c r="K381" s="462"/>
      <c r="L381" s="462"/>
      <c r="M381" s="462"/>
      <c r="N381" s="462"/>
      <c r="O381" s="462"/>
      <c r="P381" s="462"/>
      <c r="Q381" s="462"/>
      <c r="R381" s="462"/>
      <c r="S381" s="462"/>
      <c r="T381" s="462"/>
      <c r="U381" s="462"/>
      <c r="V381" s="462"/>
      <c r="W381" s="462"/>
      <c r="X381" s="462"/>
      <c r="Y381" s="462"/>
      <c r="Z381" s="462"/>
      <c r="AA381" s="462"/>
      <c r="AB381" s="462"/>
      <c r="AC381" s="462"/>
      <c r="AD381" s="462"/>
      <c r="AE381" s="462"/>
      <c r="AF381" s="140"/>
    </row>
    <row r="382">
      <c r="A382" s="840" t="s">
        <v>770</v>
      </c>
      <c r="B382" s="81" t="str">
        <f t="shared" ref="B382:AE382" si="122">iferror(#REF!+#REF!+#REF!+#REF!+#REF!,"")</f>
        <v/>
      </c>
      <c r="C382" s="81" t="str">
        <f t="shared" si="122"/>
        <v/>
      </c>
      <c r="D382" s="81" t="str">
        <f t="shared" si="122"/>
        <v/>
      </c>
      <c r="E382" s="81" t="str">
        <f t="shared" si="122"/>
        <v/>
      </c>
      <c r="F382" s="81" t="str">
        <f t="shared" si="122"/>
        <v/>
      </c>
      <c r="G382" s="81" t="str">
        <f t="shared" si="122"/>
        <v/>
      </c>
      <c r="H382" s="81" t="str">
        <f t="shared" si="122"/>
        <v/>
      </c>
      <c r="I382" s="81" t="str">
        <f t="shared" si="122"/>
        <v/>
      </c>
      <c r="J382" s="81" t="str">
        <f t="shared" si="122"/>
        <v/>
      </c>
      <c r="K382" s="81" t="str">
        <f t="shared" si="122"/>
        <v/>
      </c>
      <c r="L382" s="81" t="str">
        <f t="shared" si="122"/>
        <v/>
      </c>
      <c r="M382" s="81" t="str">
        <f t="shared" si="122"/>
        <v/>
      </c>
      <c r="N382" s="81" t="str">
        <f t="shared" si="122"/>
        <v/>
      </c>
      <c r="O382" s="81" t="str">
        <f t="shared" si="122"/>
        <v/>
      </c>
      <c r="P382" s="81" t="str">
        <f t="shared" si="122"/>
        <v/>
      </c>
      <c r="Q382" s="81" t="str">
        <f t="shared" si="122"/>
        <v/>
      </c>
      <c r="R382" s="81" t="str">
        <f t="shared" si="122"/>
        <v/>
      </c>
      <c r="S382" s="81" t="str">
        <f t="shared" si="122"/>
        <v/>
      </c>
      <c r="T382" s="81" t="str">
        <f t="shared" si="122"/>
        <v/>
      </c>
      <c r="U382" s="81" t="str">
        <f t="shared" si="122"/>
        <v/>
      </c>
      <c r="V382" s="81" t="str">
        <f t="shared" si="122"/>
        <v/>
      </c>
      <c r="W382" s="81" t="str">
        <f t="shared" si="122"/>
        <v/>
      </c>
      <c r="X382" s="81" t="str">
        <f t="shared" si="122"/>
        <v/>
      </c>
      <c r="Y382" s="81" t="str">
        <f t="shared" si="122"/>
        <v/>
      </c>
      <c r="Z382" s="81" t="str">
        <f t="shared" si="122"/>
        <v/>
      </c>
      <c r="AA382" s="81" t="str">
        <f t="shared" si="122"/>
        <v/>
      </c>
      <c r="AB382" s="81" t="str">
        <f t="shared" si="122"/>
        <v/>
      </c>
      <c r="AC382" s="81" t="str">
        <f t="shared" si="122"/>
        <v/>
      </c>
      <c r="AD382" s="81" t="str">
        <f t="shared" si="122"/>
        <v/>
      </c>
      <c r="AE382" s="81" t="str">
        <f t="shared" si="122"/>
        <v/>
      </c>
      <c r="AF382" s="87">
        <f t="shared" ref="AF382:AF422" si="124">SUM(B382:AE382)</f>
        <v>0</v>
      </c>
    </row>
    <row r="383">
      <c r="A383" s="603" t="s">
        <v>771</v>
      </c>
      <c r="B383" s="576">
        <f t="shared" ref="B383:AE383" si="123">SUM(B384:B394)-B395</f>
        <v>0</v>
      </c>
      <c r="C383" s="576">
        <f t="shared" si="123"/>
        <v>0</v>
      </c>
      <c r="D383" s="576">
        <f t="shared" si="123"/>
        <v>-71.96</v>
      </c>
      <c r="E383" s="576">
        <f t="shared" si="123"/>
        <v>-186.85</v>
      </c>
      <c r="F383" s="576">
        <f t="shared" si="123"/>
        <v>-155.1</v>
      </c>
      <c r="G383" s="576">
        <f t="shared" si="123"/>
        <v>-469.5</v>
      </c>
      <c r="H383" s="576">
        <f t="shared" si="123"/>
        <v>-238.43</v>
      </c>
      <c r="I383" s="576">
        <f t="shared" si="123"/>
        <v>-16.52</v>
      </c>
      <c r="J383" s="576">
        <f t="shared" si="123"/>
        <v>-100.2</v>
      </c>
      <c r="K383" s="576">
        <f t="shared" si="123"/>
        <v>-263.99</v>
      </c>
      <c r="L383" s="576">
        <f t="shared" si="123"/>
        <v>0</v>
      </c>
      <c r="M383" s="576">
        <f t="shared" si="123"/>
        <v>-20.01</v>
      </c>
      <c r="N383" s="576">
        <f t="shared" si="123"/>
        <v>-24.06</v>
      </c>
      <c r="O383" s="576">
        <f t="shared" si="123"/>
        <v>-89.07</v>
      </c>
      <c r="P383" s="576">
        <f t="shared" si="123"/>
        <v>-425.59</v>
      </c>
      <c r="Q383" s="576">
        <f t="shared" si="123"/>
        <v>0</v>
      </c>
      <c r="R383" s="576">
        <f t="shared" si="123"/>
        <v>-10.92</v>
      </c>
      <c r="S383" s="576">
        <f t="shared" si="123"/>
        <v>-166.31</v>
      </c>
      <c r="T383" s="576">
        <f t="shared" si="123"/>
        <v>0</v>
      </c>
      <c r="U383" s="576">
        <f t="shared" si="123"/>
        <v>-41.24</v>
      </c>
      <c r="V383" s="576">
        <f t="shared" si="123"/>
        <v>-25.4</v>
      </c>
      <c r="W383" s="576">
        <f t="shared" si="123"/>
        <v>-19.92</v>
      </c>
      <c r="X383" s="576">
        <f t="shared" si="123"/>
        <v>-31.92</v>
      </c>
      <c r="Y383" s="576">
        <f t="shared" si="123"/>
        <v>-265.73</v>
      </c>
      <c r="Z383" s="576">
        <f t="shared" si="123"/>
        <v>-27.75</v>
      </c>
      <c r="AA383" s="576">
        <f t="shared" si="123"/>
        <v>-116.14</v>
      </c>
      <c r="AB383" s="576">
        <f t="shared" si="123"/>
        <v>0</v>
      </c>
      <c r="AC383" s="576">
        <f t="shared" si="123"/>
        <v>-17.75</v>
      </c>
      <c r="AD383" s="576">
        <f t="shared" si="123"/>
        <v>0</v>
      </c>
      <c r="AE383" s="577">
        <f t="shared" si="123"/>
        <v>0</v>
      </c>
      <c r="AF383" s="87">
        <f t="shared" si="124"/>
        <v>-2784.36</v>
      </c>
    </row>
    <row r="384" outlineLevel="1">
      <c r="A384" s="101" t="s">
        <v>383</v>
      </c>
      <c r="B384" s="70">
        <f>(B200+B201+B205+B206)*'DATA - P&amp;L'!$C$3</f>
        <v>0</v>
      </c>
      <c r="C384" s="70">
        <f>(C200+C201+C205+C206)*'DATA - P&amp;L'!$C$3</f>
        <v>0</v>
      </c>
      <c r="D384" s="70">
        <f>(D200+D201+D205+D206)*'DATA - P&amp;L'!$C$3</f>
        <v>86.9</v>
      </c>
      <c r="E384" s="70">
        <f>(E200+E201+E205+E206)*'DATA - P&amp;L'!$C$3</f>
        <v>0</v>
      </c>
      <c r="F384" s="70">
        <f>(F200+F201+F205+F206)*'DATA - P&amp;L'!$C$3</f>
        <v>86.9</v>
      </c>
      <c r="G384" s="70">
        <f>(G200+G201+G205+G206)*'DATA - P&amp;L'!$C$3</f>
        <v>173.8</v>
      </c>
      <c r="H384" s="70">
        <f>(H200+H201+H205+H206)*'DATA - P&amp;L'!$C$3</f>
        <v>86.9</v>
      </c>
      <c r="I384" s="70">
        <f>(I200+I201+I205+I206)*'DATA - P&amp;L'!$C$3</f>
        <v>0</v>
      </c>
      <c r="J384" s="70">
        <f>(J200+J201+J205+J206)*'DATA - P&amp;L'!$C$3</f>
        <v>86.9</v>
      </c>
      <c r="K384" s="70">
        <f>(K200+K201+K205+K206)*'DATA - P&amp;L'!$C$3</f>
        <v>173.8</v>
      </c>
      <c r="L384" s="70">
        <f>(L200+L201+L205+L206)*'DATA - P&amp;L'!$C$3</f>
        <v>0</v>
      </c>
      <c r="M384" s="70">
        <f>(M200+M201+M205+M206)*'DATA - P&amp;L'!$C$3</f>
        <v>0</v>
      </c>
      <c r="N384" s="70">
        <f>(N200+N201+N205+N206)*'DATA - P&amp;L'!$C$3</f>
        <v>0</v>
      </c>
      <c r="O384" s="70">
        <f>(O200+O201+O205+O206)*'DATA - P&amp;L'!$C$3</f>
        <v>86.9</v>
      </c>
      <c r="P384" s="70">
        <f>(P200+P201+P205+P206)*'DATA - P&amp;L'!$C$3</f>
        <v>0</v>
      </c>
      <c r="Q384" s="70">
        <f>(Q200+Q201+Q205+Q206)*'DATA - P&amp;L'!$C$3</f>
        <v>0</v>
      </c>
      <c r="R384" s="70">
        <f>(R200+R201+R205+R206)*'DATA - P&amp;L'!$C$3</f>
        <v>0</v>
      </c>
      <c r="S384" s="70">
        <f>(S200+S201+S205+S206)*'DATA - P&amp;L'!$C$3</f>
        <v>86.9</v>
      </c>
      <c r="T384" s="70">
        <f>(T200+T201+T205+T206)*'DATA - P&amp;L'!$C$3</f>
        <v>0</v>
      </c>
      <c r="U384" s="70">
        <f>(U200+U201+U205+U206)*'DATA - P&amp;L'!$C$3</f>
        <v>0</v>
      </c>
      <c r="V384" s="70">
        <f>(V200+V201+V205+V206)*'DATA - P&amp;L'!$C$3</f>
        <v>0</v>
      </c>
      <c r="W384" s="70">
        <f>(W200+W201+W205+W206)*'DATA - P&amp;L'!$C$3</f>
        <v>0</v>
      </c>
      <c r="X384" s="70">
        <f>(X200+X201+X205+X206)*'DATA - P&amp;L'!$C$3</f>
        <v>0</v>
      </c>
      <c r="Y384" s="70">
        <f>(Y200+Y201+Y205+Y206)*'DATA - P&amp;L'!$C$3</f>
        <v>0</v>
      </c>
      <c r="Z384" s="70">
        <f>(Z200+Z201+Z205+Z206)*'DATA - P&amp;L'!$C$3</f>
        <v>0</v>
      </c>
      <c r="AA384" s="70">
        <f>(AA200+AA201+AA205+AA206)*'DATA - P&amp;L'!$C$3</f>
        <v>86.9</v>
      </c>
      <c r="AB384" s="70">
        <f>(AB200+AB201+AB205+AB206)*'DATA - P&amp;L'!$C$3</f>
        <v>0</v>
      </c>
      <c r="AC384" s="70">
        <f>(AC200+AC201+AC205+AC206)*'DATA - P&amp;L'!$C$3</f>
        <v>0</v>
      </c>
      <c r="AD384" s="70">
        <f>(AD200+AD201+AD205+AD206)*'DATA - P&amp;L'!$C$3</f>
        <v>0</v>
      </c>
      <c r="AE384" s="74">
        <f>(AE200+AE201+AE205+AE206)*'DATA - P&amp;L'!$C$3</f>
        <v>0</v>
      </c>
      <c r="AF384" s="87">
        <f t="shared" si="124"/>
        <v>955.9</v>
      </c>
    </row>
    <row r="385" outlineLevel="1">
      <c r="A385" s="101" t="s">
        <v>386</v>
      </c>
      <c r="B385" s="70">
        <f>(B202+B203+B207+B208)*'DATA - P&amp;L'!$C$4</f>
        <v>0</v>
      </c>
      <c r="C385" s="70">
        <f>(C202+C203+C207+C208)*'DATA - P&amp;L'!$C$4</f>
        <v>0</v>
      </c>
      <c r="D385" s="70">
        <f>(D202+D203+D207+D208)*'DATA - P&amp;L'!$C$4</f>
        <v>0</v>
      </c>
      <c r="E385" s="70">
        <f>(E202+E203+E207+E208)*'DATA - P&amp;L'!$C$4</f>
        <v>97.61</v>
      </c>
      <c r="F385" s="70">
        <f>(F202+F203+F207+F208)*'DATA - P&amp;L'!$C$4</f>
        <v>0</v>
      </c>
      <c r="G385" s="70">
        <f>(G202+G203+G207+G208)*'DATA - P&amp;L'!$C$4</f>
        <v>195.22</v>
      </c>
      <c r="H385" s="70">
        <f>(H202+H203+H207+H208)*'DATA - P&amp;L'!$C$4</f>
        <v>97.61</v>
      </c>
      <c r="I385" s="70">
        <f>(I202+I203+I207+I208)*'DATA - P&amp;L'!$C$4</f>
        <v>0</v>
      </c>
      <c r="J385" s="70">
        <f>(J202+J203+J207+J208)*'DATA - P&amp;L'!$C$4</f>
        <v>0</v>
      </c>
      <c r="K385" s="70">
        <f>(K202+K203+K207+K208)*'DATA - P&amp;L'!$C$4</f>
        <v>0</v>
      </c>
      <c r="L385" s="70">
        <f>(L202+L203+L207+L208)*'DATA - P&amp;L'!$C$4</f>
        <v>0</v>
      </c>
      <c r="M385" s="70">
        <f>(M202+M203+M207+M208)*'DATA - P&amp;L'!$C$4</f>
        <v>0</v>
      </c>
      <c r="N385" s="70">
        <f>(N202+N203+N207+N208)*'DATA - P&amp;L'!$C$4</f>
        <v>0</v>
      </c>
      <c r="O385" s="70">
        <f>(O202+O203+O207+O208)*'DATA - P&amp;L'!$C$4</f>
        <v>0</v>
      </c>
      <c r="P385" s="70">
        <f>(P202+P203+P207+P208)*'DATA - P&amp;L'!$C$4</f>
        <v>195.22</v>
      </c>
      <c r="Q385" s="70">
        <f>(Q202+Q203+Q207+Q208)*'DATA - P&amp;L'!$C$4</f>
        <v>0</v>
      </c>
      <c r="R385" s="70">
        <f>(R202+R203+R207+R208)*'DATA - P&amp;L'!$C$4</f>
        <v>0</v>
      </c>
      <c r="S385" s="70">
        <f>(S202+S203+S207+S208)*'DATA - P&amp;L'!$C$4</f>
        <v>0</v>
      </c>
      <c r="T385" s="70">
        <f>(T202+T203+T207+T208)*'DATA - P&amp;L'!$C$4</f>
        <v>0</v>
      </c>
      <c r="U385" s="70">
        <f>(U202+U203+U207+U208)*'DATA - P&amp;L'!$C$4</f>
        <v>0</v>
      </c>
      <c r="V385" s="70">
        <f>(V202+V203+V207+V208)*'DATA - P&amp;L'!$C$4</f>
        <v>0</v>
      </c>
      <c r="W385" s="70">
        <f>(W202+W203+W207+W208)*'DATA - P&amp;L'!$C$4</f>
        <v>0</v>
      </c>
      <c r="X385" s="70">
        <f>(X202+X203+X207+X208)*'DATA - P&amp;L'!$C$4</f>
        <v>0</v>
      </c>
      <c r="Y385" s="70">
        <f>(Y202+Y203+Y207+Y208)*'DATA - P&amp;L'!$C$4</f>
        <v>97.61</v>
      </c>
      <c r="Z385" s="70">
        <f>(Z202+Z203+Z207+Z208)*'DATA - P&amp;L'!$C$4</f>
        <v>0</v>
      </c>
      <c r="AA385" s="70">
        <f>(AA202+AA203+AA207+AA208)*'DATA - P&amp;L'!$C$4</f>
        <v>0</v>
      </c>
      <c r="AB385" s="70">
        <f>(AB202+AB203+AB207+AB208)*'DATA - P&amp;L'!$C$4</f>
        <v>0</v>
      </c>
      <c r="AC385" s="70">
        <f>(AC202+AC203+AC207+AC208)*'DATA - P&amp;L'!$C$4</f>
        <v>0</v>
      </c>
      <c r="AD385" s="70">
        <f>(AD202+AD203+AD207+AD208)*'DATA - P&amp;L'!$C$4</f>
        <v>0</v>
      </c>
      <c r="AE385" s="74">
        <f>(AE202+AE203+AE207+AE208)*'DATA - P&amp;L'!$C$4</f>
        <v>0</v>
      </c>
      <c r="AF385" s="87">
        <f t="shared" si="124"/>
        <v>683.27</v>
      </c>
    </row>
    <row r="386" outlineLevel="1">
      <c r="A386" s="101" t="s">
        <v>388</v>
      </c>
      <c r="B386" s="70">
        <f>(B213+B224)*'DATA - P&amp;L'!$C$6</f>
        <v>0</v>
      </c>
      <c r="C386" s="70">
        <f>(C213+C224)*'DATA - P&amp;L'!$C$6</f>
        <v>0</v>
      </c>
      <c r="D386" s="70">
        <f>(D213+D224)*'DATA - P&amp;L'!$C$6</f>
        <v>0</v>
      </c>
      <c r="E386" s="70">
        <f>(E213+E224)*'DATA - P&amp;L'!$C$6</f>
        <v>0</v>
      </c>
      <c r="F386" s="70">
        <f>(F213+F224)*'DATA - P&amp;L'!$C$6</f>
        <v>0</v>
      </c>
      <c r="G386" s="70">
        <f>(G213+G224)*'DATA - P&amp;L'!$C$6</f>
        <v>0</v>
      </c>
      <c r="H386" s="70">
        <f>(H213+H224)*'DATA - P&amp;L'!$C$6</f>
        <v>0</v>
      </c>
      <c r="I386" s="70">
        <f>(I213+I224)*'DATA - P&amp;L'!$C$6</f>
        <v>0</v>
      </c>
      <c r="J386" s="70">
        <f>(J213+J224)*'DATA - P&amp;L'!$C$6</f>
        <v>0</v>
      </c>
      <c r="K386" s="70">
        <f>(K213+K224)*'DATA - P&amp;L'!$C$6</f>
        <v>0</v>
      </c>
      <c r="L386" s="70">
        <f>(L213+L224)*'DATA - P&amp;L'!$C$6</f>
        <v>0</v>
      </c>
      <c r="M386" s="70">
        <f>(M213+M224)*'DATA - P&amp;L'!$C$6</f>
        <v>0</v>
      </c>
      <c r="N386" s="70">
        <f>(N213+N224)*'DATA - P&amp;L'!$C$6</f>
        <v>0</v>
      </c>
      <c r="O386" s="70">
        <f>(O213+O224)*'DATA - P&amp;L'!$C$6</f>
        <v>0</v>
      </c>
      <c r="P386" s="70">
        <f>(P213+P224)*'DATA - P&amp;L'!$C$6</f>
        <v>5.49</v>
      </c>
      <c r="Q386" s="70">
        <f>(Q213+Q224)*'DATA - P&amp;L'!$C$6</f>
        <v>0</v>
      </c>
      <c r="R386" s="70">
        <f>(R213+R224)*'DATA - P&amp;L'!$C$6</f>
        <v>5.49</v>
      </c>
      <c r="S386" s="70">
        <f>(S213+S224)*'DATA - P&amp;L'!$C$6</f>
        <v>0</v>
      </c>
      <c r="T386" s="70">
        <f>(T213+T224)*'DATA - P&amp;L'!$C$6</f>
        <v>0</v>
      </c>
      <c r="U386" s="70">
        <f>(U213+U224)*'DATA - P&amp;L'!$C$6</f>
        <v>0</v>
      </c>
      <c r="V386" s="70">
        <f>(V213+V224)*'DATA - P&amp;L'!$C$6</f>
        <v>0</v>
      </c>
      <c r="W386" s="70">
        <f>(W213+W224)*'DATA - P&amp;L'!$C$6</f>
        <v>0</v>
      </c>
      <c r="X386" s="70">
        <f>(X213+X224)*'DATA - P&amp;L'!$C$6</f>
        <v>5.49</v>
      </c>
      <c r="Y386" s="70">
        <f>(Y213+Y224)*'DATA - P&amp;L'!$C$6</f>
        <v>5.49</v>
      </c>
      <c r="Z386" s="70">
        <f>(Z213+Z224)*'DATA - P&amp;L'!$C$6</f>
        <v>0</v>
      </c>
      <c r="AA386" s="70">
        <f>(AA213+AA224)*'DATA - P&amp;L'!$C$6</f>
        <v>0</v>
      </c>
      <c r="AB386" s="70">
        <f>(AB213+AB224)*'DATA - P&amp;L'!$C$6</f>
        <v>0</v>
      </c>
      <c r="AC386" s="70">
        <f>(AC213+AC224)*'DATA - P&amp;L'!$C$6</f>
        <v>0</v>
      </c>
      <c r="AD386" s="70">
        <f>(AD213+AD224)*'DATA - P&amp;L'!$C$6</f>
        <v>0</v>
      </c>
      <c r="AE386" s="74">
        <f>(AE213+AE224)*'DATA - P&amp;L'!$C$6</f>
        <v>0</v>
      </c>
      <c r="AF386" s="87">
        <f t="shared" si="124"/>
        <v>21.96</v>
      </c>
    </row>
    <row r="387" outlineLevel="1">
      <c r="A387" s="101" t="s">
        <v>389</v>
      </c>
      <c r="B387" s="70">
        <f>(B214+B225)*'DATA - P&amp;L'!$C$8</f>
        <v>0</v>
      </c>
      <c r="C387" s="70">
        <f>(C214+C225)*'DATA - P&amp;L'!$C$8</f>
        <v>0</v>
      </c>
      <c r="D387" s="70">
        <f>(D214+D225)*'DATA - P&amp;L'!$C$8</f>
        <v>0</v>
      </c>
      <c r="E387" s="70">
        <f>(E214+E225)*'DATA - P&amp;L'!$C$8</f>
        <v>0</v>
      </c>
      <c r="F387" s="70">
        <f>(F214+F225)*'DATA - P&amp;L'!$C$8</f>
        <v>0</v>
      </c>
      <c r="G387" s="70">
        <f>(G214+G225)*'DATA - P&amp;L'!$C$8</f>
        <v>0</v>
      </c>
      <c r="H387" s="70">
        <f>(H214+H225)*'DATA - P&amp;L'!$C$8</f>
        <v>0</v>
      </c>
      <c r="I387" s="70">
        <f>(I214+I225)*'DATA - P&amp;L'!$C$8</f>
        <v>1.19</v>
      </c>
      <c r="J387" s="70">
        <f>(J214+J225)*'DATA - P&amp;L'!$C$8</f>
        <v>0</v>
      </c>
      <c r="K387" s="70">
        <f>(K214+K225)*'DATA - P&amp;L'!$C$8</f>
        <v>0</v>
      </c>
      <c r="L387" s="70">
        <f>(L214+L225)*'DATA - P&amp;L'!$C$8</f>
        <v>0</v>
      </c>
      <c r="M387" s="70">
        <f>(M214+M225)*'DATA - P&amp;L'!$C$8</f>
        <v>0</v>
      </c>
      <c r="N387" s="70">
        <f>(N214+N225)*'DATA - P&amp;L'!$C$8</f>
        <v>0</v>
      </c>
      <c r="O387" s="70">
        <f>(O214+O225)*'DATA - P&amp;L'!$C$8</f>
        <v>0</v>
      </c>
      <c r="P387" s="70">
        <f>(P214+P225)*'DATA - P&amp;L'!$C$8</f>
        <v>1.19</v>
      </c>
      <c r="Q387" s="70">
        <f>(Q214+Q225)*'DATA - P&amp;L'!$C$8</f>
        <v>0</v>
      </c>
      <c r="R387" s="70">
        <f>(R214+R225)*'DATA - P&amp;L'!$C$8</f>
        <v>0</v>
      </c>
      <c r="S387" s="70">
        <f>(S214+S225)*'DATA - P&amp;L'!$C$8</f>
        <v>0</v>
      </c>
      <c r="T387" s="70">
        <f>(T214+T225)*'DATA - P&amp;L'!$C$8</f>
        <v>0</v>
      </c>
      <c r="U387" s="70">
        <f>(U214+U225)*'DATA - P&amp;L'!$C$8</f>
        <v>1.19</v>
      </c>
      <c r="V387" s="70">
        <f>(V214+V225)*'DATA - P&amp;L'!$C$8</f>
        <v>0</v>
      </c>
      <c r="W387" s="70">
        <f>(W214+W225)*'DATA - P&amp;L'!$C$8</f>
        <v>0</v>
      </c>
      <c r="X387" s="70">
        <f>(X214+X225)*'DATA - P&amp;L'!$C$8</f>
        <v>0</v>
      </c>
      <c r="Y387" s="70">
        <f>(Y214+Y225)*'DATA - P&amp;L'!$C$8</f>
        <v>1.19</v>
      </c>
      <c r="Z387" s="70">
        <f>(Z214+Z225)*'DATA - P&amp;L'!$C$8</f>
        <v>0</v>
      </c>
      <c r="AA387" s="70">
        <f>(AA214+AA225)*'DATA - P&amp;L'!$C$8</f>
        <v>0</v>
      </c>
      <c r="AB387" s="70">
        <f>(AB214+AB225)*'DATA - P&amp;L'!$C$8</f>
        <v>0</v>
      </c>
      <c r="AC387" s="70">
        <f>(AC214+AC225)*'DATA - P&amp;L'!$C$8</f>
        <v>0</v>
      </c>
      <c r="AD387" s="70">
        <f>(AD214+AD225)*'DATA - P&amp;L'!$C$8</f>
        <v>0</v>
      </c>
      <c r="AE387" s="74">
        <f>(AE214+AE225)*'DATA - P&amp;L'!$C$8</f>
        <v>0</v>
      </c>
      <c r="AF387" s="87">
        <f t="shared" si="124"/>
        <v>4.76</v>
      </c>
    </row>
    <row r="388" outlineLevel="1">
      <c r="A388" s="101" t="s">
        <v>393</v>
      </c>
      <c r="B388" s="70">
        <f>(B215+B216+B226+B227)*'DATA - P&amp;L'!$C$9</f>
        <v>0</v>
      </c>
      <c r="C388" s="70">
        <f>(C215+C216+C226+C227)*'DATA - P&amp;L'!$C$9</f>
        <v>0</v>
      </c>
      <c r="D388" s="70">
        <f>(D215+D216+D226+D227)*'DATA - P&amp;L'!$C$9</f>
        <v>0</v>
      </c>
      <c r="E388" s="70">
        <f>(E215+E216+E226+E227)*'DATA - P&amp;L'!$C$9</f>
        <v>6.66</v>
      </c>
      <c r="F388" s="70">
        <f>(F215+F216+F226+F227)*'DATA - P&amp;L'!$C$9</f>
        <v>0</v>
      </c>
      <c r="G388" s="70">
        <f>(G215+G216+G226+G227)*'DATA - P&amp;L'!$C$9</f>
        <v>6.66</v>
      </c>
      <c r="H388" s="70">
        <f>(H215+H216+H226+H227)*'DATA - P&amp;L'!$C$9</f>
        <v>0</v>
      </c>
      <c r="I388" s="70">
        <f>(I215+I216+I226+I227)*'DATA - P&amp;L'!$C$9</f>
        <v>0</v>
      </c>
      <c r="J388" s="70">
        <f>(J215+J216+J226+J227)*'DATA - P&amp;L'!$C$9</f>
        <v>0</v>
      </c>
      <c r="K388" s="70">
        <f>(K215+K216+K226+K227)*'DATA - P&amp;L'!$C$9</f>
        <v>0</v>
      </c>
      <c r="L388" s="70">
        <f>(L215+L216+L226+L227)*'DATA - P&amp;L'!$C$9</f>
        <v>0</v>
      </c>
      <c r="M388" s="70">
        <f>(M215+M216+M226+M227)*'DATA - P&amp;L'!$C$9</f>
        <v>6.66</v>
      </c>
      <c r="N388" s="70">
        <f>(N215+N216+N226+N227)*'DATA - P&amp;L'!$C$9</f>
        <v>13.32</v>
      </c>
      <c r="O388" s="70">
        <f>(O215+O216+O226+O227)*'DATA - P&amp;L'!$C$9</f>
        <v>0</v>
      </c>
      <c r="P388" s="70">
        <f>(P215+P216+P226+P227)*'DATA - P&amp;L'!$C$9</f>
        <v>6.66</v>
      </c>
      <c r="Q388" s="70">
        <f>(Q215+Q216+Q226+Q227)*'DATA - P&amp;L'!$C$9</f>
        <v>0</v>
      </c>
      <c r="R388" s="70">
        <f>(R215+R216+R226+R227)*'DATA - P&amp;L'!$C$9</f>
        <v>0</v>
      </c>
      <c r="S388" s="70">
        <f>(S215+S216+S226+S227)*'DATA - P&amp;L'!$C$9</f>
        <v>0</v>
      </c>
      <c r="T388" s="70">
        <f>(T215+T216+T226+T227)*'DATA - P&amp;L'!$C$9</f>
        <v>0</v>
      </c>
      <c r="U388" s="70">
        <f>(U215+U216+U226+U227)*'DATA - P&amp;L'!$C$9</f>
        <v>6.66</v>
      </c>
      <c r="V388" s="70">
        <f>(V215+V216+V226+V227)*'DATA - P&amp;L'!$C$9</f>
        <v>0</v>
      </c>
      <c r="W388" s="70">
        <f>(W215+W216+W226+W227)*'DATA - P&amp;L'!$C$9</f>
        <v>6.66</v>
      </c>
      <c r="X388" s="70">
        <f>(X215+X216+X226+X227)*'DATA - P&amp;L'!$C$9</f>
        <v>6.66</v>
      </c>
      <c r="Y388" s="70">
        <f>(Y215+Y216+Y226+Y227)*'DATA - P&amp;L'!$C$9</f>
        <v>13.32</v>
      </c>
      <c r="Z388" s="70">
        <f>(Z215+Z216+Z226+Z227)*'DATA - P&amp;L'!$C$9</f>
        <v>0</v>
      </c>
      <c r="AA388" s="70">
        <f>(AA215+AA216+AA226+AA227)*'DATA - P&amp;L'!$C$9</f>
        <v>0</v>
      </c>
      <c r="AB388" s="70">
        <f>(AB215+AB216+AB226+AB227)*'DATA - P&amp;L'!$C$9</f>
        <v>0</v>
      </c>
      <c r="AC388" s="70">
        <f>(AC215+AC216+AC226+AC227)*'DATA - P&amp;L'!$C$9</f>
        <v>6.66</v>
      </c>
      <c r="AD388" s="70">
        <f>(AD215+AD216+AD226+AD227)*'DATA - P&amp;L'!$C$9</f>
        <v>0</v>
      </c>
      <c r="AE388" s="74">
        <f>(AE215+AE216+AE226+AE227)*'DATA - P&amp;L'!$C$9</f>
        <v>0</v>
      </c>
      <c r="AF388" s="87">
        <f t="shared" si="124"/>
        <v>79.92</v>
      </c>
    </row>
    <row r="389" outlineLevel="1">
      <c r="A389" s="101" t="s">
        <v>396</v>
      </c>
      <c r="B389" s="70">
        <f>(B217+B218+B228+B229)*'DATA - P&amp;L'!$C$5</f>
        <v>0</v>
      </c>
      <c r="C389" s="70">
        <f>(C217+C218+C228+C229)*'DATA - P&amp;L'!$C$5</f>
        <v>0</v>
      </c>
      <c r="D389" s="70">
        <f>(D217+D218+D228+D229)*'DATA - P&amp;L'!$C$5</f>
        <v>0</v>
      </c>
      <c r="E389" s="70">
        <f>(E217+E218+E228+E229)*'DATA - P&amp;L'!$C$5</f>
        <v>0</v>
      </c>
      <c r="F389" s="70">
        <f>(F217+F218+F228+F229)*'DATA - P&amp;L'!$C$5</f>
        <v>0</v>
      </c>
      <c r="G389" s="70">
        <f>(G217+G218+G228+G229)*'DATA - P&amp;L'!$C$5</f>
        <v>0</v>
      </c>
      <c r="H389" s="70">
        <f>(H217+H218+H228+H229)*'DATA - P&amp;L'!$C$5</f>
        <v>0</v>
      </c>
      <c r="I389" s="70">
        <f>(I217+I218+I228+I229)*'DATA - P&amp;L'!$C$5</f>
        <v>0</v>
      </c>
      <c r="J389" s="70">
        <f>(J217+J218+J228+J229)*'DATA - P&amp;L'!$C$5</f>
        <v>0</v>
      </c>
      <c r="K389" s="70">
        <f>(K217+K218+K228+K229)*'DATA - P&amp;L'!$C$5</f>
        <v>13.44</v>
      </c>
      <c r="L389" s="70">
        <f>(L217+L218+L228+L229)*'DATA - P&amp;L'!$C$5</f>
        <v>0</v>
      </c>
      <c r="M389" s="70">
        <f>(M217+M218+M228+M229)*'DATA - P&amp;L'!$C$5</f>
        <v>0</v>
      </c>
      <c r="N389" s="70">
        <f>(N217+N218+N228+N229)*'DATA - P&amp;L'!$C$5</f>
        <v>0</v>
      </c>
      <c r="O389" s="70">
        <f>(O217+O218+O228+O229)*'DATA - P&amp;L'!$C$5</f>
        <v>0</v>
      </c>
      <c r="P389" s="70">
        <f>(P217+P218+P228+P229)*'DATA - P&amp;L'!$C$5</f>
        <v>0</v>
      </c>
      <c r="Q389" s="70">
        <f>(Q217+Q218+Q228+Q229)*'DATA - P&amp;L'!$C$5</f>
        <v>0</v>
      </c>
      <c r="R389" s="70">
        <f>(R217+R218+R228+R229)*'DATA - P&amp;L'!$C$5</f>
        <v>0</v>
      </c>
      <c r="S389" s="70">
        <f>(S217+S218+S228+S229)*'DATA - P&amp;L'!$C$5</f>
        <v>0</v>
      </c>
      <c r="T389" s="70">
        <f>(T217+T218+T228+T229)*'DATA - P&amp;L'!$C$5</f>
        <v>0</v>
      </c>
      <c r="U389" s="70">
        <f>(U217+U218+U228+U229)*'DATA - P&amp;L'!$C$5</f>
        <v>0</v>
      </c>
      <c r="V389" s="70">
        <f>(V217+V218+V228+V229)*'DATA - P&amp;L'!$C$5</f>
        <v>0</v>
      </c>
      <c r="W389" s="70">
        <f>(W217+W218+W228+W229)*'DATA - P&amp;L'!$C$5</f>
        <v>0</v>
      </c>
      <c r="X389" s="70">
        <f>(X217+X218+X228+X229)*'DATA - P&amp;L'!$C$5</f>
        <v>0</v>
      </c>
      <c r="Y389" s="70">
        <f>(Y217+Y218+Y228+Y229)*'DATA - P&amp;L'!$C$5</f>
        <v>0</v>
      </c>
      <c r="Z389" s="70">
        <f>(Z217+Z218+Z228+Z229)*'DATA - P&amp;L'!$C$5</f>
        <v>0</v>
      </c>
      <c r="AA389" s="70">
        <f>(AA217+AA218+AA228+AA229)*'DATA - P&amp;L'!$C$5</f>
        <v>0</v>
      </c>
      <c r="AB389" s="70">
        <f>(AB217+AB218+AB228+AB229)*'DATA - P&amp;L'!$C$5</f>
        <v>0</v>
      </c>
      <c r="AC389" s="70">
        <f>(AC217+AC218+AC228+AC229)*'DATA - P&amp;L'!$C$5</f>
        <v>0</v>
      </c>
      <c r="AD389" s="70">
        <f>(AD217+AD218+AD228+AD229)*'DATA - P&amp;L'!$C$5</f>
        <v>0</v>
      </c>
      <c r="AE389" s="74">
        <f>(AE217+AE218+AE228+AE229)*'DATA - P&amp;L'!$C$5</f>
        <v>0</v>
      </c>
      <c r="AF389" s="87">
        <f t="shared" si="124"/>
        <v>13.44</v>
      </c>
    </row>
    <row r="390" outlineLevel="1">
      <c r="A390" s="101" t="s">
        <v>398</v>
      </c>
      <c r="B390" s="70">
        <f>(B219+B220+B230+B231)*'DATA - P&amp;L'!$C$10</f>
        <v>0</v>
      </c>
      <c r="C390" s="70">
        <f>(C219+C220+C230+C231)*'DATA - P&amp;L'!$C$10</f>
        <v>0</v>
      </c>
      <c r="D390" s="70">
        <f>(D219+D220+D230+D231)*'DATA - P&amp;L'!$C$10</f>
        <v>0</v>
      </c>
      <c r="E390" s="70">
        <f>(E219+E220+E230+E231)*'DATA - P&amp;L'!$C$10</f>
        <v>0</v>
      </c>
      <c r="F390" s="70">
        <f>(F219+F220+F230+F231)*'DATA - P&amp;L'!$C$10</f>
        <v>0</v>
      </c>
      <c r="G390" s="70">
        <f>(G219+G220+G230+G231)*'DATA - P&amp;L'!$C$10</f>
        <v>0</v>
      </c>
      <c r="H390" s="70">
        <f>(H219+H220+H230+H231)*'DATA - P&amp;L'!$C$10</f>
        <v>0</v>
      </c>
      <c r="I390" s="70">
        <f>(I219+I220+I230+I231)*'DATA - P&amp;L'!$C$10</f>
        <v>0</v>
      </c>
      <c r="J390" s="70">
        <f>(J219+J220+J230+J231)*'DATA - P&amp;L'!$C$10</f>
        <v>0</v>
      </c>
      <c r="K390" s="70">
        <f>(K219+K220+K230+K231)*'DATA - P&amp;L'!$C$10</f>
        <v>0</v>
      </c>
      <c r="L390" s="70">
        <f>(L219+L220+L230+L231)*'DATA - P&amp;L'!$C$10</f>
        <v>0</v>
      </c>
      <c r="M390" s="70">
        <f>(M219+M220+M230+M231)*'DATA - P&amp;L'!$C$10</f>
        <v>0</v>
      </c>
      <c r="N390" s="70">
        <f>(N219+N220+N230+N231)*'DATA - P&amp;L'!$C$10</f>
        <v>0</v>
      </c>
      <c r="O390" s="70">
        <f>(O219+O220+O230+O231)*'DATA - P&amp;L'!$C$10</f>
        <v>0</v>
      </c>
      <c r="P390" s="70">
        <f>(P219+P220+P230+P231)*'DATA - P&amp;L'!$C$10</f>
        <v>0</v>
      </c>
      <c r="Q390" s="70">
        <f>(Q219+Q220+Q230+Q231)*'DATA - P&amp;L'!$C$10</f>
        <v>0</v>
      </c>
      <c r="R390" s="70">
        <f>(R219+R220+R230+R231)*'DATA - P&amp;L'!$C$10</f>
        <v>0</v>
      </c>
      <c r="S390" s="70">
        <f>(S219+S220+S230+S231)*'DATA - P&amp;L'!$C$10</f>
        <v>12</v>
      </c>
      <c r="T390" s="70">
        <f>(T219+T220+T230+T231)*'DATA - P&amp;L'!$C$10</f>
        <v>0</v>
      </c>
      <c r="U390" s="70">
        <f>(U219+U220+U230+U231)*'DATA - P&amp;L'!$C$10</f>
        <v>6</v>
      </c>
      <c r="V390" s="70">
        <f>(V219+V220+V230+V231)*'DATA - P&amp;L'!$C$10</f>
        <v>6</v>
      </c>
      <c r="W390" s="70">
        <f>(W219+W220+W230+W231)*'DATA - P&amp;L'!$C$10</f>
        <v>0</v>
      </c>
      <c r="X390" s="70">
        <f>(X219+X220+X230+X231)*'DATA - P&amp;L'!$C$10</f>
        <v>0</v>
      </c>
      <c r="Y390" s="70">
        <f>(Y219+Y220+Y230+Y231)*'DATA - P&amp;L'!$C$10</f>
        <v>0</v>
      </c>
      <c r="Z390" s="70">
        <f>(Z219+Z220+Z230+Z231)*'DATA - P&amp;L'!$C$10</f>
        <v>6</v>
      </c>
      <c r="AA390" s="70">
        <f>(AA219+AA220+AA230+AA231)*'DATA - P&amp;L'!$C$10</f>
        <v>0</v>
      </c>
      <c r="AB390" s="70">
        <f>(AB219+AB220+AB230+AB231)*'DATA - P&amp;L'!$C$10</f>
        <v>0</v>
      </c>
      <c r="AC390" s="70">
        <f>(AC219+AC220+AC230+AC231)*'DATA - P&amp;L'!$C$10</f>
        <v>0</v>
      </c>
      <c r="AD390" s="70">
        <f>(AD219+AD220+AD230+AD231)*'DATA - P&amp;L'!$C$10</f>
        <v>0</v>
      </c>
      <c r="AE390" s="74">
        <f>(AE219+AE220+AE230+AE231)*'DATA - P&amp;L'!$C$10</f>
        <v>0</v>
      </c>
      <c r="AF390" s="87">
        <f t="shared" si="124"/>
        <v>30</v>
      </c>
    </row>
    <row r="391" outlineLevel="1">
      <c r="A391" s="101" t="s">
        <v>400</v>
      </c>
      <c r="B391" s="70">
        <f>((SUM(B200:B203))*'DATA - P&amp;L'!$C$38)+((SUM(B205:B208))*'DATA - P&amp;L'!$C$39)</f>
        <v>0</v>
      </c>
      <c r="C391" s="70">
        <f>((SUM(C200:C203))*'DATA - P&amp;L'!$C$38)+((SUM(C205:C208))*'DATA - P&amp;L'!$C$39)</f>
        <v>0</v>
      </c>
      <c r="D391" s="70">
        <f>((SUM(D200:D203))*'DATA - P&amp;L'!$C$38)+((SUM(D205:D208))*'DATA - P&amp;L'!$C$39)</f>
        <v>11.94</v>
      </c>
      <c r="E391" s="70">
        <f>((SUM(E200:E203))*'DATA - P&amp;L'!$C$38)+((SUM(E205:E208))*'DATA - P&amp;L'!$C$39)</f>
        <v>11.94</v>
      </c>
      <c r="F391" s="70">
        <f>((SUM(F200:F203))*'DATA - P&amp;L'!$C$38)+((SUM(F205:F208))*'DATA - P&amp;L'!$C$39)</f>
        <v>11.94</v>
      </c>
      <c r="G391" s="70">
        <f>((SUM(G200:G203))*'DATA - P&amp;L'!$C$38)+((SUM(G205:G208))*'DATA - P&amp;L'!$C$39)</f>
        <v>47.76</v>
      </c>
      <c r="H391" s="70">
        <f>((SUM(H200:H203))*'DATA - P&amp;L'!$C$38)+((SUM(H205:H208))*'DATA - P&amp;L'!$C$39)</f>
        <v>23.88</v>
      </c>
      <c r="I391" s="70">
        <f>((SUM(I200:I203))*'DATA - P&amp;L'!$C$38)+((SUM(I205:I208))*'DATA - P&amp;L'!$C$39)</f>
        <v>0</v>
      </c>
      <c r="J391" s="70">
        <f>((SUM(J200:J203))*'DATA - P&amp;L'!$C$38)+((SUM(J205:J208))*'DATA - P&amp;L'!$C$39)</f>
        <v>11.94</v>
      </c>
      <c r="K391" s="70">
        <f>((SUM(K200:K203))*'DATA - P&amp;L'!$C$38)+((SUM(K205:K208))*'DATA - P&amp;L'!$C$39)</f>
        <v>23.88</v>
      </c>
      <c r="L391" s="70">
        <f>((SUM(L200:L203))*'DATA - P&amp;L'!$C$38)+((SUM(L205:L208))*'DATA - P&amp;L'!$C$39)</f>
        <v>0</v>
      </c>
      <c r="M391" s="70">
        <f>((SUM(M200:M203))*'DATA - P&amp;L'!$C$38)+((SUM(M205:M208))*'DATA - P&amp;L'!$C$39)</f>
        <v>0</v>
      </c>
      <c r="N391" s="70">
        <f>((SUM(N200:N203))*'DATA - P&amp;L'!$C$38)+((SUM(N205:N208))*'DATA - P&amp;L'!$C$39)</f>
        <v>0</v>
      </c>
      <c r="O391" s="70">
        <f>((SUM(O200:O203))*'DATA - P&amp;L'!$C$38)+((SUM(O205:O208))*'DATA - P&amp;L'!$C$39)</f>
        <v>11.94</v>
      </c>
      <c r="P391" s="70">
        <f>((SUM(P200:P203))*'DATA - P&amp;L'!$C$38)+((SUM(P205:P208))*'DATA - P&amp;L'!$C$39)</f>
        <v>23.88</v>
      </c>
      <c r="Q391" s="70">
        <f>((SUM(Q200:Q203))*'DATA - P&amp;L'!$C$38)+((SUM(Q205:Q208))*'DATA - P&amp;L'!$C$39)</f>
        <v>0</v>
      </c>
      <c r="R391" s="70">
        <f>((SUM(R200:R203))*'DATA - P&amp;L'!$C$38)+((SUM(R205:R208))*'DATA - P&amp;L'!$C$39)</f>
        <v>0</v>
      </c>
      <c r="S391" s="70">
        <f>((SUM(S200:S203))*'DATA - P&amp;L'!$C$38)+((SUM(S205:S208))*'DATA - P&amp;L'!$C$39)</f>
        <v>11.94</v>
      </c>
      <c r="T391" s="70">
        <f>((SUM(T200:T203))*'DATA - P&amp;L'!$C$38)+((SUM(T205:T208))*'DATA - P&amp;L'!$C$39)</f>
        <v>0</v>
      </c>
      <c r="U391" s="70">
        <f>((SUM(U200:U203))*'DATA - P&amp;L'!$C$38)+((SUM(U205:U208))*'DATA - P&amp;L'!$C$39)</f>
        <v>0</v>
      </c>
      <c r="V391" s="70">
        <f>((SUM(V200:V203))*'DATA - P&amp;L'!$C$38)+((SUM(V205:V208))*'DATA - P&amp;L'!$C$39)</f>
        <v>0</v>
      </c>
      <c r="W391" s="70">
        <f>((SUM(W200:W203))*'DATA - P&amp;L'!$C$38)+((SUM(W205:W208))*'DATA - P&amp;L'!$C$39)</f>
        <v>0</v>
      </c>
      <c r="X391" s="70">
        <f>((SUM(X200:X203))*'DATA - P&amp;L'!$C$38)+((SUM(X205:X208))*'DATA - P&amp;L'!$C$39)</f>
        <v>0</v>
      </c>
      <c r="Y391" s="70">
        <f>((SUM(Y200:Y203))*'DATA - P&amp;L'!$C$38)+((SUM(Y205:Y208))*'DATA - P&amp;L'!$C$39)</f>
        <v>11.94</v>
      </c>
      <c r="Z391" s="70">
        <f>((SUM(Z200:Z203))*'DATA - P&amp;L'!$C$38)+((SUM(Z205:Z208))*'DATA - P&amp;L'!$C$39)</f>
        <v>0</v>
      </c>
      <c r="AA391" s="70">
        <f>((SUM(AA200:AA203))*'DATA - P&amp;L'!$C$38)+((SUM(AA205:AA208))*'DATA - P&amp;L'!$C$39)</f>
        <v>11.94</v>
      </c>
      <c r="AB391" s="70">
        <f>((SUM(AB200:AB203))*'DATA - P&amp;L'!$C$38)+((SUM(AB205:AB208))*'DATA - P&amp;L'!$C$39)</f>
        <v>0</v>
      </c>
      <c r="AC391" s="70">
        <f>((SUM(AC200:AC203))*'DATA - P&amp;L'!$C$38)+((SUM(AC205:AC208))*'DATA - P&amp;L'!$C$39)</f>
        <v>0</v>
      </c>
      <c r="AD391" s="70">
        <f>((SUM(AD200:AD203))*'DATA - P&amp;L'!$C$38)+((SUM(AD205:AD208))*'DATA - P&amp;L'!$C$39)</f>
        <v>0</v>
      </c>
      <c r="AE391" s="74">
        <f>((SUM(AE200:AE203))*'DATA - P&amp;L'!$C$38)+((SUM(AE205:AE208))*'DATA - P&amp;L'!$C$39)</f>
        <v>0</v>
      </c>
      <c r="AF391" s="87">
        <f t="shared" si="124"/>
        <v>214.92</v>
      </c>
    </row>
    <row r="392" outlineLevel="1">
      <c r="A392" s="101" t="s">
        <v>800</v>
      </c>
      <c r="B392" s="70">
        <f>((B200+B201+B202+B203)*'DATA - P&amp;L'!$C$34)+((B205+B206+B207+B208)*'DATA - P&amp;L'!$C$35)</f>
        <v>0</v>
      </c>
      <c r="C392" s="70">
        <f>((C200+C201+C202+C203)*'DATA - P&amp;L'!$C$34)+((C205+C206+C207+C208)*'DATA - P&amp;L'!$C$35)</f>
        <v>0</v>
      </c>
      <c r="D392" s="70">
        <f>((D200+D201+D202+D203)*'DATA - P&amp;L'!$C$34)+((D205+D206+D207+D208)*'DATA - P&amp;L'!$C$35)</f>
        <v>11.94</v>
      </c>
      <c r="E392" s="70">
        <f>((E200+E201+E202+E203)*'DATA - P&amp;L'!$C$34)+((E205+E206+E207+E208)*'DATA - P&amp;L'!$C$35)</f>
        <v>11.94</v>
      </c>
      <c r="F392" s="70">
        <f>((F200+F201+F202+F203)*'DATA - P&amp;L'!$C$34)+((F205+F206+F207+F208)*'DATA - P&amp;L'!$C$35)</f>
        <v>15.06</v>
      </c>
      <c r="G392" s="70">
        <f>((G200+G201+G202+G203)*'DATA - P&amp;L'!$C$34)+((G205+G206+G207+G208)*'DATA - P&amp;L'!$C$35)</f>
        <v>47.76</v>
      </c>
      <c r="H392" s="70">
        <f>((H200+H201+H202+H203)*'DATA - P&amp;L'!$C$34)+((H205+H206+H207+H208)*'DATA - P&amp;L'!$C$35)</f>
        <v>23.88</v>
      </c>
      <c r="I392" s="70">
        <f>((I200+I201+I202+I203)*'DATA - P&amp;L'!$C$34)+((I205+I206+I207+I208)*'DATA - P&amp;L'!$C$35)</f>
        <v>0</v>
      </c>
      <c r="J392" s="70">
        <f>((J200+J201+J202+J203)*'DATA - P&amp;L'!$C$34)+((J205+J206+J207+J208)*'DATA - P&amp;L'!$C$35)</f>
        <v>15.06</v>
      </c>
      <c r="K392" s="70">
        <f>((K200+K201+K202+K203)*'DATA - P&amp;L'!$C$34)+((K205+K206+K207+K208)*'DATA - P&amp;L'!$C$35)</f>
        <v>23.88</v>
      </c>
      <c r="L392" s="70">
        <f>((L200+L201+L202+L203)*'DATA - P&amp;L'!$C$34)+((L205+L206+L207+L208)*'DATA - P&amp;L'!$C$35)</f>
        <v>0</v>
      </c>
      <c r="M392" s="70">
        <f>((M200+M201+M202+M203)*'DATA - P&amp;L'!$C$34)+((M205+M206+M207+M208)*'DATA - P&amp;L'!$C$35)</f>
        <v>0</v>
      </c>
      <c r="N392" s="70">
        <f>((N200+N201+N202+N203)*'DATA - P&amp;L'!$C$34)+((N205+N206+N207+N208)*'DATA - P&amp;L'!$C$35)</f>
        <v>0</v>
      </c>
      <c r="O392" s="70">
        <f>((O200+O201+O202+O203)*'DATA - P&amp;L'!$C$34)+((O205+O206+O207+O208)*'DATA - P&amp;L'!$C$35)</f>
        <v>11.94</v>
      </c>
      <c r="P392" s="70">
        <f>((P200+P201+P202+P203)*'DATA - P&amp;L'!$C$34)+((P205+P206+P207+P208)*'DATA - P&amp;L'!$C$35)</f>
        <v>23.88</v>
      </c>
      <c r="Q392" s="70">
        <f>((Q200+Q201+Q202+Q203)*'DATA - P&amp;L'!$C$34)+((Q205+Q206+Q207+Q208)*'DATA - P&amp;L'!$C$35)</f>
        <v>0</v>
      </c>
      <c r="R392" s="70">
        <f>((R200+R201+R202+R203)*'DATA - P&amp;L'!$C$34)+((R205+R206+R207+R208)*'DATA - P&amp;L'!$C$35)</f>
        <v>0</v>
      </c>
      <c r="S392" s="70">
        <f>((S200+S201+S202+S203)*'DATA - P&amp;L'!$C$34)+((S205+S206+S207+S208)*'DATA - P&amp;L'!$C$35)</f>
        <v>11.94</v>
      </c>
      <c r="T392" s="70">
        <f>((T200+T201+T202+T203)*'DATA - P&amp;L'!$C$34)+((T205+T206+T207+T208)*'DATA - P&amp;L'!$C$35)</f>
        <v>0</v>
      </c>
      <c r="U392" s="70">
        <f>((U200+U201+U202+U203)*'DATA - P&amp;L'!$C$34)+((U205+U206+U207+U208)*'DATA - P&amp;L'!$C$35)</f>
        <v>0</v>
      </c>
      <c r="V392" s="70">
        <f>((V200+V201+V202+V203)*'DATA - P&amp;L'!$C$34)+((V205+V206+V207+V208)*'DATA - P&amp;L'!$C$35)</f>
        <v>0</v>
      </c>
      <c r="W392" s="70">
        <f>((W200+W201+W202+W203)*'DATA - P&amp;L'!$C$34)+((W205+W206+W207+W208)*'DATA - P&amp;L'!$C$35)</f>
        <v>0</v>
      </c>
      <c r="X392" s="70">
        <f>((X200+X201+X202+X203)*'DATA - P&amp;L'!$C$34)+((X205+X206+X207+X208)*'DATA - P&amp;L'!$C$35)</f>
        <v>0</v>
      </c>
      <c r="Y392" s="70">
        <f>((Y200+Y201+Y202+Y203)*'DATA - P&amp;L'!$C$34)+((Y205+Y206+Y207+Y208)*'DATA - P&amp;L'!$C$35)</f>
        <v>11.94</v>
      </c>
      <c r="Z392" s="70">
        <f>((Z200+Z201+Z202+Z203)*'DATA - P&amp;L'!$C$34)+((Z205+Z206+Z207+Z208)*'DATA - P&amp;L'!$C$35)</f>
        <v>0</v>
      </c>
      <c r="AA392" s="70">
        <f>((AA200+AA201+AA202+AA203)*'DATA - P&amp;L'!$C$34)+((AA205+AA206+AA207+AA208)*'DATA - P&amp;L'!$C$35)</f>
        <v>11.94</v>
      </c>
      <c r="AB392" s="70">
        <f>((AB200+AB201+AB202+AB203)*'DATA - P&amp;L'!$C$34)+((AB205+AB206+AB207+AB208)*'DATA - P&amp;L'!$C$35)</f>
        <v>0</v>
      </c>
      <c r="AC392" s="70">
        <f>((AC200+AC201+AC202+AC203)*'DATA - P&amp;L'!$C$34)+((AC205+AC206+AC207+AC208)*'DATA - P&amp;L'!$C$35)</f>
        <v>0</v>
      </c>
      <c r="AD392" s="70">
        <f>((AD200+AD201+AD202+AD203)*'DATA - P&amp;L'!$C$34)+((AD205+AD206+AD207+AD208)*'DATA - P&amp;L'!$C$35)</f>
        <v>0</v>
      </c>
      <c r="AE392" s="74">
        <f>((AE200+AE201+AE202+AE203)*'DATA - P&amp;L'!$C$34)+((AE205+AE206+AE207+AE208)*'DATA - P&amp;L'!$C$35)</f>
        <v>0</v>
      </c>
      <c r="AF392" s="87">
        <f t="shared" si="124"/>
        <v>221.16</v>
      </c>
    </row>
    <row r="393" outlineLevel="1">
      <c r="A393" s="101" t="s">
        <v>465</v>
      </c>
      <c r="B393" s="70">
        <f>(B221*'DATA - P&amp;L'!$D$38)+(B232*'DATA - P&amp;L'!$D$39)</f>
        <v>0</v>
      </c>
      <c r="C393" s="70">
        <f>(C221*'DATA - P&amp;L'!$D$38)+(C232*'DATA - P&amp;L'!$D$39)</f>
        <v>0</v>
      </c>
      <c r="D393" s="70">
        <f>(D221*'DATA - P&amp;L'!$D$38)+(D232*'DATA - P&amp;L'!$D$39)</f>
        <v>0</v>
      </c>
      <c r="E393" s="70">
        <f>(E221*'DATA - P&amp;L'!$D$38)+(E232*'DATA - P&amp;L'!$D$39)</f>
        <v>1.435</v>
      </c>
      <c r="F393" s="70">
        <f>(F221*'DATA - P&amp;L'!$D$38)+(F232*'DATA - P&amp;L'!$D$39)</f>
        <v>0</v>
      </c>
      <c r="G393" s="70">
        <f>(G221*'DATA - P&amp;L'!$D$38)+(G232*'DATA - P&amp;L'!$D$39)</f>
        <v>1.435</v>
      </c>
      <c r="H393" s="70">
        <f>(H221*'DATA - P&amp;L'!$D$38)+(H232*'DATA - P&amp;L'!$D$39)</f>
        <v>0</v>
      </c>
      <c r="I393" s="70">
        <f>(I221*'DATA - P&amp;L'!$D$38)+(I232*'DATA - P&amp;L'!$D$39)</f>
        <v>1.435</v>
      </c>
      <c r="J393" s="70">
        <f>(J221*'DATA - P&amp;L'!$D$38)+(J232*'DATA - P&amp;L'!$D$39)</f>
        <v>0</v>
      </c>
      <c r="K393" s="70">
        <f>(K221*'DATA - P&amp;L'!$D$38)+(K232*'DATA - P&amp;L'!$D$39)</f>
        <v>1.435</v>
      </c>
      <c r="L393" s="70">
        <f>(L221*'DATA - P&amp;L'!$D$38)+(L232*'DATA - P&amp;L'!$D$39)</f>
        <v>0</v>
      </c>
      <c r="M393" s="70">
        <f>(M221*'DATA - P&amp;L'!$D$38)+(M232*'DATA - P&amp;L'!$D$39)</f>
        <v>1.435</v>
      </c>
      <c r="N393" s="70">
        <f>(N221*'DATA - P&amp;L'!$D$38)+(N232*'DATA - P&amp;L'!$D$39)</f>
        <v>2.87</v>
      </c>
      <c r="O393" s="70">
        <f>(O221*'DATA - P&amp;L'!$D$38)+(O232*'DATA - P&amp;L'!$D$39)</f>
        <v>0</v>
      </c>
      <c r="P393" s="70">
        <f>(P221*'DATA - P&amp;L'!$D$38)+(P232*'DATA - P&amp;L'!$D$39)</f>
        <v>4.305</v>
      </c>
      <c r="Q393" s="70">
        <f>(Q221*'DATA - P&amp;L'!$D$38)+(Q232*'DATA - P&amp;L'!$D$39)</f>
        <v>0</v>
      </c>
      <c r="R393" s="70">
        <f>(R221*'DATA - P&amp;L'!$D$38)+(R232*'DATA - P&amp;L'!$D$39)</f>
        <v>1.435</v>
      </c>
      <c r="S393" s="70">
        <f>(S221*'DATA - P&amp;L'!$D$38)+(S232*'DATA - P&amp;L'!$D$39)</f>
        <v>2.87</v>
      </c>
      <c r="T393" s="70">
        <f>(T221*'DATA - P&amp;L'!$D$38)+(T232*'DATA - P&amp;L'!$D$39)</f>
        <v>0</v>
      </c>
      <c r="U393" s="70">
        <f>(U221*'DATA - P&amp;L'!$D$38)+(U232*'DATA - P&amp;L'!$D$39)</f>
        <v>4.315</v>
      </c>
      <c r="V393" s="70">
        <f>(V221*'DATA - P&amp;L'!$D$38)+(V232*'DATA - P&amp;L'!$D$39)</f>
        <v>1.44</v>
      </c>
      <c r="W393" s="70">
        <f>(W221*'DATA - P&amp;L'!$D$38)+(W232*'DATA - P&amp;L'!$D$39)</f>
        <v>1.435</v>
      </c>
      <c r="X393" s="70">
        <f>(X221*'DATA - P&amp;L'!$D$38)+(X232*'DATA - P&amp;L'!$D$39)</f>
        <v>2.87</v>
      </c>
      <c r="Y393" s="70">
        <f>(Y221*'DATA - P&amp;L'!$D$38)+(Y232*'DATA - P&amp;L'!$D$39)</f>
        <v>5.745</v>
      </c>
      <c r="Z393" s="70">
        <f>(Z221*'DATA - P&amp;L'!$D$38)+(Z232*'DATA - P&amp;L'!$D$39)</f>
        <v>1.435</v>
      </c>
      <c r="AA393" s="70">
        <f>(AA221*'DATA - P&amp;L'!$D$38)+(AA232*'DATA - P&amp;L'!$D$39)</f>
        <v>0</v>
      </c>
      <c r="AB393" s="70">
        <f>(AB221*'DATA - P&amp;L'!$D$38)+(AB232*'DATA - P&amp;L'!$D$39)</f>
        <v>0</v>
      </c>
      <c r="AC393" s="70">
        <f>(AC221*'DATA - P&amp;L'!$D$38)+(AC232*'DATA - P&amp;L'!$D$39)</f>
        <v>1.435</v>
      </c>
      <c r="AD393" s="70">
        <f>(AD221*'DATA - P&amp;L'!$D$38)+(AD232*'DATA - P&amp;L'!$D$39)</f>
        <v>0</v>
      </c>
      <c r="AE393" s="74">
        <f>(AE221*'DATA - P&amp;L'!$D$38)+(AE232*'DATA - P&amp;L'!$D$39)</f>
        <v>0</v>
      </c>
      <c r="AF393" s="87">
        <f t="shared" si="124"/>
        <v>37.33</v>
      </c>
    </row>
    <row r="394" outlineLevel="1">
      <c r="A394" s="101" t="s">
        <v>804</v>
      </c>
      <c r="B394" s="70">
        <f>(B221*'DATA - P&amp;L'!$D$34)+(B232*'DATA - P&amp;L'!$D$35)</f>
        <v>0</v>
      </c>
      <c r="C394" s="70">
        <f>(C221*'DATA - P&amp;L'!$D$34)+(C232*'DATA - P&amp;L'!$D$35)</f>
        <v>0</v>
      </c>
      <c r="D394" s="70">
        <f>(D221*'DATA - P&amp;L'!$D$34)+(D232*'DATA - P&amp;L'!$D$35)</f>
        <v>0</v>
      </c>
      <c r="E394" s="70">
        <f>(E221*'DATA - P&amp;L'!$D$34)+(E232*'DATA - P&amp;L'!$D$35)</f>
        <v>6.155</v>
      </c>
      <c r="F394" s="70">
        <f>(F221*'DATA - P&amp;L'!$D$34)+(F232*'DATA - P&amp;L'!$D$35)</f>
        <v>0</v>
      </c>
      <c r="G394" s="70">
        <f>(G221*'DATA - P&amp;L'!$D$34)+(G232*'DATA - P&amp;L'!$D$35)</f>
        <v>6.155</v>
      </c>
      <c r="H394" s="70">
        <f>(H221*'DATA - P&amp;L'!$D$34)+(H232*'DATA - P&amp;L'!$D$35)</f>
        <v>0</v>
      </c>
      <c r="I394" s="70">
        <f>(I221*'DATA - P&amp;L'!$D$34)+(I232*'DATA - P&amp;L'!$D$35)</f>
        <v>6.155</v>
      </c>
      <c r="J394" s="70">
        <f>(J221*'DATA - P&amp;L'!$D$34)+(J232*'DATA - P&amp;L'!$D$35)</f>
        <v>0</v>
      </c>
      <c r="K394" s="70">
        <f>(K221*'DATA - P&amp;L'!$D$34)+(K232*'DATA - P&amp;L'!$D$35)</f>
        <v>6.155</v>
      </c>
      <c r="L394" s="70">
        <f>(L221*'DATA - P&amp;L'!$D$34)+(L232*'DATA - P&amp;L'!$D$35)</f>
        <v>0</v>
      </c>
      <c r="M394" s="70">
        <f>(M221*'DATA - P&amp;L'!$D$34)+(M232*'DATA - P&amp;L'!$D$35)</f>
        <v>6.155</v>
      </c>
      <c r="N394" s="70">
        <f>(N221*'DATA - P&amp;L'!$D$34)+(N232*'DATA - P&amp;L'!$D$35)</f>
        <v>12.31</v>
      </c>
      <c r="O394" s="70">
        <f>(O221*'DATA - P&amp;L'!$D$34)+(O232*'DATA - P&amp;L'!$D$35)</f>
        <v>0</v>
      </c>
      <c r="P394" s="70">
        <f>(P221*'DATA - P&amp;L'!$D$34)+(P232*'DATA - P&amp;L'!$D$35)</f>
        <v>18.465</v>
      </c>
      <c r="Q394" s="70">
        <f>(Q221*'DATA - P&amp;L'!$D$34)+(Q232*'DATA - P&amp;L'!$D$35)</f>
        <v>0</v>
      </c>
      <c r="R394" s="70">
        <f>(R221*'DATA - P&amp;L'!$D$34)+(R232*'DATA - P&amp;L'!$D$35)</f>
        <v>6.155</v>
      </c>
      <c r="S394" s="70">
        <f>(S221*'DATA - P&amp;L'!$D$34)+(S232*'DATA - P&amp;L'!$D$35)</f>
        <v>12.31</v>
      </c>
      <c r="T394" s="70">
        <f>(T221*'DATA - P&amp;L'!$D$34)+(T232*'DATA - P&amp;L'!$D$35)</f>
        <v>0</v>
      </c>
      <c r="U394" s="70">
        <f>(U221*'DATA - P&amp;L'!$D$34)+(U232*'DATA - P&amp;L'!$D$35)</f>
        <v>18.475</v>
      </c>
      <c r="V394" s="70">
        <f>(V221*'DATA - P&amp;L'!$D$34)+(V232*'DATA - P&amp;L'!$D$35)</f>
        <v>6.16</v>
      </c>
      <c r="W394" s="70">
        <f>(W221*'DATA - P&amp;L'!$D$34)+(W232*'DATA - P&amp;L'!$D$35)</f>
        <v>6.155</v>
      </c>
      <c r="X394" s="70">
        <f>(X221*'DATA - P&amp;L'!$D$34)+(X232*'DATA - P&amp;L'!$D$35)</f>
        <v>12.31</v>
      </c>
      <c r="Y394" s="70">
        <f>(Y221*'DATA - P&amp;L'!$D$34)+(Y232*'DATA - P&amp;L'!$D$35)</f>
        <v>24.625</v>
      </c>
      <c r="Z394" s="70">
        <f>(Z221*'DATA - P&amp;L'!$D$34)+(Z232*'DATA - P&amp;L'!$D$35)</f>
        <v>6.155</v>
      </c>
      <c r="AA394" s="70">
        <f>(AA221*'DATA - P&amp;L'!$D$34)+(AA232*'DATA - P&amp;L'!$D$35)</f>
        <v>0</v>
      </c>
      <c r="AB394" s="70">
        <f>(AB221*'DATA - P&amp;L'!$D$34)+(AB232*'DATA - P&amp;L'!$D$35)</f>
        <v>0</v>
      </c>
      <c r="AC394" s="70">
        <f>(AC221*'DATA - P&amp;L'!$D$34)+(AC232*'DATA - P&amp;L'!$D$35)</f>
        <v>6.155</v>
      </c>
      <c r="AD394" s="70">
        <f>(AD221*'DATA - P&amp;L'!$D$34)+(AD232*'DATA - P&amp;L'!$D$35)</f>
        <v>0</v>
      </c>
      <c r="AE394" s="74">
        <f>(AE221*'DATA - P&amp;L'!$D$34)+(AE232*'DATA - P&amp;L'!$D$35)</f>
        <v>0</v>
      </c>
      <c r="AF394" s="87">
        <f t="shared" si="124"/>
        <v>160.05</v>
      </c>
    </row>
    <row r="395" outlineLevel="1">
      <c r="A395" s="101" t="s">
        <v>467</v>
      </c>
      <c r="B395" s="70">
        <f t="shared" ref="B395:AE395" si="125">B236+B241</f>
        <v>0</v>
      </c>
      <c r="C395" s="70">
        <f t="shared" si="125"/>
        <v>0</v>
      </c>
      <c r="D395" s="70">
        <f t="shared" si="125"/>
        <v>182.74</v>
      </c>
      <c r="E395" s="70">
        <f t="shared" si="125"/>
        <v>322.59</v>
      </c>
      <c r="F395" s="70">
        <f t="shared" si="125"/>
        <v>269</v>
      </c>
      <c r="G395" s="70">
        <f t="shared" si="125"/>
        <v>948.29</v>
      </c>
      <c r="H395" s="70">
        <f t="shared" si="125"/>
        <v>470.7</v>
      </c>
      <c r="I395" s="70">
        <f t="shared" si="125"/>
        <v>25.3</v>
      </c>
      <c r="J395" s="70">
        <f t="shared" si="125"/>
        <v>214.1</v>
      </c>
      <c r="K395" s="70">
        <f t="shared" si="125"/>
        <v>506.58</v>
      </c>
      <c r="L395" s="70">
        <f t="shared" si="125"/>
        <v>0</v>
      </c>
      <c r="M395" s="70">
        <f t="shared" si="125"/>
        <v>34.26</v>
      </c>
      <c r="N395" s="70">
        <f t="shared" si="125"/>
        <v>52.56</v>
      </c>
      <c r="O395" s="70">
        <f t="shared" si="125"/>
        <v>199.85</v>
      </c>
      <c r="P395" s="70">
        <f t="shared" si="125"/>
        <v>704.68</v>
      </c>
      <c r="Q395" s="70">
        <f t="shared" si="125"/>
        <v>0</v>
      </c>
      <c r="R395" s="70">
        <f t="shared" si="125"/>
        <v>24</v>
      </c>
      <c r="S395" s="70">
        <f t="shared" si="125"/>
        <v>304.27</v>
      </c>
      <c r="T395" s="70">
        <f t="shared" si="125"/>
        <v>0</v>
      </c>
      <c r="U395" s="70">
        <f t="shared" si="125"/>
        <v>77.88</v>
      </c>
      <c r="V395" s="70">
        <f t="shared" si="125"/>
        <v>39</v>
      </c>
      <c r="W395" s="70">
        <f t="shared" si="125"/>
        <v>34.17</v>
      </c>
      <c r="X395" s="70">
        <f t="shared" si="125"/>
        <v>59.25</v>
      </c>
      <c r="Y395" s="70">
        <f t="shared" si="125"/>
        <v>437.59</v>
      </c>
      <c r="Z395" s="70">
        <f t="shared" si="125"/>
        <v>41.34</v>
      </c>
      <c r="AA395" s="70">
        <f t="shared" si="125"/>
        <v>226.92</v>
      </c>
      <c r="AB395" s="70">
        <f t="shared" si="125"/>
        <v>0</v>
      </c>
      <c r="AC395" s="70">
        <f t="shared" si="125"/>
        <v>32</v>
      </c>
      <c r="AD395" s="70">
        <f t="shared" si="125"/>
        <v>0</v>
      </c>
      <c r="AE395" s="74">
        <f t="shared" si="125"/>
        <v>0</v>
      </c>
      <c r="AF395" s="87">
        <f t="shared" si="124"/>
        <v>5207.07</v>
      </c>
    </row>
    <row r="396">
      <c r="A396" s="603" t="s">
        <v>807</v>
      </c>
      <c r="B396" s="576">
        <f t="shared" ref="B396:AE396" si="126">SUM(B397:B405)-B406-B407</f>
        <v>-3496.27875</v>
      </c>
      <c r="C396" s="576">
        <f t="shared" si="126"/>
        <v>-869.1025</v>
      </c>
      <c r="D396" s="576">
        <f t="shared" si="126"/>
        <v>-791.15625</v>
      </c>
      <c r="E396" s="576">
        <f t="shared" si="126"/>
        <v>0</v>
      </c>
      <c r="F396" s="576">
        <f t="shared" si="126"/>
        <v>-1399.9375</v>
      </c>
      <c r="G396" s="576">
        <f t="shared" si="126"/>
        <v>-2924.68625</v>
      </c>
      <c r="H396" s="576">
        <f t="shared" si="126"/>
        <v>-1218.8275</v>
      </c>
      <c r="I396" s="576">
        <f t="shared" si="126"/>
        <v>-38.70875</v>
      </c>
      <c r="J396" s="576">
        <f t="shared" si="126"/>
        <v>-377.24</v>
      </c>
      <c r="K396" s="576">
        <f t="shared" si="126"/>
        <v>-291.0325</v>
      </c>
      <c r="L396" s="576">
        <f t="shared" si="126"/>
        <v>-6118.20125</v>
      </c>
      <c r="M396" s="576">
        <f t="shared" si="126"/>
        <v>-11084.37625</v>
      </c>
      <c r="N396" s="576">
        <f t="shared" si="126"/>
        <v>-6178.40125</v>
      </c>
      <c r="O396" s="576">
        <f t="shared" si="126"/>
        <v>-6402.38</v>
      </c>
      <c r="P396" s="576">
        <f t="shared" si="126"/>
        <v>-626.82</v>
      </c>
      <c r="Q396" s="576">
        <f t="shared" si="126"/>
        <v>-858.39625</v>
      </c>
      <c r="R396" s="576">
        <f t="shared" si="126"/>
        <v>-223.19125</v>
      </c>
      <c r="S396" s="576">
        <f t="shared" si="126"/>
        <v>-897.7475</v>
      </c>
      <c r="T396" s="576">
        <f t="shared" si="126"/>
        <v>-1154.56125</v>
      </c>
      <c r="U396" s="576">
        <f t="shared" si="126"/>
        <v>-1838.29875</v>
      </c>
      <c r="V396" s="576">
        <f t="shared" si="126"/>
        <v>-1592.62125</v>
      </c>
      <c r="W396" s="576">
        <f t="shared" si="126"/>
        <v>-3703.7075</v>
      </c>
      <c r="X396" s="576">
        <f t="shared" si="126"/>
        <v>-188.59</v>
      </c>
      <c r="Y396" s="576">
        <f t="shared" si="126"/>
        <v>0</v>
      </c>
      <c r="Z396" s="576">
        <f t="shared" si="126"/>
        <v>0</v>
      </c>
      <c r="AA396" s="576">
        <f t="shared" si="126"/>
        <v>-894.6475</v>
      </c>
      <c r="AB396" s="576">
        <f t="shared" si="126"/>
        <v>-2825.6825</v>
      </c>
      <c r="AC396" s="576">
        <f t="shared" si="126"/>
        <v>-1277.68875</v>
      </c>
      <c r="AD396" s="576">
        <f t="shared" si="126"/>
        <v>-1372.49125</v>
      </c>
      <c r="AE396" s="577">
        <f t="shared" si="126"/>
        <v>-806.8775</v>
      </c>
      <c r="AF396" s="87">
        <f t="shared" si="124"/>
        <v>-59451.65</v>
      </c>
    </row>
    <row r="397">
      <c r="A397" s="101" t="s">
        <v>472</v>
      </c>
      <c r="B397" s="70">
        <f>((B246+B247+B251+B252)*'DATA - P&amp;L'!$C$3)*'DATA - P&amp;L'!$C$54</f>
        <v>152.075</v>
      </c>
      <c r="C397" s="70">
        <f>((C246+C247+C251+C252)*'DATA - P&amp;L'!$C$3)*'DATA - P&amp;L'!$C$54</f>
        <v>0</v>
      </c>
      <c r="D397" s="70">
        <f>((D246+D247+D251+D252)*'DATA - P&amp;L'!$C$3)*'DATA - P&amp;L'!$C$54</f>
        <v>0</v>
      </c>
      <c r="E397" s="70">
        <f>((E246+E247+E251+E252)*'DATA - P&amp;L'!$C$3)*'DATA - P&amp;L'!$C$54</f>
        <v>0</v>
      </c>
      <c r="F397" s="70">
        <f>((F246+F247+F251+F252)*'DATA - P&amp;L'!$C$3)*'DATA - P&amp;L'!$C$54</f>
        <v>21.725</v>
      </c>
      <c r="G397" s="70">
        <f>((G246+G247+G251+G252)*'DATA - P&amp;L'!$C$3)*'DATA - P&amp;L'!$C$54</f>
        <v>43.45</v>
      </c>
      <c r="H397" s="70">
        <f>((H246+H247+H251+H252)*'DATA - P&amp;L'!$C$3)*'DATA - P&amp;L'!$C$54</f>
        <v>43.45</v>
      </c>
      <c r="I397" s="70">
        <f>((I246+I247+I251+I252)*'DATA - P&amp;L'!$C$3)*'DATA - P&amp;L'!$C$54</f>
        <v>0</v>
      </c>
      <c r="J397" s="70">
        <f>((J246+J247+J251+J252)*'DATA - P&amp;L'!$C$3)*'DATA - P&amp;L'!$C$54</f>
        <v>0</v>
      </c>
      <c r="K397" s="70">
        <f>((K246+K247+K251+K252)*'DATA - P&amp;L'!$C$3)*'DATA - P&amp;L'!$C$54</f>
        <v>0</v>
      </c>
      <c r="L397" s="70">
        <f>((L246+L247+L251+L252)*'DATA - P&amp;L'!$C$3)*'DATA - P&amp;L'!$C$54</f>
        <v>260.7</v>
      </c>
      <c r="M397" s="70">
        <f>((M246+M247+M251+M252)*'DATA - P&amp;L'!$C$3)*'DATA - P&amp;L'!$C$54</f>
        <v>391.05</v>
      </c>
      <c r="N397" s="70">
        <f>((N246+N247+N251+N252)*'DATA - P&amp;L'!$C$3)*'DATA - P&amp;L'!$C$54</f>
        <v>217.25</v>
      </c>
      <c r="O397" s="70">
        <f>((O246+O247+O251+O252)*'DATA - P&amp;L'!$C$3)*'DATA - P&amp;L'!$C$54</f>
        <v>282.425</v>
      </c>
      <c r="P397" s="70">
        <f>((P246+P247+P251+P252)*'DATA - P&amp;L'!$C$3)*'DATA - P&amp;L'!$C$54</f>
        <v>43.45</v>
      </c>
      <c r="Q397" s="70">
        <f>((Q246+Q247+Q251+Q252)*'DATA - P&amp;L'!$C$3)*'DATA - P&amp;L'!$C$54</f>
        <v>65.175</v>
      </c>
      <c r="R397" s="70">
        <f>((R246+R247+R251+R252)*'DATA - P&amp;L'!$C$3)*'DATA - P&amp;L'!$C$54</f>
        <v>0</v>
      </c>
      <c r="S397" s="70">
        <f>((S246+S247+S251+S252)*'DATA - P&amp;L'!$C$3)*'DATA - P&amp;L'!$C$54</f>
        <v>21.725</v>
      </c>
      <c r="T397" s="70">
        <f>((T246+T247+T251+T252)*'DATA - P&amp;L'!$C$3)*'DATA - P&amp;L'!$C$54</f>
        <v>43.45</v>
      </c>
      <c r="U397" s="70">
        <f>((U246+U247+U251+U252)*'DATA - P&amp;L'!$C$3)*'DATA - P&amp;L'!$C$54</f>
        <v>65.175</v>
      </c>
      <c r="V397" s="70">
        <f>((V246+V247+V251+V252)*'DATA - P&amp;L'!$C$3)*'DATA - P&amp;L'!$C$54</f>
        <v>43.45</v>
      </c>
      <c r="W397" s="70">
        <f>((W246+W247+W251+W252)*'DATA - P&amp;L'!$C$3)*'DATA - P&amp;L'!$C$54</f>
        <v>86.9</v>
      </c>
      <c r="X397" s="70">
        <f>((X246+X247+X251+X252)*'DATA - P&amp;L'!$C$3)*'DATA - P&amp;L'!$C$54</f>
        <v>21.725</v>
      </c>
      <c r="Y397" s="70">
        <f>((Y246+Y247+Y251+Y252)*'DATA - P&amp;L'!$C$3)*'DATA - P&amp;L'!$C$54</f>
        <v>0</v>
      </c>
      <c r="Z397" s="70">
        <f>((Z246+Z247+Z251+Z252)*'DATA - P&amp;L'!$C$3)*'DATA - P&amp;L'!$C$54</f>
        <v>0</v>
      </c>
      <c r="AA397" s="70">
        <f>((AA246+AA247+AA251+AA252)*'DATA - P&amp;L'!$C$3)*'DATA - P&amp;L'!$C$54</f>
        <v>21.725</v>
      </c>
      <c r="AB397" s="70">
        <f>((AB246+AB247+AB251+AB252)*'DATA - P&amp;L'!$C$3)*'DATA - P&amp;L'!$C$54</f>
        <v>152.075</v>
      </c>
      <c r="AC397" s="70">
        <f>((AC246+AC247+AC251+AC252)*'DATA - P&amp;L'!$C$3)*'DATA - P&amp;L'!$C$54</f>
        <v>43.45</v>
      </c>
      <c r="AD397" s="70">
        <f>((AD246+AD247+AD251+AD252)*'DATA - P&amp;L'!$C$3)*'DATA - P&amp;L'!$C$54</f>
        <v>0</v>
      </c>
      <c r="AE397" s="74">
        <f>((AE246+AE247+AE251+AE252)*'DATA - P&amp;L'!$C$3)*'DATA - P&amp;L'!$C$54</f>
        <v>43.45</v>
      </c>
      <c r="AF397" s="87">
        <f t="shared" si="124"/>
        <v>2063.875</v>
      </c>
    </row>
    <row r="398">
      <c r="A398" s="101" t="s">
        <v>475</v>
      </c>
      <c r="B398" s="70">
        <f>(B248+B249+B253+B254)*'DATA - P&amp;L'!$C$4*'DATA - P&amp;L'!$C$54</f>
        <v>195.22</v>
      </c>
      <c r="C398" s="70">
        <f>(C248+C249+C253+C254)*'DATA - P&amp;L'!$C$4*'DATA - P&amp;L'!$C$54</f>
        <v>73.2075</v>
      </c>
      <c r="D398" s="70">
        <f>(D248+D249+D253+D254)*'DATA - P&amp;L'!$C$4*'DATA - P&amp;L'!$C$54</f>
        <v>73.2075</v>
      </c>
      <c r="E398" s="70">
        <f>(E248+E249+E253+E254)*'DATA - P&amp;L'!$C$4*'DATA - P&amp;L'!$C$54</f>
        <v>0</v>
      </c>
      <c r="F398" s="70">
        <f>(F248+F249+F253+F254)*'DATA - P&amp;L'!$C$4*'DATA - P&amp;L'!$C$54</f>
        <v>97.61</v>
      </c>
      <c r="G398" s="70">
        <f>(G248+G249+G253+G254)*'DATA - P&amp;L'!$C$4*'DATA - P&amp;L'!$C$54</f>
        <v>219.6225</v>
      </c>
      <c r="H398" s="70">
        <f>(H248+H249+H253+H254)*'DATA - P&amp;L'!$C$4*'DATA - P&amp;L'!$C$54</f>
        <v>73.2075</v>
      </c>
      <c r="I398" s="70">
        <f>(I248+I249+I253+I254)*'DATA - P&amp;L'!$C$4*'DATA - P&amp;L'!$C$54</f>
        <v>0</v>
      </c>
      <c r="J398" s="70">
        <f>(J248+J249+J253+J254)*'DATA - P&amp;L'!$C$4*'DATA - P&amp;L'!$C$54</f>
        <v>24.4025</v>
      </c>
      <c r="K398" s="70">
        <f>(K248+K249+K253+K254)*'DATA - P&amp;L'!$C$4*'DATA - P&amp;L'!$C$54</f>
        <v>24.4025</v>
      </c>
      <c r="L398" s="70">
        <f>(L248+L249+L253+L254)*'DATA - P&amp;L'!$C$4*'DATA - P&amp;L'!$C$54</f>
        <v>268.4275</v>
      </c>
      <c r="M398" s="70">
        <f>(M248+M249+M253+M254)*'DATA - P&amp;L'!$C$4*'DATA - P&amp;L'!$C$54</f>
        <v>536.855</v>
      </c>
      <c r="N398" s="70">
        <f>(N248+N249+N253+N254)*'DATA - P&amp;L'!$C$4*'DATA - P&amp;L'!$C$54</f>
        <v>292.83</v>
      </c>
      <c r="O398" s="70">
        <f>(O248+O249+O253+O254)*'DATA - P&amp;L'!$C$4*'DATA - P&amp;L'!$C$54</f>
        <v>268.4275</v>
      </c>
      <c r="P398" s="70">
        <f>(P248+P249+P253+P254)*'DATA - P&amp;L'!$C$4*'DATA - P&amp;L'!$C$54</f>
        <v>0</v>
      </c>
      <c r="Q398" s="70">
        <f>(Q248+Q249+Q253+Q254)*'DATA - P&amp;L'!$C$4*'DATA - P&amp;L'!$C$54</f>
        <v>0</v>
      </c>
      <c r="R398" s="70">
        <f>(R248+R249+R253+R254)*'DATA - P&amp;L'!$C$4*'DATA - P&amp;L'!$C$54</f>
        <v>24.4025</v>
      </c>
      <c r="S398" s="70">
        <f>(S248+S249+S253+S254)*'DATA - P&amp;L'!$C$4*'DATA - P&amp;L'!$C$54</f>
        <v>73.2075</v>
      </c>
      <c r="T398" s="70">
        <f>(T248+T249+T253+T254)*'DATA - P&amp;L'!$C$4*'DATA - P&amp;L'!$C$54</f>
        <v>73.2075</v>
      </c>
      <c r="U398" s="70">
        <f>(U248+U249+U253+U254)*'DATA - P&amp;L'!$C$4*'DATA - P&amp;L'!$C$54</f>
        <v>122.0125</v>
      </c>
      <c r="V398" s="70">
        <f>(V248+V249+V253+V254)*'DATA - P&amp;L'!$C$4*'DATA - P&amp;L'!$C$54</f>
        <v>97.61</v>
      </c>
      <c r="W398" s="70">
        <f>(W248+W249+W253+W254)*'DATA - P&amp;L'!$C$4*'DATA - P&amp;L'!$C$54</f>
        <v>244.025</v>
      </c>
      <c r="X398" s="70">
        <f>(X248+X249+X253+X254)*'DATA - P&amp;L'!$C$4*'DATA - P&amp;L'!$C$54</f>
        <v>0</v>
      </c>
      <c r="Y398" s="70">
        <f>(Y248+Y249+Y253+Y254)*'DATA - P&amp;L'!$C$4*'DATA - P&amp;L'!$C$54</f>
        <v>0</v>
      </c>
      <c r="Z398" s="70">
        <f>(Z248+Z249+Z253+Z254)*'DATA - P&amp;L'!$C$4*'DATA - P&amp;L'!$C$54</f>
        <v>0</v>
      </c>
      <c r="AA398" s="70">
        <f>(AA248+AA249+AA253+AA254)*'DATA - P&amp;L'!$C$4*'DATA - P&amp;L'!$C$54</f>
        <v>73.2075</v>
      </c>
      <c r="AB398" s="70">
        <f>(AB248+AB249+AB253+AB254)*'DATA - P&amp;L'!$C$4*'DATA - P&amp;L'!$C$54</f>
        <v>97.61</v>
      </c>
      <c r="AC398" s="70">
        <f>(AC248+AC249+AC253+AC254)*'DATA - P&amp;L'!$C$4*'DATA - P&amp;L'!$C$54</f>
        <v>73.2075</v>
      </c>
      <c r="AD398" s="70">
        <f>(AD248+AD249+AD253+AD254)*'DATA - P&amp;L'!$C$4*'DATA - P&amp;L'!$C$54</f>
        <v>122.0125</v>
      </c>
      <c r="AE398" s="74">
        <f>(AE248+AE249+AE253+AE254)*'DATA - P&amp;L'!$C$4*'DATA - P&amp;L'!$C$54</f>
        <v>24.4025</v>
      </c>
      <c r="AF398" s="87">
        <f t="shared" si="124"/>
        <v>3172.325</v>
      </c>
    </row>
    <row r="399">
      <c r="A399" s="101" t="s">
        <v>481</v>
      </c>
      <c r="B399" s="70">
        <f>(B259+B270)*'DATA - P&amp;L'!$C$6*'DATA - P&amp;L'!$C$54</f>
        <v>1.3725</v>
      </c>
      <c r="C399" s="70">
        <f>(C259+C270)*'DATA - P&amp;L'!$C$6*'DATA - P&amp;L'!$C$54</f>
        <v>1.3725</v>
      </c>
      <c r="D399" s="70">
        <f>(D259+D270)*'DATA - P&amp;L'!$C$6*'DATA - P&amp;L'!$C$54</f>
        <v>1.3725</v>
      </c>
      <c r="E399" s="70">
        <f>(E259+E270)*'DATA - P&amp;L'!$C$6*'DATA - P&amp;L'!$C$54</f>
        <v>0</v>
      </c>
      <c r="F399" s="70">
        <f>(F259+F270)*'DATA - P&amp;L'!$C$6*'DATA - P&amp;L'!$C$54</f>
        <v>2.745</v>
      </c>
      <c r="G399" s="70">
        <f>(G259+G270)*'DATA - P&amp;L'!$C$6*'DATA - P&amp;L'!$C$54</f>
        <v>4.1175</v>
      </c>
      <c r="H399" s="70">
        <f>(H259+H270)*'DATA - P&amp;L'!$C$6*'DATA - P&amp;L'!$C$54</f>
        <v>0</v>
      </c>
      <c r="I399" s="70">
        <f>(I259+I270)*'DATA - P&amp;L'!$C$6*'DATA - P&amp;L'!$C$54</f>
        <v>1.3725</v>
      </c>
      <c r="J399" s="70">
        <f>(J259+J270)*'DATA - P&amp;L'!$C$6*'DATA - P&amp;L'!$C$54</f>
        <v>2.745</v>
      </c>
      <c r="K399" s="70">
        <f>(K259+K270)*'DATA - P&amp;L'!$C$6*'DATA - P&amp;L'!$C$54</f>
        <v>0</v>
      </c>
      <c r="L399" s="70">
        <f>(L259+L270)*'DATA - P&amp;L'!$C$6*'DATA - P&amp;L'!$C$54</f>
        <v>16.47</v>
      </c>
      <c r="M399" s="70">
        <f>(M259+M270)*'DATA - P&amp;L'!$C$6*'DATA - P&amp;L'!$C$54</f>
        <v>20.5875</v>
      </c>
      <c r="N399" s="70">
        <f>(N259+N270)*'DATA - P&amp;L'!$C$6*'DATA - P&amp;L'!$C$54</f>
        <v>9.6075</v>
      </c>
      <c r="O399" s="70">
        <f>(O259+O270)*'DATA - P&amp;L'!$C$6*'DATA - P&amp;L'!$C$54</f>
        <v>16.47</v>
      </c>
      <c r="P399" s="70">
        <f>(P259+P270)*'DATA - P&amp;L'!$C$6*'DATA - P&amp;L'!$C$54</f>
        <v>0</v>
      </c>
      <c r="Q399" s="70">
        <f>(Q259+Q270)*'DATA - P&amp;L'!$C$6*'DATA - P&amp;L'!$C$54</f>
        <v>4.1175</v>
      </c>
      <c r="R399" s="70">
        <f>(R259+R270)*'DATA - P&amp;L'!$C$6*'DATA - P&amp;L'!$C$54</f>
        <v>1.3725</v>
      </c>
      <c r="S399" s="70">
        <f>(S259+S270)*'DATA - P&amp;L'!$C$6*'DATA - P&amp;L'!$C$54</f>
        <v>0</v>
      </c>
      <c r="T399" s="70">
        <f>(T259+T270)*'DATA - P&amp;L'!$C$6*'DATA - P&amp;L'!$C$54</f>
        <v>0</v>
      </c>
      <c r="U399" s="70">
        <f>(U259+U270)*'DATA - P&amp;L'!$C$6*'DATA - P&amp;L'!$C$54</f>
        <v>0</v>
      </c>
      <c r="V399" s="70">
        <f>(V259+V270)*'DATA - P&amp;L'!$C$6*'DATA - P&amp;L'!$C$54</f>
        <v>4.1175</v>
      </c>
      <c r="W399" s="70">
        <f>(W259+W270)*'DATA - P&amp;L'!$C$6*'DATA - P&amp;L'!$C$54</f>
        <v>6.8625</v>
      </c>
      <c r="X399" s="70">
        <f>(X259+X270)*'DATA - P&amp;L'!$C$6*'DATA - P&amp;L'!$C$54</f>
        <v>0</v>
      </c>
      <c r="Y399" s="70">
        <f>(Y259+Y270)*'DATA - P&amp;L'!$C$6*'DATA - P&amp;L'!$C$54</f>
        <v>0</v>
      </c>
      <c r="Z399" s="70">
        <f>(Z259+Z270)*'DATA - P&amp;L'!$C$6*'DATA - P&amp;L'!$C$54</f>
        <v>0</v>
      </c>
      <c r="AA399" s="70">
        <f>(AA259+AA270)*'DATA - P&amp;L'!$C$6*'DATA - P&amp;L'!$C$54</f>
        <v>0</v>
      </c>
      <c r="AB399" s="70">
        <f>(AB259+AB270)*'DATA - P&amp;L'!$C$6*'DATA - P&amp;L'!$C$54</f>
        <v>1.3725</v>
      </c>
      <c r="AC399" s="70">
        <f>(AC259+AC270)*'DATA - P&amp;L'!$C$6*'DATA - P&amp;L'!$C$54</f>
        <v>1.3725</v>
      </c>
      <c r="AD399" s="70">
        <f>(AD259+AD270)*'DATA - P&amp;L'!$C$6*'DATA - P&amp;L'!$C$54</f>
        <v>1.3725</v>
      </c>
      <c r="AE399" s="74">
        <f>(AE259+AE270)*'DATA - P&amp;L'!$C$6*'DATA - P&amp;L'!$C$54</f>
        <v>4.1175</v>
      </c>
      <c r="AF399" s="87">
        <f t="shared" si="124"/>
        <v>102.9375</v>
      </c>
    </row>
    <row r="400">
      <c r="A400" s="101" t="s">
        <v>485</v>
      </c>
      <c r="B400" s="70">
        <f>(B260+B271)*'DATA - P&amp;L'!$C$8*'DATA - P&amp;L'!$C$54</f>
        <v>0</v>
      </c>
      <c r="C400" s="70">
        <f>(C260+C271)*'DATA - P&amp;L'!$C$8*'DATA - P&amp;L'!$C$54</f>
        <v>0</v>
      </c>
      <c r="D400" s="70">
        <f>(D260+D271)*'DATA - P&amp;L'!$C$8*'DATA - P&amp;L'!$C$54</f>
        <v>0</v>
      </c>
      <c r="E400" s="70">
        <f>(E260+E271)*'DATA - P&amp;L'!$C$8*'DATA - P&amp;L'!$C$54</f>
        <v>0</v>
      </c>
      <c r="F400" s="70">
        <f>(F260+F271)*'DATA - P&amp;L'!$C$8*'DATA - P&amp;L'!$C$54</f>
        <v>0</v>
      </c>
      <c r="G400" s="70">
        <f>(G260+G271)*'DATA - P&amp;L'!$C$8*'DATA - P&amp;L'!$C$54</f>
        <v>0</v>
      </c>
      <c r="H400" s="70">
        <f>(H260+H271)*'DATA - P&amp;L'!$C$8*'DATA - P&amp;L'!$C$54</f>
        <v>0</v>
      </c>
      <c r="I400" s="70">
        <f>(I260+I271)*'DATA - P&amp;L'!$C$8*'DATA - P&amp;L'!$C$54</f>
        <v>0</v>
      </c>
      <c r="J400" s="70">
        <f>(J260+J271)*'DATA - P&amp;L'!$C$8*'DATA - P&amp;L'!$C$54</f>
        <v>0.2975</v>
      </c>
      <c r="K400" s="70">
        <f>(K260+K271)*'DATA - P&amp;L'!$C$8*'DATA - P&amp;L'!$C$54</f>
        <v>0</v>
      </c>
      <c r="L400" s="70">
        <f>(L260+L271)*'DATA - P&amp;L'!$C$8*'DATA - P&amp;L'!$C$54</f>
        <v>0.2975</v>
      </c>
      <c r="M400" s="70">
        <f>(M260+M271)*'DATA - P&amp;L'!$C$8*'DATA - P&amp;L'!$C$54</f>
        <v>4.165</v>
      </c>
      <c r="N400" s="70">
        <f>(N260+N271)*'DATA - P&amp;L'!$C$8*'DATA - P&amp;L'!$C$54</f>
        <v>1.4875</v>
      </c>
      <c r="O400" s="70">
        <f>(O260+O271)*'DATA - P&amp;L'!$C$8*'DATA - P&amp;L'!$C$54</f>
        <v>1.785</v>
      </c>
      <c r="P400" s="70">
        <f>(P260+P271)*'DATA - P&amp;L'!$C$8*'DATA - P&amp;L'!$C$54</f>
        <v>0.595</v>
      </c>
      <c r="Q400" s="70">
        <f>(Q260+Q271)*'DATA - P&amp;L'!$C$8*'DATA - P&amp;L'!$C$54</f>
        <v>0.2975</v>
      </c>
      <c r="R400" s="70">
        <f>(R260+R271)*'DATA - P&amp;L'!$C$8*'DATA - P&amp;L'!$C$54</f>
        <v>0</v>
      </c>
      <c r="S400" s="70">
        <f>(S260+S271)*'DATA - P&amp;L'!$C$8*'DATA - P&amp;L'!$C$54</f>
        <v>0</v>
      </c>
      <c r="T400" s="70">
        <f>(T260+T271)*'DATA - P&amp;L'!$C$8*'DATA - P&amp;L'!$C$54</f>
        <v>0.2975</v>
      </c>
      <c r="U400" s="70">
        <f>(U260+U271)*'DATA - P&amp;L'!$C$8*'DATA - P&amp;L'!$C$54</f>
        <v>0</v>
      </c>
      <c r="V400" s="70">
        <f>(V260+V271)*'DATA - P&amp;L'!$C$8*'DATA - P&amp;L'!$C$54</f>
        <v>0.8925</v>
      </c>
      <c r="W400" s="70">
        <f>(W260+W271)*'DATA - P&amp;L'!$C$8*'DATA - P&amp;L'!$C$54</f>
        <v>0.8925</v>
      </c>
      <c r="X400" s="70">
        <f>(X260+X271)*'DATA - P&amp;L'!$C$8*'DATA - P&amp;L'!$C$54</f>
        <v>0</v>
      </c>
      <c r="Y400" s="70">
        <f>(Y260+Y271)*'DATA - P&amp;L'!$C$8*'DATA - P&amp;L'!$C$54</f>
        <v>0</v>
      </c>
      <c r="Z400" s="70">
        <f>(Z260+Z271)*'DATA - P&amp;L'!$C$8*'DATA - P&amp;L'!$C$54</f>
        <v>0</v>
      </c>
      <c r="AA400" s="70">
        <f>(AA260+AA271)*'DATA - P&amp;L'!$C$8*'DATA - P&amp;L'!$C$54</f>
        <v>0</v>
      </c>
      <c r="AB400" s="70">
        <f>(AB260+AB271)*'DATA - P&amp;L'!$C$8*'DATA - P&amp;L'!$C$54</f>
        <v>0.595</v>
      </c>
      <c r="AC400" s="70">
        <f>(AC260+AC271)*'DATA - P&amp;L'!$C$8*'DATA - P&amp;L'!$C$54</f>
        <v>0.595</v>
      </c>
      <c r="AD400" s="70">
        <f>(AD260+AD271)*'DATA - P&amp;L'!$C$8*'DATA - P&amp;L'!$C$54</f>
        <v>0</v>
      </c>
      <c r="AE400" s="74">
        <f>(AE260+AE271)*'DATA - P&amp;L'!$C$8*'DATA - P&amp;L'!$C$54</f>
        <v>0.595</v>
      </c>
      <c r="AF400" s="87">
        <f t="shared" si="124"/>
        <v>12.7925</v>
      </c>
    </row>
    <row r="401">
      <c r="A401" s="101" t="s">
        <v>393</v>
      </c>
      <c r="B401" s="70">
        <f>(B261+B262+B272+B273)*'DATA - P&amp;L'!$C$9*'DATA - P&amp;L'!$C$54</f>
        <v>0</v>
      </c>
      <c r="C401" s="70">
        <f>(C261+C262+C272+C273)*'DATA - P&amp;L'!$C$9*'DATA - P&amp;L'!$C$54</f>
        <v>1.665</v>
      </c>
      <c r="D401" s="70">
        <f>(D261+D262+D272+D273)*'DATA - P&amp;L'!$C$9*'DATA - P&amp;L'!$C$54</f>
        <v>0</v>
      </c>
      <c r="E401" s="70">
        <f>(E261+E262+E272+E273)*'DATA - P&amp;L'!$C$9*'DATA - P&amp;L'!$C$54</f>
        <v>0</v>
      </c>
      <c r="F401" s="70">
        <f>(F261+F262+F272+F273)*'DATA - P&amp;L'!$C$9*'DATA - P&amp;L'!$C$54</f>
        <v>0</v>
      </c>
      <c r="G401" s="70">
        <f>(G261+G262+G272+G273)*'DATA - P&amp;L'!$C$9*'DATA - P&amp;L'!$C$54</f>
        <v>1.665</v>
      </c>
      <c r="H401" s="70">
        <f>(H261+H262+H272+H273)*'DATA - P&amp;L'!$C$9*'DATA - P&amp;L'!$C$54</f>
        <v>0</v>
      </c>
      <c r="I401" s="70">
        <f>(I261+I262+I272+I273)*'DATA - P&amp;L'!$C$9*'DATA - P&amp;L'!$C$54</f>
        <v>0</v>
      </c>
      <c r="J401" s="70">
        <f>(J261+J262+J272+J273)*'DATA - P&amp;L'!$C$9*'DATA - P&amp;L'!$C$54</f>
        <v>1.665</v>
      </c>
      <c r="K401" s="70">
        <f>(K261+K262+K272+K273)*'DATA - P&amp;L'!$C$9*'DATA - P&amp;L'!$C$54</f>
        <v>0</v>
      </c>
      <c r="L401" s="70">
        <f>(L261+L262+L272+L273)*'DATA - P&amp;L'!$C$9*'DATA - P&amp;L'!$C$54</f>
        <v>0</v>
      </c>
      <c r="M401" s="70">
        <f>(M263+M264+M272+M273)*'DATA - P&amp;L'!$C$9*'DATA - P&amp;L'!$C$54</f>
        <v>8.325</v>
      </c>
      <c r="N401" s="70">
        <f>(N261+N262+N272+N273)*'DATA - P&amp;L'!$C$9*'DATA - P&amp;L'!$C$54</f>
        <v>6.66</v>
      </c>
      <c r="O401" s="70">
        <f>(O261+O262+O272+O273)*'DATA - P&amp;L'!$C$9*'DATA - P&amp;L'!$C$54</f>
        <v>3.33</v>
      </c>
      <c r="P401" s="70">
        <f>(P261+P262+P272+P273)*'DATA - P&amp;L'!$C$9*'DATA - P&amp;L'!$C$54</f>
        <v>0</v>
      </c>
      <c r="Q401" s="70">
        <f>(Q261+Q262+Q272+Q273)*'DATA - P&amp;L'!$C$9*'DATA - P&amp;L'!$C$54</f>
        <v>1.665</v>
      </c>
      <c r="R401" s="70">
        <f>(R261+R262+R272+R273)*'DATA - P&amp;L'!$C$9*'DATA - P&amp;L'!$C$54</f>
        <v>0</v>
      </c>
      <c r="S401" s="70">
        <f>(S261+S262+S272+S273)*'DATA - P&amp;L'!$C$9*'DATA - P&amp;L'!$C$54</f>
        <v>0</v>
      </c>
      <c r="T401" s="70">
        <f>(T261+T262+T272+T273)*'DATA - P&amp;L'!$C$9*'DATA - P&amp;L'!$C$54</f>
        <v>0</v>
      </c>
      <c r="U401" s="70">
        <f>(U261+U262+U272+U273)*'DATA - P&amp;L'!$C$9*'DATA - P&amp;L'!$C$54</f>
        <v>1.665</v>
      </c>
      <c r="V401" s="70">
        <f>(V261+V262+V272+V273)*'DATA - P&amp;L'!$C$9*'DATA - P&amp;L'!$C$54</f>
        <v>1.665</v>
      </c>
      <c r="W401" s="70">
        <f>(W261+W262+W272+W273)*'DATA - P&amp;L'!$C$9*'DATA - P&amp;L'!$C$54</f>
        <v>1.665</v>
      </c>
      <c r="X401" s="70">
        <f>(X261+X262+X272+X273)*'DATA - P&amp;L'!$C$9*'DATA - P&amp;L'!$C$54</f>
        <v>0</v>
      </c>
      <c r="Y401" s="70">
        <f>(Y261+Y262+Y272+Y273)*'DATA - P&amp;L'!$C$9*'DATA - P&amp;L'!$C$54</f>
        <v>0</v>
      </c>
      <c r="Z401" s="70">
        <f>(Z261+Z262+Z272+Z273)*'DATA - P&amp;L'!$C$9*'DATA - P&amp;L'!$C$54</f>
        <v>0</v>
      </c>
      <c r="AA401" s="70">
        <f>(AA261+AA262+AA272+AA273)*'DATA - P&amp;L'!$C$9*'DATA - P&amp;L'!$C$54</f>
        <v>0</v>
      </c>
      <c r="AB401" s="70">
        <f>(AB261+AB262+AB272+AB273)*'DATA - P&amp;L'!$C$9*'DATA - P&amp;L'!$C$54</f>
        <v>3.33</v>
      </c>
      <c r="AC401" s="70">
        <f>(AC261+AC262+AC272+AC273)*'DATA - P&amp;L'!$C$9*'DATA - P&amp;L'!$C$54</f>
        <v>1.665</v>
      </c>
      <c r="AD401" s="70">
        <f>(AD261+AD262+AD272+AD273)*'DATA - P&amp;L'!$C$9*'DATA - P&amp;L'!$C$54</f>
        <v>0</v>
      </c>
      <c r="AE401" s="74">
        <f>(AE261+AE262+AE272+AE273)*'DATA - P&amp;L'!$C$9*'DATA - P&amp;L'!$C$54</f>
        <v>0</v>
      </c>
      <c r="AF401" s="87">
        <f t="shared" si="124"/>
        <v>34.965</v>
      </c>
    </row>
    <row r="402">
      <c r="A402" s="101" t="s">
        <v>396</v>
      </c>
      <c r="B402" s="70">
        <f>(B263+B264+B274+B275)*'DATA - P&amp;L'!$C$5*'DATA - P&amp;L'!$C$54</f>
        <v>0</v>
      </c>
      <c r="C402" s="70">
        <f>(C263+C264+C274+C275)*'DATA - P&amp;L'!$C$5*'DATA - P&amp;L'!$C$54</f>
        <v>0</v>
      </c>
      <c r="D402" s="70">
        <f>(D263+D264+D274+D275)*'DATA - P&amp;L'!$C$5*'DATA - P&amp;L'!$C$54</f>
        <v>0</v>
      </c>
      <c r="E402" s="70">
        <f>(E263+E264+E274+E275)*'DATA - P&amp;L'!$C$5*'DATA - P&amp;L'!$C$54</f>
        <v>0</v>
      </c>
      <c r="F402" s="70">
        <f>(F263+F264+F274+F275)*'DATA - P&amp;L'!$C$5*'DATA - P&amp;L'!$C$54</f>
        <v>0</v>
      </c>
      <c r="G402" s="70">
        <f>(G263+G264+G274+G275)*'DATA - P&amp;L'!$C$5*'DATA - P&amp;L'!$C$54</f>
        <v>3.36</v>
      </c>
      <c r="H402" s="70">
        <f>(H263+H264+H274+H275)*'DATA - P&amp;L'!$C$5*'DATA - P&amp;L'!$C$54</f>
        <v>0</v>
      </c>
      <c r="I402" s="70">
        <f>(I263+I264+I274+I275)*'DATA - P&amp;L'!$C$5*'DATA - P&amp;L'!$C$54</f>
        <v>0</v>
      </c>
      <c r="J402" s="70">
        <f>(J263+J264+J274+J275)*'DATA - P&amp;L'!$C$5*'DATA - P&amp;L'!$C$54</f>
        <v>0</v>
      </c>
      <c r="K402" s="70">
        <f>(K263+K264+K274+K275)*'DATA - P&amp;L'!$C$5*'DATA - P&amp;L'!$C$54</f>
        <v>0</v>
      </c>
      <c r="L402" s="70">
        <f>(L263+L264+L274+L275)*'DATA - P&amp;L'!$C$5*'DATA - P&amp;L'!$C$54</f>
        <v>13.44</v>
      </c>
      <c r="M402" s="70">
        <f>(M263+M264+M274+M275)*'DATA - P&amp;L'!$C$5*'DATA - P&amp;L'!$C$54</f>
        <v>16.8</v>
      </c>
      <c r="N402" s="70">
        <f>(N263+N264+N274+N275)*'DATA - P&amp;L'!$C$5*'DATA - P&amp;L'!$C$54</f>
        <v>0</v>
      </c>
      <c r="O402" s="70">
        <f>(O263+O264+O274+O275)*'DATA - P&amp;L'!$C$5*'DATA - P&amp;L'!$C$54</f>
        <v>6.72</v>
      </c>
      <c r="P402" s="70">
        <f>(P263+P264+P274+P275)*'DATA - P&amp;L'!$C$5*'DATA - P&amp;L'!$C$54</f>
        <v>6.72</v>
      </c>
      <c r="Q402" s="70">
        <f>(Q263+Q264+Q274+Q275)*'DATA - P&amp;L'!$C$5*'DATA - P&amp;L'!$C$54</f>
        <v>0</v>
      </c>
      <c r="R402" s="70">
        <f>(R263+R264+R274+R275)*'DATA - P&amp;L'!$C$5*'DATA - P&amp;L'!$C$54</f>
        <v>0</v>
      </c>
      <c r="S402" s="70">
        <f>(S263+S264+S274+S275)*'DATA - P&amp;L'!$C$5*'DATA - P&amp;L'!$C$54</f>
        <v>0</v>
      </c>
      <c r="T402" s="70">
        <f>(T263+T264+T274+T275)*'DATA - P&amp;L'!$C$5*'DATA - P&amp;L'!$C$54</f>
        <v>0</v>
      </c>
      <c r="U402" s="70">
        <f>(U263+U264+U274+U275)*'DATA - P&amp;L'!$C$5*'DATA - P&amp;L'!$C$54</f>
        <v>0</v>
      </c>
      <c r="V402" s="70">
        <f>(V263+V264+V274+V275)*'DATA - P&amp;L'!$C$5*'DATA - P&amp;L'!$C$54</f>
        <v>0</v>
      </c>
      <c r="W402" s="70">
        <f>(W263+W264+W274+W275)*'DATA - P&amp;L'!$C$5*'DATA - P&amp;L'!$C$54</f>
        <v>3.36</v>
      </c>
      <c r="X402" s="70">
        <f>(X263+X264+X274+X275)*'DATA - P&amp;L'!$C$5*'DATA - P&amp;L'!$C$54</f>
        <v>0</v>
      </c>
      <c r="Y402" s="70">
        <f>(Y263+Y264+Y274+Y275)*'DATA - P&amp;L'!$C$5*'DATA - P&amp;L'!$C$54</f>
        <v>0</v>
      </c>
      <c r="Z402" s="70">
        <f>(Z263+Z264+Z274+Z275)*'DATA - P&amp;L'!$C$5*'DATA - P&amp;L'!$C$54</f>
        <v>0</v>
      </c>
      <c r="AA402" s="70">
        <f>(AA263+AA264+AA274+AA275)*'DATA - P&amp;L'!$C$5*'DATA - P&amp;L'!$C$54</f>
        <v>0</v>
      </c>
      <c r="AB402" s="70">
        <f>(AB263+AB264+AB274+AB275)*'DATA - P&amp;L'!$C$5*'DATA - P&amp;L'!$C$54</f>
        <v>10.08</v>
      </c>
      <c r="AC402" s="70">
        <f>(AC263+AC264+AC274+AC275)*'DATA - P&amp;L'!$C$5*'DATA - P&amp;L'!$C$54</f>
        <v>0</v>
      </c>
      <c r="AD402" s="70">
        <f>(AD263+AD264+AD274+AD275)*'DATA - P&amp;L'!$C$5*'DATA - P&amp;L'!$C$54</f>
        <v>0</v>
      </c>
      <c r="AE402" s="74">
        <f>(AE263+AE264+AE274+AE275)*'DATA - P&amp;L'!$C$5*'DATA - P&amp;L'!$C$54</f>
        <v>3.36</v>
      </c>
      <c r="AF402" s="87">
        <f t="shared" si="124"/>
        <v>63.84</v>
      </c>
    </row>
    <row r="403">
      <c r="A403" s="101" t="s">
        <v>398</v>
      </c>
      <c r="B403" s="70">
        <f>(B265+B266+B276+B277)*'DATA - P&amp;L'!$C$10*'DATA - P&amp;L'!$C$54</f>
        <v>0</v>
      </c>
      <c r="C403" s="70">
        <f>(C265+C266+C276+C277)*'DATA - P&amp;L'!$C$10*'DATA - P&amp;L'!$C$54</f>
        <v>0</v>
      </c>
      <c r="D403" s="70">
        <f>(D265+D266+D276+D277)*'DATA - P&amp;L'!$C$10*'DATA - P&amp;L'!$C$54</f>
        <v>0</v>
      </c>
      <c r="E403" s="70">
        <f>(E265+E266+E276+E277)*'DATA - P&amp;L'!$C$10*'DATA - P&amp;L'!$C$54</f>
        <v>0</v>
      </c>
      <c r="F403" s="70">
        <f>(F265+F266+F276+F277)*'DATA - P&amp;L'!$C$10*'DATA - P&amp;L'!$C$54</f>
        <v>0</v>
      </c>
      <c r="G403" s="70">
        <f>(G265+G266+G276+G277)*'DATA - P&amp;L'!$C$10*'DATA - P&amp;L'!$C$54</f>
        <v>0</v>
      </c>
      <c r="H403" s="70">
        <f>(H265+H266+H276+H277)*'DATA - P&amp;L'!$C$10*'DATA - P&amp;L'!$C$54</f>
        <v>0</v>
      </c>
      <c r="I403" s="70">
        <f>(I265+I266+I276+I277)*'DATA - P&amp;L'!$C$10*'DATA - P&amp;L'!$C$54</f>
        <v>0</v>
      </c>
      <c r="J403" s="70">
        <f>(J265+J266+J276+J277)*'DATA - P&amp;L'!$C$10*'DATA - P&amp;L'!$C$54</f>
        <v>0</v>
      </c>
      <c r="K403" s="70">
        <f>(K265+K266+K276+K277)*'DATA - P&amp;L'!$C$10*'DATA - P&amp;L'!$C$54</f>
        <v>0</v>
      </c>
      <c r="L403" s="70">
        <f>(L265+L266+L276+L277)*'DATA - P&amp;L'!$C$10*'DATA - P&amp;L'!$C$54</f>
        <v>0</v>
      </c>
      <c r="M403" s="70">
        <f>(M265+M266+M276+M277)*'DATA - P&amp;L'!$C$10*'DATA - P&amp;L'!$C$54</f>
        <v>0</v>
      </c>
      <c r="N403" s="70">
        <f>(N265+N266+N276+N277)*'DATA - P&amp;L'!$C$10*'DATA - P&amp;L'!$C$54</f>
        <v>0</v>
      </c>
      <c r="O403" s="70">
        <f>(O265+O266+O276+O277)*'DATA - P&amp;L'!$C$10*'DATA - P&amp;L'!$C$54</f>
        <v>0</v>
      </c>
      <c r="P403" s="70">
        <f>(P265+P266+P276+P277)*'DATA - P&amp;L'!$C$10*'DATA - P&amp;L'!$C$54</f>
        <v>0</v>
      </c>
      <c r="Q403" s="70">
        <f>(Q265+Q266+Q276+Q277)*'DATA - P&amp;L'!$C$10*'DATA - P&amp;L'!$C$54</f>
        <v>0</v>
      </c>
      <c r="R403" s="70">
        <f>(R265+R266+R276+R277)*'DATA - P&amp;L'!$C$10*'DATA - P&amp;L'!$C$54</f>
        <v>0</v>
      </c>
      <c r="S403" s="70">
        <f>(S265+S266+S276+S277)*'DATA - P&amp;L'!$C$10*'DATA - P&amp;L'!$C$54</f>
        <v>0</v>
      </c>
      <c r="T403" s="70">
        <f>(T265+T266+T276+T277)*'DATA - P&amp;L'!$C$10*'DATA - P&amp;L'!$C$54</f>
        <v>0</v>
      </c>
      <c r="U403" s="70">
        <f>(U265+U266+U276+U277)*'DATA - P&amp;L'!$C$10*'DATA - P&amp;L'!$C$54</f>
        <v>0</v>
      </c>
      <c r="V403" s="70">
        <f>(V265+V266+V276+V277)*'DATA - P&amp;L'!$C$10*'DATA - P&amp;L'!$C$54</f>
        <v>0</v>
      </c>
      <c r="W403" s="70">
        <f>(W265+W266+W276+W277)*'DATA - P&amp;L'!$C$10*'DATA - P&amp;L'!$C$54</f>
        <v>0</v>
      </c>
      <c r="X403" s="70">
        <f>(X265+X266+X276+X277)*'DATA - P&amp;L'!$C$10*'DATA - P&amp;L'!$C$54</f>
        <v>0</v>
      </c>
      <c r="Y403" s="70">
        <f>(Y265+Y266+Y276+Y277)*'DATA - P&amp;L'!$C$10*'DATA - P&amp;L'!$C$54</f>
        <v>0</v>
      </c>
      <c r="Z403" s="70">
        <f>(Z265+Z266+Z276+Z277)*'DATA - P&amp;L'!$C$10*'DATA - P&amp;L'!$C$54</f>
        <v>0</v>
      </c>
      <c r="AA403" s="70">
        <f>(AA265+AA266+AA276+AA277)*'DATA - P&amp;L'!$C$10*'DATA - P&amp;L'!$C$54</f>
        <v>0</v>
      </c>
      <c r="AB403" s="70">
        <f>(AB265+AB266+AB276+AB277)*'DATA - P&amp;L'!$C$10*'DATA - P&amp;L'!$C$54</f>
        <v>0</v>
      </c>
      <c r="AC403" s="70">
        <f>(AC265+AC266+AC276+AC277)*'DATA - P&amp;L'!$C$10*'DATA - P&amp;L'!$C$54</f>
        <v>0</v>
      </c>
      <c r="AD403" s="70">
        <f>(AD265+AD266+AD276+AD277)*'DATA - P&amp;L'!$C$10*'DATA - P&amp;L'!$C$54</f>
        <v>0</v>
      </c>
      <c r="AE403" s="74">
        <f>(AE265+AE266+AE276+AE277)*'DATA - P&amp;L'!$C$10*'DATA - P&amp;L'!$C$54</f>
        <v>0</v>
      </c>
      <c r="AF403" s="87">
        <f t="shared" si="124"/>
        <v>0</v>
      </c>
    </row>
    <row r="404">
      <c r="A404" s="101" t="s">
        <v>400</v>
      </c>
      <c r="B404" s="70">
        <f>((B255*'DATA - P&amp;L'!$C$38)+(B256*'DATA - P&amp;L'!$C$39))*'DATA - P&amp;L'!$C$54</f>
        <v>44.775</v>
      </c>
      <c r="C404" s="70">
        <f>((C255*'DATA - P&amp;L'!$C$38)+(C256*'DATA - P&amp;L'!$C$39))*'DATA - P&amp;L'!$C$54</f>
        <v>8.955</v>
      </c>
      <c r="D404" s="70">
        <f>((D255*'DATA - P&amp;L'!$C$38)+(D256*'DATA - P&amp;L'!$C$39))*'DATA - P&amp;L'!$C$54</f>
        <v>8.955</v>
      </c>
      <c r="E404" s="70">
        <f>((E255*'DATA - P&amp;L'!$C$38)+(E256*'DATA - P&amp;L'!$C$39))*'DATA - P&amp;L'!$C$54</f>
        <v>0</v>
      </c>
      <c r="F404" s="70">
        <f>((F255*'DATA - P&amp;L'!$C$38)+(F256*'DATA - P&amp;L'!$C$39))*'DATA - P&amp;L'!$C$54</f>
        <v>14.925</v>
      </c>
      <c r="G404" s="70">
        <f>((G255*'DATA - P&amp;L'!$C$38)+(G256*'DATA - P&amp;L'!$C$39))*'DATA - P&amp;L'!$C$54</f>
        <v>32.835</v>
      </c>
      <c r="H404" s="70">
        <f>((H255*'DATA - P&amp;L'!$C$38)+(H256*'DATA - P&amp;L'!$C$39))*'DATA - P&amp;L'!$C$54</f>
        <v>14.925</v>
      </c>
      <c r="I404" s="70">
        <f>((I255*'DATA - P&amp;L'!$C$38)+(I256*'DATA - P&amp;L'!$C$39))*'DATA - P&amp;L'!$C$54</f>
        <v>0</v>
      </c>
      <c r="J404" s="70">
        <f>((J255*'DATA - P&amp;L'!$C$38)+(J256*'DATA - P&amp;L'!$C$39))*'DATA - P&amp;L'!$C$54</f>
        <v>2.985</v>
      </c>
      <c r="K404" s="70">
        <f>((K255*'DATA - P&amp;L'!$C$38)+(K256*'DATA - P&amp;L'!$C$39))*'DATA - P&amp;L'!$C$54</f>
        <v>2.985</v>
      </c>
      <c r="L404" s="70">
        <f>((L255*'DATA - P&amp;L'!$C$38)+(L256*'DATA - P&amp;L'!$C$39))*'DATA - P&amp;L'!$C$54</f>
        <v>68.655</v>
      </c>
      <c r="M404" s="70">
        <f>((M255*'DATA - P&amp;L'!$C$38)+(M256*'DATA - P&amp;L'!$C$39))*'DATA - P&amp;L'!$C$54</f>
        <v>119.4</v>
      </c>
      <c r="N404" s="70">
        <f>((N255*'DATA - P&amp;L'!$C$38)+(N256*'DATA - P&amp;L'!$C$39))*'DATA - P&amp;L'!$C$54</f>
        <v>65.67</v>
      </c>
      <c r="O404" s="70">
        <f>((O255*'DATA - P&amp;L'!$C$38)+(O256*'DATA - P&amp;L'!$C$39))*'DATA - P&amp;L'!$C$54</f>
        <v>71.64</v>
      </c>
      <c r="P404" s="70">
        <f>((P255*'DATA - P&amp;L'!$C$38)+(P256*'DATA - P&amp;L'!$C$39))*'DATA - P&amp;L'!$C$54</f>
        <v>5.97</v>
      </c>
      <c r="Q404" s="70">
        <f>((Q255*'DATA - P&amp;L'!$C$38)+(Q256*'DATA - P&amp;L'!$C$39))*'DATA - P&amp;L'!$C$54</f>
        <v>8.955</v>
      </c>
      <c r="R404" s="70">
        <f>((R255*'DATA - P&amp;L'!$C$38)+(R256*'DATA - P&amp;L'!$C$39))*'DATA - P&amp;L'!$C$54</f>
        <v>2.985</v>
      </c>
      <c r="S404" s="70">
        <f>((S255*'DATA - P&amp;L'!$C$38)+(S256*'DATA - P&amp;L'!$C$39))*'DATA - P&amp;L'!$C$54</f>
        <v>11.94</v>
      </c>
      <c r="T404" s="70">
        <f>((T255*'DATA - P&amp;L'!$C$38)+(T256*'DATA - P&amp;L'!$C$39))*'DATA - P&amp;L'!$C$54</f>
        <v>14.925</v>
      </c>
      <c r="U404" s="70">
        <f>((U255*'DATA - P&amp;L'!$C$38)+(U256*'DATA - P&amp;L'!$C$39))*'DATA - P&amp;L'!$C$54</f>
        <v>23.88</v>
      </c>
      <c r="V404" s="70">
        <f>((V255*'DATA - P&amp;L'!$C$38)+(V256*'DATA - P&amp;L'!$C$39))*'DATA - P&amp;L'!$C$54</f>
        <v>17.91</v>
      </c>
      <c r="W404" s="70">
        <f>((W255*'DATA - P&amp;L'!$C$38)+(W256*'DATA - P&amp;L'!$C$39))*'DATA - P&amp;L'!$C$54</f>
        <v>41.79</v>
      </c>
      <c r="X404" s="70">
        <f>((X255*'DATA - P&amp;L'!$C$38)+(X256*'DATA - P&amp;L'!$C$39))*'DATA - P&amp;L'!$C$54</f>
        <v>2.985</v>
      </c>
      <c r="Y404" s="70">
        <f>((Y255*'DATA - P&amp;L'!$C$38)+(Y256*'DATA - P&amp;L'!$C$39))*'DATA - P&amp;L'!$C$54</f>
        <v>0</v>
      </c>
      <c r="Z404" s="70">
        <f>((Z255*'DATA - P&amp;L'!$C$38)+(Z256*'DATA - P&amp;L'!$C$39))*'DATA - P&amp;L'!$C$54</f>
        <v>0</v>
      </c>
      <c r="AA404" s="70">
        <f>((AA255*'DATA - P&amp;L'!$C$38)+(AA256*'DATA - P&amp;L'!$C$39))*'DATA - P&amp;L'!$C$54</f>
        <v>11.94</v>
      </c>
      <c r="AB404" s="70">
        <f>((AB255*'DATA - P&amp;L'!$C$38)+(AB256*'DATA - P&amp;L'!$C$39))*'DATA - P&amp;L'!$C$54</f>
        <v>32.835</v>
      </c>
      <c r="AC404" s="70">
        <f>((AC255*'DATA - P&amp;L'!$C$38)+(AC256*'DATA - P&amp;L'!$C$39))*'DATA - P&amp;L'!$C$54</f>
        <v>14.925</v>
      </c>
      <c r="AD404" s="70">
        <f>((AD255*'DATA - P&amp;L'!$C$38)+(AD256*'DATA - P&amp;L'!$C$39))*'DATA - P&amp;L'!$C$54</f>
        <v>14.925</v>
      </c>
      <c r="AE404" s="74">
        <f>((AE255*'DATA - P&amp;L'!$C$38)+(AE256*'DATA - P&amp;L'!$C$39))*'DATA - P&amp;L'!$C$54</f>
        <v>8.955</v>
      </c>
      <c r="AF404" s="87">
        <f t="shared" si="124"/>
        <v>671.625</v>
      </c>
    </row>
    <row r="405">
      <c r="A405" s="101" t="s">
        <v>465</v>
      </c>
      <c r="B405" s="70">
        <f>((B267*'DATA - P&amp;L'!$D$38)+(B278*'DATA - P&amp;L'!$D$39))*'DATA - P&amp;L'!$C$54</f>
        <v>0.35875</v>
      </c>
      <c r="C405" s="70">
        <f>((C267*'DATA - P&amp;L'!$D$38)+(C278*'DATA - P&amp;L'!$D$39))*'DATA - P&amp;L'!$C$54</f>
        <v>0.7175</v>
      </c>
      <c r="D405" s="70">
        <f>((D267*'DATA - P&amp;L'!$D$38)+(D278*'DATA - P&amp;L'!$D$39))*'DATA - P&amp;L'!$C$54</f>
        <v>0.35875</v>
      </c>
      <c r="E405" s="70">
        <f>((E267*'DATA - P&amp;L'!$D$38)+(E278*'DATA - P&amp;L'!$D$39))*'DATA - P&amp;L'!$C$54</f>
        <v>0</v>
      </c>
      <c r="F405" s="70">
        <f>((F267*'DATA - P&amp;L'!$D$38)+(F278*'DATA - P&amp;L'!$D$39))*'DATA - P&amp;L'!$C$54</f>
        <v>0.7175</v>
      </c>
      <c r="G405" s="70">
        <f>((G267*'DATA - P&amp;L'!$D$38)+(G278*'DATA - P&amp;L'!$D$39))*'DATA - P&amp;L'!$C$54</f>
        <v>1.79375</v>
      </c>
      <c r="H405" s="70">
        <f>((H267*'DATA - P&amp;L'!$D$38)+(H278*'DATA - P&amp;L'!$D$39))*'DATA - P&amp;L'!$C$54</f>
        <v>0</v>
      </c>
      <c r="I405" s="70">
        <f>((I267*'DATA - P&amp;L'!$D$38)+(I278*'DATA - P&amp;L'!$D$39))*'DATA - P&amp;L'!$C$54</f>
        <v>0.35875</v>
      </c>
      <c r="J405" s="70">
        <f>((J267*'DATA - P&amp;L'!$D$38)+(J278*'DATA - P&amp;L'!$D$39))*'DATA - P&amp;L'!$C$54</f>
        <v>1.435</v>
      </c>
      <c r="K405" s="70">
        <f>((K267*'DATA - P&amp;L'!$D$38)+(K278*'DATA - P&amp;L'!$D$39))*'DATA - P&amp;L'!$C$54</f>
        <v>0</v>
      </c>
      <c r="L405" s="70">
        <f>((L267*'DATA - P&amp;L'!$D$38)+(L278*'DATA - P&amp;L'!$D$39))*'DATA - P&amp;L'!$C$54</f>
        <v>6.09875</v>
      </c>
      <c r="M405" s="70">
        <f>((M267*'DATA - P&amp;L'!$D$38)+(M278*'DATA - P&amp;L'!$D$39))*'DATA - P&amp;L'!$C$54</f>
        <v>14.71125</v>
      </c>
      <c r="N405" s="70">
        <f>((N267*'DATA - P&amp;L'!$D$38)+(N278*'DATA - P&amp;L'!$D$39))*'DATA - P&amp;L'!$C$54</f>
        <v>5.74375</v>
      </c>
      <c r="O405" s="70">
        <f>((O267*'DATA - P&amp;L'!$D$38)+(O278*'DATA - P&amp;L'!$D$39))*'DATA - P&amp;L'!$C$54</f>
        <v>7.8925</v>
      </c>
      <c r="P405" s="70">
        <f>((P267*'DATA - P&amp;L'!$D$38)+(P278*'DATA - P&amp;L'!$D$39))*'DATA - P&amp;L'!$C$54</f>
        <v>1.435</v>
      </c>
      <c r="Q405" s="70">
        <f>((Q267*'DATA - P&amp;L'!$D$38)+(Q278*'DATA - P&amp;L'!$D$39))*'DATA - P&amp;L'!$C$54</f>
        <v>1.79375</v>
      </c>
      <c r="R405" s="70">
        <f>((R267*'DATA - P&amp;L'!$D$38)+(R278*'DATA - P&amp;L'!$D$39))*'DATA - P&amp;L'!$C$54</f>
        <v>0.35875</v>
      </c>
      <c r="S405" s="70">
        <f>((S267*'DATA - P&amp;L'!$D$38)+(S278*'DATA - P&amp;L'!$D$39))*'DATA - P&amp;L'!$C$54</f>
        <v>0</v>
      </c>
      <c r="T405" s="70">
        <f>((T267*'DATA - P&amp;L'!$D$38)+(T278*'DATA - P&amp;L'!$D$39))*'DATA - P&amp;L'!$C$54</f>
        <v>0.35875</v>
      </c>
      <c r="U405" s="70">
        <f>((U267*'DATA - P&amp;L'!$D$38)+(U278*'DATA - P&amp;L'!$D$39))*'DATA - P&amp;L'!$C$54</f>
        <v>0.35875</v>
      </c>
      <c r="V405" s="70">
        <f>((V267*'DATA - P&amp;L'!$D$38)+(V278*'DATA - P&amp;L'!$D$39))*'DATA - P&amp;L'!$C$54</f>
        <v>2.51375</v>
      </c>
      <c r="W405" s="70">
        <f>((W267*'DATA - P&amp;L'!$D$38)+(W278*'DATA - P&amp;L'!$D$39))*'DATA - P&amp;L'!$C$54</f>
        <v>3.5875</v>
      </c>
      <c r="X405" s="70">
        <f>((X267*'DATA - P&amp;L'!$D$38)+(X278*'DATA - P&amp;L'!$D$39))*'DATA - P&amp;L'!$C$54</f>
        <v>0</v>
      </c>
      <c r="Y405" s="70">
        <f>((Y267*'DATA - P&amp;L'!$D$38)+(Y278*'DATA - P&amp;L'!$D$39))*'DATA - P&amp;L'!$C$54</f>
        <v>0</v>
      </c>
      <c r="Z405" s="70">
        <f>((Z267*'DATA - P&amp;L'!$D$38)+(Z278*'DATA - P&amp;L'!$D$39))*'DATA - P&amp;L'!$C$54</f>
        <v>0</v>
      </c>
      <c r="AA405" s="70">
        <f>((AA267*'DATA - P&amp;L'!$D$38)+(AA278*'DATA - P&amp;L'!$D$39))*'DATA - P&amp;L'!$C$54</f>
        <v>0</v>
      </c>
      <c r="AB405" s="70">
        <f>((AB267*'DATA - P&amp;L'!$D$38)+(AB278*'DATA - P&amp;L'!$D$39))*'DATA - P&amp;L'!$C$54</f>
        <v>2.87</v>
      </c>
      <c r="AC405" s="70">
        <f>((AC267*'DATA - P&amp;L'!$D$38)+(AC278*'DATA - P&amp;L'!$D$39))*'DATA - P&amp;L'!$C$54</f>
        <v>1.43625</v>
      </c>
      <c r="AD405" s="70">
        <f>((AD267*'DATA - P&amp;L'!$D$38)+(AD278*'DATA - P&amp;L'!$D$39))*'DATA - P&amp;L'!$C$54</f>
        <v>0.35875</v>
      </c>
      <c r="AE405" s="74">
        <f>((AE267*'DATA - P&amp;L'!$D$38)+(AE278*'DATA - P&amp;L'!$D$39))*'DATA - P&amp;L'!$C$54</f>
        <v>2.1525</v>
      </c>
      <c r="AF405" s="87">
        <f t="shared" si="124"/>
        <v>57.41</v>
      </c>
    </row>
    <row r="406">
      <c r="A406" s="101" t="s">
        <v>821</v>
      </c>
      <c r="B406" s="70">
        <f>(B280*'DATA - P&amp;L'!$R$3)+(B281*'DATA - P&amp;L'!$R$4)</f>
        <v>225</v>
      </c>
      <c r="C406" s="70">
        <f>(C280*'DATA - P&amp;L'!$R$3)+(C281*'DATA - P&amp;L'!$R$4)</f>
        <v>45</v>
      </c>
      <c r="D406" s="70">
        <f>(D280*'DATA - P&amp;L'!$R$3)+(D281*'DATA - P&amp;L'!$R$4)</f>
        <v>45</v>
      </c>
      <c r="E406" s="70">
        <f>(E280*'DATA - P&amp;L'!$R$3)+(E281*'DATA - P&amp;L'!$R$4)</f>
        <v>0</v>
      </c>
      <c r="F406" s="70">
        <f>(F280*'DATA - P&amp;L'!$R$3)+(F281*'DATA - P&amp;L'!$R$4)</f>
        <v>75</v>
      </c>
      <c r="G406" s="70">
        <f>(G280*'DATA - P&amp;L'!$R$3)+(G281*'DATA - P&amp;L'!$R$4)</f>
        <v>195</v>
      </c>
      <c r="H406" s="70">
        <f>(H280*'DATA - P&amp;L'!$R$3)+(H281*'DATA - P&amp;L'!$R$4)</f>
        <v>75</v>
      </c>
      <c r="I406" s="70">
        <f>(I280*'DATA - P&amp;L'!$R$3)+(I281*'DATA - P&amp;L'!$R$4)</f>
        <v>15</v>
      </c>
      <c r="J406" s="70">
        <f>(J280*'DATA - P&amp;L'!$R$3)+(J281*'DATA - P&amp;L'!$R$4)</f>
        <v>15</v>
      </c>
      <c r="K406" s="70">
        <f>(K280*'DATA - P&amp;L'!$R$3)+(K281*'DATA - P&amp;L'!$R$4)</f>
        <v>15</v>
      </c>
      <c r="L406" s="70">
        <f>(L280*'DATA - P&amp;L'!$R$3)+(L281*'DATA - P&amp;L'!$R$4)</f>
        <v>420</v>
      </c>
      <c r="M406" s="70">
        <f>(M280*'DATA - P&amp;L'!$R$3)+(M281*'DATA - P&amp;L'!$R$4)</f>
        <v>670</v>
      </c>
      <c r="N406" s="70">
        <f>(N280*'DATA - P&amp;L'!$R$3)+(N281*'DATA - P&amp;L'!$R$4)</f>
        <v>435</v>
      </c>
      <c r="O406" s="70">
        <f>(O280*'DATA - P&amp;L'!$R$3)+(O281*'DATA - P&amp;L'!$R$4)</f>
        <v>465</v>
      </c>
      <c r="P406" s="70">
        <f>(P280*'DATA - P&amp;L'!$R$3)+(P281*'DATA - P&amp;L'!$R$4)</f>
        <v>45</v>
      </c>
      <c r="Q406" s="70">
        <f>(Q280*'DATA - P&amp;L'!$R$3)+(Q281*'DATA - P&amp;L'!$R$4)</f>
        <v>45</v>
      </c>
      <c r="R406" s="70">
        <f>(R280*'DATA - P&amp;L'!$R$3)+(R281*'DATA - P&amp;L'!$R$4)</f>
        <v>15</v>
      </c>
      <c r="S406" s="70">
        <f>(S280*'DATA - P&amp;L'!$R$3)+(S281*'DATA - P&amp;L'!$R$4)</f>
        <v>85</v>
      </c>
      <c r="T406" s="70">
        <f>(T280*'DATA - P&amp;L'!$R$3)+(T281*'DATA - P&amp;L'!$R$4)</f>
        <v>90</v>
      </c>
      <c r="U406" s="70">
        <f>(U280*'DATA - P&amp;L'!$R$3)+(U281*'DATA - P&amp;L'!$R$4)</f>
        <v>120</v>
      </c>
      <c r="V406" s="70">
        <f>(V280*'DATA - P&amp;L'!$R$3)+(V281*'DATA - P&amp;L'!$R$4)</f>
        <v>115</v>
      </c>
      <c r="W406" s="70">
        <f>(W280*'DATA - P&amp;L'!$R$3)+(W281*'DATA - P&amp;L'!$R$4)</f>
        <v>225</v>
      </c>
      <c r="X406" s="70">
        <f>(X280*'DATA - P&amp;L'!$R$3)+(X281*'DATA - P&amp;L'!$R$4)</f>
        <v>15</v>
      </c>
      <c r="Y406" s="70">
        <f>(Y280*'DATA - P&amp;L'!$R$3)+(Y281*'DATA - P&amp;L'!$R$4)</f>
        <v>0</v>
      </c>
      <c r="Z406" s="70">
        <f>(Z280*'DATA - P&amp;L'!$R$3)+(Z281*'DATA - P&amp;L'!$R$4)</f>
        <v>0</v>
      </c>
      <c r="AA406" s="70">
        <f>(AA280*'DATA - P&amp;L'!$R$3)+(AA281*'DATA - P&amp;L'!$R$4)</f>
        <v>60</v>
      </c>
      <c r="AB406" s="70">
        <f>(AB280*'DATA - P&amp;L'!$R$3)+(AB281*'DATA - P&amp;L'!$R$4)</f>
        <v>210</v>
      </c>
      <c r="AC406" s="70">
        <f>(AC280*'DATA - P&amp;L'!$R$3)+(AC281*'DATA - P&amp;L'!$R$4)</f>
        <v>100</v>
      </c>
      <c r="AD406" s="70">
        <f>(AD280*'DATA - P&amp;L'!$R$3)+(AD281*'DATA - P&amp;L'!$R$4)</f>
        <v>90</v>
      </c>
      <c r="AE406" s="74">
        <f>(AE280*'DATA - P&amp;L'!$R$3)+(AE281*'DATA - P&amp;L'!$R$4)</f>
        <v>45</v>
      </c>
      <c r="AF406" s="87">
        <f t="shared" si="124"/>
        <v>3955</v>
      </c>
    </row>
    <row r="407">
      <c r="A407" s="101" t="s">
        <v>502</v>
      </c>
      <c r="B407" s="70">
        <f t="shared" ref="B407:AE407" si="127">B286+B291</f>
        <v>3665.08</v>
      </c>
      <c r="C407" s="70">
        <f t="shared" si="127"/>
        <v>910.02</v>
      </c>
      <c r="D407" s="70">
        <f t="shared" si="127"/>
        <v>830.05</v>
      </c>
      <c r="E407" s="70">
        <f t="shared" si="127"/>
        <v>0</v>
      </c>
      <c r="F407" s="70">
        <f t="shared" si="127"/>
        <v>1462.66</v>
      </c>
      <c r="G407" s="70">
        <f t="shared" si="127"/>
        <v>3036.53</v>
      </c>
      <c r="H407" s="70">
        <f t="shared" si="127"/>
        <v>1275.41</v>
      </c>
      <c r="I407" s="70">
        <f t="shared" si="127"/>
        <v>25.44</v>
      </c>
      <c r="J407" s="70">
        <f t="shared" si="127"/>
        <v>395.77</v>
      </c>
      <c r="K407" s="70">
        <f t="shared" si="127"/>
        <v>303.42</v>
      </c>
      <c r="L407" s="70">
        <f t="shared" si="127"/>
        <v>6332.29</v>
      </c>
      <c r="M407" s="70">
        <f t="shared" si="127"/>
        <v>11526.27</v>
      </c>
      <c r="N407" s="70">
        <f t="shared" si="127"/>
        <v>6342.65</v>
      </c>
      <c r="O407" s="70">
        <f t="shared" si="127"/>
        <v>6596.07</v>
      </c>
      <c r="P407" s="70">
        <f t="shared" si="127"/>
        <v>639.99</v>
      </c>
      <c r="Q407" s="70">
        <f t="shared" si="127"/>
        <v>895.4</v>
      </c>
      <c r="R407" s="70">
        <f t="shared" si="127"/>
        <v>237.31</v>
      </c>
      <c r="S407" s="70">
        <f t="shared" si="127"/>
        <v>919.62</v>
      </c>
      <c r="T407" s="70">
        <f t="shared" si="127"/>
        <v>1196.8</v>
      </c>
      <c r="U407" s="70">
        <f t="shared" si="127"/>
        <v>1931.39</v>
      </c>
      <c r="V407" s="70">
        <f t="shared" si="127"/>
        <v>1645.78</v>
      </c>
      <c r="W407" s="70">
        <f t="shared" si="127"/>
        <v>3867.79</v>
      </c>
      <c r="X407" s="70">
        <f t="shared" si="127"/>
        <v>198.3</v>
      </c>
      <c r="Y407" s="70">
        <f t="shared" si="127"/>
        <v>0</v>
      </c>
      <c r="Z407" s="70">
        <f t="shared" si="127"/>
        <v>0</v>
      </c>
      <c r="AA407" s="70">
        <f t="shared" si="127"/>
        <v>941.52</v>
      </c>
      <c r="AB407" s="70">
        <f t="shared" si="127"/>
        <v>2916.45</v>
      </c>
      <c r="AC407" s="70">
        <f t="shared" si="127"/>
        <v>1314.34</v>
      </c>
      <c r="AD407" s="70">
        <f t="shared" si="127"/>
        <v>1421.16</v>
      </c>
      <c r="AE407" s="74">
        <f t="shared" si="127"/>
        <v>848.91</v>
      </c>
      <c r="AF407" s="87">
        <f t="shared" si="124"/>
        <v>61676.42</v>
      </c>
    </row>
    <row r="408">
      <c r="A408" s="603" t="s">
        <v>824</v>
      </c>
      <c r="B408" s="576">
        <f t="shared" ref="B408:AE408" si="128">sum(B409:B419)-B422</f>
        <v>0</v>
      </c>
      <c r="C408" s="576">
        <f t="shared" si="128"/>
        <v>0</v>
      </c>
      <c r="D408" s="576">
        <f t="shared" si="128"/>
        <v>0</v>
      </c>
      <c r="E408" s="576">
        <f t="shared" si="128"/>
        <v>0</v>
      </c>
      <c r="F408" s="576">
        <f t="shared" si="128"/>
        <v>0</v>
      </c>
      <c r="G408" s="576">
        <f t="shared" si="128"/>
        <v>0</v>
      </c>
      <c r="H408" s="576">
        <f t="shared" si="128"/>
        <v>0</v>
      </c>
      <c r="I408" s="576">
        <f t="shared" si="128"/>
        <v>0</v>
      </c>
      <c r="J408" s="576">
        <f t="shared" si="128"/>
        <v>0</v>
      </c>
      <c r="K408" s="576">
        <f t="shared" si="128"/>
        <v>0</v>
      </c>
      <c r="L408" s="576">
        <f t="shared" si="128"/>
        <v>-64.3885</v>
      </c>
      <c r="M408" s="576">
        <f t="shared" si="128"/>
        <v>-293.892</v>
      </c>
      <c r="N408" s="576">
        <f t="shared" si="128"/>
        <v>0</v>
      </c>
      <c r="O408" s="576">
        <f t="shared" si="128"/>
        <v>0</v>
      </c>
      <c r="P408" s="576">
        <f t="shared" si="128"/>
        <v>0</v>
      </c>
      <c r="Q408" s="576">
        <f t="shared" si="128"/>
        <v>0</v>
      </c>
      <c r="R408" s="576">
        <f t="shared" si="128"/>
        <v>0</v>
      </c>
      <c r="S408" s="576">
        <f t="shared" si="128"/>
        <v>-14.1905</v>
      </c>
      <c r="T408" s="576">
        <f t="shared" si="128"/>
        <v>0</v>
      </c>
      <c r="U408" s="576">
        <f t="shared" si="128"/>
        <v>0</v>
      </c>
      <c r="V408" s="576">
        <f t="shared" si="128"/>
        <v>0</v>
      </c>
      <c r="W408" s="576">
        <f t="shared" si="128"/>
        <v>-30.116</v>
      </c>
      <c r="X408" s="576">
        <f t="shared" si="128"/>
        <v>0</v>
      </c>
      <c r="Y408" s="576">
        <f t="shared" si="128"/>
        <v>0</v>
      </c>
      <c r="Z408" s="576">
        <f t="shared" si="128"/>
        <v>-261.591</v>
      </c>
      <c r="AA408" s="576">
        <f t="shared" si="128"/>
        <v>-425.222</v>
      </c>
      <c r="AB408" s="576">
        <f t="shared" si="128"/>
        <v>0</v>
      </c>
      <c r="AC408" s="576">
        <f t="shared" si="128"/>
        <v>0</v>
      </c>
      <c r="AD408" s="576">
        <f t="shared" si="128"/>
        <v>0</v>
      </c>
      <c r="AE408" s="577">
        <f t="shared" si="128"/>
        <v>0</v>
      </c>
      <c r="AF408" s="87">
        <f t="shared" si="124"/>
        <v>-1089.4</v>
      </c>
    </row>
    <row r="409" outlineLevel="1">
      <c r="A409" s="101" t="s">
        <v>383</v>
      </c>
      <c r="B409" s="70">
        <f>B313*'DATA - P&amp;L'!$C$3*'DATA - P&amp;L'!$C$55</f>
        <v>0</v>
      </c>
      <c r="C409" s="70">
        <f>C313*'DATA - P&amp;L'!$C$3*'DATA - P&amp;L'!$C$55</f>
        <v>0</v>
      </c>
      <c r="D409" s="70">
        <f>D313*'DATA - P&amp;L'!$C$3*'DATA - P&amp;L'!$C$55</f>
        <v>0</v>
      </c>
      <c r="E409" s="70">
        <f>E313*'DATA - P&amp;L'!$C$3*'DATA - P&amp;L'!$C$55</f>
        <v>0</v>
      </c>
      <c r="F409" s="70">
        <f>F313*'DATA - P&amp;L'!$C$3*'DATA - P&amp;L'!$C$55</f>
        <v>0</v>
      </c>
      <c r="G409" s="70">
        <f>G313*'DATA - P&amp;L'!$C$3*'DATA - P&amp;L'!$C$55</f>
        <v>0</v>
      </c>
      <c r="H409" s="70">
        <f>H313*'DATA - P&amp;L'!$C$3*'DATA - P&amp;L'!$C$55</f>
        <v>0</v>
      </c>
      <c r="I409" s="70">
        <f>I313*'DATA - P&amp;L'!$C$3*'DATA - P&amp;L'!$C$55</f>
        <v>0</v>
      </c>
      <c r="J409" s="70">
        <f>J313*'DATA - P&amp;L'!$C$3*'DATA - P&amp;L'!$C$55</f>
        <v>0</v>
      </c>
      <c r="K409" s="70">
        <f>K313*'DATA - P&amp;L'!$C$3*'DATA - P&amp;L'!$C$55</f>
        <v>0</v>
      </c>
      <c r="L409" s="70">
        <f>L313*'DATA - P&amp;L'!$C$3*'DATA - P&amp;L'!$C$55</f>
        <v>52.14</v>
      </c>
      <c r="M409" s="70">
        <f>M313*'DATA - P&amp;L'!$C$3*'DATA - P&amp;L'!$C$55</f>
        <v>43.45</v>
      </c>
      <c r="N409" s="70">
        <f>N313*'DATA - P&amp;L'!$C$3*'DATA - P&amp;L'!$C$55</f>
        <v>0</v>
      </c>
      <c r="O409" s="70">
        <f>O313*'DATA - P&amp;L'!$C$3*'DATA - P&amp;L'!$C$55</f>
        <v>0</v>
      </c>
      <c r="P409" s="70">
        <f>P313*'DATA - P&amp;L'!$C$3*'DATA - P&amp;L'!$C$55</f>
        <v>0</v>
      </c>
      <c r="Q409" s="70">
        <f>Q313*'DATA - P&amp;L'!$C$3*'DATA - P&amp;L'!$C$55</f>
        <v>0</v>
      </c>
      <c r="R409" s="70">
        <f>R313*'DATA - P&amp;L'!$C$3*'DATA - P&amp;L'!$C$55</f>
        <v>0</v>
      </c>
      <c r="S409" s="70">
        <f>S313*'DATA - P&amp;L'!$C$3*'DATA - P&amp;L'!$C$55</f>
        <v>0</v>
      </c>
      <c r="T409" s="70">
        <f>T313*'DATA - P&amp;L'!$C$3*'DATA - P&amp;L'!$C$55</f>
        <v>0</v>
      </c>
      <c r="U409" s="70">
        <f>U313*'DATA - P&amp;L'!$C$3*'DATA - P&amp;L'!$C$55</f>
        <v>0</v>
      </c>
      <c r="V409" s="70">
        <f>V313*'DATA - P&amp;L'!$C$3*'DATA - P&amp;L'!$C$55</f>
        <v>0</v>
      </c>
      <c r="W409" s="70">
        <f>W313*'DATA - P&amp;L'!$C$3*'DATA - P&amp;L'!$C$55</f>
        <v>8.69</v>
      </c>
      <c r="X409" s="70">
        <f>X313*'DATA - P&amp;L'!$C$3*'DATA - P&amp;L'!$C$55</f>
        <v>0</v>
      </c>
      <c r="Y409" s="70">
        <f>Y313*'DATA - P&amp;L'!$C$3*'DATA - P&amp;L'!$C$55</f>
        <v>0</v>
      </c>
      <c r="Z409" s="70">
        <f>Z313*'DATA - P&amp;L'!$C$3*'DATA - P&amp;L'!$C$55</f>
        <v>8.69</v>
      </c>
      <c r="AA409" s="70">
        <f>AA313*'DATA - P&amp;L'!$C$3*'DATA - P&amp;L'!$C$55</f>
        <v>0</v>
      </c>
      <c r="AB409" s="70">
        <f>AB313*'DATA - P&amp;L'!$C$3*'DATA - P&amp;L'!$C$55</f>
        <v>0</v>
      </c>
      <c r="AC409" s="70">
        <f>AC313*'DATA - P&amp;L'!$C$3*'DATA - P&amp;L'!$C$55</f>
        <v>0</v>
      </c>
      <c r="AD409" s="70">
        <f>AD313*'DATA - P&amp;L'!$C$3*'DATA - P&amp;L'!$C$55</f>
        <v>0</v>
      </c>
      <c r="AE409" s="74">
        <f>AE313*'DATA - P&amp;L'!$C$3*'DATA - P&amp;L'!$C$55</f>
        <v>0</v>
      </c>
      <c r="AF409" s="87">
        <f t="shared" si="124"/>
        <v>112.97</v>
      </c>
    </row>
    <row r="410" outlineLevel="1">
      <c r="A410" s="101" t="s">
        <v>386</v>
      </c>
      <c r="B410" s="70">
        <f>B314*'DATA - P&amp;L'!$C$4*'DATA - P&amp;L'!$C$55</f>
        <v>0</v>
      </c>
      <c r="C410" s="70">
        <f>C314*'DATA - P&amp;L'!$C$4*'DATA - P&amp;L'!$C$55</f>
        <v>0</v>
      </c>
      <c r="D410" s="70">
        <f>D314*'DATA - P&amp;L'!$C$4*'DATA - P&amp;L'!$C$55</f>
        <v>0</v>
      </c>
      <c r="E410" s="70">
        <f>E314*'DATA - P&amp;L'!$C$4*'DATA - P&amp;L'!$C$55</f>
        <v>0</v>
      </c>
      <c r="F410" s="70">
        <f>F314*'DATA - P&amp;L'!$C$4*'DATA - P&amp;L'!$C$55</f>
        <v>0</v>
      </c>
      <c r="G410" s="70">
        <f>G314*'DATA - P&amp;L'!$C$4*'DATA - P&amp;L'!$C$55</f>
        <v>0</v>
      </c>
      <c r="H410" s="70">
        <f>H314*'DATA - P&amp;L'!$C$4*'DATA - P&amp;L'!$C$55</f>
        <v>0</v>
      </c>
      <c r="I410" s="70">
        <f>I314*'DATA - P&amp;L'!$C$4*'DATA - P&amp;L'!$C$55</f>
        <v>0</v>
      </c>
      <c r="J410" s="70">
        <f>J314*'DATA - P&amp;L'!$C$4*'DATA - P&amp;L'!$C$55</f>
        <v>0</v>
      </c>
      <c r="K410" s="70">
        <f>K314*'DATA - P&amp;L'!$C$4*'DATA - P&amp;L'!$C$55</f>
        <v>0</v>
      </c>
      <c r="L410" s="70">
        <f>L314*'DATA - P&amp;L'!$C$4*'DATA - P&amp;L'!$C$55</f>
        <v>58.566</v>
      </c>
      <c r="M410" s="70">
        <f>M314*'DATA - P&amp;L'!$C$4*'DATA - P&amp;L'!$C$55</f>
        <v>39.044</v>
      </c>
      <c r="N410" s="70">
        <f>N314*'DATA - P&amp;L'!$C$4*'DATA - P&amp;L'!$C$55</f>
        <v>0</v>
      </c>
      <c r="O410" s="70">
        <f>O314*'DATA - P&amp;L'!$C$4*'DATA - P&amp;L'!$C$55</f>
        <v>0</v>
      </c>
      <c r="P410" s="70">
        <f>P314*'DATA - P&amp;L'!$C$4*'DATA - P&amp;L'!$C$55</f>
        <v>0</v>
      </c>
      <c r="Q410" s="70">
        <f>Q314*'DATA - P&amp;L'!$C$4*'DATA - P&amp;L'!$C$55</f>
        <v>0</v>
      </c>
      <c r="R410" s="70">
        <f>R314*'DATA - P&amp;L'!$C$4*'DATA - P&amp;L'!$C$55</f>
        <v>0</v>
      </c>
      <c r="S410" s="70">
        <f>S314*'DATA - P&amp;L'!$C$4*'DATA - P&amp;L'!$C$55</f>
        <v>0</v>
      </c>
      <c r="T410" s="70">
        <f>T314*'DATA - P&amp;L'!$C$4*'DATA - P&amp;L'!$C$55</f>
        <v>0</v>
      </c>
      <c r="U410" s="70">
        <f>U314*'DATA - P&amp;L'!$C$4*'DATA - P&amp;L'!$C$55</f>
        <v>0</v>
      </c>
      <c r="V410" s="70">
        <f>V314*'DATA - P&amp;L'!$C$4*'DATA - P&amp;L'!$C$55</f>
        <v>0</v>
      </c>
      <c r="W410" s="70">
        <f>W314*'DATA - P&amp;L'!$C$4*'DATA - P&amp;L'!$C$55</f>
        <v>0</v>
      </c>
      <c r="X410" s="70">
        <f>X314*'DATA - P&amp;L'!$C$4*'DATA - P&amp;L'!$C$55</f>
        <v>0</v>
      </c>
      <c r="Y410" s="70">
        <f>Y314*'DATA - P&amp;L'!$C$4*'DATA - P&amp;L'!$C$55</f>
        <v>0</v>
      </c>
      <c r="Z410" s="70">
        <f>Z314*'DATA - P&amp;L'!$C$4*'DATA - P&amp;L'!$C$55</f>
        <v>0</v>
      </c>
      <c r="AA410" s="70">
        <f>AA314*'DATA - P&amp;L'!$C$4*'DATA - P&amp;L'!$C$55</f>
        <v>0</v>
      </c>
      <c r="AB410" s="70">
        <f>AB314*'DATA - P&amp;L'!$C$4*'DATA - P&amp;L'!$C$55</f>
        <v>0</v>
      </c>
      <c r="AC410" s="70">
        <f>AC314*'DATA - P&amp;L'!$C$4*'DATA - P&amp;L'!$C$55</f>
        <v>0</v>
      </c>
      <c r="AD410" s="70">
        <f>AD314*'DATA - P&amp;L'!$C$4*'DATA - P&amp;L'!$C$55</f>
        <v>0</v>
      </c>
      <c r="AE410" s="74">
        <f>AE314*'DATA - P&amp;L'!$C$4*'DATA - P&amp;L'!$C$55</f>
        <v>0</v>
      </c>
      <c r="AF410" s="87">
        <f t="shared" si="124"/>
        <v>97.61</v>
      </c>
    </row>
    <row r="411" outlineLevel="1">
      <c r="A411" s="101" t="s">
        <v>388</v>
      </c>
      <c r="B411" s="70">
        <f>(B317+B328)*'DATA - P&amp;L'!$C$6*'DATA - P&amp;L'!$C$55</f>
        <v>0</v>
      </c>
      <c r="C411" s="70">
        <f>(C317+C328)*'DATA - P&amp;L'!$C$6*'DATA - P&amp;L'!$C$55</f>
        <v>0</v>
      </c>
      <c r="D411" s="70">
        <f>(D317+D328)*'DATA - P&amp;L'!$C$6*'DATA - P&amp;L'!$C$55</f>
        <v>0</v>
      </c>
      <c r="E411" s="70">
        <f>(E317+E328)*'DATA - P&amp;L'!$C$6*'DATA - P&amp;L'!$C$55</f>
        <v>0</v>
      </c>
      <c r="F411" s="70">
        <f>(F317+F328)*'DATA - P&amp;L'!$C$6*'DATA - P&amp;L'!$C$55</f>
        <v>0</v>
      </c>
      <c r="G411" s="70">
        <f>(G317+G328)*'DATA - P&amp;L'!$C$6*'DATA - P&amp;L'!$C$55</f>
        <v>0</v>
      </c>
      <c r="H411" s="70">
        <f>(H317+H328)*'DATA - P&amp;L'!$C$6*'DATA - P&amp;L'!$C$55</f>
        <v>0</v>
      </c>
      <c r="I411" s="70">
        <f>(I317+I328)*'DATA - P&amp;L'!$C$6*'DATA - P&amp;L'!$C$55</f>
        <v>0</v>
      </c>
      <c r="J411" s="70">
        <f>(J317+J328)*'DATA - P&amp;L'!$C$6*'DATA - P&amp;L'!$C$55</f>
        <v>0</v>
      </c>
      <c r="K411" s="70">
        <f>(K317+K328)*'DATA - P&amp;L'!$C$6*'DATA - P&amp;L'!$C$55</f>
        <v>0</v>
      </c>
      <c r="L411" s="70">
        <f>(L317+L328)*'DATA - P&amp;L'!$C$6*'DATA - P&amp;L'!$C$55</f>
        <v>1.647</v>
      </c>
      <c r="M411" s="70">
        <f>(M317+M328)*'DATA - P&amp;L'!$C$6*'DATA - P&amp;L'!$C$55</f>
        <v>1.647</v>
      </c>
      <c r="N411" s="70">
        <f>(N317+N328)*'DATA - P&amp;L'!$C$6*'DATA - P&amp;L'!$C$55</f>
        <v>0</v>
      </c>
      <c r="O411" s="70">
        <f>(O317+O328)*'DATA - P&amp;L'!$C$6*'DATA - P&amp;L'!$C$55</f>
        <v>0</v>
      </c>
      <c r="P411" s="70">
        <f>(P317+P328)*'DATA - P&amp;L'!$C$6*'DATA - P&amp;L'!$C$55</f>
        <v>0</v>
      </c>
      <c r="Q411" s="70">
        <f>(Q317+Q328)*'DATA - P&amp;L'!$C$6*'DATA - P&amp;L'!$C$55</f>
        <v>0</v>
      </c>
      <c r="R411" s="70">
        <f>(R317+R328)*'DATA - P&amp;L'!$C$6*'DATA - P&amp;L'!$C$55</f>
        <v>0</v>
      </c>
      <c r="S411" s="70">
        <f>(S317+S328)*'DATA - P&amp;L'!$C$6*'DATA - P&amp;L'!$C$55</f>
        <v>0</v>
      </c>
      <c r="T411" s="70">
        <f>(T317+T328)*'DATA - P&amp;L'!$C$6*'DATA - P&amp;L'!$C$55</f>
        <v>0</v>
      </c>
      <c r="U411" s="70">
        <f>(U317+U328)*'DATA - P&amp;L'!$C$6*'DATA - P&amp;L'!$C$55</f>
        <v>0</v>
      </c>
      <c r="V411" s="70">
        <f>(V317+V328)*'DATA - P&amp;L'!$C$6*'DATA - P&amp;L'!$C$55</f>
        <v>0</v>
      </c>
      <c r="W411" s="70">
        <f>(W317+W328)*'DATA - P&amp;L'!$C$6*'DATA - P&amp;L'!$C$55</f>
        <v>0</v>
      </c>
      <c r="X411" s="70">
        <f>(X317+X328)*'DATA - P&amp;L'!$C$6*'DATA - P&amp;L'!$C$55</f>
        <v>0</v>
      </c>
      <c r="Y411" s="70">
        <f>(Y317+Y328)*'DATA - P&amp;L'!$C$6*'DATA - P&amp;L'!$C$55</f>
        <v>0</v>
      </c>
      <c r="Z411" s="70">
        <f>(Z317+Z328)*'DATA - P&amp;L'!$C$6*'DATA - P&amp;L'!$C$55</f>
        <v>0</v>
      </c>
      <c r="AA411" s="70">
        <f>(AA317+AA328)*'DATA - P&amp;L'!$C$6*'DATA - P&amp;L'!$C$55</f>
        <v>1.098</v>
      </c>
      <c r="AB411" s="70">
        <f>(AB317+AB328)*'DATA - P&amp;L'!$C$6*'DATA - P&amp;L'!$C$55</f>
        <v>0</v>
      </c>
      <c r="AC411" s="70">
        <f>(AC317+AC328)*'DATA - P&amp;L'!$C$6*'DATA - P&amp;L'!$C$55</f>
        <v>0</v>
      </c>
      <c r="AD411" s="70">
        <f>(AD317+AD328)*'DATA - P&amp;L'!$C$6*'DATA - P&amp;L'!$C$55</f>
        <v>0</v>
      </c>
      <c r="AE411" s="74">
        <f>(AE317+AE328)*'DATA - P&amp;L'!$C$6*'DATA - P&amp;L'!$C$55</f>
        <v>0</v>
      </c>
      <c r="AF411" s="87">
        <f t="shared" si="124"/>
        <v>4.392</v>
      </c>
    </row>
    <row r="412" outlineLevel="1">
      <c r="A412" s="101" t="s">
        <v>389</v>
      </c>
      <c r="B412" s="70">
        <f>(B318+B329)*'DATA - P&amp;L'!$C$8*'DATA - P&amp;L'!$C$55</f>
        <v>0</v>
      </c>
      <c r="C412" s="70">
        <f>(C318+C329)*'DATA - P&amp;L'!$C$8*'DATA - P&amp;L'!$C$55</f>
        <v>0</v>
      </c>
      <c r="D412" s="70">
        <f>(D318+D329)*'DATA - P&amp;L'!$C$8*'DATA - P&amp;L'!$C$55</f>
        <v>0</v>
      </c>
      <c r="E412" s="70">
        <f>(E318+E329)*'DATA - P&amp;L'!$C$8*'DATA - P&amp;L'!$C$55</f>
        <v>0</v>
      </c>
      <c r="F412" s="70">
        <f>(F318+F329)*'DATA - P&amp;L'!$C$8*'DATA - P&amp;L'!$C$55</f>
        <v>0</v>
      </c>
      <c r="G412" s="70">
        <f>(G318+G329)*'DATA - P&amp;L'!$C$8*'DATA - P&amp;L'!$C$55</f>
        <v>0</v>
      </c>
      <c r="H412" s="70">
        <f>(H318+H329)*'DATA - P&amp;L'!$C$8*'DATA - P&amp;L'!$C$55</f>
        <v>0</v>
      </c>
      <c r="I412" s="70">
        <f>(I318+I329)*'DATA - P&amp;L'!$C$8*'DATA - P&amp;L'!$C$55</f>
        <v>0</v>
      </c>
      <c r="J412" s="70">
        <f>(J318+J329)*'DATA - P&amp;L'!$C$8*'DATA - P&amp;L'!$C$55</f>
        <v>0</v>
      </c>
      <c r="K412" s="70">
        <f>(K318+K329)*'DATA - P&amp;L'!$C$8*'DATA - P&amp;L'!$C$55</f>
        <v>0</v>
      </c>
      <c r="L412" s="70">
        <f>(L318+L329)*'DATA - P&amp;L'!$C$8*'DATA - P&amp;L'!$C$55</f>
        <v>0.238</v>
      </c>
      <c r="M412" s="70">
        <f>(M318+M329)*'DATA - P&amp;L'!$C$8*'DATA - P&amp;L'!$C$55</f>
        <v>0.357</v>
      </c>
      <c r="N412" s="70">
        <f>(N318+N329)*'DATA - P&amp;L'!$C$8*'DATA - P&amp;L'!$C$55</f>
        <v>0</v>
      </c>
      <c r="O412" s="70">
        <f>(O318+O329)*'DATA - P&amp;L'!$C$8*'DATA - P&amp;L'!$C$55</f>
        <v>0</v>
      </c>
      <c r="P412" s="70">
        <f>(P318+P329)*'DATA - P&amp;L'!$C$8*'DATA - P&amp;L'!$C$55</f>
        <v>0</v>
      </c>
      <c r="Q412" s="70">
        <f>(Q318+Q329)*'DATA - P&amp;L'!$C$8*'DATA - P&amp;L'!$C$55</f>
        <v>0</v>
      </c>
      <c r="R412" s="70">
        <f>(R318+R329)*'DATA - P&amp;L'!$C$8*'DATA - P&amp;L'!$C$55</f>
        <v>0</v>
      </c>
      <c r="S412" s="70">
        <f>(S318+S329)*'DATA - P&amp;L'!$C$8*'DATA - P&amp;L'!$C$55</f>
        <v>0</v>
      </c>
      <c r="T412" s="70">
        <f>(T318+T329)*'DATA - P&amp;L'!$C$8*'DATA - P&amp;L'!$C$55</f>
        <v>0</v>
      </c>
      <c r="U412" s="70">
        <f>(U318+U329)*'DATA - P&amp;L'!$C$8*'DATA - P&amp;L'!$C$55</f>
        <v>0</v>
      </c>
      <c r="V412" s="70">
        <f>(V318+V329)*'DATA - P&amp;L'!$C$8*'DATA - P&amp;L'!$C$55</f>
        <v>0</v>
      </c>
      <c r="W412" s="70">
        <f>(W318+W329)*'DATA - P&amp;L'!$C$8*'DATA - P&amp;L'!$C$55</f>
        <v>0</v>
      </c>
      <c r="X412" s="70">
        <f>(X318+X329)*'DATA - P&amp;L'!$C$8*'DATA - P&amp;L'!$C$55</f>
        <v>0</v>
      </c>
      <c r="Y412" s="70">
        <f>(Y318+Y329)*'DATA - P&amp;L'!$C$8*'DATA - P&amp;L'!$C$55</f>
        <v>0</v>
      </c>
      <c r="Z412" s="70">
        <f>(Z318+Z329)*'DATA - P&amp;L'!$C$8*'DATA - P&amp;L'!$C$55</f>
        <v>0.119</v>
      </c>
      <c r="AA412" s="70">
        <f>(AA318+AA329)*'DATA - P&amp;L'!$C$8*'DATA - P&amp;L'!$C$55</f>
        <v>0</v>
      </c>
      <c r="AB412" s="70">
        <f>(AB318+AB329)*'DATA - P&amp;L'!$C$8*'DATA - P&amp;L'!$C$55</f>
        <v>0</v>
      </c>
      <c r="AC412" s="70">
        <f>(AC318+AC329)*'DATA - P&amp;L'!$C$8*'DATA - P&amp;L'!$C$55</f>
        <v>0</v>
      </c>
      <c r="AD412" s="70">
        <f>(AD318+AD329)*'DATA - P&amp;L'!$C$8*'DATA - P&amp;L'!$C$55</f>
        <v>0</v>
      </c>
      <c r="AE412" s="74">
        <f>(AE318+AE329)*'DATA - P&amp;L'!$C$8*'DATA - P&amp;L'!$C$55</f>
        <v>0</v>
      </c>
      <c r="AF412" s="87">
        <f t="shared" si="124"/>
        <v>0.714</v>
      </c>
    </row>
    <row r="413" outlineLevel="1">
      <c r="A413" s="101" t="s">
        <v>393</v>
      </c>
      <c r="B413" s="70">
        <f>(B319+B320+B330+B331)*'DATA - P&amp;L'!$C$9*'DATA - P&amp;L'!$C$55</f>
        <v>0</v>
      </c>
      <c r="C413" s="70">
        <f>(C319+C320+C330+C331)*'DATA - P&amp;L'!$C$9*'DATA - P&amp;L'!$C$55</f>
        <v>0</v>
      </c>
      <c r="D413" s="70">
        <f>(D319+D320+D330+D331)*'DATA - P&amp;L'!$C$9*'DATA - P&amp;L'!$C$55</f>
        <v>0</v>
      </c>
      <c r="E413" s="70">
        <f>(E319+E320+E330+E331)*'DATA - P&amp;L'!$C$9*'DATA - P&amp;L'!$C$55</f>
        <v>0</v>
      </c>
      <c r="F413" s="70">
        <f>(F319+F320+F330+F331)*'DATA - P&amp;L'!$C$9*'DATA - P&amp;L'!$C$55</f>
        <v>0</v>
      </c>
      <c r="G413" s="70">
        <f>(G319+G320+G330+G331)*'DATA - P&amp;L'!$C$9*'DATA - P&amp;L'!$C$55</f>
        <v>0</v>
      </c>
      <c r="H413" s="70">
        <f>(H319+H320+H330+H331)*'DATA - P&amp;L'!$C$9*'DATA - P&amp;L'!$C$55</f>
        <v>0</v>
      </c>
      <c r="I413" s="70">
        <f>(I319+I320+I330+I331)*'DATA - P&amp;L'!$C$9*'DATA - P&amp;L'!$C$55</f>
        <v>0</v>
      </c>
      <c r="J413" s="70">
        <f>(J319+J320+J330+J331)*'DATA - P&amp;L'!$C$9*'DATA - P&amp;L'!$C$55</f>
        <v>0</v>
      </c>
      <c r="K413" s="70">
        <f>(K319+K320+K330+K331)*'DATA - P&amp;L'!$C$9*'DATA - P&amp;L'!$C$55</f>
        <v>0</v>
      </c>
      <c r="L413" s="70">
        <f>(L319+L320+L330+L331)*'DATA - P&amp;L'!$C$9*'DATA - P&amp;L'!$C$55</f>
        <v>0</v>
      </c>
      <c r="M413" s="70">
        <f>(M319+M320+M330+M331)*'DATA - P&amp;L'!$C$9*'DATA - P&amp;L'!$C$55</f>
        <v>0</v>
      </c>
      <c r="N413" s="70">
        <f>(N319+N320+N330+N331)*'DATA - P&amp;L'!$C$9*'DATA - P&amp;L'!$C$55</f>
        <v>0</v>
      </c>
      <c r="O413" s="70">
        <f>(O319+O320+O330+O331)*'DATA - P&amp;L'!$C$9*'DATA - P&amp;L'!$C$55</f>
        <v>0</v>
      </c>
      <c r="P413" s="70">
        <f>(P319+P320+P330+P331)*'DATA - P&amp;L'!$C$9*'DATA - P&amp;L'!$C$55</f>
        <v>0</v>
      </c>
      <c r="Q413" s="70">
        <f>(Q319+Q320+Q330+Q331)*'DATA - P&amp;L'!$C$9*'DATA - P&amp;L'!$C$55</f>
        <v>0</v>
      </c>
      <c r="R413" s="70">
        <f>(R319+R320+R330+R331)*'DATA - P&amp;L'!$C$9*'DATA - P&amp;L'!$C$55</f>
        <v>0</v>
      </c>
      <c r="S413" s="70">
        <f>(S319+S320+S330+S331)*'DATA - P&amp;L'!$C$9*'DATA - P&amp;L'!$C$55</f>
        <v>0.666</v>
      </c>
      <c r="T413" s="70">
        <f>(T319+T320+T330+T331)*'DATA - P&amp;L'!$C$9*'DATA - P&amp;L'!$C$55</f>
        <v>0</v>
      </c>
      <c r="U413" s="70">
        <f>(U319+U320+U330+U331)*'DATA - P&amp;L'!$C$9*'DATA - P&amp;L'!$C$55</f>
        <v>0</v>
      </c>
      <c r="V413" s="70">
        <f>(V319+V320+V330+V331)*'DATA - P&amp;L'!$C$9*'DATA - P&amp;L'!$C$55</f>
        <v>0</v>
      </c>
      <c r="W413" s="70">
        <f>(W319+W320+W330+W331)*'DATA - P&amp;L'!$C$9*'DATA - P&amp;L'!$C$55</f>
        <v>0</v>
      </c>
      <c r="X413" s="70">
        <f>(X319+X320+X330+X331)*'DATA - P&amp;L'!$C$9*'DATA - P&amp;L'!$C$55</f>
        <v>0</v>
      </c>
      <c r="Y413" s="70">
        <f>(Y319+Y320+Y330+Y331)*'DATA - P&amp;L'!$C$9*'DATA - P&amp;L'!$C$55</f>
        <v>0</v>
      </c>
      <c r="Z413" s="70">
        <f>(Z319+Z320+Z330+Z331)*'DATA - P&amp;L'!$C$9*'DATA - P&amp;L'!$C$55</f>
        <v>0</v>
      </c>
      <c r="AA413" s="70">
        <f>(AA319+AA320+AA330+AA331)*'DATA - P&amp;L'!$C$9*'DATA - P&amp;L'!$C$55</f>
        <v>0</v>
      </c>
      <c r="AB413" s="70">
        <f>(AB319+AB320+AB330+AB331)*'DATA - P&amp;L'!$C$9*'DATA - P&amp;L'!$C$55</f>
        <v>0</v>
      </c>
      <c r="AC413" s="70">
        <f>(AC319+AC320+AC330+AC331)*'DATA - P&amp;L'!$C$9*'DATA - P&amp;L'!$C$55</f>
        <v>0</v>
      </c>
      <c r="AD413" s="70">
        <f>(AD319+AD320+AD330+AD331)*'DATA - P&amp;L'!$C$9*'DATA - P&amp;L'!$C$55</f>
        <v>0</v>
      </c>
      <c r="AE413" s="74">
        <f>(AE319+AE320+AE330+AE331)*'DATA - P&amp;L'!$C$9*'DATA - P&amp;L'!$C$55</f>
        <v>0</v>
      </c>
      <c r="AF413" s="87">
        <f t="shared" si="124"/>
        <v>0.666</v>
      </c>
    </row>
    <row r="414" outlineLevel="1">
      <c r="A414" s="101" t="s">
        <v>396</v>
      </c>
      <c r="B414" s="70">
        <f>(B321+B322+B332+B333)*'DATA - P&amp;L'!$C$5*'DATA - P&amp;L'!$C$55</f>
        <v>0</v>
      </c>
      <c r="C414" s="70">
        <f>(C321+C322+C332+C333)*'DATA - P&amp;L'!$C$5*'DATA - P&amp;L'!$C$55</f>
        <v>0</v>
      </c>
      <c r="D414" s="70">
        <f>(D321+D322+D332+D333)*'DATA - P&amp;L'!$C$5*'DATA - P&amp;L'!$C$55</f>
        <v>0</v>
      </c>
      <c r="E414" s="70">
        <f>(E321+E322+E332+E333)*'DATA - P&amp;L'!$C$5*'DATA - P&amp;L'!$C$55</f>
        <v>0</v>
      </c>
      <c r="F414" s="70">
        <f>(F321+F322+F332+F333)*'DATA - P&amp;L'!$C$5*'DATA - P&amp;L'!$C$55</f>
        <v>0</v>
      </c>
      <c r="G414" s="70">
        <f>(G321+G322+G332+G333)*'DATA - P&amp;L'!$C$5*'DATA - P&amp;L'!$C$55</f>
        <v>0</v>
      </c>
      <c r="H414" s="70">
        <f>(H321+H322+H332+H333)*'DATA - P&amp;L'!$C$5*'DATA - P&amp;L'!$C$55</f>
        <v>0</v>
      </c>
      <c r="I414" s="70">
        <f>(I321+I322+I332+I333)*'DATA - P&amp;L'!$C$5*'DATA - P&amp;L'!$C$55</f>
        <v>0</v>
      </c>
      <c r="J414" s="70">
        <f>(J321+J322+J332+J333)*'DATA - P&amp;L'!$C$5*'DATA - P&amp;L'!$C$55</f>
        <v>0</v>
      </c>
      <c r="K414" s="70">
        <f>(K321+K322+K332+K333)*'DATA - P&amp;L'!$C$5*'DATA - P&amp;L'!$C$55</f>
        <v>0</v>
      </c>
      <c r="L414" s="70">
        <f>(L321+L322+L332+L333)*'DATA - P&amp;L'!$C$5*'DATA - P&amp;L'!$C$55</f>
        <v>2.688</v>
      </c>
      <c r="M414" s="70">
        <f>(M321+M322+M332+M333)*'DATA - P&amp;L'!$C$5*'DATA - P&amp;L'!$C$55</f>
        <v>0</v>
      </c>
      <c r="N414" s="70">
        <f>(N321+N322+N332+N333)*'DATA - P&amp;L'!$C$5*'DATA - P&amp;L'!$C$55</f>
        <v>0</v>
      </c>
      <c r="O414" s="70">
        <f>(O321+O322+O332+O333)*'DATA - P&amp;L'!$C$5*'DATA - P&amp;L'!$C$55</f>
        <v>0</v>
      </c>
      <c r="P414" s="70">
        <f>(P321+P322+P332+P333)*'DATA - P&amp;L'!$C$5*'DATA - P&amp;L'!$C$55</f>
        <v>0</v>
      </c>
      <c r="Q414" s="70">
        <f>(Q321+Q322+Q332+Q333)*'DATA - P&amp;L'!$C$5*'DATA - P&amp;L'!$C$55</f>
        <v>0</v>
      </c>
      <c r="R414" s="70">
        <f>(R321+R322+R332+R333)*'DATA - P&amp;L'!$C$5*'DATA - P&amp;L'!$C$55</f>
        <v>0</v>
      </c>
      <c r="S414" s="70">
        <f>(S321+S322+S332+S333)*'DATA - P&amp;L'!$C$5*'DATA - P&amp;L'!$C$55</f>
        <v>0</v>
      </c>
      <c r="T414" s="70">
        <f>(T321+T322+T332+T333)*'DATA - P&amp;L'!$C$5*'DATA - P&amp;L'!$C$55</f>
        <v>0</v>
      </c>
      <c r="U414" s="70">
        <f>(U321+U322+U332+U333)*'DATA - P&amp;L'!$C$5*'DATA - P&amp;L'!$C$55</f>
        <v>0</v>
      </c>
      <c r="V414" s="70">
        <f>(V321+V322+V332+V333)*'DATA - P&amp;L'!$C$5*'DATA - P&amp;L'!$C$55</f>
        <v>0</v>
      </c>
      <c r="W414" s="70">
        <f>(W321+W322+W332+W333)*'DATA - P&amp;L'!$C$5*'DATA - P&amp;L'!$C$55</f>
        <v>0</v>
      </c>
      <c r="X414" s="70">
        <f>(X321+X322+X332+X333)*'DATA - P&amp;L'!$C$5*'DATA - P&amp;L'!$C$55</f>
        <v>0</v>
      </c>
      <c r="Y414" s="70">
        <f>(Y321+Y322+Y332+Y333)*'DATA - P&amp;L'!$C$5*'DATA - P&amp;L'!$C$55</f>
        <v>0</v>
      </c>
      <c r="Z414" s="70">
        <f>(Z321+Z322+Z332+Z333)*'DATA - P&amp;L'!$C$5*'DATA - P&amp;L'!$C$55</f>
        <v>25.536</v>
      </c>
      <c r="AA414" s="70">
        <f>(AA321+AA322+AA332+AA333)*'DATA - P&amp;L'!$C$5*'DATA - P&amp;L'!$C$55</f>
        <v>12.096</v>
      </c>
      <c r="AB414" s="70">
        <f>(AB321+AB322+AB332+AB333)*'DATA - P&amp;L'!$C$5*'DATA - P&amp;L'!$C$55</f>
        <v>0</v>
      </c>
      <c r="AC414" s="70">
        <f>(AC321+AC322+AC332+AC333)*'DATA - P&amp;L'!$C$5*'DATA - P&amp;L'!$C$55</f>
        <v>0</v>
      </c>
      <c r="AD414" s="70">
        <f>(AD321+AD322+AD332+AD333)*'DATA - P&amp;L'!$C$5*'DATA - P&amp;L'!$C$55</f>
        <v>0</v>
      </c>
      <c r="AE414" s="74">
        <f>(AE321+AE322+AE332+AE333)*'DATA - P&amp;L'!$C$5*'DATA - P&amp;L'!$C$55</f>
        <v>0</v>
      </c>
      <c r="AF414" s="87">
        <f t="shared" si="124"/>
        <v>40.32</v>
      </c>
    </row>
    <row r="415" outlineLevel="1">
      <c r="A415" s="101" t="s">
        <v>398</v>
      </c>
      <c r="B415" s="70">
        <f>(B323+B324+B334+B335)*'DATA - P&amp;L'!$C$10*'DATA - P&amp;L'!$C$55</f>
        <v>0</v>
      </c>
      <c r="C415" s="70">
        <f>(C323+C324+C334+C335)*'DATA - P&amp;L'!$C$10*'DATA - P&amp;L'!$C$55</f>
        <v>0</v>
      </c>
      <c r="D415" s="70">
        <f>(D323+D324+D334+D335)*'DATA - P&amp;L'!$C$10*'DATA - P&amp;L'!$C$55</f>
        <v>0</v>
      </c>
      <c r="E415" s="70">
        <f>(E323+E324+E334+E335)*'DATA - P&amp;L'!$C$10*'DATA - P&amp;L'!$C$55</f>
        <v>0</v>
      </c>
      <c r="F415" s="70">
        <f>(F323+F324+F334+F335)*'DATA - P&amp;L'!$C$10*'DATA - P&amp;L'!$C$55</f>
        <v>0</v>
      </c>
      <c r="G415" s="70">
        <f>(G323+G324+G334+G335)*'DATA - P&amp;L'!$C$10*'DATA - P&amp;L'!$C$55</f>
        <v>0</v>
      </c>
      <c r="H415" s="70">
        <f>(H323+H324+H334+H335)*'DATA - P&amp;L'!$C$10*'DATA - P&amp;L'!$C$55</f>
        <v>0</v>
      </c>
      <c r="I415" s="70">
        <f>(I323+I324+I334+I335)*'DATA - P&amp;L'!$C$10*'DATA - P&amp;L'!$C$55</f>
        <v>0</v>
      </c>
      <c r="J415" s="70">
        <f>(J323+J324+J334+J335)*'DATA - P&amp;L'!$C$10*'DATA - P&amp;L'!$C$55</f>
        <v>0</v>
      </c>
      <c r="K415" s="70">
        <f>(K323+K324+K334+K335)*'DATA - P&amp;L'!$C$10*'DATA - P&amp;L'!$C$55</f>
        <v>0</v>
      </c>
      <c r="L415" s="70">
        <f>(L323+L324+L334+L335)*'DATA - P&amp;L'!$C$10*'DATA - P&amp;L'!$C$55</f>
        <v>0</v>
      </c>
      <c r="M415" s="70">
        <f>(M323+M324+M334+M335)*'DATA - P&amp;L'!$C$10*'DATA - P&amp;L'!$C$55</f>
        <v>0</v>
      </c>
      <c r="N415" s="70">
        <f>(N323+N324+N334+N335)*'DATA - P&amp;L'!$C$10*'DATA - P&amp;L'!$C$55</f>
        <v>0</v>
      </c>
      <c r="O415" s="70">
        <f>(O323+O324+O334+O335)*'DATA - P&amp;L'!$C$10*'DATA - P&amp;L'!$C$55</f>
        <v>0</v>
      </c>
      <c r="P415" s="70">
        <f>(P323+P324+P334+P335)*'DATA - P&amp;L'!$C$10*'DATA - P&amp;L'!$C$55</f>
        <v>0</v>
      </c>
      <c r="Q415" s="70">
        <f>(Q323+Q324+Q334+Q335)*'DATA - P&amp;L'!$C$10*'DATA - P&amp;L'!$C$55</f>
        <v>0</v>
      </c>
      <c r="R415" s="70">
        <f>(R323+R324+R334+R335)*'DATA - P&amp;L'!$C$10*'DATA - P&amp;L'!$C$55</f>
        <v>0</v>
      </c>
      <c r="S415" s="70">
        <f>(S323+S324+S334+S335)*'DATA - P&amp;L'!$C$10*'DATA - P&amp;L'!$C$55</f>
        <v>0</v>
      </c>
      <c r="T415" s="70">
        <f>(T323+T324+T334+T335)*'DATA - P&amp;L'!$C$10*'DATA - P&amp;L'!$C$55</f>
        <v>0</v>
      </c>
      <c r="U415" s="70">
        <f>(U323+U324+U334+U335)*'DATA - P&amp;L'!$C$10*'DATA - P&amp;L'!$C$55</f>
        <v>0</v>
      </c>
      <c r="V415" s="70">
        <f>(V323+V324+V334+V335)*'DATA - P&amp;L'!$C$10*'DATA - P&amp;L'!$C$55</f>
        <v>0</v>
      </c>
      <c r="W415" s="70">
        <f>(W323+W324+W334+W335)*'DATA - P&amp;L'!$C$10*'DATA - P&amp;L'!$C$55</f>
        <v>0</v>
      </c>
      <c r="X415" s="70">
        <f>(X323+X324+X334+X335)*'DATA - P&amp;L'!$C$10*'DATA - P&amp;L'!$C$55</f>
        <v>0</v>
      </c>
      <c r="Y415" s="70">
        <f>(Y323+Y324+Y334+Y335)*'DATA - P&amp;L'!$C$10*'DATA - P&amp;L'!$C$55</f>
        <v>0</v>
      </c>
      <c r="Z415" s="70">
        <f>(Z323+Z324+Z334+Z335)*'DATA - P&amp;L'!$C$10*'DATA - P&amp;L'!$C$55</f>
        <v>0</v>
      </c>
      <c r="AA415" s="70">
        <f>(AA323+AA324+AA334+AA335)*'DATA - P&amp;L'!$C$10*'DATA - P&amp;L'!$C$55</f>
        <v>0</v>
      </c>
      <c r="AB415" s="70">
        <f>(AB323+AB324+AB334+AB335)*'DATA - P&amp;L'!$C$10*'DATA - P&amp;L'!$C$55</f>
        <v>0</v>
      </c>
      <c r="AC415" s="70">
        <f>(AC323+AC324+AC334+AC335)*'DATA - P&amp;L'!$C$10*'DATA - P&amp;L'!$C$55</f>
        <v>0</v>
      </c>
      <c r="AD415" s="70">
        <f>(AD323+AD324+AD334+AD335)*'DATA - P&amp;L'!$C$10*'DATA - P&amp;L'!$C$55</f>
        <v>0</v>
      </c>
      <c r="AE415" s="74">
        <f>(AE323+AE324+AE334+AE335)*'DATA - P&amp;L'!$C$10*'DATA - P&amp;L'!$C$55</f>
        <v>0</v>
      </c>
      <c r="AF415" s="87">
        <f t="shared" si="124"/>
        <v>0</v>
      </c>
    </row>
    <row r="416" outlineLevel="1">
      <c r="A416" s="101" t="s">
        <v>825</v>
      </c>
      <c r="B416" s="70">
        <f>((B301+B302+B310+B311)*'DATA - P&amp;L'!$C$13)*'DATA - P&amp;L'!$C$55</f>
        <v>0</v>
      </c>
      <c r="C416" s="70">
        <f>((C301+C302+C310+C311)*'DATA - P&amp;L'!$C$13)*'DATA - P&amp;L'!$C$55</f>
        <v>0</v>
      </c>
      <c r="D416" s="70">
        <f>((D301+D302+D310+D311)*'DATA - P&amp;L'!$C$13)*'DATA - P&amp;L'!$C$55</f>
        <v>0</v>
      </c>
      <c r="E416" s="70">
        <f>((E301+E302+E310+E311)*'DATA - P&amp;L'!$C$13)*'DATA - P&amp;L'!$C$55</f>
        <v>0</v>
      </c>
      <c r="F416" s="70">
        <f>((F301+F302+F310+F311)*'DATA - P&amp;L'!$C$13)*'DATA - P&amp;L'!$C$55</f>
        <v>0</v>
      </c>
      <c r="G416" s="70">
        <f>((G301+G302+G310+G311)*'DATA - P&amp;L'!$C$13)*'DATA - P&amp;L'!$C$55</f>
        <v>0</v>
      </c>
      <c r="H416" s="70">
        <f>((H301+H302+H310+H311)*'DATA - P&amp;L'!$C$13)*'DATA - P&amp;L'!$C$55</f>
        <v>0</v>
      </c>
      <c r="I416" s="70">
        <f>((I301+I302+I310+I311)*'DATA - P&amp;L'!$C$13)*'DATA - P&amp;L'!$C$55</f>
        <v>0</v>
      </c>
      <c r="J416" s="70">
        <f>((J301+J302+J310+J311)*'DATA - P&amp;L'!$C$13)*'DATA - P&amp;L'!$C$55</f>
        <v>0</v>
      </c>
      <c r="K416" s="70">
        <f>((K301+K302+K310+K311)*'DATA - P&amp;L'!$C$13)*'DATA - P&amp;L'!$C$55</f>
        <v>0</v>
      </c>
      <c r="L416" s="70">
        <f>((L301+L302+L310+L311)*'DATA - P&amp;L'!$C$13)*'DATA - P&amp;L'!$C$55</f>
        <v>0</v>
      </c>
      <c r="M416" s="70">
        <f>((M301+M302+M310+M311)*'DATA - P&amp;L'!$C$13)*'DATA - P&amp;L'!$C$55</f>
        <v>0</v>
      </c>
      <c r="N416" s="70">
        <f>((N301+N302+N310+N311)*'DATA - P&amp;L'!$C$13)*'DATA - P&amp;L'!$C$55</f>
        <v>0</v>
      </c>
      <c r="O416" s="70">
        <f>((O301+O302+O310+O311)*'DATA - P&amp;L'!$C$13)*'DATA - P&amp;L'!$C$55</f>
        <v>0</v>
      </c>
      <c r="P416" s="70">
        <f>((P301+P302+P310+P311)*'DATA - P&amp;L'!$C$13)*'DATA - P&amp;L'!$C$55</f>
        <v>0</v>
      </c>
      <c r="Q416" s="70">
        <f>((Q301+Q302+Q310+Q311)*'DATA - P&amp;L'!$C$13)*'DATA - P&amp;L'!$C$55</f>
        <v>0</v>
      </c>
      <c r="R416" s="70">
        <f>((R301+R302+R310+R311)*'DATA - P&amp;L'!$C$13)*'DATA - P&amp;L'!$C$55</f>
        <v>0</v>
      </c>
      <c r="S416" s="70">
        <f>((S301+S302+S310+S311)*'DATA - P&amp;L'!$C$13)*'DATA - P&amp;L'!$C$55</f>
        <v>0</v>
      </c>
      <c r="T416" s="70">
        <f>((T301+T302+T310+T311)*'DATA - P&amp;L'!$C$13)*'DATA - P&amp;L'!$C$55</f>
        <v>0</v>
      </c>
      <c r="U416" s="70">
        <f>((U301+U302+U310+U311)*'DATA - P&amp;L'!$C$13)*'DATA - P&amp;L'!$C$55</f>
        <v>0</v>
      </c>
      <c r="V416" s="70">
        <f>((V301+V302+V310+V311)*'DATA - P&amp;L'!$C$13)*'DATA - P&amp;L'!$C$55</f>
        <v>0</v>
      </c>
      <c r="W416" s="70">
        <f>((W301+W302+W310+W311)*'DATA - P&amp;L'!$C$13)*'DATA - P&amp;L'!$C$55</f>
        <v>0</v>
      </c>
      <c r="X416" s="70">
        <f>((X301+X302+X310+X311)*'DATA - P&amp;L'!$C$13)*'DATA - P&amp;L'!$C$55</f>
        <v>0</v>
      </c>
      <c r="Y416" s="70">
        <f>((Y301+Y302+Y310+Y311)*'DATA - P&amp;L'!$C$13)*'DATA - P&amp;L'!$C$55</f>
        <v>0</v>
      </c>
      <c r="Z416" s="70">
        <f>((Z301+Z302+Z310+Z311)*'DATA - P&amp;L'!$C$13)*'DATA - P&amp;L'!$C$55</f>
        <v>0</v>
      </c>
      <c r="AA416" s="70">
        <f>((AA301+AA302+AA310+AA311)*'DATA - P&amp;L'!$C$13)*'DATA - P&amp;L'!$C$55</f>
        <v>0</v>
      </c>
      <c r="AB416" s="70">
        <f>((AB301+AB302+AB310+AB311)*'DATA - P&amp;L'!$C$13)*'DATA - P&amp;L'!$C$55</f>
        <v>0</v>
      </c>
      <c r="AC416" s="70">
        <f>((AC301+AC302+AC310+AC311)*'DATA - P&amp;L'!$C$13)*'DATA - P&amp;L'!$C$55</f>
        <v>0</v>
      </c>
      <c r="AD416" s="70">
        <f>((AD301+AD302+AD310+AD311)*'DATA - P&amp;L'!$C$13)*'DATA - P&amp;L'!$C$55</f>
        <v>0</v>
      </c>
      <c r="AE416" s="74">
        <f>((AE301+AE302+AE310+AE311)*'DATA - P&amp;L'!$C$13)*'DATA - P&amp;L'!$C$55</f>
        <v>0</v>
      </c>
      <c r="AF416" s="87">
        <f t="shared" si="124"/>
        <v>0</v>
      </c>
    </row>
    <row r="417" outlineLevel="1">
      <c r="A417" s="101" t="s">
        <v>826</v>
      </c>
      <c r="B417" s="70">
        <f>((B303+B312)*'DATA - P&amp;L'!$C$14)*'DATA - P&amp;L'!$C$55</f>
        <v>0</v>
      </c>
      <c r="C417" s="70">
        <f>((C303+C312)*'DATA - P&amp;L'!$C$14)*'DATA - P&amp;L'!$C$55</f>
        <v>0</v>
      </c>
      <c r="D417" s="70">
        <f>((D303+D312)*'DATA - P&amp;L'!$C$14)*'DATA - P&amp;L'!$C$55</f>
        <v>0</v>
      </c>
      <c r="E417" s="70">
        <f>((E303+E312)*'DATA - P&amp;L'!$C$14)*'DATA - P&amp;L'!$C$55</f>
        <v>0</v>
      </c>
      <c r="F417" s="70">
        <f>((F303+F312)*'DATA - P&amp;L'!$C$14)*'DATA - P&amp;L'!$C$55</f>
        <v>0</v>
      </c>
      <c r="G417" s="70">
        <f>((G303+G312)*'DATA - P&amp;L'!$C$14)*'DATA - P&amp;L'!$C$55</f>
        <v>0</v>
      </c>
      <c r="H417" s="70">
        <f>((H303+H312)*'DATA - P&amp;L'!$C$14)*'DATA - P&amp;L'!$C$55</f>
        <v>0</v>
      </c>
      <c r="I417" s="70">
        <f>((I303+I312)*'DATA - P&amp;L'!$C$14)*'DATA - P&amp;L'!$C$55</f>
        <v>0</v>
      </c>
      <c r="J417" s="70">
        <f>((J303+J312)*'DATA - P&amp;L'!$C$14)*'DATA - P&amp;L'!$C$55</f>
        <v>0</v>
      </c>
      <c r="K417" s="70">
        <f>((K303+K312)*'DATA - P&amp;L'!$C$14)*'DATA - P&amp;L'!$C$55</f>
        <v>0</v>
      </c>
      <c r="L417" s="70">
        <f>((L303+L312)*'DATA - P&amp;L'!$C$14)*'DATA - P&amp;L'!$C$55</f>
        <v>0</v>
      </c>
      <c r="M417" s="70">
        <f>((M303+M312)*'DATA - P&amp;L'!$C$14)*'DATA - P&amp;L'!$C$55</f>
        <v>0</v>
      </c>
      <c r="N417" s="70">
        <f>((N303+N312)*'DATA - P&amp;L'!$C$14)*'DATA - P&amp;L'!$C$55</f>
        <v>0</v>
      </c>
      <c r="O417" s="70">
        <f>((O303+O312)*'DATA - P&amp;L'!$C$14)*'DATA - P&amp;L'!$C$55</f>
        <v>0</v>
      </c>
      <c r="P417" s="70">
        <f>((P303+P312)*'DATA - P&amp;L'!$C$14)*'DATA - P&amp;L'!$C$55</f>
        <v>0</v>
      </c>
      <c r="Q417" s="70">
        <f>((Q303+Q312)*'DATA - P&amp;L'!$C$14)*'DATA - P&amp;L'!$C$55</f>
        <v>0</v>
      </c>
      <c r="R417" s="70">
        <f>((R303+R312)*'DATA - P&amp;L'!$C$14)*'DATA - P&amp;L'!$C$55</f>
        <v>0</v>
      </c>
      <c r="S417" s="70">
        <f>((S303+S312)*'DATA - P&amp;L'!$C$14)*'DATA - P&amp;L'!$C$55</f>
        <v>0</v>
      </c>
      <c r="T417" s="70">
        <f>((T303+T312)*'DATA - P&amp;L'!$C$14)*'DATA - P&amp;L'!$C$55</f>
        <v>0</v>
      </c>
      <c r="U417" s="70">
        <f>((U303+U312)*'DATA - P&amp;L'!$C$14)*'DATA - P&amp;L'!$C$55</f>
        <v>0</v>
      </c>
      <c r="V417" s="70">
        <f>((V303+V312)*'DATA - P&amp;L'!$C$14)*'DATA - P&amp;L'!$C$55</f>
        <v>0</v>
      </c>
      <c r="W417" s="70">
        <f>((W303+W312)*'DATA - P&amp;L'!$C$14)*'DATA - P&amp;L'!$C$55</f>
        <v>0</v>
      </c>
      <c r="X417" s="70">
        <f>((X303+X312)*'DATA - P&amp;L'!$C$14)*'DATA - P&amp;L'!$C$55</f>
        <v>0</v>
      </c>
      <c r="Y417" s="70">
        <f>((Y303+Y312)*'DATA - P&amp;L'!$C$14)*'DATA - P&amp;L'!$C$55</f>
        <v>0</v>
      </c>
      <c r="Z417" s="70">
        <f>((Z303+Z312)*'DATA - P&amp;L'!$C$14)*'DATA - P&amp;L'!$C$55</f>
        <v>0</v>
      </c>
      <c r="AA417" s="70">
        <f>((AA303+AA312)*'DATA - P&amp;L'!$C$14)*'DATA - P&amp;L'!$C$55</f>
        <v>0</v>
      </c>
      <c r="AB417" s="70">
        <f>((AB303+AB312)*'DATA - P&amp;L'!$C$14)*'DATA - P&amp;L'!$C$55</f>
        <v>0</v>
      </c>
      <c r="AC417" s="70">
        <f>((AC303+AC312)*'DATA - P&amp;L'!$C$14)*'DATA - P&amp;L'!$C$55</f>
        <v>0</v>
      </c>
      <c r="AD417" s="70">
        <f>((AD303+AD312)*'DATA - P&amp;L'!$C$14)*'DATA - P&amp;L'!$C$55</f>
        <v>0</v>
      </c>
      <c r="AE417" s="74">
        <f>((AE303+AE312)*'DATA - P&amp;L'!$C$14)*'DATA - P&amp;L'!$C$55</f>
        <v>0</v>
      </c>
      <c r="AF417" s="87">
        <f t="shared" si="124"/>
        <v>0</v>
      </c>
    </row>
    <row r="418" outlineLevel="1">
      <c r="A418" s="101" t="s">
        <v>400</v>
      </c>
      <c r="B418" s="70">
        <f>((B313*'DATA - P&amp;L'!$C$38)+(B314*'DATA - P&amp;L'!$C$39))*'DATA - P&amp;L'!$C$55</f>
        <v>0</v>
      </c>
      <c r="C418" s="70">
        <f>((C313*'DATA - P&amp;L'!$C$38)+(C314*'DATA - P&amp;L'!$C$39))*'DATA - P&amp;L'!$C$55</f>
        <v>0</v>
      </c>
      <c r="D418" s="70">
        <f>((D313*'DATA - P&amp;L'!$C$38)+(D314*'DATA - P&amp;L'!$C$39))*'DATA - P&amp;L'!$C$55</f>
        <v>0</v>
      </c>
      <c r="E418" s="70">
        <f>((E313*'DATA - P&amp;L'!$C$38)+(E314*'DATA - P&amp;L'!$C$39))*'DATA - P&amp;L'!$C$55</f>
        <v>0</v>
      </c>
      <c r="F418" s="70">
        <f>((F313*'DATA - P&amp;L'!$C$38)+(F314*'DATA - P&amp;L'!$C$39))*'DATA - P&amp;L'!$C$55</f>
        <v>0</v>
      </c>
      <c r="G418" s="70">
        <f>((G313*'DATA - P&amp;L'!$C$38)+(G314*'DATA - P&amp;L'!$C$39))*'DATA - P&amp;L'!$C$55</f>
        <v>0</v>
      </c>
      <c r="H418" s="70">
        <f>((H313*'DATA - P&amp;L'!$C$38)+(H314*'DATA - P&amp;L'!$C$39))*'DATA - P&amp;L'!$C$55</f>
        <v>0</v>
      </c>
      <c r="I418" s="70">
        <f>((I313*'DATA - P&amp;L'!$C$38)+(I314*'DATA - P&amp;L'!$C$39))*'DATA - P&amp;L'!$C$55</f>
        <v>0</v>
      </c>
      <c r="J418" s="70">
        <f>((J313*'DATA - P&amp;L'!$C$38)+(J314*'DATA - P&amp;L'!$C$39))*'DATA - P&amp;L'!$C$55</f>
        <v>0</v>
      </c>
      <c r="K418" s="70">
        <f>((K313*'DATA - P&amp;L'!$C$38)+(K314*'DATA - P&amp;L'!$C$39))*'DATA - P&amp;L'!$C$55</f>
        <v>0</v>
      </c>
      <c r="L418" s="70">
        <f>((L313*'DATA - P&amp;L'!$C$38)+(L314*'DATA - P&amp;L'!$C$39))*'DATA - P&amp;L'!$C$55</f>
        <v>14.328</v>
      </c>
      <c r="M418" s="70">
        <f>((M313*'DATA - P&amp;L'!$C$38)+(M314*'DATA - P&amp;L'!$C$39))*'DATA - P&amp;L'!$C$55</f>
        <v>10.746</v>
      </c>
      <c r="N418" s="70">
        <f>((N313*'DATA - P&amp;L'!$C$38)+(N314*'DATA - P&amp;L'!$C$39))*'DATA - P&amp;L'!$C$55</f>
        <v>0</v>
      </c>
      <c r="O418" s="70">
        <f>((O313*'DATA - P&amp;L'!$C$38)+(O314*'DATA - P&amp;L'!$C$39))*'DATA - P&amp;L'!$C$55</f>
        <v>0</v>
      </c>
      <c r="P418" s="70">
        <f>((P313*'DATA - P&amp;L'!$C$38)+(P314*'DATA - P&amp;L'!$C$39))*'DATA - P&amp;L'!$C$55</f>
        <v>0</v>
      </c>
      <c r="Q418" s="70">
        <f>((Q313*'DATA - P&amp;L'!$C$38)+(Q314*'DATA - P&amp;L'!$C$39))*'DATA - P&amp;L'!$C$55</f>
        <v>0</v>
      </c>
      <c r="R418" s="70">
        <f>((R313*'DATA - P&amp;L'!$C$38)+(R314*'DATA - P&amp;L'!$C$39))*'DATA - P&amp;L'!$C$55</f>
        <v>0</v>
      </c>
      <c r="S418" s="70">
        <f>((S313*'DATA - P&amp;L'!$C$38)+(S314*'DATA - P&amp;L'!$C$39))*'DATA - P&amp;L'!$C$55</f>
        <v>0</v>
      </c>
      <c r="T418" s="70">
        <f>((T313*'DATA - P&amp;L'!$C$38)+(T314*'DATA - P&amp;L'!$C$39))*'DATA - P&amp;L'!$C$55</f>
        <v>0</v>
      </c>
      <c r="U418" s="70">
        <f>((U313*'DATA - P&amp;L'!$C$38)+(U314*'DATA - P&amp;L'!$C$39))*'DATA - P&amp;L'!$C$55</f>
        <v>0</v>
      </c>
      <c r="V418" s="70">
        <f>((V313*'DATA - P&amp;L'!$C$38)+(V314*'DATA - P&amp;L'!$C$39))*'DATA - P&amp;L'!$C$55</f>
        <v>0</v>
      </c>
      <c r="W418" s="70">
        <f>((W313*'DATA - P&amp;L'!$C$38)+(W314*'DATA - P&amp;L'!$C$39))*'DATA - P&amp;L'!$C$55</f>
        <v>1.194</v>
      </c>
      <c r="X418" s="70">
        <f>((X313*'DATA - P&amp;L'!$C$38)+(X314*'DATA - P&amp;L'!$C$39))*'DATA - P&amp;L'!$C$55</f>
        <v>0</v>
      </c>
      <c r="Y418" s="70">
        <f>((Y313*'DATA - P&amp;L'!$C$38)+(Y314*'DATA - P&amp;L'!$C$39))*'DATA - P&amp;L'!$C$55</f>
        <v>0</v>
      </c>
      <c r="Z418" s="70">
        <f>((Z313*'DATA - P&amp;L'!$C$38)+(Z314*'DATA - P&amp;L'!$C$39))*'DATA - P&amp;L'!$C$55</f>
        <v>1.194</v>
      </c>
      <c r="AA418" s="70">
        <f>((AA313*'DATA - P&amp;L'!$C$38)+(AA314*'DATA - P&amp;L'!$C$39))*'DATA - P&amp;L'!$C$55</f>
        <v>0</v>
      </c>
      <c r="AB418" s="70">
        <f>((AB313*'DATA - P&amp;L'!$C$38)+(AB314*'DATA - P&amp;L'!$C$39))*'DATA - P&amp;L'!$C$55</f>
        <v>0</v>
      </c>
      <c r="AC418" s="70">
        <f>((AC313*'DATA - P&amp;L'!$C$38)+(AC314*'DATA - P&amp;L'!$C$39))*'DATA - P&amp;L'!$C$55</f>
        <v>0</v>
      </c>
      <c r="AD418" s="70">
        <f>((AD313*'DATA - P&amp;L'!$C$38)+(AD314*'DATA - P&amp;L'!$C$39))*'DATA - P&amp;L'!$C$55</f>
        <v>0</v>
      </c>
      <c r="AE418" s="74">
        <f>((AE313*'DATA - P&amp;L'!$C$38)+(AE314*'DATA - P&amp;L'!$C$39))*'DATA - P&amp;L'!$C$55</f>
        <v>0</v>
      </c>
      <c r="AF418" s="87">
        <f t="shared" si="124"/>
        <v>27.462</v>
      </c>
    </row>
    <row r="419" outlineLevel="1">
      <c r="A419" s="101" t="s">
        <v>465</v>
      </c>
      <c r="B419" s="70">
        <f>((B325*'DATA - P&amp;L'!$D$38)+(B336*'DATA - P&amp;L'!$D$39))*'DATA - P&amp;L'!$C$55</f>
        <v>0</v>
      </c>
      <c r="C419" s="70">
        <f>((C325*'DATA - P&amp;L'!$D$38)+(C336*'DATA - P&amp;L'!$D$39))*'DATA - P&amp;L'!$C$55</f>
        <v>0</v>
      </c>
      <c r="D419" s="70">
        <f>((D325*'DATA - P&amp;L'!$D$38)+(D336*'DATA - P&amp;L'!$D$39))*'DATA - P&amp;L'!$C$55</f>
        <v>0</v>
      </c>
      <c r="E419" s="70">
        <f>((E325*'DATA - P&amp;L'!$D$38)+(E336*'DATA - P&amp;L'!$D$39))*'DATA - P&amp;L'!$C$55</f>
        <v>0</v>
      </c>
      <c r="F419" s="70">
        <f>((F325*'DATA - P&amp;L'!$D$38)+(F336*'DATA - P&amp;L'!$D$39))*'DATA - P&amp;L'!$C$55</f>
        <v>0</v>
      </c>
      <c r="G419" s="70">
        <f>((G325*'DATA - P&amp;L'!$D$38)+(G336*'DATA - P&amp;L'!$D$39))*'DATA - P&amp;L'!$C$55</f>
        <v>0</v>
      </c>
      <c r="H419" s="70">
        <f>((H325*'DATA - P&amp;L'!$D$38)+(H336*'DATA - P&amp;L'!$D$39))*'DATA - P&amp;L'!$C$55</f>
        <v>0</v>
      </c>
      <c r="I419" s="70">
        <f>((I325*'DATA - P&amp;L'!$D$38)+(I336*'DATA - P&amp;L'!$D$39))*'DATA - P&amp;L'!$C$55</f>
        <v>0</v>
      </c>
      <c r="J419" s="70">
        <f>((J325*'DATA - P&amp;L'!$D$38)+(J336*'DATA - P&amp;L'!$D$39))*'DATA - P&amp;L'!$C$55</f>
        <v>0</v>
      </c>
      <c r="K419" s="70">
        <f>((K325*'DATA - P&amp;L'!$D$38)+(K336*'DATA - P&amp;L'!$D$39))*'DATA - P&amp;L'!$C$55</f>
        <v>0</v>
      </c>
      <c r="L419" s="70">
        <f>((L325*'DATA - P&amp;L'!$D$38)+(L336*'DATA - P&amp;L'!$D$39))*'DATA - P&amp;L'!$C$55</f>
        <v>1.0045</v>
      </c>
      <c r="M419" s="70">
        <f>((M325*'DATA - P&amp;L'!$D$38)+(M336*'DATA - P&amp;L'!$D$39))*'DATA - P&amp;L'!$C$55</f>
        <v>0.864</v>
      </c>
      <c r="N419" s="70">
        <f>((N325*'DATA - P&amp;L'!$D$38)+(N336*'DATA - P&amp;L'!$D$39))*'DATA - P&amp;L'!$C$55</f>
        <v>0</v>
      </c>
      <c r="O419" s="70">
        <f>((O325*'DATA - P&amp;L'!$D$38)+(O336*'DATA - P&amp;L'!$D$39))*'DATA - P&amp;L'!$C$55</f>
        <v>0</v>
      </c>
      <c r="P419" s="70">
        <f>((P325*'DATA - P&amp;L'!$D$38)+(P336*'DATA - P&amp;L'!$D$39))*'DATA - P&amp;L'!$C$55</f>
        <v>0</v>
      </c>
      <c r="Q419" s="70">
        <f>((Q325*'DATA - P&amp;L'!$D$38)+(Q336*'DATA - P&amp;L'!$D$39))*'DATA - P&amp;L'!$C$55</f>
        <v>0</v>
      </c>
      <c r="R419" s="70">
        <f>((R325*'DATA - P&amp;L'!$D$38)+(R336*'DATA - P&amp;L'!$D$39))*'DATA - P&amp;L'!$C$55</f>
        <v>0</v>
      </c>
      <c r="S419" s="70">
        <f>((S325*'DATA - P&amp;L'!$D$38)+(S336*'DATA - P&amp;L'!$D$39))*'DATA - P&amp;L'!$C$55</f>
        <v>0.1435</v>
      </c>
      <c r="T419" s="70">
        <f>((T325*'DATA - P&amp;L'!$D$38)+(T336*'DATA - P&amp;L'!$D$39))*'DATA - P&amp;L'!$C$55</f>
        <v>0</v>
      </c>
      <c r="U419" s="70">
        <f>((U325*'DATA - P&amp;L'!$D$38)+(U336*'DATA - P&amp;L'!$D$39))*'DATA - P&amp;L'!$C$55</f>
        <v>0</v>
      </c>
      <c r="V419" s="70">
        <f>((V325*'DATA - P&amp;L'!$D$38)+(V336*'DATA - P&amp;L'!$D$39))*'DATA - P&amp;L'!$C$55</f>
        <v>0</v>
      </c>
      <c r="W419" s="70">
        <f>((W325*'DATA - P&amp;L'!$D$38)+(W336*'DATA - P&amp;L'!$D$39))*'DATA - P&amp;L'!$C$55</f>
        <v>0</v>
      </c>
      <c r="X419" s="70">
        <f>((X325*'DATA - P&amp;L'!$D$38)+(X336*'DATA - P&amp;L'!$D$39))*'DATA - P&amp;L'!$C$55</f>
        <v>0</v>
      </c>
      <c r="Y419" s="70">
        <f>((Y325*'DATA - P&amp;L'!$D$38)+(Y336*'DATA - P&amp;L'!$D$39))*'DATA - P&amp;L'!$C$55</f>
        <v>0</v>
      </c>
      <c r="Z419" s="70">
        <f>((Z325*'DATA - P&amp;L'!$D$38)+(Z336*'DATA - P&amp;L'!$D$39))*'DATA - P&amp;L'!$C$55</f>
        <v>2.87</v>
      </c>
      <c r="AA419" s="70">
        <f>((AA325*'DATA - P&amp;L'!$D$38)+(AA336*'DATA - P&amp;L'!$D$39))*'DATA - P&amp;L'!$C$55</f>
        <v>1.584</v>
      </c>
      <c r="AB419" s="70">
        <f>((AB325*'DATA - P&amp;L'!$D$38)+(AB336*'DATA - P&amp;L'!$D$39))*'DATA - P&amp;L'!$C$55</f>
        <v>0</v>
      </c>
      <c r="AC419" s="70">
        <f>((AC325*'DATA - P&amp;L'!$D$38)+(AC336*'DATA - P&amp;L'!$D$39))*'DATA - P&amp;L'!$C$55</f>
        <v>0</v>
      </c>
      <c r="AD419" s="70">
        <f>((AD325*'DATA - P&amp;L'!$D$38)+(AD336*'DATA - P&amp;L'!$D$39))*'DATA - P&amp;L'!$C$55</f>
        <v>0</v>
      </c>
      <c r="AE419" s="74">
        <f>((AE325*'DATA - P&amp;L'!$D$38)+(AE336*'DATA - P&amp;L'!$D$39))*'DATA - P&amp;L'!$C$55</f>
        <v>0</v>
      </c>
      <c r="AF419" s="87">
        <f t="shared" si="124"/>
        <v>6.466</v>
      </c>
    </row>
    <row r="420" outlineLevel="1">
      <c r="A420" s="101" t="s">
        <v>833</v>
      </c>
      <c r="B420" s="115">
        <f>((B301+B302)*'DATA - P&amp;L'!$C$38)+((B310+B311)*'DATA - P&amp;L'!$C$39)*'DATA - P&amp;L'!$C$55</f>
        <v>0</v>
      </c>
      <c r="C420" s="115">
        <f>((C301+C302)*'DATA - P&amp;L'!$C$38)+((C310+C311)*'DATA - P&amp;L'!$C$39)*'DATA - P&amp;L'!$C$55</f>
        <v>0</v>
      </c>
      <c r="D420" s="115">
        <f>((D301+D302)*'DATA - P&amp;L'!$C$38)+((D310+D311)*'DATA - P&amp;L'!$C$39)*'DATA - P&amp;L'!$C$55</f>
        <v>0</v>
      </c>
      <c r="E420" s="115">
        <f>((E301+E302)*'DATA - P&amp;L'!$C$38)+((E310+E311)*'DATA - P&amp;L'!$C$39)*'DATA - P&amp;L'!$C$55</f>
        <v>0</v>
      </c>
      <c r="F420" s="115">
        <f>((F301+F302)*'DATA - P&amp;L'!$C$38)+((F310+F311)*'DATA - P&amp;L'!$C$39)*'DATA - P&amp;L'!$C$55</f>
        <v>0</v>
      </c>
      <c r="G420" s="115">
        <f>((G301+G302)*'DATA - P&amp;L'!$C$38)+((G310+G311)*'DATA - P&amp;L'!$C$39)*'DATA - P&amp;L'!$C$55</f>
        <v>0</v>
      </c>
      <c r="H420" s="115">
        <f>((H301+H302)*'DATA - P&amp;L'!$C$38)+((H310+H311)*'DATA - P&amp;L'!$C$39)*'DATA - P&amp;L'!$C$55</f>
        <v>0</v>
      </c>
      <c r="I420" s="115">
        <f>((I301+I302)*'DATA - P&amp;L'!$C$38)+((I310+I311)*'DATA - P&amp;L'!$C$39)*'DATA - P&amp;L'!$C$55</f>
        <v>0</v>
      </c>
      <c r="J420" s="115">
        <f>((J301+J302)*'DATA - P&amp;L'!$C$38)+((J310+J311)*'DATA - P&amp;L'!$C$39)*'DATA - P&amp;L'!$C$55</f>
        <v>0</v>
      </c>
      <c r="K420" s="115">
        <f>((K301+K302)*'DATA - P&amp;L'!$C$38)+((K310+K311)*'DATA - P&amp;L'!$C$39)*'DATA - P&amp;L'!$C$55</f>
        <v>0</v>
      </c>
      <c r="L420" s="115">
        <f>((L301+L302)*'DATA - P&amp;L'!$C$38)+((L310+L311)*'DATA - P&amp;L'!$C$39)*'DATA - P&amp;L'!$C$55</f>
        <v>0</v>
      </c>
      <c r="M420" s="115">
        <f>((M301+M302)*'DATA - P&amp;L'!$C$38)+((M310+M311)*'DATA - P&amp;L'!$C$39)*'DATA - P&amp;L'!$C$55</f>
        <v>0</v>
      </c>
      <c r="N420" s="115">
        <f>((N301+N302)*'DATA - P&amp;L'!$C$38)+((N310+N311)*'DATA - P&amp;L'!$C$39)*'DATA - P&amp;L'!$C$55</f>
        <v>0</v>
      </c>
      <c r="O420" s="115">
        <f>((O301+O302)*'DATA - P&amp;L'!$C$38)+((O310+O311)*'DATA - P&amp;L'!$C$39)*'DATA - P&amp;L'!$C$55</f>
        <v>0</v>
      </c>
      <c r="P420" s="115">
        <f>((P301+P302)*'DATA - P&amp;L'!$C$38)+((P310+P311)*'DATA - P&amp;L'!$C$39)*'DATA - P&amp;L'!$C$55</f>
        <v>0</v>
      </c>
      <c r="Q420" s="115">
        <f>((Q301+Q302)*'DATA - P&amp;L'!$C$38)+((Q310+Q311)*'DATA - P&amp;L'!$C$39)*'DATA - P&amp;L'!$C$55</f>
        <v>0</v>
      </c>
      <c r="R420" s="115">
        <f>((R301+R302)*'DATA - P&amp;L'!$C$38)+((R310+R311)*'DATA - P&amp;L'!$C$39)*'DATA - P&amp;L'!$C$55</f>
        <v>0</v>
      </c>
      <c r="S420" s="115">
        <f>((S301+S302)*'DATA - P&amp;L'!$C$38)+((S310+S311)*'DATA - P&amp;L'!$C$39)*'DATA - P&amp;L'!$C$55</f>
        <v>0</v>
      </c>
      <c r="T420" s="115">
        <f>((T301+T302)*'DATA - P&amp;L'!$C$38)+((T310+T311)*'DATA - P&amp;L'!$C$39)*'DATA - P&amp;L'!$C$55</f>
        <v>0</v>
      </c>
      <c r="U420" s="115">
        <f>((U301+U302)*'DATA - P&amp;L'!$C$38)+((U310+U311)*'DATA - P&amp;L'!$C$39)*'DATA - P&amp;L'!$C$55</f>
        <v>0</v>
      </c>
      <c r="V420" s="115">
        <f>((V301+V302)*'DATA - P&amp;L'!$C$38)+((V310+V311)*'DATA - P&amp;L'!$C$39)*'DATA - P&amp;L'!$C$55</f>
        <v>0</v>
      </c>
      <c r="W420" s="115">
        <f>((W301+W302)*'DATA - P&amp;L'!$C$38)+((W310+W311)*'DATA - P&amp;L'!$C$39)*'DATA - P&amp;L'!$C$55</f>
        <v>0</v>
      </c>
      <c r="X420" s="115">
        <f>((X301+X302)*'DATA - P&amp;L'!$C$38)+((X310+X311)*'DATA - P&amp;L'!$C$39)*'DATA - P&amp;L'!$C$55</f>
        <v>0</v>
      </c>
      <c r="Y420" s="115">
        <f>((Y301+Y302)*'DATA - P&amp;L'!$C$38)+((Y310+Y311)*'DATA - P&amp;L'!$C$39)*'DATA - P&amp;L'!$C$55</f>
        <v>0</v>
      </c>
      <c r="Z420" s="115">
        <f>((Z301+Z302)*'DATA - P&amp;L'!$C$38)+((Z310+Z311)*'DATA - P&amp;L'!$C$39)*'DATA - P&amp;L'!$C$55</f>
        <v>0</v>
      </c>
      <c r="AA420" s="115">
        <f>((AA301+AA302)*'DATA - P&amp;L'!$C$38)+((AA310+AA311)*'DATA - P&amp;L'!$C$39)*'DATA - P&amp;L'!$C$55</f>
        <v>0</v>
      </c>
      <c r="AB420" s="115">
        <f>((AB301+AB302)*'DATA - P&amp;L'!$C$38)+((AB310+AB311)*'DATA - P&amp;L'!$C$39)*'DATA - P&amp;L'!$C$55</f>
        <v>0</v>
      </c>
      <c r="AC420" s="115">
        <f>((AC301+AC302)*'DATA - P&amp;L'!$C$38)+((AC310+AC311)*'DATA - P&amp;L'!$C$39)*'DATA - P&amp;L'!$C$55</f>
        <v>0</v>
      </c>
      <c r="AD420" s="115">
        <f>((AD301+AD302)*'DATA - P&amp;L'!$C$38)+((AD310+AD311)*'DATA - P&amp;L'!$C$39)*'DATA - P&amp;L'!$C$55</f>
        <v>0</v>
      </c>
      <c r="AE420" s="903">
        <f>((AE301+AE302)*'DATA - P&amp;L'!$C$38)+((AE310+AE311)*'DATA - P&amp;L'!$C$39)*'DATA - P&amp;L'!$C$55</f>
        <v>0</v>
      </c>
      <c r="AF420" s="87">
        <f t="shared" si="124"/>
        <v>0</v>
      </c>
    </row>
    <row r="421" outlineLevel="1">
      <c r="A421" s="101" t="s">
        <v>834</v>
      </c>
      <c r="B421" s="115">
        <f>(B303*'DATA - P&amp;L'!$C$38)+(B312*'DATA - P&amp;L'!$C$39)*'DATA - P&amp;L'!$C$55</f>
        <v>0</v>
      </c>
      <c r="C421" s="115">
        <f>(C303*'DATA - P&amp;L'!$C$38)+(C312*'DATA - P&amp;L'!$C$39)*'DATA - P&amp;L'!$C$55</f>
        <v>0</v>
      </c>
      <c r="D421" s="115">
        <f>(D303*'DATA - P&amp;L'!$C$38)+(D312*'DATA - P&amp;L'!$C$39)*'DATA - P&amp;L'!$C$55</f>
        <v>0</v>
      </c>
      <c r="E421" s="115">
        <f>(E303*'DATA - P&amp;L'!$C$38)+(E312*'DATA - P&amp;L'!$C$39)*'DATA - P&amp;L'!$C$55</f>
        <v>0</v>
      </c>
      <c r="F421" s="115">
        <f>(F303*'DATA - P&amp;L'!$C$38)+(F312*'DATA - P&amp;L'!$C$39)*'DATA - P&amp;L'!$C$55</f>
        <v>0</v>
      </c>
      <c r="G421" s="115">
        <f>(G303*'DATA - P&amp;L'!$C$38)+(G312*'DATA - P&amp;L'!$C$39)*'DATA - P&amp;L'!$C$55</f>
        <v>0</v>
      </c>
      <c r="H421" s="115">
        <f>(H303*'DATA - P&amp;L'!$C$38)+(H312*'DATA - P&amp;L'!$C$39)*'DATA - P&amp;L'!$C$55</f>
        <v>0</v>
      </c>
      <c r="I421" s="115">
        <f>(I303*'DATA - P&amp;L'!$C$38)+(I312*'DATA - P&amp;L'!$C$39)*'DATA - P&amp;L'!$C$55</f>
        <v>0</v>
      </c>
      <c r="J421" s="115">
        <f>(J303*'DATA - P&amp;L'!$C$38)+(J312*'DATA - P&amp;L'!$C$39)*'DATA - P&amp;L'!$C$55</f>
        <v>0</v>
      </c>
      <c r="K421" s="115">
        <f>(K303*'DATA - P&amp;L'!$C$38)+(K312*'DATA - P&amp;L'!$C$39)*'DATA - P&amp;L'!$C$55</f>
        <v>0</v>
      </c>
      <c r="L421" s="115">
        <f>(L303*'DATA - P&amp;L'!$C$38)+(L312*'DATA - P&amp;L'!$C$39)*'DATA - P&amp;L'!$C$55</f>
        <v>0</v>
      </c>
      <c r="M421" s="115">
        <f>(M303*'DATA - P&amp;L'!$C$38)+(M312*'DATA - P&amp;L'!$C$39)*'DATA - P&amp;L'!$C$55</f>
        <v>0</v>
      </c>
      <c r="N421" s="115">
        <f>(N303*'DATA - P&amp;L'!$C$38)+(N312*'DATA - P&amp;L'!$C$39)*'DATA - P&amp;L'!$C$55</f>
        <v>0</v>
      </c>
      <c r="O421" s="115">
        <f>(O303*'DATA - P&amp;L'!$C$38)+(O312*'DATA - P&amp;L'!$C$39)*'DATA - P&amp;L'!$C$55</f>
        <v>0</v>
      </c>
      <c r="P421" s="115">
        <f>(P303*'DATA - P&amp;L'!$C$38)+(P312*'DATA - P&amp;L'!$C$39)*'DATA - P&amp;L'!$C$55</f>
        <v>0</v>
      </c>
      <c r="Q421" s="115">
        <f>(Q303*'DATA - P&amp;L'!$C$38)+(Q312*'DATA - P&amp;L'!$C$39)*'DATA - P&amp;L'!$C$55</f>
        <v>0</v>
      </c>
      <c r="R421" s="115">
        <f>(R303*'DATA - P&amp;L'!$C$38)+(R312*'DATA - P&amp;L'!$C$39)*'DATA - P&amp;L'!$C$55</f>
        <v>0</v>
      </c>
      <c r="S421" s="115">
        <f>(S303*'DATA - P&amp;L'!$C$38)+(S312*'DATA - P&amp;L'!$C$39)*'DATA - P&amp;L'!$C$55</f>
        <v>0</v>
      </c>
      <c r="T421" s="115">
        <f>(T303*'DATA - P&amp;L'!$C$38)+(T312*'DATA - P&amp;L'!$C$39)*'DATA - P&amp;L'!$C$55</f>
        <v>0</v>
      </c>
      <c r="U421" s="115">
        <f>(U303*'DATA - P&amp;L'!$C$38)+(U312*'DATA - P&amp;L'!$C$39)*'DATA - P&amp;L'!$C$55</f>
        <v>0</v>
      </c>
      <c r="V421" s="115">
        <f>(V303*'DATA - P&amp;L'!$C$38)+(V312*'DATA - P&amp;L'!$C$39)*'DATA - P&amp;L'!$C$55</f>
        <v>0</v>
      </c>
      <c r="W421" s="115">
        <f>(W303*'DATA - P&amp;L'!$C$38)+(W312*'DATA - P&amp;L'!$C$39)*'DATA - P&amp;L'!$C$55</f>
        <v>0</v>
      </c>
      <c r="X421" s="115">
        <f>(X303*'DATA - P&amp;L'!$C$38)+(X312*'DATA - P&amp;L'!$C$39)*'DATA - P&amp;L'!$C$55</f>
        <v>0</v>
      </c>
      <c r="Y421" s="115">
        <f>(Y303*'DATA - P&amp;L'!$C$38)+(Y312*'DATA - P&amp;L'!$C$39)*'DATA - P&amp;L'!$C$55</f>
        <v>0</v>
      </c>
      <c r="Z421" s="115">
        <f>(Z303*'DATA - P&amp;L'!$C$38)+(Z312*'DATA - P&amp;L'!$C$39)*'DATA - P&amp;L'!$C$55</f>
        <v>0</v>
      </c>
      <c r="AA421" s="115">
        <f>(AA303*'DATA - P&amp;L'!$C$38)+(AA312*'DATA - P&amp;L'!$C$39)*'DATA - P&amp;L'!$C$55</f>
        <v>0</v>
      </c>
      <c r="AB421" s="115">
        <f>(AB303*'DATA - P&amp;L'!$C$38)+(AB312*'DATA - P&amp;L'!$C$39)*'DATA - P&amp;L'!$C$55</f>
        <v>0</v>
      </c>
      <c r="AC421" s="115">
        <f>(AC303*'DATA - P&amp;L'!$C$38)+(AC312*'DATA - P&amp;L'!$C$39)*'DATA - P&amp;L'!$C$55</f>
        <v>0</v>
      </c>
      <c r="AD421" s="115">
        <f>(AD303*'DATA - P&amp;L'!$C$38)+(AD312*'DATA - P&amp;L'!$C$39)*'DATA - P&amp;L'!$C$55</f>
        <v>0</v>
      </c>
      <c r="AE421" s="903">
        <f>(AE303*'DATA - P&amp;L'!$C$38)+(AE312*'DATA - P&amp;L'!$C$39)*'DATA - P&amp;L'!$C$55</f>
        <v>0</v>
      </c>
      <c r="AF421" s="87">
        <f t="shared" si="124"/>
        <v>0</v>
      </c>
    </row>
    <row r="422" outlineLevel="1">
      <c r="A422" s="101" t="s">
        <v>835</v>
      </c>
      <c r="B422" s="70">
        <f>(B338*'DATA - P&amp;L'!$R$3)+('DATA - P&amp;L'!$R$4*B339)</f>
        <v>0</v>
      </c>
      <c r="C422" s="70">
        <f>(C338*'DATA - P&amp;L'!$R$3)+('DATA - P&amp;L'!$R$4*C339)</f>
        <v>0</v>
      </c>
      <c r="D422" s="70">
        <f>(D338*'DATA - P&amp;L'!$R$3)+('DATA - P&amp;L'!$R$4*D339)</f>
        <v>0</v>
      </c>
      <c r="E422" s="70">
        <f>(E338*'DATA - P&amp;L'!$R$3)+('DATA - P&amp;L'!$R$4*E339)</f>
        <v>0</v>
      </c>
      <c r="F422" s="70">
        <f>(F338*'DATA - P&amp;L'!$R$3)+('DATA - P&amp;L'!$R$4*F339)</f>
        <v>0</v>
      </c>
      <c r="G422" s="70">
        <f>(G338*'DATA - P&amp;L'!$R$3)+('DATA - P&amp;L'!$R$4*G339)</f>
        <v>0</v>
      </c>
      <c r="H422" s="70">
        <f>(H338*'DATA - P&amp;L'!$R$3)+('DATA - P&amp;L'!$R$4*H339)</f>
        <v>0</v>
      </c>
      <c r="I422" s="70">
        <f>(I338*'DATA - P&amp;L'!$R$3)+('DATA - P&amp;L'!$R$4*I339)</f>
        <v>0</v>
      </c>
      <c r="J422" s="70">
        <f>(J338*'DATA - P&amp;L'!$R$3)+('DATA - P&amp;L'!$R$4*J339)</f>
        <v>0</v>
      </c>
      <c r="K422" s="70">
        <f>(K338*'DATA - P&amp;L'!$R$3)+('DATA - P&amp;L'!$R$4*K339)</f>
        <v>0</v>
      </c>
      <c r="L422" s="70">
        <f>(L338*'DATA - P&amp;L'!$R$3)+('DATA - P&amp;L'!$R$4*L339)</f>
        <v>195</v>
      </c>
      <c r="M422" s="70">
        <f>(M338*'DATA - P&amp;L'!$R$3)+('DATA - P&amp;L'!$R$4*M339)</f>
        <v>390</v>
      </c>
      <c r="N422" s="70">
        <f>(N338*'DATA - P&amp;L'!$R$3)+('DATA - P&amp;L'!$R$4*N339)</f>
        <v>0</v>
      </c>
      <c r="O422" s="70">
        <f>(O338*'DATA - P&amp;L'!$R$3)+('DATA - P&amp;L'!$R$4*O339)</f>
        <v>0</v>
      </c>
      <c r="P422" s="70">
        <f>(P338*'DATA - P&amp;L'!$R$3)+('DATA - P&amp;L'!$R$4*P339)</f>
        <v>0</v>
      </c>
      <c r="Q422" s="70">
        <f>(Q338*'DATA - P&amp;L'!$R$3)+('DATA - P&amp;L'!$R$4*Q339)</f>
        <v>0</v>
      </c>
      <c r="R422" s="70">
        <f>(R338*'DATA - P&amp;L'!$R$3)+('DATA - P&amp;L'!$R$4*R339)</f>
        <v>0</v>
      </c>
      <c r="S422" s="70">
        <f>(S338*'DATA - P&amp;L'!$R$3)+('DATA - P&amp;L'!$R$4*S339)</f>
        <v>15</v>
      </c>
      <c r="T422" s="70">
        <f>(T338*'DATA - P&amp;L'!$R$3)+('DATA - P&amp;L'!$R$4*T339)</f>
        <v>0</v>
      </c>
      <c r="U422" s="70">
        <f>(U338*'DATA - P&amp;L'!$R$3)+('DATA - P&amp;L'!$R$4*U339)</f>
        <v>0</v>
      </c>
      <c r="V422" s="70">
        <f>(V338*'DATA - P&amp;L'!$R$3)+('DATA - P&amp;L'!$R$4*V339)</f>
        <v>0</v>
      </c>
      <c r="W422" s="70">
        <f>(W338*'DATA - P&amp;L'!$R$3)+('DATA - P&amp;L'!$R$4*W339)</f>
        <v>40</v>
      </c>
      <c r="X422" s="70">
        <f>(X338*'DATA - P&amp;L'!$R$3)+('DATA - P&amp;L'!$R$4*X339)</f>
        <v>0</v>
      </c>
      <c r="Y422" s="70">
        <f>(Y338*'DATA - P&amp;L'!$R$3)+('DATA - P&amp;L'!$R$4*Y339)</f>
        <v>0</v>
      </c>
      <c r="Z422" s="70">
        <f>(Z338*'DATA - P&amp;L'!$R$3)+('DATA - P&amp;L'!$R$4*Z339)</f>
        <v>300</v>
      </c>
      <c r="AA422" s="70">
        <f>(AA338*'DATA - P&amp;L'!$R$3)+('DATA - P&amp;L'!$R$4*AA339)</f>
        <v>440</v>
      </c>
      <c r="AB422" s="70">
        <f>(AB338*'DATA - P&amp;L'!$R$3)+('DATA - P&amp;L'!$R$4*AB339)</f>
        <v>0</v>
      </c>
      <c r="AC422" s="70">
        <f>(AC338*'DATA - P&amp;L'!$R$3)+('DATA - P&amp;L'!$R$4*AC339)</f>
        <v>0</v>
      </c>
      <c r="AD422" s="70">
        <f>(AD338*'DATA - P&amp;L'!$R$3)+('DATA - P&amp;L'!$R$4*AD339)</f>
        <v>0</v>
      </c>
      <c r="AE422" s="74">
        <f>(AE338*'DATA - P&amp;L'!$R$3)+('DATA - P&amp;L'!$R$4*AE339)</f>
        <v>0</v>
      </c>
      <c r="AF422" s="87">
        <f t="shared" si="124"/>
        <v>1380</v>
      </c>
    </row>
    <row r="423" outlineLevel="1">
      <c r="A423" s="603" t="s">
        <v>840</v>
      </c>
      <c r="B423" s="576">
        <f t="shared" ref="B423:AE423" si="129">sum(B424:B436)</f>
        <v>0</v>
      </c>
      <c r="C423" s="576">
        <f t="shared" si="129"/>
        <v>0</v>
      </c>
      <c r="D423" s="576">
        <f t="shared" si="129"/>
        <v>0</v>
      </c>
      <c r="E423" s="576">
        <f t="shared" si="129"/>
        <v>0</v>
      </c>
      <c r="F423" s="576">
        <f t="shared" si="129"/>
        <v>0</v>
      </c>
      <c r="G423" s="576">
        <f t="shared" si="129"/>
        <v>0</v>
      </c>
      <c r="H423" s="576">
        <f t="shared" si="129"/>
        <v>0</v>
      </c>
      <c r="I423" s="576">
        <f t="shared" si="129"/>
        <v>0</v>
      </c>
      <c r="J423" s="576">
        <f t="shared" si="129"/>
        <v>0</v>
      </c>
      <c r="K423" s="576">
        <f t="shared" si="129"/>
        <v>0</v>
      </c>
      <c r="L423" s="576">
        <f t="shared" si="129"/>
        <v>1354.4875</v>
      </c>
      <c r="M423" s="576">
        <f t="shared" si="129"/>
        <v>1022.85</v>
      </c>
      <c r="N423" s="576">
        <f t="shared" si="129"/>
        <v>0</v>
      </c>
      <c r="O423" s="576">
        <f t="shared" si="129"/>
        <v>0</v>
      </c>
      <c r="P423" s="576">
        <f t="shared" si="129"/>
        <v>0</v>
      </c>
      <c r="Q423" s="576">
        <f t="shared" si="129"/>
        <v>0</v>
      </c>
      <c r="R423" s="576">
        <f t="shared" si="129"/>
        <v>0</v>
      </c>
      <c r="S423" s="576">
        <f t="shared" si="129"/>
        <v>12.9585</v>
      </c>
      <c r="T423" s="576">
        <f t="shared" si="129"/>
        <v>0</v>
      </c>
      <c r="U423" s="576">
        <f t="shared" si="129"/>
        <v>0</v>
      </c>
      <c r="V423" s="576">
        <f t="shared" si="129"/>
        <v>0</v>
      </c>
      <c r="W423" s="576">
        <f t="shared" si="129"/>
        <v>103.154</v>
      </c>
      <c r="X423" s="576">
        <f t="shared" si="129"/>
        <v>0</v>
      </c>
      <c r="Y423" s="576">
        <f t="shared" si="129"/>
        <v>0</v>
      </c>
      <c r="Z423" s="576">
        <f t="shared" si="129"/>
        <v>482.554</v>
      </c>
      <c r="AA423" s="576">
        <f t="shared" si="129"/>
        <v>201.284</v>
      </c>
      <c r="AB423" s="576">
        <f t="shared" si="129"/>
        <v>0</v>
      </c>
      <c r="AC423" s="576">
        <f t="shared" si="129"/>
        <v>0</v>
      </c>
      <c r="AD423" s="576">
        <f t="shared" si="129"/>
        <v>0</v>
      </c>
      <c r="AE423" s="577">
        <f t="shared" si="129"/>
        <v>0</v>
      </c>
      <c r="AF423" s="87">
        <f>SUM(AF409:AF422)</f>
        <v>1670.6</v>
      </c>
    </row>
    <row r="424" outlineLevel="1">
      <c r="A424" s="101" t="s">
        <v>846</v>
      </c>
      <c r="B424" s="70">
        <f>B313*'DATA - P&amp;L'!$C$3</f>
        <v>0</v>
      </c>
      <c r="C424" s="70">
        <f>C313*'DATA - P&amp;L'!$C$3</f>
        <v>0</v>
      </c>
      <c r="D424" s="70">
        <f>D313*'DATA - P&amp;L'!$C$3</f>
        <v>0</v>
      </c>
      <c r="E424" s="70">
        <f>E313*'DATA - P&amp;L'!$C$3</f>
        <v>0</v>
      </c>
      <c r="F424" s="70">
        <f>F313*'DATA - P&amp;L'!$C$3</f>
        <v>0</v>
      </c>
      <c r="G424" s="70">
        <f>G313*'DATA - P&amp;L'!$C$3</f>
        <v>0</v>
      </c>
      <c r="H424" s="70">
        <f>H313*'DATA - P&amp;L'!$C$3</f>
        <v>0</v>
      </c>
      <c r="I424" s="70">
        <f>I313*'DATA - P&amp;L'!$C$3</f>
        <v>0</v>
      </c>
      <c r="J424" s="70">
        <f>J313*'DATA - P&amp;L'!$C$3</f>
        <v>0</v>
      </c>
      <c r="K424" s="70">
        <f>K313*'DATA - P&amp;L'!$C$3</f>
        <v>0</v>
      </c>
      <c r="L424" s="70">
        <f>L313*'DATA - P&amp;L'!$C$3</f>
        <v>521.4</v>
      </c>
      <c r="M424" s="70">
        <f>M313*'DATA - P&amp;L'!$C$3</f>
        <v>434.5</v>
      </c>
      <c r="N424" s="70">
        <f>N313*'DATA - P&amp;L'!$C$3</f>
        <v>0</v>
      </c>
      <c r="O424" s="70">
        <f>O313*'DATA - P&amp;L'!$C$3</f>
        <v>0</v>
      </c>
      <c r="P424" s="70">
        <f>P313*'DATA - P&amp;L'!$C$3</f>
        <v>0</v>
      </c>
      <c r="Q424" s="70">
        <f>Q313*'DATA - P&amp;L'!$C$3</f>
        <v>0</v>
      </c>
      <c r="R424" s="70">
        <f>R313*'DATA - P&amp;L'!$C$3</f>
        <v>0</v>
      </c>
      <c r="S424" s="70">
        <f>S313*'DATA - P&amp;L'!$C$3</f>
        <v>0</v>
      </c>
      <c r="T424" s="70">
        <f>T313*'DATA - P&amp;L'!$C$3</f>
        <v>0</v>
      </c>
      <c r="U424" s="70">
        <f>U313*'DATA - P&amp;L'!$C$3</f>
        <v>0</v>
      </c>
      <c r="V424" s="70">
        <f>V313*'DATA - P&amp;L'!$C$3</f>
        <v>0</v>
      </c>
      <c r="W424" s="70">
        <f>W313*'DATA - P&amp;L'!$C$3</f>
        <v>86.9</v>
      </c>
      <c r="X424" s="70">
        <f>X313*'DATA - P&amp;L'!$C$3</f>
        <v>0</v>
      </c>
      <c r="Y424" s="70">
        <f>Y313*'DATA - P&amp;L'!$C$3</f>
        <v>0</v>
      </c>
      <c r="Z424" s="70">
        <f>Z313*'DATA - P&amp;L'!$C$3</f>
        <v>86.9</v>
      </c>
      <c r="AA424" s="70">
        <f>AA313*'DATA - P&amp;L'!$C$3</f>
        <v>0</v>
      </c>
      <c r="AB424" s="70">
        <f>AB313*'DATA - P&amp;L'!$C$3</f>
        <v>0</v>
      </c>
      <c r="AC424" s="70">
        <f>AC313*'DATA - P&amp;L'!$C$3</f>
        <v>0</v>
      </c>
      <c r="AD424" s="70">
        <f>AD313*'DATA - P&amp;L'!$C$3</f>
        <v>0</v>
      </c>
      <c r="AE424" s="74">
        <f>AE313*'DATA - P&amp;L'!$C$3</f>
        <v>0</v>
      </c>
      <c r="AF424" s="87">
        <f t="shared" ref="AF424:AF440" si="130">SUM(B424:AE424)</f>
        <v>1129.7</v>
      </c>
    </row>
    <row r="425" outlineLevel="1">
      <c r="A425" s="101" t="s">
        <v>848</v>
      </c>
      <c r="B425" s="70">
        <f>B314*'DATA - P&amp;L'!$C$4</f>
        <v>0</v>
      </c>
      <c r="C425" s="70">
        <f>C314*'DATA - P&amp;L'!$C$4</f>
        <v>0</v>
      </c>
      <c r="D425" s="70">
        <f>D314*'DATA - P&amp;L'!$C$4</f>
        <v>0</v>
      </c>
      <c r="E425" s="70">
        <f>E314*'DATA - P&amp;L'!$C$4</f>
        <v>0</v>
      </c>
      <c r="F425" s="70">
        <f>F314*'DATA - P&amp;L'!$C$4</f>
        <v>0</v>
      </c>
      <c r="G425" s="70">
        <f>G314*'DATA - P&amp;L'!$C$4</f>
        <v>0</v>
      </c>
      <c r="H425" s="70">
        <f>H314*'DATA - P&amp;L'!$C$4</f>
        <v>0</v>
      </c>
      <c r="I425" s="70">
        <f>I314*'DATA - P&amp;L'!$C$4</f>
        <v>0</v>
      </c>
      <c r="J425" s="70">
        <f>J314*'DATA - P&amp;L'!$C$4</f>
        <v>0</v>
      </c>
      <c r="K425" s="70">
        <f>K314*'DATA - P&amp;L'!$C$4</f>
        <v>0</v>
      </c>
      <c r="L425" s="70">
        <f>L314*'DATA - P&amp;L'!$C$4</f>
        <v>585.66</v>
      </c>
      <c r="M425" s="70">
        <f>M314*'DATA - P&amp;L'!$C$4</f>
        <v>390.44</v>
      </c>
      <c r="N425" s="70">
        <f>N314*'DATA - P&amp;L'!$C$4</f>
        <v>0</v>
      </c>
      <c r="O425" s="70">
        <f>O314*'DATA - P&amp;L'!$C$4</f>
        <v>0</v>
      </c>
      <c r="P425" s="70">
        <f>P314*'DATA - P&amp;L'!$C$4</f>
        <v>0</v>
      </c>
      <c r="Q425" s="70">
        <f>Q314*'DATA - P&amp;L'!$C$4</f>
        <v>0</v>
      </c>
      <c r="R425" s="70">
        <f>R314*'DATA - P&amp;L'!$C$4</f>
        <v>0</v>
      </c>
      <c r="S425" s="70">
        <f>S314*'DATA - P&amp;L'!$C$4</f>
        <v>0</v>
      </c>
      <c r="T425" s="70">
        <f>T314*'DATA - P&amp;L'!$C$4</f>
        <v>0</v>
      </c>
      <c r="U425" s="70">
        <f>U314*'DATA - P&amp;L'!$C$4</f>
        <v>0</v>
      </c>
      <c r="V425" s="70">
        <f>V314*'DATA - P&amp;L'!$C$4</f>
        <v>0</v>
      </c>
      <c r="W425" s="70">
        <f>W314*'DATA - P&amp;L'!$C$4</f>
        <v>0</v>
      </c>
      <c r="X425" s="70">
        <f>X314*'DATA - P&amp;L'!$C$4</f>
        <v>0</v>
      </c>
      <c r="Y425" s="70">
        <f>Y314*'DATA - P&amp;L'!$C$4</f>
        <v>0</v>
      </c>
      <c r="Z425" s="70">
        <f>Z314*'DATA - P&amp;L'!$C$4</f>
        <v>0</v>
      </c>
      <c r="AA425" s="70">
        <f>AA314*'DATA - P&amp;L'!$C$4</f>
        <v>0</v>
      </c>
      <c r="AB425" s="70">
        <f>AB314*'DATA - P&amp;L'!$C$4</f>
        <v>0</v>
      </c>
      <c r="AC425" s="70">
        <f>AC314*'DATA - P&amp;L'!$C$4</f>
        <v>0</v>
      </c>
      <c r="AD425" s="70">
        <f>AD314*'DATA - P&amp;L'!$C$4</f>
        <v>0</v>
      </c>
      <c r="AE425" s="74">
        <f>AE314*'DATA - P&amp;L'!$C$4</f>
        <v>0</v>
      </c>
      <c r="AF425" s="87">
        <f t="shared" si="130"/>
        <v>976.1</v>
      </c>
    </row>
    <row r="426" outlineLevel="1">
      <c r="A426" s="101" t="s">
        <v>852</v>
      </c>
      <c r="B426" s="70">
        <f>(B317+B328)*'DATA - P&amp;L'!$C$6</f>
        <v>0</v>
      </c>
      <c r="C426" s="70">
        <f>(C317+C328)*'DATA - P&amp;L'!$C$6</f>
        <v>0</v>
      </c>
      <c r="D426" s="70">
        <f>(D317+D328)*'DATA - P&amp;L'!$C$6</f>
        <v>0</v>
      </c>
      <c r="E426" s="70">
        <f>(E317+E328)*'DATA - P&amp;L'!$C$6</f>
        <v>0</v>
      </c>
      <c r="F426" s="70">
        <f>(F317+F328)*'DATA - P&amp;L'!$C$6</f>
        <v>0</v>
      </c>
      <c r="G426" s="70">
        <f>(G317+G328)*'DATA - P&amp;L'!$C$6</f>
        <v>0</v>
      </c>
      <c r="H426" s="70">
        <f>(H317+H328)*'DATA - P&amp;L'!$C$6</f>
        <v>0</v>
      </c>
      <c r="I426" s="70">
        <f>(I317+I328)*'DATA - P&amp;L'!$C$6</f>
        <v>0</v>
      </c>
      <c r="J426" s="70">
        <f>(J317+J328)*'DATA - P&amp;L'!$C$6</f>
        <v>0</v>
      </c>
      <c r="K426" s="70">
        <f>(K317+K328)*'DATA - P&amp;L'!$C$6</f>
        <v>0</v>
      </c>
      <c r="L426" s="70">
        <f>(L317+L328)*'DATA - P&amp;L'!$C$6</f>
        <v>16.47</v>
      </c>
      <c r="M426" s="70">
        <f>(M317+M328)*'DATA - P&amp;L'!$C$6</f>
        <v>16.47</v>
      </c>
      <c r="N426" s="70">
        <f>(N317+N328)*'DATA - P&amp;L'!$C$6</f>
        <v>0</v>
      </c>
      <c r="O426" s="70">
        <f>(O317+O328)*'DATA - P&amp;L'!$C$6</f>
        <v>0</v>
      </c>
      <c r="P426" s="70">
        <f>(P317+P328)*'DATA - P&amp;L'!$C$6</f>
        <v>0</v>
      </c>
      <c r="Q426" s="70">
        <f>(Q317+Q328)*'DATA - P&amp;L'!$C$6</f>
        <v>0</v>
      </c>
      <c r="R426" s="70">
        <f>(R317+R328)*'DATA - P&amp;L'!$C$6</f>
        <v>0</v>
      </c>
      <c r="S426" s="70">
        <f>(S317+S328)*'DATA - P&amp;L'!$C$6</f>
        <v>0</v>
      </c>
      <c r="T426" s="70">
        <f>(T317+T328)*'DATA - P&amp;L'!$C$6</f>
        <v>0</v>
      </c>
      <c r="U426" s="70">
        <f>(U317+U328)*'DATA - P&amp;L'!$C$6</f>
        <v>0</v>
      </c>
      <c r="V426" s="70">
        <f>(V317+V328)*'DATA - P&amp;L'!$C$6</f>
        <v>0</v>
      </c>
      <c r="W426" s="70">
        <f>(W317+W328)*'DATA - P&amp;L'!$C$6</f>
        <v>0</v>
      </c>
      <c r="X426" s="70">
        <f>(X317+X328)*'DATA - P&amp;L'!$C$6</f>
        <v>0</v>
      </c>
      <c r="Y426" s="70">
        <f>(Y317+Y328)*'DATA - P&amp;L'!$C$6</f>
        <v>0</v>
      </c>
      <c r="Z426" s="70">
        <f>(Z317+Z328)*'DATA - P&amp;L'!$C$6</f>
        <v>0</v>
      </c>
      <c r="AA426" s="70">
        <f>(AA317+AA328)*'DATA - P&amp;L'!$C$6</f>
        <v>10.98</v>
      </c>
      <c r="AB426" s="70">
        <f>(AB317+AB328)*'DATA - P&amp;L'!$C$6</f>
        <v>0</v>
      </c>
      <c r="AC426" s="70">
        <f>(AC317+AC328)*'DATA - P&amp;L'!$C$6</f>
        <v>0</v>
      </c>
      <c r="AD426" s="70">
        <f>(AD317+AD328)*'DATA - P&amp;L'!$C$6</f>
        <v>0</v>
      </c>
      <c r="AE426" s="74">
        <f>(AE317+AE328)*'DATA - P&amp;L'!$C$6</f>
        <v>0</v>
      </c>
      <c r="AF426" s="87">
        <f t="shared" si="130"/>
        <v>43.92</v>
      </c>
    </row>
    <row r="427" outlineLevel="1">
      <c r="A427" s="101" t="s">
        <v>854</v>
      </c>
      <c r="B427" s="70">
        <f>(B318+B329)*'DATA - P&amp;L'!$C$8</f>
        <v>0</v>
      </c>
      <c r="C427" s="70">
        <f>(C318+C329)*'DATA - P&amp;L'!$C$8</f>
        <v>0</v>
      </c>
      <c r="D427" s="70">
        <f>(D318+D329)*'DATA - P&amp;L'!$C$8</f>
        <v>0</v>
      </c>
      <c r="E427" s="70">
        <f>(E318+E329)*'DATA - P&amp;L'!$C$8</f>
        <v>0</v>
      </c>
      <c r="F427" s="70">
        <f>(F318+F329)*'DATA - P&amp;L'!$C$8</f>
        <v>0</v>
      </c>
      <c r="G427" s="70">
        <f>(G318+G329)*'DATA - P&amp;L'!$C$8</f>
        <v>0</v>
      </c>
      <c r="H427" s="70">
        <f>(H318+H329)*'DATA - P&amp;L'!$C$8</f>
        <v>0</v>
      </c>
      <c r="I427" s="70">
        <f>(I318+I329)*'DATA - P&amp;L'!$C$8</f>
        <v>0</v>
      </c>
      <c r="J427" s="70">
        <f>(J318+J329)*'DATA - P&amp;L'!$C$8</f>
        <v>0</v>
      </c>
      <c r="K427" s="70">
        <f>(K318+K329)*'DATA - P&amp;L'!$C$8</f>
        <v>0</v>
      </c>
      <c r="L427" s="70">
        <f>(L318+L329)*'DATA - P&amp;L'!$C$8</f>
        <v>2.38</v>
      </c>
      <c r="M427" s="70">
        <f>(M318+M329)*'DATA - P&amp;L'!$C$8</f>
        <v>3.57</v>
      </c>
      <c r="N427" s="70">
        <f>(N318+N329)*'DATA - P&amp;L'!$C$8</f>
        <v>0</v>
      </c>
      <c r="O427" s="70">
        <f>(O318+O329)*'DATA - P&amp;L'!$C$8</f>
        <v>0</v>
      </c>
      <c r="P427" s="70">
        <f>(P318+P329)*'DATA - P&amp;L'!$C$8</f>
        <v>0</v>
      </c>
      <c r="Q427" s="70">
        <f>(Q318+Q329)*'DATA - P&amp;L'!$C$8</f>
        <v>0</v>
      </c>
      <c r="R427" s="70">
        <f>(R318+R329)*'DATA - P&amp;L'!$C$8</f>
        <v>0</v>
      </c>
      <c r="S427" s="70">
        <f>(S318+S329)*'DATA - P&amp;L'!$C$8</f>
        <v>0</v>
      </c>
      <c r="T427" s="70">
        <f>(T318+T329)*'DATA - P&amp;L'!$C$8</f>
        <v>0</v>
      </c>
      <c r="U427" s="70">
        <f>(U318+U329)*'DATA - P&amp;L'!$C$8</f>
        <v>0</v>
      </c>
      <c r="V427" s="70">
        <f>(V318+V329)*'DATA - P&amp;L'!$C$8</f>
        <v>0</v>
      </c>
      <c r="W427" s="70">
        <f>(W318+W329)*'DATA - P&amp;L'!$C$8</f>
        <v>0</v>
      </c>
      <c r="X427" s="70">
        <f>(X318+X329)*'DATA - P&amp;L'!$C$8</f>
        <v>0</v>
      </c>
      <c r="Y427" s="70">
        <f>(Y318+Y329)*'DATA - P&amp;L'!$C$8</f>
        <v>0</v>
      </c>
      <c r="Z427" s="70">
        <f>(Z318+Z329)*'DATA - P&amp;L'!$C$8</f>
        <v>1.19</v>
      </c>
      <c r="AA427" s="70">
        <f>(AA318+AA329)*'DATA - P&amp;L'!$C$8</f>
        <v>0</v>
      </c>
      <c r="AB427" s="70">
        <f>(AB318+AB329)*'DATA - P&amp;L'!$C$8</f>
        <v>0</v>
      </c>
      <c r="AC427" s="70">
        <f>(AC318+AC329)*'DATA - P&amp;L'!$C$8</f>
        <v>0</v>
      </c>
      <c r="AD427" s="70">
        <f>(AD318+AD329)*'DATA - P&amp;L'!$C$8</f>
        <v>0</v>
      </c>
      <c r="AE427" s="74">
        <f>(AE318+AE329)*'DATA - P&amp;L'!$C$8</f>
        <v>0</v>
      </c>
      <c r="AF427" s="87">
        <f t="shared" si="130"/>
        <v>7.14</v>
      </c>
    </row>
    <row r="428" outlineLevel="1">
      <c r="A428" s="101" t="s">
        <v>856</v>
      </c>
      <c r="B428" s="70">
        <f>(B319+B320+B330+B331)*'DATA - P&amp;L'!$C$9</f>
        <v>0</v>
      </c>
      <c r="C428" s="70">
        <f>(C319+C320+C330+C331)*'DATA - P&amp;L'!$C$9</f>
        <v>0</v>
      </c>
      <c r="D428" s="70">
        <f>(D319+D320+D330+D331)*'DATA - P&amp;L'!$C$9</f>
        <v>0</v>
      </c>
      <c r="E428" s="70">
        <f>(E319+E320+E330+E331)*'DATA - P&amp;L'!$C$9</f>
        <v>0</v>
      </c>
      <c r="F428" s="70">
        <f>(F319+F320+F330+F331)*'DATA - P&amp;L'!$C$9</f>
        <v>0</v>
      </c>
      <c r="G428" s="70">
        <f>(G319+G320+G330+G331)*'DATA - P&amp;L'!$C$9</f>
        <v>0</v>
      </c>
      <c r="H428" s="70">
        <f>(H319+H320+H330+H331)*'DATA - P&amp;L'!$C$9</f>
        <v>0</v>
      </c>
      <c r="I428" s="70">
        <f>(I319+I320+I330+I331)*'DATA - P&amp;L'!$C$9</f>
        <v>0</v>
      </c>
      <c r="J428" s="70">
        <f>(J319+J320+J330+J331)*'DATA - P&amp;L'!$C$9</f>
        <v>0</v>
      </c>
      <c r="K428" s="70">
        <f>(K319+K320+K330+K331)*'DATA - P&amp;L'!$C$9</f>
        <v>0</v>
      </c>
      <c r="L428" s="70">
        <f>(L319+L320+L330+L331)*'DATA - P&amp;L'!$C$9</f>
        <v>0</v>
      </c>
      <c r="M428" s="70">
        <f>(M319+M320+M330+M331)*'DATA - P&amp;L'!$C$9</f>
        <v>0</v>
      </c>
      <c r="N428" s="70">
        <f>(N319+N320+N330+N331)*'DATA - P&amp;L'!$C$9</f>
        <v>0</v>
      </c>
      <c r="O428" s="70">
        <f>(O319+O320+O330+O331)*'DATA - P&amp;L'!$C$9</f>
        <v>0</v>
      </c>
      <c r="P428" s="70">
        <f>(P319+P320+P330+P331)*'DATA - P&amp;L'!$C$9</f>
        <v>0</v>
      </c>
      <c r="Q428" s="70">
        <f>(Q319+Q320+Q330+Q331)*'DATA - P&amp;L'!$C$9</f>
        <v>0</v>
      </c>
      <c r="R428" s="70">
        <f>(R319+R320+R330+R331)*'DATA - P&amp;L'!$C$9</f>
        <v>0</v>
      </c>
      <c r="S428" s="70">
        <f>(S319+S320+S330+S331)*'DATA - P&amp;L'!$C$9</f>
        <v>6.66</v>
      </c>
      <c r="T428" s="70">
        <f>(T319+T320+T330+T331)*'DATA - P&amp;L'!$C$9</f>
        <v>0</v>
      </c>
      <c r="U428" s="70">
        <f>(U319+U320+U330+U331)*'DATA - P&amp;L'!$C$9</f>
        <v>0</v>
      </c>
      <c r="V428" s="70">
        <f>(V319+V320+V330+V331)*'DATA - P&amp;L'!$C$9</f>
        <v>0</v>
      </c>
      <c r="W428" s="70">
        <f>(W319+W320+W330+W331)*'DATA - P&amp;L'!$C$9</f>
        <v>0</v>
      </c>
      <c r="X428" s="70">
        <f>(X319+X320+X330+X331)*'DATA - P&amp;L'!$C$9</f>
        <v>0</v>
      </c>
      <c r="Y428" s="70">
        <f>(Y319+Y320+Y330+Y331)*'DATA - P&amp;L'!$C$9</f>
        <v>0</v>
      </c>
      <c r="Z428" s="70">
        <f>(Z319+Z320+Z330+Z331)*'DATA - P&amp;L'!$C$9</f>
        <v>0</v>
      </c>
      <c r="AA428" s="70">
        <f>(AA319+AA320+AA330+AA331)*'DATA - P&amp;L'!$C$9</f>
        <v>0</v>
      </c>
      <c r="AB428" s="70">
        <f>(AB319+AB320+AB330+AB331)*'DATA - P&amp;L'!$C$9</f>
        <v>0</v>
      </c>
      <c r="AC428" s="70">
        <f>(AC319+AC320+AC330+AC331)*'DATA - P&amp;L'!$C$9</f>
        <v>0</v>
      </c>
      <c r="AD428" s="70">
        <f>(AD319+AD320+AD330+AD331)*'DATA - P&amp;L'!$C$9</f>
        <v>0</v>
      </c>
      <c r="AE428" s="74">
        <f>(AE319+AE320+AE330+AE331)*'DATA - P&amp;L'!$C$9</f>
        <v>0</v>
      </c>
      <c r="AF428" s="87">
        <f t="shared" si="130"/>
        <v>6.66</v>
      </c>
    </row>
    <row r="429" outlineLevel="1">
      <c r="A429" s="101" t="s">
        <v>857</v>
      </c>
      <c r="B429" s="70">
        <f>(B321+B322+B332+B333)*'DATA - P&amp;L'!$C$5</f>
        <v>0</v>
      </c>
      <c r="C429" s="70">
        <f>(C321+C322+C332+C333)*'DATA - P&amp;L'!$C$5</f>
        <v>0</v>
      </c>
      <c r="D429" s="70">
        <f>(D321+D322+D332+D333)*'DATA - P&amp;L'!$C$5</f>
        <v>0</v>
      </c>
      <c r="E429" s="70">
        <f>(E321+E322+E332+E333)*'DATA - P&amp;L'!$C$5</f>
        <v>0</v>
      </c>
      <c r="F429" s="70">
        <f>(F321+F322+F332+F333)*'DATA - P&amp;L'!$C$5</f>
        <v>0</v>
      </c>
      <c r="G429" s="70">
        <f>(G321+G322+G332+G333)*'DATA - P&amp;L'!$C$5</f>
        <v>0</v>
      </c>
      <c r="H429" s="70">
        <f>(H321+H322+H332+H333)*'DATA - P&amp;L'!$C$5</f>
        <v>0</v>
      </c>
      <c r="I429" s="70">
        <f>(I321+I322+I332+I333)*'DATA - P&amp;L'!$C$5</f>
        <v>0</v>
      </c>
      <c r="J429" s="70">
        <f>(J321+J322+J332+J333)*'DATA - P&amp;L'!$C$5</f>
        <v>0</v>
      </c>
      <c r="K429" s="70">
        <f>(K321+K322+K332+K333)*'DATA - P&amp;L'!$C$5</f>
        <v>0</v>
      </c>
      <c r="L429" s="70">
        <f>(L321+L322+L332+L333)*'DATA - P&amp;L'!$C$5</f>
        <v>26.88</v>
      </c>
      <c r="M429" s="70">
        <f>(M321+M322+M332+M333)*'DATA - P&amp;L'!$C$5</f>
        <v>0</v>
      </c>
      <c r="N429" s="70">
        <f>(N321+N322+N332+N333)*'DATA - P&amp;L'!$C$5</f>
        <v>0</v>
      </c>
      <c r="O429" s="70">
        <f>(O321+O322+O332+O333)*'DATA - P&amp;L'!$C$5</f>
        <v>0</v>
      </c>
      <c r="P429" s="70">
        <f>(P321+P322+P332+P333)*'DATA - P&amp;L'!$C$5</f>
        <v>0</v>
      </c>
      <c r="Q429" s="70">
        <f>(Q321+Q322+Q332+Q333)*'DATA - P&amp;L'!$C$5</f>
        <v>0</v>
      </c>
      <c r="R429" s="70">
        <f>(R321+R322+R332+R333)*'DATA - P&amp;L'!$C$5</f>
        <v>0</v>
      </c>
      <c r="S429" s="70">
        <f>(S321+S322+S332+S333)*'DATA - P&amp;L'!$C$5</f>
        <v>0</v>
      </c>
      <c r="T429" s="70">
        <f>(T321+T322+T332+T333)*'DATA - P&amp;L'!$C$5</f>
        <v>0</v>
      </c>
      <c r="U429" s="70">
        <f>(U321+U322+U332+U333)*'DATA - P&amp;L'!$C$5</f>
        <v>0</v>
      </c>
      <c r="V429" s="70">
        <f>(V321+V322+V332+V333)*'DATA - P&amp;L'!$C$5</f>
        <v>0</v>
      </c>
      <c r="W429" s="70">
        <f>(W321+W322+W332+W333)*'DATA - P&amp;L'!$C$5</f>
        <v>0</v>
      </c>
      <c r="X429" s="70">
        <f>(X321+X322+X332+X333)*'DATA - P&amp;L'!$C$5</f>
        <v>0</v>
      </c>
      <c r="Y429" s="70">
        <f>(Y321+Y322+Y332+Y333)*'DATA - P&amp;L'!$C$5</f>
        <v>0</v>
      </c>
      <c r="Z429" s="70">
        <f>(Z321+Z322+Z332+Z333)*'DATA - P&amp;L'!$C$5</f>
        <v>255.36</v>
      </c>
      <c r="AA429" s="70">
        <f>(AA321+AA322+AA332+AA333)*'DATA - P&amp;L'!$C$5</f>
        <v>120.96</v>
      </c>
      <c r="AB429" s="70">
        <f>(AB321+AB322+AB332+AB333)*'DATA - P&amp;L'!$C$5</f>
        <v>0</v>
      </c>
      <c r="AC429" s="70">
        <f>(AC321+AC322+AC332+AC333)*'DATA - P&amp;L'!$C$5</f>
        <v>0</v>
      </c>
      <c r="AD429" s="70">
        <f>(AD321+AD322+AD332+AD333)*'DATA - P&amp;L'!$C$5</f>
        <v>0</v>
      </c>
      <c r="AE429" s="74">
        <f>(AE321+AE322+AE332+AE333)*'DATA - P&amp;L'!$C$5</f>
        <v>0</v>
      </c>
      <c r="AF429" s="87">
        <f t="shared" si="130"/>
        <v>403.2</v>
      </c>
    </row>
    <row r="430" outlineLevel="1">
      <c r="A430" s="101" t="s">
        <v>859</v>
      </c>
      <c r="B430" s="70">
        <f>(B323+B324+B334+B335)*'DATA - P&amp;L'!$C$10</f>
        <v>0</v>
      </c>
      <c r="C430" s="70">
        <f>(C323+C324+C334+C335)*'DATA - P&amp;L'!$C$10</f>
        <v>0</v>
      </c>
      <c r="D430" s="70">
        <f>(D323+D324+D334+D335)*'DATA - P&amp;L'!$C$10</f>
        <v>0</v>
      </c>
      <c r="E430" s="70">
        <f>(E323+E324+E334+E335)*'DATA - P&amp;L'!$C$10</f>
        <v>0</v>
      </c>
      <c r="F430" s="70">
        <f>(F323+F324+F334+F335)*'DATA - P&amp;L'!$C$10</f>
        <v>0</v>
      </c>
      <c r="G430" s="70">
        <f>(G323+G324+G334+G335)*'DATA - P&amp;L'!$C$10</f>
        <v>0</v>
      </c>
      <c r="H430" s="70">
        <f>(H323+H324+H334+H335)*'DATA - P&amp;L'!$C$10</f>
        <v>0</v>
      </c>
      <c r="I430" s="70">
        <f>(I323+I324+I334+I335)*'DATA - P&amp;L'!$C$10</f>
        <v>0</v>
      </c>
      <c r="J430" s="70">
        <f>(J323+J324+J334+J335)*'DATA - P&amp;L'!$C$10</f>
        <v>0</v>
      </c>
      <c r="K430" s="70">
        <f>(K323+K324+K334+K335)*'DATA - P&amp;L'!$C$10</f>
        <v>0</v>
      </c>
      <c r="L430" s="70">
        <f>(L323+L324+L334+L335)*'DATA - P&amp;L'!$C$10</f>
        <v>0</v>
      </c>
      <c r="M430" s="70">
        <f>(M323+M324+M334+M335)*'DATA - P&amp;L'!$C$10</f>
        <v>0</v>
      </c>
      <c r="N430" s="70">
        <f>(N323+N324+N334+N335)*'DATA - P&amp;L'!$C$10</f>
        <v>0</v>
      </c>
      <c r="O430" s="70">
        <f>(O323+O324+O334+O335)*'DATA - P&amp;L'!$C$10</f>
        <v>0</v>
      </c>
      <c r="P430" s="70">
        <f>(P323+P324+P334+P335)*'DATA - P&amp;L'!$C$10</f>
        <v>0</v>
      </c>
      <c r="Q430" s="70">
        <f>(Q323+Q324+Q334+Q335)*'DATA - P&amp;L'!$C$10</f>
        <v>0</v>
      </c>
      <c r="R430" s="70">
        <f>(R323+R324+R334+R335)*'DATA - P&amp;L'!$C$10</f>
        <v>0</v>
      </c>
      <c r="S430" s="70">
        <f>(S323+S324+S334+S335)*'DATA - P&amp;L'!$C$10</f>
        <v>0</v>
      </c>
      <c r="T430" s="70">
        <f>(T323+T324+T334+T335)*'DATA - P&amp;L'!$C$10</f>
        <v>0</v>
      </c>
      <c r="U430" s="70">
        <f>(U323+U324+U334+U335)*'DATA - P&amp;L'!$C$10</f>
        <v>0</v>
      </c>
      <c r="V430" s="70">
        <f>(V323+V324+V334+V335)*'DATA - P&amp;L'!$C$10</f>
        <v>0</v>
      </c>
      <c r="W430" s="70">
        <f>(W323+W324+W334+W335)*'DATA - P&amp;L'!$C$10</f>
        <v>0</v>
      </c>
      <c r="X430" s="70">
        <f>(X323+X324+X334+X335)*'DATA - P&amp;L'!$C$10</f>
        <v>0</v>
      </c>
      <c r="Y430" s="70">
        <f>(Y323+Y324+Y334+Y335)*'DATA - P&amp;L'!$C$10</f>
        <v>0</v>
      </c>
      <c r="Z430" s="70">
        <f>(Z323+Z324+Z334+Z335)*'DATA - P&amp;L'!$C$10</f>
        <v>0</v>
      </c>
      <c r="AA430" s="70">
        <f>(AA323+AA324+AA334+AA335)*'DATA - P&amp;L'!$C$10</f>
        <v>0</v>
      </c>
      <c r="AB430" s="70">
        <f>(AB323+AB324+AB334+AB335)*'DATA - P&amp;L'!$C$10</f>
        <v>0</v>
      </c>
      <c r="AC430" s="70">
        <f>(AC323+AC324+AC334+AC335)*'DATA - P&amp;L'!$C$10</f>
        <v>0</v>
      </c>
      <c r="AD430" s="70">
        <f>(AD323+AD324+AD334+AD335)*'DATA - P&amp;L'!$C$10</f>
        <v>0</v>
      </c>
      <c r="AE430" s="74">
        <f>(AE323+AE324+AE334+AE335)*'DATA - P&amp;L'!$C$10</f>
        <v>0</v>
      </c>
      <c r="AF430" s="87">
        <f t="shared" si="130"/>
        <v>0</v>
      </c>
    </row>
    <row r="431" outlineLevel="1">
      <c r="A431" s="101" t="s">
        <v>862</v>
      </c>
      <c r="B431" s="70">
        <f>(B301+B302+B310+B311)*'DATA - P&amp;L'!$C$13</f>
        <v>0</v>
      </c>
      <c r="C431" s="70">
        <f>(C301+C302+C310+C311)*'DATA - P&amp;L'!$C$13</f>
        <v>0</v>
      </c>
      <c r="D431" s="70">
        <f>(D301+D302+D310+D311)*'DATA - P&amp;L'!$C$13</f>
        <v>0</v>
      </c>
      <c r="E431" s="70">
        <f>(E301+E302+E310+E311)*'DATA - P&amp;L'!$C$13</f>
        <v>0</v>
      </c>
      <c r="F431" s="70">
        <f>(F301+F302+F310+F311)*'DATA - P&amp;L'!$C$13</f>
        <v>0</v>
      </c>
      <c r="G431" s="70">
        <f>(G301+G302+G310+G311)*'DATA - P&amp;L'!$C$13</f>
        <v>0</v>
      </c>
      <c r="H431" s="70">
        <f>(H301+H302+H310+H311)*'DATA - P&amp;L'!$C$13</f>
        <v>0</v>
      </c>
      <c r="I431" s="70">
        <f>(I301+I302+I310+I311)*'DATA - P&amp;L'!$C$13</f>
        <v>0</v>
      </c>
      <c r="J431" s="70">
        <f>(J301+J302+J310+J311)*'DATA - P&amp;L'!$C$13</f>
        <v>0</v>
      </c>
      <c r="K431" s="70">
        <f>(K301+K302+K310+K311)*'DATA - P&amp;L'!$C$13</f>
        <v>0</v>
      </c>
      <c r="L431" s="70">
        <f>(L301+L302+L310+L311)*'DATA - P&amp;L'!$C$13</f>
        <v>0</v>
      </c>
      <c r="M431" s="70">
        <f>(M301+M302+M310+M311)*'DATA - P&amp;L'!$C$13</f>
        <v>0</v>
      </c>
      <c r="N431" s="70">
        <f>(N301+N302+N310+N311)*'DATA - P&amp;L'!$C$13</f>
        <v>0</v>
      </c>
      <c r="O431" s="70">
        <f>(O301+O302+O310+O311)*'DATA - P&amp;L'!$C$13</f>
        <v>0</v>
      </c>
      <c r="P431" s="70">
        <f>(P301+P302+P310+P311)*'DATA - P&amp;L'!$C$13</f>
        <v>0</v>
      </c>
      <c r="Q431" s="70">
        <f>(Q301+Q302+Q310+Q311)*'DATA - P&amp;L'!$C$13</f>
        <v>0</v>
      </c>
      <c r="R431" s="70">
        <f>(R301+R302+R310+R311)*'DATA - P&amp;L'!$C$13</f>
        <v>0</v>
      </c>
      <c r="S431" s="70">
        <f>(S301+S302+S310+S311)*'DATA - P&amp;L'!$C$13</f>
        <v>0</v>
      </c>
      <c r="T431" s="70">
        <f>(T301+T302+T310+T311)*'DATA - P&amp;L'!$C$13</f>
        <v>0</v>
      </c>
      <c r="U431" s="70">
        <f>(U301+U302+U310+U311)*'DATA - P&amp;L'!$C$13</f>
        <v>0</v>
      </c>
      <c r="V431" s="70">
        <f>(V301+V302+V310+V311)*'DATA - P&amp;L'!$C$13</f>
        <v>0</v>
      </c>
      <c r="W431" s="70">
        <f>(W301+W302+W310+W311)*'DATA - P&amp;L'!$C$13</f>
        <v>0</v>
      </c>
      <c r="X431" s="70">
        <f>(X301+X302+X310+X311)*'DATA - P&amp;L'!$C$13</f>
        <v>0</v>
      </c>
      <c r="Y431" s="70">
        <f>(Y301+Y302+Y310+Y311)*'DATA - P&amp;L'!$C$13</f>
        <v>0</v>
      </c>
      <c r="Z431" s="70">
        <f>(Z301+Z302+Z310+Z311)*'DATA - P&amp;L'!$C$13</f>
        <v>0</v>
      </c>
      <c r="AA431" s="70">
        <f>(AA301+AA302+AA310+AA311)*'DATA - P&amp;L'!$C$13</f>
        <v>0</v>
      </c>
      <c r="AB431" s="70">
        <f>(AB301+AB302+AB310+AB311)*'DATA - P&amp;L'!$C$13</f>
        <v>0</v>
      </c>
      <c r="AC431" s="70">
        <f>(AC301+AC302+AC310+AC311)*'DATA - P&amp;L'!$C$13</f>
        <v>0</v>
      </c>
      <c r="AD431" s="70">
        <f>(AD301+AD302+AD310+AD311)*'DATA - P&amp;L'!$C$13</f>
        <v>0</v>
      </c>
      <c r="AE431" s="74">
        <f>(AE301+AE302+AE310+AE311)*'DATA - P&amp;L'!$C$13</f>
        <v>0</v>
      </c>
      <c r="AF431" s="87">
        <f t="shared" si="130"/>
        <v>0</v>
      </c>
    </row>
    <row r="432" outlineLevel="1">
      <c r="A432" s="101" t="s">
        <v>865</v>
      </c>
      <c r="B432" s="70">
        <f>(B303+B312)*'DATA - P&amp;L'!$C$14</f>
        <v>0</v>
      </c>
      <c r="C432" s="70">
        <f>(C303+C312)*'DATA - P&amp;L'!$C$14</f>
        <v>0</v>
      </c>
      <c r="D432" s="70">
        <f>(D303+D312)*'DATA - P&amp;L'!$C$14</f>
        <v>0</v>
      </c>
      <c r="E432" s="70">
        <f>(E303+E312)*'DATA - P&amp;L'!$C$14</f>
        <v>0</v>
      </c>
      <c r="F432" s="70">
        <f>(F303+F312)*'DATA - P&amp;L'!$C$14</f>
        <v>0</v>
      </c>
      <c r="G432" s="70">
        <f>(G303+G312)*'DATA - P&amp;L'!$C$14</f>
        <v>0</v>
      </c>
      <c r="H432" s="70">
        <f>(H303+H312)*'DATA - P&amp;L'!$C$14</f>
        <v>0</v>
      </c>
      <c r="I432" s="70">
        <f>(I303+I312)*'DATA - P&amp;L'!$C$14</f>
        <v>0</v>
      </c>
      <c r="J432" s="70">
        <f>(J303+J312)*'DATA - P&amp;L'!$C$14</f>
        <v>0</v>
      </c>
      <c r="K432" s="70">
        <f>(K303+K312)*'DATA - P&amp;L'!$C$14</f>
        <v>0</v>
      </c>
      <c r="L432" s="70">
        <f>(L303+L312)*'DATA - P&amp;L'!$C$14</f>
        <v>0</v>
      </c>
      <c r="M432" s="70">
        <f>(M303+M312)*'DATA - P&amp;L'!$C$14</f>
        <v>0</v>
      </c>
      <c r="N432" s="70">
        <f>(N303+N312)*'DATA - P&amp;L'!$C$14</f>
        <v>0</v>
      </c>
      <c r="O432" s="70">
        <f>(O303+O312)*'DATA - P&amp;L'!$C$14</f>
        <v>0</v>
      </c>
      <c r="P432" s="70">
        <f>(P303+P312)*'DATA - P&amp;L'!$C$14</f>
        <v>0</v>
      </c>
      <c r="Q432" s="70">
        <f>(Q303+Q312)*'DATA - P&amp;L'!$C$14</f>
        <v>0</v>
      </c>
      <c r="R432" s="70">
        <f>(R303+R312)*'DATA - P&amp;L'!$C$14</f>
        <v>0</v>
      </c>
      <c r="S432" s="70">
        <f>(S303+S312)*'DATA - P&amp;L'!$C$14</f>
        <v>0</v>
      </c>
      <c r="T432" s="70">
        <f>(T303+T312)*'DATA - P&amp;L'!$C$14</f>
        <v>0</v>
      </c>
      <c r="U432" s="70">
        <f>(U303+U312)*'DATA - P&amp;L'!$C$14</f>
        <v>0</v>
      </c>
      <c r="V432" s="70">
        <f>(V303+V312)*'DATA - P&amp;L'!$C$14</f>
        <v>0</v>
      </c>
      <c r="W432" s="70">
        <f>(W303+W312)*'DATA - P&amp;L'!$C$14</f>
        <v>0</v>
      </c>
      <c r="X432" s="70">
        <f>(X303+X312)*'DATA - P&amp;L'!$C$14</f>
        <v>0</v>
      </c>
      <c r="Y432" s="70">
        <f>(Y303+Y312)*'DATA - P&amp;L'!$C$14</f>
        <v>0</v>
      </c>
      <c r="Z432" s="70">
        <f>(Z303+Z312)*'DATA - P&amp;L'!$C$14</f>
        <v>0</v>
      </c>
      <c r="AA432" s="70">
        <f>(AA303+AA312)*'DATA - P&amp;L'!$C$14</f>
        <v>0</v>
      </c>
      <c r="AB432" s="70">
        <f>(AB303+AB312)*'DATA - P&amp;L'!$C$14</f>
        <v>0</v>
      </c>
      <c r="AC432" s="70">
        <f>(AC303+AC312)*'DATA - P&amp;L'!$C$14</f>
        <v>0</v>
      </c>
      <c r="AD432" s="70">
        <f>(AD303+AD312)*'DATA - P&amp;L'!$C$14</f>
        <v>0</v>
      </c>
      <c r="AE432" s="74">
        <f>(AE303+AE312)*'DATA - P&amp;L'!$C$14</f>
        <v>0</v>
      </c>
      <c r="AF432" s="87">
        <f t="shared" si="130"/>
        <v>0</v>
      </c>
    </row>
    <row r="433" outlineLevel="1">
      <c r="A433" s="101" t="s">
        <v>867</v>
      </c>
      <c r="B433" s="70">
        <f>((B313*'DATA - P&amp;L'!$C$38)+(B314*'DATA - P&amp;L'!$C$39))*'DATA - P&amp;L'!$C$55</f>
        <v>0</v>
      </c>
      <c r="C433" s="70">
        <f>((C313*'DATA - P&amp;L'!$C$38)+(C314*'DATA - P&amp;L'!$C$39))*'DATA - P&amp;L'!$C$55</f>
        <v>0</v>
      </c>
      <c r="D433" s="70">
        <f>((D313*'DATA - P&amp;L'!$C$38)+(D314*'DATA - P&amp;L'!$C$39))*'DATA - P&amp;L'!$C$55</f>
        <v>0</v>
      </c>
      <c r="E433" s="70">
        <f>((E313*'DATA - P&amp;L'!$C$38)+(E314*'DATA - P&amp;L'!$C$39))*'DATA - P&amp;L'!$C$55</f>
        <v>0</v>
      </c>
      <c r="F433" s="70">
        <f>((F313*'DATA - P&amp;L'!$C$38)+(F314*'DATA - P&amp;L'!$C$39))*'DATA - P&amp;L'!$C$55</f>
        <v>0</v>
      </c>
      <c r="G433" s="70">
        <f>((G313*'DATA - P&amp;L'!$C$38)+(G314*'DATA - P&amp;L'!$C$39))*'DATA - P&amp;L'!$C$55</f>
        <v>0</v>
      </c>
      <c r="H433" s="70">
        <f>((H313*'DATA - P&amp;L'!$C$38)+(H314*'DATA - P&amp;L'!$C$39))*'DATA - P&amp;L'!$C$55</f>
        <v>0</v>
      </c>
      <c r="I433" s="70">
        <f>((I313*'DATA - P&amp;L'!$C$38)+(I314*'DATA - P&amp;L'!$C$39))*'DATA - P&amp;L'!$C$55</f>
        <v>0</v>
      </c>
      <c r="J433" s="70">
        <f>((J313*'DATA - P&amp;L'!$C$38)+(J314*'DATA - P&amp;L'!$C$39))*'DATA - P&amp;L'!$C$55</f>
        <v>0</v>
      </c>
      <c r="K433" s="70">
        <f>((K313*'DATA - P&amp;L'!$C$38)+(K314*'DATA - P&amp;L'!$C$39))*'DATA - P&amp;L'!$C$55</f>
        <v>0</v>
      </c>
      <c r="L433" s="70">
        <f>((L313*'DATA - P&amp;L'!$C$38)+(L314*'DATA - P&amp;L'!$C$39))*'DATA - P&amp;L'!$C$55</f>
        <v>14.328</v>
      </c>
      <c r="M433" s="70">
        <f>((M313*'DATA - P&amp;L'!$C$38)+(M314*'DATA - P&amp;L'!$C$39))*'DATA - P&amp;L'!$C$55</f>
        <v>10.746</v>
      </c>
      <c r="N433" s="70">
        <f>((N313*'DATA - P&amp;L'!$C$38)+(N314*'DATA - P&amp;L'!$C$39))*'DATA - P&amp;L'!$C$55</f>
        <v>0</v>
      </c>
      <c r="O433" s="70">
        <f>((O313*'DATA - P&amp;L'!$C$38)+(O314*'DATA - P&amp;L'!$C$39))*'DATA - P&amp;L'!$C$55</f>
        <v>0</v>
      </c>
      <c r="P433" s="70">
        <f>((P313*'DATA - P&amp;L'!$C$38)+(P314*'DATA - P&amp;L'!$C$39))*'DATA - P&amp;L'!$C$55</f>
        <v>0</v>
      </c>
      <c r="Q433" s="70">
        <f>((Q313*'DATA - P&amp;L'!$C$38)+(Q314*'DATA - P&amp;L'!$C$39))*'DATA - P&amp;L'!$C$55</f>
        <v>0</v>
      </c>
      <c r="R433" s="70">
        <f>((R313*'DATA - P&amp;L'!$C$38)+(R314*'DATA - P&amp;L'!$C$39))*'DATA - P&amp;L'!$C$55</f>
        <v>0</v>
      </c>
      <c r="S433" s="70">
        <f>((S313*'DATA - P&amp;L'!$C$38)+(S314*'DATA - P&amp;L'!$C$39))*'DATA - P&amp;L'!$C$55</f>
        <v>0</v>
      </c>
      <c r="T433" s="70">
        <f>((T313*'DATA - P&amp;L'!$C$38)+(T314*'DATA - P&amp;L'!$C$39))*'DATA - P&amp;L'!$C$55</f>
        <v>0</v>
      </c>
      <c r="U433" s="70">
        <f>((U313*'DATA - P&amp;L'!$C$38)+(U314*'DATA - P&amp;L'!$C$39))*'DATA - P&amp;L'!$C$55</f>
        <v>0</v>
      </c>
      <c r="V433" s="70">
        <f>((V313*'DATA - P&amp;L'!$C$38)+(V314*'DATA - P&amp;L'!$C$39))*'DATA - P&amp;L'!$C$55</f>
        <v>0</v>
      </c>
      <c r="W433" s="70">
        <f>((W313*'DATA - P&amp;L'!$C$38)+(W314*'DATA - P&amp;L'!$C$39))*'DATA - P&amp;L'!$C$55</f>
        <v>1.194</v>
      </c>
      <c r="X433" s="70">
        <f>((X313*'DATA - P&amp;L'!$C$38)+(X314*'DATA - P&amp;L'!$C$39))*'DATA - P&amp;L'!$C$55</f>
        <v>0</v>
      </c>
      <c r="Y433" s="70">
        <f>((Y313*'DATA - P&amp;L'!$C$38)+(Y314*'DATA - P&amp;L'!$C$39))*'DATA - P&amp;L'!$C$55</f>
        <v>0</v>
      </c>
      <c r="Z433" s="70">
        <f>((Z313*'DATA - P&amp;L'!$C$38)+(Z314*'DATA - P&amp;L'!$C$39))*'DATA - P&amp;L'!$C$55</f>
        <v>1.194</v>
      </c>
      <c r="AA433" s="70">
        <f>((AA313*'DATA - P&amp;L'!$C$38)+(AA314*'DATA - P&amp;L'!$C$39))*'DATA - P&amp;L'!$C$55</f>
        <v>0</v>
      </c>
      <c r="AB433" s="70">
        <f>((AB313*'DATA - P&amp;L'!$C$38)+(AB314*'DATA - P&amp;L'!$C$39))*'DATA - P&amp;L'!$C$55</f>
        <v>0</v>
      </c>
      <c r="AC433" s="70">
        <f>((AC313*'DATA - P&amp;L'!$C$38)+(AC314*'DATA - P&amp;L'!$C$39))*'DATA - P&amp;L'!$C$55</f>
        <v>0</v>
      </c>
      <c r="AD433" s="70">
        <f>((AD313*'DATA - P&amp;L'!$C$38)+(AD314*'DATA - P&amp;L'!$C$39))*'DATA - P&amp;L'!$C$55</f>
        <v>0</v>
      </c>
      <c r="AE433" s="74">
        <f>((AE313*'DATA - P&amp;L'!$C$38)+(AE314*'DATA - P&amp;L'!$C$39))*'DATA - P&amp;L'!$C$55</f>
        <v>0</v>
      </c>
      <c r="AF433" s="87">
        <f t="shared" si="130"/>
        <v>27.462</v>
      </c>
    </row>
    <row r="434" outlineLevel="1">
      <c r="A434" s="101" t="s">
        <v>868</v>
      </c>
      <c r="B434" s="70">
        <f>((B296+B297+B298+B299)*'DATA - P&amp;L'!$C$34)+((B305+B306+B307+B308)*'DATA - P&amp;L'!$C$35)</f>
        <v>0</v>
      </c>
      <c r="C434" s="70">
        <f>((C296+C297+C298+C299)*'DATA - P&amp;L'!$C$34)+((C305+C306+C307+C308)*'DATA - P&amp;L'!$C$35)</f>
        <v>0</v>
      </c>
      <c r="D434" s="70">
        <f>((D296+D297+D298+D299)*'DATA - P&amp;L'!$C$34)+((D305+D306+D307+D308)*'DATA - P&amp;L'!$C$35)</f>
        <v>0</v>
      </c>
      <c r="E434" s="70">
        <f>((E296+E297+E298+E299)*'DATA - P&amp;L'!$C$34)+((E305+E306+E307+E308)*'DATA - P&amp;L'!$C$35)</f>
        <v>0</v>
      </c>
      <c r="F434" s="70">
        <f>((F296+F297+F298+F299)*'DATA - P&amp;L'!$C$34)+((F305+F306+F307+F308)*'DATA - P&amp;L'!$C$35)</f>
        <v>0</v>
      </c>
      <c r="G434" s="70">
        <f>((G296+G297+G298+G299)*'DATA - P&amp;L'!$C$34)+((G305+G306+G307+G308)*'DATA - P&amp;L'!$C$35)</f>
        <v>0</v>
      </c>
      <c r="H434" s="70">
        <f>((H296+H297+H298+H299)*'DATA - P&amp;L'!$C$34)+((H305+H306+H307+H308)*'DATA - P&amp;L'!$C$35)</f>
        <v>0</v>
      </c>
      <c r="I434" s="70">
        <f>((I296+I297+I298+I299)*'DATA - P&amp;L'!$C$34)+((I305+I306+I307+I308)*'DATA - P&amp;L'!$C$35)</f>
        <v>0</v>
      </c>
      <c r="J434" s="70">
        <f>((J296+J297+J298+J299)*'DATA - P&amp;L'!$C$34)+((J305+J306+J307+J308)*'DATA - P&amp;L'!$C$35)</f>
        <v>0</v>
      </c>
      <c r="K434" s="70">
        <f>((K296+K297+K298+K299)*'DATA - P&amp;L'!$C$34)+((K305+K306+K307+K308)*'DATA - P&amp;L'!$C$35)</f>
        <v>0</v>
      </c>
      <c r="L434" s="70">
        <f>((L296+L297+L298+L299)*'DATA - P&amp;L'!$C$34)+((L305+L306+L307+L308)*'DATA - P&amp;L'!$C$35)</f>
        <v>143.28</v>
      </c>
      <c r="M434" s="70">
        <f>((M296+M297+M298+M299)*'DATA - P&amp;L'!$C$34)+((M305+M306+M307+M308)*'DATA - P&amp;L'!$C$35)</f>
        <v>129.3</v>
      </c>
      <c r="N434" s="70">
        <f>((N296+N297+N298+N299)*'DATA - P&amp;L'!$C$34)+((N305+N306+N307+N308)*'DATA - P&amp;L'!$C$35)</f>
        <v>0</v>
      </c>
      <c r="O434" s="70">
        <f>((O296+O297+O298+O299)*'DATA - P&amp;L'!$C$34)+((O305+O306+O307+O308)*'DATA - P&amp;L'!$C$35)</f>
        <v>0</v>
      </c>
      <c r="P434" s="70">
        <f>((P296+P297+P298+P299)*'DATA - P&amp;L'!$C$34)+((P305+P306+P307+P308)*'DATA - P&amp;L'!$C$35)</f>
        <v>0</v>
      </c>
      <c r="Q434" s="70">
        <f>((Q296+Q297+Q298+Q299)*'DATA - P&amp;L'!$C$34)+((Q305+Q306+Q307+Q308)*'DATA - P&amp;L'!$C$35)</f>
        <v>0</v>
      </c>
      <c r="R434" s="70">
        <f>((R296+R297+R298+R299)*'DATA - P&amp;L'!$C$34)+((R305+R306+R307+R308)*'DATA - P&amp;L'!$C$35)</f>
        <v>0</v>
      </c>
      <c r="S434" s="70">
        <f>((S296+S297+S298+S299)*'DATA - P&amp;L'!$C$34)+((S305+S306+S307+S308)*'DATA - P&amp;L'!$C$35)</f>
        <v>0</v>
      </c>
      <c r="T434" s="70">
        <f>((T296+T297+T298+T299)*'DATA - P&amp;L'!$C$34)+((T305+T306+T307+T308)*'DATA - P&amp;L'!$C$35)</f>
        <v>0</v>
      </c>
      <c r="U434" s="70">
        <f>((U296+U297+U298+U299)*'DATA - P&amp;L'!$C$34)+((U305+U306+U307+U308)*'DATA - P&amp;L'!$C$35)</f>
        <v>0</v>
      </c>
      <c r="V434" s="70">
        <f>((V296+V297+V298+V299)*'DATA - P&amp;L'!$C$34)+((V305+V306+V307+V308)*'DATA - P&amp;L'!$C$35)</f>
        <v>0</v>
      </c>
      <c r="W434" s="70">
        <f>((W296+W297+W298+W299)*'DATA - P&amp;L'!$C$34)+((W305+W306+W307+W308)*'DATA - P&amp;L'!$C$35)</f>
        <v>15.06</v>
      </c>
      <c r="X434" s="70">
        <f>((X296+X297+X298+X299)*'DATA - P&amp;L'!$C$34)+((X305+X306+X307+X308)*'DATA - P&amp;L'!$C$35)</f>
        <v>0</v>
      </c>
      <c r="Y434" s="70">
        <f>((Y296+Y297+Y298+Y299)*'DATA - P&amp;L'!$C$34)+((Y305+Y306+Y307+Y308)*'DATA - P&amp;L'!$C$35)</f>
        <v>0</v>
      </c>
      <c r="Z434" s="70">
        <f>((Z296+Z297+Z298+Z299)*'DATA - P&amp;L'!$C$34)+((Z305+Z306+Z307+Z308)*'DATA - P&amp;L'!$C$35)</f>
        <v>11.94</v>
      </c>
      <c r="AA434" s="70">
        <f>((AA296+AA297+AA298+AA299)*'DATA - P&amp;L'!$C$34)+((AA305+AA306+AA307+AA308)*'DATA - P&amp;L'!$C$35)</f>
        <v>0</v>
      </c>
      <c r="AB434" s="70">
        <f>((AB296+AB297+AB298+AB299)*'DATA - P&amp;L'!$C$34)+((AB305+AB306+AB307+AB308)*'DATA - P&amp;L'!$C$35)</f>
        <v>0</v>
      </c>
      <c r="AC434" s="70">
        <f>((AC296+AC297+AC298+AC299)*'DATA - P&amp;L'!$C$34)+((AC305+AC306+AC307+AC308)*'DATA - P&amp;L'!$C$35)</f>
        <v>0</v>
      </c>
      <c r="AD434" s="70">
        <f>((AD296+AD297+AD298+AD299)*'DATA - P&amp;L'!$C$34)+((AD305+AD306+AD307+AD308)*'DATA - P&amp;L'!$C$35)</f>
        <v>0</v>
      </c>
      <c r="AE434" s="74">
        <f>((AE296+AE297+AE298+AE299)*'DATA - P&amp;L'!$C$34)+((AE305+AE306+AE307+AE308)*'DATA - P&amp;L'!$C$35)</f>
        <v>0</v>
      </c>
      <c r="AF434" s="87">
        <f t="shared" si="130"/>
        <v>299.58</v>
      </c>
    </row>
    <row r="435" outlineLevel="1">
      <c r="A435" s="101" t="s">
        <v>870</v>
      </c>
      <c r="B435" s="70">
        <f>((B325*'DATA - P&amp;L'!$D$38)+(B336*'DATA - P&amp;L'!$D$39))*'DATA - P&amp;L'!$C$55</f>
        <v>0</v>
      </c>
      <c r="C435" s="70">
        <f>((C325*'DATA - P&amp;L'!$D$38)+(C336*'DATA - P&amp;L'!$D$39))*'DATA - P&amp;L'!$C$55</f>
        <v>0</v>
      </c>
      <c r="D435" s="70">
        <f>((D325*'DATA - P&amp;L'!$D$38)+(D336*'DATA - P&amp;L'!$D$39))*'DATA - P&amp;L'!$C$55</f>
        <v>0</v>
      </c>
      <c r="E435" s="70">
        <f>((E325*'DATA - P&amp;L'!$D$38)+(E336*'DATA - P&amp;L'!$D$39))*'DATA - P&amp;L'!$C$55</f>
        <v>0</v>
      </c>
      <c r="F435" s="70">
        <f>((F325*'DATA - P&amp;L'!$D$38)+(F336*'DATA - P&amp;L'!$D$39))*'DATA - P&amp;L'!$C$55</f>
        <v>0</v>
      </c>
      <c r="G435" s="70">
        <f>((G325*'DATA - P&amp;L'!$D$38)+(G336*'DATA - P&amp;L'!$D$39))*'DATA - P&amp;L'!$C$55</f>
        <v>0</v>
      </c>
      <c r="H435" s="70">
        <f>((H325*'DATA - P&amp;L'!$D$38)+(H336*'DATA - P&amp;L'!$D$39))*'DATA - P&amp;L'!$C$55</f>
        <v>0</v>
      </c>
      <c r="I435" s="70">
        <f>((I325*'DATA - P&amp;L'!$D$38)+(I336*'DATA - P&amp;L'!$D$39))*'DATA - P&amp;L'!$C$55</f>
        <v>0</v>
      </c>
      <c r="J435" s="70">
        <f>((J325*'DATA - P&amp;L'!$D$38)+(J336*'DATA - P&amp;L'!$D$39))*'DATA - P&amp;L'!$C$55</f>
        <v>0</v>
      </c>
      <c r="K435" s="70">
        <f>((K325*'DATA - P&amp;L'!$D$38)+(K336*'DATA - P&amp;L'!$D$39))*'DATA - P&amp;L'!$C$55</f>
        <v>0</v>
      </c>
      <c r="L435" s="70">
        <f>((L325*'DATA - P&amp;L'!$D$38)+(L336*'DATA - P&amp;L'!$D$39))*'DATA - P&amp;L'!$C$55</f>
        <v>1.0045</v>
      </c>
      <c r="M435" s="70">
        <f>((M325*'DATA - P&amp;L'!$D$38)+(M336*'DATA - P&amp;L'!$D$39))*'DATA - P&amp;L'!$C$55</f>
        <v>0.864</v>
      </c>
      <c r="N435" s="70">
        <f>((N325*'DATA - P&amp;L'!$D$38)+(N336*'DATA - P&amp;L'!$D$39))*'DATA - P&amp;L'!$C$55</f>
        <v>0</v>
      </c>
      <c r="O435" s="70">
        <f>((O325*'DATA - P&amp;L'!$D$38)+(O336*'DATA - P&amp;L'!$D$39))*'DATA - P&amp;L'!$C$55</f>
        <v>0</v>
      </c>
      <c r="P435" s="70">
        <f>((P325*'DATA - P&amp;L'!$D$38)+(P336*'DATA - P&amp;L'!$D$39))*'DATA - P&amp;L'!$C$55</f>
        <v>0</v>
      </c>
      <c r="Q435" s="70">
        <f>((Q325*'DATA - P&amp;L'!$D$38)+(Q336*'DATA - P&amp;L'!$D$39))*'DATA - P&amp;L'!$C$55</f>
        <v>0</v>
      </c>
      <c r="R435" s="70">
        <f>((R325*'DATA - P&amp;L'!$D$38)+(R336*'DATA - P&amp;L'!$D$39))*'DATA - P&amp;L'!$C$55</f>
        <v>0</v>
      </c>
      <c r="S435" s="70">
        <f>((S325*'DATA - P&amp;L'!$D$38)+(S336*'DATA - P&amp;L'!$D$39))*'DATA - P&amp;L'!$C$55</f>
        <v>0.1435</v>
      </c>
      <c r="T435" s="70">
        <f>((T325*'DATA - P&amp;L'!$D$38)+(T336*'DATA - P&amp;L'!$D$39))*'DATA - P&amp;L'!$C$55</f>
        <v>0</v>
      </c>
      <c r="U435" s="70">
        <f>((U325*'DATA - P&amp;L'!$D$38)+(U336*'DATA - P&amp;L'!$D$39))*'DATA - P&amp;L'!$C$55</f>
        <v>0</v>
      </c>
      <c r="V435" s="70">
        <f>((V325*'DATA - P&amp;L'!$D$38)+(V336*'DATA - P&amp;L'!$D$39))*'DATA - P&amp;L'!$C$55</f>
        <v>0</v>
      </c>
      <c r="W435" s="70">
        <f>((W325*'DATA - P&amp;L'!$D$38)+(W336*'DATA - P&amp;L'!$D$39))*'DATA - P&amp;L'!$C$55</f>
        <v>0</v>
      </c>
      <c r="X435" s="70">
        <f>((X325*'DATA - P&amp;L'!$D$38)+(X336*'DATA - P&amp;L'!$D$39))*'DATA - P&amp;L'!$C$55</f>
        <v>0</v>
      </c>
      <c r="Y435" s="70">
        <f>((Y325*'DATA - P&amp;L'!$D$38)+(Y336*'DATA - P&amp;L'!$D$39))*'DATA - P&amp;L'!$C$55</f>
        <v>0</v>
      </c>
      <c r="Z435" s="70">
        <f>((Z325*'DATA - P&amp;L'!$D$38)+(Z336*'DATA - P&amp;L'!$D$39))*'DATA - P&amp;L'!$C$55</f>
        <v>2.87</v>
      </c>
      <c r="AA435" s="70">
        <f>((AA325*'DATA - P&amp;L'!$D$38)+(AA336*'DATA - P&amp;L'!$D$39))*'DATA - P&amp;L'!$C$55</f>
        <v>1.584</v>
      </c>
      <c r="AB435" s="70">
        <f>((AB325*'DATA - P&amp;L'!$D$38)+(AB336*'DATA - P&amp;L'!$D$39))*'DATA - P&amp;L'!$C$55</f>
        <v>0</v>
      </c>
      <c r="AC435" s="70">
        <f>((AC325*'DATA - P&amp;L'!$D$38)+(AC336*'DATA - P&amp;L'!$D$39))*'DATA - P&amp;L'!$C$55</f>
        <v>0</v>
      </c>
      <c r="AD435" s="70">
        <f>((AD325*'DATA - P&amp;L'!$D$38)+(AD336*'DATA - P&amp;L'!$D$39))*'DATA - P&amp;L'!$C$55</f>
        <v>0</v>
      </c>
      <c r="AE435" s="74">
        <f>((AE325*'DATA - P&amp;L'!$D$38)+(AE336*'DATA - P&amp;L'!$D$39))*'DATA - P&amp;L'!$C$55</f>
        <v>0</v>
      </c>
      <c r="AF435" s="87">
        <f t="shared" si="130"/>
        <v>6.466</v>
      </c>
    </row>
    <row r="436" outlineLevel="1">
      <c r="A436" s="101" t="s">
        <v>871</v>
      </c>
      <c r="B436" s="70">
        <f>(B325*'DATA - P&amp;L'!$D$34)+('DATA - P&amp;L'!$D$35*B336)</f>
        <v>0</v>
      </c>
      <c r="C436" s="70">
        <f>(C325*'DATA - P&amp;L'!$D$34)+('DATA - P&amp;L'!$D$35*C336)</f>
        <v>0</v>
      </c>
      <c r="D436" s="70">
        <f>(D325*'DATA - P&amp;L'!$D$34)+('DATA - P&amp;L'!$D$35*D336)</f>
        <v>0</v>
      </c>
      <c r="E436" s="70">
        <f>(E325*'DATA - P&amp;L'!$D$34)+('DATA - P&amp;L'!$D$35*E336)</f>
        <v>0</v>
      </c>
      <c r="F436" s="70">
        <f>(F325*'DATA - P&amp;L'!$D$34)+('DATA - P&amp;L'!$D$35*F336)</f>
        <v>0</v>
      </c>
      <c r="G436" s="70">
        <f>(G325*'DATA - P&amp;L'!$D$34)+('DATA - P&amp;L'!$D$35*G336)</f>
        <v>0</v>
      </c>
      <c r="H436" s="70">
        <f>(H325*'DATA - P&amp;L'!$D$34)+('DATA - P&amp;L'!$D$35*H336)</f>
        <v>0</v>
      </c>
      <c r="I436" s="70">
        <f>(I325*'DATA - P&amp;L'!$D$34)+('DATA - P&amp;L'!$D$35*I336)</f>
        <v>0</v>
      </c>
      <c r="J436" s="70">
        <f>(J325*'DATA - P&amp;L'!$D$34)+('DATA - P&amp;L'!$D$35*J336)</f>
        <v>0</v>
      </c>
      <c r="K436" s="70">
        <f>(K325*'DATA - P&amp;L'!$D$34)+('DATA - P&amp;L'!$D$35*K336)</f>
        <v>0</v>
      </c>
      <c r="L436" s="70">
        <f>(L325*'DATA - P&amp;L'!$D$34)+('DATA - P&amp;L'!$D$35*L336)</f>
        <v>43.085</v>
      </c>
      <c r="M436" s="70">
        <f>(M325*'DATA - P&amp;L'!$D$34)+('DATA - P&amp;L'!$D$35*M336)</f>
        <v>36.96</v>
      </c>
      <c r="N436" s="70">
        <f>(N325*'DATA - P&amp;L'!$D$34)+('DATA - P&amp;L'!$D$35*N336)</f>
        <v>0</v>
      </c>
      <c r="O436" s="70">
        <f>(O325*'DATA - P&amp;L'!$D$34)+('DATA - P&amp;L'!$D$35*O336)</f>
        <v>0</v>
      </c>
      <c r="P436" s="70">
        <f>(P325*'DATA - P&amp;L'!$D$34)+('DATA - P&amp;L'!$D$35*P336)</f>
        <v>0</v>
      </c>
      <c r="Q436" s="70">
        <f>(Q325*'DATA - P&amp;L'!$D$34)+('DATA - P&amp;L'!$D$35*Q336)</f>
        <v>0</v>
      </c>
      <c r="R436" s="70">
        <f>(R325*'DATA - P&amp;L'!$D$34)+('DATA - P&amp;L'!$D$35*R336)</f>
        <v>0</v>
      </c>
      <c r="S436" s="70">
        <f>(S325*'DATA - P&amp;L'!$D$34)+('DATA - P&amp;L'!$D$35*S336)</f>
        <v>6.155</v>
      </c>
      <c r="T436" s="70">
        <f>(T325*'DATA - P&amp;L'!$D$34)+('DATA - P&amp;L'!$D$35*T336)</f>
        <v>0</v>
      </c>
      <c r="U436" s="70">
        <f>(U325*'DATA - P&amp;L'!$D$34)+('DATA - P&amp;L'!$D$35*U336)</f>
        <v>0</v>
      </c>
      <c r="V436" s="70">
        <f>(V325*'DATA - P&amp;L'!$D$34)+('DATA - P&amp;L'!$D$35*V336)</f>
        <v>0</v>
      </c>
      <c r="W436" s="70">
        <f>(W325*'DATA - P&amp;L'!$D$34)+('DATA - P&amp;L'!$D$35*W336)</f>
        <v>0</v>
      </c>
      <c r="X436" s="70">
        <f>(X325*'DATA - P&amp;L'!$D$34)+('DATA - P&amp;L'!$D$35*X336)</f>
        <v>0</v>
      </c>
      <c r="Y436" s="70">
        <f>(Y325*'DATA - P&amp;L'!$D$34)+('DATA - P&amp;L'!$D$35*Y336)</f>
        <v>0</v>
      </c>
      <c r="Z436" s="70">
        <f>(Z325*'DATA - P&amp;L'!$D$34)+('DATA - P&amp;L'!$D$35*Z336)</f>
        <v>123.1</v>
      </c>
      <c r="AA436" s="70">
        <f>(AA325*'DATA - P&amp;L'!$D$34)+('DATA - P&amp;L'!$D$35*AA336)</f>
        <v>67.76</v>
      </c>
      <c r="AB436" s="70">
        <f>(AB325*'DATA - P&amp;L'!$D$34)+('DATA - P&amp;L'!$D$35*AB336)</f>
        <v>0</v>
      </c>
      <c r="AC436" s="70">
        <f>(AC325*'DATA - P&amp;L'!$D$34)+('DATA - P&amp;L'!$D$35*AC336)</f>
        <v>0</v>
      </c>
      <c r="AD436" s="70">
        <f>(AD325*'DATA - P&amp;L'!$D$34)+('DATA - P&amp;L'!$D$35*AD336)</f>
        <v>0</v>
      </c>
      <c r="AE436" s="74">
        <f>(AE325*'DATA - P&amp;L'!$D$34)+('DATA - P&amp;L'!$D$35*AE336)</f>
        <v>0</v>
      </c>
      <c r="AF436" s="87">
        <f t="shared" si="130"/>
        <v>277.06</v>
      </c>
    </row>
    <row r="437" outlineLevel="1">
      <c r="A437" s="101" t="s">
        <v>873</v>
      </c>
      <c r="B437" s="70">
        <f>((B301+B302)*'DATA - P&amp;L'!$C$38)+((B310+B311)*'DATA - P&amp;L'!$C$39)*'DATA - P&amp;L'!$C$55</f>
        <v>0</v>
      </c>
      <c r="C437" s="70">
        <f>((C301+C302)*'DATA - P&amp;L'!$C$38)+((C310+C311)*'DATA - P&amp;L'!$C$39)*'DATA - P&amp;L'!$C$55</f>
        <v>0</v>
      </c>
      <c r="D437" s="70">
        <f>((D301+D302)*'DATA - P&amp;L'!$C$38)+((D310+D311)*'DATA - P&amp;L'!$C$39)*'DATA - P&amp;L'!$C$55</f>
        <v>0</v>
      </c>
      <c r="E437" s="70">
        <f>((E301+E302)*'DATA - P&amp;L'!$C$38)+((E310+E311)*'DATA - P&amp;L'!$C$39)*'DATA - P&amp;L'!$C$55</f>
        <v>0</v>
      </c>
      <c r="F437" s="70">
        <f>((F301+F302)*'DATA - P&amp;L'!$C$38)+((F310+F311)*'DATA - P&amp;L'!$C$39)*'DATA - P&amp;L'!$C$55</f>
        <v>0</v>
      </c>
      <c r="G437" s="70">
        <f>((G301+G302)*'DATA - P&amp;L'!$C$38)+((G310+G311)*'DATA - P&amp;L'!$C$39)*'DATA - P&amp;L'!$C$55</f>
        <v>0</v>
      </c>
      <c r="H437" s="70">
        <f>((H301+H302)*'DATA - P&amp;L'!$C$38)+((H310+H311)*'DATA - P&amp;L'!$C$39)*'DATA - P&amp;L'!$C$55</f>
        <v>0</v>
      </c>
      <c r="I437" s="70">
        <f>((I301+I302)*'DATA - P&amp;L'!$C$38)+((I310+I311)*'DATA - P&amp;L'!$C$39)*'DATA - P&amp;L'!$C$55</f>
        <v>0</v>
      </c>
      <c r="J437" s="70">
        <f>((J301+J302)*'DATA - P&amp;L'!$C$38)+((J310+J311)*'DATA - P&amp;L'!$C$39)*'DATA - P&amp;L'!$C$55</f>
        <v>0</v>
      </c>
      <c r="K437" s="70">
        <f>((K301+K302)*'DATA - P&amp;L'!$C$38)+((K310+K311)*'DATA - P&amp;L'!$C$39)*'DATA - P&amp;L'!$C$55</f>
        <v>0</v>
      </c>
      <c r="L437" s="70">
        <f>((L301+L302)*'DATA - P&amp;L'!$C$38)+((L310+L311)*'DATA - P&amp;L'!$C$39)*'DATA - P&amp;L'!$C$55</f>
        <v>0</v>
      </c>
      <c r="M437" s="70">
        <f>((M301+M302)*'DATA - P&amp;L'!$C$38)+((M310+M311)*'DATA - P&amp;L'!$C$39)*'DATA - P&amp;L'!$C$55</f>
        <v>0</v>
      </c>
      <c r="N437" s="70">
        <f>((N301+N302)*'DATA - P&amp;L'!$C$38)+((N310+N311)*'DATA - P&amp;L'!$C$39)*'DATA - P&amp;L'!$C$55</f>
        <v>0</v>
      </c>
      <c r="O437" s="70">
        <f>((O301+O302)*'DATA - P&amp;L'!$C$38)+((O310+O311)*'DATA - P&amp;L'!$C$39)*'DATA - P&amp;L'!$C$55</f>
        <v>0</v>
      </c>
      <c r="P437" s="70">
        <f>((P301+P302)*'DATA - P&amp;L'!$C$38)+((P310+P311)*'DATA - P&amp;L'!$C$39)*'DATA - P&amp;L'!$C$55</f>
        <v>0</v>
      </c>
      <c r="Q437" s="70">
        <f>((Q301+Q302)*'DATA - P&amp;L'!$C$38)+((Q310+Q311)*'DATA - P&amp;L'!$C$39)*'DATA - P&amp;L'!$C$55</f>
        <v>0</v>
      </c>
      <c r="R437" s="70">
        <f>((R301+R302)*'DATA - P&amp;L'!$C$38)+((R310+R311)*'DATA - P&amp;L'!$C$39)*'DATA - P&amp;L'!$C$55</f>
        <v>0</v>
      </c>
      <c r="S437" s="70">
        <f>((S301+S302)*'DATA - P&amp;L'!$C$38)+((S310+S311)*'DATA - P&amp;L'!$C$39)*'DATA - P&amp;L'!$C$55</f>
        <v>0</v>
      </c>
      <c r="T437" s="70">
        <f>((T301+T302)*'DATA - P&amp;L'!$C$38)+((T310+T311)*'DATA - P&amp;L'!$C$39)*'DATA - P&amp;L'!$C$55</f>
        <v>0</v>
      </c>
      <c r="U437" s="70">
        <f>((U301+U302)*'DATA - P&amp;L'!$C$38)+((U310+U311)*'DATA - P&amp;L'!$C$39)*'DATA - P&amp;L'!$C$55</f>
        <v>0</v>
      </c>
      <c r="V437" s="70">
        <f>((V301+V302)*'DATA - P&amp;L'!$C$38)+((V310+V311)*'DATA - P&amp;L'!$C$39)*'DATA - P&amp;L'!$C$55</f>
        <v>0</v>
      </c>
      <c r="W437" s="70">
        <f>((W301+W302)*'DATA - P&amp;L'!$C$38)+((W310+W311)*'DATA - P&amp;L'!$C$39)*'DATA - P&amp;L'!$C$55</f>
        <v>0</v>
      </c>
      <c r="X437" s="70">
        <f>((X301+X302)*'DATA - P&amp;L'!$C$38)+((X310+X311)*'DATA - P&amp;L'!$C$39)*'DATA - P&amp;L'!$C$55</f>
        <v>0</v>
      </c>
      <c r="Y437" s="70">
        <f>((Y301+Y302)*'DATA - P&amp;L'!$C$38)+((Y310+Y311)*'DATA - P&amp;L'!$C$39)*'DATA - P&amp;L'!$C$55</f>
        <v>0</v>
      </c>
      <c r="Z437" s="70">
        <f>((Z301+Z302)*'DATA - P&amp;L'!$C$38)+((Z310+Z311)*'DATA - P&amp;L'!$C$39)*'DATA - P&amp;L'!$C$55</f>
        <v>0</v>
      </c>
      <c r="AA437" s="70">
        <f>((AA301+AA302)*'DATA - P&amp;L'!$C$38)+((AA310+AA311)*'DATA - P&amp;L'!$C$39)*'DATA - P&amp;L'!$C$55</f>
        <v>0</v>
      </c>
      <c r="AB437" s="70">
        <f>((AB301+AB302)*'DATA - P&amp;L'!$C$38)+((AB310+AB311)*'DATA - P&amp;L'!$C$39)*'DATA - P&amp;L'!$C$55</f>
        <v>0</v>
      </c>
      <c r="AC437" s="70">
        <f>((AC301+AC302)*'DATA - P&amp;L'!$C$38)+((AC310+AC311)*'DATA - P&amp;L'!$C$39)*'DATA - P&amp;L'!$C$55</f>
        <v>0</v>
      </c>
      <c r="AD437" s="70">
        <f>((AD301+AD302)*'DATA - P&amp;L'!$C$38)+((AD310+AD311)*'DATA - P&amp;L'!$C$39)*'DATA - P&amp;L'!$C$55</f>
        <v>0</v>
      </c>
      <c r="AE437" s="74">
        <f>((AE301+AE302)*'DATA - P&amp;L'!$C$38)+((AE310+AE311)*'DATA - P&amp;L'!$C$39)*'DATA - P&amp;L'!$C$55</f>
        <v>0</v>
      </c>
      <c r="AF437" s="87">
        <f t="shared" si="130"/>
        <v>0</v>
      </c>
    </row>
    <row r="438" outlineLevel="1">
      <c r="A438" s="101" t="s">
        <v>874</v>
      </c>
      <c r="B438" s="70">
        <f>((B301+B302)*'DATA - P&amp;L'!$C$34)+((B310+B311)*'DATA - P&amp;L'!$C$35)*'DATA - P&amp;L'!$C$55</f>
        <v>0</v>
      </c>
      <c r="C438" s="70">
        <f>((C301+C302)*'DATA - P&amp;L'!$C$34)+((C310+C311)*'DATA - P&amp;L'!$C$35)*'DATA - P&amp;L'!$C$55</f>
        <v>0</v>
      </c>
      <c r="D438" s="70">
        <f>((D301+D302)*'DATA - P&amp;L'!$C$34)+((D310+D311)*'DATA - P&amp;L'!$C$35)*'DATA - P&amp;L'!$C$55</f>
        <v>0</v>
      </c>
      <c r="E438" s="70">
        <f>((E301+E302)*'DATA - P&amp;L'!$C$34)+((E310+E311)*'DATA - P&amp;L'!$C$35)*'DATA - P&amp;L'!$C$55</f>
        <v>0</v>
      </c>
      <c r="F438" s="70">
        <f>((F301+F302)*'DATA - P&amp;L'!$C$34)+((F310+F311)*'DATA - P&amp;L'!$C$35)*'DATA - P&amp;L'!$C$55</f>
        <v>0</v>
      </c>
      <c r="G438" s="70">
        <f>((G301+G302)*'DATA - P&amp;L'!$C$34)+((G310+G311)*'DATA - P&amp;L'!$C$35)*'DATA - P&amp;L'!$C$55</f>
        <v>0</v>
      </c>
      <c r="H438" s="70">
        <f>((H301+H302)*'DATA - P&amp;L'!$C$34)+((H310+H311)*'DATA - P&amp;L'!$C$35)*'DATA - P&amp;L'!$C$55</f>
        <v>0</v>
      </c>
      <c r="I438" s="70">
        <f>((I301+I302)*'DATA - P&amp;L'!$C$34)+((I310+I311)*'DATA - P&amp;L'!$C$35)*'DATA - P&amp;L'!$C$55</f>
        <v>0</v>
      </c>
      <c r="J438" s="70">
        <f>((J301+J302)*'DATA - P&amp;L'!$C$34)+((J310+J311)*'DATA - P&amp;L'!$C$35)*'DATA - P&amp;L'!$C$55</f>
        <v>0</v>
      </c>
      <c r="K438" s="70">
        <f>((K301+K302)*'DATA - P&amp;L'!$C$34)+((K310+K311)*'DATA - P&amp;L'!$C$35)*'DATA - P&amp;L'!$C$55</f>
        <v>0</v>
      </c>
      <c r="L438" s="70">
        <f>((L301+L302)*'DATA - P&amp;L'!$C$34)+((L310+L311)*'DATA - P&amp;L'!$C$35)*'DATA - P&amp;L'!$C$55</f>
        <v>0</v>
      </c>
      <c r="M438" s="70">
        <f>((M301+M302)*'DATA - P&amp;L'!$C$34)+((M310+M311)*'DATA - P&amp;L'!$C$35)*'DATA - P&amp;L'!$C$55</f>
        <v>0</v>
      </c>
      <c r="N438" s="70">
        <f>((N301+N302)*'DATA - P&amp;L'!$C$34)+((N310+N311)*'DATA - P&amp;L'!$C$35)*'DATA - P&amp;L'!$C$55</f>
        <v>0</v>
      </c>
      <c r="O438" s="70">
        <f>((O301+O302)*'DATA - P&amp;L'!$C$34)+((O310+O311)*'DATA - P&amp;L'!$C$35)*'DATA - P&amp;L'!$C$55</f>
        <v>0</v>
      </c>
      <c r="P438" s="70">
        <f>((P301+P302)*'DATA - P&amp;L'!$C$34)+((P310+P311)*'DATA - P&amp;L'!$C$35)*'DATA - P&amp;L'!$C$55</f>
        <v>0</v>
      </c>
      <c r="Q438" s="70">
        <f>((Q301+Q302)*'DATA - P&amp;L'!$C$34)+((Q310+Q311)*'DATA - P&amp;L'!$C$35)*'DATA - P&amp;L'!$C$55</f>
        <v>0</v>
      </c>
      <c r="R438" s="70">
        <f>((R301+R302)*'DATA - P&amp;L'!$C$34)+((R310+R311)*'DATA - P&amp;L'!$C$35)*'DATA - P&amp;L'!$C$55</f>
        <v>0</v>
      </c>
      <c r="S438" s="70">
        <f>((S301+S302)*'DATA - P&amp;L'!$C$34)+((S310+S311)*'DATA - P&amp;L'!$C$35)*'DATA - P&amp;L'!$C$55</f>
        <v>0</v>
      </c>
      <c r="T438" s="70">
        <f>((T301+T302)*'DATA - P&amp;L'!$C$34)+((T310+T311)*'DATA - P&amp;L'!$C$35)*'DATA - P&amp;L'!$C$55</f>
        <v>0</v>
      </c>
      <c r="U438" s="70">
        <f>((U301+U302)*'DATA - P&amp;L'!$C$34)+((U310+U311)*'DATA - P&amp;L'!$C$35)*'DATA - P&amp;L'!$C$55</f>
        <v>0</v>
      </c>
      <c r="V438" s="70">
        <f>((V301+V302)*'DATA - P&amp;L'!$C$34)+((V310+V311)*'DATA - P&amp;L'!$C$35)*'DATA - P&amp;L'!$C$55</f>
        <v>0</v>
      </c>
      <c r="W438" s="70">
        <f>((W301+W302)*'DATA - P&amp;L'!$C$34)+((W310+W311)*'DATA - P&amp;L'!$C$35)*'DATA - P&amp;L'!$C$55</f>
        <v>0</v>
      </c>
      <c r="X438" s="70">
        <f>((X301+X302)*'DATA - P&amp;L'!$C$34)+((X310+X311)*'DATA - P&amp;L'!$C$35)*'DATA - P&amp;L'!$C$55</f>
        <v>0</v>
      </c>
      <c r="Y438" s="70">
        <f>((Y301+Y302)*'DATA - P&amp;L'!$C$34)+((Y310+Y311)*'DATA - P&amp;L'!$C$35)*'DATA - P&amp;L'!$C$55</f>
        <v>0</v>
      </c>
      <c r="Z438" s="70">
        <f>((Z301+Z302)*'DATA - P&amp;L'!$C$34)+((Z310+Z311)*'DATA - P&amp;L'!$C$35)*'DATA - P&amp;L'!$C$55</f>
        <v>0</v>
      </c>
      <c r="AA438" s="70">
        <f>((AA301+AA302)*'DATA - P&amp;L'!$C$34)+((AA310+AA311)*'DATA - P&amp;L'!$C$35)*'DATA - P&amp;L'!$C$55</f>
        <v>0</v>
      </c>
      <c r="AB438" s="70">
        <f>((AB301+AB302)*'DATA - P&amp;L'!$C$34)+((AB310+AB311)*'DATA - P&amp;L'!$C$35)*'DATA - P&amp;L'!$C$55</f>
        <v>0</v>
      </c>
      <c r="AC438" s="70">
        <f>((AC301+AC302)*'DATA - P&amp;L'!$C$34)+((AC310+AC311)*'DATA - P&amp;L'!$C$35)*'DATA - P&amp;L'!$C$55</f>
        <v>0</v>
      </c>
      <c r="AD438" s="70">
        <f>((AD301+AD302)*'DATA - P&amp;L'!$C$34)+((AD310+AD311)*'DATA - P&amp;L'!$C$35)*'DATA - P&amp;L'!$C$55</f>
        <v>0</v>
      </c>
      <c r="AE438" s="74">
        <f>((AE301+AE302)*'DATA - P&amp;L'!$C$34)+((AE310+AE311)*'DATA - P&amp;L'!$C$35)*'DATA - P&amp;L'!$C$55</f>
        <v>0</v>
      </c>
      <c r="AF438" s="87">
        <f t="shared" si="130"/>
        <v>0</v>
      </c>
    </row>
    <row r="439" outlineLevel="1">
      <c r="A439" s="101" t="s">
        <v>875</v>
      </c>
      <c r="B439" s="70">
        <f>(B303*'DATA - P&amp;L'!$C$34)+(B312*'DATA - P&amp;L'!$C$35)*'DATA - P&amp;L'!$C$55</f>
        <v>0</v>
      </c>
      <c r="C439" s="70">
        <f>(C303*'DATA - P&amp;L'!$C$34)+(C312*'DATA - P&amp;L'!$C$35)*'DATA - P&amp;L'!$C$55</f>
        <v>0</v>
      </c>
      <c r="D439" s="70">
        <f>(D303*'DATA - P&amp;L'!$C$34)+(D312*'DATA - P&amp;L'!$C$35)*'DATA - P&amp;L'!$C$55</f>
        <v>0</v>
      </c>
      <c r="E439" s="70">
        <f>(E303*'DATA - P&amp;L'!$C$34)+(E312*'DATA - P&amp;L'!$C$35)*'DATA - P&amp;L'!$C$55</f>
        <v>0</v>
      </c>
      <c r="F439" s="70">
        <f>(F303*'DATA - P&amp;L'!$C$34)+(F312*'DATA - P&amp;L'!$C$35)*'DATA - P&amp;L'!$C$55</f>
        <v>0</v>
      </c>
      <c r="G439" s="70">
        <f>(G303*'DATA - P&amp;L'!$C$34)+(G312*'DATA - P&amp;L'!$C$35)*'DATA - P&amp;L'!$C$55</f>
        <v>0</v>
      </c>
      <c r="H439" s="70">
        <f>(H303*'DATA - P&amp;L'!$C$34)+(H312*'DATA - P&amp;L'!$C$35)*'DATA - P&amp;L'!$C$55</f>
        <v>0</v>
      </c>
      <c r="I439" s="70">
        <f>(I303*'DATA - P&amp;L'!$C$34)+(I312*'DATA - P&amp;L'!$C$35)*'DATA - P&amp;L'!$C$55</f>
        <v>0</v>
      </c>
      <c r="J439" s="70">
        <f>(J303*'DATA - P&amp;L'!$C$34)+(J312*'DATA - P&amp;L'!$C$35)*'DATA - P&amp;L'!$C$55</f>
        <v>0</v>
      </c>
      <c r="K439" s="70">
        <f>(K303*'DATA - P&amp;L'!$C$34)+(K312*'DATA - P&amp;L'!$C$35)*'DATA - P&amp;L'!$C$55</f>
        <v>0</v>
      </c>
      <c r="L439" s="70">
        <f>(L303*'DATA - P&amp;L'!$C$34)+(L312*'DATA - P&amp;L'!$C$35)*'DATA - P&amp;L'!$C$55</f>
        <v>0</v>
      </c>
      <c r="M439" s="70">
        <f>(M303*'DATA - P&amp;L'!$C$34)+(M312*'DATA - P&amp;L'!$C$35)*'DATA - P&amp;L'!$C$55</f>
        <v>0</v>
      </c>
      <c r="N439" s="70">
        <f>(N303*'DATA - P&amp;L'!$C$34)+(N312*'DATA - P&amp;L'!$C$35)*'DATA - P&amp;L'!$C$55</f>
        <v>0</v>
      </c>
      <c r="O439" s="70">
        <f>(O303*'DATA - P&amp;L'!$C$34)+(O312*'DATA - P&amp;L'!$C$35)*'DATA - P&amp;L'!$C$55</f>
        <v>0</v>
      </c>
      <c r="P439" s="70">
        <f>(P303*'DATA - P&amp;L'!$C$34)+(P312*'DATA - P&amp;L'!$C$35)*'DATA - P&amp;L'!$C$55</f>
        <v>0</v>
      </c>
      <c r="Q439" s="70">
        <f>(Q303*'DATA - P&amp;L'!$C$34)+(Q312*'DATA - P&amp;L'!$C$35)*'DATA - P&amp;L'!$C$55</f>
        <v>0</v>
      </c>
      <c r="R439" s="70">
        <f>(R303*'DATA - P&amp;L'!$C$34)+(R312*'DATA - P&amp;L'!$C$35)*'DATA - P&amp;L'!$C$55</f>
        <v>0</v>
      </c>
      <c r="S439" s="70">
        <f>(S303*'DATA - P&amp;L'!$C$34)+(S312*'DATA - P&amp;L'!$C$35)*'DATA - P&amp;L'!$C$55</f>
        <v>0</v>
      </c>
      <c r="T439" s="70">
        <f>(T303*'DATA - P&amp;L'!$C$34)+(T312*'DATA - P&amp;L'!$C$35)*'DATA - P&amp;L'!$C$55</f>
        <v>0</v>
      </c>
      <c r="U439" s="70">
        <f>(U303*'DATA - P&amp;L'!$C$34)+(U312*'DATA - P&amp;L'!$C$35)*'DATA - P&amp;L'!$C$55</f>
        <v>0</v>
      </c>
      <c r="V439" s="70">
        <f>(V303*'DATA - P&amp;L'!$C$34)+(V312*'DATA - P&amp;L'!$C$35)*'DATA - P&amp;L'!$C$55</f>
        <v>0</v>
      </c>
      <c r="W439" s="70">
        <f>(W303*'DATA - P&amp;L'!$C$34)+(W312*'DATA - P&amp;L'!$C$35)*'DATA - P&amp;L'!$C$55</f>
        <v>0</v>
      </c>
      <c r="X439" s="70">
        <f>(X303*'DATA - P&amp;L'!$C$34)+(X312*'DATA - P&amp;L'!$C$35)*'DATA - P&amp;L'!$C$55</f>
        <v>0</v>
      </c>
      <c r="Y439" s="70">
        <f>(Y303*'DATA - P&amp;L'!$C$34)+(Y312*'DATA - P&amp;L'!$C$35)*'DATA - P&amp;L'!$C$55</f>
        <v>0</v>
      </c>
      <c r="Z439" s="70">
        <f>(Z303*'DATA - P&amp;L'!$C$34)+(Z312*'DATA - P&amp;L'!$C$35)*'DATA - P&amp;L'!$C$55</f>
        <v>0</v>
      </c>
      <c r="AA439" s="70">
        <f>(AA303*'DATA - P&amp;L'!$C$34)+(AA312*'DATA - P&amp;L'!$C$35)*'DATA - P&amp;L'!$C$55</f>
        <v>0</v>
      </c>
      <c r="AB439" s="70">
        <f>(AB303*'DATA - P&amp;L'!$C$34)+(AB312*'DATA - P&amp;L'!$C$35)*'DATA - P&amp;L'!$C$55</f>
        <v>0</v>
      </c>
      <c r="AC439" s="70">
        <f>(AC303*'DATA - P&amp;L'!$C$34)+(AC312*'DATA - P&amp;L'!$C$35)*'DATA - P&amp;L'!$C$55</f>
        <v>0</v>
      </c>
      <c r="AD439" s="70">
        <f>(AD303*'DATA - P&amp;L'!$C$34)+(AD312*'DATA - P&amp;L'!$C$35)*'DATA - P&amp;L'!$C$55</f>
        <v>0</v>
      </c>
      <c r="AE439" s="74">
        <f>(AE303*'DATA - P&amp;L'!$C$34)+(AE312*'DATA - P&amp;L'!$C$35)*'DATA - P&amp;L'!$C$55</f>
        <v>0</v>
      </c>
      <c r="AF439" s="87">
        <f t="shared" si="130"/>
        <v>0</v>
      </c>
    </row>
    <row r="440" outlineLevel="1">
      <c r="A440" s="101" t="s">
        <v>877</v>
      </c>
      <c r="B440" s="70">
        <f>(B303*'DATA - P&amp;L'!$C$34)+(B312*'DATA - P&amp;L'!$C$35)*'DATA - P&amp;L'!$C$55</f>
        <v>0</v>
      </c>
      <c r="C440" s="70">
        <f>(C303*'DATA - P&amp;L'!$C$34)+(C312*'DATA - P&amp;L'!$C$35)*'DATA - P&amp;L'!$C$55</f>
        <v>0</v>
      </c>
      <c r="D440" s="70">
        <f>(D303*'DATA - P&amp;L'!$C$34)+(D312*'DATA - P&amp;L'!$C$35)*'DATA - P&amp;L'!$C$55</f>
        <v>0</v>
      </c>
      <c r="E440" s="70">
        <f>(E303*'DATA - P&amp;L'!$C$34)+(E312*'DATA - P&amp;L'!$C$35)*'DATA - P&amp;L'!$C$55</f>
        <v>0</v>
      </c>
      <c r="F440" s="70">
        <f>(F303*'DATA - P&amp;L'!$C$34)+(F312*'DATA - P&amp;L'!$C$35)*'DATA - P&amp;L'!$C$55</f>
        <v>0</v>
      </c>
      <c r="G440" s="70">
        <f>(G303*'DATA - P&amp;L'!$C$34)+(G312*'DATA - P&amp;L'!$C$35)*'DATA - P&amp;L'!$C$55</f>
        <v>0</v>
      </c>
      <c r="H440" s="70">
        <f>(H303*'DATA - P&amp;L'!$C$34)+(H312*'DATA - P&amp;L'!$C$35)*'DATA - P&amp;L'!$C$55</f>
        <v>0</v>
      </c>
      <c r="I440" s="70">
        <f>(I303*'DATA - P&amp;L'!$C$34)+(I312*'DATA - P&amp;L'!$C$35)*'DATA - P&amp;L'!$C$55</f>
        <v>0</v>
      </c>
      <c r="J440" s="70">
        <f>(J303*'DATA - P&amp;L'!$C$34)+(J312*'DATA - P&amp;L'!$C$35)*'DATA - P&amp;L'!$C$55</f>
        <v>0</v>
      </c>
      <c r="K440" s="70">
        <f>(K303*'DATA - P&amp;L'!$C$34)+(K312*'DATA - P&amp;L'!$C$35)*'DATA - P&amp;L'!$C$55</f>
        <v>0</v>
      </c>
      <c r="L440" s="70">
        <f>(L303*'DATA - P&amp;L'!$C$34)+(L312*'DATA - P&amp;L'!$C$35)*'DATA - P&amp;L'!$C$55</f>
        <v>0</v>
      </c>
      <c r="M440" s="70">
        <f>(M303*'DATA - P&amp;L'!$C$34)+(M312*'DATA - P&amp;L'!$C$35)*'DATA - P&amp;L'!$C$55</f>
        <v>0</v>
      </c>
      <c r="N440" s="70">
        <f>(N303*'DATA - P&amp;L'!$C$34)+(N312*'DATA - P&amp;L'!$C$35)*'DATA - P&amp;L'!$C$55</f>
        <v>0</v>
      </c>
      <c r="O440" s="70">
        <f>(O303*'DATA - P&amp;L'!$C$34)+(O312*'DATA - P&amp;L'!$C$35)*'DATA - P&amp;L'!$C$55</f>
        <v>0</v>
      </c>
      <c r="P440" s="70">
        <f>(P303*'DATA - P&amp;L'!$C$34)+(P312*'DATA - P&amp;L'!$C$35)*'DATA - P&amp;L'!$C$55</f>
        <v>0</v>
      </c>
      <c r="Q440" s="70">
        <f>(Q303*'DATA - P&amp;L'!$C$34)+(Q312*'DATA - P&amp;L'!$C$35)*'DATA - P&amp;L'!$C$55</f>
        <v>0</v>
      </c>
      <c r="R440" s="70">
        <f>(R303*'DATA - P&amp;L'!$C$34)+(R312*'DATA - P&amp;L'!$C$35)*'DATA - P&amp;L'!$C$55</f>
        <v>0</v>
      </c>
      <c r="S440" s="70">
        <f>(S303*'DATA - P&amp;L'!$C$34)+(S312*'DATA - P&amp;L'!$C$35)*'DATA - P&amp;L'!$C$55</f>
        <v>0</v>
      </c>
      <c r="T440" s="70">
        <f>(T303*'DATA - P&amp;L'!$C$34)+(T312*'DATA - P&amp;L'!$C$35)*'DATA - P&amp;L'!$C$55</f>
        <v>0</v>
      </c>
      <c r="U440" s="70">
        <f>(U303*'DATA - P&amp;L'!$C$34)+(U312*'DATA - P&amp;L'!$C$35)*'DATA - P&amp;L'!$C$55</f>
        <v>0</v>
      </c>
      <c r="V440" s="70">
        <f>(V303*'DATA - P&amp;L'!$C$34)+(V312*'DATA - P&amp;L'!$C$35)*'DATA - P&amp;L'!$C$55</f>
        <v>0</v>
      </c>
      <c r="W440" s="70">
        <f>(W303*'DATA - P&amp;L'!$C$34)+(W312*'DATA - P&amp;L'!$C$35)*'DATA - P&amp;L'!$C$55</f>
        <v>0</v>
      </c>
      <c r="X440" s="70">
        <f>(X303*'DATA - P&amp;L'!$C$34)+(X312*'DATA - P&amp;L'!$C$35)*'DATA - P&amp;L'!$C$55</f>
        <v>0</v>
      </c>
      <c r="Y440" s="70">
        <f>(Y303*'DATA - P&amp;L'!$C$34)+(Y312*'DATA - P&amp;L'!$C$35)*'DATA - P&amp;L'!$C$55</f>
        <v>0</v>
      </c>
      <c r="Z440" s="70">
        <f>(Z303*'DATA - P&amp;L'!$C$34)+(Z312*'DATA - P&amp;L'!$C$35)*'DATA - P&amp;L'!$C$55</f>
        <v>0</v>
      </c>
      <c r="AA440" s="70">
        <f>(AA303*'DATA - P&amp;L'!$C$34)+(AA312*'DATA - P&amp;L'!$C$35)*'DATA - P&amp;L'!$C$55</f>
        <v>0</v>
      </c>
      <c r="AB440" s="70">
        <f>(AB303*'DATA - P&amp;L'!$C$34)+(AB312*'DATA - P&amp;L'!$C$35)*'DATA - P&amp;L'!$C$55</f>
        <v>0</v>
      </c>
      <c r="AC440" s="70">
        <f>(AC303*'DATA - P&amp;L'!$C$34)+(AC312*'DATA - P&amp;L'!$C$35)*'DATA - P&amp;L'!$C$55</f>
        <v>0</v>
      </c>
      <c r="AD440" s="70">
        <f>(AD303*'DATA - P&amp;L'!$C$34)+(AD312*'DATA - P&amp;L'!$C$35)*'DATA - P&amp;L'!$C$55</f>
        <v>0</v>
      </c>
      <c r="AE440" s="74">
        <f>(AE303*'DATA - P&amp;L'!$C$34)+(AE312*'DATA - P&amp;L'!$C$35)*'DATA - P&amp;L'!$C$55</f>
        <v>0</v>
      </c>
      <c r="AF440" s="87">
        <f t="shared" si="130"/>
        <v>0</v>
      </c>
    </row>
    <row r="441">
      <c r="A441" s="603" t="s">
        <v>537</v>
      </c>
      <c r="B441" s="943"/>
      <c r="C441" s="943"/>
      <c r="D441" s="943"/>
      <c r="E441" s="943"/>
      <c r="F441" s="943"/>
      <c r="G441" s="943"/>
      <c r="H441" s="943"/>
      <c r="I441" s="943"/>
      <c r="J441" s="943"/>
      <c r="K441" s="943"/>
      <c r="L441" s="943"/>
      <c r="M441" s="943"/>
      <c r="N441" s="943"/>
      <c r="O441" s="943"/>
      <c r="P441" s="943"/>
      <c r="Q441" s="943"/>
      <c r="R441" s="943"/>
      <c r="S441" s="943"/>
      <c r="T441" s="943"/>
      <c r="U441" s="943"/>
      <c r="V441" s="943"/>
      <c r="W441" s="943"/>
      <c r="X441" s="943"/>
      <c r="Y441" s="943"/>
      <c r="Z441" s="943"/>
      <c r="AA441" s="943"/>
      <c r="AB441" s="943"/>
      <c r="AC441" s="943"/>
      <c r="AD441" s="943"/>
      <c r="AE441" s="944"/>
      <c r="AF441" s="140"/>
    </row>
    <row r="442">
      <c r="A442" s="603" t="s">
        <v>880</v>
      </c>
      <c r="B442" s="70">
        <f>(B342*'DATA - P&amp;L'!$C$34)+('DATA - P&amp;L'!$C$35*B343)</f>
        <v>0</v>
      </c>
      <c r="C442" s="70">
        <f>(C342*'DATA - P&amp;L'!$C$34)+('DATA - P&amp;L'!$C$35*C343)</f>
        <v>0</v>
      </c>
      <c r="D442" s="70">
        <f>(D342*'DATA - P&amp;L'!$C$34)+('DATA - P&amp;L'!$C$35*D343)</f>
        <v>0</v>
      </c>
      <c r="E442" s="70">
        <f>(E342*'DATA - P&amp;L'!$C$34)+('DATA - P&amp;L'!$C$35*E343)</f>
        <v>0</v>
      </c>
      <c r="F442" s="70">
        <f>(F342*'DATA - P&amp;L'!$C$34)+('DATA - P&amp;L'!$C$35*F343)</f>
        <v>0</v>
      </c>
      <c r="G442" s="70">
        <f>(G342*'DATA - P&amp;L'!$C$34)+('DATA - P&amp;L'!$C$35*G343)</f>
        <v>0</v>
      </c>
      <c r="H442" s="70">
        <f>(H342*'DATA - P&amp;L'!$C$34)+('DATA - P&amp;L'!$C$35*H343)</f>
        <v>0</v>
      </c>
      <c r="I442" s="70">
        <f>(I342*'DATA - P&amp;L'!$C$34)+('DATA - P&amp;L'!$C$35*I343)</f>
        <v>0</v>
      </c>
      <c r="J442" s="70">
        <f>(J342*'DATA - P&amp;L'!$C$34)+('DATA - P&amp;L'!$C$35*J343)</f>
        <v>0</v>
      </c>
      <c r="K442" s="70">
        <f>(K342*'DATA - P&amp;L'!$C$34)+('DATA - P&amp;L'!$C$35*K343)</f>
        <v>0</v>
      </c>
      <c r="L442" s="70">
        <f>(L342*'DATA - P&amp;L'!$C$34)+('DATA - P&amp;L'!$C$35*L343)</f>
        <v>119.4</v>
      </c>
      <c r="M442" s="70">
        <f>(M342*'DATA - P&amp;L'!$C$34)+('DATA - P&amp;L'!$C$35*M343)</f>
        <v>252.9</v>
      </c>
      <c r="N442" s="70">
        <f>(N342*'DATA - P&amp;L'!$C$34)+('DATA - P&amp;L'!$C$35*N343)</f>
        <v>0</v>
      </c>
      <c r="O442" s="70">
        <f>(O342*'DATA - P&amp;L'!$C$34)+('DATA - P&amp;L'!$C$35*O343)</f>
        <v>0</v>
      </c>
      <c r="P442" s="70">
        <f>(P342*'DATA - P&amp;L'!$C$34)+('DATA - P&amp;L'!$C$35*P343)</f>
        <v>0</v>
      </c>
      <c r="Q442" s="70">
        <f>(Q342*'DATA - P&amp;L'!$C$34)+('DATA - P&amp;L'!$C$35*Q343)</f>
        <v>0</v>
      </c>
      <c r="R442" s="70">
        <f>(R342*'DATA - P&amp;L'!$C$34)+('DATA - P&amp;L'!$C$35*R343)</f>
        <v>0</v>
      </c>
      <c r="S442" s="70">
        <f>(S342*'DATA - P&amp;L'!$C$34)+('DATA - P&amp;L'!$C$35*S343)</f>
        <v>0</v>
      </c>
      <c r="T442" s="70">
        <f>(T342*'DATA - P&amp;L'!$C$34)+('DATA - P&amp;L'!$C$35*T343)</f>
        <v>0</v>
      </c>
      <c r="U442" s="70">
        <f>(U342*'DATA - P&amp;L'!$C$34)+('DATA - P&amp;L'!$C$35*U343)</f>
        <v>0</v>
      </c>
      <c r="V442" s="70">
        <f>(V342*'DATA - P&amp;L'!$C$34)+('DATA - P&amp;L'!$C$35*V343)</f>
        <v>15.06</v>
      </c>
      <c r="W442" s="70">
        <f>(W342*'DATA - P&amp;L'!$C$34)+('DATA - P&amp;L'!$C$35*W343)</f>
        <v>0</v>
      </c>
      <c r="X442" s="70">
        <f>(X342*'DATA - P&amp;L'!$C$34)+('DATA - P&amp;L'!$C$35*X343)</f>
        <v>0</v>
      </c>
      <c r="Y442" s="70">
        <f>(Y342*'DATA - P&amp;L'!$C$34)+('DATA - P&amp;L'!$C$35*Y343)</f>
        <v>0</v>
      </c>
      <c r="Z442" s="70">
        <f>(Z342*'DATA - P&amp;L'!$C$34)+('DATA - P&amp;L'!$C$35*Z343)</f>
        <v>0</v>
      </c>
      <c r="AA442" s="70">
        <f>(AA342*'DATA - P&amp;L'!$C$34)+('DATA - P&amp;L'!$C$35*AA343)</f>
        <v>0</v>
      </c>
      <c r="AB442" s="70">
        <f>(AB342*'DATA - P&amp;L'!$C$34)+('DATA - P&amp;L'!$C$35*AB343)</f>
        <v>0</v>
      </c>
      <c r="AC442" s="70">
        <f>(AC342*'DATA - P&amp;L'!$C$34)+('DATA - P&amp;L'!$C$35*AC343)</f>
        <v>0</v>
      </c>
      <c r="AD442" s="70">
        <f>(AD342*'DATA - P&amp;L'!$C$34)+('DATA - P&amp;L'!$C$35*AD343)</f>
        <v>0</v>
      </c>
      <c r="AE442" s="74">
        <f>(AE342*'DATA - P&amp;L'!$C$34)+('DATA - P&amp;L'!$C$35*AE343)</f>
        <v>0</v>
      </c>
      <c r="AF442" s="87">
        <f t="shared" ref="AF442:AF445" si="131">SUM(B442:AE442)</f>
        <v>387.36</v>
      </c>
    </row>
    <row r="443">
      <c r="A443" s="603" t="s">
        <v>369</v>
      </c>
      <c r="B443" s="947">
        <v>0.0</v>
      </c>
      <c r="C443" s="947">
        <v>0.0</v>
      </c>
      <c r="D443" s="947">
        <v>0.0</v>
      </c>
      <c r="E443" s="947">
        <v>0.0</v>
      </c>
      <c r="F443" s="947">
        <v>0.0</v>
      </c>
      <c r="G443" s="947">
        <v>0.0</v>
      </c>
      <c r="H443" s="947">
        <v>0.0</v>
      </c>
      <c r="I443" s="947">
        <v>0.0</v>
      </c>
      <c r="J443" s="947">
        <v>0.0</v>
      </c>
      <c r="K443" s="947">
        <v>0.0</v>
      </c>
      <c r="L443" s="947">
        <v>0.0</v>
      </c>
      <c r="M443" s="947">
        <v>0.0</v>
      </c>
      <c r="N443" s="947">
        <v>0.0</v>
      </c>
      <c r="O443" s="947">
        <v>229.92</v>
      </c>
      <c r="P443" s="947">
        <v>0.0</v>
      </c>
      <c r="Q443" s="947">
        <v>0.0</v>
      </c>
      <c r="R443" s="947">
        <v>0.0</v>
      </c>
      <c r="S443" s="947">
        <v>441.88</v>
      </c>
      <c r="T443" s="947">
        <v>0.0</v>
      </c>
      <c r="U443" s="947">
        <v>0.0</v>
      </c>
      <c r="V443" s="947">
        <v>0.0</v>
      </c>
      <c r="W443" s="947">
        <v>0.0</v>
      </c>
      <c r="X443" s="947">
        <v>0.0</v>
      </c>
      <c r="Y443" s="947">
        <v>0.0</v>
      </c>
      <c r="Z443" s="947">
        <v>0.0</v>
      </c>
      <c r="AA443" s="947">
        <v>0.0</v>
      </c>
      <c r="AB443" s="947">
        <v>0.0</v>
      </c>
      <c r="AC443" s="947">
        <v>0.0</v>
      </c>
      <c r="AD443" s="947">
        <v>0.0</v>
      </c>
      <c r="AE443" s="948">
        <v>0.0</v>
      </c>
      <c r="AF443" s="87">
        <f t="shared" si="131"/>
        <v>671.8</v>
      </c>
    </row>
    <row r="444">
      <c r="A444" s="603" t="s">
        <v>882</v>
      </c>
      <c r="B444" s="70">
        <f t="shared" ref="B444:AE444" si="132">B346*15</f>
        <v>0</v>
      </c>
      <c r="C444" s="70">
        <f t="shared" si="132"/>
        <v>0</v>
      </c>
      <c r="D444" s="70">
        <f t="shared" si="132"/>
        <v>0</v>
      </c>
      <c r="E444" s="70">
        <f t="shared" si="132"/>
        <v>0</v>
      </c>
      <c r="F444" s="70">
        <f t="shared" si="132"/>
        <v>0</v>
      </c>
      <c r="G444" s="70">
        <f t="shared" si="132"/>
        <v>0</v>
      </c>
      <c r="H444" s="70">
        <f t="shared" si="132"/>
        <v>0</v>
      </c>
      <c r="I444" s="70">
        <f t="shared" si="132"/>
        <v>0</v>
      </c>
      <c r="J444" s="70">
        <f t="shared" si="132"/>
        <v>0</v>
      </c>
      <c r="K444" s="70">
        <f t="shared" si="132"/>
        <v>0</v>
      </c>
      <c r="L444" s="70">
        <f t="shared" si="132"/>
        <v>0</v>
      </c>
      <c r="M444" s="70">
        <f t="shared" si="132"/>
        <v>0</v>
      </c>
      <c r="N444" s="70">
        <f t="shared" si="132"/>
        <v>0</v>
      </c>
      <c r="O444" s="70">
        <f t="shared" si="132"/>
        <v>15</v>
      </c>
      <c r="P444" s="70">
        <f t="shared" si="132"/>
        <v>0</v>
      </c>
      <c r="Q444" s="70">
        <f t="shared" si="132"/>
        <v>0</v>
      </c>
      <c r="R444" s="70">
        <f t="shared" si="132"/>
        <v>0</v>
      </c>
      <c r="S444" s="70">
        <f t="shared" si="132"/>
        <v>15</v>
      </c>
      <c r="T444" s="70">
        <f t="shared" si="132"/>
        <v>0</v>
      </c>
      <c r="U444" s="70">
        <f t="shared" si="132"/>
        <v>0</v>
      </c>
      <c r="V444" s="70">
        <f t="shared" si="132"/>
        <v>0</v>
      </c>
      <c r="W444" s="70">
        <f t="shared" si="132"/>
        <v>0</v>
      </c>
      <c r="X444" s="70">
        <f t="shared" si="132"/>
        <v>0</v>
      </c>
      <c r="Y444" s="70">
        <f t="shared" si="132"/>
        <v>0</v>
      </c>
      <c r="Z444" s="70">
        <f t="shared" si="132"/>
        <v>0</v>
      </c>
      <c r="AA444" s="70">
        <f t="shared" si="132"/>
        <v>0</v>
      </c>
      <c r="AB444" s="70">
        <f t="shared" si="132"/>
        <v>0</v>
      </c>
      <c r="AC444" s="70">
        <f t="shared" si="132"/>
        <v>0</v>
      </c>
      <c r="AD444" s="70">
        <f t="shared" si="132"/>
        <v>0</v>
      </c>
      <c r="AE444" s="74">
        <f t="shared" si="132"/>
        <v>0</v>
      </c>
      <c r="AF444" s="87">
        <f t="shared" si="131"/>
        <v>30</v>
      </c>
    </row>
    <row r="445">
      <c r="A445" s="603" t="s">
        <v>564</v>
      </c>
      <c r="B445" s="951">
        <v>68.25</v>
      </c>
      <c r="C445" s="951">
        <v>0.0</v>
      </c>
      <c r="D445" s="951">
        <v>0.0</v>
      </c>
      <c r="E445" s="951">
        <v>0.0</v>
      </c>
      <c r="F445" s="951">
        <v>0.0</v>
      </c>
      <c r="G445" s="951">
        <v>41.8</v>
      </c>
      <c r="H445" s="951">
        <v>0.0</v>
      </c>
      <c r="I445" s="951">
        <v>0.0</v>
      </c>
      <c r="J445" s="951">
        <v>0.0</v>
      </c>
      <c r="K445" s="951">
        <v>36.4</v>
      </c>
      <c r="L445" s="951">
        <v>39.8</v>
      </c>
      <c r="M445" s="951">
        <v>128.34</v>
      </c>
      <c r="N445" s="951">
        <v>107.24</v>
      </c>
      <c r="O445" s="951">
        <v>172.43</v>
      </c>
      <c r="P445" s="951">
        <v>0.0</v>
      </c>
      <c r="Q445" s="951">
        <v>0.0</v>
      </c>
      <c r="R445" s="951">
        <v>0.0</v>
      </c>
      <c r="S445" s="951">
        <v>21.6</v>
      </c>
      <c r="T445" s="951">
        <v>10.0</v>
      </c>
      <c r="U445" s="951">
        <v>203.88</v>
      </c>
      <c r="V445" s="951">
        <v>0.0</v>
      </c>
      <c r="W445" s="951">
        <v>0.0</v>
      </c>
      <c r="X445" s="951">
        <v>0.0</v>
      </c>
      <c r="Y445" s="951">
        <v>0.0</v>
      </c>
      <c r="Z445" s="951">
        <v>20.0</v>
      </c>
      <c r="AA445" s="951">
        <v>14.84</v>
      </c>
      <c r="AB445" s="951">
        <v>36.8</v>
      </c>
      <c r="AC445" s="951">
        <v>262.14</v>
      </c>
      <c r="AD445" s="951">
        <v>0.0</v>
      </c>
      <c r="AE445" s="952">
        <v>0.0</v>
      </c>
      <c r="AF445" s="87">
        <f t="shared" si="131"/>
        <v>1163.52</v>
      </c>
    </row>
    <row r="446">
      <c r="A446" s="24"/>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24"/>
      <c r="AF446" s="7"/>
    </row>
    <row r="447">
      <c r="A447" s="325" t="s">
        <v>566</v>
      </c>
      <c r="B447" s="953">
        <f t="shared" ref="B447:AE447" si="133">B395+B407+B443+B444+B445</f>
        <v>3733.33</v>
      </c>
      <c r="C447" s="954">
        <f t="shared" si="133"/>
        <v>910.02</v>
      </c>
      <c r="D447" s="611">
        <f t="shared" si="133"/>
        <v>1012.79</v>
      </c>
      <c r="E447" s="955">
        <f t="shared" si="133"/>
        <v>322.59</v>
      </c>
      <c r="F447" s="956">
        <f t="shared" si="133"/>
        <v>1731.66</v>
      </c>
      <c r="G447" s="957">
        <f t="shared" si="133"/>
        <v>4026.62</v>
      </c>
      <c r="H447" s="173">
        <f t="shared" si="133"/>
        <v>1746.11</v>
      </c>
      <c r="I447" s="429">
        <f t="shared" si="133"/>
        <v>50.74</v>
      </c>
      <c r="J447" s="958">
        <f t="shared" si="133"/>
        <v>609.87</v>
      </c>
      <c r="K447" s="959">
        <f t="shared" si="133"/>
        <v>846.4</v>
      </c>
      <c r="L447" s="960">
        <f t="shared" si="133"/>
        <v>6372.09</v>
      </c>
      <c r="M447" s="961">
        <f t="shared" si="133"/>
        <v>11688.87</v>
      </c>
      <c r="N447" s="963">
        <f t="shared" si="133"/>
        <v>6502.45</v>
      </c>
      <c r="O447" s="965">
        <f t="shared" si="133"/>
        <v>7213.27</v>
      </c>
      <c r="P447" s="173">
        <f t="shared" si="133"/>
        <v>1344.67</v>
      </c>
      <c r="Q447" s="173">
        <f t="shared" si="133"/>
        <v>895.4</v>
      </c>
      <c r="R447" s="173">
        <f t="shared" si="133"/>
        <v>261.31</v>
      </c>
      <c r="S447" s="173">
        <f t="shared" si="133"/>
        <v>1702.37</v>
      </c>
      <c r="T447" s="173">
        <f t="shared" si="133"/>
        <v>1206.8</v>
      </c>
      <c r="U447" s="173">
        <f t="shared" si="133"/>
        <v>2213.15</v>
      </c>
      <c r="V447" s="173">
        <f t="shared" si="133"/>
        <v>1684.78</v>
      </c>
      <c r="W447" s="173">
        <f t="shared" si="133"/>
        <v>3901.96</v>
      </c>
      <c r="X447" s="173">
        <f t="shared" si="133"/>
        <v>257.55</v>
      </c>
      <c r="Y447" s="173">
        <f t="shared" si="133"/>
        <v>437.59</v>
      </c>
      <c r="Z447" s="173">
        <f t="shared" si="133"/>
        <v>61.34</v>
      </c>
      <c r="AA447" s="173">
        <f t="shared" si="133"/>
        <v>1183.28</v>
      </c>
      <c r="AB447" s="173">
        <f t="shared" si="133"/>
        <v>2953.25</v>
      </c>
      <c r="AC447" s="173">
        <f t="shared" si="133"/>
        <v>1608.48</v>
      </c>
      <c r="AD447" s="173">
        <f t="shared" si="133"/>
        <v>1421.16</v>
      </c>
      <c r="AE447" s="967">
        <f t="shared" si="133"/>
        <v>848.91</v>
      </c>
      <c r="AF447" s="87">
        <f>SUM(B447:AE447)</f>
        <v>68748.81</v>
      </c>
    </row>
    <row r="448">
      <c r="A448" s="24"/>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24"/>
      <c r="AF448" s="7"/>
    </row>
    <row r="449">
      <c r="A449" s="271" t="s">
        <v>567</v>
      </c>
      <c r="B449" s="776">
        <f t="shared" ref="B449:AE449" si="134">B383+B396+B408-B423-B442-B443-B445</f>
        <v>-3564.52875</v>
      </c>
      <c r="C449" s="776">
        <f t="shared" si="134"/>
        <v>-869.1025</v>
      </c>
      <c r="D449" s="776">
        <f t="shared" si="134"/>
        <v>-863.11625</v>
      </c>
      <c r="E449" s="776">
        <f t="shared" si="134"/>
        <v>-186.85</v>
      </c>
      <c r="F449" s="776">
        <f t="shared" si="134"/>
        <v>-1555.0375</v>
      </c>
      <c r="G449" s="776">
        <f t="shared" si="134"/>
        <v>-3435.98625</v>
      </c>
      <c r="H449" s="776">
        <f t="shared" si="134"/>
        <v>-1457.2575</v>
      </c>
      <c r="I449" s="776">
        <f t="shared" si="134"/>
        <v>-55.22875</v>
      </c>
      <c r="J449" s="776">
        <f t="shared" si="134"/>
        <v>-477.44</v>
      </c>
      <c r="K449" s="776">
        <f t="shared" si="134"/>
        <v>-591.4225</v>
      </c>
      <c r="L449" s="776">
        <f t="shared" si="134"/>
        <v>-7696.27725</v>
      </c>
      <c r="M449" s="776">
        <f t="shared" si="134"/>
        <v>-12802.36825</v>
      </c>
      <c r="N449" s="776">
        <f t="shared" si="134"/>
        <v>-6309.70125</v>
      </c>
      <c r="O449" s="776">
        <f t="shared" si="134"/>
        <v>-6893.8</v>
      </c>
      <c r="P449" s="776">
        <f t="shared" si="134"/>
        <v>-1052.41</v>
      </c>
      <c r="Q449" s="776">
        <f t="shared" si="134"/>
        <v>-858.39625</v>
      </c>
      <c r="R449" s="776">
        <f t="shared" si="134"/>
        <v>-234.11125</v>
      </c>
      <c r="S449" s="776">
        <f t="shared" si="134"/>
        <v>-1554.6865</v>
      </c>
      <c r="T449" s="776">
        <f t="shared" si="134"/>
        <v>-1164.56125</v>
      </c>
      <c r="U449" s="776">
        <f t="shared" si="134"/>
        <v>-2083.41875</v>
      </c>
      <c r="V449" s="776">
        <f t="shared" si="134"/>
        <v>-1633.08125</v>
      </c>
      <c r="W449" s="776">
        <f t="shared" si="134"/>
        <v>-3856.8975</v>
      </c>
      <c r="X449" s="776">
        <f t="shared" si="134"/>
        <v>-220.51</v>
      </c>
      <c r="Y449" s="776">
        <f t="shared" si="134"/>
        <v>-265.73</v>
      </c>
      <c r="Z449" s="776">
        <f t="shared" si="134"/>
        <v>-791.895</v>
      </c>
      <c r="AA449" s="776">
        <f t="shared" si="134"/>
        <v>-1652.1335</v>
      </c>
      <c r="AB449" s="776">
        <f t="shared" si="134"/>
        <v>-2862.4825</v>
      </c>
      <c r="AC449" s="776">
        <f t="shared" si="134"/>
        <v>-1557.57875</v>
      </c>
      <c r="AD449" s="776">
        <f t="shared" si="134"/>
        <v>-1372.49125</v>
      </c>
      <c r="AE449" s="859">
        <f t="shared" si="134"/>
        <v>-806.8775</v>
      </c>
      <c r="AF449" s="87">
        <f>SUM(B449:AE449)</f>
        <v>-68725.378</v>
      </c>
    </row>
    <row r="450">
      <c r="A450" s="24"/>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24"/>
      <c r="AF450" s="7"/>
    </row>
    <row r="451">
      <c r="A451" s="24"/>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24"/>
      <c r="AF451" s="7"/>
    </row>
    <row r="452">
      <c r="A452" s="782"/>
      <c r="B452" s="968"/>
      <c r="C452" s="968"/>
      <c r="D452" s="968"/>
      <c r="E452" s="968"/>
      <c r="F452" s="968"/>
      <c r="G452" s="968"/>
      <c r="H452" s="968"/>
      <c r="I452" s="968"/>
      <c r="J452" s="968"/>
      <c r="K452" s="968"/>
      <c r="L452" s="968"/>
      <c r="M452" s="968"/>
      <c r="N452" s="968"/>
      <c r="O452" s="968"/>
      <c r="P452" s="968"/>
      <c r="Q452" s="968"/>
      <c r="R452" s="968"/>
      <c r="S452" s="968"/>
      <c r="T452" s="968"/>
      <c r="U452" s="968"/>
      <c r="V452" s="968"/>
      <c r="W452" s="968"/>
      <c r="X452" s="968"/>
      <c r="Y452" s="968"/>
      <c r="Z452" s="968"/>
      <c r="AA452" s="968"/>
      <c r="AB452" s="968"/>
      <c r="AC452" s="968"/>
      <c r="AD452" s="968"/>
      <c r="AE452" s="782"/>
      <c r="AF452" s="969"/>
    </row>
    <row r="453">
      <c r="A453" s="325" t="s">
        <v>108</v>
      </c>
      <c r="B453" s="462"/>
      <c r="C453" s="462"/>
      <c r="D453" s="462"/>
      <c r="E453" s="462"/>
      <c r="F453" s="462"/>
      <c r="G453" s="462"/>
      <c r="H453" s="462"/>
      <c r="I453" s="462"/>
      <c r="J453" s="462"/>
      <c r="K453" s="462"/>
      <c r="L453" s="462"/>
      <c r="M453" s="462"/>
      <c r="N453" s="462"/>
      <c r="O453" s="462"/>
      <c r="P453" s="462"/>
      <c r="Q453" s="462"/>
      <c r="R453" s="462"/>
      <c r="S453" s="462"/>
      <c r="T453" s="462"/>
      <c r="U453" s="17"/>
      <c r="V453" s="17"/>
      <c r="W453" s="17"/>
      <c r="X453" s="17"/>
      <c r="Y453" s="17"/>
      <c r="Z453" s="17"/>
      <c r="AA453" s="17"/>
      <c r="AB453" s="17"/>
      <c r="AC453" s="17"/>
      <c r="AD453" s="17"/>
      <c r="AE453" s="17"/>
      <c r="AF453" s="7"/>
    </row>
    <row r="454">
      <c r="A454" s="328">
        <f>A374</f>
        <v>723794.94</v>
      </c>
      <c r="B454" s="462"/>
      <c r="C454" s="462"/>
      <c r="D454" s="462"/>
      <c r="E454" s="462"/>
      <c r="F454" s="462"/>
      <c r="G454" s="462"/>
      <c r="H454" s="462"/>
      <c r="I454" s="462"/>
      <c r="J454" s="462"/>
      <c r="K454" s="462"/>
      <c r="L454" s="462"/>
      <c r="M454" s="462"/>
      <c r="N454" s="462"/>
      <c r="O454" s="462"/>
      <c r="P454" s="462"/>
      <c r="Q454" s="462"/>
      <c r="R454" s="462"/>
      <c r="S454" s="462"/>
      <c r="T454" s="462"/>
      <c r="U454" s="17"/>
      <c r="V454" s="17"/>
      <c r="W454" s="17"/>
      <c r="X454" s="17"/>
      <c r="Y454" s="17"/>
      <c r="Z454" s="17"/>
      <c r="AA454" s="17"/>
      <c r="AB454" s="17"/>
      <c r="AC454" s="17"/>
      <c r="AD454" s="17"/>
      <c r="AE454" s="17"/>
      <c r="AF454" s="7"/>
    </row>
    <row r="455">
      <c r="A455" s="971" t="s">
        <v>570</v>
      </c>
      <c r="B455" s="638">
        <f t="shared" ref="B455:AE455" si="135">B375+B449</f>
        <v>-3073.410334</v>
      </c>
      <c r="C455" s="972">
        <f t="shared" si="135"/>
        <v>2388.034229</v>
      </c>
      <c r="D455" s="973">
        <f t="shared" si="135"/>
        <v>2264.399665</v>
      </c>
      <c r="E455" s="632">
        <f t="shared" si="135"/>
        <v>4527.789755</v>
      </c>
      <c r="F455" s="974">
        <f t="shared" si="135"/>
        <v>-69.16493185</v>
      </c>
      <c r="G455" s="975">
        <f t="shared" si="135"/>
        <v>-5282.975727</v>
      </c>
      <c r="H455" s="976">
        <f t="shared" si="135"/>
        <v>600.8675741</v>
      </c>
      <c r="I455" s="977">
        <f t="shared" si="135"/>
        <v>2822.37465</v>
      </c>
      <c r="J455" s="978">
        <f t="shared" si="135"/>
        <v>2287.71659</v>
      </c>
      <c r="K455" s="514">
        <f t="shared" si="135"/>
        <v>1476.115653</v>
      </c>
      <c r="L455" s="979">
        <f t="shared" si="135"/>
        <v>-6785.594309</v>
      </c>
      <c r="M455" s="980">
        <f t="shared" si="135"/>
        <v>-12110.9821</v>
      </c>
      <c r="N455" s="981">
        <f t="shared" si="135"/>
        <v>-4969.441687</v>
      </c>
      <c r="O455" s="982">
        <f t="shared" si="135"/>
        <v>-3077.330135</v>
      </c>
      <c r="P455" s="983">
        <f t="shared" si="135"/>
        <v>1911.577708</v>
      </c>
      <c r="Q455" s="984">
        <f t="shared" si="135"/>
        <v>598.9546831</v>
      </c>
      <c r="R455" s="985">
        <f t="shared" si="135"/>
        <v>759.7140576</v>
      </c>
      <c r="S455" s="986">
        <f t="shared" si="135"/>
        <v>18313.42313</v>
      </c>
      <c r="T455" s="987">
        <f t="shared" si="135"/>
        <v>8196.252298</v>
      </c>
      <c r="U455" s="988">
        <f t="shared" si="135"/>
        <v>2729.015399</v>
      </c>
      <c r="V455" s="429">
        <f t="shared" si="135"/>
        <v>2411.018583</v>
      </c>
      <c r="W455" s="989">
        <f t="shared" si="135"/>
        <v>3510.040567</v>
      </c>
      <c r="X455" s="990">
        <f t="shared" si="135"/>
        <v>1292.558942</v>
      </c>
      <c r="Y455" s="991">
        <f t="shared" si="135"/>
        <v>1020.814966</v>
      </c>
      <c r="Z455" s="992">
        <f t="shared" si="135"/>
        <v>686.8304633</v>
      </c>
      <c r="AA455" s="993">
        <f t="shared" si="135"/>
        <v>-2511.833398</v>
      </c>
      <c r="AB455" s="994">
        <f t="shared" si="135"/>
        <v>3336.418174</v>
      </c>
      <c r="AC455" s="994">
        <f t="shared" si="135"/>
        <v>2123.369954</v>
      </c>
      <c r="AD455" s="995">
        <f t="shared" si="135"/>
        <v>3202.530834</v>
      </c>
      <c r="AE455" s="996">
        <f t="shared" si="135"/>
        <v>3093.79712</v>
      </c>
      <c r="AF455" s="87">
        <f>SUM(B455:AE455)</f>
        <v>31672.88237</v>
      </c>
    </row>
    <row r="456">
      <c r="A456" s="328">
        <f>SUM(B455:AE455)</f>
        <v>31672.88237</v>
      </c>
      <c r="B456" s="462"/>
      <c r="C456" s="462"/>
      <c r="D456" s="462"/>
      <c r="E456" s="462"/>
      <c r="F456" s="462"/>
      <c r="G456" s="462"/>
      <c r="H456" s="462"/>
      <c r="I456" s="462"/>
      <c r="J456" s="462"/>
      <c r="K456" s="462"/>
      <c r="L456" s="462"/>
      <c r="M456" s="462"/>
      <c r="N456" s="462"/>
      <c r="O456" s="462"/>
      <c r="P456" s="462"/>
      <c r="Q456" s="462"/>
      <c r="R456" s="462"/>
      <c r="S456" s="462"/>
      <c r="T456" s="462"/>
      <c r="U456" s="462"/>
      <c r="V456" s="462"/>
      <c r="W456" s="462"/>
      <c r="X456" s="462"/>
      <c r="Y456" s="462"/>
      <c r="Z456" s="462"/>
      <c r="AA456" s="462"/>
      <c r="AB456" s="462"/>
      <c r="AC456" s="462"/>
      <c r="AD456" s="462"/>
      <c r="AE456" s="462"/>
      <c r="AF456" s="87"/>
    </row>
    <row r="457">
      <c r="A457" s="325" t="s">
        <v>576</v>
      </c>
      <c r="B457" s="999">
        <f t="shared" ref="B457:AE457" si="136">B455/B50</f>
        <v>-0.1827960513</v>
      </c>
      <c r="C457" s="672">
        <f t="shared" si="136"/>
        <v>0.09713497535</v>
      </c>
      <c r="D457" s="528">
        <f t="shared" si="136"/>
        <v>0.07573050534</v>
      </c>
      <c r="E457" s="1001">
        <f t="shared" si="136"/>
        <v>0.1246148198</v>
      </c>
      <c r="F457" s="814">
        <f t="shared" si="136"/>
        <v>-0.002042328095</v>
      </c>
      <c r="G457" s="1001">
        <f t="shared" si="136"/>
        <v>-0.2014686621</v>
      </c>
      <c r="H457" s="1003">
        <f t="shared" si="136"/>
        <v>0.03160694255</v>
      </c>
      <c r="I457" s="1004">
        <f t="shared" si="136"/>
        <v>0.197869619</v>
      </c>
      <c r="J457" s="679">
        <f t="shared" si="136"/>
        <v>0.1292026615</v>
      </c>
      <c r="K457" s="527">
        <f t="shared" si="136"/>
        <v>0.06263110887</v>
      </c>
      <c r="L457" s="825">
        <f t="shared" si="136"/>
        <v>-0.3270764916</v>
      </c>
      <c r="M457" s="1006">
        <f t="shared" si="136"/>
        <v>-0.6879117467</v>
      </c>
      <c r="N457" s="525">
        <f t="shared" si="136"/>
        <v>-0.2904302525</v>
      </c>
      <c r="O457" s="544">
        <f t="shared" si="136"/>
        <v>-0.1494829201</v>
      </c>
      <c r="P457" s="826">
        <f t="shared" si="136"/>
        <v>0.09066695764</v>
      </c>
      <c r="Q457" s="522">
        <f t="shared" si="136"/>
        <v>0.0306897824</v>
      </c>
      <c r="R457" s="679">
        <f t="shared" si="136"/>
        <v>0.03740826884</v>
      </c>
      <c r="S457" s="1007">
        <f t="shared" si="136"/>
        <v>0.3478379224</v>
      </c>
      <c r="T457" s="525">
        <f t="shared" si="136"/>
        <v>0.232599948</v>
      </c>
      <c r="U457" s="670">
        <f t="shared" si="136"/>
        <v>0.1093420363</v>
      </c>
      <c r="V457" s="1008">
        <f t="shared" si="136"/>
        <v>0.1033628279</v>
      </c>
      <c r="W457" s="677">
        <f t="shared" si="136"/>
        <v>0.1669601787</v>
      </c>
      <c r="X457" s="1009">
        <f t="shared" si="136"/>
        <v>0.05970050611</v>
      </c>
      <c r="Y457" s="1010">
        <f t="shared" si="136"/>
        <v>0.04036317493</v>
      </c>
      <c r="Z457" s="532">
        <f t="shared" si="136"/>
        <v>0.02821022766</v>
      </c>
      <c r="AA457" s="527">
        <f t="shared" si="136"/>
        <v>-0.146162168</v>
      </c>
      <c r="AB457" s="824">
        <f t="shared" si="136"/>
        <v>0.1174393605</v>
      </c>
      <c r="AC457" s="670">
        <f t="shared" si="136"/>
        <v>0.09639820248</v>
      </c>
      <c r="AD457" s="1012">
        <f t="shared" si="136"/>
        <v>0.1345217408</v>
      </c>
      <c r="AE457" s="1013">
        <f t="shared" si="136"/>
        <v>0.1254803007</v>
      </c>
      <c r="AF457" s="140"/>
    </row>
    <row r="458">
      <c r="A458" s="329">
        <f>A456/A374</f>
        <v>0.04375946918</v>
      </c>
      <c r="B458" s="462"/>
      <c r="C458" s="462"/>
      <c r="D458" s="462"/>
      <c r="E458" s="462"/>
      <c r="F458" s="462"/>
      <c r="G458" s="462"/>
      <c r="H458" s="462"/>
      <c r="I458" s="462"/>
      <c r="J458" s="462"/>
      <c r="K458" s="462"/>
      <c r="L458" s="462"/>
      <c r="M458" s="462"/>
      <c r="N458" s="462"/>
      <c r="O458" s="462"/>
      <c r="P458" s="462"/>
      <c r="Q458" s="462"/>
      <c r="R458" s="462"/>
      <c r="S458" s="462"/>
      <c r="T458" s="462"/>
      <c r="U458" s="462"/>
      <c r="V458" s="462"/>
      <c r="W458" s="462"/>
      <c r="X458" s="462"/>
      <c r="Y458" s="462"/>
      <c r="Z458" s="462"/>
      <c r="AA458" s="462"/>
      <c r="AB458" s="462"/>
      <c r="AC458" s="462"/>
      <c r="AD458" s="462"/>
      <c r="AE458" s="462"/>
      <c r="AF458" s="140"/>
    </row>
    <row r="459">
      <c r="A459" s="836" t="s">
        <v>438</v>
      </c>
      <c r="B459" s="1014">
        <f>Summary!B84</f>
        <v>2.639989166</v>
      </c>
      <c r="C459" s="1014">
        <f>Summary!C84</f>
        <v>3.453584374</v>
      </c>
      <c r="D459" s="1014">
        <f>Summary!D84</f>
        <v>3.330667246</v>
      </c>
      <c r="E459" s="1014">
        <f>Summary!E84</f>
        <v>4.006451068</v>
      </c>
      <c r="F459" s="1014">
        <f>Summary!F84</f>
        <v>3.147891873</v>
      </c>
      <c r="G459" s="1014">
        <f>Summary!G84</f>
        <v>2.450466171</v>
      </c>
      <c r="H459" s="1014">
        <f>Summary!H84</f>
        <v>3.169347713</v>
      </c>
      <c r="I459" s="1014">
        <f>Summary!I84</f>
        <v>3.689130185</v>
      </c>
      <c r="J459" s="1014">
        <f>Summary!J84</f>
        <v>3.684431394</v>
      </c>
      <c r="K459" s="1014">
        <f>Summary!K84</f>
        <v>2.630043731</v>
      </c>
      <c r="L459" s="1014">
        <f>Summary!L84</f>
        <v>2.656510092</v>
      </c>
      <c r="M459" s="1014">
        <f>Summary!M84</f>
        <v>2.731363734</v>
      </c>
      <c r="N459" s="1014">
        <f>Summary!N84</f>
        <v>2.698869735</v>
      </c>
      <c r="O459" s="1014">
        <f>Summary!O84</f>
        <v>3.556734358</v>
      </c>
      <c r="P459" s="1014">
        <f>Summary!P84</f>
        <v>2.857095636</v>
      </c>
      <c r="Q459" s="1014">
        <f>Summary!Q84</f>
        <v>2.827044394</v>
      </c>
      <c r="R459" s="1014">
        <f>Summary!R84</f>
        <v>2.262344946</v>
      </c>
      <c r="S459" s="1014">
        <f>Summary!S84</f>
        <v>5.485333835</v>
      </c>
      <c r="T459" s="1014">
        <f>Summary!T84</f>
        <v>4.550976596</v>
      </c>
      <c r="U459" s="1014">
        <f>Summary!U84</f>
        <v>3.732003502</v>
      </c>
      <c r="V459" s="1014">
        <f>Summary!V84</f>
        <v>3.494615583</v>
      </c>
      <c r="W459" s="1014">
        <f>Summary!W84</f>
        <v>8.067482787</v>
      </c>
      <c r="X459" s="1014">
        <f>Summary!X84</f>
        <v>2.542386962</v>
      </c>
      <c r="Y459" s="1014">
        <f>Summary!Y84</f>
        <v>2.783290323</v>
      </c>
      <c r="Z459" s="1014">
        <f>Summary!Z84</f>
        <v>2.959524703</v>
      </c>
      <c r="AA459" s="1014">
        <f>Summary!AA84</f>
        <v>2.647055854</v>
      </c>
      <c r="AB459" s="1014">
        <f>Summary!AB84</f>
        <v>4.080433983</v>
      </c>
      <c r="AC459" s="1014">
        <f>Summary!AC84</f>
        <v>3.667973497</v>
      </c>
      <c r="AD459" s="1014">
        <f>Summary!AD84</f>
        <v>3.788820589</v>
      </c>
      <c r="AE459" s="1014">
        <f>Summary!AE84</f>
        <v>2.750605481</v>
      </c>
      <c r="AF459" s="787"/>
    </row>
    <row r="460">
      <c r="A460" s="24"/>
      <c r="B460" s="462"/>
      <c r="C460" s="462"/>
      <c r="D460" s="462"/>
      <c r="E460" s="462"/>
      <c r="F460" s="462"/>
      <c r="G460" s="462"/>
      <c r="H460" s="462"/>
      <c r="I460" s="462"/>
      <c r="J460" s="462"/>
      <c r="K460" s="462"/>
      <c r="L460" s="462"/>
      <c r="M460" s="462"/>
      <c r="N460" s="462"/>
      <c r="O460" s="462"/>
      <c r="P460" s="462"/>
      <c r="Q460" s="462"/>
      <c r="R460" s="462"/>
      <c r="S460" s="462"/>
      <c r="T460" s="462"/>
      <c r="U460" s="462"/>
      <c r="V460" s="462"/>
      <c r="W460" s="462"/>
      <c r="X460" s="462"/>
      <c r="Y460" s="462"/>
      <c r="Z460" s="462"/>
      <c r="AA460" s="462"/>
      <c r="AB460" s="462"/>
      <c r="AC460" s="462"/>
      <c r="AD460" s="462"/>
      <c r="AE460" s="462"/>
      <c r="AF460" s="7"/>
    </row>
    <row r="461">
      <c r="A461" s="24"/>
      <c r="B461" s="462"/>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7"/>
    </row>
    <row r="462">
      <c r="A462" s="24"/>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7"/>
    </row>
    <row r="463">
      <c r="A463" s="20" t="s">
        <v>885</v>
      </c>
      <c r="B463" s="580">
        <f t="shared" ref="B463:AF463" si="137">B375/B42</f>
        <v>6.138980202</v>
      </c>
      <c r="C463" s="580">
        <f t="shared" si="137"/>
        <v>28.82421884</v>
      </c>
      <c r="D463" s="580">
        <f t="shared" si="137"/>
        <v>22.50011449</v>
      </c>
      <c r="E463" s="580">
        <f t="shared" si="137"/>
        <v>28.06333188</v>
      </c>
      <c r="F463" s="580">
        <f t="shared" si="137"/>
        <v>9.711585413</v>
      </c>
      <c r="G463" s="580">
        <f t="shared" si="137"/>
        <v>-14.77591582</v>
      </c>
      <c r="H463" s="580">
        <f t="shared" si="137"/>
        <v>25.40895153</v>
      </c>
      <c r="I463" s="580">
        <f t="shared" si="137"/>
        <v>54.29440377</v>
      </c>
      <c r="J463" s="580">
        <f t="shared" si="137"/>
        <v>43.20557172</v>
      </c>
      <c r="K463" s="580">
        <f t="shared" si="137"/>
        <v>22.23159304</v>
      </c>
      <c r="L463" s="580">
        <f t="shared" si="137"/>
        <v>10.58933652</v>
      </c>
      <c r="M463" s="580">
        <f t="shared" si="137"/>
        <v>10.0200891</v>
      </c>
      <c r="N463" s="580">
        <f t="shared" si="137"/>
        <v>20.30696308</v>
      </c>
      <c r="O463" s="580">
        <f t="shared" si="137"/>
        <v>48.30974513</v>
      </c>
      <c r="P463" s="580">
        <f t="shared" si="137"/>
        <v>31.87083557</v>
      </c>
      <c r="Q463" s="580">
        <f t="shared" si="137"/>
        <v>16.94594108</v>
      </c>
      <c r="R463" s="580">
        <f t="shared" si="137"/>
        <v>11.97379889</v>
      </c>
      <c r="S463" s="580">
        <f t="shared" si="137"/>
        <v>33.44799601</v>
      </c>
      <c r="T463" s="580">
        <f t="shared" si="137"/>
        <v>30.19617274</v>
      </c>
      <c r="U463" s="580">
        <f t="shared" si="137"/>
        <v>27.49962371</v>
      </c>
      <c r="V463" s="580">
        <f t="shared" si="137"/>
        <v>29.0942434</v>
      </c>
      <c r="W463" s="580">
        <f t="shared" si="137"/>
        <v>60.38473825</v>
      </c>
      <c r="X463" s="580">
        <f t="shared" si="137"/>
        <v>12.10455153</v>
      </c>
      <c r="Y463" s="580">
        <f t="shared" si="137"/>
        <v>9.529962713</v>
      </c>
      <c r="Z463" s="580">
        <f t="shared" si="137"/>
        <v>12.02215824</v>
      </c>
      <c r="AA463" s="580">
        <f t="shared" si="137"/>
        <v>-8.596998983</v>
      </c>
      <c r="AB463" s="580">
        <f t="shared" si="137"/>
        <v>51.65750562</v>
      </c>
      <c r="AC463" s="580">
        <f t="shared" si="137"/>
        <v>33.77017159</v>
      </c>
      <c r="AD463" s="580">
        <f t="shared" si="137"/>
        <v>44.41769014</v>
      </c>
      <c r="AE463" s="580">
        <f t="shared" si="137"/>
        <v>37.87062738</v>
      </c>
      <c r="AF463" s="1020">
        <f t="shared" si="137"/>
        <v>25.81595792</v>
      </c>
    </row>
    <row r="464">
      <c r="A464" s="24"/>
      <c r="B464" s="595"/>
      <c r="C464" s="595"/>
      <c r="D464" s="595"/>
      <c r="E464" s="595"/>
      <c r="F464" s="595"/>
      <c r="G464" s="595"/>
      <c r="H464" s="595"/>
      <c r="I464" s="595"/>
      <c r="J464" s="595"/>
      <c r="K464" s="595"/>
      <c r="L464" s="595"/>
      <c r="M464" s="595"/>
      <c r="N464" s="595"/>
      <c r="O464" s="595"/>
      <c r="P464" s="595"/>
      <c r="Q464" s="595"/>
      <c r="R464" s="595"/>
      <c r="S464" s="595"/>
      <c r="T464" s="595"/>
      <c r="U464" s="595"/>
      <c r="V464" s="595"/>
      <c r="W464" s="595"/>
      <c r="X464" s="595"/>
      <c r="Y464" s="595"/>
      <c r="Z464" s="595"/>
      <c r="AA464" s="595"/>
      <c r="AB464" s="595"/>
      <c r="AC464" s="595"/>
      <c r="AD464" s="595"/>
      <c r="AE464" s="595"/>
      <c r="AF464" s="1021"/>
    </row>
    <row r="465">
      <c r="A465" s="20" t="s">
        <v>886</v>
      </c>
      <c r="B465" s="580">
        <f t="shared" ref="B465:AF465" si="138">B455/B42</f>
        <v>-38.41762917</v>
      </c>
      <c r="C465" s="580">
        <f t="shared" si="138"/>
        <v>21.13304627</v>
      </c>
      <c r="D465" s="580">
        <f t="shared" si="138"/>
        <v>16.29064507</v>
      </c>
      <c r="E465" s="580">
        <f t="shared" si="138"/>
        <v>26.9511295</v>
      </c>
      <c r="F465" s="580">
        <f t="shared" si="138"/>
        <v>-0.4520583781</v>
      </c>
      <c r="G465" s="580">
        <f t="shared" si="138"/>
        <v>-42.26380582</v>
      </c>
      <c r="H465" s="580">
        <f t="shared" si="138"/>
        <v>7.418118199</v>
      </c>
      <c r="I465" s="580">
        <f t="shared" si="138"/>
        <v>53.25235188</v>
      </c>
      <c r="J465" s="580">
        <f t="shared" si="138"/>
        <v>35.74557172</v>
      </c>
      <c r="K465" s="580">
        <f t="shared" si="138"/>
        <v>15.87221132</v>
      </c>
      <c r="L465" s="580">
        <f t="shared" si="138"/>
        <v>-78.90225941</v>
      </c>
      <c r="M465" s="580">
        <f t="shared" si="138"/>
        <v>-175.5214797</v>
      </c>
      <c r="N465" s="580">
        <f t="shared" si="138"/>
        <v>-75.29457101</v>
      </c>
      <c r="O465" s="580">
        <f t="shared" si="138"/>
        <v>-38.95354601</v>
      </c>
      <c r="P465" s="580">
        <f t="shared" si="138"/>
        <v>20.55459901</v>
      </c>
      <c r="Q465" s="580">
        <f t="shared" si="138"/>
        <v>6.964589338</v>
      </c>
      <c r="R465" s="580">
        <f t="shared" si="138"/>
        <v>9.153181417</v>
      </c>
      <c r="S465" s="580">
        <f t="shared" si="138"/>
        <v>30.83067867</v>
      </c>
      <c r="T465" s="580">
        <f t="shared" si="138"/>
        <v>26.43952354</v>
      </c>
      <c r="U465" s="580">
        <f t="shared" si="138"/>
        <v>15.59437371</v>
      </c>
      <c r="V465" s="580">
        <f t="shared" si="138"/>
        <v>17.34545743</v>
      </c>
      <c r="W465" s="580">
        <f t="shared" si="138"/>
        <v>28.77082432</v>
      </c>
      <c r="X465" s="580">
        <f t="shared" si="138"/>
        <v>10.34047153</v>
      </c>
      <c r="Y465" s="580">
        <f t="shared" si="138"/>
        <v>7.561592343</v>
      </c>
      <c r="Z465" s="580">
        <f t="shared" si="138"/>
        <v>5.583987507</v>
      </c>
      <c r="AA465" s="580">
        <f t="shared" si="138"/>
        <v>-25.11833398</v>
      </c>
      <c r="AB465" s="580">
        <f t="shared" si="138"/>
        <v>27.80348478</v>
      </c>
      <c r="AC465" s="580">
        <f t="shared" si="138"/>
        <v>19.48045829</v>
      </c>
      <c r="AD465" s="580">
        <f t="shared" si="138"/>
        <v>31.09253237</v>
      </c>
      <c r="AE465" s="580">
        <f t="shared" si="138"/>
        <v>30.03686524</v>
      </c>
      <c r="AF465" s="1020">
        <f t="shared" si="138"/>
        <v>8.144222774</v>
      </c>
    </row>
    <row r="466">
      <c r="A466" s="24"/>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7"/>
    </row>
    <row r="467">
      <c r="A467" s="24"/>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7"/>
    </row>
    <row r="468">
      <c r="A468" s="24"/>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7"/>
    </row>
    <row r="469">
      <c r="A469" s="24"/>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7"/>
    </row>
    <row r="470">
      <c r="A470" s="24"/>
      <c r="B470" s="462"/>
      <c r="C470" s="462"/>
      <c r="D470" s="462"/>
      <c r="E470" s="462"/>
      <c r="F470" s="462"/>
      <c r="G470" s="462"/>
      <c r="H470" s="462"/>
      <c r="I470" s="462"/>
      <c r="J470" s="462"/>
      <c r="K470" s="462"/>
      <c r="L470" s="462"/>
      <c r="M470" s="462"/>
      <c r="N470" s="462"/>
      <c r="O470" s="462"/>
      <c r="P470" s="462"/>
      <c r="Q470" s="462"/>
      <c r="R470" s="462"/>
      <c r="S470" s="462"/>
      <c r="T470" s="462"/>
      <c r="U470" s="17"/>
      <c r="V470" s="17"/>
      <c r="W470" s="17"/>
      <c r="X470" s="17"/>
      <c r="Y470" s="17"/>
      <c r="Z470" s="17"/>
      <c r="AA470" s="17"/>
      <c r="AB470" s="17"/>
      <c r="AC470" s="17"/>
      <c r="AD470" s="17"/>
      <c r="AE470" s="17"/>
      <c r="AF470" s="7"/>
    </row>
    <row r="471">
      <c r="A471" s="24"/>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7"/>
    </row>
    <row r="472">
      <c r="A472" s="24"/>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7"/>
    </row>
    <row r="473">
      <c r="A473" s="24"/>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7"/>
    </row>
    <row r="474">
      <c r="A474" s="24"/>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7"/>
    </row>
    <row r="475">
      <c r="A475" s="24"/>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7"/>
    </row>
    <row r="476">
      <c r="A476" s="24"/>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7"/>
    </row>
    <row r="477">
      <c r="A477" s="24"/>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7"/>
    </row>
    <row r="478">
      <c r="A478" s="24"/>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7"/>
    </row>
    <row r="479">
      <c r="A479" s="24"/>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7"/>
    </row>
    <row r="480">
      <c r="A480" s="24"/>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7"/>
    </row>
    <row r="481">
      <c r="A481" s="24"/>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7"/>
    </row>
    <row r="482">
      <c r="A482" s="24"/>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7"/>
    </row>
    <row r="483">
      <c r="A483" s="24"/>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7"/>
    </row>
    <row r="484">
      <c r="A484" s="24"/>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7"/>
    </row>
    <row r="485">
      <c r="A485" s="24"/>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7"/>
    </row>
    <row r="486">
      <c r="A486" s="24"/>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7"/>
    </row>
    <row r="487">
      <c r="A487" s="24"/>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7"/>
    </row>
    <row r="488">
      <c r="A488" s="24"/>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7"/>
    </row>
    <row r="489">
      <c r="A489" s="24"/>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7"/>
    </row>
    <row r="490">
      <c r="A490" s="24"/>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7"/>
    </row>
    <row r="491">
      <c r="A491" s="24"/>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7"/>
    </row>
    <row r="492">
      <c r="A492" s="24"/>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7"/>
    </row>
    <row r="493">
      <c r="A493" s="24"/>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7"/>
    </row>
    <row r="494">
      <c r="A494" s="24"/>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7"/>
    </row>
    <row r="495">
      <c r="A495" s="24"/>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7"/>
    </row>
    <row r="496">
      <c r="A496" s="24"/>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7"/>
    </row>
    <row r="497">
      <c r="A497" s="24"/>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7"/>
    </row>
    <row r="498">
      <c r="A498" s="24"/>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7"/>
    </row>
    <row r="499">
      <c r="A499" s="24"/>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7"/>
    </row>
    <row r="500">
      <c r="A500" s="24"/>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7"/>
    </row>
    <row r="501">
      <c r="A501" s="24"/>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7"/>
    </row>
    <row r="502">
      <c r="A502" s="24"/>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7"/>
    </row>
    <row r="503">
      <c r="A503" s="24"/>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7"/>
    </row>
    <row r="504">
      <c r="A504" s="24"/>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7"/>
    </row>
    <row r="505">
      <c r="A505" s="24"/>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7"/>
    </row>
    <row r="506">
      <c r="A506" s="24"/>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7"/>
    </row>
    <row r="507">
      <c r="A507" s="24"/>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7"/>
    </row>
    <row r="508">
      <c r="A508" s="24"/>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7"/>
    </row>
    <row r="509">
      <c r="A509" s="24"/>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7"/>
    </row>
    <row r="510">
      <c r="A510" s="24"/>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7"/>
    </row>
    <row r="511">
      <c r="A511" s="24"/>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7"/>
    </row>
    <row r="512">
      <c r="A512" s="24"/>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7"/>
    </row>
    <row r="513">
      <c r="A513" s="24"/>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7"/>
    </row>
    <row r="514">
      <c r="A514" s="24"/>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7"/>
    </row>
    <row r="515">
      <c r="A515" s="24"/>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7"/>
    </row>
    <row r="516">
      <c r="A516" s="24"/>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7"/>
    </row>
    <row r="517">
      <c r="A517" s="24"/>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7"/>
    </row>
    <row r="518">
      <c r="A518" s="24"/>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7"/>
    </row>
    <row r="519">
      <c r="A519" s="24"/>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7"/>
    </row>
    <row r="520">
      <c r="A520" s="24"/>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7"/>
    </row>
    <row r="521">
      <c r="A521" s="24"/>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7"/>
    </row>
    <row r="522">
      <c r="A522" s="24"/>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7"/>
    </row>
    <row r="523">
      <c r="A523" s="24"/>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7"/>
    </row>
    <row r="524">
      <c r="A524" s="24"/>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7"/>
    </row>
    <row r="525">
      <c r="A525" s="24"/>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7"/>
    </row>
    <row r="526">
      <c r="A526" s="24"/>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7"/>
    </row>
    <row r="527">
      <c r="A527" s="24"/>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7"/>
    </row>
    <row r="528">
      <c r="A528" s="24"/>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7"/>
    </row>
    <row r="529">
      <c r="A529" s="24"/>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7"/>
    </row>
    <row r="530">
      <c r="A530" s="24"/>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7"/>
    </row>
    <row r="531">
      <c r="A531" s="24"/>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7"/>
    </row>
    <row r="532">
      <c r="A532" s="24"/>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7"/>
    </row>
    <row r="533">
      <c r="A533" s="24"/>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7"/>
    </row>
    <row r="534">
      <c r="A534" s="24"/>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7"/>
    </row>
    <row r="535">
      <c r="A535" s="24"/>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7"/>
    </row>
    <row r="536">
      <c r="A536" s="24"/>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7"/>
    </row>
    <row r="537">
      <c r="A537" s="24"/>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7"/>
    </row>
    <row r="538">
      <c r="A538" s="24"/>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7"/>
    </row>
    <row r="539">
      <c r="A539" s="24"/>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7"/>
    </row>
    <row r="540">
      <c r="A540" s="24"/>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7"/>
    </row>
    <row r="541">
      <c r="A541" s="24"/>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7"/>
    </row>
    <row r="542">
      <c r="A542" s="24"/>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7"/>
    </row>
    <row r="543">
      <c r="A543" s="24"/>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7"/>
    </row>
    <row r="544">
      <c r="A544" s="24"/>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7"/>
    </row>
    <row r="545">
      <c r="A545" s="24"/>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7"/>
    </row>
    <row r="546">
      <c r="A546" s="24"/>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7"/>
    </row>
    <row r="547">
      <c r="A547" s="24"/>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7"/>
    </row>
    <row r="548">
      <c r="A548" s="24"/>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7"/>
    </row>
    <row r="549">
      <c r="A549" s="24"/>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7"/>
    </row>
    <row r="550">
      <c r="A550" s="24"/>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7"/>
    </row>
    <row r="551">
      <c r="A551" s="24"/>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7"/>
    </row>
    <row r="552">
      <c r="A552" s="24"/>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7"/>
    </row>
    <row r="553">
      <c r="A553" s="24"/>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7"/>
    </row>
    <row r="554">
      <c r="A554" s="24"/>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7"/>
    </row>
    <row r="555">
      <c r="A555" s="24"/>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7"/>
    </row>
    <row r="556">
      <c r="A556" s="24"/>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7"/>
    </row>
    <row r="557">
      <c r="A557" s="24"/>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7"/>
    </row>
    <row r="558">
      <c r="A558" s="24"/>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7"/>
    </row>
    <row r="559">
      <c r="A559" s="24"/>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7"/>
    </row>
    <row r="560">
      <c r="A560" s="24"/>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7"/>
    </row>
    <row r="561">
      <c r="A561" s="24"/>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7"/>
    </row>
    <row r="562">
      <c r="A562" s="24"/>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7"/>
    </row>
    <row r="563">
      <c r="A563" s="24"/>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7"/>
    </row>
    <row r="564">
      <c r="A564" s="24"/>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7"/>
    </row>
    <row r="565">
      <c r="A565" s="24"/>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7"/>
    </row>
    <row r="566">
      <c r="A566" s="24"/>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7"/>
    </row>
    <row r="567">
      <c r="A567" s="24"/>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7"/>
    </row>
    <row r="568">
      <c r="A568" s="24"/>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7"/>
    </row>
    <row r="569">
      <c r="A569" s="24"/>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7"/>
    </row>
    <row r="570">
      <c r="A570" s="24"/>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7"/>
    </row>
    <row r="571">
      <c r="A571" s="24"/>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7"/>
    </row>
    <row r="572">
      <c r="A572" s="24"/>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7"/>
    </row>
    <row r="573">
      <c r="A573" s="24"/>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7"/>
    </row>
    <row r="574">
      <c r="A574" s="24"/>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7"/>
    </row>
    <row r="575">
      <c r="A575" s="24"/>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7"/>
    </row>
    <row r="576">
      <c r="A576" s="24"/>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7"/>
    </row>
    <row r="577">
      <c r="A577" s="24"/>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7"/>
    </row>
    <row r="578">
      <c r="A578" s="24"/>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7"/>
    </row>
    <row r="579">
      <c r="A579" s="24"/>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7"/>
    </row>
    <row r="580">
      <c r="A580" s="24"/>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7"/>
    </row>
    <row r="581">
      <c r="A581" s="24"/>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7"/>
    </row>
    <row r="582">
      <c r="A582" s="24"/>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7"/>
    </row>
    <row r="583">
      <c r="A583" s="24"/>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7"/>
    </row>
    <row r="584">
      <c r="A584" s="24"/>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7"/>
    </row>
    <row r="585">
      <c r="A585" s="24"/>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7"/>
    </row>
    <row r="586">
      <c r="A586" s="24"/>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7"/>
    </row>
    <row r="587">
      <c r="A587" s="24"/>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7"/>
    </row>
    <row r="588">
      <c r="A588" s="24"/>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7"/>
    </row>
    <row r="589">
      <c r="A589" s="24"/>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7"/>
    </row>
    <row r="590">
      <c r="A590" s="24"/>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7"/>
    </row>
    <row r="591">
      <c r="A591" s="24"/>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7"/>
    </row>
    <row r="592">
      <c r="A592" s="24"/>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7"/>
    </row>
    <row r="593">
      <c r="A593" s="24"/>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7"/>
    </row>
    <row r="594">
      <c r="A594" s="24"/>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7"/>
    </row>
    <row r="595">
      <c r="A595" s="24"/>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7"/>
    </row>
    <row r="596">
      <c r="A596" s="24"/>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7"/>
    </row>
    <row r="597">
      <c r="A597" s="24"/>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7"/>
    </row>
    <row r="598">
      <c r="A598" s="24"/>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7"/>
    </row>
    <row r="599">
      <c r="A599" s="24"/>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7"/>
    </row>
    <row r="600">
      <c r="A600" s="24"/>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7"/>
    </row>
    <row r="601">
      <c r="A601" s="24"/>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7"/>
    </row>
    <row r="602">
      <c r="A602" s="24"/>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7"/>
    </row>
    <row r="603">
      <c r="A603" s="24"/>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7"/>
    </row>
    <row r="604">
      <c r="A604" s="24"/>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7"/>
    </row>
    <row r="605">
      <c r="A605" s="24"/>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7"/>
    </row>
    <row r="606">
      <c r="A606" s="24"/>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7"/>
    </row>
    <row r="607">
      <c r="A607" s="24"/>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7"/>
    </row>
    <row r="608">
      <c r="A608" s="24"/>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7"/>
    </row>
    <row r="609">
      <c r="A609" s="24"/>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7"/>
    </row>
    <row r="610">
      <c r="A610" s="24"/>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7"/>
    </row>
    <row r="611">
      <c r="A611" s="24"/>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7"/>
    </row>
    <row r="612">
      <c r="A612" s="24"/>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7"/>
    </row>
    <row r="613">
      <c r="A613" s="24"/>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7"/>
    </row>
    <row r="614">
      <c r="A614" s="24"/>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7"/>
    </row>
    <row r="615">
      <c r="A615" s="24"/>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7"/>
    </row>
    <row r="616">
      <c r="A616" s="24"/>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7"/>
    </row>
    <row r="617">
      <c r="A617" s="24"/>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7"/>
    </row>
    <row r="618">
      <c r="A618" s="24"/>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7"/>
    </row>
    <row r="619">
      <c r="A619" s="24"/>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7"/>
    </row>
    <row r="620">
      <c r="A620" s="24"/>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7"/>
    </row>
    <row r="621">
      <c r="A621" s="24"/>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7"/>
    </row>
    <row r="622">
      <c r="A622" s="24"/>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7"/>
    </row>
    <row r="623">
      <c r="A623" s="24"/>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7"/>
    </row>
    <row r="624">
      <c r="A624" s="24"/>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7"/>
    </row>
    <row r="625">
      <c r="A625" s="24"/>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7"/>
    </row>
    <row r="626">
      <c r="A626" s="24"/>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7"/>
    </row>
    <row r="627">
      <c r="A627" s="24"/>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7"/>
    </row>
    <row r="628">
      <c r="A628" s="24"/>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7"/>
    </row>
    <row r="629">
      <c r="A629" s="24"/>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7"/>
    </row>
    <row r="630">
      <c r="A630" s="24"/>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7"/>
    </row>
    <row r="631">
      <c r="A631" s="24"/>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7"/>
    </row>
    <row r="632">
      <c r="A632" s="24"/>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7"/>
    </row>
    <row r="633">
      <c r="A633" s="24"/>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7"/>
    </row>
    <row r="634">
      <c r="A634" s="24"/>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7"/>
    </row>
    <row r="635">
      <c r="A635" s="24"/>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7"/>
    </row>
    <row r="636">
      <c r="A636" s="24"/>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7"/>
    </row>
    <row r="637">
      <c r="A637" s="24"/>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7"/>
    </row>
    <row r="638">
      <c r="A638" s="24"/>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7"/>
    </row>
    <row r="639">
      <c r="A639" s="24"/>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7"/>
    </row>
    <row r="640">
      <c r="A640" s="24"/>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7"/>
    </row>
    <row r="641">
      <c r="A641" s="24"/>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7"/>
    </row>
    <row r="642">
      <c r="A642" s="24"/>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7"/>
    </row>
    <row r="643">
      <c r="A643" s="24"/>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7"/>
    </row>
    <row r="644">
      <c r="A644" s="24"/>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7"/>
    </row>
    <row r="645">
      <c r="A645" s="24"/>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7"/>
    </row>
    <row r="646">
      <c r="A646" s="24"/>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7"/>
    </row>
    <row r="647">
      <c r="A647" s="24"/>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7"/>
    </row>
    <row r="648">
      <c r="A648" s="24"/>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7"/>
    </row>
    <row r="649">
      <c r="A649" s="24"/>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7"/>
    </row>
    <row r="650">
      <c r="A650" s="24"/>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7"/>
    </row>
    <row r="651">
      <c r="A651" s="24"/>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7"/>
    </row>
    <row r="652">
      <c r="A652" s="24"/>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7"/>
    </row>
    <row r="653">
      <c r="A653" s="24"/>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7"/>
    </row>
    <row r="654">
      <c r="A654" s="24"/>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7"/>
    </row>
    <row r="655">
      <c r="A655" s="24"/>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7"/>
    </row>
    <row r="656">
      <c r="A656" s="24"/>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7"/>
    </row>
    <row r="657">
      <c r="A657" s="24"/>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7"/>
    </row>
    <row r="658">
      <c r="A658" s="24"/>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7"/>
    </row>
    <row r="659">
      <c r="A659" s="24"/>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7"/>
    </row>
    <row r="660">
      <c r="A660" s="24"/>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7"/>
    </row>
    <row r="661">
      <c r="A661" s="24"/>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7"/>
    </row>
    <row r="662">
      <c r="A662" s="24"/>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7"/>
    </row>
    <row r="663">
      <c r="A663" s="24"/>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7"/>
    </row>
    <row r="664">
      <c r="A664" s="24"/>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7"/>
    </row>
    <row r="665">
      <c r="A665" s="24"/>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7"/>
    </row>
    <row r="666">
      <c r="A666" s="24"/>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7"/>
    </row>
    <row r="667">
      <c r="A667" s="24"/>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7"/>
    </row>
    <row r="668">
      <c r="A668" s="24"/>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7"/>
    </row>
    <row r="669">
      <c r="A669" s="24"/>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7"/>
    </row>
    <row r="670">
      <c r="A670" s="24"/>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7"/>
    </row>
    <row r="671">
      <c r="A671" s="24"/>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7"/>
    </row>
    <row r="672">
      <c r="A672" s="24"/>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7"/>
    </row>
    <row r="673">
      <c r="A673" s="24"/>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7"/>
    </row>
    <row r="674">
      <c r="A674" s="24"/>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7"/>
    </row>
    <row r="675">
      <c r="A675" s="24"/>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7"/>
    </row>
    <row r="676">
      <c r="A676" s="24"/>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7"/>
    </row>
    <row r="677">
      <c r="A677" s="24"/>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7"/>
    </row>
    <row r="678">
      <c r="A678" s="24"/>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7"/>
    </row>
    <row r="679">
      <c r="A679" s="24"/>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7"/>
    </row>
    <row r="680">
      <c r="A680" s="24"/>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7"/>
    </row>
    <row r="681">
      <c r="A681" s="24"/>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7"/>
    </row>
    <row r="682">
      <c r="A682" s="24"/>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7"/>
    </row>
    <row r="683">
      <c r="A683" s="24"/>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7"/>
    </row>
    <row r="684">
      <c r="A684" s="24"/>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7"/>
    </row>
    <row r="685">
      <c r="A685" s="24"/>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7"/>
    </row>
    <row r="686">
      <c r="A686" s="24"/>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7"/>
    </row>
    <row r="687">
      <c r="A687" s="24"/>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7"/>
    </row>
    <row r="688">
      <c r="A688" s="24"/>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7"/>
    </row>
    <row r="689">
      <c r="A689" s="24"/>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7"/>
    </row>
    <row r="690">
      <c r="A690" s="24"/>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7"/>
    </row>
    <row r="691">
      <c r="A691" s="24"/>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7"/>
    </row>
    <row r="692">
      <c r="A692" s="24"/>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7"/>
    </row>
    <row r="693">
      <c r="A693" s="24"/>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7"/>
    </row>
    <row r="694">
      <c r="A694" s="24"/>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7"/>
    </row>
    <row r="695">
      <c r="A695" s="24"/>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7"/>
    </row>
    <row r="696">
      <c r="A696" s="24"/>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7"/>
    </row>
    <row r="697">
      <c r="A697" s="24"/>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7"/>
    </row>
    <row r="698">
      <c r="A698" s="24"/>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7"/>
    </row>
    <row r="699">
      <c r="A699" s="24"/>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7"/>
    </row>
    <row r="700">
      <c r="A700" s="24"/>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7"/>
    </row>
    <row r="701">
      <c r="A701" s="24"/>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7"/>
    </row>
    <row r="702">
      <c r="A702" s="24"/>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7"/>
    </row>
    <row r="703">
      <c r="A703" s="24"/>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7"/>
    </row>
    <row r="704">
      <c r="A704" s="24"/>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7"/>
    </row>
    <row r="705">
      <c r="A705" s="24"/>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7"/>
    </row>
    <row r="706">
      <c r="A706" s="24"/>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7"/>
    </row>
    <row r="707">
      <c r="A707" s="24"/>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7"/>
    </row>
    <row r="708">
      <c r="A708" s="24"/>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7"/>
    </row>
    <row r="709">
      <c r="A709" s="24"/>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7"/>
    </row>
    <row r="710">
      <c r="A710" s="24"/>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7"/>
    </row>
    <row r="711">
      <c r="A711" s="24"/>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7"/>
    </row>
    <row r="712">
      <c r="A712" s="24"/>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7"/>
    </row>
    <row r="713">
      <c r="A713" s="24"/>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7"/>
    </row>
    <row r="714">
      <c r="A714" s="24"/>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7"/>
    </row>
    <row r="715">
      <c r="A715" s="24"/>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7"/>
    </row>
    <row r="716">
      <c r="A716" s="24"/>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7"/>
    </row>
    <row r="717">
      <c r="A717" s="24"/>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7"/>
    </row>
    <row r="718">
      <c r="A718" s="24"/>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7"/>
    </row>
    <row r="719">
      <c r="A719" s="24"/>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7"/>
    </row>
    <row r="720">
      <c r="A720" s="24"/>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7"/>
    </row>
    <row r="721">
      <c r="A721" s="24"/>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7"/>
    </row>
    <row r="722">
      <c r="A722" s="24"/>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7"/>
    </row>
    <row r="723">
      <c r="A723" s="24"/>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7"/>
    </row>
    <row r="724">
      <c r="A724" s="24"/>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7"/>
    </row>
    <row r="725">
      <c r="A725" s="24"/>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7"/>
    </row>
    <row r="726">
      <c r="A726" s="24"/>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7"/>
    </row>
    <row r="727">
      <c r="A727" s="24"/>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7"/>
    </row>
    <row r="728">
      <c r="A728" s="24"/>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7"/>
    </row>
    <row r="729">
      <c r="A729" s="24"/>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7"/>
    </row>
    <row r="730">
      <c r="A730" s="24"/>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7"/>
    </row>
    <row r="731">
      <c r="A731" s="24"/>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7"/>
    </row>
    <row r="732">
      <c r="A732" s="24"/>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7"/>
    </row>
    <row r="733">
      <c r="A733" s="24"/>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7"/>
    </row>
    <row r="734">
      <c r="A734" s="24"/>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7"/>
    </row>
    <row r="735">
      <c r="A735" s="24"/>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7"/>
    </row>
    <row r="736">
      <c r="A736" s="24"/>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7"/>
    </row>
    <row r="737">
      <c r="A737" s="24"/>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7"/>
    </row>
    <row r="738">
      <c r="A738" s="24"/>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7"/>
    </row>
    <row r="739">
      <c r="A739" s="24"/>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7"/>
    </row>
    <row r="740">
      <c r="A740" s="24"/>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7"/>
    </row>
    <row r="741">
      <c r="A741" s="24"/>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7"/>
    </row>
    <row r="742">
      <c r="A742" s="24"/>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7"/>
    </row>
    <row r="743">
      <c r="A743" s="24"/>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7"/>
    </row>
    <row r="744">
      <c r="A744" s="24"/>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7"/>
    </row>
    <row r="745">
      <c r="A745" s="24"/>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7"/>
    </row>
    <row r="746">
      <c r="A746" s="24"/>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7"/>
    </row>
    <row r="747">
      <c r="A747" s="24"/>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7"/>
    </row>
    <row r="748">
      <c r="A748" s="24"/>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7"/>
    </row>
    <row r="749">
      <c r="A749" s="24"/>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7"/>
    </row>
    <row r="750">
      <c r="A750" s="24"/>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7"/>
    </row>
    <row r="751">
      <c r="A751" s="24"/>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7"/>
    </row>
    <row r="752">
      <c r="A752" s="24"/>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7"/>
    </row>
    <row r="753">
      <c r="A753" s="24"/>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7"/>
    </row>
    <row r="754">
      <c r="A754" s="24"/>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7"/>
    </row>
    <row r="755">
      <c r="A755" s="24"/>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7"/>
    </row>
    <row r="756">
      <c r="A756" s="24"/>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7"/>
    </row>
    <row r="757">
      <c r="A757" s="24"/>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7"/>
    </row>
    <row r="758">
      <c r="A758" s="24"/>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7"/>
    </row>
    <row r="759">
      <c r="A759" s="24"/>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7"/>
    </row>
    <row r="760">
      <c r="A760" s="24"/>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7"/>
    </row>
    <row r="761">
      <c r="A761" s="24"/>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7"/>
    </row>
    <row r="762">
      <c r="A762" s="24"/>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7"/>
    </row>
    <row r="763">
      <c r="A763" s="24"/>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7"/>
    </row>
    <row r="764">
      <c r="A764" s="24"/>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7"/>
    </row>
    <row r="765">
      <c r="A765" s="24"/>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7"/>
    </row>
    <row r="766">
      <c r="A766" s="24"/>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7"/>
    </row>
    <row r="767">
      <c r="A767" s="24"/>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7"/>
    </row>
    <row r="768">
      <c r="A768" s="24"/>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7"/>
    </row>
    <row r="769">
      <c r="A769" s="24"/>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7"/>
    </row>
    <row r="770">
      <c r="A770" s="24"/>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7"/>
    </row>
    <row r="771">
      <c r="A771" s="24"/>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7"/>
    </row>
    <row r="772">
      <c r="A772" s="24"/>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7"/>
    </row>
    <row r="773">
      <c r="A773" s="24"/>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7"/>
    </row>
    <row r="774">
      <c r="A774" s="24"/>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7"/>
    </row>
    <row r="775">
      <c r="A775" s="24"/>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7"/>
    </row>
    <row r="776">
      <c r="A776" s="24"/>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7"/>
    </row>
    <row r="777">
      <c r="A777" s="24"/>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7"/>
    </row>
    <row r="778">
      <c r="A778" s="24"/>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7"/>
    </row>
    <row r="779">
      <c r="A779" s="24"/>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7"/>
    </row>
    <row r="780">
      <c r="A780" s="24"/>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7"/>
    </row>
    <row r="781">
      <c r="A781" s="24"/>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7"/>
    </row>
    <row r="782">
      <c r="A782" s="24"/>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7"/>
    </row>
    <row r="783">
      <c r="A783" s="24"/>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7"/>
    </row>
    <row r="784">
      <c r="A784" s="24"/>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7"/>
    </row>
    <row r="785">
      <c r="A785" s="24"/>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7"/>
    </row>
    <row r="786">
      <c r="A786" s="24"/>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7"/>
    </row>
    <row r="787">
      <c r="A787" s="24"/>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7"/>
    </row>
    <row r="788">
      <c r="A788" s="24"/>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7"/>
    </row>
    <row r="789">
      <c r="A789" s="24"/>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7"/>
    </row>
    <row r="790">
      <c r="A790" s="24"/>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7"/>
    </row>
    <row r="791">
      <c r="A791" s="24"/>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7"/>
    </row>
    <row r="792">
      <c r="A792" s="24"/>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7"/>
    </row>
    <row r="793">
      <c r="A793" s="24"/>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7"/>
    </row>
    <row r="794">
      <c r="A794" s="24"/>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7"/>
    </row>
    <row r="795">
      <c r="A795" s="24"/>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7"/>
    </row>
    <row r="796">
      <c r="A796" s="24"/>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7"/>
    </row>
    <row r="797">
      <c r="A797" s="24"/>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7"/>
    </row>
    <row r="798">
      <c r="A798" s="24"/>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7"/>
    </row>
    <row r="799">
      <c r="A799" s="24"/>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7"/>
    </row>
    <row r="800">
      <c r="A800" s="24"/>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7"/>
    </row>
    <row r="801">
      <c r="A801" s="24"/>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7"/>
    </row>
    <row r="802">
      <c r="A802" s="24"/>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7"/>
    </row>
    <row r="803">
      <c r="A803" s="24"/>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7"/>
    </row>
    <row r="804">
      <c r="A804" s="24"/>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7"/>
    </row>
    <row r="805">
      <c r="A805" s="24"/>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7"/>
    </row>
    <row r="806">
      <c r="A806" s="24"/>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7"/>
    </row>
    <row r="807">
      <c r="A807" s="24"/>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7"/>
    </row>
    <row r="808">
      <c r="A808" s="24"/>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7"/>
    </row>
    <row r="809">
      <c r="A809" s="24"/>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7"/>
    </row>
    <row r="810">
      <c r="A810" s="24"/>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7"/>
    </row>
    <row r="811">
      <c r="A811" s="24"/>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7"/>
    </row>
    <row r="812">
      <c r="A812" s="24"/>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7"/>
    </row>
    <row r="813">
      <c r="A813" s="24"/>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7"/>
    </row>
    <row r="814">
      <c r="A814" s="24"/>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7"/>
    </row>
    <row r="815">
      <c r="A815" s="24"/>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7"/>
    </row>
    <row r="816">
      <c r="A816" s="24"/>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7"/>
    </row>
    <row r="817">
      <c r="A817" s="24"/>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7"/>
    </row>
    <row r="818">
      <c r="A818" s="24"/>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7"/>
    </row>
    <row r="819">
      <c r="A819" s="24"/>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7"/>
    </row>
    <row r="820">
      <c r="A820" s="24"/>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7"/>
    </row>
    <row r="821">
      <c r="A821" s="24"/>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7"/>
    </row>
    <row r="822">
      <c r="A822" s="24"/>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7"/>
    </row>
    <row r="823">
      <c r="A823" s="24"/>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7"/>
    </row>
    <row r="824">
      <c r="A824" s="24"/>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7"/>
    </row>
    <row r="825">
      <c r="A825" s="24"/>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7"/>
    </row>
    <row r="826">
      <c r="A826" s="24"/>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7"/>
    </row>
    <row r="827">
      <c r="A827" s="24"/>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7"/>
    </row>
    <row r="828">
      <c r="A828" s="24"/>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7"/>
    </row>
    <row r="829">
      <c r="A829" s="24"/>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7"/>
    </row>
    <row r="830">
      <c r="A830" s="24"/>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7"/>
    </row>
    <row r="831">
      <c r="A831" s="24"/>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7"/>
    </row>
    <row r="832">
      <c r="A832" s="24"/>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7"/>
    </row>
    <row r="833">
      <c r="A833" s="24"/>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7"/>
    </row>
    <row r="834">
      <c r="A834" s="24"/>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7"/>
    </row>
    <row r="835">
      <c r="A835" s="24"/>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7"/>
    </row>
    <row r="836">
      <c r="A836" s="24"/>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7"/>
    </row>
    <row r="837">
      <c r="A837" s="24"/>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7"/>
    </row>
    <row r="838">
      <c r="A838" s="24"/>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7"/>
    </row>
    <row r="839">
      <c r="A839" s="24"/>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7"/>
    </row>
    <row r="840">
      <c r="A840" s="24"/>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7"/>
    </row>
    <row r="841">
      <c r="A841" s="24"/>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7"/>
    </row>
    <row r="842">
      <c r="A842" s="24"/>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7"/>
    </row>
    <row r="843">
      <c r="A843" s="24"/>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7"/>
    </row>
    <row r="844">
      <c r="A844" s="24"/>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7"/>
    </row>
    <row r="845">
      <c r="A845" s="24"/>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7"/>
    </row>
    <row r="846">
      <c r="A846" s="24"/>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7"/>
    </row>
    <row r="847">
      <c r="A847" s="24"/>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7"/>
    </row>
    <row r="848">
      <c r="A848" s="24"/>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7"/>
    </row>
    <row r="849">
      <c r="A849" s="24"/>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7"/>
    </row>
    <row r="850">
      <c r="A850" s="24"/>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7"/>
    </row>
    <row r="851">
      <c r="A851" s="24"/>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7"/>
    </row>
    <row r="852">
      <c r="A852" s="24"/>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7"/>
    </row>
    <row r="853">
      <c r="A853" s="24"/>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7"/>
    </row>
    <row r="854">
      <c r="A854" s="24"/>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7"/>
    </row>
    <row r="855">
      <c r="A855" s="24"/>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7"/>
    </row>
    <row r="856">
      <c r="A856" s="24"/>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7"/>
    </row>
    <row r="857">
      <c r="A857" s="24"/>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7"/>
    </row>
    <row r="858">
      <c r="A858" s="24"/>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7"/>
    </row>
    <row r="859">
      <c r="A859" s="24"/>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7"/>
    </row>
    <row r="860">
      <c r="A860" s="24"/>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7"/>
    </row>
    <row r="861">
      <c r="A861" s="24"/>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7"/>
    </row>
    <row r="862">
      <c r="A862" s="24"/>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7"/>
    </row>
    <row r="863">
      <c r="A863" s="24"/>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7"/>
    </row>
    <row r="864">
      <c r="A864" s="24"/>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7"/>
    </row>
    <row r="865">
      <c r="A865" s="24"/>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7"/>
    </row>
    <row r="866">
      <c r="A866" s="24"/>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7"/>
    </row>
    <row r="867">
      <c r="A867" s="24"/>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7"/>
    </row>
    <row r="868">
      <c r="A868" s="24"/>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7"/>
    </row>
    <row r="869">
      <c r="A869" s="24"/>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7"/>
    </row>
    <row r="870">
      <c r="A870" s="24"/>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7"/>
    </row>
    <row r="871">
      <c r="A871" s="24"/>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7"/>
    </row>
    <row r="872">
      <c r="A872" s="24"/>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7"/>
    </row>
    <row r="873">
      <c r="A873" s="24"/>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7"/>
    </row>
    <row r="874">
      <c r="A874" s="24"/>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7"/>
    </row>
    <row r="875">
      <c r="A875" s="24"/>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7"/>
    </row>
    <row r="876">
      <c r="A876" s="24"/>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7"/>
    </row>
    <row r="877">
      <c r="A877" s="24"/>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7"/>
    </row>
    <row r="878">
      <c r="A878" s="24"/>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7"/>
    </row>
    <row r="879">
      <c r="A879" s="24"/>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7"/>
    </row>
    <row r="880">
      <c r="A880" s="24"/>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7"/>
    </row>
    <row r="881">
      <c r="A881" s="24"/>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7"/>
    </row>
    <row r="882">
      <c r="A882" s="24"/>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7"/>
    </row>
    <row r="883">
      <c r="A883" s="24"/>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7"/>
    </row>
    <row r="884">
      <c r="A884" s="24"/>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7"/>
    </row>
    <row r="885">
      <c r="A885" s="24"/>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7"/>
    </row>
    <row r="886">
      <c r="A886" s="24"/>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7"/>
    </row>
    <row r="887">
      <c r="A887" s="24"/>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7"/>
    </row>
    <row r="888">
      <c r="A888" s="24"/>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7"/>
    </row>
    <row r="889">
      <c r="A889" s="24"/>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7"/>
    </row>
    <row r="890">
      <c r="A890" s="24"/>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7"/>
    </row>
    <row r="891">
      <c r="A891" s="24"/>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7"/>
    </row>
    <row r="892">
      <c r="A892" s="24"/>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7"/>
    </row>
    <row r="893">
      <c r="A893" s="24"/>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7"/>
    </row>
    <row r="894">
      <c r="A894" s="24"/>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7"/>
    </row>
    <row r="895">
      <c r="A895" s="24"/>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7"/>
    </row>
    <row r="896">
      <c r="A896" s="24"/>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7"/>
    </row>
    <row r="897">
      <c r="A897" s="24"/>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7"/>
    </row>
    <row r="898">
      <c r="A898" s="24"/>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7"/>
    </row>
    <row r="899">
      <c r="A899" s="24"/>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7"/>
    </row>
    <row r="900">
      <c r="A900" s="24"/>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7"/>
    </row>
    <row r="901">
      <c r="A901" s="24"/>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7"/>
    </row>
    <row r="902">
      <c r="A902" s="24"/>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7"/>
    </row>
    <row r="903">
      <c r="A903" s="24"/>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7"/>
    </row>
    <row r="904">
      <c r="A904" s="24"/>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7"/>
    </row>
    <row r="905">
      <c r="A905" s="24"/>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7"/>
    </row>
    <row r="906">
      <c r="A906" s="24"/>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7"/>
    </row>
    <row r="907">
      <c r="A907" s="24"/>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7"/>
    </row>
    <row r="908">
      <c r="A908" s="24"/>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7"/>
    </row>
    <row r="909">
      <c r="A909" s="24"/>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7"/>
    </row>
    <row r="910">
      <c r="A910" s="24"/>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7"/>
    </row>
    <row r="911">
      <c r="A911" s="24"/>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7"/>
    </row>
    <row r="912">
      <c r="A912" s="24"/>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7"/>
    </row>
    <row r="913">
      <c r="A913" s="24"/>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7"/>
    </row>
    <row r="914">
      <c r="A914" s="24"/>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7"/>
    </row>
    <row r="915">
      <c r="A915" s="24"/>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7"/>
    </row>
    <row r="916">
      <c r="A916" s="24"/>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7"/>
    </row>
    <row r="917">
      <c r="A917" s="24"/>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7"/>
    </row>
    <row r="918">
      <c r="A918" s="24"/>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7"/>
    </row>
    <row r="919">
      <c r="A919" s="24"/>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7"/>
    </row>
    <row r="920">
      <c r="A920" s="24"/>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7"/>
    </row>
    <row r="921">
      <c r="A921" s="24"/>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7"/>
    </row>
    <row r="922">
      <c r="A922" s="24"/>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7"/>
    </row>
    <row r="923">
      <c r="A923" s="24"/>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7"/>
    </row>
    <row r="924">
      <c r="A924" s="24"/>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7"/>
    </row>
    <row r="925">
      <c r="A925" s="24"/>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7"/>
    </row>
    <row r="926">
      <c r="A926" s="24"/>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7"/>
    </row>
    <row r="927">
      <c r="A927" s="24"/>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7"/>
    </row>
    <row r="928">
      <c r="A928" s="24"/>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7"/>
    </row>
    <row r="929">
      <c r="A929" s="24"/>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7"/>
    </row>
    <row r="930">
      <c r="A930" s="24"/>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7"/>
    </row>
    <row r="931">
      <c r="A931" s="24"/>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7"/>
    </row>
    <row r="932">
      <c r="A932" s="24"/>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7"/>
    </row>
    <row r="933">
      <c r="A933" s="24"/>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7"/>
    </row>
    <row r="934">
      <c r="A934" s="24"/>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7"/>
    </row>
    <row r="935">
      <c r="A935" s="24"/>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7"/>
    </row>
    <row r="936">
      <c r="A936" s="24"/>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7"/>
    </row>
    <row r="937">
      <c r="A937" s="24"/>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7"/>
    </row>
    <row r="938">
      <c r="A938" s="24"/>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7"/>
    </row>
    <row r="939">
      <c r="A939" s="24"/>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7"/>
    </row>
    <row r="940">
      <c r="A940" s="24"/>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7"/>
    </row>
    <row r="941">
      <c r="A941" s="24"/>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7"/>
    </row>
    <row r="942">
      <c r="A942" s="24"/>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7"/>
    </row>
    <row r="943">
      <c r="A943" s="24"/>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7"/>
    </row>
    <row r="944">
      <c r="A944" s="24"/>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7"/>
    </row>
    <row r="945">
      <c r="A945" s="24"/>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7"/>
    </row>
    <row r="946">
      <c r="A946" s="24"/>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7"/>
    </row>
    <row r="947">
      <c r="A947" s="24"/>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7"/>
    </row>
    <row r="948">
      <c r="A948" s="24"/>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7"/>
    </row>
    <row r="949">
      <c r="A949" s="24"/>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7"/>
    </row>
    <row r="950">
      <c r="A950" s="24"/>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7"/>
    </row>
    <row r="951">
      <c r="A951" s="24"/>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7"/>
    </row>
    <row r="952">
      <c r="A952" s="24"/>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7"/>
    </row>
    <row r="953">
      <c r="A953" s="24"/>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7"/>
    </row>
    <row r="954">
      <c r="A954" s="24"/>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7"/>
    </row>
    <row r="955">
      <c r="A955" s="24"/>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7"/>
    </row>
    <row r="956">
      <c r="A956" s="24"/>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7"/>
    </row>
    <row r="957">
      <c r="A957" s="24"/>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7"/>
    </row>
    <row r="958">
      <c r="A958" s="24"/>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7"/>
    </row>
    <row r="959">
      <c r="A959" s="24"/>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7"/>
    </row>
    <row r="960">
      <c r="A960" s="24"/>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7"/>
    </row>
    <row r="961">
      <c r="A961" s="24"/>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7"/>
    </row>
    <row r="962">
      <c r="A962" s="24"/>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7"/>
    </row>
    <row r="963">
      <c r="A963" s="24"/>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7"/>
    </row>
    <row r="964">
      <c r="A964" s="24"/>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7"/>
    </row>
    <row r="965">
      <c r="A965" s="24"/>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7"/>
    </row>
    <row r="966">
      <c r="A966" s="24"/>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7"/>
    </row>
    <row r="967">
      <c r="A967" s="24"/>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7"/>
    </row>
    <row r="968">
      <c r="A968" s="24"/>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7"/>
    </row>
    <row r="969">
      <c r="A969" s="24"/>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7"/>
    </row>
    <row r="970">
      <c r="A970" s="24"/>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7"/>
    </row>
    <row r="971">
      <c r="A971" s="24"/>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7"/>
    </row>
    <row r="972">
      <c r="A972" s="24"/>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7"/>
    </row>
    <row r="973">
      <c r="A973" s="24"/>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7"/>
    </row>
    <row r="974">
      <c r="A974" s="24"/>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7"/>
    </row>
    <row r="975">
      <c r="A975" s="24"/>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7"/>
    </row>
    <row r="976">
      <c r="A976" s="24"/>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7"/>
    </row>
    <row r="977">
      <c r="A977" s="24"/>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7"/>
    </row>
    <row r="978">
      <c r="A978" s="24"/>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7"/>
    </row>
    <row r="979">
      <c r="A979" s="24"/>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7"/>
    </row>
    <row r="980">
      <c r="A980" s="24"/>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7"/>
    </row>
    <row r="981">
      <c r="A981" s="24"/>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7"/>
    </row>
    <row r="982">
      <c r="A982" s="24"/>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7"/>
    </row>
    <row r="983">
      <c r="A983" s="24"/>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7"/>
    </row>
    <row r="984">
      <c r="A984" s="24"/>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7"/>
    </row>
    <row r="985">
      <c r="A985" s="24"/>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7"/>
    </row>
    <row r="986">
      <c r="A986" s="24"/>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7"/>
    </row>
    <row r="987">
      <c r="A987" s="24"/>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7"/>
    </row>
    <row r="988">
      <c r="A988" s="24"/>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7"/>
    </row>
    <row r="989">
      <c r="A989" s="24"/>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7"/>
    </row>
    <row r="990">
      <c r="A990" s="24"/>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7"/>
    </row>
    <row r="991">
      <c r="A991" s="24"/>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7"/>
    </row>
    <row r="992">
      <c r="A992" s="24"/>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7"/>
    </row>
    <row r="993">
      <c r="A993" s="24"/>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7"/>
    </row>
    <row r="994">
      <c r="A994" s="24"/>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7"/>
    </row>
    <row r="995">
      <c r="A995" s="24"/>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7"/>
    </row>
    <row r="996">
      <c r="A996" s="24"/>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7"/>
    </row>
    <row r="997">
      <c r="A997" s="24"/>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7"/>
    </row>
    <row r="998">
      <c r="A998" s="24"/>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7"/>
    </row>
    <row r="999">
      <c r="A999" s="24"/>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7"/>
    </row>
    <row r="1000">
      <c r="A1000" s="24"/>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7"/>
    </row>
    <row r="1001">
      <c r="A1001" s="24"/>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7"/>
    </row>
    <row r="1002">
      <c r="A1002" s="24"/>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7"/>
    </row>
    <row r="1003">
      <c r="A1003" s="24"/>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7"/>
    </row>
    <row r="1004">
      <c r="A1004" s="24"/>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7"/>
    </row>
    <row r="1005">
      <c r="A1005" s="24"/>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7"/>
    </row>
    <row r="1006">
      <c r="A1006" s="24"/>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7"/>
    </row>
    <row r="1007">
      <c r="A1007" s="24"/>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7"/>
    </row>
    <row r="1008">
      <c r="A1008" s="24"/>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7"/>
    </row>
    <row r="1009">
      <c r="A1009" s="24"/>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7"/>
    </row>
    <row r="1010">
      <c r="A1010" s="24"/>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7"/>
    </row>
    <row r="1011">
      <c r="A1011" s="24"/>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7"/>
    </row>
    <row r="1012">
      <c r="A1012" s="24"/>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7"/>
    </row>
    <row r="1013">
      <c r="A1013" s="24"/>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7"/>
    </row>
    <row r="1014">
      <c r="A1014" s="24"/>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7"/>
    </row>
    <row r="1015">
      <c r="A1015" s="24"/>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7"/>
    </row>
    <row r="1016">
      <c r="A1016" s="24"/>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7"/>
    </row>
    <row r="1017">
      <c r="A1017" s="24"/>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5.38"/>
  </cols>
  <sheetData>
    <row r="1">
      <c r="A1" s="4" t="s">
        <v>2</v>
      </c>
      <c r="B1" s="6">
        <v>45170.0</v>
      </c>
      <c r="C1" s="6">
        <v>45171.0</v>
      </c>
      <c r="D1" s="6">
        <v>45172.0</v>
      </c>
      <c r="E1" s="6">
        <v>45173.0</v>
      </c>
      <c r="F1" s="6">
        <v>45174.0</v>
      </c>
      <c r="G1" s="6">
        <v>45175.0</v>
      </c>
      <c r="H1" s="6">
        <v>45176.0</v>
      </c>
      <c r="I1" s="6">
        <v>45177.0</v>
      </c>
      <c r="J1" s="6">
        <v>45178.0</v>
      </c>
      <c r="K1" s="6">
        <v>45179.0</v>
      </c>
      <c r="L1" s="6">
        <v>45180.0</v>
      </c>
      <c r="M1" s="6">
        <v>45181.0</v>
      </c>
      <c r="N1" s="6">
        <v>45182.0</v>
      </c>
      <c r="O1" s="6">
        <v>45183.0</v>
      </c>
      <c r="P1" s="6">
        <v>45184.0</v>
      </c>
      <c r="Q1" s="6">
        <v>45185.0</v>
      </c>
      <c r="R1" s="6">
        <v>45186.0</v>
      </c>
      <c r="S1" s="6">
        <v>45187.0</v>
      </c>
      <c r="T1" s="6">
        <v>45188.0</v>
      </c>
      <c r="U1" s="6">
        <v>45189.0</v>
      </c>
      <c r="V1" s="6">
        <v>45190.0</v>
      </c>
      <c r="W1" s="6">
        <v>45191.0</v>
      </c>
      <c r="X1" s="6">
        <v>45192.0</v>
      </c>
      <c r="Y1" s="6">
        <v>45193.0</v>
      </c>
      <c r="Z1" s="6">
        <v>45194.0</v>
      </c>
      <c r="AA1" s="6">
        <v>45195.0</v>
      </c>
      <c r="AB1" s="6">
        <v>45196.0</v>
      </c>
      <c r="AC1" s="6">
        <v>45197.0</v>
      </c>
      <c r="AD1" s="6">
        <v>45198.0</v>
      </c>
      <c r="AE1" s="8">
        <v>45199.0</v>
      </c>
      <c r="AF1" s="11"/>
    </row>
    <row r="2">
      <c r="A2" s="14" t="s">
        <v>44</v>
      </c>
      <c r="B2" s="13" t="s">
        <v>46</v>
      </c>
      <c r="C2" s="13" t="s">
        <v>48</v>
      </c>
      <c r="D2" s="13" t="s">
        <v>51</v>
      </c>
      <c r="E2" s="13" t="s">
        <v>52</v>
      </c>
      <c r="F2" s="13" t="s">
        <v>55</v>
      </c>
      <c r="G2" s="13" t="s">
        <v>57</v>
      </c>
      <c r="H2" s="13" t="s">
        <v>58</v>
      </c>
      <c r="I2" s="13" t="s">
        <v>46</v>
      </c>
      <c r="J2" s="13" t="s">
        <v>48</v>
      </c>
      <c r="K2" s="13" t="s">
        <v>51</v>
      </c>
      <c r="L2" s="13" t="s">
        <v>52</v>
      </c>
      <c r="M2" s="13" t="s">
        <v>55</v>
      </c>
      <c r="N2" s="13" t="s">
        <v>57</v>
      </c>
      <c r="O2" s="13" t="s">
        <v>58</v>
      </c>
      <c r="P2" s="13" t="s">
        <v>46</v>
      </c>
      <c r="Q2" s="13" t="s">
        <v>48</v>
      </c>
      <c r="R2" s="13" t="s">
        <v>51</v>
      </c>
      <c r="S2" s="13" t="s">
        <v>52</v>
      </c>
      <c r="T2" s="13" t="s">
        <v>55</v>
      </c>
      <c r="U2" s="13" t="s">
        <v>57</v>
      </c>
      <c r="V2" s="13" t="s">
        <v>58</v>
      </c>
      <c r="W2" s="13" t="s">
        <v>46</v>
      </c>
      <c r="X2" s="13" t="s">
        <v>48</v>
      </c>
      <c r="Y2" s="13" t="s">
        <v>51</v>
      </c>
      <c r="Z2" s="13" t="s">
        <v>52</v>
      </c>
      <c r="AA2" s="13" t="s">
        <v>55</v>
      </c>
      <c r="AB2" s="13" t="s">
        <v>57</v>
      </c>
      <c r="AC2" s="13" t="s">
        <v>58</v>
      </c>
      <c r="AD2" s="13" t="s">
        <v>46</v>
      </c>
      <c r="AE2" s="18" t="s">
        <v>48</v>
      </c>
      <c r="AF2" s="11"/>
    </row>
    <row r="3">
      <c r="A3" s="16" t="s">
        <v>65</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24"/>
      <c r="AF3" s="11"/>
    </row>
    <row r="4">
      <c r="A4" s="19" t="s">
        <v>69</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24"/>
      <c r="AF4" s="11"/>
    </row>
    <row r="5">
      <c r="A5" s="28" t="s">
        <v>79</v>
      </c>
      <c r="B5" s="35">
        <f>Summary!B47</f>
        <v>14</v>
      </c>
      <c r="C5" s="35">
        <f>Summary!C47</f>
        <v>8</v>
      </c>
      <c r="D5" s="35">
        <f>Summary!D47</f>
        <v>20</v>
      </c>
      <c r="E5" s="35">
        <f>Summary!E47</f>
        <v>24</v>
      </c>
      <c r="F5" s="35">
        <f>Summary!F47</f>
        <v>16</v>
      </c>
      <c r="G5" s="35">
        <f>Summary!G47</f>
        <v>21</v>
      </c>
      <c r="H5" s="35">
        <f>Summary!H47</f>
        <v>12</v>
      </c>
      <c r="I5" s="35">
        <f>Summary!I47</f>
        <v>11</v>
      </c>
      <c r="J5" s="35">
        <f>Summary!J47</f>
        <v>29</v>
      </c>
      <c r="K5" s="35">
        <f>Summary!K47</f>
        <v>18</v>
      </c>
      <c r="L5" s="35">
        <f>Summary!L47</f>
        <v>22</v>
      </c>
      <c r="M5" s="35">
        <f>Summary!M47</f>
        <v>28</v>
      </c>
      <c r="N5" s="35">
        <f>Summary!N47</f>
        <v>26</v>
      </c>
      <c r="O5" s="35">
        <f>Summary!O47</f>
        <v>28</v>
      </c>
      <c r="P5" s="35">
        <f>Summary!P47</f>
        <v>15</v>
      </c>
      <c r="Q5" s="35">
        <f>Summary!Q47</f>
        <v>21</v>
      </c>
      <c r="R5" s="35">
        <f>Summary!R47</f>
        <v>25</v>
      </c>
      <c r="S5" s="35">
        <f>Summary!S47</f>
        <v>27</v>
      </c>
      <c r="T5" s="35">
        <f>Summary!T47</f>
        <v>40</v>
      </c>
      <c r="U5" s="35">
        <f>Summary!U47</f>
        <v>36</v>
      </c>
      <c r="V5" s="35">
        <f>Summary!V47</f>
        <v>35</v>
      </c>
      <c r="W5" s="35">
        <f>Summary!W47</f>
        <v>31</v>
      </c>
      <c r="X5" s="35">
        <f>Summary!X47</f>
        <v>25</v>
      </c>
      <c r="Y5" s="35">
        <f>Summary!Y47</f>
        <v>34</v>
      </c>
      <c r="Z5" s="35">
        <f>Summary!Z47</f>
        <v>32</v>
      </c>
      <c r="AA5" s="35">
        <f>Summary!AA47</f>
        <v>38</v>
      </c>
      <c r="AB5" s="35">
        <f>Summary!AB47</f>
        <v>32</v>
      </c>
      <c r="AC5" s="35">
        <f>Summary!AC47</f>
        <v>41</v>
      </c>
      <c r="AD5" s="35">
        <f>Summary!AD47</f>
        <v>33</v>
      </c>
      <c r="AE5" s="42">
        <f>Summary!AE47</f>
        <v>30</v>
      </c>
      <c r="AF5" s="43"/>
    </row>
    <row r="6">
      <c r="A6" s="45" t="s">
        <v>95</v>
      </c>
      <c r="B6" s="46">
        <f t="shared" ref="B6:AE6" si="1">SUM(B5)</f>
        <v>14</v>
      </c>
      <c r="C6" s="46">
        <f t="shared" si="1"/>
        <v>8</v>
      </c>
      <c r="D6" s="46">
        <f t="shared" si="1"/>
        <v>20</v>
      </c>
      <c r="E6" s="46">
        <f t="shared" si="1"/>
        <v>24</v>
      </c>
      <c r="F6" s="46">
        <f t="shared" si="1"/>
        <v>16</v>
      </c>
      <c r="G6" s="46">
        <f t="shared" si="1"/>
        <v>21</v>
      </c>
      <c r="H6" s="46">
        <f t="shared" si="1"/>
        <v>12</v>
      </c>
      <c r="I6" s="46">
        <f t="shared" si="1"/>
        <v>11</v>
      </c>
      <c r="J6" s="46">
        <f t="shared" si="1"/>
        <v>29</v>
      </c>
      <c r="K6" s="46">
        <f t="shared" si="1"/>
        <v>18</v>
      </c>
      <c r="L6" s="46">
        <f t="shared" si="1"/>
        <v>22</v>
      </c>
      <c r="M6" s="46">
        <f t="shared" si="1"/>
        <v>28</v>
      </c>
      <c r="N6" s="46">
        <f t="shared" si="1"/>
        <v>26</v>
      </c>
      <c r="O6" s="46">
        <f t="shared" si="1"/>
        <v>28</v>
      </c>
      <c r="P6" s="46">
        <f t="shared" si="1"/>
        <v>15</v>
      </c>
      <c r="Q6" s="46">
        <f t="shared" si="1"/>
        <v>21</v>
      </c>
      <c r="R6" s="46">
        <f t="shared" si="1"/>
        <v>25</v>
      </c>
      <c r="S6" s="46">
        <f t="shared" si="1"/>
        <v>27</v>
      </c>
      <c r="T6" s="46">
        <f t="shared" si="1"/>
        <v>40</v>
      </c>
      <c r="U6" s="46">
        <f t="shared" si="1"/>
        <v>36</v>
      </c>
      <c r="V6" s="46">
        <f t="shared" si="1"/>
        <v>35</v>
      </c>
      <c r="W6" s="46">
        <f t="shared" si="1"/>
        <v>31</v>
      </c>
      <c r="X6" s="46">
        <f t="shared" si="1"/>
        <v>25</v>
      </c>
      <c r="Y6" s="46">
        <f t="shared" si="1"/>
        <v>34</v>
      </c>
      <c r="Z6" s="46">
        <f t="shared" si="1"/>
        <v>32</v>
      </c>
      <c r="AA6" s="46">
        <f t="shared" si="1"/>
        <v>38</v>
      </c>
      <c r="AB6" s="46">
        <f t="shared" si="1"/>
        <v>32</v>
      </c>
      <c r="AC6" s="46">
        <f t="shared" si="1"/>
        <v>41</v>
      </c>
      <c r="AD6" s="46">
        <f t="shared" si="1"/>
        <v>33</v>
      </c>
      <c r="AE6" s="50">
        <f t="shared" si="1"/>
        <v>30</v>
      </c>
      <c r="AF6" s="51">
        <f>SUM(B6:AE6)</f>
        <v>772</v>
      </c>
    </row>
    <row r="7">
      <c r="A7" s="24"/>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24"/>
      <c r="AF7" s="11"/>
    </row>
    <row r="8">
      <c r="A8" s="54" t="s">
        <v>98</v>
      </c>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24"/>
      <c r="AF8" s="11"/>
    </row>
    <row r="9">
      <c r="A9" s="28" t="s">
        <v>79</v>
      </c>
      <c r="B9" s="57">
        <f>Summary!B15</f>
        <v>3281.76</v>
      </c>
      <c r="C9" s="57">
        <f>Summary!C15</f>
        <v>3000.84</v>
      </c>
      <c r="D9" s="57">
        <f>Summary!D15</f>
        <v>4785.04</v>
      </c>
      <c r="E9" s="57">
        <f>Summary!E15</f>
        <v>6287.08</v>
      </c>
      <c r="F9" s="57">
        <f>Summary!F15</f>
        <v>5999.8</v>
      </c>
      <c r="G9" s="57">
        <f>Summary!G15</f>
        <v>5360.55</v>
      </c>
      <c r="H9" s="57">
        <f>Summary!H15</f>
        <v>3848.96</v>
      </c>
      <c r="I9" s="57">
        <f>Summary!I15</f>
        <v>2985.94</v>
      </c>
      <c r="J9" s="57">
        <f>Summary!J15</f>
        <v>7779.07</v>
      </c>
      <c r="K9" s="57">
        <f>Summary!K15</f>
        <v>6593.8</v>
      </c>
      <c r="L9" s="57">
        <f>Summary!L15</f>
        <v>6541.5</v>
      </c>
      <c r="M9" s="57">
        <f>Summary!M15</f>
        <v>8052.39</v>
      </c>
      <c r="N9" s="57">
        <f>Summary!N15</f>
        <v>8112.96</v>
      </c>
      <c r="O9" s="57">
        <f>Summary!O15</f>
        <v>9248.96</v>
      </c>
      <c r="P9" s="57">
        <f>Summary!P15</f>
        <v>4514.35</v>
      </c>
      <c r="Q9" s="57">
        <f>Summary!Q15</f>
        <v>6241.52</v>
      </c>
      <c r="R9" s="57">
        <f>Summary!R15</f>
        <v>5373.04</v>
      </c>
      <c r="S9" s="57">
        <f>Summary!S15</f>
        <v>7481.38</v>
      </c>
      <c r="T9" s="57">
        <f>Summary!T15</f>
        <v>14665.42</v>
      </c>
      <c r="U9" s="57">
        <f>Summary!U15</f>
        <v>9520.89</v>
      </c>
      <c r="V9" s="57">
        <f>Summary!V15</f>
        <v>9251.81</v>
      </c>
      <c r="W9" s="57">
        <f>Summary!W15</f>
        <v>11960.28</v>
      </c>
      <c r="X9" s="57">
        <f>Summary!X15</f>
        <v>6013.71</v>
      </c>
      <c r="Y9" s="57">
        <f>Summary!Y15</f>
        <v>11686.21</v>
      </c>
      <c r="Z9" s="57">
        <f>Summary!Z15</f>
        <v>9557.32</v>
      </c>
      <c r="AA9" s="57">
        <f>Summary!AA15</f>
        <v>10743.27</v>
      </c>
      <c r="AB9" s="57">
        <f>Summary!AB15</f>
        <v>9822.31</v>
      </c>
      <c r="AC9" s="57">
        <f>Summary!AC15</f>
        <v>12278.6</v>
      </c>
      <c r="AD9" s="57">
        <f>Summary!AD15</f>
        <v>11038.2</v>
      </c>
      <c r="AE9" s="62">
        <f>Summary!AE15</f>
        <v>7779.39</v>
      </c>
      <c r="AF9" s="43"/>
    </row>
    <row r="10">
      <c r="A10" s="45" t="s">
        <v>95</v>
      </c>
      <c r="B10" s="63">
        <f t="shared" ref="B10:AE10" si="2">SUM(B9)</f>
        <v>3281.76</v>
      </c>
      <c r="C10" s="63">
        <f t="shared" si="2"/>
        <v>3000.84</v>
      </c>
      <c r="D10" s="63">
        <f t="shared" si="2"/>
        <v>4785.04</v>
      </c>
      <c r="E10" s="63">
        <f t="shared" si="2"/>
        <v>6287.08</v>
      </c>
      <c r="F10" s="63">
        <f t="shared" si="2"/>
        <v>5999.8</v>
      </c>
      <c r="G10" s="63">
        <f t="shared" si="2"/>
        <v>5360.55</v>
      </c>
      <c r="H10" s="63">
        <f t="shared" si="2"/>
        <v>3848.96</v>
      </c>
      <c r="I10" s="63">
        <f t="shared" si="2"/>
        <v>2985.94</v>
      </c>
      <c r="J10" s="63">
        <f t="shared" si="2"/>
        <v>7779.07</v>
      </c>
      <c r="K10" s="63">
        <f t="shared" si="2"/>
        <v>6593.8</v>
      </c>
      <c r="L10" s="63">
        <f t="shared" si="2"/>
        <v>6541.5</v>
      </c>
      <c r="M10" s="63">
        <f t="shared" si="2"/>
        <v>8052.39</v>
      </c>
      <c r="N10" s="63">
        <f t="shared" si="2"/>
        <v>8112.96</v>
      </c>
      <c r="O10" s="63">
        <f t="shared" si="2"/>
        <v>9248.96</v>
      </c>
      <c r="P10" s="63">
        <f t="shared" si="2"/>
        <v>4514.35</v>
      </c>
      <c r="Q10" s="63">
        <f t="shared" si="2"/>
        <v>6241.52</v>
      </c>
      <c r="R10" s="63">
        <f t="shared" si="2"/>
        <v>5373.04</v>
      </c>
      <c r="S10" s="63">
        <f t="shared" si="2"/>
        <v>7481.38</v>
      </c>
      <c r="T10" s="63">
        <f t="shared" si="2"/>
        <v>14665.42</v>
      </c>
      <c r="U10" s="63">
        <f t="shared" si="2"/>
        <v>9520.89</v>
      </c>
      <c r="V10" s="63">
        <f t="shared" si="2"/>
        <v>9251.81</v>
      </c>
      <c r="W10" s="63">
        <f t="shared" si="2"/>
        <v>11960.28</v>
      </c>
      <c r="X10" s="63">
        <f t="shared" si="2"/>
        <v>6013.71</v>
      </c>
      <c r="Y10" s="63">
        <f t="shared" si="2"/>
        <v>11686.21</v>
      </c>
      <c r="Z10" s="63">
        <f t="shared" si="2"/>
        <v>9557.32</v>
      </c>
      <c r="AA10" s="63">
        <f t="shared" si="2"/>
        <v>10743.27</v>
      </c>
      <c r="AB10" s="63">
        <f t="shared" si="2"/>
        <v>9822.31</v>
      </c>
      <c r="AC10" s="63">
        <f t="shared" si="2"/>
        <v>12278.6</v>
      </c>
      <c r="AD10" s="63">
        <f t="shared" si="2"/>
        <v>11038.2</v>
      </c>
      <c r="AE10" s="64">
        <f t="shared" si="2"/>
        <v>7779.39</v>
      </c>
      <c r="AF10" s="65">
        <f>SUM(B10:AE10)</f>
        <v>229806.35</v>
      </c>
    </row>
    <row r="11">
      <c r="A11" s="24"/>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24"/>
      <c r="AF11" s="11"/>
    </row>
    <row r="12">
      <c r="A12" s="66" t="s">
        <v>105</v>
      </c>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24"/>
      <c r="AF12" s="11"/>
    </row>
    <row r="13">
      <c r="A13" s="20" t="s">
        <v>106</v>
      </c>
      <c r="B13" s="70">
        <f>Summary!B69</f>
        <v>1276.67</v>
      </c>
      <c r="C13" s="70">
        <f>Summary!C69</f>
        <v>1876.55</v>
      </c>
      <c r="D13" s="70">
        <f>Summary!D69</f>
        <v>2182.61</v>
      </c>
      <c r="E13" s="70">
        <f>Summary!E69</f>
        <v>1886.24</v>
      </c>
      <c r="F13" s="70">
        <f>Summary!F69</f>
        <v>1401.31</v>
      </c>
      <c r="G13" s="70">
        <f>Summary!G69</f>
        <v>1491.07</v>
      </c>
      <c r="H13" s="70">
        <f>Summary!H69</f>
        <v>1448.93</v>
      </c>
      <c r="I13" s="70">
        <f>Summary!I69</f>
        <v>1479.75</v>
      </c>
      <c r="J13" s="70">
        <f>Summary!J69</f>
        <v>1888.27</v>
      </c>
      <c r="K13" s="70">
        <f>Summary!K69</f>
        <v>2296.89</v>
      </c>
      <c r="L13" s="70">
        <f>Summary!L69</f>
        <v>1797.51</v>
      </c>
      <c r="M13" s="70">
        <f>Summary!M69</f>
        <v>1678.5</v>
      </c>
      <c r="N13" s="70">
        <f>Summary!N69</f>
        <v>1662.46</v>
      </c>
      <c r="O13" s="70">
        <f>Summary!O69</f>
        <v>1696.47</v>
      </c>
      <c r="P13" s="70">
        <f>Summary!P69</f>
        <v>1674.55</v>
      </c>
      <c r="Q13" s="70">
        <f>Summary!Q69</f>
        <v>2303.3</v>
      </c>
      <c r="R13" s="70">
        <f>Summary!R69</f>
        <v>2443.56</v>
      </c>
      <c r="S13" s="70">
        <f>Summary!S69</f>
        <v>2161.34</v>
      </c>
      <c r="T13" s="70">
        <f>Summary!T69</f>
        <v>2309.42</v>
      </c>
      <c r="U13" s="70">
        <f>Summary!U69</f>
        <v>2091.87</v>
      </c>
      <c r="V13" s="70">
        <f>Summary!V69</f>
        <v>1920.72</v>
      </c>
      <c r="W13" s="70">
        <f>Summary!W69</f>
        <v>1492.52</v>
      </c>
      <c r="X13" s="70">
        <f>Summary!X69</f>
        <v>1881.18</v>
      </c>
      <c r="Y13" s="70">
        <f>Summary!Y69</f>
        <v>2255.79</v>
      </c>
      <c r="Z13" s="70">
        <f>Summary!Z69</f>
        <v>1672.88</v>
      </c>
      <c r="AA13" s="70">
        <f>Summary!AA69</f>
        <v>1771.38</v>
      </c>
      <c r="AB13" s="70">
        <f>Summary!AB69</f>
        <v>2743.88</v>
      </c>
      <c r="AC13" s="70">
        <f>Summary!AC69</f>
        <v>3792.92</v>
      </c>
      <c r="AD13" s="70">
        <f>Summary!AD69</f>
        <v>2832.22</v>
      </c>
      <c r="AE13" s="74">
        <f>Summary!AE69</f>
        <v>3932.81</v>
      </c>
      <c r="AF13" s="77">
        <f>sum(B13:AE13)</f>
        <v>61343.57</v>
      </c>
    </row>
    <row r="14">
      <c r="A14" s="28" t="s">
        <v>109</v>
      </c>
      <c r="B14" s="81">
        <f>B9*'DATA - P&amp;L'!$C$48</f>
        <v>492.264</v>
      </c>
      <c r="C14" s="81">
        <f>C9*'DATA - P&amp;L'!$C$48</f>
        <v>450.126</v>
      </c>
      <c r="D14" s="81">
        <f>D9*'DATA - P&amp;L'!$C$48</f>
        <v>717.756</v>
      </c>
      <c r="E14" s="81">
        <f>E9*'DATA - P&amp;L'!$C$48</f>
        <v>943.062</v>
      </c>
      <c r="F14" s="81">
        <f>F9*'DATA - P&amp;L'!$C$48</f>
        <v>899.97</v>
      </c>
      <c r="G14" s="81">
        <f>G9*'DATA - P&amp;L'!$C$48</f>
        <v>804.0825</v>
      </c>
      <c r="H14" s="81">
        <f>H9*'DATA - P&amp;L'!$C$48</f>
        <v>577.344</v>
      </c>
      <c r="I14" s="81">
        <f>I9*'DATA - P&amp;L'!$C$48</f>
        <v>447.891</v>
      </c>
      <c r="J14" s="81">
        <f>J9*'DATA - P&amp;L'!$C$48</f>
        <v>1166.8605</v>
      </c>
      <c r="K14" s="81">
        <f>K9*'DATA - P&amp;L'!$C$48</f>
        <v>989.07</v>
      </c>
      <c r="L14" s="81">
        <f>L9*'DATA - P&amp;L'!$C$48</f>
        <v>981.225</v>
      </c>
      <c r="M14" s="81">
        <f>M9*'DATA - P&amp;L'!$C$48</f>
        <v>1207.8585</v>
      </c>
      <c r="N14" s="81">
        <f>N9*'DATA - P&amp;L'!$C$48</f>
        <v>1216.944</v>
      </c>
      <c r="O14" s="81">
        <f>O9*'DATA - P&amp;L'!$C$48</f>
        <v>1387.344</v>
      </c>
      <c r="P14" s="81">
        <f>P9*'DATA - P&amp;L'!$C$48</f>
        <v>677.1525</v>
      </c>
      <c r="Q14" s="81">
        <f>Q9*'DATA - P&amp;L'!$C$48</f>
        <v>936.228</v>
      </c>
      <c r="R14" s="81">
        <f>R9*'DATA - P&amp;L'!$C$48</f>
        <v>805.956</v>
      </c>
      <c r="S14" s="81">
        <f>S9*'DATA - P&amp;L'!$C$48</f>
        <v>1122.207</v>
      </c>
      <c r="T14" s="81">
        <f>T9*'DATA - P&amp;L'!$C$48</f>
        <v>2199.813</v>
      </c>
      <c r="U14" s="81">
        <f>U9*'DATA - P&amp;L'!$C$48</f>
        <v>1428.1335</v>
      </c>
      <c r="V14" s="81">
        <f>V9*'DATA - P&amp;L'!$C$48</f>
        <v>1387.7715</v>
      </c>
      <c r="W14" s="81">
        <f>W9*'DATA - P&amp;L'!$C$48</f>
        <v>1794.042</v>
      </c>
      <c r="X14" s="81">
        <f>X9*'DATA - P&amp;L'!$C$48</f>
        <v>902.0565</v>
      </c>
      <c r="Y14" s="81">
        <f>Y9*'DATA - P&amp;L'!$C$48</f>
        <v>1752.9315</v>
      </c>
      <c r="Z14" s="81">
        <f>Z9*'DATA - P&amp;L'!$C$48</f>
        <v>1433.598</v>
      </c>
      <c r="AA14" s="81">
        <f>AA9*'DATA - P&amp;L'!$C$48</f>
        <v>1611.4905</v>
      </c>
      <c r="AB14" s="81">
        <f>AB9*'DATA - P&amp;L'!$C$48</f>
        <v>1473.3465</v>
      </c>
      <c r="AC14" s="81">
        <f>AC9*'DATA - P&amp;L'!$C$48</f>
        <v>1841.79</v>
      </c>
      <c r="AD14" s="81">
        <f>AD9*'DATA - P&amp;L'!$C$48</f>
        <v>1655.73</v>
      </c>
      <c r="AE14" s="89">
        <f>AE9*'DATA - P&amp;L'!$C$48</f>
        <v>1166.9085</v>
      </c>
      <c r="AF14" s="43"/>
    </row>
    <row r="15">
      <c r="A15" s="45" t="s">
        <v>95</v>
      </c>
      <c r="B15" s="63">
        <f t="shared" ref="B15:AE15" si="3">SUM(B13:B14)</f>
        <v>1768.934</v>
      </c>
      <c r="C15" s="63">
        <f t="shared" si="3"/>
        <v>2326.676</v>
      </c>
      <c r="D15" s="63">
        <f t="shared" si="3"/>
        <v>2900.366</v>
      </c>
      <c r="E15" s="63">
        <f t="shared" si="3"/>
        <v>2829.302</v>
      </c>
      <c r="F15" s="63">
        <f t="shared" si="3"/>
        <v>2301.28</v>
      </c>
      <c r="G15" s="63">
        <f t="shared" si="3"/>
        <v>2295.1525</v>
      </c>
      <c r="H15" s="63">
        <f t="shared" si="3"/>
        <v>2026.274</v>
      </c>
      <c r="I15" s="63">
        <f t="shared" si="3"/>
        <v>1927.641</v>
      </c>
      <c r="J15" s="63">
        <f t="shared" si="3"/>
        <v>3055.1305</v>
      </c>
      <c r="K15" s="63">
        <f t="shared" si="3"/>
        <v>3285.96</v>
      </c>
      <c r="L15" s="63">
        <f t="shared" si="3"/>
        <v>2778.735</v>
      </c>
      <c r="M15" s="63">
        <f t="shared" si="3"/>
        <v>2886.3585</v>
      </c>
      <c r="N15" s="63">
        <f t="shared" si="3"/>
        <v>2879.404</v>
      </c>
      <c r="O15" s="63">
        <f t="shared" si="3"/>
        <v>3083.814</v>
      </c>
      <c r="P15" s="63">
        <f t="shared" si="3"/>
        <v>2351.7025</v>
      </c>
      <c r="Q15" s="63">
        <f t="shared" si="3"/>
        <v>3239.528</v>
      </c>
      <c r="R15" s="63">
        <f t="shared" si="3"/>
        <v>3249.516</v>
      </c>
      <c r="S15" s="63">
        <f t="shared" si="3"/>
        <v>3283.547</v>
      </c>
      <c r="T15" s="63">
        <f t="shared" si="3"/>
        <v>4509.233</v>
      </c>
      <c r="U15" s="63">
        <f t="shared" si="3"/>
        <v>3520.0035</v>
      </c>
      <c r="V15" s="63">
        <f t="shared" si="3"/>
        <v>3308.4915</v>
      </c>
      <c r="W15" s="63">
        <f t="shared" si="3"/>
        <v>3286.562</v>
      </c>
      <c r="X15" s="63">
        <f t="shared" si="3"/>
        <v>2783.2365</v>
      </c>
      <c r="Y15" s="63">
        <f t="shared" si="3"/>
        <v>4008.7215</v>
      </c>
      <c r="Z15" s="63">
        <f t="shared" si="3"/>
        <v>3106.478</v>
      </c>
      <c r="AA15" s="63">
        <f t="shared" si="3"/>
        <v>3382.8705</v>
      </c>
      <c r="AB15" s="63">
        <f t="shared" si="3"/>
        <v>4217.2265</v>
      </c>
      <c r="AC15" s="63">
        <f t="shared" si="3"/>
        <v>5634.71</v>
      </c>
      <c r="AD15" s="63">
        <f t="shared" si="3"/>
        <v>4487.95</v>
      </c>
      <c r="AE15" s="64">
        <f t="shared" si="3"/>
        <v>5099.7185</v>
      </c>
      <c r="AF15" s="65">
        <f>SUM(B15:AE15)</f>
        <v>95814.5225</v>
      </c>
    </row>
    <row r="16">
      <c r="A16" s="24"/>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24"/>
      <c r="AF16" s="11"/>
    </row>
    <row r="17">
      <c r="A17" s="95"/>
      <c r="B17" s="97"/>
      <c r="C17" s="97"/>
      <c r="D17" s="97"/>
      <c r="E17" s="97"/>
      <c r="F17" s="97"/>
      <c r="G17" s="97"/>
      <c r="H17" s="97"/>
      <c r="I17" s="97"/>
      <c r="J17" s="97"/>
      <c r="K17" s="97"/>
      <c r="L17" s="97"/>
      <c r="M17" s="97"/>
      <c r="N17" s="97"/>
      <c r="O17" s="97"/>
      <c r="P17" s="97"/>
      <c r="Q17" s="97"/>
      <c r="R17" s="97"/>
      <c r="S17" s="97"/>
      <c r="T17" s="97"/>
      <c r="U17" s="97"/>
      <c r="V17" s="97"/>
      <c r="W17" s="97"/>
      <c r="X17" s="97"/>
      <c r="Y17" s="97"/>
      <c r="Z17" s="97"/>
      <c r="AA17" s="97"/>
      <c r="AB17" s="97"/>
      <c r="AC17" s="97"/>
      <c r="AD17" s="97"/>
      <c r="AE17" s="95"/>
      <c r="AF17" s="11"/>
    </row>
    <row r="18">
      <c r="A18" s="24"/>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24"/>
      <c r="AF18" s="11"/>
    </row>
    <row r="19">
      <c r="A19" s="73" t="s">
        <v>120</v>
      </c>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24"/>
      <c r="AF19" s="11"/>
    </row>
    <row r="20">
      <c r="A20" s="101" t="s">
        <v>122</v>
      </c>
      <c r="B20" s="102">
        <f>Summary!B16</f>
        <v>3069</v>
      </c>
      <c r="C20" s="102">
        <f>Summary!C16</f>
        <v>2790</v>
      </c>
      <c r="D20" s="102">
        <f>Summary!D16</f>
        <v>4464</v>
      </c>
      <c r="E20" s="102">
        <f>Summary!E16</f>
        <v>5859</v>
      </c>
      <c r="F20" s="102">
        <f>Summary!F16</f>
        <v>5580</v>
      </c>
      <c r="G20" s="102">
        <f>Summary!G16</f>
        <v>5022</v>
      </c>
      <c r="H20" s="102">
        <f>Summary!H16</f>
        <v>3627</v>
      </c>
      <c r="I20" s="102">
        <f>Summary!I16</f>
        <v>2790</v>
      </c>
      <c r="J20" s="102">
        <f>Summary!J16</f>
        <v>7254</v>
      </c>
      <c r="K20" s="102">
        <f>Summary!K16</f>
        <v>6138</v>
      </c>
      <c r="L20" s="102">
        <f>Summary!L16</f>
        <v>6138</v>
      </c>
      <c r="M20" s="102">
        <f>Summary!M16</f>
        <v>7533</v>
      </c>
      <c r="N20" s="102">
        <f>Summary!N16</f>
        <v>7533</v>
      </c>
      <c r="O20" s="102">
        <f>Summary!O16</f>
        <v>8649</v>
      </c>
      <c r="P20" s="102">
        <f>Summary!P16</f>
        <v>4185</v>
      </c>
      <c r="Q20" s="102">
        <f>Summary!Q16</f>
        <v>5859</v>
      </c>
      <c r="R20" s="102">
        <f>Summary!R16</f>
        <v>5022</v>
      </c>
      <c r="S20" s="102">
        <f>Summary!S16</f>
        <v>6975</v>
      </c>
      <c r="T20" s="102">
        <f>Summary!T16</f>
        <v>13671</v>
      </c>
      <c r="U20" s="102">
        <f>Summary!U16</f>
        <v>8928</v>
      </c>
      <c r="V20" s="102">
        <f>Summary!V16</f>
        <v>8649</v>
      </c>
      <c r="W20" s="102">
        <f>Summary!W16</f>
        <v>11160</v>
      </c>
      <c r="X20" s="102">
        <f>Summary!X16</f>
        <v>5580</v>
      </c>
      <c r="Y20" s="102">
        <f>Summary!Y16</f>
        <v>10881</v>
      </c>
      <c r="Z20" s="102">
        <f>Summary!Z16</f>
        <v>8928</v>
      </c>
      <c r="AA20" s="102">
        <f>Summary!AA16</f>
        <v>10044</v>
      </c>
      <c r="AB20" s="102">
        <f>Summary!AB16</f>
        <v>9207</v>
      </c>
      <c r="AC20" s="102">
        <f>Summary!AC16</f>
        <v>11439</v>
      </c>
      <c r="AD20" s="102">
        <f>Summary!AD16</f>
        <v>10323</v>
      </c>
      <c r="AE20" s="105">
        <f>Summary!AE16</f>
        <v>7254</v>
      </c>
      <c r="AF20" s="65">
        <f t="shared" ref="AF20:AF25" si="4">SUM(B20:AE20)</f>
        <v>214551</v>
      </c>
    </row>
    <row r="21">
      <c r="A21" s="101" t="s">
        <v>125</v>
      </c>
      <c r="B21" s="102">
        <f>Summary!B17</f>
        <v>0</v>
      </c>
      <c r="C21" s="102">
        <f>Summary!C17</f>
        <v>0</v>
      </c>
      <c r="D21" s="102">
        <f>Summary!D17</f>
        <v>0</v>
      </c>
      <c r="E21" s="102">
        <f>Summary!E17</f>
        <v>0</v>
      </c>
      <c r="F21" s="102">
        <f>Summary!F17</f>
        <v>0</v>
      </c>
      <c r="G21" s="102">
        <f>Summary!G17</f>
        <v>0</v>
      </c>
      <c r="H21" s="102">
        <f>Summary!H17</f>
        <v>0</v>
      </c>
      <c r="I21" s="102">
        <f>Summary!I17</f>
        <v>0</v>
      </c>
      <c r="J21" s="102">
        <f>Summary!J17</f>
        <v>0</v>
      </c>
      <c r="K21" s="102">
        <f>Summary!K17</f>
        <v>0</v>
      </c>
      <c r="L21" s="102">
        <f>Summary!L17</f>
        <v>0</v>
      </c>
      <c r="M21" s="102">
        <f>Summary!M17</f>
        <v>0</v>
      </c>
      <c r="N21" s="102">
        <f>Summary!N17</f>
        <v>0</v>
      </c>
      <c r="O21" s="102">
        <f>Summary!O17</f>
        <v>0</v>
      </c>
      <c r="P21" s="102">
        <f>Summary!P17</f>
        <v>0</v>
      </c>
      <c r="Q21" s="102">
        <f>Summary!Q17</f>
        <v>0</v>
      </c>
      <c r="R21" s="102">
        <f>Summary!R17</f>
        <v>0</v>
      </c>
      <c r="S21" s="102">
        <f>Summary!S17</f>
        <v>0</v>
      </c>
      <c r="T21" s="102">
        <f>Summary!T17</f>
        <v>0</v>
      </c>
      <c r="U21" s="102">
        <f>Summary!U17</f>
        <v>0</v>
      </c>
      <c r="V21" s="102">
        <f>Summary!V17</f>
        <v>0</v>
      </c>
      <c r="W21" s="102">
        <f>Summary!W17</f>
        <v>0</v>
      </c>
      <c r="X21" s="102">
        <f>Summary!X17</f>
        <v>0</v>
      </c>
      <c r="Y21" s="102">
        <f>Summary!Y17</f>
        <v>0</v>
      </c>
      <c r="Z21" s="102">
        <f>Summary!Z17</f>
        <v>0</v>
      </c>
      <c r="AA21" s="102">
        <f>Summary!AA17</f>
        <v>0</v>
      </c>
      <c r="AB21" s="102">
        <f>Summary!AB17</f>
        <v>0</v>
      </c>
      <c r="AC21" s="102">
        <f>Summary!AC17</f>
        <v>0</v>
      </c>
      <c r="AD21" s="102">
        <f>Summary!AD17</f>
        <v>0</v>
      </c>
      <c r="AE21" s="105">
        <f>Summary!AE17</f>
        <v>0</v>
      </c>
      <c r="AF21" s="65">
        <f t="shared" si="4"/>
        <v>0</v>
      </c>
    </row>
    <row r="22">
      <c r="A22" s="101" t="s">
        <v>126</v>
      </c>
      <c r="B22" s="102">
        <f>Summary!B18</f>
        <v>205.77</v>
      </c>
      <c r="C22" s="102">
        <f>Summary!C18</f>
        <v>210.38</v>
      </c>
      <c r="D22" s="102">
        <f>Summary!D18</f>
        <v>302.63</v>
      </c>
      <c r="E22" s="102">
        <f>Summary!E18</f>
        <v>423.13</v>
      </c>
      <c r="F22" s="102">
        <f>Summary!F18</f>
        <v>410.82</v>
      </c>
      <c r="G22" s="102">
        <f>Summary!G18</f>
        <v>328.65</v>
      </c>
      <c r="H22" s="102">
        <f>Summary!H18</f>
        <v>221.96</v>
      </c>
      <c r="I22" s="102">
        <f>Summary!I18</f>
        <v>195.94</v>
      </c>
      <c r="J22" s="102">
        <f>Summary!J18</f>
        <v>524.61</v>
      </c>
      <c r="K22" s="102">
        <f>Summary!K18</f>
        <v>451.31</v>
      </c>
      <c r="L22" s="102">
        <f>Summary!L18</f>
        <v>392.02</v>
      </c>
      <c r="M22" s="102">
        <f>Summary!M18</f>
        <v>499.26</v>
      </c>
      <c r="N22" s="102">
        <f>Summary!N18</f>
        <v>554.7</v>
      </c>
      <c r="O22" s="102">
        <f>Summary!O18</f>
        <v>583.53</v>
      </c>
      <c r="P22" s="102">
        <f>Summary!P18</f>
        <v>320.37</v>
      </c>
      <c r="Q22" s="102">
        <f>Summary!Q18</f>
        <v>382.52</v>
      </c>
      <c r="R22" s="102">
        <f>Summary!R18</f>
        <v>342.06</v>
      </c>
      <c r="S22" s="102">
        <f>Summary!S18</f>
        <v>506.38</v>
      </c>
      <c r="T22" s="102">
        <f>Summary!T18</f>
        <v>989.01</v>
      </c>
      <c r="U22" s="102">
        <f>Summary!U18</f>
        <v>581.41</v>
      </c>
      <c r="V22" s="102">
        <f>Summary!V18</f>
        <v>602.81</v>
      </c>
      <c r="W22" s="102">
        <f>Summary!W18</f>
        <v>795.33</v>
      </c>
      <c r="X22" s="102">
        <f>Summary!X18</f>
        <v>424.74</v>
      </c>
      <c r="Y22" s="102">
        <f>Summary!Y18</f>
        <v>795.77</v>
      </c>
      <c r="Z22" s="102">
        <f>Summary!Z18</f>
        <v>629.32</v>
      </c>
      <c r="AA22" s="102">
        <f>Summary!AA18</f>
        <v>699.27</v>
      </c>
      <c r="AB22" s="102">
        <f>Summary!AB18</f>
        <v>608.52</v>
      </c>
      <c r="AC22" s="102">
        <f>Summary!AC18</f>
        <v>823.17</v>
      </c>
      <c r="AD22" s="102">
        <f>Summary!AD18</f>
        <v>705.3</v>
      </c>
      <c r="AE22" s="105">
        <f>Summary!AE18</f>
        <v>520.9</v>
      </c>
      <c r="AF22" s="65">
        <f t="shared" si="4"/>
        <v>15031.59</v>
      </c>
    </row>
    <row r="23">
      <c r="A23" s="101" t="s">
        <v>129</v>
      </c>
      <c r="B23" s="102">
        <f>Summary!B19</f>
        <v>6.99</v>
      </c>
      <c r="C23" s="102">
        <f>Summary!C19</f>
        <v>0.29</v>
      </c>
      <c r="D23" s="102">
        <f>Summary!D19</f>
        <v>13.75</v>
      </c>
      <c r="E23" s="102">
        <f>Summary!E19</f>
        <v>0.29</v>
      </c>
      <c r="F23" s="102">
        <f>Summary!F19</f>
        <v>0</v>
      </c>
      <c r="G23" s="102">
        <f>Summary!G19</f>
        <v>0.58</v>
      </c>
      <c r="H23" s="102">
        <f>Summary!H19</f>
        <v>0</v>
      </c>
      <c r="I23" s="102">
        <f>Summary!I19</f>
        <v>0</v>
      </c>
      <c r="J23" s="102">
        <f>Summary!J19</f>
        <v>0.29</v>
      </c>
      <c r="K23" s="102">
        <f>Summary!K19</f>
        <v>0</v>
      </c>
      <c r="L23" s="102">
        <f>Summary!L19</f>
        <v>6.99</v>
      </c>
      <c r="M23" s="102">
        <f>Summary!M19</f>
        <v>6.15</v>
      </c>
      <c r="N23" s="102">
        <f>Summary!N19</f>
        <v>11.79</v>
      </c>
      <c r="O23" s="102">
        <f>Summary!O19</f>
        <v>7.28</v>
      </c>
      <c r="P23" s="102">
        <f>Summary!P19</f>
        <v>0</v>
      </c>
      <c r="Q23" s="102">
        <f>Summary!Q19</f>
        <v>0</v>
      </c>
      <c r="R23" s="102">
        <f>Summary!R19</f>
        <v>0</v>
      </c>
      <c r="S23" s="102">
        <f>Summary!S19</f>
        <v>0</v>
      </c>
      <c r="T23" s="102">
        <f>Summary!T19</f>
        <v>0.58</v>
      </c>
      <c r="U23" s="102">
        <f>Summary!U19</f>
        <v>6.99</v>
      </c>
      <c r="V23" s="102">
        <f>Summary!V19</f>
        <v>0</v>
      </c>
      <c r="W23" s="102">
        <f>Summary!W19</f>
        <v>0.29</v>
      </c>
      <c r="X23" s="102">
        <f>Summary!X19</f>
        <v>4.48</v>
      </c>
      <c r="Y23" s="102">
        <f>Summary!Y19</f>
        <v>0.29</v>
      </c>
      <c r="Z23" s="102">
        <f>Summary!Z19</f>
        <v>0</v>
      </c>
      <c r="AA23" s="102">
        <f>Summary!AA19</f>
        <v>0</v>
      </c>
      <c r="AB23" s="102">
        <f>Summary!AB19</f>
        <v>1.45</v>
      </c>
      <c r="AC23" s="102">
        <f>Summary!AC19</f>
        <v>7.28</v>
      </c>
      <c r="AD23" s="102">
        <f>Summary!AD19</f>
        <v>0.58</v>
      </c>
      <c r="AE23" s="105">
        <f>Summary!AE19</f>
        <v>0</v>
      </c>
      <c r="AF23" s="65">
        <f t="shared" si="4"/>
        <v>76.34</v>
      </c>
    </row>
    <row r="24">
      <c r="A24" s="101" t="s">
        <v>132</v>
      </c>
      <c r="B24" s="102">
        <f>Summary!B20</f>
        <v>0</v>
      </c>
      <c r="C24" s="102">
        <f>Summary!C20</f>
        <v>0.17</v>
      </c>
      <c r="D24" s="102">
        <f>Summary!D20</f>
        <v>4.66</v>
      </c>
      <c r="E24" s="102">
        <f>Summary!E20</f>
        <v>4.66</v>
      </c>
      <c r="F24" s="102">
        <f>Summary!F20</f>
        <v>8.98</v>
      </c>
      <c r="G24" s="102">
        <f>Summary!G20</f>
        <v>9.32</v>
      </c>
      <c r="H24" s="102">
        <f>Summary!H20</f>
        <v>0</v>
      </c>
      <c r="I24" s="102">
        <f>Summary!I20</f>
        <v>0</v>
      </c>
      <c r="J24" s="102">
        <f>Summary!J20</f>
        <v>0.17</v>
      </c>
      <c r="K24" s="102">
        <f>Summary!K20</f>
        <v>4.49</v>
      </c>
      <c r="L24" s="102">
        <f>Summary!L20</f>
        <v>4.49</v>
      </c>
      <c r="M24" s="102">
        <f>Summary!M20</f>
        <v>13.98</v>
      </c>
      <c r="N24" s="102">
        <f>Summary!N20</f>
        <v>13.47</v>
      </c>
      <c r="O24" s="102">
        <f>Summary!O20</f>
        <v>9.15</v>
      </c>
      <c r="P24" s="102">
        <f>Summary!P20</f>
        <v>8.98</v>
      </c>
      <c r="Q24" s="102">
        <f>Summary!Q20</f>
        <v>0</v>
      </c>
      <c r="R24" s="102">
        <f>Summary!R20</f>
        <v>8.98</v>
      </c>
      <c r="S24" s="102">
        <f>Summary!S20</f>
        <v>0</v>
      </c>
      <c r="T24" s="102">
        <f>Summary!T20</f>
        <v>4.83</v>
      </c>
      <c r="U24" s="102">
        <f>Summary!U20</f>
        <v>4.49</v>
      </c>
      <c r="V24" s="102">
        <f>Summary!V20</f>
        <v>0</v>
      </c>
      <c r="W24" s="102">
        <f>Summary!W20</f>
        <v>4.66</v>
      </c>
      <c r="X24" s="102">
        <f>Summary!X20</f>
        <v>4.49</v>
      </c>
      <c r="Y24" s="102">
        <f>Summary!Y20</f>
        <v>9.15</v>
      </c>
      <c r="Z24" s="102">
        <f>Summary!Z20</f>
        <v>0</v>
      </c>
      <c r="AA24" s="102">
        <f>Summary!AA20</f>
        <v>0</v>
      </c>
      <c r="AB24" s="102">
        <f>Summary!AB20</f>
        <v>5.34</v>
      </c>
      <c r="AC24" s="102">
        <f>Summary!AC20</f>
        <v>9.15</v>
      </c>
      <c r="AD24" s="102">
        <f>Summary!AD20</f>
        <v>9.32</v>
      </c>
      <c r="AE24" s="105">
        <f>Summary!AE20</f>
        <v>4.49</v>
      </c>
      <c r="AF24" s="65">
        <f t="shared" si="4"/>
        <v>147.42</v>
      </c>
    </row>
    <row r="25">
      <c r="A25" s="123" t="s">
        <v>135</v>
      </c>
      <c r="B25" s="125">
        <f t="shared" ref="B25:AE25" si="5">SUM(B20:B24)</f>
        <v>3281.76</v>
      </c>
      <c r="C25" s="125">
        <f t="shared" si="5"/>
        <v>3000.84</v>
      </c>
      <c r="D25" s="125">
        <f t="shared" si="5"/>
        <v>4785.04</v>
      </c>
      <c r="E25" s="125">
        <f t="shared" si="5"/>
        <v>6287.08</v>
      </c>
      <c r="F25" s="125">
        <f t="shared" si="5"/>
        <v>5999.8</v>
      </c>
      <c r="G25" s="125">
        <f t="shared" si="5"/>
        <v>5360.55</v>
      </c>
      <c r="H25" s="125">
        <f t="shared" si="5"/>
        <v>3848.96</v>
      </c>
      <c r="I25" s="125">
        <f t="shared" si="5"/>
        <v>2985.94</v>
      </c>
      <c r="J25" s="125">
        <f t="shared" si="5"/>
        <v>7779.07</v>
      </c>
      <c r="K25" s="125">
        <f t="shared" si="5"/>
        <v>6593.8</v>
      </c>
      <c r="L25" s="125">
        <f t="shared" si="5"/>
        <v>6541.5</v>
      </c>
      <c r="M25" s="125">
        <f t="shared" si="5"/>
        <v>8052.39</v>
      </c>
      <c r="N25" s="125">
        <f t="shared" si="5"/>
        <v>8112.96</v>
      </c>
      <c r="O25" s="125">
        <f t="shared" si="5"/>
        <v>9248.96</v>
      </c>
      <c r="P25" s="125">
        <f t="shared" si="5"/>
        <v>4514.35</v>
      </c>
      <c r="Q25" s="125">
        <f t="shared" si="5"/>
        <v>6241.52</v>
      </c>
      <c r="R25" s="125">
        <f t="shared" si="5"/>
        <v>5373.04</v>
      </c>
      <c r="S25" s="125">
        <f t="shared" si="5"/>
        <v>7481.38</v>
      </c>
      <c r="T25" s="125">
        <f t="shared" si="5"/>
        <v>14665.42</v>
      </c>
      <c r="U25" s="125">
        <f t="shared" si="5"/>
        <v>9520.89</v>
      </c>
      <c r="V25" s="125">
        <f t="shared" si="5"/>
        <v>9251.81</v>
      </c>
      <c r="W25" s="125">
        <f t="shared" si="5"/>
        <v>11960.28</v>
      </c>
      <c r="X25" s="125">
        <f t="shared" si="5"/>
        <v>6013.71</v>
      </c>
      <c r="Y25" s="125">
        <f t="shared" si="5"/>
        <v>11686.21</v>
      </c>
      <c r="Z25" s="125">
        <f t="shared" si="5"/>
        <v>9557.32</v>
      </c>
      <c r="AA25" s="125">
        <f t="shared" si="5"/>
        <v>10743.27</v>
      </c>
      <c r="AB25" s="125">
        <f t="shared" si="5"/>
        <v>9822.31</v>
      </c>
      <c r="AC25" s="125">
        <f t="shared" si="5"/>
        <v>12278.6</v>
      </c>
      <c r="AD25" s="125">
        <f t="shared" si="5"/>
        <v>11038.2</v>
      </c>
      <c r="AE25" s="127">
        <f t="shared" si="5"/>
        <v>7779.39</v>
      </c>
      <c r="AF25" s="65">
        <f t="shared" si="4"/>
        <v>229806.35</v>
      </c>
    </row>
    <row r="26">
      <c r="A26" s="24"/>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24"/>
      <c r="AF26" s="11"/>
    </row>
    <row r="27">
      <c r="A27" s="73" t="s">
        <v>137</v>
      </c>
      <c r="B27" s="130"/>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24"/>
      <c r="AF27" s="11"/>
    </row>
    <row r="28">
      <c r="A28" s="78" t="s">
        <v>138</v>
      </c>
      <c r="B28" s="131"/>
      <c r="C28" s="131"/>
      <c r="D28" s="132"/>
      <c r="E28" s="132"/>
      <c r="F28" s="132"/>
      <c r="G28" s="132"/>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4"/>
      <c r="AF28" s="135">
        <f t="shared" ref="AF28:AF32" si="6">sum(B28:AE28)</f>
        <v>0</v>
      </c>
    </row>
    <row r="29">
      <c r="A29" s="78" t="s">
        <v>141</v>
      </c>
      <c r="B29" s="131"/>
      <c r="C29" s="131"/>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4"/>
      <c r="AF29" s="135">
        <f t="shared" si="6"/>
        <v>0</v>
      </c>
    </row>
    <row r="30">
      <c r="A30" s="78" t="s">
        <v>143</v>
      </c>
      <c r="B30" s="136">
        <v>11.0</v>
      </c>
      <c r="C30" s="136">
        <v>10.0</v>
      </c>
      <c r="D30" s="136">
        <v>17.0</v>
      </c>
      <c r="E30" s="136">
        <v>22.0</v>
      </c>
      <c r="F30" s="136">
        <v>21.0</v>
      </c>
      <c r="G30" s="136">
        <v>18.0</v>
      </c>
      <c r="H30" s="136">
        <v>13.0</v>
      </c>
      <c r="I30" s="136">
        <v>10.0</v>
      </c>
      <c r="J30" s="136">
        <v>26.0</v>
      </c>
      <c r="K30" s="136">
        <v>22.0</v>
      </c>
      <c r="L30" s="136">
        <v>22.0</v>
      </c>
      <c r="M30" s="136">
        <v>27.0</v>
      </c>
      <c r="N30" s="109">
        <v>27.0</v>
      </c>
      <c r="O30" s="136">
        <v>31.0</v>
      </c>
      <c r="P30" s="136">
        <v>15.0</v>
      </c>
      <c r="Q30" s="136">
        <v>21.0</v>
      </c>
      <c r="R30" s="109">
        <v>18.0</v>
      </c>
      <c r="S30" s="136">
        <v>25.0</v>
      </c>
      <c r="T30" s="136">
        <v>49.0</v>
      </c>
      <c r="U30" s="136">
        <v>32.0</v>
      </c>
      <c r="V30" s="136">
        <v>31.0</v>
      </c>
      <c r="W30" s="136">
        <v>41.0</v>
      </c>
      <c r="X30" s="136">
        <v>21.0</v>
      </c>
      <c r="Y30" s="136">
        <v>39.0</v>
      </c>
      <c r="Z30" s="136">
        <v>32.0</v>
      </c>
      <c r="AA30" s="136">
        <v>36.0</v>
      </c>
      <c r="AB30" s="136">
        <v>34.0</v>
      </c>
      <c r="AC30" s="136">
        <v>41.0</v>
      </c>
      <c r="AD30" s="136">
        <v>37.0</v>
      </c>
      <c r="AE30" s="139">
        <v>32.0</v>
      </c>
      <c r="AF30" s="135">
        <f t="shared" si="6"/>
        <v>781</v>
      </c>
    </row>
    <row r="31">
      <c r="A31" s="78" t="s">
        <v>144</v>
      </c>
      <c r="B31" s="141"/>
      <c r="C31" s="141"/>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4"/>
      <c r="AF31" s="135">
        <f t="shared" si="6"/>
        <v>0</v>
      </c>
    </row>
    <row r="32">
      <c r="A32" s="91" t="s">
        <v>145</v>
      </c>
      <c r="B32" s="145">
        <f t="shared" ref="B32:AE32" si="7">sum(B28:B31)</f>
        <v>11</v>
      </c>
      <c r="C32" s="145">
        <f t="shared" si="7"/>
        <v>10</v>
      </c>
      <c r="D32" s="145">
        <f t="shared" si="7"/>
        <v>17</v>
      </c>
      <c r="E32" s="145">
        <f t="shared" si="7"/>
        <v>22</v>
      </c>
      <c r="F32" s="145">
        <f t="shared" si="7"/>
        <v>21</v>
      </c>
      <c r="G32" s="145">
        <f t="shared" si="7"/>
        <v>18</v>
      </c>
      <c r="H32" s="145">
        <f t="shared" si="7"/>
        <v>13</v>
      </c>
      <c r="I32" s="145">
        <f t="shared" si="7"/>
        <v>10</v>
      </c>
      <c r="J32" s="145">
        <f t="shared" si="7"/>
        <v>26</v>
      </c>
      <c r="K32" s="145">
        <f t="shared" si="7"/>
        <v>22</v>
      </c>
      <c r="L32" s="145">
        <f t="shared" si="7"/>
        <v>22</v>
      </c>
      <c r="M32" s="145">
        <f t="shared" si="7"/>
        <v>27</v>
      </c>
      <c r="N32" s="145">
        <f t="shared" si="7"/>
        <v>27</v>
      </c>
      <c r="O32" s="145">
        <f t="shared" si="7"/>
        <v>31</v>
      </c>
      <c r="P32" s="145">
        <f t="shared" si="7"/>
        <v>15</v>
      </c>
      <c r="Q32" s="145">
        <f t="shared" si="7"/>
        <v>21</v>
      </c>
      <c r="R32" s="145">
        <f t="shared" si="7"/>
        <v>18</v>
      </c>
      <c r="S32" s="145">
        <f t="shared" si="7"/>
        <v>25</v>
      </c>
      <c r="T32" s="145">
        <f t="shared" si="7"/>
        <v>49</v>
      </c>
      <c r="U32" s="145">
        <f t="shared" si="7"/>
        <v>32</v>
      </c>
      <c r="V32" s="145">
        <f t="shared" si="7"/>
        <v>31</v>
      </c>
      <c r="W32" s="145">
        <f t="shared" si="7"/>
        <v>41</v>
      </c>
      <c r="X32" s="145">
        <f t="shared" si="7"/>
        <v>21</v>
      </c>
      <c r="Y32" s="145">
        <f t="shared" si="7"/>
        <v>39</v>
      </c>
      <c r="Z32" s="145">
        <f t="shared" si="7"/>
        <v>32</v>
      </c>
      <c r="AA32" s="145">
        <f t="shared" si="7"/>
        <v>36</v>
      </c>
      <c r="AB32" s="145">
        <f t="shared" si="7"/>
        <v>34</v>
      </c>
      <c r="AC32" s="145">
        <f t="shared" si="7"/>
        <v>41</v>
      </c>
      <c r="AD32" s="145">
        <f t="shared" si="7"/>
        <v>37</v>
      </c>
      <c r="AE32" s="145">
        <f t="shared" si="7"/>
        <v>32</v>
      </c>
      <c r="AF32" s="135">
        <f t="shared" si="6"/>
        <v>781</v>
      </c>
    </row>
    <row r="33">
      <c r="A33" s="24"/>
      <c r="B33" s="130"/>
      <c r="C33" s="130"/>
      <c r="D33" s="130"/>
      <c r="E33" s="130"/>
      <c r="F33" s="130"/>
      <c r="G33" s="130"/>
      <c r="H33" s="130"/>
      <c r="I33" s="130"/>
      <c r="J33" s="17"/>
      <c r="K33" s="17"/>
      <c r="L33" s="17"/>
      <c r="M33" s="17"/>
      <c r="N33" s="17"/>
      <c r="O33" s="17"/>
      <c r="P33" s="17"/>
      <c r="Q33" s="17"/>
      <c r="R33" s="17"/>
      <c r="S33" s="17"/>
      <c r="T33" s="17"/>
      <c r="U33" s="17"/>
      <c r="V33" s="17"/>
      <c r="W33" s="17"/>
      <c r="X33" s="17"/>
      <c r="Y33" s="17"/>
      <c r="Z33" s="17"/>
      <c r="AA33" s="17"/>
      <c r="AB33" s="17"/>
      <c r="AC33" s="17"/>
      <c r="AD33" s="17"/>
      <c r="AE33" s="24"/>
      <c r="AF33" s="11"/>
    </row>
    <row r="34">
      <c r="A34" s="78" t="s">
        <v>147</v>
      </c>
      <c r="B34" s="131"/>
      <c r="C34" s="131"/>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4"/>
      <c r="AF34" s="135">
        <f t="shared" ref="AF34:AF42" si="8">sum(B34:AE34)</f>
        <v>0</v>
      </c>
    </row>
    <row r="35">
      <c r="A35" s="78" t="s">
        <v>150</v>
      </c>
      <c r="B35" s="149"/>
      <c r="C35" s="149"/>
      <c r="D35" s="149"/>
      <c r="E35" s="149"/>
      <c r="F35" s="149"/>
      <c r="G35" s="149"/>
      <c r="H35" s="149"/>
      <c r="I35" s="149"/>
      <c r="J35" s="149"/>
      <c r="K35" s="149"/>
      <c r="L35" s="149"/>
      <c r="M35" s="149"/>
      <c r="N35" s="149"/>
      <c r="O35" s="149"/>
      <c r="P35" s="149"/>
      <c r="Q35" s="149"/>
      <c r="R35" s="149"/>
      <c r="S35" s="149"/>
      <c r="T35" s="149"/>
      <c r="U35" s="11"/>
      <c r="V35" s="11"/>
      <c r="W35" s="11"/>
      <c r="X35" s="11"/>
      <c r="Y35" s="11"/>
      <c r="Z35" s="11"/>
      <c r="AA35" s="11"/>
      <c r="AB35" s="11"/>
      <c r="AC35" s="11"/>
      <c r="AD35" s="11"/>
      <c r="AE35" s="150"/>
      <c r="AF35" s="135">
        <f t="shared" si="8"/>
        <v>0</v>
      </c>
    </row>
    <row r="36">
      <c r="A36" s="78" t="s">
        <v>152</v>
      </c>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c r="AE36" s="152"/>
      <c r="AF36" s="135">
        <f t="shared" si="8"/>
        <v>0</v>
      </c>
    </row>
    <row r="37">
      <c r="A37" s="78" t="s">
        <v>154</v>
      </c>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c r="AC37" s="149"/>
      <c r="AD37" s="149"/>
      <c r="AE37" s="152"/>
      <c r="AF37" s="135">
        <f t="shared" si="8"/>
        <v>0</v>
      </c>
    </row>
    <row r="38">
      <c r="A38" s="78" t="s">
        <v>155</v>
      </c>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52"/>
      <c r="AF38" s="135">
        <f t="shared" si="8"/>
        <v>0</v>
      </c>
    </row>
    <row r="39">
      <c r="A39" s="78" t="s">
        <v>156</v>
      </c>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c r="AA39" s="149"/>
      <c r="AB39" s="149"/>
      <c r="AC39" s="149"/>
      <c r="AD39" s="149"/>
      <c r="AE39" s="152"/>
      <c r="AF39" s="135">
        <f t="shared" si="8"/>
        <v>0</v>
      </c>
    </row>
    <row r="40">
      <c r="A40" s="78" t="s">
        <v>157</v>
      </c>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52"/>
      <c r="AF40" s="135">
        <f t="shared" si="8"/>
        <v>0</v>
      </c>
    </row>
    <row r="41">
      <c r="A41" s="78" t="s">
        <v>158</v>
      </c>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c r="AB41" s="149"/>
      <c r="AC41" s="149"/>
      <c r="AD41" s="149"/>
      <c r="AE41" s="152"/>
      <c r="AF41" s="135">
        <f t="shared" si="8"/>
        <v>0</v>
      </c>
    </row>
    <row r="42">
      <c r="A42" s="91" t="s">
        <v>159</v>
      </c>
      <c r="B42" s="145">
        <f t="shared" ref="B42:AE42" si="9">SUM(B34:B41)</f>
        <v>0</v>
      </c>
      <c r="C42" s="145">
        <f t="shared" si="9"/>
        <v>0</v>
      </c>
      <c r="D42" s="145">
        <f t="shared" si="9"/>
        <v>0</v>
      </c>
      <c r="E42" s="145">
        <f t="shared" si="9"/>
        <v>0</v>
      </c>
      <c r="F42" s="145">
        <f t="shared" si="9"/>
        <v>0</v>
      </c>
      <c r="G42" s="145">
        <f t="shared" si="9"/>
        <v>0</v>
      </c>
      <c r="H42" s="145">
        <f t="shared" si="9"/>
        <v>0</v>
      </c>
      <c r="I42" s="145">
        <f t="shared" si="9"/>
        <v>0</v>
      </c>
      <c r="J42" s="145">
        <f t="shared" si="9"/>
        <v>0</v>
      </c>
      <c r="K42" s="145">
        <f t="shared" si="9"/>
        <v>0</v>
      </c>
      <c r="L42" s="145">
        <f t="shared" si="9"/>
        <v>0</v>
      </c>
      <c r="M42" s="145">
        <f t="shared" si="9"/>
        <v>0</v>
      </c>
      <c r="N42" s="145">
        <f t="shared" si="9"/>
        <v>0</v>
      </c>
      <c r="O42" s="145">
        <f t="shared" si="9"/>
        <v>0</v>
      </c>
      <c r="P42" s="145">
        <f t="shared" si="9"/>
        <v>0</v>
      </c>
      <c r="Q42" s="145">
        <f t="shared" si="9"/>
        <v>0</v>
      </c>
      <c r="R42" s="145">
        <f t="shared" si="9"/>
        <v>0</v>
      </c>
      <c r="S42" s="145">
        <f t="shared" si="9"/>
        <v>0</v>
      </c>
      <c r="T42" s="145">
        <f t="shared" si="9"/>
        <v>0</v>
      </c>
      <c r="U42" s="145">
        <f t="shared" si="9"/>
        <v>0</v>
      </c>
      <c r="V42" s="145">
        <f t="shared" si="9"/>
        <v>0</v>
      </c>
      <c r="W42" s="145">
        <f t="shared" si="9"/>
        <v>0</v>
      </c>
      <c r="X42" s="145">
        <f t="shared" si="9"/>
        <v>0</v>
      </c>
      <c r="Y42" s="145">
        <f t="shared" si="9"/>
        <v>0</v>
      </c>
      <c r="Z42" s="145">
        <f t="shared" si="9"/>
        <v>0</v>
      </c>
      <c r="AA42" s="145">
        <f t="shared" si="9"/>
        <v>0</v>
      </c>
      <c r="AB42" s="145">
        <f t="shared" si="9"/>
        <v>0</v>
      </c>
      <c r="AC42" s="145">
        <f t="shared" si="9"/>
        <v>0</v>
      </c>
      <c r="AD42" s="145">
        <f t="shared" si="9"/>
        <v>0</v>
      </c>
      <c r="AE42" s="162">
        <f t="shared" si="9"/>
        <v>0</v>
      </c>
      <c r="AF42" s="135">
        <f t="shared" si="8"/>
        <v>0</v>
      </c>
    </row>
    <row r="43">
      <c r="A43" s="24"/>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24"/>
      <c r="AF43" s="165"/>
    </row>
    <row r="44">
      <c r="A44" s="24"/>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24"/>
      <c r="AF44" s="11"/>
    </row>
    <row r="45" collapsed="1">
      <c r="A45" s="168" t="s">
        <v>163</v>
      </c>
      <c r="B45" s="138"/>
      <c r="C45" s="138"/>
      <c r="D45" s="138"/>
      <c r="E45" s="138"/>
      <c r="F45" s="138"/>
      <c r="G45" s="138"/>
      <c r="H45" s="138"/>
      <c r="I45" s="17"/>
      <c r="J45" s="17"/>
      <c r="K45" s="17"/>
      <c r="L45" s="17"/>
      <c r="M45" s="17"/>
      <c r="N45" s="17"/>
      <c r="O45" s="17"/>
      <c r="P45" s="17"/>
      <c r="Q45" s="17"/>
      <c r="R45" s="17"/>
      <c r="S45" s="17"/>
      <c r="T45" s="17"/>
      <c r="U45" s="17"/>
      <c r="V45" s="17"/>
      <c r="W45" s="17"/>
      <c r="X45" s="17"/>
      <c r="Y45" s="17"/>
      <c r="Z45" s="17"/>
      <c r="AA45" s="17"/>
      <c r="AB45" s="17"/>
      <c r="AC45" s="17"/>
      <c r="AD45" s="17"/>
      <c r="AE45" s="24"/>
      <c r="AF45" s="165"/>
    </row>
    <row r="46" hidden="1" outlineLevel="1">
      <c r="A46" s="171" t="s">
        <v>167</v>
      </c>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c r="AA46" s="149"/>
      <c r="AB46" s="149"/>
      <c r="AC46" s="149"/>
      <c r="AD46" s="149"/>
      <c r="AE46" s="152"/>
      <c r="AF46" s="135">
        <f>sum(B46:AE46)</f>
        <v>0</v>
      </c>
    </row>
    <row r="47" hidden="1" outlineLevel="1">
      <c r="A47" s="171" t="s">
        <v>168</v>
      </c>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c r="AB47" s="149"/>
      <c r="AC47" s="149"/>
      <c r="AD47" s="149"/>
      <c r="AE47" s="152"/>
      <c r="AF47" s="165"/>
    </row>
    <row r="48" hidden="1" outlineLevel="1">
      <c r="A48" s="171" t="s">
        <v>170</v>
      </c>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c r="AB48" s="132" t="str">
        <f t="shared" ref="AB48:AE48" si="10">AB31</f>
        <v/>
      </c>
      <c r="AC48" s="132" t="str">
        <f t="shared" si="10"/>
        <v/>
      </c>
      <c r="AD48" s="132" t="str">
        <f t="shared" si="10"/>
        <v/>
      </c>
      <c r="AE48" s="134" t="str">
        <f t="shared" si="10"/>
        <v/>
      </c>
      <c r="AF48" s="135">
        <f>sum(B48:AE48)</f>
        <v>0</v>
      </c>
    </row>
    <row r="49" hidden="1" outlineLevel="1">
      <c r="A49" s="171" t="s">
        <v>171</v>
      </c>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52"/>
      <c r="AF49" s="165"/>
    </row>
    <row r="50" hidden="1" outlineLevel="1">
      <c r="A50" s="171" t="s">
        <v>172</v>
      </c>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49"/>
      <c r="AC50" s="149"/>
      <c r="AD50" s="149"/>
      <c r="AE50" s="152"/>
      <c r="AF50" s="135">
        <f t="shared" ref="AF50:AF55" si="11">sum(B50:AE50)</f>
        <v>0</v>
      </c>
    </row>
    <row r="51" hidden="1" outlineLevel="1">
      <c r="A51" s="171" t="s">
        <v>174</v>
      </c>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c r="AB51" s="149"/>
      <c r="AC51" s="149"/>
      <c r="AD51" s="149"/>
      <c r="AE51" s="152"/>
      <c r="AF51" s="135">
        <f t="shared" si="11"/>
        <v>0</v>
      </c>
    </row>
    <row r="52" hidden="1" outlineLevel="1">
      <c r="A52" s="171" t="s">
        <v>175</v>
      </c>
      <c r="B52" s="177"/>
      <c r="C52" s="177"/>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c r="AB52" s="149"/>
      <c r="AC52" s="149"/>
      <c r="AD52" s="149"/>
      <c r="AE52" s="152"/>
      <c r="AF52" s="135">
        <f t="shared" si="11"/>
        <v>0</v>
      </c>
    </row>
    <row r="53" hidden="1" outlineLevel="1">
      <c r="A53" s="171" t="s">
        <v>178</v>
      </c>
      <c r="B53" s="177"/>
      <c r="C53" s="149"/>
      <c r="D53" s="177"/>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52"/>
      <c r="AF53" s="135">
        <f t="shared" si="11"/>
        <v>0</v>
      </c>
    </row>
    <row r="54" hidden="1" outlineLevel="1">
      <c r="A54" s="178" t="s">
        <v>179</v>
      </c>
      <c r="B54" s="179">
        <f>B46+B50+B52</f>
        <v>0</v>
      </c>
      <c r="C54" s="179">
        <f t="shared" ref="C54:AE54" si="12">SUM(C46:C53)</f>
        <v>0</v>
      </c>
      <c r="D54" s="179">
        <f t="shared" si="12"/>
        <v>0</v>
      </c>
      <c r="E54" s="179">
        <f t="shared" si="12"/>
        <v>0</v>
      </c>
      <c r="F54" s="179">
        <f t="shared" si="12"/>
        <v>0</v>
      </c>
      <c r="G54" s="179">
        <f t="shared" si="12"/>
        <v>0</v>
      </c>
      <c r="H54" s="179">
        <f t="shared" si="12"/>
        <v>0</v>
      </c>
      <c r="I54" s="179">
        <f t="shared" si="12"/>
        <v>0</v>
      </c>
      <c r="J54" s="179">
        <f t="shared" si="12"/>
        <v>0</v>
      </c>
      <c r="K54" s="179">
        <f t="shared" si="12"/>
        <v>0</v>
      </c>
      <c r="L54" s="179">
        <f t="shared" si="12"/>
        <v>0</v>
      </c>
      <c r="M54" s="179">
        <f t="shared" si="12"/>
        <v>0</v>
      </c>
      <c r="N54" s="179">
        <f t="shared" si="12"/>
        <v>0</v>
      </c>
      <c r="O54" s="179">
        <f t="shared" si="12"/>
        <v>0</v>
      </c>
      <c r="P54" s="179">
        <f t="shared" si="12"/>
        <v>0</v>
      </c>
      <c r="Q54" s="179">
        <f t="shared" si="12"/>
        <v>0</v>
      </c>
      <c r="R54" s="179">
        <f t="shared" si="12"/>
        <v>0</v>
      </c>
      <c r="S54" s="179">
        <f t="shared" si="12"/>
        <v>0</v>
      </c>
      <c r="T54" s="179">
        <f t="shared" si="12"/>
        <v>0</v>
      </c>
      <c r="U54" s="179">
        <f t="shared" si="12"/>
        <v>0</v>
      </c>
      <c r="V54" s="179">
        <f t="shared" si="12"/>
        <v>0</v>
      </c>
      <c r="W54" s="179">
        <f t="shared" si="12"/>
        <v>0</v>
      </c>
      <c r="X54" s="179">
        <f t="shared" si="12"/>
        <v>0</v>
      </c>
      <c r="Y54" s="179">
        <f t="shared" si="12"/>
        <v>0</v>
      </c>
      <c r="Z54" s="179">
        <f t="shared" si="12"/>
        <v>0</v>
      </c>
      <c r="AA54" s="179">
        <f t="shared" si="12"/>
        <v>0</v>
      </c>
      <c r="AB54" s="179">
        <f t="shared" si="12"/>
        <v>0</v>
      </c>
      <c r="AC54" s="179">
        <f t="shared" si="12"/>
        <v>0</v>
      </c>
      <c r="AD54" s="179">
        <f t="shared" si="12"/>
        <v>0</v>
      </c>
      <c r="AE54" s="182">
        <f t="shared" si="12"/>
        <v>0</v>
      </c>
      <c r="AF54" s="135">
        <f t="shared" si="11"/>
        <v>0</v>
      </c>
    </row>
    <row r="55" hidden="1" outlineLevel="1">
      <c r="A55" s="178" t="s">
        <v>181</v>
      </c>
      <c r="B55" s="179">
        <f t="shared" ref="B55:AE55" si="13">B48+B51+B53</f>
        <v>0</v>
      </c>
      <c r="C55" s="179">
        <f t="shared" si="13"/>
        <v>0</v>
      </c>
      <c r="D55" s="179">
        <f t="shared" si="13"/>
        <v>0</v>
      </c>
      <c r="E55" s="179">
        <f t="shared" si="13"/>
        <v>0</v>
      </c>
      <c r="F55" s="179">
        <f t="shared" si="13"/>
        <v>0</v>
      </c>
      <c r="G55" s="179">
        <f t="shared" si="13"/>
        <v>0</v>
      </c>
      <c r="H55" s="179">
        <f t="shared" si="13"/>
        <v>0</v>
      </c>
      <c r="I55" s="179">
        <f t="shared" si="13"/>
        <v>0</v>
      </c>
      <c r="J55" s="179">
        <f t="shared" si="13"/>
        <v>0</v>
      </c>
      <c r="K55" s="179">
        <f t="shared" si="13"/>
        <v>0</v>
      </c>
      <c r="L55" s="179">
        <f t="shared" si="13"/>
        <v>0</v>
      </c>
      <c r="M55" s="179">
        <f t="shared" si="13"/>
        <v>0</v>
      </c>
      <c r="N55" s="179">
        <f t="shared" si="13"/>
        <v>0</v>
      </c>
      <c r="O55" s="179">
        <f t="shared" si="13"/>
        <v>0</v>
      </c>
      <c r="P55" s="179">
        <f t="shared" si="13"/>
        <v>0</v>
      </c>
      <c r="Q55" s="179">
        <f t="shared" si="13"/>
        <v>0</v>
      </c>
      <c r="R55" s="179">
        <f t="shared" si="13"/>
        <v>0</v>
      </c>
      <c r="S55" s="179">
        <f t="shared" si="13"/>
        <v>0</v>
      </c>
      <c r="T55" s="179">
        <f t="shared" si="13"/>
        <v>0</v>
      </c>
      <c r="U55" s="179">
        <f t="shared" si="13"/>
        <v>0</v>
      </c>
      <c r="V55" s="179">
        <f t="shared" si="13"/>
        <v>0</v>
      </c>
      <c r="W55" s="179">
        <f t="shared" si="13"/>
        <v>0</v>
      </c>
      <c r="X55" s="179">
        <f t="shared" si="13"/>
        <v>0</v>
      </c>
      <c r="Y55" s="179">
        <f t="shared" si="13"/>
        <v>0</v>
      </c>
      <c r="Z55" s="179">
        <f t="shared" si="13"/>
        <v>0</v>
      </c>
      <c r="AA55" s="179">
        <f t="shared" si="13"/>
        <v>0</v>
      </c>
      <c r="AB55" s="179">
        <f t="shared" si="13"/>
        <v>0</v>
      </c>
      <c r="AC55" s="179">
        <f t="shared" si="13"/>
        <v>0</v>
      </c>
      <c r="AD55" s="179">
        <f t="shared" si="13"/>
        <v>0</v>
      </c>
      <c r="AE55" s="182">
        <f t="shared" si="13"/>
        <v>0</v>
      </c>
      <c r="AF55" s="135">
        <f t="shared" si="11"/>
        <v>0</v>
      </c>
    </row>
    <row r="56" hidden="1" outlineLevel="1">
      <c r="A56" s="24"/>
      <c r="B56" s="138"/>
      <c r="C56" s="138"/>
      <c r="D56" s="138"/>
      <c r="E56" s="138"/>
      <c r="F56" s="138"/>
      <c r="G56" s="138"/>
      <c r="H56" s="138"/>
      <c r="I56" s="17"/>
      <c r="J56" s="17"/>
      <c r="K56" s="17"/>
      <c r="L56" s="17"/>
      <c r="M56" s="17"/>
      <c r="N56" s="17"/>
      <c r="O56" s="17"/>
      <c r="P56" s="17"/>
      <c r="Q56" s="17"/>
      <c r="R56" s="17"/>
      <c r="S56" s="17"/>
      <c r="T56" s="17"/>
      <c r="U56" s="17"/>
      <c r="V56" s="17"/>
      <c r="W56" s="17"/>
      <c r="X56" s="17"/>
      <c r="Y56" s="17"/>
      <c r="Z56" s="17"/>
      <c r="AA56" s="17"/>
      <c r="AB56" s="17"/>
      <c r="AC56" s="17"/>
      <c r="AD56" s="17"/>
      <c r="AE56" s="24"/>
      <c r="AF56" s="165"/>
    </row>
    <row r="57" hidden="1" outlineLevel="1">
      <c r="A57" s="171" t="s">
        <v>182</v>
      </c>
      <c r="B57" s="149"/>
      <c r="C57" s="149"/>
      <c r="D57" s="149"/>
      <c r="E57" s="149"/>
      <c r="F57" s="149"/>
      <c r="G57" s="149"/>
      <c r="H57" s="149"/>
      <c r="I57" s="149"/>
      <c r="J57" s="149"/>
      <c r="K57" s="149"/>
      <c r="L57" s="149"/>
      <c r="M57" s="149"/>
      <c r="N57" s="149"/>
      <c r="O57" s="149"/>
      <c r="P57" s="149"/>
      <c r="Q57" s="149"/>
      <c r="R57" s="149"/>
      <c r="S57" s="149"/>
      <c r="T57" s="149"/>
      <c r="U57" s="11"/>
      <c r="V57" s="11"/>
      <c r="W57" s="149"/>
      <c r="X57" s="149"/>
      <c r="Y57" s="149"/>
      <c r="Z57" s="149"/>
      <c r="AA57" s="149"/>
      <c r="AB57" s="149"/>
      <c r="AC57" s="149"/>
      <c r="AD57" s="149"/>
      <c r="AE57" s="152"/>
      <c r="AF57" s="135">
        <f t="shared" ref="AF57:AF62" si="14">sum(B57:AE57)</f>
        <v>0</v>
      </c>
    </row>
    <row r="58" hidden="1" outlineLevel="1">
      <c r="A58" s="171" t="s">
        <v>183</v>
      </c>
      <c r="B58" s="149"/>
      <c r="C58" s="149"/>
      <c r="D58" s="149"/>
      <c r="E58" s="149"/>
      <c r="F58" s="149"/>
      <c r="G58" s="149"/>
      <c r="H58" s="149"/>
      <c r="I58" s="149"/>
      <c r="J58" s="149"/>
      <c r="K58" s="149"/>
      <c r="L58" s="149"/>
      <c r="M58" s="149"/>
      <c r="N58" s="149"/>
      <c r="O58" s="149"/>
      <c r="P58" s="149"/>
      <c r="Q58" s="149"/>
      <c r="R58" s="149"/>
      <c r="S58" s="149"/>
      <c r="T58" s="149"/>
      <c r="U58" s="149"/>
      <c r="V58" s="11"/>
      <c r="W58" s="11"/>
      <c r="X58" s="11"/>
      <c r="Y58" s="149"/>
      <c r="Z58" s="149"/>
      <c r="AA58" s="149"/>
      <c r="AB58" s="149"/>
      <c r="AC58" s="149"/>
      <c r="AD58" s="149"/>
      <c r="AE58" s="152"/>
      <c r="AF58" s="135">
        <f t="shared" si="14"/>
        <v>0</v>
      </c>
    </row>
    <row r="59" hidden="1" outlineLevel="1">
      <c r="A59" s="171" t="s">
        <v>184</v>
      </c>
      <c r="B59" s="149"/>
      <c r="C59" s="149"/>
      <c r="D59" s="149"/>
      <c r="E59" s="149"/>
      <c r="F59" s="149"/>
      <c r="G59" s="149"/>
      <c r="H59" s="149"/>
      <c r="I59" s="149"/>
      <c r="J59" s="149"/>
      <c r="K59" s="149"/>
      <c r="L59" s="149"/>
      <c r="M59" s="149"/>
      <c r="N59" s="149"/>
      <c r="O59" s="149"/>
      <c r="P59" s="149"/>
      <c r="Q59" s="149"/>
      <c r="R59" s="149"/>
      <c r="S59" s="149"/>
      <c r="T59" s="149"/>
      <c r="U59" s="11"/>
      <c r="V59" s="11"/>
      <c r="W59" s="149"/>
      <c r="X59" s="149"/>
      <c r="Y59" s="149"/>
      <c r="Z59" s="149"/>
      <c r="AA59" s="149"/>
      <c r="AB59" s="149"/>
      <c r="AC59" s="149"/>
      <c r="AD59" s="149"/>
      <c r="AE59" s="152"/>
      <c r="AF59" s="135">
        <f t="shared" si="14"/>
        <v>0</v>
      </c>
    </row>
    <row r="60" hidden="1" outlineLevel="1">
      <c r="A60" s="171" t="s">
        <v>185</v>
      </c>
      <c r="B60" s="149"/>
      <c r="C60" s="149"/>
      <c r="D60" s="149"/>
      <c r="E60" s="149"/>
      <c r="F60" s="149"/>
      <c r="G60" s="149"/>
      <c r="H60" s="149"/>
      <c r="I60" s="149"/>
      <c r="J60" s="149"/>
      <c r="K60" s="149"/>
      <c r="L60" s="149"/>
      <c r="M60" s="149"/>
      <c r="N60" s="149"/>
      <c r="O60" s="149"/>
      <c r="P60" s="149"/>
      <c r="Q60" s="149"/>
      <c r="R60" s="149"/>
      <c r="S60" s="149"/>
      <c r="T60" s="149"/>
      <c r="U60" s="149"/>
      <c r="V60" s="149"/>
      <c r="W60" s="149"/>
      <c r="X60" s="11"/>
      <c r="Y60" s="149"/>
      <c r="Z60" s="149"/>
      <c r="AA60" s="149"/>
      <c r="AB60" s="149"/>
      <c r="AC60" s="149"/>
      <c r="AD60" s="149"/>
      <c r="AE60" s="152"/>
      <c r="AF60" s="135">
        <f t="shared" si="14"/>
        <v>0</v>
      </c>
    </row>
    <row r="61" hidden="1" outlineLevel="1">
      <c r="A61" s="171" t="s">
        <v>187</v>
      </c>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c r="AB61" s="149"/>
      <c r="AC61" s="149"/>
      <c r="AD61" s="149"/>
      <c r="AE61" s="152"/>
      <c r="AF61" s="135">
        <f t="shared" si="14"/>
        <v>0</v>
      </c>
    </row>
    <row r="62" hidden="1" outlineLevel="1">
      <c r="A62" s="178" t="s">
        <v>188</v>
      </c>
      <c r="B62" s="179">
        <f t="shared" ref="B62:AE62" si="15">SUM(B57:B61)</f>
        <v>0</v>
      </c>
      <c r="C62" s="179">
        <f t="shared" si="15"/>
        <v>0</v>
      </c>
      <c r="D62" s="179">
        <f t="shared" si="15"/>
        <v>0</v>
      </c>
      <c r="E62" s="179">
        <f t="shared" si="15"/>
        <v>0</v>
      </c>
      <c r="F62" s="179">
        <f t="shared" si="15"/>
        <v>0</v>
      </c>
      <c r="G62" s="179">
        <f t="shared" si="15"/>
        <v>0</v>
      </c>
      <c r="H62" s="179">
        <f t="shared" si="15"/>
        <v>0</v>
      </c>
      <c r="I62" s="179">
        <f t="shared" si="15"/>
        <v>0</v>
      </c>
      <c r="J62" s="179">
        <f t="shared" si="15"/>
        <v>0</v>
      </c>
      <c r="K62" s="179">
        <f t="shared" si="15"/>
        <v>0</v>
      </c>
      <c r="L62" s="179">
        <f t="shared" si="15"/>
        <v>0</v>
      </c>
      <c r="M62" s="179">
        <f t="shared" si="15"/>
        <v>0</v>
      </c>
      <c r="N62" s="179">
        <f t="shared" si="15"/>
        <v>0</v>
      </c>
      <c r="O62" s="179">
        <f t="shared" si="15"/>
        <v>0</v>
      </c>
      <c r="P62" s="179">
        <f t="shared" si="15"/>
        <v>0</v>
      </c>
      <c r="Q62" s="179">
        <f t="shared" si="15"/>
        <v>0</v>
      </c>
      <c r="R62" s="179">
        <f t="shared" si="15"/>
        <v>0</v>
      </c>
      <c r="S62" s="179">
        <f t="shared" si="15"/>
        <v>0</v>
      </c>
      <c r="T62" s="179">
        <f t="shared" si="15"/>
        <v>0</v>
      </c>
      <c r="U62" s="179">
        <f t="shared" si="15"/>
        <v>0</v>
      </c>
      <c r="V62" s="179">
        <f t="shared" si="15"/>
        <v>0</v>
      </c>
      <c r="W62" s="179">
        <f t="shared" si="15"/>
        <v>0</v>
      </c>
      <c r="X62" s="179">
        <f t="shared" si="15"/>
        <v>0</v>
      </c>
      <c r="Y62" s="179">
        <f t="shared" si="15"/>
        <v>0</v>
      </c>
      <c r="Z62" s="179">
        <f t="shared" si="15"/>
        <v>0</v>
      </c>
      <c r="AA62" s="179">
        <f t="shared" si="15"/>
        <v>0</v>
      </c>
      <c r="AB62" s="179">
        <f t="shared" si="15"/>
        <v>0</v>
      </c>
      <c r="AC62" s="179">
        <f t="shared" si="15"/>
        <v>0</v>
      </c>
      <c r="AD62" s="179">
        <f t="shared" si="15"/>
        <v>0</v>
      </c>
      <c r="AE62" s="182">
        <f t="shared" si="15"/>
        <v>0</v>
      </c>
      <c r="AF62" s="135">
        <f t="shared" si="14"/>
        <v>0</v>
      </c>
    </row>
    <row r="63" hidden="1" outlineLevel="1">
      <c r="A63" s="24"/>
      <c r="B63" s="138"/>
      <c r="C63" s="138"/>
      <c r="D63" s="138"/>
      <c r="E63" s="138"/>
      <c r="F63" s="138"/>
      <c r="G63" s="138"/>
      <c r="H63" s="138"/>
      <c r="I63" s="17"/>
      <c r="J63" s="17"/>
      <c r="K63" s="17"/>
      <c r="L63" s="17"/>
      <c r="M63" s="17"/>
      <c r="N63" s="17"/>
      <c r="O63" s="17"/>
      <c r="P63" s="17"/>
      <c r="Q63" s="17"/>
      <c r="R63" s="17"/>
      <c r="S63" s="17"/>
      <c r="T63" s="17"/>
      <c r="U63" s="17"/>
      <c r="V63" s="17"/>
      <c r="W63" s="17"/>
      <c r="X63" s="17"/>
      <c r="Y63" s="17"/>
      <c r="Z63" s="17"/>
      <c r="AA63" s="17"/>
      <c r="AB63" s="17"/>
      <c r="AC63" s="17"/>
      <c r="AD63" s="17"/>
      <c r="AE63" s="24"/>
      <c r="AF63" s="165"/>
    </row>
    <row r="64" hidden="1" outlineLevel="1">
      <c r="A64" s="171" t="s">
        <v>189</v>
      </c>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c r="AB64" s="149"/>
      <c r="AC64" s="149"/>
      <c r="AD64" s="149"/>
      <c r="AE64" s="152"/>
      <c r="AF64" s="135">
        <f t="shared" ref="AF64:AF69" si="16">sum(B64:AE64)</f>
        <v>0</v>
      </c>
    </row>
    <row r="65" hidden="1" outlineLevel="1">
      <c r="A65" s="171" t="s">
        <v>190</v>
      </c>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c r="AB65" s="149"/>
      <c r="AC65" s="149"/>
      <c r="AD65" s="149"/>
      <c r="AE65" s="152"/>
      <c r="AF65" s="135">
        <f t="shared" si="16"/>
        <v>0</v>
      </c>
    </row>
    <row r="66" hidden="1" outlineLevel="1">
      <c r="A66" s="171" t="s">
        <v>191</v>
      </c>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c r="AB66" s="149"/>
      <c r="AC66" s="149"/>
      <c r="AD66" s="149"/>
      <c r="AE66" s="152"/>
      <c r="AF66" s="135">
        <f t="shared" si="16"/>
        <v>0</v>
      </c>
    </row>
    <row r="67" hidden="1" outlineLevel="1">
      <c r="A67" s="171" t="s">
        <v>192</v>
      </c>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c r="AB67" s="149"/>
      <c r="AC67" s="149"/>
      <c r="AD67" s="149"/>
      <c r="AE67" s="152"/>
      <c r="AF67" s="135">
        <f t="shared" si="16"/>
        <v>0</v>
      </c>
    </row>
    <row r="68" hidden="1" outlineLevel="1">
      <c r="A68" s="171" t="s">
        <v>193</v>
      </c>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c r="AB68" s="149"/>
      <c r="AC68" s="149"/>
      <c r="AD68" s="149"/>
      <c r="AE68" s="152"/>
      <c r="AF68" s="135">
        <f t="shared" si="16"/>
        <v>0</v>
      </c>
    </row>
    <row r="69" hidden="1" outlineLevel="1">
      <c r="A69" s="246" t="s">
        <v>195</v>
      </c>
      <c r="B69" s="179">
        <f t="shared" ref="B69:AE69" si="17">SUM(B64:B68)</f>
        <v>0</v>
      </c>
      <c r="C69" s="179">
        <f t="shared" si="17"/>
        <v>0</v>
      </c>
      <c r="D69" s="179">
        <f t="shared" si="17"/>
        <v>0</v>
      </c>
      <c r="E69" s="179">
        <f t="shared" si="17"/>
        <v>0</v>
      </c>
      <c r="F69" s="179">
        <f t="shared" si="17"/>
        <v>0</v>
      </c>
      <c r="G69" s="179">
        <f t="shared" si="17"/>
        <v>0</v>
      </c>
      <c r="H69" s="179">
        <f t="shared" si="17"/>
        <v>0</v>
      </c>
      <c r="I69" s="179">
        <f t="shared" si="17"/>
        <v>0</v>
      </c>
      <c r="J69" s="179">
        <f t="shared" si="17"/>
        <v>0</v>
      </c>
      <c r="K69" s="179">
        <f t="shared" si="17"/>
        <v>0</v>
      </c>
      <c r="L69" s="179">
        <f t="shared" si="17"/>
        <v>0</v>
      </c>
      <c r="M69" s="179">
        <f t="shared" si="17"/>
        <v>0</v>
      </c>
      <c r="N69" s="179">
        <f t="shared" si="17"/>
        <v>0</v>
      </c>
      <c r="O69" s="179">
        <f t="shared" si="17"/>
        <v>0</v>
      </c>
      <c r="P69" s="179">
        <f t="shared" si="17"/>
        <v>0</v>
      </c>
      <c r="Q69" s="179">
        <f t="shared" si="17"/>
        <v>0</v>
      </c>
      <c r="R69" s="179">
        <f t="shared" si="17"/>
        <v>0</v>
      </c>
      <c r="S69" s="179">
        <f t="shared" si="17"/>
        <v>0</v>
      </c>
      <c r="T69" s="179">
        <f t="shared" si="17"/>
        <v>0</v>
      </c>
      <c r="U69" s="179">
        <f t="shared" si="17"/>
        <v>0</v>
      </c>
      <c r="V69" s="179">
        <f t="shared" si="17"/>
        <v>0</v>
      </c>
      <c r="W69" s="179">
        <f t="shared" si="17"/>
        <v>0</v>
      </c>
      <c r="X69" s="179">
        <f t="shared" si="17"/>
        <v>0</v>
      </c>
      <c r="Y69" s="179">
        <f t="shared" si="17"/>
        <v>0</v>
      </c>
      <c r="Z69" s="179">
        <f t="shared" si="17"/>
        <v>0</v>
      </c>
      <c r="AA69" s="179">
        <f t="shared" si="17"/>
        <v>0</v>
      </c>
      <c r="AB69" s="179">
        <f t="shared" si="17"/>
        <v>0</v>
      </c>
      <c r="AC69" s="179">
        <f t="shared" si="17"/>
        <v>0</v>
      </c>
      <c r="AD69" s="179">
        <f t="shared" si="17"/>
        <v>0</v>
      </c>
      <c r="AE69" s="182">
        <f t="shared" si="17"/>
        <v>0</v>
      </c>
      <c r="AF69" s="135">
        <f t="shared" si="16"/>
        <v>0</v>
      </c>
    </row>
    <row r="70" hidden="1" outlineLevel="1">
      <c r="A70" s="24"/>
      <c r="B70" s="138"/>
      <c r="C70" s="138"/>
      <c r="D70" s="138"/>
      <c r="E70" s="138"/>
      <c r="F70" s="138"/>
      <c r="G70" s="138"/>
      <c r="H70" s="138"/>
      <c r="I70" s="17"/>
      <c r="J70" s="17"/>
      <c r="K70" s="17"/>
      <c r="L70" s="17"/>
      <c r="M70" s="17"/>
      <c r="N70" s="17"/>
      <c r="O70" s="17"/>
      <c r="P70" s="17"/>
      <c r="Q70" s="17"/>
      <c r="R70" s="17"/>
      <c r="S70" s="17"/>
      <c r="T70" s="17"/>
      <c r="U70" s="17"/>
      <c r="V70" s="17"/>
      <c r="W70" s="17"/>
      <c r="X70" s="17"/>
      <c r="Y70" s="17"/>
      <c r="Z70" s="17"/>
      <c r="AA70" s="17"/>
      <c r="AB70" s="17"/>
      <c r="AC70" s="17"/>
      <c r="AD70" s="17"/>
      <c r="AE70" s="24"/>
      <c r="AF70" s="165"/>
    </row>
    <row r="71" hidden="1" outlineLevel="1">
      <c r="A71" s="171" t="s">
        <v>196</v>
      </c>
      <c r="B71" s="177"/>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c r="AA71" s="149"/>
      <c r="AB71" s="149"/>
      <c r="AC71" s="149"/>
      <c r="AD71" s="149"/>
      <c r="AE71" s="152"/>
      <c r="AF71" s="135">
        <f t="shared" ref="AF71:AF76" si="18">sum(B71:AE71)</f>
        <v>0</v>
      </c>
    </row>
    <row r="72" hidden="1" outlineLevel="1">
      <c r="A72" s="171" t="s">
        <v>197</v>
      </c>
      <c r="B72" s="177"/>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c r="AE72" s="152"/>
      <c r="AF72" s="135">
        <f t="shared" si="18"/>
        <v>0</v>
      </c>
    </row>
    <row r="73" hidden="1" outlineLevel="1">
      <c r="A73" s="171" t="s">
        <v>198</v>
      </c>
      <c r="B73" s="177"/>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c r="AE73" s="152"/>
      <c r="AF73" s="135">
        <f t="shared" si="18"/>
        <v>0</v>
      </c>
    </row>
    <row r="74" hidden="1" outlineLevel="1">
      <c r="A74" s="171" t="s">
        <v>199</v>
      </c>
      <c r="B74" s="177"/>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c r="AB74" s="149"/>
      <c r="AC74" s="149"/>
      <c r="AD74" s="149"/>
      <c r="AE74" s="152"/>
      <c r="AF74" s="135">
        <f t="shared" si="18"/>
        <v>0</v>
      </c>
    </row>
    <row r="75" hidden="1" outlineLevel="1">
      <c r="A75" s="171" t="s">
        <v>201</v>
      </c>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c r="AB75" s="149"/>
      <c r="AC75" s="149"/>
      <c r="AD75" s="149"/>
      <c r="AE75" s="152"/>
      <c r="AF75" s="135">
        <f t="shared" si="18"/>
        <v>0</v>
      </c>
    </row>
    <row r="76" hidden="1" outlineLevel="1">
      <c r="A76" s="246" t="s">
        <v>202</v>
      </c>
      <c r="B76" s="179">
        <f>SUM(B71:B75)</f>
        <v>0</v>
      </c>
      <c r="C76" s="179">
        <f>SUM(C71:C74)</f>
        <v>0</v>
      </c>
      <c r="D76" s="179">
        <f t="shared" ref="D76:F76" si="19">SUM(D71:D75)</f>
        <v>0</v>
      </c>
      <c r="E76" s="179">
        <f t="shared" si="19"/>
        <v>0</v>
      </c>
      <c r="F76" s="179">
        <f t="shared" si="19"/>
        <v>0</v>
      </c>
      <c r="G76" s="179">
        <f t="shared" ref="G76:V76" si="20">SUM(G71:G74)</f>
        <v>0</v>
      </c>
      <c r="H76" s="179">
        <f t="shared" si="20"/>
        <v>0</v>
      </c>
      <c r="I76" s="179">
        <f t="shared" si="20"/>
        <v>0</v>
      </c>
      <c r="J76" s="179">
        <f t="shared" si="20"/>
        <v>0</v>
      </c>
      <c r="K76" s="179">
        <f t="shared" si="20"/>
        <v>0</v>
      </c>
      <c r="L76" s="179">
        <f t="shared" si="20"/>
        <v>0</v>
      </c>
      <c r="M76" s="179">
        <f t="shared" si="20"/>
        <v>0</v>
      </c>
      <c r="N76" s="179">
        <f t="shared" si="20"/>
        <v>0</v>
      </c>
      <c r="O76" s="179">
        <f t="shared" si="20"/>
        <v>0</v>
      </c>
      <c r="P76" s="179">
        <f t="shared" si="20"/>
        <v>0</v>
      </c>
      <c r="Q76" s="179">
        <f t="shared" si="20"/>
        <v>0</v>
      </c>
      <c r="R76" s="179">
        <f t="shared" si="20"/>
        <v>0</v>
      </c>
      <c r="S76" s="179">
        <f t="shared" si="20"/>
        <v>0</v>
      </c>
      <c r="T76" s="179">
        <f t="shared" si="20"/>
        <v>0</v>
      </c>
      <c r="U76" s="179">
        <f t="shared" si="20"/>
        <v>0</v>
      </c>
      <c r="V76" s="179">
        <f t="shared" si="20"/>
        <v>0</v>
      </c>
      <c r="W76" s="179">
        <f>SUM(W71:W75)</f>
        <v>0</v>
      </c>
      <c r="X76" s="179">
        <f t="shared" ref="X76:AE76" si="21">SUM(X71:X74)</f>
        <v>0</v>
      </c>
      <c r="Y76" s="179">
        <f t="shared" si="21"/>
        <v>0</v>
      </c>
      <c r="Z76" s="179">
        <f t="shared" si="21"/>
        <v>0</v>
      </c>
      <c r="AA76" s="179">
        <f t="shared" si="21"/>
        <v>0</v>
      </c>
      <c r="AB76" s="179">
        <f t="shared" si="21"/>
        <v>0</v>
      </c>
      <c r="AC76" s="179">
        <f t="shared" si="21"/>
        <v>0</v>
      </c>
      <c r="AD76" s="179">
        <f t="shared" si="21"/>
        <v>0</v>
      </c>
      <c r="AE76" s="182">
        <f t="shared" si="21"/>
        <v>0</v>
      </c>
      <c r="AF76" s="135">
        <f t="shared" si="18"/>
        <v>0</v>
      </c>
    </row>
    <row r="77">
      <c r="A77" s="24"/>
      <c r="B77" s="138"/>
      <c r="C77" s="138"/>
      <c r="D77" s="138"/>
      <c r="E77" s="138"/>
      <c r="F77" s="138"/>
      <c r="G77" s="138"/>
      <c r="H77" s="138"/>
      <c r="I77" s="17"/>
      <c r="J77" s="17"/>
      <c r="K77" s="17"/>
      <c r="L77" s="17"/>
      <c r="M77" s="17"/>
      <c r="N77" s="17"/>
      <c r="O77" s="17"/>
      <c r="P77" s="17"/>
      <c r="Q77" s="17"/>
      <c r="R77" s="17"/>
      <c r="S77" s="17"/>
      <c r="T77" s="17"/>
      <c r="U77" s="17"/>
      <c r="V77" s="17"/>
      <c r="W77" s="17"/>
      <c r="X77" s="17"/>
      <c r="Y77" s="17"/>
      <c r="Z77" s="17"/>
      <c r="AA77" s="17"/>
      <c r="AB77" s="17"/>
      <c r="AC77" s="17"/>
      <c r="AD77" s="17"/>
      <c r="AE77" s="24"/>
      <c r="AF77" s="165"/>
    </row>
    <row r="78" collapsed="1">
      <c r="A78" s="168" t="s">
        <v>207</v>
      </c>
      <c r="B78" s="138"/>
      <c r="C78" s="138"/>
      <c r="D78" s="138"/>
      <c r="E78" s="138"/>
      <c r="F78" s="138"/>
      <c r="G78" s="138"/>
      <c r="H78" s="138"/>
      <c r="I78" s="17"/>
      <c r="J78" s="17"/>
      <c r="K78" s="17"/>
      <c r="L78" s="17"/>
      <c r="M78" s="17"/>
      <c r="N78" s="17"/>
      <c r="O78" s="17"/>
      <c r="P78" s="17"/>
      <c r="Q78" s="17"/>
      <c r="R78" s="17"/>
      <c r="S78" s="17"/>
      <c r="T78" s="17"/>
      <c r="U78" s="17"/>
      <c r="V78" s="17"/>
      <c r="W78" s="17"/>
      <c r="X78" s="17"/>
      <c r="Y78" s="17"/>
      <c r="Z78" s="17"/>
      <c r="AA78" s="17"/>
      <c r="AB78" s="17"/>
      <c r="AC78" s="17"/>
      <c r="AD78" s="17"/>
      <c r="AE78" s="24"/>
      <c r="AF78" s="165"/>
    </row>
    <row r="79" hidden="1" outlineLevel="1">
      <c r="A79" s="259" t="s">
        <v>208</v>
      </c>
      <c r="B79" s="261"/>
      <c r="C79" s="261"/>
      <c r="D79" s="261"/>
      <c r="E79" s="261"/>
      <c r="F79" s="261"/>
      <c r="G79" s="261"/>
      <c r="H79" s="261"/>
      <c r="I79" s="261"/>
      <c r="J79" s="261"/>
      <c r="K79" s="261"/>
      <c r="L79" s="261"/>
      <c r="M79" s="261"/>
      <c r="N79" s="261"/>
      <c r="O79" s="261"/>
      <c r="P79" s="261"/>
      <c r="Q79" s="261"/>
      <c r="R79" s="261"/>
      <c r="S79" s="261"/>
      <c r="T79" s="261"/>
      <c r="U79" s="261"/>
      <c r="V79" s="261"/>
      <c r="W79" s="261"/>
      <c r="X79" s="261"/>
      <c r="Y79" s="261"/>
      <c r="Z79" s="261"/>
      <c r="AA79" s="261"/>
      <c r="AB79" s="261"/>
      <c r="AC79" s="261"/>
      <c r="AD79" s="261"/>
      <c r="AE79" s="266"/>
      <c r="AF79" s="267">
        <f t="shared" ref="AF79:AF86" si="22">SUM(B79:AE79)</f>
        <v>0</v>
      </c>
    </row>
    <row r="80" hidden="1" outlineLevel="1">
      <c r="A80" s="259" t="s">
        <v>212</v>
      </c>
      <c r="B80" s="261"/>
      <c r="C80" s="261"/>
      <c r="D80" s="261"/>
      <c r="E80" s="261"/>
      <c r="F80" s="261"/>
      <c r="G80" s="261"/>
      <c r="H80" s="261"/>
      <c r="I80" s="261"/>
      <c r="J80" s="261"/>
      <c r="K80" s="261"/>
      <c r="L80" s="261"/>
      <c r="M80" s="261"/>
      <c r="N80" s="261"/>
      <c r="O80" s="261"/>
      <c r="P80" s="261"/>
      <c r="Q80" s="261"/>
      <c r="R80" s="261"/>
      <c r="S80" s="261"/>
      <c r="T80" s="261"/>
      <c r="U80" s="261"/>
      <c r="V80" s="261"/>
      <c r="W80" s="261"/>
      <c r="X80" s="261"/>
      <c r="Y80" s="261"/>
      <c r="Z80" s="261"/>
      <c r="AA80" s="261"/>
      <c r="AB80" s="268"/>
      <c r="AC80" s="268"/>
      <c r="AD80" s="268"/>
      <c r="AE80" s="269"/>
      <c r="AF80" s="267">
        <f t="shared" si="22"/>
        <v>0</v>
      </c>
    </row>
    <row r="81" hidden="1" outlineLevel="1">
      <c r="A81" s="259" t="s">
        <v>172</v>
      </c>
      <c r="B81" s="261"/>
      <c r="C81" s="261"/>
      <c r="D81" s="261"/>
      <c r="E81" s="261"/>
      <c r="F81" s="261"/>
      <c r="G81" s="261"/>
      <c r="H81" s="261"/>
      <c r="I81" s="261"/>
      <c r="J81" s="261"/>
      <c r="K81" s="261"/>
      <c r="L81" s="261"/>
      <c r="M81" s="261"/>
      <c r="N81" s="261"/>
      <c r="O81" s="261"/>
      <c r="P81" s="261"/>
      <c r="Q81" s="261"/>
      <c r="R81" s="261"/>
      <c r="S81" s="261"/>
      <c r="T81" s="261"/>
      <c r="U81" s="261"/>
      <c r="V81" s="261"/>
      <c r="W81" s="261"/>
      <c r="X81" s="261"/>
      <c r="Y81" s="261"/>
      <c r="Z81" s="261"/>
      <c r="AA81" s="261"/>
      <c r="AB81" s="261"/>
      <c r="AC81" s="261"/>
      <c r="AD81" s="261"/>
      <c r="AE81" s="266"/>
      <c r="AF81" s="267">
        <f t="shared" si="22"/>
        <v>0</v>
      </c>
    </row>
    <row r="82" hidden="1" outlineLevel="1">
      <c r="A82" s="259" t="s">
        <v>174</v>
      </c>
      <c r="B82" s="261"/>
      <c r="C82" s="261"/>
      <c r="D82" s="261"/>
      <c r="E82" s="261"/>
      <c r="F82" s="261"/>
      <c r="G82" s="261"/>
      <c r="H82" s="261"/>
      <c r="I82" s="261"/>
      <c r="J82" s="261"/>
      <c r="K82" s="261"/>
      <c r="L82" s="261"/>
      <c r="M82" s="261"/>
      <c r="N82" s="261"/>
      <c r="O82" s="261"/>
      <c r="P82" s="261"/>
      <c r="Q82" s="261"/>
      <c r="R82" s="261"/>
      <c r="S82" s="261"/>
      <c r="T82" s="261"/>
      <c r="U82" s="261"/>
      <c r="V82" s="261"/>
      <c r="W82" s="261"/>
      <c r="X82" s="261"/>
      <c r="Y82" s="261"/>
      <c r="Z82" s="261"/>
      <c r="AA82" s="261"/>
      <c r="AB82" s="261"/>
      <c r="AC82" s="261"/>
      <c r="AD82" s="261"/>
      <c r="AE82" s="266"/>
      <c r="AF82" s="267">
        <f t="shared" si="22"/>
        <v>0</v>
      </c>
    </row>
    <row r="83" hidden="1" outlineLevel="1">
      <c r="A83" s="259" t="s">
        <v>175</v>
      </c>
      <c r="B83" s="261"/>
      <c r="C83" s="261"/>
      <c r="D83" s="261"/>
      <c r="E83" s="261"/>
      <c r="F83" s="261"/>
      <c r="G83" s="261"/>
      <c r="H83" s="261"/>
      <c r="I83" s="261"/>
      <c r="J83" s="261"/>
      <c r="K83" s="261"/>
      <c r="L83" s="261"/>
      <c r="M83" s="261"/>
      <c r="N83" s="261"/>
      <c r="O83" s="261"/>
      <c r="P83" s="261"/>
      <c r="Q83" s="261"/>
      <c r="R83" s="261"/>
      <c r="S83" s="261"/>
      <c r="T83" s="261"/>
      <c r="U83" s="261"/>
      <c r="V83" s="261"/>
      <c r="W83" s="261"/>
      <c r="X83" s="261"/>
      <c r="Y83" s="261"/>
      <c r="Z83" s="261"/>
      <c r="AA83" s="261"/>
      <c r="AB83" s="261"/>
      <c r="AC83" s="261"/>
      <c r="AD83" s="261"/>
      <c r="AE83" s="266"/>
      <c r="AF83" s="267">
        <f t="shared" si="22"/>
        <v>0</v>
      </c>
    </row>
    <row r="84" hidden="1" outlineLevel="1">
      <c r="A84" s="259" t="s">
        <v>178</v>
      </c>
      <c r="B84" s="261"/>
      <c r="C84" s="261"/>
      <c r="D84" s="261"/>
      <c r="E84" s="261"/>
      <c r="F84" s="261"/>
      <c r="G84" s="261"/>
      <c r="H84" s="261"/>
      <c r="I84" s="261"/>
      <c r="J84" s="261"/>
      <c r="K84" s="261"/>
      <c r="L84" s="261"/>
      <c r="M84" s="261"/>
      <c r="N84" s="261"/>
      <c r="O84" s="261"/>
      <c r="P84" s="261"/>
      <c r="Q84" s="261"/>
      <c r="R84" s="261"/>
      <c r="S84" s="261"/>
      <c r="T84" s="261"/>
      <c r="U84" s="261"/>
      <c r="V84" s="261"/>
      <c r="W84" s="261"/>
      <c r="X84" s="261"/>
      <c r="Y84" s="261"/>
      <c r="Z84" s="261"/>
      <c r="AA84" s="261"/>
      <c r="AB84" s="261"/>
      <c r="AC84" s="261"/>
      <c r="AD84" s="261"/>
      <c r="AE84" s="266"/>
      <c r="AF84" s="267">
        <f t="shared" si="22"/>
        <v>0</v>
      </c>
    </row>
    <row r="85" hidden="1" outlineLevel="1">
      <c r="A85" s="273" t="s">
        <v>179</v>
      </c>
      <c r="B85" s="274">
        <f t="shared" ref="B85:AE85" si="23">B79+B81+B83</f>
        <v>0</v>
      </c>
      <c r="C85" s="274">
        <f t="shared" si="23"/>
        <v>0</v>
      </c>
      <c r="D85" s="274">
        <f t="shared" si="23"/>
        <v>0</v>
      </c>
      <c r="E85" s="274">
        <f t="shared" si="23"/>
        <v>0</v>
      </c>
      <c r="F85" s="274">
        <f t="shared" si="23"/>
        <v>0</v>
      </c>
      <c r="G85" s="274">
        <f t="shared" si="23"/>
        <v>0</v>
      </c>
      <c r="H85" s="274">
        <f t="shared" si="23"/>
        <v>0</v>
      </c>
      <c r="I85" s="274">
        <f t="shared" si="23"/>
        <v>0</v>
      </c>
      <c r="J85" s="274">
        <f t="shared" si="23"/>
        <v>0</v>
      </c>
      <c r="K85" s="274">
        <f t="shared" si="23"/>
        <v>0</v>
      </c>
      <c r="L85" s="274">
        <f t="shared" si="23"/>
        <v>0</v>
      </c>
      <c r="M85" s="274">
        <f t="shared" si="23"/>
        <v>0</v>
      </c>
      <c r="N85" s="274">
        <f t="shared" si="23"/>
        <v>0</v>
      </c>
      <c r="O85" s="274">
        <f t="shared" si="23"/>
        <v>0</v>
      </c>
      <c r="P85" s="274">
        <f t="shared" si="23"/>
        <v>0</v>
      </c>
      <c r="Q85" s="274">
        <f t="shared" si="23"/>
        <v>0</v>
      </c>
      <c r="R85" s="274">
        <f t="shared" si="23"/>
        <v>0</v>
      </c>
      <c r="S85" s="274">
        <f t="shared" si="23"/>
        <v>0</v>
      </c>
      <c r="T85" s="274">
        <f t="shared" si="23"/>
        <v>0</v>
      </c>
      <c r="U85" s="274">
        <f t="shared" si="23"/>
        <v>0</v>
      </c>
      <c r="V85" s="274">
        <f t="shared" si="23"/>
        <v>0</v>
      </c>
      <c r="W85" s="274">
        <f t="shared" si="23"/>
        <v>0</v>
      </c>
      <c r="X85" s="274">
        <f t="shared" si="23"/>
        <v>0</v>
      </c>
      <c r="Y85" s="274">
        <f t="shared" si="23"/>
        <v>0</v>
      </c>
      <c r="Z85" s="274">
        <f t="shared" si="23"/>
        <v>0</v>
      </c>
      <c r="AA85" s="274">
        <f t="shared" si="23"/>
        <v>0</v>
      </c>
      <c r="AB85" s="274">
        <f t="shared" si="23"/>
        <v>0</v>
      </c>
      <c r="AC85" s="274">
        <f t="shared" si="23"/>
        <v>0</v>
      </c>
      <c r="AD85" s="274">
        <f t="shared" si="23"/>
        <v>0</v>
      </c>
      <c r="AE85" s="277">
        <f t="shared" si="23"/>
        <v>0</v>
      </c>
      <c r="AF85" s="267">
        <f t="shared" si="22"/>
        <v>0</v>
      </c>
    </row>
    <row r="86" hidden="1" outlineLevel="1">
      <c r="A86" s="273" t="s">
        <v>181</v>
      </c>
      <c r="B86" s="274">
        <f t="shared" ref="B86:AE86" si="24">B80+B82+B84</f>
        <v>0</v>
      </c>
      <c r="C86" s="274">
        <f t="shared" si="24"/>
        <v>0</v>
      </c>
      <c r="D86" s="274">
        <f t="shared" si="24"/>
        <v>0</v>
      </c>
      <c r="E86" s="274">
        <f t="shared" si="24"/>
        <v>0</v>
      </c>
      <c r="F86" s="274">
        <f t="shared" si="24"/>
        <v>0</v>
      </c>
      <c r="G86" s="274">
        <f t="shared" si="24"/>
        <v>0</v>
      </c>
      <c r="H86" s="274">
        <f t="shared" si="24"/>
        <v>0</v>
      </c>
      <c r="I86" s="274">
        <f t="shared" si="24"/>
        <v>0</v>
      </c>
      <c r="J86" s="274">
        <f t="shared" si="24"/>
        <v>0</v>
      </c>
      <c r="K86" s="274">
        <f t="shared" si="24"/>
        <v>0</v>
      </c>
      <c r="L86" s="274">
        <f t="shared" si="24"/>
        <v>0</v>
      </c>
      <c r="M86" s="274">
        <f t="shared" si="24"/>
        <v>0</v>
      </c>
      <c r="N86" s="274">
        <f t="shared" si="24"/>
        <v>0</v>
      </c>
      <c r="O86" s="274">
        <f t="shared" si="24"/>
        <v>0</v>
      </c>
      <c r="P86" s="274">
        <f t="shared" si="24"/>
        <v>0</v>
      </c>
      <c r="Q86" s="274">
        <f t="shared" si="24"/>
        <v>0</v>
      </c>
      <c r="R86" s="274">
        <f t="shared" si="24"/>
        <v>0</v>
      </c>
      <c r="S86" s="274">
        <f t="shared" si="24"/>
        <v>0</v>
      </c>
      <c r="T86" s="274">
        <f t="shared" si="24"/>
        <v>0</v>
      </c>
      <c r="U86" s="274">
        <f t="shared" si="24"/>
        <v>0</v>
      </c>
      <c r="V86" s="274">
        <f t="shared" si="24"/>
        <v>0</v>
      </c>
      <c r="W86" s="274">
        <f t="shared" si="24"/>
        <v>0</v>
      </c>
      <c r="X86" s="274">
        <f t="shared" si="24"/>
        <v>0</v>
      </c>
      <c r="Y86" s="274">
        <f t="shared" si="24"/>
        <v>0</v>
      </c>
      <c r="Z86" s="274">
        <f t="shared" si="24"/>
        <v>0</v>
      </c>
      <c r="AA86" s="274">
        <f t="shared" si="24"/>
        <v>0</v>
      </c>
      <c r="AB86" s="274">
        <f t="shared" si="24"/>
        <v>0</v>
      </c>
      <c r="AC86" s="274">
        <f t="shared" si="24"/>
        <v>0</v>
      </c>
      <c r="AD86" s="274">
        <f t="shared" si="24"/>
        <v>0</v>
      </c>
      <c r="AE86" s="277">
        <f t="shared" si="24"/>
        <v>0</v>
      </c>
      <c r="AF86" s="267">
        <f t="shared" si="22"/>
        <v>0</v>
      </c>
    </row>
    <row r="87" hidden="1" outlineLevel="1">
      <c r="A87" s="24"/>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78"/>
      <c r="AF87" s="261"/>
    </row>
    <row r="88" hidden="1" outlineLevel="1">
      <c r="A88" s="259" t="s">
        <v>227</v>
      </c>
      <c r="B88" s="261"/>
      <c r="C88" s="261"/>
      <c r="D88" s="261"/>
      <c r="E88" s="261"/>
      <c r="F88" s="261"/>
      <c r="G88" s="261"/>
      <c r="H88" s="261"/>
      <c r="I88" s="261"/>
      <c r="J88" s="261"/>
      <c r="K88" s="261"/>
      <c r="L88" s="261"/>
      <c r="M88" s="261"/>
      <c r="N88" s="261"/>
      <c r="O88" s="261"/>
      <c r="P88" s="261"/>
      <c r="Q88" s="261"/>
      <c r="R88" s="261"/>
      <c r="S88" s="261"/>
      <c r="T88" s="261"/>
      <c r="U88" s="261"/>
      <c r="V88" s="261"/>
      <c r="W88" s="261"/>
      <c r="X88" s="261"/>
      <c r="Y88" s="261"/>
      <c r="Z88" s="261"/>
      <c r="AA88" s="261"/>
      <c r="AB88" s="261"/>
      <c r="AC88" s="261"/>
      <c r="AD88" s="261"/>
      <c r="AE88" s="266"/>
      <c r="AF88" s="267">
        <f t="shared" ref="AF88:AF93" si="25">SUM(B88:AE88)</f>
        <v>0</v>
      </c>
    </row>
    <row r="89" hidden="1" outlineLevel="1">
      <c r="A89" s="259" t="s">
        <v>229</v>
      </c>
      <c r="B89" s="261"/>
      <c r="C89" s="261"/>
      <c r="D89" s="261"/>
      <c r="E89" s="261"/>
      <c r="F89" s="261"/>
      <c r="G89" s="261"/>
      <c r="H89" s="261"/>
      <c r="I89" s="261"/>
      <c r="J89" s="261"/>
      <c r="K89" s="261"/>
      <c r="L89" s="261"/>
      <c r="M89" s="261"/>
      <c r="N89" s="261"/>
      <c r="O89" s="261"/>
      <c r="P89" s="261"/>
      <c r="Q89" s="261"/>
      <c r="R89" s="261"/>
      <c r="S89" s="261"/>
      <c r="T89" s="261"/>
      <c r="U89" s="261"/>
      <c r="V89" s="261"/>
      <c r="W89" s="261"/>
      <c r="X89" s="261"/>
      <c r="Y89" s="261"/>
      <c r="Z89" s="261"/>
      <c r="AA89" s="261"/>
      <c r="AB89" s="261"/>
      <c r="AC89" s="261"/>
      <c r="AD89" s="261"/>
      <c r="AE89" s="266"/>
      <c r="AF89" s="267">
        <f t="shared" si="25"/>
        <v>0</v>
      </c>
    </row>
    <row r="90" hidden="1" outlineLevel="1">
      <c r="A90" s="259" t="s">
        <v>184</v>
      </c>
      <c r="B90" s="261"/>
      <c r="C90" s="261"/>
      <c r="D90" s="261"/>
      <c r="E90" s="261"/>
      <c r="F90" s="261"/>
      <c r="G90" s="261"/>
      <c r="H90" s="261"/>
      <c r="I90" s="261"/>
      <c r="J90" s="261"/>
      <c r="K90" s="261"/>
      <c r="L90" s="261"/>
      <c r="M90" s="261"/>
      <c r="N90" s="261"/>
      <c r="O90" s="261"/>
      <c r="P90" s="261"/>
      <c r="Q90" s="261"/>
      <c r="R90" s="261"/>
      <c r="S90" s="261"/>
      <c r="T90" s="261"/>
      <c r="U90" s="261"/>
      <c r="V90" s="261"/>
      <c r="W90" s="261"/>
      <c r="X90" s="261"/>
      <c r="Y90" s="261"/>
      <c r="Z90" s="261"/>
      <c r="AA90" s="261"/>
      <c r="AB90" s="261"/>
      <c r="AC90" s="261"/>
      <c r="AD90" s="261"/>
      <c r="AE90" s="266"/>
      <c r="AF90" s="267">
        <f t="shared" si="25"/>
        <v>0</v>
      </c>
    </row>
    <row r="91" hidden="1" outlineLevel="1">
      <c r="A91" s="259" t="s">
        <v>232</v>
      </c>
      <c r="B91" s="261"/>
      <c r="C91" s="261"/>
      <c r="D91" s="261"/>
      <c r="E91" s="261"/>
      <c r="F91" s="261"/>
      <c r="G91" s="261"/>
      <c r="H91" s="261"/>
      <c r="I91" s="261"/>
      <c r="J91" s="261"/>
      <c r="K91" s="261"/>
      <c r="L91" s="261"/>
      <c r="M91" s="261"/>
      <c r="N91" s="261"/>
      <c r="O91" s="261"/>
      <c r="P91" s="261"/>
      <c r="Q91" s="261"/>
      <c r="R91" s="261"/>
      <c r="S91" s="261"/>
      <c r="T91" s="261"/>
      <c r="U91" s="261"/>
      <c r="V91" s="261"/>
      <c r="W91" s="261"/>
      <c r="X91" s="261"/>
      <c r="Y91" s="261"/>
      <c r="Z91" s="261"/>
      <c r="AA91" s="261"/>
      <c r="AB91" s="261"/>
      <c r="AC91" s="261"/>
      <c r="AD91" s="261"/>
      <c r="AE91" s="266"/>
      <c r="AF91" s="267">
        <f t="shared" si="25"/>
        <v>0</v>
      </c>
    </row>
    <row r="92" hidden="1" outlineLevel="1">
      <c r="A92" s="259" t="s">
        <v>234</v>
      </c>
      <c r="B92" s="261"/>
      <c r="C92" s="261"/>
      <c r="D92" s="261"/>
      <c r="E92" s="261"/>
      <c r="F92" s="261"/>
      <c r="G92" s="261"/>
      <c r="H92" s="261"/>
      <c r="I92" s="261"/>
      <c r="J92" s="261"/>
      <c r="K92" s="261"/>
      <c r="L92" s="261"/>
      <c r="M92" s="261"/>
      <c r="N92" s="261"/>
      <c r="O92" s="261"/>
      <c r="P92" s="261"/>
      <c r="Q92" s="261"/>
      <c r="R92" s="261"/>
      <c r="S92" s="261"/>
      <c r="T92" s="261"/>
      <c r="U92" s="261"/>
      <c r="V92" s="261"/>
      <c r="W92" s="261"/>
      <c r="X92" s="261"/>
      <c r="Y92" s="261"/>
      <c r="Z92" s="261"/>
      <c r="AA92" s="261"/>
      <c r="AB92" s="261"/>
      <c r="AC92" s="261"/>
      <c r="AD92" s="261"/>
      <c r="AE92" s="266"/>
      <c r="AF92" s="267">
        <f t="shared" si="25"/>
        <v>0</v>
      </c>
    </row>
    <row r="93" hidden="1" outlineLevel="1">
      <c r="A93" s="273" t="s">
        <v>236</v>
      </c>
      <c r="B93" s="274">
        <f t="shared" ref="B93:AE93" si="26">SUM(B88:B92)</f>
        <v>0</v>
      </c>
      <c r="C93" s="274">
        <f t="shared" si="26"/>
        <v>0</v>
      </c>
      <c r="D93" s="274">
        <f t="shared" si="26"/>
        <v>0</v>
      </c>
      <c r="E93" s="274">
        <f t="shared" si="26"/>
        <v>0</v>
      </c>
      <c r="F93" s="274">
        <f t="shared" si="26"/>
        <v>0</v>
      </c>
      <c r="G93" s="274">
        <f t="shared" si="26"/>
        <v>0</v>
      </c>
      <c r="H93" s="274">
        <f t="shared" si="26"/>
        <v>0</v>
      </c>
      <c r="I93" s="274">
        <f t="shared" si="26"/>
        <v>0</v>
      </c>
      <c r="J93" s="274">
        <f t="shared" si="26"/>
        <v>0</v>
      </c>
      <c r="K93" s="274">
        <f t="shared" si="26"/>
        <v>0</v>
      </c>
      <c r="L93" s="274">
        <f t="shared" si="26"/>
        <v>0</v>
      </c>
      <c r="M93" s="274">
        <f t="shared" si="26"/>
        <v>0</v>
      </c>
      <c r="N93" s="274">
        <f t="shared" si="26"/>
        <v>0</v>
      </c>
      <c r="O93" s="274">
        <f t="shared" si="26"/>
        <v>0</v>
      </c>
      <c r="P93" s="274">
        <f t="shared" si="26"/>
        <v>0</v>
      </c>
      <c r="Q93" s="274">
        <f t="shared" si="26"/>
        <v>0</v>
      </c>
      <c r="R93" s="274">
        <f t="shared" si="26"/>
        <v>0</v>
      </c>
      <c r="S93" s="274">
        <f t="shared" si="26"/>
        <v>0</v>
      </c>
      <c r="T93" s="274">
        <f t="shared" si="26"/>
        <v>0</v>
      </c>
      <c r="U93" s="274">
        <f t="shared" si="26"/>
        <v>0</v>
      </c>
      <c r="V93" s="274">
        <f t="shared" si="26"/>
        <v>0</v>
      </c>
      <c r="W93" s="274">
        <f t="shared" si="26"/>
        <v>0</v>
      </c>
      <c r="X93" s="274">
        <f t="shared" si="26"/>
        <v>0</v>
      </c>
      <c r="Y93" s="274">
        <f t="shared" si="26"/>
        <v>0</v>
      </c>
      <c r="Z93" s="274">
        <f t="shared" si="26"/>
        <v>0</v>
      </c>
      <c r="AA93" s="274">
        <f t="shared" si="26"/>
        <v>0</v>
      </c>
      <c r="AB93" s="274">
        <f t="shared" si="26"/>
        <v>0</v>
      </c>
      <c r="AC93" s="274">
        <f t="shared" si="26"/>
        <v>0</v>
      </c>
      <c r="AD93" s="274">
        <f t="shared" si="26"/>
        <v>0</v>
      </c>
      <c r="AE93" s="277">
        <f t="shared" si="26"/>
        <v>0</v>
      </c>
      <c r="AF93" s="267">
        <f t="shared" si="25"/>
        <v>0</v>
      </c>
    </row>
    <row r="94" hidden="1" outlineLevel="1">
      <c r="A94" s="24"/>
      <c r="B94" s="204"/>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78"/>
      <c r="AF94" s="261"/>
    </row>
    <row r="95" hidden="1" outlineLevel="1">
      <c r="A95" s="259" t="s">
        <v>189</v>
      </c>
      <c r="B95" s="261"/>
      <c r="C95" s="261"/>
      <c r="D95" s="261"/>
      <c r="E95" s="261"/>
      <c r="F95" s="261"/>
      <c r="G95" s="261"/>
      <c r="H95" s="261"/>
      <c r="I95" s="261"/>
      <c r="J95" s="261"/>
      <c r="K95" s="261"/>
      <c r="L95" s="261"/>
      <c r="M95" s="261"/>
      <c r="N95" s="261"/>
      <c r="O95" s="261"/>
      <c r="P95" s="261"/>
      <c r="Q95" s="261"/>
      <c r="R95" s="261"/>
      <c r="S95" s="261"/>
      <c r="T95" s="261"/>
      <c r="U95" s="261"/>
      <c r="V95" s="261"/>
      <c r="W95" s="261"/>
      <c r="X95" s="261"/>
      <c r="Y95" s="261"/>
      <c r="Z95" s="261"/>
      <c r="AA95" s="261"/>
      <c r="AB95" s="261"/>
      <c r="AC95" s="261"/>
      <c r="AD95" s="261"/>
      <c r="AE95" s="266"/>
      <c r="AF95" s="267">
        <f t="shared" ref="AF95:AF100" si="27">SUM(B95:AE95)</f>
        <v>0</v>
      </c>
    </row>
    <row r="96" hidden="1" outlineLevel="1">
      <c r="A96" s="259" t="s">
        <v>190</v>
      </c>
      <c r="B96" s="261"/>
      <c r="C96" s="261"/>
      <c r="D96" s="261"/>
      <c r="E96" s="261"/>
      <c r="F96" s="261"/>
      <c r="G96" s="261"/>
      <c r="H96" s="261"/>
      <c r="I96" s="261"/>
      <c r="J96" s="261"/>
      <c r="K96" s="261"/>
      <c r="L96" s="261"/>
      <c r="M96" s="261"/>
      <c r="N96" s="261"/>
      <c r="O96" s="261"/>
      <c r="P96" s="261"/>
      <c r="Q96" s="261"/>
      <c r="R96" s="261"/>
      <c r="S96" s="261"/>
      <c r="T96" s="261"/>
      <c r="U96" s="261"/>
      <c r="V96" s="261"/>
      <c r="W96" s="261"/>
      <c r="X96" s="261"/>
      <c r="Y96" s="261"/>
      <c r="Z96" s="261"/>
      <c r="AA96" s="261"/>
      <c r="AB96" s="261"/>
      <c r="AC96" s="261"/>
      <c r="AD96" s="261"/>
      <c r="AE96" s="266"/>
      <c r="AF96" s="267">
        <f t="shared" si="27"/>
        <v>0</v>
      </c>
    </row>
    <row r="97" hidden="1" outlineLevel="1">
      <c r="A97" s="259" t="s">
        <v>191</v>
      </c>
      <c r="B97" s="261"/>
      <c r="C97" s="261"/>
      <c r="D97" s="261"/>
      <c r="E97" s="261"/>
      <c r="F97" s="261"/>
      <c r="G97" s="261"/>
      <c r="H97" s="261"/>
      <c r="I97" s="261"/>
      <c r="J97" s="261"/>
      <c r="K97" s="261"/>
      <c r="L97" s="261"/>
      <c r="M97" s="261"/>
      <c r="N97" s="261"/>
      <c r="O97" s="261"/>
      <c r="P97" s="261"/>
      <c r="Q97" s="261"/>
      <c r="R97" s="261"/>
      <c r="S97" s="261"/>
      <c r="T97" s="261"/>
      <c r="U97" s="261"/>
      <c r="V97" s="261"/>
      <c r="W97" s="261"/>
      <c r="X97" s="261"/>
      <c r="Y97" s="261"/>
      <c r="Z97" s="261"/>
      <c r="AA97" s="261"/>
      <c r="AB97" s="261"/>
      <c r="AC97" s="261"/>
      <c r="AD97" s="261"/>
      <c r="AE97" s="266"/>
      <c r="AF97" s="267">
        <f t="shared" si="27"/>
        <v>0</v>
      </c>
    </row>
    <row r="98" hidden="1" outlineLevel="1">
      <c r="A98" s="259" t="s">
        <v>192</v>
      </c>
      <c r="B98" s="261"/>
      <c r="C98" s="261"/>
      <c r="D98" s="261"/>
      <c r="E98" s="261"/>
      <c r="F98" s="261"/>
      <c r="G98" s="261"/>
      <c r="H98" s="261"/>
      <c r="I98" s="261"/>
      <c r="J98" s="261"/>
      <c r="K98" s="261"/>
      <c r="L98" s="261"/>
      <c r="M98" s="261"/>
      <c r="N98" s="261"/>
      <c r="O98" s="261"/>
      <c r="P98" s="261"/>
      <c r="Q98" s="261"/>
      <c r="R98" s="261"/>
      <c r="S98" s="261"/>
      <c r="T98" s="261"/>
      <c r="U98" s="261"/>
      <c r="V98" s="261"/>
      <c r="W98" s="261"/>
      <c r="X98" s="261"/>
      <c r="Y98" s="261"/>
      <c r="Z98" s="261"/>
      <c r="AA98" s="261"/>
      <c r="AB98" s="261"/>
      <c r="AC98" s="261"/>
      <c r="AD98" s="261"/>
      <c r="AE98" s="266"/>
      <c r="AF98" s="267">
        <f t="shared" si="27"/>
        <v>0</v>
      </c>
    </row>
    <row r="99" hidden="1" outlineLevel="1">
      <c r="A99" s="259" t="s">
        <v>193</v>
      </c>
      <c r="B99" s="261"/>
      <c r="C99" s="261"/>
      <c r="D99" s="261"/>
      <c r="E99" s="261"/>
      <c r="F99" s="261"/>
      <c r="G99" s="261"/>
      <c r="H99" s="261"/>
      <c r="I99" s="261"/>
      <c r="J99" s="261"/>
      <c r="K99" s="261"/>
      <c r="L99" s="261"/>
      <c r="M99" s="261"/>
      <c r="N99" s="261"/>
      <c r="O99" s="261"/>
      <c r="P99" s="261"/>
      <c r="Q99" s="261"/>
      <c r="R99" s="261"/>
      <c r="S99" s="261"/>
      <c r="T99" s="261"/>
      <c r="U99" s="261"/>
      <c r="V99" s="261"/>
      <c r="W99" s="261"/>
      <c r="X99" s="261"/>
      <c r="Y99" s="261"/>
      <c r="Z99" s="261"/>
      <c r="AA99" s="261"/>
      <c r="AB99" s="261"/>
      <c r="AC99" s="261"/>
      <c r="AD99" s="261"/>
      <c r="AE99" s="266"/>
      <c r="AF99" s="267">
        <f t="shared" si="27"/>
        <v>0</v>
      </c>
    </row>
    <row r="100" hidden="1" outlineLevel="1">
      <c r="A100" s="284" t="s">
        <v>195</v>
      </c>
      <c r="B100" s="274">
        <f t="shared" ref="B100:AE100" si="28">SUM(B95:B99)</f>
        <v>0</v>
      </c>
      <c r="C100" s="274">
        <f t="shared" si="28"/>
        <v>0</v>
      </c>
      <c r="D100" s="274">
        <f t="shared" si="28"/>
        <v>0</v>
      </c>
      <c r="E100" s="274">
        <f t="shared" si="28"/>
        <v>0</v>
      </c>
      <c r="F100" s="274">
        <f t="shared" si="28"/>
        <v>0</v>
      </c>
      <c r="G100" s="274">
        <f t="shared" si="28"/>
        <v>0</v>
      </c>
      <c r="H100" s="274">
        <f t="shared" si="28"/>
        <v>0</v>
      </c>
      <c r="I100" s="274">
        <f t="shared" si="28"/>
        <v>0</v>
      </c>
      <c r="J100" s="274">
        <f t="shared" si="28"/>
        <v>0</v>
      </c>
      <c r="K100" s="274">
        <f t="shared" si="28"/>
        <v>0</v>
      </c>
      <c r="L100" s="274">
        <f t="shared" si="28"/>
        <v>0</v>
      </c>
      <c r="M100" s="274">
        <f t="shared" si="28"/>
        <v>0</v>
      </c>
      <c r="N100" s="274">
        <f t="shared" si="28"/>
        <v>0</v>
      </c>
      <c r="O100" s="274">
        <f t="shared" si="28"/>
        <v>0</v>
      </c>
      <c r="P100" s="274">
        <f t="shared" si="28"/>
        <v>0</v>
      </c>
      <c r="Q100" s="274">
        <f t="shared" si="28"/>
        <v>0</v>
      </c>
      <c r="R100" s="274">
        <f t="shared" si="28"/>
        <v>0</v>
      </c>
      <c r="S100" s="274">
        <f t="shared" si="28"/>
        <v>0</v>
      </c>
      <c r="T100" s="274">
        <f t="shared" si="28"/>
        <v>0</v>
      </c>
      <c r="U100" s="274">
        <f t="shared" si="28"/>
        <v>0</v>
      </c>
      <c r="V100" s="274">
        <f t="shared" si="28"/>
        <v>0</v>
      </c>
      <c r="W100" s="274">
        <f t="shared" si="28"/>
        <v>0</v>
      </c>
      <c r="X100" s="274">
        <f t="shared" si="28"/>
        <v>0</v>
      </c>
      <c r="Y100" s="274">
        <f t="shared" si="28"/>
        <v>0</v>
      </c>
      <c r="Z100" s="274">
        <f t="shared" si="28"/>
        <v>0</v>
      </c>
      <c r="AA100" s="274">
        <f t="shared" si="28"/>
        <v>0</v>
      </c>
      <c r="AB100" s="274">
        <f t="shared" si="28"/>
        <v>0</v>
      </c>
      <c r="AC100" s="274">
        <f t="shared" si="28"/>
        <v>0</v>
      </c>
      <c r="AD100" s="274">
        <f t="shared" si="28"/>
        <v>0</v>
      </c>
      <c r="AE100" s="277">
        <f t="shared" si="28"/>
        <v>0</v>
      </c>
      <c r="AF100" s="267">
        <f t="shared" si="27"/>
        <v>0</v>
      </c>
    </row>
    <row r="101" hidden="1" outlineLevel="1">
      <c r="A101" s="24"/>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78"/>
      <c r="AF101" s="261"/>
    </row>
    <row r="102" hidden="1" outlineLevel="1">
      <c r="A102" s="259" t="s">
        <v>196</v>
      </c>
      <c r="B102" s="261"/>
      <c r="C102" s="261"/>
      <c r="D102" s="261"/>
      <c r="E102" s="261"/>
      <c r="F102" s="261"/>
      <c r="G102" s="261"/>
      <c r="H102" s="261"/>
      <c r="I102" s="261"/>
      <c r="J102" s="261"/>
      <c r="K102" s="261"/>
      <c r="L102" s="261"/>
      <c r="M102" s="261"/>
      <c r="N102" s="261"/>
      <c r="O102" s="261"/>
      <c r="P102" s="261"/>
      <c r="Q102" s="261"/>
      <c r="R102" s="261"/>
      <c r="S102" s="261"/>
      <c r="T102" s="261"/>
      <c r="U102" s="261"/>
      <c r="V102" s="261"/>
      <c r="W102" s="261"/>
      <c r="X102" s="261"/>
      <c r="Y102" s="261"/>
      <c r="Z102" s="261"/>
      <c r="AA102" s="261"/>
      <c r="AB102" s="261"/>
      <c r="AC102" s="261"/>
      <c r="AD102" s="261"/>
      <c r="AE102" s="266"/>
      <c r="AF102" s="267">
        <f t="shared" ref="AF102:AF107" si="29">SUM(B102:AE102)</f>
        <v>0</v>
      </c>
    </row>
    <row r="103" hidden="1" outlineLevel="1">
      <c r="A103" s="259" t="s">
        <v>197</v>
      </c>
      <c r="B103" s="261"/>
      <c r="C103" s="261"/>
      <c r="D103" s="261"/>
      <c r="E103" s="261"/>
      <c r="F103" s="261"/>
      <c r="G103" s="261"/>
      <c r="H103" s="261"/>
      <c r="I103" s="261"/>
      <c r="J103" s="261"/>
      <c r="K103" s="261"/>
      <c r="L103" s="261"/>
      <c r="M103" s="261"/>
      <c r="N103" s="261"/>
      <c r="O103" s="261"/>
      <c r="P103" s="261"/>
      <c r="Q103" s="261"/>
      <c r="R103" s="261"/>
      <c r="S103" s="261"/>
      <c r="T103" s="261"/>
      <c r="U103" s="261"/>
      <c r="V103" s="261"/>
      <c r="W103" s="261"/>
      <c r="X103" s="261"/>
      <c r="Y103" s="261"/>
      <c r="Z103" s="261"/>
      <c r="AA103" s="261"/>
      <c r="AB103" s="261"/>
      <c r="AC103" s="261"/>
      <c r="AD103" s="261"/>
      <c r="AE103" s="266"/>
      <c r="AF103" s="267">
        <f t="shared" si="29"/>
        <v>0</v>
      </c>
    </row>
    <row r="104" hidden="1" outlineLevel="1">
      <c r="A104" s="259" t="s">
        <v>198</v>
      </c>
      <c r="B104" s="261"/>
      <c r="C104" s="261"/>
      <c r="D104" s="261"/>
      <c r="E104" s="261"/>
      <c r="F104" s="261"/>
      <c r="G104" s="261"/>
      <c r="H104" s="261"/>
      <c r="I104" s="261"/>
      <c r="J104" s="261"/>
      <c r="K104" s="261"/>
      <c r="L104" s="261"/>
      <c r="M104" s="261"/>
      <c r="N104" s="261"/>
      <c r="O104" s="261"/>
      <c r="P104" s="261"/>
      <c r="Q104" s="261"/>
      <c r="R104" s="261"/>
      <c r="S104" s="261"/>
      <c r="T104" s="261"/>
      <c r="U104" s="261"/>
      <c r="V104" s="261"/>
      <c r="W104" s="261"/>
      <c r="X104" s="261"/>
      <c r="Y104" s="261"/>
      <c r="Z104" s="261"/>
      <c r="AA104" s="261"/>
      <c r="AB104" s="261"/>
      <c r="AC104" s="261"/>
      <c r="AD104" s="261"/>
      <c r="AE104" s="266"/>
      <c r="AF104" s="267">
        <f t="shared" si="29"/>
        <v>0</v>
      </c>
    </row>
    <row r="105" hidden="1" outlineLevel="1">
      <c r="A105" s="259" t="s">
        <v>199</v>
      </c>
      <c r="B105" s="261"/>
      <c r="C105" s="261"/>
      <c r="D105" s="261"/>
      <c r="E105" s="261"/>
      <c r="F105" s="261"/>
      <c r="G105" s="261"/>
      <c r="H105" s="261"/>
      <c r="I105" s="261"/>
      <c r="J105" s="261"/>
      <c r="K105" s="261"/>
      <c r="L105" s="261"/>
      <c r="M105" s="261"/>
      <c r="N105" s="261"/>
      <c r="O105" s="261"/>
      <c r="P105" s="261"/>
      <c r="Q105" s="261"/>
      <c r="R105" s="261"/>
      <c r="S105" s="261"/>
      <c r="T105" s="261"/>
      <c r="U105" s="261"/>
      <c r="V105" s="261"/>
      <c r="W105" s="261"/>
      <c r="X105" s="261"/>
      <c r="Y105" s="261"/>
      <c r="Z105" s="261"/>
      <c r="AA105" s="261"/>
      <c r="AB105" s="261"/>
      <c r="AC105" s="261"/>
      <c r="AD105" s="261"/>
      <c r="AE105" s="266"/>
      <c r="AF105" s="267">
        <f t="shared" si="29"/>
        <v>0</v>
      </c>
    </row>
    <row r="106" hidden="1" outlineLevel="1">
      <c r="A106" s="259" t="s">
        <v>201</v>
      </c>
      <c r="B106" s="261"/>
      <c r="C106" s="261"/>
      <c r="D106" s="261"/>
      <c r="E106" s="261"/>
      <c r="F106" s="261"/>
      <c r="G106" s="261"/>
      <c r="H106" s="261"/>
      <c r="I106" s="261"/>
      <c r="J106" s="261"/>
      <c r="K106" s="261"/>
      <c r="L106" s="261"/>
      <c r="M106" s="261"/>
      <c r="N106" s="261"/>
      <c r="O106" s="261"/>
      <c r="P106" s="261"/>
      <c r="Q106" s="261"/>
      <c r="R106" s="261"/>
      <c r="S106" s="261"/>
      <c r="T106" s="261"/>
      <c r="U106" s="261"/>
      <c r="V106" s="261"/>
      <c r="W106" s="261"/>
      <c r="X106" s="261"/>
      <c r="Y106" s="261"/>
      <c r="Z106" s="261"/>
      <c r="AA106" s="261"/>
      <c r="AB106" s="261"/>
      <c r="AC106" s="261"/>
      <c r="AD106" s="261"/>
      <c r="AE106" s="266"/>
      <c r="AF106" s="267">
        <f t="shared" si="29"/>
        <v>0</v>
      </c>
    </row>
    <row r="107" hidden="1" outlineLevel="1">
      <c r="A107" s="284" t="s">
        <v>202</v>
      </c>
      <c r="B107" s="274">
        <f t="shared" ref="B107:AE107" si="30">SUM(B102:B106)</f>
        <v>0</v>
      </c>
      <c r="C107" s="274">
        <f t="shared" si="30"/>
        <v>0</v>
      </c>
      <c r="D107" s="274">
        <f t="shared" si="30"/>
        <v>0</v>
      </c>
      <c r="E107" s="274">
        <f t="shared" si="30"/>
        <v>0</v>
      </c>
      <c r="F107" s="274">
        <f t="shared" si="30"/>
        <v>0</v>
      </c>
      <c r="G107" s="274">
        <f t="shared" si="30"/>
        <v>0</v>
      </c>
      <c r="H107" s="274">
        <f t="shared" si="30"/>
        <v>0</v>
      </c>
      <c r="I107" s="274">
        <f t="shared" si="30"/>
        <v>0</v>
      </c>
      <c r="J107" s="274">
        <f t="shared" si="30"/>
        <v>0</v>
      </c>
      <c r="K107" s="274">
        <f t="shared" si="30"/>
        <v>0</v>
      </c>
      <c r="L107" s="274">
        <f t="shared" si="30"/>
        <v>0</v>
      </c>
      <c r="M107" s="274">
        <f t="shared" si="30"/>
        <v>0</v>
      </c>
      <c r="N107" s="274">
        <f t="shared" si="30"/>
        <v>0</v>
      </c>
      <c r="O107" s="274">
        <f t="shared" si="30"/>
        <v>0</v>
      </c>
      <c r="P107" s="274">
        <f t="shared" si="30"/>
        <v>0</v>
      </c>
      <c r="Q107" s="274">
        <f t="shared" si="30"/>
        <v>0</v>
      </c>
      <c r="R107" s="274">
        <f t="shared" si="30"/>
        <v>0</v>
      </c>
      <c r="S107" s="274">
        <f t="shared" si="30"/>
        <v>0</v>
      </c>
      <c r="T107" s="274">
        <f t="shared" si="30"/>
        <v>0</v>
      </c>
      <c r="U107" s="274">
        <f t="shared" si="30"/>
        <v>0</v>
      </c>
      <c r="V107" s="274">
        <f t="shared" si="30"/>
        <v>0</v>
      </c>
      <c r="W107" s="274">
        <f t="shared" si="30"/>
        <v>0</v>
      </c>
      <c r="X107" s="274">
        <f t="shared" si="30"/>
        <v>0</v>
      </c>
      <c r="Y107" s="274">
        <f t="shared" si="30"/>
        <v>0</v>
      </c>
      <c r="Z107" s="274">
        <f t="shared" si="30"/>
        <v>0</v>
      </c>
      <c r="AA107" s="274">
        <f t="shared" si="30"/>
        <v>0</v>
      </c>
      <c r="AB107" s="274">
        <f t="shared" si="30"/>
        <v>0</v>
      </c>
      <c r="AC107" s="274">
        <f t="shared" si="30"/>
        <v>0</v>
      </c>
      <c r="AD107" s="274">
        <f t="shared" si="30"/>
        <v>0</v>
      </c>
      <c r="AE107" s="277">
        <f t="shared" si="30"/>
        <v>0</v>
      </c>
      <c r="AF107" s="267">
        <f t="shared" si="29"/>
        <v>0</v>
      </c>
    </row>
    <row r="108">
      <c r="A108" s="24"/>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24"/>
      <c r="AF108" s="261"/>
    </row>
    <row r="109">
      <c r="A109" s="24"/>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24"/>
      <c r="AF109" s="11"/>
    </row>
    <row r="110">
      <c r="A110" s="73" t="s">
        <v>252</v>
      </c>
      <c r="B110" s="138"/>
      <c r="C110" s="138"/>
      <c r="D110" s="138"/>
      <c r="E110" s="138"/>
      <c r="F110" s="138"/>
      <c r="G110" s="138"/>
      <c r="H110" s="138"/>
      <c r="I110" s="17"/>
      <c r="J110" s="17"/>
      <c r="K110" s="17"/>
      <c r="L110" s="17"/>
      <c r="M110" s="17"/>
      <c r="N110" s="17"/>
      <c r="O110" s="17"/>
      <c r="P110" s="17"/>
      <c r="Q110" s="17"/>
      <c r="R110" s="17"/>
      <c r="S110" s="17"/>
      <c r="T110" s="17"/>
      <c r="U110" s="17"/>
      <c r="V110" s="17"/>
      <c r="W110" s="17"/>
      <c r="X110" s="17"/>
      <c r="Y110" s="17"/>
      <c r="Z110" s="17"/>
      <c r="AA110" s="17"/>
      <c r="AB110" s="17"/>
      <c r="AC110" s="17"/>
      <c r="AD110" s="17"/>
      <c r="AE110" s="24"/>
      <c r="AF110" s="11"/>
    </row>
    <row r="111">
      <c r="A111" s="116" t="s">
        <v>254</v>
      </c>
      <c r="B111" s="262">
        <v>0.0</v>
      </c>
      <c r="C111" s="262">
        <v>0.0</v>
      </c>
      <c r="D111" s="262">
        <v>0.0</v>
      </c>
      <c r="E111" s="262">
        <v>0.0</v>
      </c>
      <c r="F111" s="262">
        <v>0.0</v>
      </c>
      <c r="G111" s="262">
        <v>0.0</v>
      </c>
      <c r="H111" s="262">
        <v>0.0</v>
      </c>
      <c r="I111" s="262">
        <v>0.0</v>
      </c>
      <c r="J111" s="262">
        <v>0.0</v>
      </c>
      <c r="K111" s="262">
        <v>0.0</v>
      </c>
      <c r="L111" s="262">
        <v>0.0</v>
      </c>
      <c r="M111" s="262">
        <v>0.0</v>
      </c>
      <c r="N111" s="262">
        <v>0.0</v>
      </c>
      <c r="O111" s="262">
        <v>0.0</v>
      </c>
      <c r="P111" s="262">
        <v>0.0</v>
      </c>
      <c r="Q111" s="262">
        <v>0.0</v>
      </c>
      <c r="R111" s="262">
        <v>0.0</v>
      </c>
      <c r="S111" s="262">
        <v>0.0</v>
      </c>
      <c r="T111" s="262">
        <v>0.0</v>
      </c>
      <c r="U111" s="262">
        <v>0.0</v>
      </c>
      <c r="V111" s="262">
        <v>0.0</v>
      </c>
      <c r="W111" s="262">
        <v>0.0</v>
      </c>
      <c r="X111" s="262">
        <v>0.0</v>
      </c>
      <c r="Y111" s="262">
        <v>0.0</v>
      </c>
      <c r="Z111" s="262">
        <v>0.0</v>
      </c>
      <c r="AA111" s="262">
        <v>0.0</v>
      </c>
      <c r="AB111" s="262">
        <v>0.0</v>
      </c>
      <c r="AC111" s="262">
        <v>0.0</v>
      </c>
      <c r="AD111" s="262">
        <v>0.0</v>
      </c>
      <c r="AE111" s="315">
        <v>0.0</v>
      </c>
      <c r="AF111" s="135">
        <f t="shared" ref="AF111:AF116" si="31">SUM(B111:AE111)</f>
        <v>0</v>
      </c>
    </row>
    <row r="112">
      <c r="A112" s="116" t="s">
        <v>256</v>
      </c>
      <c r="B112" s="262">
        <v>0.0</v>
      </c>
      <c r="C112" s="262">
        <v>0.0</v>
      </c>
      <c r="D112" s="262">
        <v>0.0</v>
      </c>
      <c r="E112" s="262">
        <v>0.0</v>
      </c>
      <c r="F112" s="262">
        <v>0.0</v>
      </c>
      <c r="G112" s="262">
        <v>0.0</v>
      </c>
      <c r="H112" s="262">
        <v>0.0</v>
      </c>
      <c r="I112" s="262">
        <v>0.0</v>
      </c>
      <c r="J112" s="262">
        <v>0.0</v>
      </c>
      <c r="K112" s="262">
        <v>0.0</v>
      </c>
      <c r="L112" s="262">
        <v>0.0</v>
      </c>
      <c r="M112" s="262">
        <v>0.0</v>
      </c>
      <c r="N112" s="262">
        <v>0.0</v>
      </c>
      <c r="O112" s="262">
        <v>0.0</v>
      </c>
      <c r="P112" s="262">
        <v>0.0</v>
      </c>
      <c r="Q112" s="262">
        <v>0.0</v>
      </c>
      <c r="R112" s="262">
        <v>0.0</v>
      </c>
      <c r="S112" s="262">
        <v>0.0</v>
      </c>
      <c r="T112" s="262">
        <v>0.0</v>
      </c>
      <c r="U112" s="262">
        <v>0.0</v>
      </c>
      <c r="V112" s="262">
        <v>0.0</v>
      </c>
      <c r="W112" s="262">
        <v>0.0</v>
      </c>
      <c r="X112" s="262">
        <v>0.0</v>
      </c>
      <c r="Y112" s="262">
        <v>0.0</v>
      </c>
      <c r="Z112" s="262">
        <v>0.0</v>
      </c>
      <c r="AA112" s="262">
        <v>0.0</v>
      </c>
      <c r="AB112" s="262">
        <v>0.0</v>
      </c>
      <c r="AC112" s="262">
        <v>0.0</v>
      </c>
      <c r="AD112" s="262">
        <v>0.0</v>
      </c>
      <c r="AE112" s="315">
        <v>0.0</v>
      </c>
      <c r="AF112" s="135">
        <f t="shared" si="31"/>
        <v>0</v>
      </c>
    </row>
    <row r="113">
      <c r="A113" s="116" t="s">
        <v>257</v>
      </c>
      <c r="B113" s="262">
        <v>0.0</v>
      </c>
      <c r="C113" s="262">
        <v>2.0</v>
      </c>
      <c r="D113" s="262">
        <v>3.0</v>
      </c>
      <c r="E113" s="262">
        <v>1.0</v>
      </c>
      <c r="F113" s="262">
        <v>0.0</v>
      </c>
      <c r="G113" s="262">
        <v>2.0</v>
      </c>
      <c r="H113" s="262">
        <v>0.0</v>
      </c>
      <c r="I113" s="262">
        <v>0.0</v>
      </c>
      <c r="J113" s="262">
        <v>3.0</v>
      </c>
      <c r="K113" s="262">
        <v>0.0</v>
      </c>
      <c r="L113" s="262">
        <v>0.0</v>
      </c>
      <c r="M113" s="262">
        <v>3.0</v>
      </c>
      <c r="N113" s="262">
        <v>0.0</v>
      </c>
      <c r="O113" s="262">
        <v>1.0</v>
      </c>
      <c r="P113" s="262">
        <v>0.0</v>
      </c>
      <c r="Q113" s="262">
        <v>0.0</v>
      </c>
      <c r="R113" s="262">
        <v>0.0</v>
      </c>
      <c r="S113" s="262">
        <v>0.0</v>
      </c>
      <c r="T113" s="262">
        <v>2.0</v>
      </c>
      <c r="U113" s="262">
        <v>0.0</v>
      </c>
      <c r="V113" s="262">
        <v>0.0</v>
      </c>
      <c r="W113" s="262">
        <v>1.0</v>
      </c>
      <c r="X113" s="262">
        <v>0.0</v>
      </c>
      <c r="Y113" s="262">
        <v>1.0</v>
      </c>
      <c r="Z113" s="262">
        <v>0.0</v>
      </c>
      <c r="AA113" s="262">
        <v>0.0</v>
      </c>
      <c r="AB113" s="262">
        <v>5.0</v>
      </c>
      <c r="AC113" s="262">
        <v>1.0</v>
      </c>
      <c r="AD113" s="262">
        <v>1.0</v>
      </c>
      <c r="AE113" s="315">
        <v>1.0</v>
      </c>
      <c r="AF113" s="135">
        <f t="shared" si="31"/>
        <v>27</v>
      </c>
    </row>
    <row r="114">
      <c r="A114" s="116" t="s">
        <v>259</v>
      </c>
      <c r="B114" s="262">
        <v>0.0</v>
      </c>
      <c r="C114" s="262">
        <v>0.0</v>
      </c>
      <c r="D114" s="262">
        <v>0.0</v>
      </c>
      <c r="E114" s="262">
        <v>0.0</v>
      </c>
      <c r="F114" s="262">
        <v>0.0</v>
      </c>
      <c r="G114" s="262">
        <v>0.0</v>
      </c>
      <c r="H114" s="262">
        <v>0.0</v>
      </c>
      <c r="I114" s="262">
        <v>0.0</v>
      </c>
      <c r="J114" s="262">
        <v>0.0</v>
      </c>
      <c r="K114" s="262">
        <v>0.0</v>
      </c>
      <c r="L114" s="262">
        <v>0.0</v>
      </c>
      <c r="M114" s="262">
        <v>0.0</v>
      </c>
      <c r="N114" s="262">
        <v>0.0</v>
      </c>
      <c r="O114" s="262">
        <v>0.0</v>
      </c>
      <c r="P114" s="262">
        <v>0.0</v>
      </c>
      <c r="Q114" s="262">
        <v>0.0</v>
      </c>
      <c r="R114" s="262">
        <v>0.0</v>
      </c>
      <c r="S114" s="262">
        <v>0.0</v>
      </c>
      <c r="T114" s="262">
        <v>0.0</v>
      </c>
      <c r="U114" s="262">
        <v>0.0</v>
      </c>
      <c r="V114" s="262">
        <v>0.0</v>
      </c>
      <c r="W114" s="262">
        <v>0.0</v>
      </c>
      <c r="X114" s="262">
        <v>0.0</v>
      </c>
      <c r="Y114" s="262">
        <v>0.0</v>
      </c>
      <c r="Z114" s="262">
        <v>0.0</v>
      </c>
      <c r="AA114" s="262">
        <v>0.0</v>
      </c>
      <c r="AB114" s="262">
        <v>0.0</v>
      </c>
      <c r="AC114" s="262">
        <v>0.0</v>
      </c>
      <c r="AD114" s="262">
        <v>0.0</v>
      </c>
      <c r="AE114" s="315">
        <v>0.0</v>
      </c>
      <c r="AF114" s="135">
        <f t="shared" si="31"/>
        <v>0</v>
      </c>
    </row>
    <row r="115">
      <c r="A115" s="271" t="s">
        <v>261</v>
      </c>
      <c r="B115" s="317">
        <f t="shared" ref="B115:AE115" si="32">B111+B112</f>
        <v>0</v>
      </c>
      <c r="C115" s="317">
        <f t="shared" si="32"/>
        <v>0</v>
      </c>
      <c r="D115" s="317">
        <f t="shared" si="32"/>
        <v>0</v>
      </c>
      <c r="E115" s="317">
        <f t="shared" si="32"/>
        <v>0</v>
      </c>
      <c r="F115" s="317">
        <f t="shared" si="32"/>
        <v>0</v>
      </c>
      <c r="G115" s="317">
        <f t="shared" si="32"/>
        <v>0</v>
      </c>
      <c r="H115" s="317">
        <f t="shared" si="32"/>
        <v>0</v>
      </c>
      <c r="I115" s="317">
        <f t="shared" si="32"/>
        <v>0</v>
      </c>
      <c r="J115" s="317">
        <f t="shared" si="32"/>
        <v>0</v>
      </c>
      <c r="K115" s="317">
        <f t="shared" si="32"/>
        <v>0</v>
      </c>
      <c r="L115" s="317">
        <f t="shared" si="32"/>
        <v>0</v>
      </c>
      <c r="M115" s="317">
        <f t="shared" si="32"/>
        <v>0</v>
      </c>
      <c r="N115" s="317">
        <f t="shared" si="32"/>
        <v>0</v>
      </c>
      <c r="O115" s="317">
        <f t="shared" si="32"/>
        <v>0</v>
      </c>
      <c r="P115" s="317">
        <f t="shared" si="32"/>
        <v>0</v>
      </c>
      <c r="Q115" s="317">
        <f t="shared" si="32"/>
        <v>0</v>
      </c>
      <c r="R115" s="317">
        <f t="shared" si="32"/>
        <v>0</v>
      </c>
      <c r="S115" s="317">
        <f t="shared" si="32"/>
        <v>0</v>
      </c>
      <c r="T115" s="317">
        <f t="shared" si="32"/>
        <v>0</v>
      </c>
      <c r="U115" s="317">
        <f t="shared" si="32"/>
        <v>0</v>
      </c>
      <c r="V115" s="317">
        <f t="shared" si="32"/>
        <v>0</v>
      </c>
      <c r="W115" s="317">
        <f t="shared" si="32"/>
        <v>0</v>
      </c>
      <c r="X115" s="317">
        <f t="shared" si="32"/>
        <v>0</v>
      </c>
      <c r="Y115" s="317">
        <f t="shared" si="32"/>
        <v>0</v>
      </c>
      <c r="Z115" s="317">
        <f t="shared" si="32"/>
        <v>0</v>
      </c>
      <c r="AA115" s="317">
        <f t="shared" si="32"/>
        <v>0</v>
      </c>
      <c r="AB115" s="317">
        <f t="shared" si="32"/>
        <v>0</v>
      </c>
      <c r="AC115" s="317">
        <f t="shared" si="32"/>
        <v>0</v>
      </c>
      <c r="AD115" s="317">
        <f t="shared" si="32"/>
        <v>0</v>
      </c>
      <c r="AE115" s="319">
        <f t="shared" si="32"/>
        <v>0</v>
      </c>
      <c r="AF115" s="135">
        <f t="shared" si="31"/>
        <v>0</v>
      </c>
    </row>
    <row r="116">
      <c r="A116" s="271" t="s">
        <v>263</v>
      </c>
      <c r="B116" s="317">
        <f t="shared" ref="B116:AE116" si="33">B113+B114</f>
        <v>0</v>
      </c>
      <c r="C116" s="317">
        <f t="shared" si="33"/>
        <v>2</v>
      </c>
      <c r="D116" s="317">
        <f t="shared" si="33"/>
        <v>3</v>
      </c>
      <c r="E116" s="317">
        <f t="shared" si="33"/>
        <v>1</v>
      </c>
      <c r="F116" s="317">
        <f t="shared" si="33"/>
        <v>0</v>
      </c>
      <c r="G116" s="317">
        <f t="shared" si="33"/>
        <v>2</v>
      </c>
      <c r="H116" s="317">
        <f t="shared" si="33"/>
        <v>0</v>
      </c>
      <c r="I116" s="317">
        <f t="shared" si="33"/>
        <v>0</v>
      </c>
      <c r="J116" s="317">
        <f t="shared" si="33"/>
        <v>3</v>
      </c>
      <c r="K116" s="317">
        <f t="shared" si="33"/>
        <v>0</v>
      </c>
      <c r="L116" s="317">
        <f t="shared" si="33"/>
        <v>0</v>
      </c>
      <c r="M116" s="317">
        <f t="shared" si="33"/>
        <v>3</v>
      </c>
      <c r="N116" s="317">
        <f t="shared" si="33"/>
        <v>0</v>
      </c>
      <c r="O116" s="317">
        <f t="shared" si="33"/>
        <v>1</v>
      </c>
      <c r="P116" s="317">
        <f t="shared" si="33"/>
        <v>0</v>
      </c>
      <c r="Q116" s="317">
        <f t="shared" si="33"/>
        <v>0</v>
      </c>
      <c r="R116" s="317">
        <f t="shared" si="33"/>
        <v>0</v>
      </c>
      <c r="S116" s="317">
        <f t="shared" si="33"/>
        <v>0</v>
      </c>
      <c r="T116" s="317">
        <f t="shared" si="33"/>
        <v>2</v>
      </c>
      <c r="U116" s="317">
        <f t="shared" si="33"/>
        <v>0</v>
      </c>
      <c r="V116" s="317">
        <f t="shared" si="33"/>
        <v>0</v>
      </c>
      <c r="W116" s="317">
        <f t="shared" si="33"/>
        <v>1</v>
      </c>
      <c r="X116" s="317">
        <f t="shared" si="33"/>
        <v>0</v>
      </c>
      <c r="Y116" s="317">
        <f t="shared" si="33"/>
        <v>1</v>
      </c>
      <c r="Z116" s="317">
        <f t="shared" si="33"/>
        <v>0</v>
      </c>
      <c r="AA116" s="317">
        <f t="shared" si="33"/>
        <v>0</v>
      </c>
      <c r="AB116" s="317">
        <f t="shared" si="33"/>
        <v>5</v>
      </c>
      <c r="AC116" s="317">
        <f t="shared" si="33"/>
        <v>1</v>
      </c>
      <c r="AD116" s="317">
        <f t="shared" si="33"/>
        <v>1</v>
      </c>
      <c r="AE116" s="319">
        <f t="shared" si="33"/>
        <v>1</v>
      </c>
      <c r="AF116" s="135">
        <f t="shared" si="31"/>
        <v>27</v>
      </c>
    </row>
    <row r="117">
      <c r="A117" s="24"/>
      <c r="B117" s="138"/>
      <c r="C117" s="138"/>
      <c r="D117" s="138"/>
      <c r="E117" s="138"/>
      <c r="F117" s="138"/>
      <c r="G117" s="138"/>
      <c r="H117" s="138"/>
      <c r="I117" s="17"/>
      <c r="J117" s="17"/>
      <c r="K117" s="17"/>
      <c r="L117" s="17"/>
      <c r="M117" s="17"/>
      <c r="N117" s="17"/>
      <c r="O117" s="17"/>
      <c r="P117" s="17"/>
      <c r="Q117" s="17"/>
      <c r="R117" s="17"/>
      <c r="S117" s="17"/>
      <c r="T117" s="17"/>
      <c r="U117" s="17"/>
      <c r="V117" s="17"/>
      <c r="W117" s="17"/>
      <c r="X117" s="17"/>
      <c r="Y117" s="17"/>
      <c r="Z117" s="17"/>
      <c r="AA117" s="17"/>
      <c r="AB117" s="17"/>
      <c r="AC117" s="17"/>
      <c r="AD117" s="17"/>
      <c r="AE117" s="24"/>
      <c r="AF117" s="165"/>
    </row>
    <row r="118">
      <c r="A118" s="116" t="s">
        <v>266</v>
      </c>
      <c r="B118" s="262">
        <v>0.0</v>
      </c>
      <c r="C118" s="262">
        <v>0.0</v>
      </c>
      <c r="D118" s="262">
        <v>0.0</v>
      </c>
      <c r="E118" s="262">
        <v>0.0</v>
      </c>
      <c r="F118" s="262">
        <v>0.0</v>
      </c>
      <c r="G118" s="262">
        <v>0.0</v>
      </c>
      <c r="H118" s="262">
        <v>0.0</v>
      </c>
      <c r="I118" s="262">
        <v>0.0</v>
      </c>
      <c r="J118" s="262">
        <v>0.0</v>
      </c>
      <c r="K118" s="262">
        <v>0.0</v>
      </c>
      <c r="L118" s="262">
        <v>0.0</v>
      </c>
      <c r="M118" s="262">
        <v>0.0</v>
      </c>
      <c r="N118" s="262">
        <v>0.0</v>
      </c>
      <c r="O118" s="262">
        <v>0.0</v>
      </c>
      <c r="P118" s="262">
        <v>0.0</v>
      </c>
      <c r="Q118" s="262">
        <v>0.0</v>
      </c>
      <c r="R118" s="262">
        <v>0.0</v>
      </c>
      <c r="S118" s="262">
        <v>0.0</v>
      </c>
      <c r="T118" s="262">
        <v>0.0</v>
      </c>
      <c r="U118" s="262">
        <v>0.0</v>
      </c>
      <c r="V118" s="262">
        <v>0.0</v>
      </c>
      <c r="W118" s="262">
        <v>0.0</v>
      </c>
      <c r="X118" s="262">
        <v>0.0</v>
      </c>
      <c r="Y118" s="262">
        <v>0.0</v>
      </c>
      <c r="Z118" s="262">
        <v>0.0</v>
      </c>
      <c r="AA118" s="262">
        <v>0.0</v>
      </c>
      <c r="AB118" s="262">
        <v>0.0</v>
      </c>
      <c r="AC118" s="262">
        <v>0.0</v>
      </c>
      <c r="AD118" s="262">
        <v>0.0</v>
      </c>
      <c r="AE118" s="315">
        <v>0.0</v>
      </c>
      <c r="AF118" s="135">
        <f t="shared" ref="AF118:AF126" si="34">SUM(B118:AE118)</f>
        <v>0</v>
      </c>
    </row>
    <row r="119">
      <c r="A119" s="116" t="s">
        <v>267</v>
      </c>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4"/>
      <c r="AF119" s="135">
        <f t="shared" si="34"/>
        <v>0</v>
      </c>
    </row>
    <row r="120">
      <c r="A120" s="116" t="s">
        <v>268</v>
      </c>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4"/>
      <c r="AF120" s="135">
        <f t="shared" si="34"/>
        <v>0</v>
      </c>
    </row>
    <row r="121">
      <c r="A121" s="116" t="s">
        <v>269</v>
      </c>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4"/>
      <c r="AF121" s="135">
        <f t="shared" si="34"/>
        <v>0</v>
      </c>
    </row>
    <row r="122">
      <c r="A122" s="116" t="s">
        <v>270</v>
      </c>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c r="AE122" s="134"/>
      <c r="AF122" s="135">
        <f t="shared" si="34"/>
        <v>0</v>
      </c>
    </row>
    <row r="123">
      <c r="A123" s="116" t="s">
        <v>271</v>
      </c>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c r="AD123" s="132"/>
      <c r="AE123" s="134"/>
      <c r="AF123" s="135">
        <f t="shared" si="34"/>
        <v>0</v>
      </c>
    </row>
    <row r="124">
      <c r="A124" s="116" t="s">
        <v>273</v>
      </c>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c r="AD124" s="132"/>
      <c r="AE124" s="134"/>
      <c r="AF124" s="135">
        <f t="shared" si="34"/>
        <v>0</v>
      </c>
    </row>
    <row r="125">
      <c r="A125" s="116" t="s">
        <v>275</v>
      </c>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4"/>
      <c r="AF125" s="135">
        <f t="shared" si="34"/>
        <v>0</v>
      </c>
    </row>
    <row r="126">
      <c r="A126" s="271" t="s">
        <v>159</v>
      </c>
      <c r="B126" s="317">
        <f t="shared" ref="B126:AE126" si="35">SUM(B118:B125)</f>
        <v>0</v>
      </c>
      <c r="C126" s="317">
        <f t="shared" si="35"/>
        <v>0</v>
      </c>
      <c r="D126" s="317">
        <f t="shared" si="35"/>
        <v>0</v>
      </c>
      <c r="E126" s="317">
        <f t="shared" si="35"/>
        <v>0</v>
      </c>
      <c r="F126" s="317">
        <f t="shared" si="35"/>
        <v>0</v>
      </c>
      <c r="G126" s="317">
        <f t="shared" si="35"/>
        <v>0</v>
      </c>
      <c r="H126" s="317">
        <f t="shared" si="35"/>
        <v>0</v>
      </c>
      <c r="I126" s="317">
        <f t="shared" si="35"/>
        <v>0</v>
      </c>
      <c r="J126" s="317">
        <f t="shared" si="35"/>
        <v>0</v>
      </c>
      <c r="K126" s="317">
        <f t="shared" si="35"/>
        <v>0</v>
      </c>
      <c r="L126" s="317">
        <f t="shared" si="35"/>
        <v>0</v>
      </c>
      <c r="M126" s="317">
        <f t="shared" si="35"/>
        <v>0</v>
      </c>
      <c r="N126" s="317">
        <f t="shared" si="35"/>
        <v>0</v>
      </c>
      <c r="O126" s="317">
        <f t="shared" si="35"/>
        <v>0</v>
      </c>
      <c r="P126" s="317">
        <f t="shared" si="35"/>
        <v>0</v>
      </c>
      <c r="Q126" s="317">
        <f t="shared" si="35"/>
        <v>0</v>
      </c>
      <c r="R126" s="317">
        <f t="shared" si="35"/>
        <v>0</v>
      </c>
      <c r="S126" s="317">
        <f t="shared" si="35"/>
        <v>0</v>
      </c>
      <c r="T126" s="317">
        <f t="shared" si="35"/>
        <v>0</v>
      </c>
      <c r="U126" s="317">
        <f t="shared" si="35"/>
        <v>0</v>
      </c>
      <c r="V126" s="317">
        <f t="shared" si="35"/>
        <v>0</v>
      </c>
      <c r="W126" s="317">
        <f t="shared" si="35"/>
        <v>0</v>
      </c>
      <c r="X126" s="317">
        <f t="shared" si="35"/>
        <v>0</v>
      </c>
      <c r="Y126" s="317">
        <f t="shared" si="35"/>
        <v>0</v>
      </c>
      <c r="Z126" s="317">
        <f t="shared" si="35"/>
        <v>0</v>
      </c>
      <c r="AA126" s="317">
        <f t="shared" si="35"/>
        <v>0</v>
      </c>
      <c r="AB126" s="317">
        <f t="shared" si="35"/>
        <v>0</v>
      </c>
      <c r="AC126" s="317">
        <f t="shared" si="35"/>
        <v>0</v>
      </c>
      <c r="AD126" s="317">
        <f t="shared" si="35"/>
        <v>0</v>
      </c>
      <c r="AE126" s="319">
        <f t="shared" si="35"/>
        <v>0</v>
      </c>
      <c r="AF126" s="135">
        <f t="shared" si="34"/>
        <v>0</v>
      </c>
    </row>
    <row r="127">
      <c r="A127" s="24"/>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24"/>
      <c r="AF127" s="11"/>
    </row>
    <row r="128">
      <c r="A128" s="73" t="s">
        <v>277</v>
      </c>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327"/>
      <c r="AF128" s="11"/>
    </row>
    <row r="129">
      <c r="A129" s="116" t="s">
        <v>280</v>
      </c>
      <c r="B129" s="262">
        <v>0.0</v>
      </c>
      <c r="C129" s="262">
        <v>0.0</v>
      </c>
      <c r="D129" s="262">
        <v>0.0</v>
      </c>
      <c r="E129" s="262">
        <v>0.0</v>
      </c>
      <c r="F129" s="262">
        <v>0.0</v>
      </c>
      <c r="G129" s="262">
        <v>0.0</v>
      </c>
      <c r="H129" s="262">
        <v>0.0</v>
      </c>
      <c r="I129" s="262">
        <v>0.0</v>
      </c>
      <c r="J129" s="262">
        <v>0.0</v>
      </c>
      <c r="K129" s="262">
        <v>0.0</v>
      </c>
      <c r="L129" s="262">
        <v>0.0</v>
      </c>
      <c r="M129" s="262">
        <v>0.0</v>
      </c>
      <c r="N129" s="262">
        <v>0.0</v>
      </c>
      <c r="O129" s="262">
        <v>0.0</v>
      </c>
      <c r="P129" s="262">
        <v>0.0</v>
      </c>
      <c r="Q129" s="262">
        <v>0.0</v>
      </c>
      <c r="R129" s="262">
        <v>0.0</v>
      </c>
      <c r="S129" s="262">
        <v>0.0</v>
      </c>
      <c r="T129" s="262">
        <v>0.0</v>
      </c>
      <c r="U129" s="262">
        <v>0.0</v>
      </c>
      <c r="V129" s="262">
        <v>0.0</v>
      </c>
      <c r="W129" s="262">
        <v>0.0</v>
      </c>
      <c r="X129" s="262">
        <v>0.0</v>
      </c>
      <c r="Y129" s="262">
        <v>0.0</v>
      </c>
      <c r="Z129" s="262">
        <v>0.0</v>
      </c>
      <c r="AA129" s="262">
        <v>0.0</v>
      </c>
      <c r="AB129" s="262">
        <v>0.0</v>
      </c>
      <c r="AC129" s="262">
        <v>0.0</v>
      </c>
      <c r="AD129" s="262">
        <v>0.0</v>
      </c>
      <c r="AE129" s="315">
        <v>0.0</v>
      </c>
      <c r="AF129" s="135">
        <f t="shared" ref="AF129:AF134" si="36">SUM(B129:AE129)</f>
        <v>0</v>
      </c>
    </row>
    <row r="130">
      <c r="A130" s="116" t="s">
        <v>283</v>
      </c>
      <c r="B130" s="262">
        <v>0.0</v>
      </c>
      <c r="C130" s="262">
        <v>0.0</v>
      </c>
      <c r="D130" s="262">
        <v>0.0</v>
      </c>
      <c r="E130" s="262">
        <v>0.0</v>
      </c>
      <c r="F130" s="262">
        <v>0.0</v>
      </c>
      <c r="G130" s="262">
        <v>0.0</v>
      </c>
      <c r="H130" s="262">
        <v>0.0</v>
      </c>
      <c r="I130" s="262">
        <v>0.0</v>
      </c>
      <c r="J130" s="262">
        <v>0.0</v>
      </c>
      <c r="K130" s="262">
        <v>0.0</v>
      </c>
      <c r="L130" s="262">
        <v>0.0</v>
      </c>
      <c r="M130" s="262">
        <v>0.0</v>
      </c>
      <c r="N130" s="262">
        <v>0.0</v>
      </c>
      <c r="O130" s="262">
        <v>0.0</v>
      </c>
      <c r="P130" s="262">
        <v>0.0</v>
      </c>
      <c r="Q130" s="262">
        <v>0.0</v>
      </c>
      <c r="R130" s="262">
        <v>0.0</v>
      </c>
      <c r="S130" s="262">
        <v>0.0</v>
      </c>
      <c r="T130" s="262">
        <v>0.0</v>
      </c>
      <c r="U130" s="262">
        <v>0.0</v>
      </c>
      <c r="V130" s="262">
        <v>0.0</v>
      </c>
      <c r="W130" s="262">
        <v>0.0</v>
      </c>
      <c r="X130" s="262">
        <v>0.0</v>
      </c>
      <c r="Y130" s="262">
        <v>0.0</v>
      </c>
      <c r="Z130" s="262">
        <v>0.0</v>
      </c>
      <c r="AA130" s="262">
        <v>0.0</v>
      </c>
      <c r="AB130" s="262">
        <v>0.0</v>
      </c>
      <c r="AC130" s="262">
        <v>0.0</v>
      </c>
      <c r="AD130" s="262">
        <v>0.0</v>
      </c>
      <c r="AE130" s="315">
        <v>0.0</v>
      </c>
      <c r="AF130" s="135">
        <f t="shared" si="36"/>
        <v>0</v>
      </c>
    </row>
    <row r="131">
      <c r="A131" s="116" t="s">
        <v>284</v>
      </c>
      <c r="B131" s="262">
        <v>0.0</v>
      </c>
      <c r="C131" s="262">
        <v>0.0</v>
      </c>
      <c r="D131" s="262">
        <v>0.0</v>
      </c>
      <c r="E131" s="262">
        <v>2.0</v>
      </c>
      <c r="F131" s="104">
        <v>2.0</v>
      </c>
      <c r="G131" s="262">
        <v>1.0</v>
      </c>
      <c r="H131" s="262">
        <v>0.0</v>
      </c>
      <c r="I131" s="262">
        <v>1.0</v>
      </c>
      <c r="J131" s="262">
        <v>4.0</v>
      </c>
      <c r="K131" s="262">
        <v>1.0</v>
      </c>
      <c r="L131" s="262">
        <v>0.0</v>
      </c>
      <c r="M131" s="262">
        <v>4.0</v>
      </c>
      <c r="N131" s="262">
        <v>1.0</v>
      </c>
      <c r="O131" s="262">
        <v>0.0</v>
      </c>
      <c r="P131" s="262">
        <v>1.0</v>
      </c>
      <c r="Q131" s="262">
        <v>4.0</v>
      </c>
      <c r="R131" s="262">
        <v>1.0</v>
      </c>
      <c r="S131" s="262">
        <v>0.0</v>
      </c>
      <c r="T131" s="262">
        <v>0.0</v>
      </c>
      <c r="U131" s="262">
        <v>1.0</v>
      </c>
      <c r="V131" s="262">
        <v>5.0</v>
      </c>
      <c r="W131" s="262">
        <v>3.0</v>
      </c>
      <c r="X131" s="262">
        <v>2.0</v>
      </c>
      <c r="Y131" s="262">
        <v>3.0</v>
      </c>
      <c r="Z131" s="262">
        <v>2.0</v>
      </c>
      <c r="AA131" s="262">
        <v>0.0</v>
      </c>
      <c r="AB131" s="262">
        <v>2.0</v>
      </c>
      <c r="AC131" s="262">
        <v>1.0</v>
      </c>
      <c r="AD131" s="262">
        <v>1.0</v>
      </c>
      <c r="AE131" s="315">
        <v>0.0</v>
      </c>
      <c r="AF131" s="135">
        <f t="shared" si="36"/>
        <v>42</v>
      </c>
    </row>
    <row r="132">
      <c r="A132" s="116" t="s">
        <v>287</v>
      </c>
      <c r="B132" s="262">
        <v>0.0</v>
      </c>
      <c r="C132" s="262">
        <v>0.0</v>
      </c>
      <c r="D132" s="262">
        <v>0.0</v>
      </c>
      <c r="E132" s="262">
        <v>0.0</v>
      </c>
      <c r="F132" s="262">
        <v>0.0</v>
      </c>
      <c r="G132" s="262">
        <v>0.0</v>
      </c>
      <c r="H132" s="262">
        <v>0.0</v>
      </c>
      <c r="I132" s="262">
        <v>0.0</v>
      </c>
      <c r="J132" s="262">
        <v>0.0</v>
      </c>
      <c r="K132" s="262">
        <v>0.0</v>
      </c>
      <c r="L132" s="262">
        <v>0.0</v>
      </c>
      <c r="M132" s="262">
        <v>0.0</v>
      </c>
      <c r="N132" s="262">
        <v>0.0</v>
      </c>
      <c r="O132" s="262">
        <v>0.0</v>
      </c>
      <c r="P132" s="262">
        <v>0.0</v>
      </c>
      <c r="Q132" s="262">
        <v>0.0</v>
      </c>
      <c r="R132" s="262">
        <v>0.0</v>
      </c>
      <c r="S132" s="262">
        <v>0.0</v>
      </c>
      <c r="T132" s="262">
        <v>0.0</v>
      </c>
      <c r="U132" s="262">
        <v>0.0</v>
      </c>
      <c r="V132" s="262">
        <v>0.0</v>
      </c>
      <c r="W132" s="262">
        <v>0.0</v>
      </c>
      <c r="X132" s="262">
        <v>0.0</v>
      </c>
      <c r="Y132" s="262">
        <v>0.0</v>
      </c>
      <c r="Z132" s="262">
        <v>0.0</v>
      </c>
      <c r="AA132" s="262">
        <v>0.0</v>
      </c>
      <c r="AB132" s="262">
        <v>0.0</v>
      </c>
      <c r="AC132" s="262">
        <v>0.0</v>
      </c>
      <c r="AD132" s="262">
        <v>0.0</v>
      </c>
      <c r="AE132" s="315">
        <v>0.0</v>
      </c>
      <c r="AF132" s="135">
        <f t="shared" si="36"/>
        <v>0</v>
      </c>
    </row>
    <row r="133">
      <c r="A133" s="271" t="s">
        <v>261</v>
      </c>
      <c r="B133" s="317">
        <f t="shared" ref="B133:AE133" si="37">B129+B130</f>
        <v>0</v>
      </c>
      <c r="C133" s="317">
        <f t="shared" si="37"/>
        <v>0</v>
      </c>
      <c r="D133" s="317">
        <f t="shared" si="37"/>
        <v>0</v>
      </c>
      <c r="E133" s="317">
        <f t="shared" si="37"/>
        <v>0</v>
      </c>
      <c r="F133" s="317">
        <f t="shared" si="37"/>
        <v>0</v>
      </c>
      <c r="G133" s="317">
        <f t="shared" si="37"/>
        <v>0</v>
      </c>
      <c r="H133" s="317">
        <f t="shared" si="37"/>
        <v>0</v>
      </c>
      <c r="I133" s="317">
        <f t="shared" si="37"/>
        <v>0</v>
      </c>
      <c r="J133" s="317">
        <f t="shared" si="37"/>
        <v>0</v>
      </c>
      <c r="K133" s="317">
        <f t="shared" si="37"/>
        <v>0</v>
      </c>
      <c r="L133" s="317">
        <f t="shared" si="37"/>
        <v>0</v>
      </c>
      <c r="M133" s="317">
        <f t="shared" si="37"/>
        <v>0</v>
      </c>
      <c r="N133" s="317">
        <f t="shared" si="37"/>
        <v>0</v>
      </c>
      <c r="O133" s="317">
        <f t="shared" si="37"/>
        <v>0</v>
      </c>
      <c r="P133" s="317">
        <f t="shared" si="37"/>
        <v>0</v>
      </c>
      <c r="Q133" s="317">
        <f t="shared" si="37"/>
        <v>0</v>
      </c>
      <c r="R133" s="317">
        <f t="shared" si="37"/>
        <v>0</v>
      </c>
      <c r="S133" s="317">
        <f t="shared" si="37"/>
        <v>0</v>
      </c>
      <c r="T133" s="317">
        <f t="shared" si="37"/>
        <v>0</v>
      </c>
      <c r="U133" s="317">
        <f t="shared" si="37"/>
        <v>0</v>
      </c>
      <c r="V133" s="317">
        <f t="shared" si="37"/>
        <v>0</v>
      </c>
      <c r="W133" s="317">
        <f t="shared" si="37"/>
        <v>0</v>
      </c>
      <c r="X133" s="317">
        <f t="shared" si="37"/>
        <v>0</v>
      </c>
      <c r="Y133" s="317">
        <f t="shared" si="37"/>
        <v>0</v>
      </c>
      <c r="Z133" s="317">
        <f t="shared" si="37"/>
        <v>0</v>
      </c>
      <c r="AA133" s="317">
        <f t="shared" si="37"/>
        <v>0</v>
      </c>
      <c r="AB133" s="317">
        <f t="shared" si="37"/>
        <v>0</v>
      </c>
      <c r="AC133" s="317">
        <f t="shared" si="37"/>
        <v>0</v>
      </c>
      <c r="AD133" s="317">
        <f t="shared" si="37"/>
        <v>0</v>
      </c>
      <c r="AE133" s="319">
        <f t="shared" si="37"/>
        <v>0</v>
      </c>
      <c r="AF133" s="135">
        <f t="shared" si="36"/>
        <v>0</v>
      </c>
    </row>
    <row r="134">
      <c r="A134" s="271" t="s">
        <v>263</v>
      </c>
      <c r="B134" s="317">
        <f t="shared" ref="B134:AE134" si="38">B131+B132</f>
        <v>0</v>
      </c>
      <c r="C134" s="317">
        <f t="shared" si="38"/>
        <v>0</v>
      </c>
      <c r="D134" s="317">
        <f t="shared" si="38"/>
        <v>0</v>
      </c>
      <c r="E134" s="317">
        <f t="shared" si="38"/>
        <v>2</v>
      </c>
      <c r="F134" s="317">
        <f t="shared" si="38"/>
        <v>2</v>
      </c>
      <c r="G134" s="317">
        <f t="shared" si="38"/>
        <v>1</v>
      </c>
      <c r="H134" s="317">
        <f t="shared" si="38"/>
        <v>0</v>
      </c>
      <c r="I134" s="317">
        <f t="shared" si="38"/>
        <v>1</v>
      </c>
      <c r="J134" s="317">
        <f t="shared" si="38"/>
        <v>4</v>
      </c>
      <c r="K134" s="317">
        <f t="shared" si="38"/>
        <v>1</v>
      </c>
      <c r="L134" s="317">
        <f t="shared" si="38"/>
        <v>0</v>
      </c>
      <c r="M134" s="317">
        <f t="shared" si="38"/>
        <v>4</v>
      </c>
      <c r="N134" s="317">
        <f t="shared" si="38"/>
        <v>1</v>
      </c>
      <c r="O134" s="317">
        <f t="shared" si="38"/>
        <v>0</v>
      </c>
      <c r="P134" s="317">
        <f t="shared" si="38"/>
        <v>1</v>
      </c>
      <c r="Q134" s="317">
        <f t="shared" si="38"/>
        <v>4</v>
      </c>
      <c r="R134" s="317">
        <f t="shared" si="38"/>
        <v>1</v>
      </c>
      <c r="S134" s="317">
        <f t="shared" si="38"/>
        <v>0</v>
      </c>
      <c r="T134" s="317">
        <f t="shared" si="38"/>
        <v>0</v>
      </c>
      <c r="U134" s="317">
        <f t="shared" si="38"/>
        <v>1</v>
      </c>
      <c r="V134" s="317">
        <f t="shared" si="38"/>
        <v>5</v>
      </c>
      <c r="W134" s="317">
        <f t="shared" si="38"/>
        <v>3</v>
      </c>
      <c r="X134" s="317">
        <f t="shared" si="38"/>
        <v>2</v>
      </c>
      <c r="Y134" s="317">
        <f t="shared" si="38"/>
        <v>3</v>
      </c>
      <c r="Z134" s="317">
        <f t="shared" si="38"/>
        <v>2</v>
      </c>
      <c r="AA134" s="317">
        <f t="shared" si="38"/>
        <v>0</v>
      </c>
      <c r="AB134" s="317">
        <f t="shared" si="38"/>
        <v>2</v>
      </c>
      <c r="AC134" s="317">
        <f t="shared" si="38"/>
        <v>1</v>
      </c>
      <c r="AD134" s="317">
        <f t="shared" si="38"/>
        <v>1</v>
      </c>
      <c r="AE134" s="319">
        <f t="shared" si="38"/>
        <v>0</v>
      </c>
      <c r="AF134" s="135">
        <f t="shared" si="36"/>
        <v>42</v>
      </c>
    </row>
    <row r="135">
      <c r="A135" s="24"/>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24"/>
      <c r="AF135" s="11"/>
    </row>
    <row r="136">
      <c r="A136" s="116" t="s">
        <v>266</v>
      </c>
      <c r="B136" s="262">
        <v>0.0</v>
      </c>
      <c r="C136" s="262">
        <v>0.0</v>
      </c>
      <c r="D136" s="262">
        <v>0.0</v>
      </c>
      <c r="E136" s="262">
        <v>0.0</v>
      </c>
      <c r="F136" s="262">
        <v>0.0</v>
      </c>
      <c r="G136" s="262">
        <v>0.0</v>
      </c>
      <c r="H136" s="262">
        <v>0.0</v>
      </c>
      <c r="I136" s="262">
        <v>0.0</v>
      </c>
      <c r="J136" s="262">
        <v>0.0</v>
      </c>
      <c r="K136" s="262">
        <v>0.0</v>
      </c>
      <c r="L136" s="262">
        <v>0.0</v>
      </c>
      <c r="M136" s="262">
        <v>0.0</v>
      </c>
      <c r="N136" s="262">
        <v>0.0</v>
      </c>
      <c r="O136" s="262">
        <v>0.0</v>
      </c>
      <c r="P136" s="262">
        <v>0.0</v>
      </c>
      <c r="Q136" s="262">
        <v>0.0</v>
      </c>
      <c r="R136" s="262">
        <v>0.0</v>
      </c>
      <c r="S136" s="262">
        <v>0.0</v>
      </c>
      <c r="T136" s="262">
        <v>0.0</v>
      </c>
      <c r="U136" s="262">
        <v>0.0</v>
      </c>
      <c r="V136" s="262">
        <v>0.0</v>
      </c>
      <c r="W136" s="262">
        <v>0.0</v>
      </c>
      <c r="X136" s="262">
        <v>0.0</v>
      </c>
      <c r="Y136" s="262">
        <v>0.0</v>
      </c>
      <c r="Z136" s="262">
        <v>0.0</v>
      </c>
      <c r="AA136" s="262">
        <v>0.0</v>
      </c>
      <c r="AB136" s="262">
        <v>0.0</v>
      </c>
      <c r="AC136" s="262">
        <v>0.0</v>
      </c>
      <c r="AD136" s="262">
        <v>0.0</v>
      </c>
      <c r="AE136" s="315">
        <v>0.0</v>
      </c>
      <c r="AF136" s="135">
        <f t="shared" ref="AF136:AF144" si="39">SUM(B136:AE136)</f>
        <v>0</v>
      </c>
    </row>
    <row r="137">
      <c r="A137" s="116" t="s">
        <v>267</v>
      </c>
      <c r="B137" s="262">
        <v>0.0</v>
      </c>
      <c r="C137" s="262">
        <v>0.0</v>
      </c>
      <c r="D137" s="262">
        <v>0.0</v>
      </c>
      <c r="E137" s="262">
        <v>0.0</v>
      </c>
      <c r="F137" s="262">
        <v>0.0</v>
      </c>
      <c r="G137" s="262">
        <v>0.0</v>
      </c>
      <c r="H137" s="262">
        <v>0.0</v>
      </c>
      <c r="I137" s="262">
        <v>0.0</v>
      </c>
      <c r="J137" s="262">
        <v>0.0</v>
      </c>
      <c r="K137" s="262">
        <v>0.0</v>
      </c>
      <c r="L137" s="262">
        <v>0.0</v>
      </c>
      <c r="M137" s="262">
        <v>0.0</v>
      </c>
      <c r="N137" s="262">
        <v>0.0</v>
      </c>
      <c r="O137" s="262">
        <v>0.0</v>
      </c>
      <c r="P137" s="262">
        <v>0.0</v>
      </c>
      <c r="Q137" s="262">
        <v>0.0</v>
      </c>
      <c r="R137" s="262">
        <v>0.0</v>
      </c>
      <c r="S137" s="262">
        <v>0.0</v>
      </c>
      <c r="T137" s="262">
        <v>0.0</v>
      </c>
      <c r="U137" s="262">
        <v>0.0</v>
      </c>
      <c r="V137" s="262">
        <v>0.0</v>
      </c>
      <c r="W137" s="262">
        <v>0.0</v>
      </c>
      <c r="X137" s="262">
        <v>0.0</v>
      </c>
      <c r="Y137" s="262">
        <v>0.0</v>
      </c>
      <c r="Z137" s="262">
        <v>0.0</v>
      </c>
      <c r="AA137" s="262">
        <v>0.0</v>
      </c>
      <c r="AB137" s="262">
        <v>0.0</v>
      </c>
      <c r="AC137" s="262">
        <v>0.0</v>
      </c>
      <c r="AD137" s="262">
        <v>0.0</v>
      </c>
      <c r="AE137" s="315">
        <v>0.0</v>
      </c>
      <c r="AF137" s="135">
        <f t="shared" si="39"/>
        <v>0</v>
      </c>
    </row>
    <row r="138">
      <c r="A138" s="116" t="s">
        <v>294</v>
      </c>
      <c r="B138" s="262">
        <v>0.0</v>
      </c>
      <c r="C138" s="262">
        <v>0.0</v>
      </c>
      <c r="D138" s="262">
        <v>0.0</v>
      </c>
      <c r="E138" s="262">
        <v>0.0</v>
      </c>
      <c r="F138" s="262">
        <v>0.0</v>
      </c>
      <c r="G138" s="262">
        <v>0.0</v>
      </c>
      <c r="H138" s="262">
        <v>0.0</v>
      </c>
      <c r="I138" s="262">
        <v>0.0</v>
      </c>
      <c r="J138" s="262">
        <v>0.0</v>
      </c>
      <c r="K138" s="262">
        <v>0.0</v>
      </c>
      <c r="L138" s="262">
        <v>0.0</v>
      </c>
      <c r="M138" s="262">
        <v>0.0</v>
      </c>
      <c r="N138" s="262">
        <v>0.0</v>
      </c>
      <c r="O138" s="262">
        <v>0.0</v>
      </c>
      <c r="P138" s="262">
        <v>0.0</v>
      </c>
      <c r="Q138" s="262">
        <v>0.0</v>
      </c>
      <c r="R138" s="262">
        <v>0.0</v>
      </c>
      <c r="S138" s="262">
        <v>0.0</v>
      </c>
      <c r="T138" s="262">
        <v>0.0</v>
      </c>
      <c r="U138" s="262">
        <v>0.0</v>
      </c>
      <c r="V138" s="262">
        <v>0.0</v>
      </c>
      <c r="W138" s="262">
        <v>0.0</v>
      </c>
      <c r="X138" s="262">
        <v>0.0</v>
      </c>
      <c r="Y138" s="262">
        <v>0.0</v>
      </c>
      <c r="Z138" s="262">
        <v>0.0</v>
      </c>
      <c r="AA138" s="262">
        <v>0.0</v>
      </c>
      <c r="AB138" s="262">
        <v>0.0</v>
      </c>
      <c r="AC138" s="262">
        <v>0.0</v>
      </c>
      <c r="AD138" s="262">
        <v>0.0</v>
      </c>
      <c r="AE138" s="315">
        <v>0.0</v>
      </c>
      <c r="AF138" s="135">
        <f t="shared" si="39"/>
        <v>0</v>
      </c>
    </row>
    <row r="139">
      <c r="A139" s="116" t="s">
        <v>296</v>
      </c>
      <c r="B139" s="262">
        <v>0.0</v>
      </c>
      <c r="C139" s="262">
        <v>0.0</v>
      </c>
      <c r="D139" s="262">
        <v>0.0</v>
      </c>
      <c r="E139" s="262">
        <v>0.0</v>
      </c>
      <c r="F139" s="262">
        <v>0.0</v>
      </c>
      <c r="G139" s="262">
        <v>0.0</v>
      </c>
      <c r="H139" s="262">
        <v>0.0</v>
      </c>
      <c r="I139" s="262">
        <v>0.0</v>
      </c>
      <c r="J139" s="262">
        <v>0.0</v>
      </c>
      <c r="K139" s="262">
        <v>0.0</v>
      </c>
      <c r="L139" s="262">
        <v>0.0</v>
      </c>
      <c r="M139" s="262">
        <v>0.0</v>
      </c>
      <c r="N139" s="262">
        <v>0.0</v>
      </c>
      <c r="O139" s="262">
        <v>0.0</v>
      </c>
      <c r="P139" s="262">
        <v>0.0</v>
      </c>
      <c r="Q139" s="262">
        <v>0.0</v>
      </c>
      <c r="R139" s="262">
        <v>0.0</v>
      </c>
      <c r="S139" s="262">
        <v>0.0</v>
      </c>
      <c r="T139" s="262">
        <v>0.0</v>
      </c>
      <c r="U139" s="262">
        <v>0.0</v>
      </c>
      <c r="V139" s="262">
        <v>0.0</v>
      </c>
      <c r="W139" s="262">
        <v>0.0</v>
      </c>
      <c r="X139" s="262">
        <v>0.0</v>
      </c>
      <c r="Y139" s="262">
        <v>0.0</v>
      </c>
      <c r="Z139" s="262">
        <v>0.0</v>
      </c>
      <c r="AA139" s="262">
        <v>0.0</v>
      </c>
      <c r="AB139" s="262">
        <v>0.0</v>
      </c>
      <c r="AC139" s="262">
        <v>0.0</v>
      </c>
      <c r="AD139" s="262">
        <v>0.0</v>
      </c>
      <c r="AE139" s="315">
        <v>0.0</v>
      </c>
      <c r="AF139" s="135">
        <f t="shared" si="39"/>
        <v>0</v>
      </c>
    </row>
    <row r="140">
      <c r="A140" s="116" t="s">
        <v>298</v>
      </c>
      <c r="B140" s="262">
        <v>0.0</v>
      </c>
      <c r="C140" s="262">
        <v>0.0</v>
      </c>
      <c r="D140" s="262">
        <v>0.0</v>
      </c>
      <c r="E140" s="262">
        <v>0.0</v>
      </c>
      <c r="F140" s="262">
        <v>0.0</v>
      </c>
      <c r="G140" s="262">
        <v>0.0</v>
      </c>
      <c r="H140" s="262">
        <v>0.0</v>
      </c>
      <c r="I140" s="262">
        <v>0.0</v>
      </c>
      <c r="J140" s="262">
        <v>0.0</v>
      </c>
      <c r="K140" s="262">
        <v>0.0</v>
      </c>
      <c r="L140" s="262">
        <v>0.0</v>
      </c>
      <c r="M140" s="262">
        <v>0.0</v>
      </c>
      <c r="N140" s="262">
        <v>0.0</v>
      </c>
      <c r="O140" s="262">
        <v>0.0</v>
      </c>
      <c r="P140" s="262">
        <v>0.0</v>
      </c>
      <c r="Q140" s="262">
        <v>0.0</v>
      </c>
      <c r="R140" s="262">
        <v>0.0</v>
      </c>
      <c r="S140" s="262">
        <v>0.0</v>
      </c>
      <c r="T140" s="262">
        <v>0.0</v>
      </c>
      <c r="U140" s="262">
        <v>0.0</v>
      </c>
      <c r="V140" s="262">
        <v>0.0</v>
      </c>
      <c r="W140" s="262">
        <v>0.0</v>
      </c>
      <c r="X140" s="262">
        <v>0.0</v>
      </c>
      <c r="Y140" s="262">
        <v>0.0</v>
      </c>
      <c r="Z140" s="262">
        <v>0.0</v>
      </c>
      <c r="AA140" s="262">
        <v>0.0</v>
      </c>
      <c r="AB140" s="262">
        <v>0.0</v>
      </c>
      <c r="AC140" s="262">
        <v>0.0</v>
      </c>
      <c r="AD140" s="262">
        <v>0.0</v>
      </c>
      <c r="AE140" s="315">
        <v>0.0</v>
      </c>
      <c r="AF140" s="135">
        <f t="shared" si="39"/>
        <v>0</v>
      </c>
    </row>
    <row r="141">
      <c r="A141" s="116" t="s">
        <v>300</v>
      </c>
      <c r="B141" s="262">
        <v>0.0</v>
      </c>
      <c r="C141" s="262">
        <v>0.0</v>
      </c>
      <c r="D141" s="262">
        <v>0.0</v>
      </c>
      <c r="E141" s="262">
        <v>0.0</v>
      </c>
      <c r="F141" s="262">
        <v>0.0</v>
      </c>
      <c r="G141" s="262">
        <v>0.0</v>
      </c>
      <c r="H141" s="262">
        <v>0.0</v>
      </c>
      <c r="I141" s="262">
        <v>0.0</v>
      </c>
      <c r="J141" s="262">
        <v>0.0</v>
      </c>
      <c r="K141" s="262">
        <v>0.0</v>
      </c>
      <c r="L141" s="262">
        <v>0.0</v>
      </c>
      <c r="M141" s="262">
        <v>0.0</v>
      </c>
      <c r="N141" s="262">
        <v>0.0</v>
      </c>
      <c r="O141" s="262">
        <v>0.0</v>
      </c>
      <c r="P141" s="262">
        <v>0.0</v>
      </c>
      <c r="Q141" s="262">
        <v>0.0</v>
      </c>
      <c r="R141" s="262">
        <v>0.0</v>
      </c>
      <c r="S141" s="262">
        <v>0.0</v>
      </c>
      <c r="T141" s="262">
        <v>0.0</v>
      </c>
      <c r="U141" s="262">
        <v>0.0</v>
      </c>
      <c r="V141" s="262">
        <v>0.0</v>
      </c>
      <c r="W141" s="262">
        <v>0.0</v>
      </c>
      <c r="X141" s="262">
        <v>0.0</v>
      </c>
      <c r="Y141" s="262">
        <v>0.0</v>
      </c>
      <c r="Z141" s="262">
        <v>0.0</v>
      </c>
      <c r="AA141" s="262">
        <v>0.0</v>
      </c>
      <c r="AB141" s="262">
        <v>0.0</v>
      </c>
      <c r="AC141" s="262">
        <v>0.0</v>
      </c>
      <c r="AD141" s="262">
        <v>0.0</v>
      </c>
      <c r="AE141" s="315">
        <v>0.0</v>
      </c>
      <c r="AF141" s="135">
        <f t="shared" si="39"/>
        <v>0</v>
      </c>
    </row>
    <row r="142">
      <c r="A142" s="116" t="s">
        <v>302</v>
      </c>
      <c r="B142" s="262">
        <v>0.0</v>
      </c>
      <c r="C142" s="262">
        <v>0.0</v>
      </c>
      <c r="D142" s="262">
        <v>0.0</v>
      </c>
      <c r="E142" s="262">
        <v>0.0</v>
      </c>
      <c r="F142" s="262">
        <v>0.0</v>
      </c>
      <c r="G142" s="262">
        <v>0.0</v>
      </c>
      <c r="H142" s="262">
        <v>0.0</v>
      </c>
      <c r="I142" s="262">
        <v>0.0</v>
      </c>
      <c r="J142" s="262">
        <v>0.0</v>
      </c>
      <c r="K142" s="262">
        <v>0.0</v>
      </c>
      <c r="L142" s="262">
        <v>0.0</v>
      </c>
      <c r="M142" s="262">
        <v>0.0</v>
      </c>
      <c r="N142" s="262">
        <v>0.0</v>
      </c>
      <c r="O142" s="262">
        <v>0.0</v>
      </c>
      <c r="P142" s="262">
        <v>0.0</v>
      </c>
      <c r="Q142" s="262">
        <v>0.0</v>
      </c>
      <c r="R142" s="262">
        <v>0.0</v>
      </c>
      <c r="S142" s="262">
        <v>0.0</v>
      </c>
      <c r="T142" s="262">
        <v>0.0</v>
      </c>
      <c r="U142" s="262">
        <v>0.0</v>
      </c>
      <c r="V142" s="262">
        <v>0.0</v>
      </c>
      <c r="W142" s="262">
        <v>0.0</v>
      </c>
      <c r="X142" s="262">
        <v>0.0</v>
      </c>
      <c r="Y142" s="262">
        <v>0.0</v>
      </c>
      <c r="Z142" s="262">
        <v>0.0</v>
      </c>
      <c r="AA142" s="262">
        <v>0.0</v>
      </c>
      <c r="AB142" s="262">
        <v>0.0</v>
      </c>
      <c r="AC142" s="262">
        <v>0.0</v>
      </c>
      <c r="AD142" s="262">
        <v>0.0</v>
      </c>
      <c r="AE142" s="315">
        <v>0.0</v>
      </c>
      <c r="AF142" s="135">
        <f t="shared" si="39"/>
        <v>0</v>
      </c>
    </row>
    <row r="143">
      <c r="A143" s="116" t="s">
        <v>304</v>
      </c>
      <c r="B143" s="262">
        <v>0.0</v>
      </c>
      <c r="C143" s="262">
        <v>0.0</v>
      </c>
      <c r="D143" s="262">
        <v>0.0</v>
      </c>
      <c r="E143" s="262">
        <v>0.0</v>
      </c>
      <c r="F143" s="262">
        <v>0.0</v>
      </c>
      <c r="G143" s="262">
        <v>0.0</v>
      </c>
      <c r="H143" s="262">
        <v>0.0</v>
      </c>
      <c r="I143" s="262">
        <v>0.0</v>
      </c>
      <c r="J143" s="262">
        <v>0.0</v>
      </c>
      <c r="K143" s="262">
        <v>0.0</v>
      </c>
      <c r="L143" s="262">
        <v>0.0</v>
      </c>
      <c r="M143" s="262">
        <v>0.0</v>
      </c>
      <c r="N143" s="262">
        <v>0.0</v>
      </c>
      <c r="O143" s="262">
        <v>0.0</v>
      </c>
      <c r="P143" s="262">
        <v>0.0</v>
      </c>
      <c r="Q143" s="262">
        <v>0.0</v>
      </c>
      <c r="R143" s="262">
        <v>0.0</v>
      </c>
      <c r="S143" s="262">
        <v>0.0</v>
      </c>
      <c r="T143" s="262">
        <v>0.0</v>
      </c>
      <c r="U143" s="262">
        <v>0.0</v>
      </c>
      <c r="V143" s="262">
        <v>0.0</v>
      </c>
      <c r="W143" s="262">
        <v>0.0</v>
      </c>
      <c r="X143" s="262">
        <v>0.0</v>
      </c>
      <c r="Y143" s="262">
        <v>0.0</v>
      </c>
      <c r="Z143" s="262">
        <v>0.0</v>
      </c>
      <c r="AA143" s="262">
        <v>0.0</v>
      </c>
      <c r="AB143" s="262">
        <v>0.0</v>
      </c>
      <c r="AC143" s="262">
        <v>0.0</v>
      </c>
      <c r="AD143" s="262">
        <v>0.0</v>
      </c>
      <c r="AE143" s="315">
        <v>0.0</v>
      </c>
      <c r="AF143" s="135">
        <f t="shared" si="39"/>
        <v>0</v>
      </c>
    </row>
    <row r="144">
      <c r="A144" s="271" t="s">
        <v>159</v>
      </c>
      <c r="B144" s="317">
        <f t="shared" ref="B144:AE144" si="40">SUM(B136:B143)</f>
        <v>0</v>
      </c>
      <c r="C144" s="317">
        <f t="shared" si="40"/>
        <v>0</v>
      </c>
      <c r="D144" s="317">
        <f t="shared" si="40"/>
        <v>0</v>
      </c>
      <c r="E144" s="317">
        <f t="shared" si="40"/>
        <v>0</v>
      </c>
      <c r="F144" s="317">
        <f t="shared" si="40"/>
        <v>0</v>
      </c>
      <c r="G144" s="317">
        <f t="shared" si="40"/>
        <v>0</v>
      </c>
      <c r="H144" s="317">
        <f t="shared" si="40"/>
        <v>0</v>
      </c>
      <c r="I144" s="317">
        <f t="shared" si="40"/>
        <v>0</v>
      </c>
      <c r="J144" s="317">
        <f t="shared" si="40"/>
        <v>0</v>
      </c>
      <c r="K144" s="317">
        <f t="shared" si="40"/>
        <v>0</v>
      </c>
      <c r="L144" s="317">
        <f t="shared" si="40"/>
        <v>0</v>
      </c>
      <c r="M144" s="317">
        <f t="shared" si="40"/>
        <v>0</v>
      </c>
      <c r="N144" s="317">
        <f t="shared" si="40"/>
        <v>0</v>
      </c>
      <c r="O144" s="317">
        <f t="shared" si="40"/>
        <v>0</v>
      </c>
      <c r="P144" s="317">
        <f t="shared" si="40"/>
        <v>0</v>
      </c>
      <c r="Q144" s="317">
        <f t="shared" si="40"/>
        <v>0</v>
      </c>
      <c r="R144" s="317">
        <f t="shared" si="40"/>
        <v>0</v>
      </c>
      <c r="S144" s="317">
        <f t="shared" si="40"/>
        <v>0</v>
      </c>
      <c r="T144" s="317">
        <f t="shared" si="40"/>
        <v>0</v>
      </c>
      <c r="U144" s="317">
        <f t="shared" si="40"/>
        <v>0</v>
      </c>
      <c r="V144" s="317">
        <f t="shared" si="40"/>
        <v>0</v>
      </c>
      <c r="W144" s="317">
        <f t="shared" si="40"/>
        <v>0</v>
      </c>
      <c r="X144" s="317">
        <f t="shared" si="40"/>
        <v>0</v>
      </c>
      <c r="Y144" s="317">
        <f t="shared" si="40"/>
        <v>0</v>
      </c>
      <c r="Z144" s="317">
        <f t="shared" si="40"/>
        <v>0</v>
      </c>
      <c r="AA144" s="317">
        <f t="shared" si="40"/>
        <v>0</v>
      </c>
      <c r="AB144" s="317">
        <f t="shared" si="40"/>
        <v>0</v>
      </c>
      <c r="AC144" s="317">
        <f t="shared" si="40"/>
        <v>0</v>
      </c>
      <c r="AD144" s="317">
        <f t="shared" si="40"/>
        <v>0</v>
      </c>
      <c r="AE144" s="319">
        <f t="shared" si="40"/>
        <v>0</v>
      </c>
      <c r="AF144" s="135">
        <f t="shared" si="39"/>
        <v>0</v>
      </c>
    </row>
    <row r="145">
      <c r="A145" s="24"/>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24"/>
      <c r="AF145" s="11"/>
    </row>
    <row r="146">
      <c r="A146" s="24"/>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24"/>
      <c r="AF146" s="11"/>
    </row>
    <row r="147">
      <c r="A147" s="73" t="s">
        <v>306</v>
      </c>
      <c r="B147" s="138"/>
      <c r="C147" s="138"/>
      <c r="D147" s="138"/>
      <c r="E147" s="138"/>
      <c r="F147" s="138"/>
      <c r="G147" s="204"/>
      <c r="H147" s="138"/>
      <c r="I147" s="17"/>
      <c r="J147" s="17"/>
      <c r="K147" s="17"/>
      <c r="L147" s="17"/>
      <c r="M147" s="17"/>
      <c r="N147" s="17"/>
      <c r="O147" s="17"/>
      <c r="P147" s="17"/>
      <c r="Q147" s="17"/>
      <c r="R147" s="17"/>
      <c r="S147" s="17"/>
      <c r="T147" s="17"/>
      <c r="U147" s="17"/>
      <c r="V147" s="17"/>
      <c r="W147" s="17"/>
      <c r="X147" s="17"/>
      <c r="Y147" s="17"/>
      <c r="Z147" s="17"/>
      <c r="AA147" s="17"/>
      <c r="AB147" s="17"/>
      <c r="AC147" s="17"/>
      <c r="AD147" s="17"/>
      <c r="AE147" s="24"/>
      <c r="AF147" s="11"/>
    </row>
    <row r="148">
      <c r="A148" s="116" t="s">
        <v>308</v>
      </c>
      <c r="B148" s="124">
        <v>0.0</v>
      </c>
      <c r="C148" s="124">
        <v>279.0</v>
      </c>
      <c r="D148" s="124">
        <v>279.0</v>
      </c>
      <c r="E148" s="124">
        <v>279.0</v>
      </c>
      <c r="F148" s="124">
        <v>0.0</v>
      </c>
      <c r="G148" s="124">
        <v>279.0</v>
      </c>
      <c r="H148" s="124">
        <v>0.0</v>
      </c>
      <c r="I148" s="124">
        <v>0.0</v>
      </c>
      <c r="J148" s="124">
        <v>279.0</v>
      </c>
      <c r="K148" s="124">
        <v>0.0</v>
      </c>
      <c r="L148" s="124">
        <v>0.0</v>
      </c>
      <c r="M148" s="122">
        <f>3*279</f>
        <v>837</v>
      </c>
      <c r="N148" s="124">
        <v>0.0</v>
      </c>
      <c r="O148" s="124">
        <v>279.0</v>
      </c>
      <c r="P148" s="124">
        <v>0.0</v>
      </c>
      <c r="Q148" s="124">
        <v>0.0</v>
      </c>
      <c r="R148" s="124">
        <v>0.0</v>
      </c>
      <c r="S148" s="124">
        <v>0.0</v>
      </c>
      <c r="T148" s="122">
        <f>2*279</f>
        <v>558</v>
      </c>
      <c r="U148" s="124">
        <v>0.0</v>
      </c>
      <c r="V148" s="124">
        <v>0.0</v>
      </c>
      <c r="W148" s="124">
        <v>279.0</v>
      </c>
      <c r="X148" s="124">
        <v>0.0</v>
      </c>
      <c r="Y148" s="124">
        <v>279.0</v>
      </c>
      <c r="Z148" s="124">
        <v>0.0</v>
      </c>
      <c r="AA148" s="124">
        <v>0.0</v>
      </c>
      <c r="AB148" s="122">
        <f>5*279</f>
        <v>1395</v>
      </c>
      <c r="AC148" s="124">
        <v>279.0</v>
      </c>
      <c r="AD148" s="124">
        <v>279.0</v>
      </c>
      <c r="AE148" s="384">
        <v>279.0</v>
      </c>
      <c r="AF148" s="267">
        <f t="shared" ref="AF148:AF152" si="42">SUM(B148:AE148)</f>
        <v>5859</v>
      </c>
    </row>
    <row r="149">
      <c r="A149" s="116" t="s">
        <v>312</v>
      </c>
      <c r="B149" s="122">
        <f t="shared" ref="B149:AE149" si="41">0.29*(B115+B116+B126)</f>
        <v>0</v>
      </c>
      <c r="C149" s="122">
        <f t="shared" si="41"/>
        <v>0.58</v>
      </c>
      <c r="D149" s="122">
        <f t="shared" si="41"/>
        <v>0.87</v>
      </c>
      <c r="E149" s="122">
        <f t="shared" si="41"/>
        <v>0.29</v>
      </c>
      <c r="F149" s="122">
        <f t="shared" si="41"/>
        <v>0</v>
      </c>
      <c r="G149" s="122">
        <f t="shared" si="41"/>
        <v>0.58</v>
      </c>
      <c r="H149" s="122">
        <f t="shared" si="41"/>
        <v>0</v>
      </c>
      <c r="I149" s="122">
        <f t="shared" si="41"/>
        <v>0</v>
      </c>
      <c r="J149" s="122">
        <f t="shared" si="41"/>
        <v>0.87</v>
      </c>
      <c r="K149" s="122">
        <f t="shared" si="41"/>
        <v>0</v>
      </c>
      <c r="L149" s="122">
        <f t="shared" si="41"/>
        <v>0</v>
      </c>
      <c r="M149" s="122">
        <f t="shared" si="41"/>
        <v>0.87</v>
      </c>
      <c r="N149" s="122">
        <f t="shared" si="41"/>
        <v>0</v>
      </c>
      <c r="O149" s="122">
        <f t="shared" si="41"/>
        <v>0.29</v>
      </c>
      <c r="P149" s="122">
        <f t="shared" si="41"/>
        <v>0</v>
      </c>
      <c r="Q149" s="122">
        <f t="shared" si="41"/>
        <v>0</v>
      </c>
      <c r="R149" s="122">
        <f t="shared" si="41"/>
        <v>0</v>
      </c>
      <c r="S149" s="122">
        <f t="shared" si="41"/>
        <v>0</v>
      </c>
      <c r="T149" s="122">
        <f t="shared" si="41"/>
        <v>0.58</v>
      </c>
      <c r="U149" s="122">
        <f t="shared" si="41"/>
        <v>0</v>
      </c>
      <c r="V149" s="122">
        <f t="shared" si="41"/>
        <v>0</v>
      </c>
      <c r="W149" s="122">
        <f t="shared" si="41"/>
        <v>0.29</v>
      </c>
      <c r="X149" s="122">
        <f t="shared" si="41"/>
        <v>0</v>
      </c>
      <c r="Y149" s="122">
        <f t="shared" si="41"/>
        <v>0.29</v>
      </c>
      <c r="Z149" s="122">
        <f t="shared" si="41"/>
        <v>0</v>
      </c>
      <c r="AA149" s="122">
        <f t="shared" si="41"/>
        <v>0</v>
      </c>
      <c r="AB149" s="122">
        <f t="shared" si="41"/>
        <v>1.45</v>
      </c>
      <c r="AC149" s="122">
        <f t="shared" si="41"/>
        <v>0.29</v>
      </c>
      <c r="AD149" s="122">
        <f t="shared" si="41"/>
        <v>0.29</v>
      </c>
      <c r="AE149" s="328">
        <f t="shared" si="41"/>
        <v>0.29</v>
      </c>
      <c r="AF149" s="267">
        <f t="shared" si="42"/>
        <v>7.83</v>
      </c>
    </row>
    <row r="150">
      <c r="A150" s="116" t="s">
        <v>317</v>
      </c>
      <c r="B150" s="122">
        <f t="shared" ref="B150:AE150" si="43">17.58*(B115+B116)</f>
        <v>0</v>
      </c>
      <c r="C150" s="122">
        <f t="shared" si="43"/>
        <v>35.16</v>
      </c>
      <c r="D150" s="122">
        <f t="shared" si="43"/>
        <v>52.74</v>
      </c>
      <c r="E150" s="122">
        <f t="shared" si="43"/>
        <v>17.58</v>
      </c>
      <c r="F150" s="122">
        <f t="shared" si="43"/>
        <v>0</v>
      </c>
      <c r="G150" s="122">
        <f t="shared" si="43"/>
        <v>35.16</v>
      </c>
      <c r="H150" s="122">
        <f t="shared" si="43"/>
        <v>0</v>
      </c>
      <c r="I150" s="122">
        <f t="shared" si="43"/>
        <v>0</v>
      </c>
      <c r="J150" s="122">
        <f t="shared" si="43"/>
        <v>52.74</v>
      </c>
      <c r="K150" s="122">
        <f t="shared" si="43"/>
        <v>0</v>
      </c>
      <c r="L150" s="122">
        <f t="shared" si="43"/>
        <v>0</v>
      </c>
      <c r="M150" s="122">
        <f t="shared" si="43"/>
        <v>52.74</v>
      </c>
      <c r="N150" s="122">
        <f t="shared" si="43"/>
        <v>0</v>
      </c>
      <c r="O150" s="122">
        <f t="shared" si="43"/>
        <v>17.58</v>
      </c>
      <c r="P150" s="122">
        <f t="shared" si="43"/>
        <v>0</v>
      </c>
      <c r="Q150" s="122">
        <f t="shared" si="43"/>
        <v>0</v>
      </c>
      <c r="R150" s="122">
        <f t="shared" si="43"/>
        <v>0</v>
      </c>
      <c r="S150" s="122">
        <f t="shared" si="43"/>
        <v>0</v>
      </c>
      <c r="T150" s="122">
        <f t="shared" si="43"/>
        <v>35.16</v>
      </c>
      <c r="U150" s="122">
        <f t="shared" si="43"/>
        <v>0</v>
      </c>
      <c r="V150" s="122">
        <f t="shared" si="43"/>
        <v>0</v>
      </c>
      <c r="W150" s="122">
        <f t="shared" si="43"/>
        <v>17.58</v>
      </c>
      <c r="X150" s="122">
        <f t="shared" si="43"/>
        <v>0</v>
      </c>
      <c r="Y150" s="122">
        <f t="shared" si="43"/>
        <v>17.58</v>
      </c>
      <c r="Z150" s="122">
        <f t="shared" si="43"/>
        <v>0</v>
      </c>
      <c r="AA150" s="122">
        <f t="shared" si="43"/>
        <v>0</v>
      </c>
      <c r="AB150" s="122">
        <f t="shared" si="43"/>
        <v>87.9</v>
      </c>
      <c r="AC150" s="122">
        <f t="shared" si="43"/>
        <v>17.58</v>
      </c>
      <c r="AD150" s="122">
        <f t="shared" si="43"/>
        <v>17.58</v>
      </c>
      <c r="AE150" s="328">
        <f t="shared" si="43"/>
        <v>17.58</v>
      </c>
      <c r="AF150" s="267">
        <f t="shared" si="42"/>
        <v>474.66</v>
      </c>
    </row>
    <row r="151">
      <c r="A151" s="116" t="s">
        <v>321</v>
      </c>
      <c r="B151" s="122">
        <f t="shared" ref="B151:AE151" si="44">0.17*(B115+B116+B126)</f>
        <v>0</v>
      </c>
      <c r="C151" s="122">
        <f t="shared" si="44"/>
        <v>0.34</v>
      </c>
      <c r="D151" s="122">
        <f t="shared" si="44"/>
        <v>0.51</v>
      </c>
      <c r="E151" s="122">
        <f t="shared" si="44"/>
        <v>0.17</v>
      </c>
      <c r="F151" s="122">
        <f t="shared" si="44"/>
        <v>0</v>
      </c>
      <c r="G151" s="122">
        <f t="shared" si="44"/>
        <v>0.34</v>
      </c>
      <c r="H151" s="122">
        <f t="shared" si="44"/>
        <v>0</v>
      </c>
      <c r="I151" s="122">
        <f t="shared" si="44"/>
        <v>0</v>
      </c>
      <c r="J151" s="122">
        <f t="shared" si="44"/>
        <v>0.51</v>
      </c>
      <c r="K151" s="122">
        <f t="shared" si="44"/>
        <v>0</v>
      </c>
      <c r="L151" s="122">
        <f t="shared" si="44"/>
        <v>0</v>
      </c>
      <c r="M151" s="122">
        <f t="shared" si="44"/>
        <v>0.51</v>
      </c>
      <c r="N151" s="122">
        <f t="shared" si="44"/>
        <v>0</v>
      </c>
      <c r="O151" s="122">
        <f t="shared" si="44"/>
        <v>0.17</v>
      </c>
      <c r="P151" s="122">
        <f t="shared" si="44"/>
        <v>0</v>
      </c>
      <c r="Q151" s="122">
        <f t="shared" si="44"/>
        <v>0</v>
      </c>
      <c r="R151" s="122">
        <f t="shared" si="44"/>
        <v>0</v>
      </c>
      <c r="S151" s="122">
        <f t="shared" si="44"/>
        <v>0</v>
      </c>
      <c r="T151" s="122">
        <f t="shared" si="44"/>
        <v>0.34</v>
      </c>
      <c r="U151" s="122">
        <f t="shared" si="44"/>
        <v>0</v>
      </c>
      <c r="V151" s="122">
        <f t="shared" si="44"/>
        <v>0</v>
      </c>
      <c r="W151" s="122">
        <f t="shared" si="44"/>
        <v>0.17</v>
      </c>
      <c r="X151" s="122">
        <f t="shared" si="44"/>
        <v>0</v>
      </c>
      <c r="Y151" s="122">
        <f t="shared" si="44"/>
        <v>0.17</v>
      </c>
      <c r="Z151" s="122">
        <f t="shared" si="44"/>
        <v>0</v>
      </c>
      <c r="AA151" s="122">
        <f t="shared" si="44"/>
        <v>0</v>
      </c>
      <c r="AB151" s="122">
        <f t="shared" si="44"/>
        <v>0.85</v>
      </c>
      <c r="AC151" s="122">
        <f t="shared" si="44"/>
        <v>0.17</v>
      </c>
      <c r="AD151" s="122">
        <f t="shared" si="44"/>
        <v>0.17</v>
      </c>
      <c r="AE151" s="328">
        <f t="shared" si="44"/>
        <v>0.17</v>
      </c>
      <c r="AF151" s="267">
        <f t="shared" si="42"/>
        <v>4.59</v>
      </c>
    </row>
    <row r="152">
      <c r="A152" s="410" t="s">
        <v>324</v>
      </c>
      <c r="B152" s="411">
        <f t="shared" ref="B152:AE152" si="45">B148+B149+B150</f>
        <v>0</v>
      </c>
      <c r="C152" s="411">
        <f t="shared" si="45"/>
        <v>314.74</v>
      </c>
      <c r="D152" s="411">
        <f t="shared" si="45"/>
        <v>332.61</v>
      </c>
      <c r="E152" s="411">
        <f t="shared" si="45"/>
        <v>296.87</v>
      </c>
      <c r="F152" s="411">
        <f t="shared" si="45"/>
        <v>0</v>
      </c>
      <c r="G152" s="411">
        <f t="shared" si="45"/>
        <v>314.74</v>
      </c>
      <c r="H152" s="411">
        <f t="shared" si="45"/>
        <v>0</v>
      </c>
      <c r="I152" s="411">
        <f t="shared" si="45"/>
        <v>0</v>
      </c>
      <c r="J152" s="411">
        <f t="shared" si="45"/>
        <v>332.61</v>
      </c>
      <c r="K152" s="411">
        <f t="shared" si="45"/>
        <v>0</v>
      </c>
      <c r="L152" s="411">
        <f t="shared" si="45"/>
        <v>0</v>
      </c>
      <c r="M152" s="411">
        <f t="shared" si="45"/>
        <v>890.61</v>
      </c>
      <c r="N152" s="411">
        <f t="shared" si="45"/>
        <v>0</v>
      </c>
      <c r="O152" s="411">
        <f t="shared" si="45"/>
        <v>296.87</v>
      </c>
      <c r="P152" s="411">
        <f t="shared" si="45"/>
        <v>0</v>
      </c>
      <c r="Q152" s="411">
        <f t="shared" si="45"/>
        <v>0</v>
      </c>
      <c r="R152" s="411">
        <f t="shared" si="45"/>
        <v>0</v>
      </c>
      <c r="S152" s="411">
        <f t="shared" si="45"/>
        <v>0</v>
      </c>
      <c r="T152" s="411">
        <f t="shared" si="45"/>
        <v>593.74</v>
      </c>
      <c r="U152" s="411">
        <f t="shared" si="45"/>
        <v>0</v>
      </c>
      <c r="V152" s="411">
        <f t="shared" si="45"/>
        <v>0</v>
      </c>
      <c r="W152" s="411">
        <f t="shared" si="45"/>
        <v>296.87</v>
      </c>
      <c r="X152" s="411">
        <f t="shared" si="45"/>
        <v>0</v>
      </c>
      <c r="Y152" s="411">
        <f t="shared" si="45"/>
        <v>296.87</v>
      </c>
      <c r="Z152" s="411">
        <f t="shared" si="45"/>
        <v>0</v>
      </c>
      <c r="AA152" s="411">
        <f t="shared" si="45"/>
        <v>0</v>
      </c>
      <c r="AB152" s="411">
        <f t="shared" si="45"/>
        <v>1484.35</v>
      </c>
      <c r="AC152" s="411">
        <f t="shared" si="45"/>
        <v>296.87</v>
      </c>
      <c r="AD152" s="411">
        <f t="shared" si="45"/>
        <v>296.87</v>
      </c>
      <c r="AE152" s="414">
        <f t="shared" si="45"/>
        <v>296.87</v>
      </c>
      <c r="AF152" s="267">
        <f t="shared" si="42"/>
        <v>6341.49</v>
      </c>
    </row>
    <row r="153">
      <c r="A153" s="24"/>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24"/>
      <c r="AF153" s="11"/>
    </row>
    <row r="154">
      <c r="A154" s="73" t="s">
        <v>329</v>
      </c>
      <c r="B154" s="17"/>
      <c r="C154" s="17"/>
      <c r="D154" s="17"/>
      <c r="E154" s="17"/>
      <c r="F154" s="17"/>
      <c r="G154" s="17"/>
      <c r="H154" s="17"/>
      <c r="I154" s="204"/>
      <c r="J154" s="17"/>
      <c r="K154" s="17"/>
      <c r="L154" s="17"/>
      <c r="M154" s="17"/>
      <c r="N154" s="17"/>
      <c r="O154" s="17"/>
      <c r="P154" s="17"/>
      <c r="Q154" s="17"/>
      <c r="R154" s="17"/>
      <c r="S154" s="17"/>
      <c r="T154" s="17"/>
      <c r="U154" s="17"/>
      <c r="V154" s="17"/>
      <c r="W154" s="17"/>
      <c r="X154" s="17"/>
      <c r="Y154" s="17"/>
      <c r="Z154" s="17"/>
      <c r="AA154" s="17"/>
      <c r="AB154" s="17"/>
      <c r="AC154" s="17"/>
      <c r="AD154" s="17"/>
      <c r="AE154" s="24"/>
      <c r="AF154" s="11"/>
    </row>
    <row r="155">
      <c r="A155" s="116" t="s">
        <v>330</v>
      </c>
      <c r="B155" s="124">
        <v>484.3</v>
      </c>
      <c r="C155" s="124">
        <v>471.55</v>
      </c>
      <c r="D155" s="124">
        <v>0.0</v>
      </c>
      <c r="E155" s="124">
        <v>0.0</v>
      </c>
      <c r="F155" s="124">
        <v>0.0</v>
      </c>
      <c r="G155" s="124">
        <v>458.8</v>
      </c>
      <c r="H155" s="124">
        <v>471.55</v>
      </c>
      <c r="I155" s="124">
        <v>229.4</v>
      </c>
      <c r="J155" s="124">
        <v>458.8</v>
      </c>
      <c r="K155" s="124">
        <v>229.4</v>
      </c>
      <c r="L155" s="124">
        <v>229.4</v>
      </c>
      <c r="M155" s="124">
        <v>0.0</v>
      </c>
      <c r="N155" s="124">
        <v>229.4</v>
      </c>
      <c r="O155" s="124">
        <v>229.4</v>
      </c>
      <c r="P155" s="124">
        <v>521.15</v>
      </c>
      <c r="Q155" s="124">
        <v>521.15</v>
      </c>
      <c r="R155" s="124">
        <v>242.15</v>
      </c>
      <c r="S155" s="124">
        <v>279.0</v>
      </c>
      <c r="T155" s="124">
        <v>279.0</v>
      </c>
      <c r="U155" s="124">
        <v>763.3</v>
      </c>
      <c r="V155" s="124">
        <v>713.7</v>
      </c>
      <c r="W155" s="124">
        <v>992.7</v>
      </c>
      <c r="X155" s="124">
        <v>471.55</v>
      </c>
      <c r="Y155" s="124">
        <v>229.4</v>
      </c>
      <c r="Z155" s="124">
        <v>471.55</v>
      </c>
      <c r="AA155" s="124">
        <v>242.15</v>
      </c>
      <c r="AB155" s="124">
        <v>279.0</v>
      </c>
      <c r="AC155" s="124">
        <v>713.7</v>
      </c>
      <c r="AD155" s="124">
        <v>0.0</v>
      </c>
      <c r="AE155" s="384">
        <v>0.0</v>
      </c>
      <c r="AF155" s="267">
        <f t="shared" ref="AF155:AF159" si="46">SUM(B155:AE155)</f>
        <v>10211.5</v>
      </c>
    </row>
    <row r="156">
      <c r="A156" s="116" t="s">
        <v>333</v>
      </c>
      <c r="B156" s="124">
        <v>0.0</v>
      </c>
      <c r="C156" s="124">
        <v>0.0</v>
      </c>
      <c r="D156" s="124">
        <v>0.0</v>
      </c>
      <c r="E156" s="124">
        <v>0.0</v>
      </c>
      <c r="F156" s="124">
        <v>0.0</v>
      </c>
      <c r="G156" s="124">
        <v>0.0</v>
      </c>
      <c r="H156" s="124">
        <v>0.0</v>
      </c>
      <c r="I156" s="124">
        <v>0.0</v>
      </c>
      <c r="J156" s="124">
        <v>0.0</v>
      </c>
      <c r="K156" s="124">
        <v>0.0</v>
      </c>
      <c r="L156" s="124">
        <v>0.0</v>
      </c>
      <c r="M156" s="124">
        <v>0.0</v>
      </c>
      <c r="N156" s="124">
        <v>0.0</v>
      </c>
      <c r="O156" s="124">
        <v>0.0</v>
      </c>
      <c r="P156" s="124">
        <v>0.0</v>
      </c>
      <c r="Q156" s="124">
        <v>0.0</v>
      </c>
      <c r="R156" s="124">
        <v>0.0</v>
      </c>
      <c r="S156" s="124">
        <v>0.0</v>
      </c>
      <c r="T156" s="124">
        <v>0.0</v>
      </c>
      <c r="U156" s="124">
        <v>0.0</v>
      </c>
      <c r="V156" s="124">
        <v>0.0</v>
      </c>
      <c r="W156" s="124">
        <v>0.0</v>
      </c>
      <c r="X156" s="124">
        <v>0.0</v>
      </c>
      <c r="Y156" s="124">
        <v>0.0</v>
      </c>
      <c r="Z156" s="124">
        <v>0.0</v>
      </c>
      <c r="AA156" s="124">
        <v>0.0</v>
      </c>
      <c r="AB156" s="124">
        <v>0.0</v>
      </c>
      <c r="AC156" s="124">
        <v>0.0</v>
      </c>
      <c r="AD156" s="124">
        <v>0.0</v>
      </c>
      <c r="AE156" s="384">
        <v>0.0</v>
      </c>
      <c r="AF156" s="267">
        <f t="shared" si="46"/>
        <v>0</v>
      </c>
    </row>
    <row r="157">
      <c r="A157" s="116" t="s">
        <v>336</v>
      </c>
      <c r="B157" s="124">
        <v>0.0</v>
      </c>
      <c r="C157" s="124">
        <v>0.0</v>
      </c>
      <c r="D157" s="124">
        <v>0.0</v>
      </c>
      <c r="E157" s="124">
        <v>0.0</v>
      </c>
      <c r="F157" s="124">
        <v>0.0</v>
      </c>
      <c r="G157" s="124">
        <v>0.0</v>
      </c>
      <c r="H157" s="124">
        <v>0.0</v>
      </c>
      <c r="I157" s="124">
        <v>0.0</v>
      </c>
      <c r="J157" s="124">
        <v>0.0</v>
      </c>
      <c r="K157" s="124">
        <v>0.0</v>
      </c>
      <c r="L157" s="124">
        <v>0.0</v>
      </c>
      <c r="M157" s="124">
        <v>0.0</v>
      </c>
      <c r="N157" s="124">
        <v>0.0</v>
      </c>
      <c r="O157" s="124">
        <v>0.0</v>
      </c>
      <c r="P157" s="124">
        <v>0.0</v>
      </c>
      <c r="Q157" s="124">
        <v>0.0</v>
      </c>
      <c r="R157" s="124">
        <v>0.0</v>
      </c>
      <c r="S157" s="124">
        <v>0.0</v>
      </c>
      <c r="T157" s="124">
        <v>0.0</v>
      </c>
      <c r="U157" s="124">
        <v>0.0</v>
      </c>
      <c r="V157" s="124">
        <v>0.0</v>
      </c>
      <c r="W157" s="124">
        <v>0.0</v>
      </c>
      <c r="X157" s="124">
        <v>0.0</v>
      </c>
      <c r="Y157" s="124">
        <v>0.0</v>
      </c>
      <c r="Z157" s="124">
        <v>0.0</v>
      </c>
      <c r="AA157" s="124">
        <v>0.0</v>
      </c>
      <c r="AB157" s="124">
        <v>0.0</v>
      </c>
      <c r="AC157" s="124">
        <v>0.0</v>
      </c>
      <c r="AD157" s="124">
        <v>0.0</v>
      </c>
      <c r="AE157" s="384">
        <v>0.0</v>
      </c>
      <c r="AF157" s="267">
        <f t="shared" si="46"/>
        <v>0</v>
      </c>
    </row>
    <row r="158">
      <c r="A158" s="116" t="s">
        <v>338</v>
      </c>
      <c r="B158" s="124">
        <v>0.0</v>
      </c>
      <c r="C158" s="124">
        <v>0.0</v>
      </c>
      <c r="D158" s="124">
        <v>0.0</v>
      </c>
      <c r="E158" s="124">
        <v>0.0</v>
      </c>
      <c r="F158" s="124">
        <v>0.0</v>
      </c>
      <c r="G158" s="124">
        <v>0.0</v>
      </c>
      <c r="H158" s="124">
        <v>0.0</v>
      </c>
      <c r="I158" s="124">
        <v>0.0</v>
      </c>
      <c r="J158" s="124">
        <v>0.0</v>
      </c>
      <c r="K158" s="124">
        <v>0.0</v>
      </c>
      <c r="L158" s="124">
        <v>0.0</v>
      </c>
      <c r="M158" s="124">
        <v>0.0</v>
      </c>
      <c r="N158" s="124">
        <v>0.0</v>
      </c>
      <c r="O158" s="124">
        <v>0.0</v>
      </c>
      <c r="P158" s="124">
        <v>0.0</v>
      </c>
      <c r="Q158" s="124">
        <v>0.0</v>
      </c>
      <c r="R158" s="124">
        <v>0.0</v>
      </c>
      <c r="S158" s="124">
        <v>0.0</v>
      </c>
      <c r="T158" s="124">
        <v>0.0</v>
      </c>
      <c r="U158" s="124">
        <v>0.0</v>
      </c>
      <c r="V158" s="124">
        <v>0.0</v>
      </c>
      <c r="W158" s="124">
        <v>0.0</v>
      </c>
      <c r="X158" s="124">
        <v>0.0</v>
      </c>
      <c r="Y158" s="124">
        <v>0.0</v>
      </c>
      <c r="Z158" s="124">
        <v>0.0</v>
      </c>
      <c r="AA158" s="124">
        <v>0.0</v>
      </c>
      <c r="AB158" s="124">
        <v>0.0</v>
      </c>
      <c r="AC158" s="124">
        <v>0.0</v>
      </c>
      <c r="AD158" s="124">
        <v>0.0</v>
      </c>
      <c r="AE158" s="384">
        <v>0.0</v>
      </c>
      <c r="AF158" s="267">
        <f t="shared" si="46"/>
        <v>0</v>
      </c>
    </row>
    <row r="159">
      <c r="A159" s="410" t="s">
        <v>340</v>
      </c>
      <c r="B159" s="411">
        <f>sum(B155:B158)</f>
        <v>484.3</v>
      </c>
      <c r="C159" s="411">
        <f t="shared" ref="C159:H159" si="47">sum(C155:C157)</f>
        <v>471.55</v>
      </c>
      <c r="D159" s="411">
        <f t="shared" si="47"/>
        <v>0</v>
      </c>
      <c r="E159" s="411">
        <f t="shared" si="47"/>
        <v>0</v>
      </c>
      <c r="F159" s="411">
        <f t="shared" si="47"/>
        <v>0</v>
      </c>
      <c r="G159" s="411">
        <f t="shared" si="47"/>
        <v>458.8</v>
      </c>
      <c r="H159" s="411">
        <f t="shared" si="47"/>
        <v>471.55</v>
      </c>
      <c r="I159" s="411">
        <f>sum(I154:I157)</f>
        <v>229.4</v>
      </c>
      <c r="J159" s="411">
        <f t="shared" ref="J159:AE159" si="48">sum(J155:J157)</f>
        <v>458.8</v>
      </c>
      <c r="K159" s="411">
        <f t="shared" si="48"/>
        <v>229.4</v>
      </c>
      <c r="L159" s="411">
        <f t="shared" si="48"/>
        <v>229.4</v>
      </c>
      <c r="M159" s="411">
        <f t="shared" si="48"/>
        <v>0</v>
      </c>
      <c r="N159" s="411">
        <f t="shared" si="48"/>
        <v>229.4</v>
      </c>
      <c r="O159" s="411">
        <f t="shared" si="48"/>
        <v>229.4</v>
      </c>
      <c r="P159" s="411">
        <f t="shared" si="48"/>
        <v>521.15</v>
      </c>
      <c r="Q159" s="411">
        <f t="shared" si="48"/>
        <v>521.15</v>
      </c>
      <c r="R159" s="411">
        <f t="shared" si="48"/>
        <v>242.15</v>
      </c>
      <c r="S159" s="411">
        <f t="shared" si="48"/>
        <v>279</v>
      </c>
      <c r="T159" s="411">
        <f t="shared" si="48"/>
        <v>279</v>
      </c>
      <c r="U159" s="411">
        <f t="shared" si="48"/>
        <v>763.3</v>
      </c>
      <c r="V159" s="411">
        <f t="shared" si="48"/>
        <v>713.7</v>
      </c>
      <c r="W159" s="411">
        <f t="shared" si="48"/>
        <v>992.7</v>
      </c>
      <c r="X159" s="411">
        <f t="shared" si="48"/>
        <v>471.55</v>
      </c>
      <c r="Y159" s="411">
        <f t="shared" si="48"/>
        <v>229.4</v>
      </c>
      <c r="Z159" s="411">
        <f t="shared" si="48"/>
        <v>471.55</v>
      </c>
      <c r="AA159" s="411">
        <f t="shared" si="48"/>
        <v>242.15</v>
      </c>
      <c r="AB159" s="411">
        <f t="shared" si="48"/>
        <v>279</v>
      </c>
      <c r="AC159" s="411">
        <f t="shared" si="48"/>
        <v>713.7</v>
      </c>
      <c r="AD159" s="411">
        <f t="shared" si="48"/>
        <v>0</v>
      </c>
      <c r="AE159" s="414">
        <f t="shared" si="48"/>
        <v>0</v>
      </c>
      <c r="AF159" s="267">
        <f t="shared" si="46"/>
        <v>10211.5</v>
      </c>
    </row>
    <row r="160">
      <c r="A160" s="24"/>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24"/>
      <c r="AF160" s="11"/>
    </row>
    <row r="161">
      <c r="A161" s="24"/>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24"/>
      <c r="AF161" s="11"/>
    </row>
    <row r="162">
      <c r="A162" s="73" t="s">
        <v>344</v>
      </c>
      <c r="B162" s="420" t="s">
        <v>345</v>
      </c>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24"/>
      <c r="AF162" s="11"/>
    </row>
    <row r="163">
      <c r="A163" s="116" t="s">
        <v>347</v>
      </c>
      <c r="B163" s="262">
        <v>0.0</v>
      </c>
      <c r="C163" s="262">
        <v>0.0</v>
      </c>
      <c r="D163" s="262">
        <v>0.0</v>
      </c>
      <c r="E163" s="262">
        <v>0.0</v>
      </c>
      <c r="F163" s="262">
        <v>0.0</v>
      </c>
      <c r="G163" s="262">
        <v>0.0</v>
      </c>
      <c r="H163" s="262">
        <v>0.0</v>
      </c>
      <c r="I163" s="262">
        <v>0.0</v>
      </c>
      <c r="J163" s="262">
        <v>0.0</v>
      </c>
      <c r="K163" s="262">
        <v>0.0</v>
      </c>
      <c r="L163" s="262">
        <v>0.0</v>
      </c>
      <c r="M163" s="262">
        <v>0.0</v>
      </c>
      <c r="N163" s="262">
        <v>0.0</v>
      </c>
      <c r="O163" s="262">
        <v>0.0</v>
      </c>
      <c r="P163" s="262">
        <v>0.0</v>
      </c>
      <c r="Q163" s="262">
        <v>0.0</v>
      </c>
      <c r="R163" s="262">
        <v>0.0</v>
      </c>
      <c r="S163" s="262">
        <v>0.0</v>
      </c>
      <c r="T163" s="262">
        <v>0.0</v>
      </c>
      <c r="U163" s="262">
        <v>0.0</v>
      </c>
      <c r="V163" s="262">
        <v>0.0</v>
      </c>
      <c r="W163" s="262">
        <v>0.0</v>
      </c>
      <c r="X163" s="262">
        <v>0.0</v>
      </c>
      <c r="Y163" s="262">
        <v>0.0</v>
      </c>
      <c r="Z163" s="262">
        <v>0.0</v>
      </c>
      <c r="AA163" s="262">
        <v>0.0</v>
      </c>
      <c r="AB163" s="262">
        <v>0.0</v>
      </c>
      <c r="AC163" s="262">
        <v>0.0</v>
      </c>
      <c r="AD163" s="262">
        <v>0.0</v>
      </c>
      <c r="AE163" s="315">
        <v>0.0</v>
      </c>
      <c r="AF163" s="135">
        <f t="shared" ref="AF163:AF168" si="49">SUM(B163:AE163)</f>
        <v>0</v>
      </c>
    </row>
    <row r="164">
      <c r="A164" s="116" t="s">
        <v>349</v>
      </c>
      <c r="B164" s="262">
        <v>0.0</v>
      </c>
      <c r="C164" s="262">
        <v>0.0</v>
      </c>
      <c r="D164" s="262">
        <v>0.0</v>
      </c>
      <c r="E164" s="262">
        <v>0.0</v>
      </c>
      <c r="F164" s="262">
        <v>0.0</v>
      </c>
      <c r="G164" s="262">
        <v>0.0</v>
      </c>
      <c r="H164" s="262">
        <v>0.0</v>
      </c>
      <c r="I164" s="262">
        <v>0.0</v>
      </c>
      <c r="J164" s="262">
        <v>0.0</v>
      </c>
      <c r="K164" s="262">
        <v>0.0</v>
      </c>
      <c r="L164" s="262">
        <v>0.0</v>
      </c>
      <c r="M164" s="262">
        <v>0.0</v>
      </c>
      <c r="N164" s="262">
        <v>0.0</v>
      </c>
      <c r="O164" s="262">
        <v>0.0</v>
      </c>
      <c r="P164" s="262">
        <v>0.0</v>
      </c>
      <c r="Q164" s="262">
        <v>0.0</v>
      </c>
      <c r="R164" s="262">
        <v>0.0</v>
      </c>
      <c r="S164" s="262">
        <v>0.0</v>
      </c>
      <c r="T164" s="262">
        <v>0.0</v>
      </c>
      <c r="U164" s="262">
        <v>0.0</v>
      </c>
      <c r="V164" s="262">
        <v>0.0</v>
      </c>
      <c r="W164" s="262">
        <v>0.0</v>
      </c>
      <c r="X164" s="262">
        <v>0.0</v>
      </c>
      <c r="Y164" s="262">
        <v>0.0</v>
      </c>
      <c r="Z164" s="262">
        <v>0.0</v>
      </c>
      <c r="AA164" s="262">
        <v>0.0</v>
      </c>
      <c r="AB164" s="262">
        <v>0.0</v>
      </c>
      <c r="AC164" s="262">
        <v>0.0</v>
      </c>
      <c r="AD164" s="262">
        <v>0.0</v>
      </c>
      <c r="AE164" s="315">
        <v>0.0</v>
      </c>
      <c r="AF164" s="135">
        <f t="shared" si="49"/>
        <v>0</v>
      </c>
    </row>
    <row r="165">
      <c r="A165" s="116" t="s">
        <v>350</v>
      </c>
      <c r="B165" s="262">
        <v>0.0</v>
      </c>
      <c r="C165" s="262">
        <v>0.0</v>
      </c>
      <c r="D165" s="262">
        <v>0.0</v>
      </c>
      <c r="E165" s="262">
        <v>0.0</v>
      </c>
      <c r="F165" s="262">
        <v>0.0</v>
      </c>
      <c r="G165" s="262">
        <v>0.0</v>
      </c>
      <c r="H165" s="262">
        <v>0.0</v>
      </c>
      <c r="I165" s="262">
        <v>0.0</v>
      </c>
      <c r="J165" s="262">
        <v>0.0</v>
      </c>
      <c r="K165" s="262">
        <v>0.0</v>
      </c>
      <c r="L165" s="262">
        <v>0.0</v>
      </c>
      <c r="M165" s="262">
        <v>0.0</v>
      </c>
      <c r="N165" s="262">
        <v>0.0</v>
      </c>
      <c r="O165" s="262">
        <v>0.0</v>
      </c>
      <c r="P165" s="262">
        <v>0.0</v>
      </c>
      <c r="Q165" s="262">
        <v>0.0</v>
      </c>
      <c r="R165" s="262">
        <v>0.0</v>
      </c>
      <c r="S165" s="262">
        <v>0.0</v>
      </c>
      <c r="T165" s="262">
        <v>0.0</v>
      </c>
      <c r="U165" s="262">
        <v>0.0</v>
      </c>
      <c r="V165" s="262">
        <v>0.0</v>
      </c>
      <c r="W165" s="262">
        <v>0.0</v>
      </c>
      <c r="X165" s="262">
        <v>0.0</v>
      </c>
      <c r="Y165" s="262">
        <v>0.0</v>
      </c>
      <c r="Z165" s="262">
        <v>0.0</v>
      </c>
      <c r="AA165" s="262">
        <v>0.0</v>
      </c>
      <c r="AB165" s="262">
        <v>0.0</v>
      </c>
      <c r="AC165" s="262">
        <v>0.0</v>
      </c>
      <c r="AD165" s="262">
        <v>0.0</v>
      </c>
      <c r="AE165" s="315">
        <v>0.0</v>
      </c>
      <c r="AF165" s="135">
        <f t="shared" si="49"/>
        <v>0</v>
      </c>
    </row>
    <row r="166">
      <c r="A166" s="116" t="s">
        <v>351</v>
      </c>
      <c r="B166" s="262">
        <v>0.0</v>
      </c>
      <c r="C166" s="262">
        <v>0.0</v>
      </c>
      <c r="D166" s="262">
        <v>0.0</v>
      </c>
      <c r="E166" s="262">
        <v>0.0</v>
      </c>
      <c r="F166" s="262">
        <v>0.0</v>
      </c>
      <c r="G166" s="262">
        <v>0.0</v>
      </c>
      <c r="H166" s="262">
        <v>0.0</v>
      </c>
      <c r="I166" s="262">
        <v>0.0</v>
      </c>
      <c r="J166" s="262">
        <v>0.0</v>
      </c>
      <c r="K166" s="262">
        <v>0.0</v>
      </c>
      <c r="L166" s="262">
        <v>0.0</v>
      </c>
      <c r="M166" s="262">
        <v>0.0</v>
      </c>
      <c r="N166" s="262">
        <v>0.0</v>
      </c>
      <c r="O166" s="262">
        <v>0.0</v>
      </c>
      <c r="P166" s="262">
        <v>0.0</v>
      </c>
      <c r="Q166" s="262">
        <v>0.0</v>
      </c>
      <c r="R166" s="262">
        <v>0.0</v>
      </c>
      <c r="S166" s="262">
        <v>0.0</v>
      </c>
      <c r="T166" s="262">
        <v>0.0</v>
      </c>
      <c r="U166" s="262">
        <v>0.0</v>
      </c>
      <c r="V166" s="262">
        <v>0.0</v>
      </c>
      <c r="W166" s="262">
        <v>0.0</v>
      </c>
      <c r="X166" s="262">
        <v>0.0</v>
      </c>
      <c r="Y166" s="262">
        <v>0.0</v>
      </c>
      <c r="Z166" s="262">
        <v>0.0</v>
      </c>
      <c r="AA166" s="262">
        <v>0.0</v>
      </c>
      <c r="AB166" s="262">
        <v>0.0</v>
      </c>
      <c r="AC166" s="262">
        <v>0.0</v>
      </c>
      <c r="AD166" s="262">
        <v>0.0</v>
      </c>
      <c r="AE166" s="315">
        <v>0.0</v>
      </c>
      <c r="AF166" s="135">
        <f t="shared" si="49"/>
        <v>0</v>
      </c>
    </row>
    <row r="167">
      <c r="A167" s="271" t="s">
        <v>261</v>
      </c>
      <c r="B167" s="317">
        <f t="shared" ref="B167:AE167" si="50">B163+B164</f>
        <v>0</v>
      </c>
      <c r="C167" s="317">
        <f t="shared" si="50"/>
        <v>0</v>
      </c>
      <c r="D167" s="317">
        <f t="shared" si="50"/>
        <v>0</v>
      </c>
      <c r="E167" s="317">
        <f t="shared" si="50"/>
        <v>0</v>
      </c>
      <c r="F167" s="317">
        <f t="shared" si="50"/>
        <v>0</v>
      </c>
      <c r="G167" s="317">
        <f t="shared" si="50"/>
        <v>0</v>
      </c>
      <c r="H167" s="317">
        <f t="shared" si="50"/>
        <v>0</v>
      </c>
      <c r="I167" s="317">
        <f t="shared" si="50"/>
        <v>0</v>
      </c>
      <c r="J167" s="317">
        <f t="shared" si="50"/>
        <v>0</v>
      </c>
      <c r="K167" s="317">
        <f t="shared" si="50"/>
        <v>0</v>
      </c>
      <c r="L167" s="317">
        <f t="shared" si="50"/>
        <v>0</v>
      </c>
      <c r="M167" s="317">
        <f t="shared" si="50"/>
        <v>0</v>
      </c>
      <c r="N167" s="317">
        <f t="shared" si="50"/>
        <v>0</v>
      </c>
      <c r="O167" s="317">
        <f t="shared" si="50"/>
        <v>0</v>
      </c>
      <c r="P167" s="317">
        <f t="shared" si="50"/>
        <v>0</v>
      </c>
      <c r="Q167" s="317">
        <f t="shared" si="50"/>
        <v>0</v>
      </c>
      <c r="R167" s="317">
        <f t="shared" si="50"/>
        <v>0</v>
      </c>
      <c r="S167" s="317">
        <f t="shared" si="50"/>
        <v>0</v>
      </c>
      <c r="T167" s="317">
        <f t="shared" si="50"/>
        <v>0</v>
      </c>
      <c r="U167" s="317">
        <f t="shared" si="50"/>
        <v>0</v>
      </c>
      <c r="V167" s="317">
        <f t="shared" si="50"/>
        <v>0</v>
      </c>
      <c r="W167" s="317">
        <f t="shared" si="50"/>
        <v>0</v>
      </c>
      <c r="X167" s="317">
        <f t="shared" si="50"/>
        <v>0</v>
      </c>
      <c r="Y167" s="317">
        <f t="shared" si="50"/>
        <v>0</v>
      </c>
      <c r="Z167" s="317">
        <f t="shared" si="50"/>
        <v>0</v>
      </c>
      <c r="AA167" s="317">
        <f t="shared" si="50"/>
        <v>0</v>
      </c>
      <c r="AB167" s="317">
        <f t="shared" si="50"/>
        <v>0</v>
      </c>
      <c r="AC167" s="317">
        <f t="shared" si="50"/>
        <v>0</v>
      </c>
      <c r="AD167" s="317">
        <f t="shared" si="50"/>
        <v>0</v>
      </c>
      <c r="AE167" s="319">
        <f t="shared" si="50"/>
        <v>0</v>
      </c>
      <c r="AF167" s="135">
        <f t="shared" si="49"/>
        <v>0</v>
      </c>
    </row>
    <row r="168">
      <c r="A168" s="271" t="s">
        <v>263</v>
      </c>
      <c r="B168" s="317">
        <f t="shared" ref="B168:AE168" si="51">B165+B166</f>
        <v>0</v>
      </c>
      <c r="C168" s="317">
        <f t="shared" si="51"/>
        <v>0</v>
      </c>
      <c r="D168" s="317">
        <f t="shared" si="51"/>
        <v>0</v>
      </c>
      <c r="E168" s="317">
        <f t="shared" si="51"/>
        <v>0</v>
      </c>
      <c r="F168" s="317">
        <f t="shared" si="51"/>
        <v>0</v>
      </c>
      <c r="G168" s="317">
        <f t="shared" si="51"/>
        <v>0</v>
      </c>
      <c r="H168" s="317">
        <f t="shared" si="51"/>
        <v>0</v>
      </c>
      <c r="I168" s="317">
        <f t="shared" si="51"/>
        <v>0</v>
      </c>
      <c r="J168" s="317">
        <f t="shared" si="51"/>
        <v>0</v>
      </c>
      <c r="K168" s="317">
        <f t="shared" si="51"/>
        <v>0</v>
      </c>
      <c r="L168" s="317">
        <f t="shared" si="51"/>
        <v>0</v>
      </c>
      <c r="M168" s="317">
        <f t="shared" si="51"/>
        <v>0</v>
      </c>
      <c r="N168" s="317">
        <f t="shared" si="51"/>
        <v>0</v>
      </c>
      <c r="O168" s="317">
        <f t="shared" si="51"/>
        <v>0</v>
      </c>
      <c r="P168" s="317">
        <f t="shared" si="51"/>
        <v>0</v>
      </c>
      <c r="Q168" s="317">
        <f t="shared" si="51"/>
        <v>0</v>
      </c>
      <c r="R168" s="317">
        <f t="shared" si="51"/>
        <v>0</v>
      </c>
      <c r="S168" s="317">
        <f t="shared" si="51"/>
        <v>0</v>
      </c>
      <c r="T168" s="317">
        <f t="shared" si="51"/>
        <v>0</v>
      </c>
      <c r="U168" s="317">
        <f t="shared" si="51"/>
        <v>0</v>
      </c>
      <c r="V168" s="317">
        <f t="shared" si="51"/>
        <v>0</v>
      </c>
      <c r="W168" s="317">
        <f t="shared" si="51"/>
        <v>0</v>
      </c>
      <c r="X168" s="317">
        <f t="shared" si="51"/>
        <v>0</v>
      </c>
      <c r="Y168" s="317">
        <f t="shared" si="51"/>
        <v>0</v>
      </c>
      <c r="Z168" s="317">
        <f t="shared" si="51"/>
        <v>0</v>
      </c>
      <c r="AA168" s="317">
        <f t="shared" si="51"/>
        <v>0</v>
      </c>
      <c r="AB168" s="317">
        <f t="shared" si="51"/>
        <v>0</v>
      </c>
      <c r="AC168" s="317">
        <f t="shared" si="51"/>
        <v>0</v>
      </c>
      <c r="AD168" s="317">
        <f t="shared" si="51"/>
        <v>0</v>
      </c>
      <c r="AE168" s="319">
        <f t="shared" si="51"/>
        <v>0</v>
      </c>
      <c r="AF168" s="135">
        <f t="shared" si="49"/>
        <v>0</v>
      </c>
    </row>
    <row r="169">
      <c r="A169" s="24"/>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24"/>
      <c r="AF169" s="11"/>
    </row>
    <row r="170">
      <c r="A170" s="116" t="s">
        <v>266</v>
      </c>
      <c r="B170" s="262">
        <v>0.0</v>
      </c>
      <c r="C170" s="262">
        <v>0.0</v>
      </c>
      <c r="D170" s="262">
        <v>0.0</v>
      </c>
      <c r="E170" s="262">
        <v>0.0</v>
      </c>
      <c r="F170" s="262">
        <v>0.0</v>
      </c>
      <c r="G170" s="262">
        <v>0.0</v>
      </c>
      <c r="H170" s="262">
        <v>0.0</v>
      </c>
      <c r="I170" s="262">
        <v>0.0</v>
      </c>
      <c r="J170" s="262">
        <v>0.0</v>
      </c>
      <c r="K170" s="262">
        <v>0.0</v>
      </c>
      <c r="L170" s="262">
        <v>0.0</v>
      </c>
      <c r="M170" s="262">
        <v>0.0</v>
      </c>
      <c r="N170" s="262">
        <v>0.0</v>
      </c>
      <c r="O170" s="262">
        <v>0.0</v>
      </c>
      <c r="P170" s="262">
        <v>0.0</v>
      </c>
      <c r="Q170" s="104">
        <v>0.0</v>
      </c>
      <c r="R170" s="104">
        <v>0.0</v>
      </c>
      <c r="S170" s="104">
        <v>0.0</v>
      </c>
      <c r="T170" s="104">
        <v>0.0</v>
      </c>
      <c r="U170" s="104">
        <v>0.0</v>
      </c>
      <c r="V170" s="104">
        <v>0.0</v>
      </c>
      <c r="W170" s="104">
        <v>0.0</v>
      </c>
      <c r="X170" s="262">
        <v>0.0</v>
      </c>
      <c r="Y170" s="262">
        <v>0.0</v>
      </c>
      <c r="Z170" s="262">
        <v>0.0</v>
      </c>
      <c r="AA170" s="262">
        <v>0.0</v>
      </c>
      <c r="AB170" s="262">
        <v>0.0</v>
      </c>
      <c r="AC170" s="262">
        <v>0.0</v>
      </c>
      <c r="AD170" s="262">
        <v>0.0</v>
      </c>
      <c r="AE170" s="315">
        <v>0.0</v>
      </c>
      <c r="AF170" s="135">
        <f t="shared" ref="AF170:AF178" si="52">SUM(B170:AE170)</f>
        <v>0</v>
      </c>
    </row>
    <row r="171">
      <c r="A171" s="116" t="s">
        <v>267</v>
      </c>
      <c r="B171" s="262">
        <v>0.0</v>
      </c>
      <c r="C171" s="262">
        <v>0.0</v>
      </c>
      <c r="D171" s="262">
        <v>0.0</v>
      </c>
      <c r="E171" s="262">
        <v>0.0</v>
      </c>
      <c r="F171" s="262">
        <v>0.0</v>
      </c>
      <c r="G171" s="262">
        <v>0.0</v>
      </c>
      <c r="H171" s="262">
        <v>0.0</v>
      </c>
      <c r="I171" s="262">
        <v>0.0</v>
      </c>
      <c r="J171" s="262">
        <v>0.0</v>
      </c>
      <c r="K171" s="262">
        <v>0.0</v>
      </c>
      <c r="L171" s="262">
        <v>0.0</v>
      </c>
      <c r="M171" s="262">
        <v>0.0</v>
      </c>
      <c r="N171" s="262">
        <v>0.0</v>
      </c>
      <c r="O171" s="262">
        <v>0.0</v>
      </c>
      <c r="P171" s="262">
        <v>0.0</v>
      </c>
      <c r="Q171" s="104">
        <v>0.0</v>
      </c>
      <c r="R171" s="104">
        <v>0.0</v>
      </c>
      <c r="S171" s="104">
        <v>0.0</v>
      </c>
      <c r="T171" s="104">
        <v>0.0</v>
      </c>
      <c r="U171" s="104">
        <v>0.0</v>
      </c>
      <c r="V171" s="104">
        <v>0.0</v>
      </c>
      <c r="W171" s="104">
        <v>0.0</v>
      </c>
      <c r="X171" s="262">
        <v>0.0</v>
      </c>
      <c r="Y171" s="262">
        <v>0.0</v>
      </c>
      <c r="Z171" s="262">
        <v>0.0</v>
      </c>
      <c r="AA171" s="262">
        <v>0.0</v>
      </c>
      <c r="AB171" s="262">
        <v>0.0</v>
      </c>
      <c r="AC171" s="262">
        <v>0.0</v>
      </c>
      <c r="AD171" s="262">
        <v>0.0</v>
      </c>
      <c r="AE171" s="315">
        <v>0.0</v>
      </c>
      <c r="AF171" s="135">
        <f t="shared" si="52"/>
        <v>0</v>
      </c>
    </row>
    <row r="172">
      <c r="A172" s="116" t="s">
        <v>353</v>
      </c>
      <c r="B172" s="262">
        <v>0.0</v>
      </c>
      <c r="C172" s="262">
        <v>0.0</v>
      </c>
      <c r="D172" s="262">
        <v>0.0</v>
      </c>
      <c r="E172" s="262">
        <v>0.0</v>
      </c>
      <c r="F172" s="262">
        <v>0.0</v>
      </c>
      <c r="G172" s="262">
        <v>0.0</v>
      </c>
      <c r="H172" s="262">
        <v>0.0</v>
      </c>
      <c r="I172" s="262">
        <v>0.0</v>
      </c>
      <c r="J172" s="262">
        <v>0.0</v>
      </c>
      <c r="K172" s="262">
        <v>0.0</v>
      </c>
      <c r="L172" s="262">
        <v>0.0</v>
      </c>
      <c r="M172" s="262">
        <v>0.0</v>
      </c>
      <c r="N172" s="262">
        <v>0.0</v>
      </c>
      <c r="O172" s="262">
        <v>0.0</v>
      </c>
      <c r="P172" s="262">
        <v>0.0</v>
      </c>
      <c r="Q172" s="104">
        <v>0.0</v>
      </c>
      <c r="R172" s="104">
        <v>0.0</v>
      </c>
      <c r="S172" s="104">
        <v>0.0</v>
      </c>
      <c r="T172" s="104">
        <v>0.0</v>
      </c>
      <c r="U172" s="104">
        <v>0.0</v>
      </c>
      <c r="V172" s="104">
        <v>0.0</v>
      </c>
      <c r="W172" s="104">
        <v>0.0</v>
      </c>
      <c r="X172" s="262">
        <v>0.0</v>
      </c>
      <c r="Y172" s="262">
        <v>0.0</v>
      </c>
      <c r="Z172" s="262">
        <v>0.0</v>
      </c>
      <c r="AA172" s="262">
        <v>0.0</v>
      </c>
      <c r="AB172" s="262">
        <v>0.0</v>
      </c>
      <c r="AC172" s="262">
        <v>0.0</v>
      </c>
      <c r="AD172" s="262">
        <v>0.0</v>
      </c>
      <c r="AE172" s="315">
        <v>0.0</v>
      </c>
      <c r="AF172" s="135">
        <f t="shared" si="52"/>
        <v>0</v>
      </c>
    </row>
    <row r="173">
      <c r="A173" s="116" t="s">
        <v>355</v>
      </c>
      <c r="B173" s="262">
        <v>0.0</v>
      </c>
      <c r="C173" s="262">
        <v>0.0</v>
      </c>
      <c r="D173" s="262">
        <v>0.0</v>
      </c>
      <c r="E173" s="262">
        <v>0.0</v>
      </c>
      <c r="F173" s="262">
        <v>0.0</v>
      </c>
      <c r="G173" s="262">
        <v>0.0</v>
      </c>
      <c r="H173" s="262">
        <v>0.0</v>
      </c>
      <c r="I173" s="262">
        <v>0.0</v>
      </c>
      <c r="J173" s="262">
        <v>0.0</v>
      </c>
      <c r="K173" s="262">
        <v>0.0</v>
      </c>
      <c r="L173" s="262">
        <v>0.0</v>
      </c>
      <c r="M173" s="262">
        <v>0.0</v>
      </c>
      <c r="N173" s="262">
        <v>0.0</v>
      </c>
      <c r="O173" s="262">
        <v>0.0</v>
      </c>
      <c r="P173" s="262">
        <v>0.0</v>
      </c>
      <c r="Q173" s="104">
        <v>0.0</v>
      </c>
      <c r="R173" s="104">
        <v>0.0</v>
      </c>
      <c r="S173" s="104">
        <v>0.0</v>
      </c>
      <c r="T173" s="104">
        <v>0.0</v>
      </c>
      <c r="U173" s="104">
        <v>0.0</v>
      </c>
      <c r="V173" s="104">
        <v>0.0</v>
      </c>
      <c r="W173" s="104">
        <v>0.0</v>
      </c>
      <c r="X173" s="262">
        <v>0.0</v>
      </c>
      <c r="Y173" s="262">
        <v>0.0</v>
      </c>
      <c r="Z173" s="262">
        <v>0.0</v>
      </c>
      <c r="AA173" s="262">
        <v>0.0</v>
      </c>
      <c r="AB173" s="262">
        <v>0.0</v>
      </c>
      <c r="AC173" s="262">
        <v>0.0</v>
      </c>
      <c r="AD173" s="262">
        <v>0.0</v>
      </c>
      <c r="AE173" s="315">
        <v>0.0</v>
      </c>
      <c r="AF173" s="135">
        <f t="shared" si="52"/>
        <v>0</v>
      </c>
    </row>
    <row r="174">
      <c r="A174" s="116" t="s">
        <v>356</v>
      </c>
      <c r="B174" s="262">
        <v>0.0</v>
      </c>
      <c r="C174" s="262">
        <v>0.0</v>
      </c>
      <c r="D174" s="262">
        <v>0.0</v>
      </c>
      <c r="E174" s="262">
        <v>0.0</v>
      </c>
      <c r="F174" s="262">
        <v>0.0</v>
      </c>
      <c r="G174" s="262">
        <v>0.0</v>
      </c>
      <c r="H174" s="262">
        <v>0.0</v>
      </c>
      <c r="I174" s="262">
        <v>0.0</v>
      </c>
      <c r="J174" s="262">
        <v>0.0</v>
      </c>
      <c r="K174" s="262">
        <v>0.0</v>
      </c>
      <c r="L174" s="262">
        <v>0.0</v>
      </c>
      <c r="M174" s="262">
        <v>0.0</v>
      </c>
      <c r="N174" s="262">
        <v>0.0</v>
      </c>
      <c r="O174" s="262">
        <v>0.0</v>
      </c>
      <c r="P174" s="262">
        <v>0.0</v>
      </c>
      <c r="Q174" s="104">
        <v>0.0</v>
      </c>
      <c r="R174" s="104">
        <v>0.0</v>
      </c>
      <c r="S174" s="104">
        <v>0.0</v>
      </c>
      <c r="T174" s="104">
        <v>0.0</v>
      </c>
      <c r="U174" s="104">
        <v>0.0</v>
      </c>
      <c r="V174" s="104">
        <v>0.0</v>
      </c>
      <c r="W174" s="104">
        <v>0.0</v>
      </c>
      <c r="X174" s="262">
        <v>0.0</v>
      </c>
      <c r="Y174" s="262">
        <v>0.0</v>
      </c>
      <c r="Z174" s="262">
        <v>0.0</v>
      </c>
      <c r="AA174" s="262">
        <v>0.0</v>
      </c>
      <c r="AB174" s="262">
        <v>0.0</v>
      </c>
      <c r="AC174" s="262">
        <v>0.0</v>
      </c>
      <c r="AD174" s="262">
        <v>0.0</v>
      </c>
      <c r="AE174" s="315">
        <v>0.0</v>
      </c>
      <c r="AF174" s="135">
        <f t="shared" si="52"/>
        <v>0</v>
      </c>
    </row>
    <row r="175">
      <c r="A175" s="116" t="s">
        <v>357</v>
      </c>
      <c r="B175" s="262">
        <v>0.0</v>
      </c>
      <c r="C175" s="262">
        <v>0.0</v>
      </c>
      <c r="D175" s="262">
        <v>0.0</v>
      </c>
      <c r="E175" s="262">
        <v>0.0</v>
      </c>
      <c r="F175" s="262">
        <v>0.0</v>
      </c>
      <c r="G175" s="262">
        <v>0.0</v>
      </c>
      <c r="H175" s="262">
        <v>0.0</v>
      </c>
      <c r="I175" s="262">
        <v>0.0</v>
      </c>
      <c r="J175" s="262">
        <v>0.0</v>
      </c>
      <c r="K175" s="262">
        <v>0.0</v>
      </c>
      <c r="L175" s="262">
        <v>0.0</v>
      </c>
      <c r="M175" s="262">
        <v>0.0</v>
      </c>
      <c r="N175" s="262">
        <v>0.0</v>
      </c>
      <c r="O175" s="262">
        <v>0.0</v>
      </c>
      <c r="P175" s="262">
        <v>0.0</v>
      </c>
      <c r="Q175" s="104">
        <v>0.0</v>
      </c>
      <c r="R175" s="104">
        <v>0.0</v>
      </c>
      <c r="S175" s="104">
        <v>0.0</v>
      </c>
      <c r="T175" s="104">
        <v>0.0</v>
      </c>
      <c r="U175" s="104">
        <v>0.0</v>
      </c>
      <c r="V175" s="104">
        <v>0.0</v>
      </c>
      <c r="W175" s="104">
        <v>0.0</v>
      </c>
      <c r="X175" s="262">
        <v>0.0</v>
      </c>
      <c r="Y175" s="262">
        <v>0.0</v>
      </c>
      <c r="Z175" s="262">
        <v>0.0</v>
      </c>
      <c r="AA175" s="262">
        <v>0.0</v>
      </c>
      <c r="AB175" s="262">
        <v>0.0</v>
      </c>
      <c r="AC175" s="262">
        <v>0.0</v>
      </c>
      <c r="AD175" s="262">
        <v>0.0</v>
      </c>
      <c r="AE175" s="315">
        <v>0.0</v>
      </c>
      <c r="AF175" s="135">
        <f t="shared" si="52"/>
        <v>0</v>
      </c>
    </row>
    <row r="176">
      <c r="A176" s="116" t="s">
        <v>359</v>
      </c>
      <c r="B176" s="262">
        <v>0.0</v>
      </c>
      <c r="C176" s="262">
        <v>0.0</v>
      </c>
      <c r="D176" s="262">
        <v>0.0</v>
      </c>
      <c r="E176" s="262">
        <v>0.0</v>
      </c>
      <c r="F176" s="262">
        <v>0.0</v>
      </c>
      <c r="G176" s="262">
        <v>0.0</v>
      </c>
      <c r="H176" s="262">
        <v>0.0</v>
      </c>
      <c r="I176" s="262">
        <v>0.0</v>
      </c>
      <c r="J176" s="262">
        <v>0.0</v>
      </c>
      <c r="K176" s="262">
        <v>0.0</v>
      </c>
      <c r="L176" s="262">
        <v>0.0</v>
      </c>
      <c r="M176" s="262">
        <v>0.0</v>
      </c>
      <c r="N176" s="262">
        <v>0.0</v>
      </c>
      <c r="O176" s="262">
        <v>0.0</v>
      </c>
      <c r="P176" s="262">
        <v>0.0</v>
      </c>
      <c r="Q176" s="104">
        <v>0.0</v>
      </c>
      <c r="R176" s="104">
        <v>0.0</v>
      </c>
      <c r="S176" s="104">
        <v>0.0</v>
      </c>
      <c r="T176" s="104">
        <v>0.0</v>
      </c>
      <c r="U176" s="104">
        <v>0.0</v>
      </c>
      <c r="V176" s="104">
        <v>0.0</v>
      </c>
      <c r="W176" s="104">
        <v>0.0</v>
      </c>
      <c r="X176" s="262">
        <v>0.0</v>
      </c>
      <c r="Y176" s="262">
        <v>0.0</v>
      </c>
      <c r="Z176" s="262">
        <v>0.0</v>
      </c>
      <c r="AA176" s="262">
        <v>0.0</v>
      </c>
      <c r="AB176" s="262">
        <v>0.0</v>
      </c>
      <c r="AC176" s="262">
        <v>0.0</v>
      </c>
      <c r="AD176" s="262">
        <v>0.0</v>
      </c>
      <c r="AE176" s="315">
        <v>0.0</v>
      </c>
      <c r="AF176" s="135">
        <f t="shared" si="52"/>
        <v>0</v>
      </c>
    </row>
    <row r="177">
      <c r="A177" s="116" t="s">
        <v>360</v>
      </c>
      <c r="B177" s="262">
        <v>0.0</v>
      </c>
      <c r="C177" s="262">
        <v>0.0</v>
      </c>
      <c r="D177" s="262">
        <v>0.0</v>
      </c>
      <c r="E177" s="262">
        <v>0.0</v>
      </c>
      <c r="F177" s="262">
        <v>0.0</v>
      </c>
      <c r="G177" s="262">
        <v>0.0</v>
      </c>
      <c r="H177" s="262">
        <v>0.0</v>
      </c>
      <c r="I177" s="262">
        <v>0.0</v>
      </c>
      <c r="J177" s="262">
        <v>0.0</v>
      </c>
      <c r="K177" s="262">
        <v>0.0</v>
      </c>
      <c r="L177" s="262">
        <v>0.0</v>
      </c>
      <c r="M177" s="262">
        <v>0.0</v>
      </c>
      <c r="N177" s="262">
        <v>0.0</v>
      </c>
      <c r="O177" s="262">
        <v>0.0</v>
      </c>
      <c r="P177" s="262">
        <v>0.0</v>
      </c>
      <c r="Q177" s="104">
        <v>0.0</v>
      </c>
      <c r="R177" s="104">
        <v>0.0</v>
      </c>
      <c r="S177" s="104">
        <v>0.0</v>
      </c>
      <c r="T177" s="104">
        <v>0.0</v>
      </c>
      <c r="U177" s="104">
        <v>0.0</v>
      </c>
      <c r="V177" s="104">
        <v>0.0</v>
      </c>
      <c r="W177" s="104">
        <v>0.0</v>
      </c>
      <c r="X177" s="262">
        <v>0.0</v>
      </c>
      <c r="Y177" s="262">
        <v>0.0</v>
      </c>
      <c r="Z177" s="262">
        <v>0.0</v>
      </c>
      <c r="AA177" s="262">
        <v>0.0</v>
      </c>
      <c r="AB177" s="262">
        <v>0.0</v>
      </c>
      <c r="AC177" s="262">
        <v>0.0</v>
      </c>
      <c r="AD177" s="262">
        <v>0.0</v>
      </c>
      <c r="AE177" s="315">
        <v>0.0</v>
      </c>
      <c r="AF177" s="135">
        <f t="shared" si="52"/>
        <v>0</v>
      </c>
    </row>
    <row r="178">
      <c r="A178" s="271" t="s">
        <v>159</v>
      </c>
      <c r="B178" s="317">
        <f>SUM(B170:B177)</f>
        <v>0</v>
      </c>
      <c r="C178" s="317">
        <f t="shared" ref="C178:AE178" si="53">SUM(C170:C174)</f>
        <v>0</v>
      </c>
      <c r="D178" s="317">
        <f t="shared" si="53"/>
        <v>0</v>
      </c>
      <c r="E178" s="317">
        <f t="shared" si="53"/>
        <v>0</v>
      </c>
      <c r="F178" s="317">
        <f t="shared" si="53"/>
        <v>0</v>
      </c>
      <c r="G178" s="317">
        <f t="shared" si="53"/>
        <v>0</v>
      </c>
      <c r="H178" s="317">
        <f t="shared" si="53"/>
        <v>0</v>
      </c>
      <c r="I178" s="317">
        <f t="shared" si="53"/>
        <v>0</v>
      </c>
      <c r="J178" s="317">
        <f t="shared" si="53"/>
        <v>0</v>
      </c>
      <c r="K178" s="317">
        <f t="shared" si="53"/>
        <v>0</v>
      </c>
      <c r="L178" s="317">
        <f t="shared" si="53"/>
        <v>0</v>
      </c>
      <c r="M178" s="317">
        <f t="shared" si="53"/>
        <v>0</v>
      </c>
      <c r="N178" s="317">
        <f t="shared" si="53"/>
        <v>0</v>
      </c>
      <c r="O178" s="317">
        <f t="shared" si="53"/>
        <v>0</v>
      </c>
      <c r="P178" s="317">
        <f t="shared" si="53"/>
        <v>0</v>
      </c>
      <c r="Q178" s="317">
        <f t="shared" si="53"/>
        <v>0</v>
      </c>
      <c r="R178" s="317">
        <f t="shared" si="53"/>
        <v>0</v>
      </c>
      <c r="S178" s="317">
        <f t="shared" si="53"/>
        <v>0</v>
      </c>
      <c r="T178" s="317">
        <f t="shared" si="53"/>
        <v>0</v>
      </c>
      <c r="U178" s="317">
        <f t="shared" si="53"/>
        <v>0</v>
      </c>
      <c r="V178" s="317">
        <f t="shared" si="53"/>
        <v>0</v>
      </c>
      <c r="W178" s="317">
        <f t="shared" si="53"/>
        <v>0</v>
      </c>
      <c r="X178" s="317">
        <f t="shared" si="53"/>
        <v>0</v>
      </c>
      <c r="Y178" s="317">
        <f t="shared" si="53"/>
        <v>0</v>
      </c>
      <c r="Z178" s="317">
        <f t="shared" si="53"/>
        <v>0</v>
      </c>
      <c r="AA178" s="317">
        <f t="shared" si="53"/>
        <v>0</v>
      </c>
      <c r="AB178" s="317">
        <f t="shared" si="53"/>
        <v>0</v>
      </c>
      <c r="AC178" s="317">
        <f t="shared" si="53"/>
        <v>0</v>
      </c>
      <c r="AD178" s="317">
        <f t="shared" si="53"/>
        <v>0</v>
      </c>
      <c r="AE178" s="319">
        <f t="shared" si="53"/>
        <v>0</v>
      </c>
      <c r="AF178" s="135">
        <f t="shared" si="52"/>
        <v>0</v>
      </c>
    </row>
    <row r="179">
      <c r="A179" s="24"/>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422"/>
      <c r="AF179" s="165"/>
    </row>
    <row r="180">
      <c r="A180" s="271" t="s">
        <v>363</v>
      </c>
      <c r="B180" s="423"/>
      <c r="C180" s="423"/>
      <c r="D180" s="423"/>
      <c r="E180" s="423"/>
      <c r="F180" s="423"/>
      <c r="G180" s="423"/>
      <c r="H180" s="423"/>
      <c r="I180" s="423"/>
      <c r="J180" s="423"/>
      <c r="K180" s="423"/>
      <c r="L180" s="423"/>
      <c r="M180" s="423"/>
      <c r="N180" s="423"/>
      <c r="O180" s="423"/>
      <c r="P180" s="423"/>
      <c r="Q180" s="423"/>
      <c r="R180" s="423"/>
      <c r="S180" s="423"/>
      <c r="T180" s="423"/>
      <c r="U180" s="423"/>
      <c r="V180" s="423"/>
      <c r="W180" s="423"/>
      <c r="X180" s="423"/>
      <c r="Y180" s="423"/>
      <c r="Z180" s="423"/>
      <c r="AA180" s="423"/>
      <c r="AB180" s="423"/>
      <c r="AC180" s="423"/>
      <c r="AD180" s="423"/>
      <c r="AE180" s="424"/>
      <c r="AF180" s="165"/>
    </row>
    <row r="181">
      <c r="A181" s="116" t="s">
        <v>364</v>
      </c>
      <c r="B181" s="262">
        <v>0.0</v>
      </c>
      <c r="C181" s="262">
        <v>0.0</v>
      </c>
      <c r="D181" s="262">
        <v>0.0</v>
      </c>
      <c r="E181" s="262">
        <v>0.0</v>
      </c>
      <c r="F181" s="262">
        <v>0.0</v>
      </c>
      <c r="G181" s="262">
        <v>0.0</v>
      </c>
      <c r="H181" s="262">
        <v>0.0</v>
      </c>
      <c r="I181" s="262">
        <v>0.0</v>
      </c>
      <c r="J181" s="262">
        <v>0.0</v>
      </c>
      <c r="K181" s="262">
        <v>0.0</v>
      </c>
      <c r="L181" s="262">
        <v>0.0</v>
      </c>
      <c r="M181" s="262">
        <v>0.0</v>
      </c>
      <c r="N181" s="262">
        <v>0.0</v>
      </c>
      <c r="O181" s="262">
        <v>0.0</v>
      </c>
      <c r="P181" s="262">
        <v>0.0</v>
      </c>
      <c r="Q181" s="104">
        <v>0.0</v>
      </c>
      <c r="R181" s="104">
        <v>0.0</v>
      </c>
      <c r="S181" s="104">
        <v>0.0</v>
      </c>
      <c r="T181" s="104">
        <v>0.0</v>
      </c>
      <c r="U181" s="104">
        <v>0.0</v>
      </c>
      <c r="V181" s="104">
        <v>0.0</v>
      </c>
      <c r="W181" s="104">
        <v>0.0</v>
      </c>
      <c r="X181" s="262">
        <v>0.0</v>
      </c>
      <c r="Y181" s="262">
        <v>0.0</v>
      </c>
      <c r="Z181" s="262">
        <v>0.0</v>
      </c>
      <c r="AA181" s="262">
        <v>0.0</v>
      </c>
      <c r="AB181" s="262">
        <v>0.0</v>
      </c>
      <c r="AC181" s="262">
        <v>0.0</v>
      </c>
      <c r="AD181" s="262">
        <v>0.0</v>
      </c>
      <c r="AE181" s="315">
        <v>0.0</v>
      </c>
      <c r="AF181" s="165"/>
    </row>
    <row r="182">
      <c r="A182" s="116" t="s">
        <v>365</v>
      </c>
      <c r="B182" s="262">
        <v>0.0</v>
      </c>
      <c r="C182" s="262">
        <v>0.0</v>
      </c>
      <c r="D182" s="262">
        <v>0.0</v>
      </c>
      <c r="E182" s="262">
        <v>0.0</v>
      </c>
      <c r="F182" s="262">
        <v>0.0</v>
      </c>
      <c r="G182" s="262">
        <v>0.0</v>
      </c>
      <c r="H182" s="262">
        <v>0.0</v>
      </c>
      <c r="I182" s="262">
        <v>0.0</v>
      </c>
      <c r="J182" s="262">
        <v>0.0</v>
      </c>
      <c r="K182" s="262">
        <v>0.0</v>
      </c>
      <c r="L182" s="262">
        <v>0.0</v>
      </c>
      <c r="M182" s="262">
        <v>0.0</v>
      </c>
      <c r="N182" s="262">
        <v>0.0</v>
      </c>
      <c r="O182" s="262">
        <v>0.0</v>
      </c>
      <c r="P182" s="262">
        <v>0.0</v>
      </c>
      <c r="Q182" s="104">
        <v>0.0</v>
      </c>
      <c r="R182" s="104">
        <v>0.0</v>
      </c>
      <c r="S182" s="104">
        <v>0.0</v>
      </c>
      <c r="T182" s="104">
        <v>0.0</v>
      </c>
      <c r="U182" s="104">
        <v>0.0</v>
      </c>
      <c r="V182" s="104">
        <v>0.0</v>
      </c>
      <c r="W182" s="104">
        <v>0.0</v>
      </c>
      <c r="X182" s="262">
        <v>0.0</v>
      </c>
      <c r="Y182" s="262">
        <v>0.0</v>
      </c>
      <c r="Z182" s="262">
        <v>0.0</v>
      </c>
      <c r="AA182" s="262">
        <v>0.0</v>
      </c>
      <c r="AB182" s="262">
        <v>0.0</v>
      </c>
      <c r="AC182" s="262">
        <v>0.0</v>
      </c>
      <c r="AD182" s="262">
        <v>0.0</v>
      </c>
      <c r="AE182" s="315">
        <v>0.0</v>
      </c>
      <c r="AF182" s="165"/>
    </row>
    <row r="183">
      <c r="A183" s="116" t="s">
        <v>367</v>
      </c>
      <c r="B183" s="262">
        <v>0.0</v>
      </c>
      <c r="C183" s="262">
        <v>0.0</v>
      </c>
      <c r="D183" s="262">
        <v>0.0</v>
      </c>
      <c r="E183" s="262">
        <v>0.0</v>
      </c>
      <c r="F183" s="262">
        <v>0.0</v>
      </c>
      <c r="G183" s="262">
        <v>0.0</v>
      </c>
      <c r="H183" s="262">
        <v>0.0</v>
      </c>
      <c r="I183" s="262">
        <v>0.0</v>
      </c>
      <c r="J183" s="262">
        <v>0.0</v>
      </c>
      <c r="K183" s="262">
        <v>0.0</v>
      </c>
      <c r="L183" s="262">
        <v>0.0</v>
      </c>
      <c r="M183" s="262">
        <v>0.0</v>
      </c>
      <c r="N183" s="262">
        <v>0.0</v>
      </c>
      <c r="O183" s="262">
        <v>0.0</v>
      </c>
      <c r="P183" s="262">
        <v>0.0</v>
      </c>
      <c r="Q183" s="104">
        <v>0.0</v>
      </c>
      <c r="R183" s="104">
        <v>0.0</v>
      </c>
      <c r="S183" s="104">
        <v>0.0</v>
      </c>
      <c r="T183" s="104">
        <v>0.0</v>
      </c>
      <c r="U183" s="104">
        <v>0.0</v>
      </c>
      <c r="V183" s="104">
        <v>0.0</v>
      </c>
      <c r="W183" s="104">
        <v>0.0</v>
      </c>
      <c r="X183" s="262">
        <v>0.0</v>
      </c>
      <c r="Y183" s="262">
        <v>0.0</v>
      </c>
      <c r="Z183" s="262">
        <v>0.0</v>
      </c>
      <c r="AA183" s="262">
        <v>0.0</v>
      </c>
      <c r="AB183" s="262">
        <v>0.0</v>
      </c>
      <c r="AC183" s="262">
        <v>0.0</v>
      </c>
      <c r="AD183" s="262">
        <v>0.0</v>
      </c>
      <c r="AE183" s="315">
        <v>0.0</v>
      </c>
      <c r="AF183" s="165"/>
    </row>
    <row r="184">
      <c r="A184" s="24"/>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422"/>
      <c r="AF184" s="165"/>
    </row>
    <row r="185">
      <c r="A185" s="410" t="s">
        <v>368</v>
      </c>
      <c r="B185" s="425">
        <v>0.0</v>
      </c>
      <c r="C185" s="425">
        <v>0.0</v>
      </c>
      <c r="D185" s="425">
        <v>0.0</v>
      </c>
      <c r="E185" s="425">
        <v>0.0</v>
      </c>
      <c r="F185" s="425">
        <v>0.0</v>
      </c>
      <c r="G185" s="425">
        <v>0.0</v>
      </c>
      <c r="H185" s="425">
        <v>0.0</v>
      </c>
      <c r="I185" s="425">
        <v>0.0</v>
      </c>
      <c r="J185" s="425">
        <v>0.0</v>
      </c>
      <c r="K185" s="425">
        <v>0.0</v>
      </c>
      <c r="L185" s="425">
        <v>0.0</v>
      </c>
      <c r="M185" s="425">
        <v>0.0</v>
      </c>
      <c r="N185" s="425">
        <v>0.0</v>
      </c>
      <c r="O185" s="425">
        <v>0.0</v>
      </c>
      <c r="P185" s="425">
        <v>0.0</v>
      </c>
      <c r="Q185" s="425">
        <v>0.0</v>
      </c>
      <c r="R185" s="425">
        <v>0.0</v>
      </c>
      <c r="S185" s="425">
        <v>0.0</v>
      </c>
      <c r="T185" s="425">
        <v>0.0</v>
      </c>
      <c r="U185" s="425">
        <v>0.0</v>
      </c>
      <c r="V185" s="425">
        <v>0.0</v>
      </c>
      <c r="W185" s="425">
        <v>0.0</v>
      </c>
      <c r="X185" s="425">
        <v>0.0</v>
      </c>
      <c r="Y185" s="425">
        <v>0.0</v>
      </c>
      <c r="Z185" s="425">
        <v>0.0</v>
      </c>
      <c r="AA185" s="425">
        <v>0.0</v>
      </c>
      <c r="AB185" s="425">
        <v>0.0</v>
      </c>
      <c r="AC185" s="425">
        <v>0.0</v>
      </c>
      <c r="AD185" s="425">
        <v>0.0</v>
      </c>
      <c r="AE185" s="426">
        <v>0.0</v>
      </c>
      <c r="AF185" s="135">
        <f>SUM(B185:AE185)</f>
        <v>0</v>
      </c>
    </row>
    <row r="186">
      <c r="A186" s="24"/>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24"/>
      <c r="AF186" s="11"/>
    </row>
    <row r="187">
      <c r="A187" s="73" t="s">
        <v>369</v>
      </c>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24"/>
      <c r="AF187" s="11"/>
    </row>
    <row r="188">
      <c r="A188" s="271" t="s">
        <v>370</v>
      </c>
      <c r="B188" s="425">
        <v>0.0</v>
      </c>
      <c r="C188" s="425">
        <v>0.0</v>
      </c>
      <c r="D188" s="425">
        <v>0.0</v>
      </c>
      <c r="E188" s="425">
        <v>0.0</v>
      </c>
      <c r="F188" s="425">
        <v>0.0</v>
      </c>
      <c r="G188" s="425">
        <v>0.0</v>
      </c>
      <c r="H188" s="425">
        <v>0.0</v>
      </c>
      <c r="I188" s="425">
        <v>0.0</v>
      </c>
      <c r="J188" s="425">
        <v>0.0</v>
      </c>
      <c r="K188" s="425">
        <v>0.0</v>
      </c>
      <c r="L188" s="425">
        <v>0.0</v>
      </c>
      <c r="M188" s="425">
        <v>0.0</v>
      </c>
      <c r="N188" s="425">
        <v>0.0</v>
      </c>
      <c r="O188" s="425">
        <v>0.0</v>
      </c>
      <c r="P188" s="425">
        <v>0.0</v>
      </c>
      <c r="Q188" s="425">
        <v>0.0</v>
      </c>
      <c r="R188" s="425">
        <v>0.0</v>
      </c>
      <c r="S188" s="425">
        <v>0.0</v>
      </c>
      <c r="T188" s="425">
        <v>0.0</v>
      </c>
      <c r="U188" s="425">
        <v>0.0</v>
      </c>
      <c r="V188" s="425">
        <v>0.0</v>
      </c>
      <c r="W188" s="425">
        <v>0.0</v>
      </c>
      <c r="X188" s="425">
        <v>0.0</v>
      </c>
      <c r="Y188" s="425">
        <v>0.0</v>
      </c>
      <c r="Z188" s="425">
        <v>0.0</v>
      </c>
      <c r="AA188" s="425">
        <v>0.0</v>
      </c>
      <c r="AB188" s="425">
        <v>0.0</v>
      </c>
      <c r="AC188" s="425">
        <v>0.0</v>
      </c>
      <c r="AD188" s="425">
        <v>0.0</v>
      </c>
      <c r="AE188" s="426">
        <v>0.0</v>
      </c>
      <c r="AF188" s="135">
        <f>SUM(B188:AE188)</f>
        <v>0</v>
      </c>
    </row>
    <row r="189">
      <c r="A189" s="24"/>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24"/>
      <c r="AF189" s="165"/>
    </row>
    <row r="190">
      <c r="A190" s="66" t="s">
        <v>372</v>
      </c>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24"/>
      <c r="AF190" s="11"/>
    </row>
    <row r="191">
      <c r="A191" s="20" t="s">
        <v>374</v>
      </c>
      <c r="B191" s="428">
        <f t="shared" ref="B191:AE191" si="54">B13</f>
        <v>1276.67</v>
      </c>
      <c r="C191" s="429">
        <f t="shared" si="54"/>
        <v>1876.55</v>
      </c>
      <c r="D191" s="430">
        <f t="shared" si="54"/>
        <v>2182.61</v>
      </c>
      <c r="E191" s="431">
        <f t="shared" si="54"/>
        <v>1886.24</v>
      </c>
      <c r="F191" s="432">
        <f t="shared" si="54"/>
        <v>1401.31</v>
      </c>
      <c r="G191" s="173">
        <f t="shared" si="54"/>
        <v>1491.07</v>
      </c>
      <c r="H191" s="173">
        <f t="shared" si="54"/>
        <v>1448.93</v>
      </c>
      <c r="I191" s="433">
        <f t="shared" si="54"/>
        <v>1479.75</v>
      </c>
      <c r="J191" s="434">
        <f t="shared" si="54"/>
        <v>1888.27</v>
      </c>
      <c r="K191" s="435">
        <f t="shared" si="54"/>
        <v>2296.89</v>
      </c>
      <c r="L191" s="436">
        <f t="shared" si="54"/>
        <v>1797.51</v>
      </c>
      <c r="M191" s="437">
        <f t="shared" si="54"/>
        <v>1678.5</v>
      </c>
      <c r="N191" s="438">
        <f t="shared" si="54"/>
        <v>1662.46</v>
      </c>
      <c r="O191" s="439">
        <f t="shared" si="54"/>
        <v>1696.47</v>
      </c>
      <c r="P191" s="440">
        <f t="shared" si="54"/>
        <v>1674.55</v>
      </c>
      <c r="Q191" s="441">
        <f t="shared" si="54"/>
        <v>2303.3</v>
      </c>
      <c r="R191" s="442">
        <f t="shared" si="54"/>
        <v>2443.56</v>
      </c>
      <c r="S191" s="443">
        <f t="shared" si="54"/>
        <v>2161.34</v>
      </c>
      <c r="T191" s="444">
        <f t="shared" si="54"/>
        <v>2309.42</v>
      </c>
      <c r="U191" s="445">
        <f t="shared" si="54"/>
        <v>2091.87</v>
      </c>
      <c r="V191" s="432">
        <f t="shared" si="54"/>
        <v>1920.72</v>
      </c>
      <c r="W191" s="446">
        <f t="shared" si="54"/>
        <v>1492.52</v>
      </c>
      <c r="X191" s="447">
        <f t="shared" si="54"/>
        <v>1881.18</v>
      </c>
      <c r="Y191" s="448">
        <f t="shared" si="54"/>
        <v>2255.79</v>
      </c>
      <c r="Z191" s="438">
        <f t="shared" si="54"/>
        <v>1672.88</v>
      </c>
      <c r="AA191" s="437">
        <f t="shared" si="54"/>
        <v>1771.38</v>
      </c>
      <c r="AB191" s="449">
        <f t="shared" si="54"/>
        <v>2743.88</v>
      </c>
      <c r="AC191" s="450">
        <f t="shared" si="54"/>
        <v>3792.92</v>
      </c>
      <c r="AD191" s="451">
        <f t="shared" si="54"/>
        <v>2832.22</v>
      </c>
      <c r="AE191" s="452">
        <f t="shared" si="54"/>
        <v>3932.81</v>
      </c>
      <c r="AF191" s="65">
        <f t="shared" ref="AF191:AF207" si="56">SUM(B191:AE191)</f>
        <v>61343.57</v>
      </c>
    </row>
    <row r="192">
      <c r="A192" s="20" t="s">
        <v>379</v>
      </c>
      <c r="B192" s="70">
        <f t="shared" ref="B192:AE192" si="55">B14</f>
        <v>492.264</v>
      </c>
      <c r="C192" s="70">
        <f t="shared" si="55"/>
        <v>450.126</v>
      </c>
      <c r="D192" s="70">
        <f t="shared" si="55"/>
        <v>717.756</v>
      </c>
      <c r="E192" s="70">
        <f t="shared" si="55"/>
        <v>943.062</v>
      </c>
      <c r="F192" s="70">
        <f t="shared" si="55"/>
        <v>899.97</v>
      </c>
      <c r="G192" s="70">
        <f t="shared" si="55"/>
        <v>804.0825</v>
      </c>
      <c r="H192" s="70">
        <f t="shared" si="55"/>
        <v>577.344</v>
      </c>
      <c r="I192" s="70">
        <f t="shared" si="55"/>
        <v>447.891</v>
      </c>
      <c r="J192" s="70">
        <f t="shared" si="55"/>
        <v>1166.8605</v>
      </c>
      <c r="K192" s="70">
        <f t="shared" si="55"/>
        <v>989.07</v>
      </c>
      <c r="L192" s="70">
        <f t="shared" si="55"/>
        <v>981.225</v>
      </c>
      <c r="M192" s="70">
        <f t="shared" si="55"/>
        <v>1207.8585</v>
      </c>
      <c r="N192" s="70">
        <f t="shared" si="55"/>
        <v>1216.944</v>
      </c>
      <c r="O192" s="70">
        <f t="shared" si="55"/>
        <v>1387.344</v>
      </c>
      <c r="P192" s="70">
        <f t="shared" si="55"/>
        <v>677.1525</v>
      </c>
      <c r="Q192" s="70">
        <f t="shared" si="55"/>
        <v>936.228</v>
      </c>
      <c r="R192" s="70">
        <f t="shared" si="55"/>
        <v>805.956</v>
      </c>
      <c r="S192" s="70">
        <f t="shared" si="55"/>
        <v>1122.207</v>
      </c>
      <c r="T192" s="70">
        <f t="shared" si="55"/>
        <v>2199.813</v>
      </c>
      <c r="U192" s="70">
        <f t="shared" si="55"/>
        <v>1428.1335</v>
      </c>
      <c r="V192" s="70">
        <f t="shared" si="55"/>
        <v>1387.7715</v>
      </c>
      <c r="W192" s="70">
        <f t="shared" si="55"/>
        <v>1794.042</v>
      </c>
      <c r="X192" s="70">
        <f t="shared" si="55"/>
        <v>902.0565</v>
      </c>
      <c r="Y192" s="70">
        <f t="shared" si="55"/>
        <v>1752.9315</v>
      </c>
      <c r="Z192" s="70">
        <f t="shared" si="55"/>
        <v>1433.598</v>
      </c>
      <c r="AA192" s="70">
        <f t="shared" si="55"/>
        <v>1611.4905</v>
      </c>
      <c r="AB192" s="70">
        <f t="shared" si="55"/>
        <v>1473.3465</v>
      </c>
      <c r="AC192" s="70">
        <f t="shared" si="55"/>
        <v>1841.79</v>
      </c>
      <c r="AD192" s="70">
        <f t="shared" si="55"/>
        <v>1655.73</v>
      </c>
      <c r="AE192" s="74">
        <f t="shared" si="55"/>
        <v>1166.9085</v>
      </c>
      <c r="AF192" s="65">
        <f t="shared" si="56"/>
        <v>34470.9525</v>
      </c>
    </row>
    <row r="193">
      <c r="A193" s="453" t="s">
        <v>383</v>
      </c>
      <c r="B193" s="70">
        <f>(B28+B29)*'DATA - P&amp;L'!$C$3</f>
        <v>0</v>
      </c>
      <c r="C193" s="70">
        <f>(C28+C29)*'DATA - P&amp;L'!$C$3</f>
        <v>0</v>
      </c>
      <c r="D193" s="70">
        <f>(D28+D29)*'DATA - P&amp;L'!$C$3</f>
        <v>0</v>
      </c>
      <c r="E193" s="70">
        <f>(E28+E29)*'DATA - P&amp;L'!$C$3</f>
        <v>0</v>
      </c>
      <c r="F193" s="70">
        <f>(F28+F29)*'DATA - P&amp;L'!$C$3</f>
        <v>0</v>
      </c>
      <c r="G193" s="70">
        <f>(G28+G29)*'DATA - P&amp;L'!$C$3</f>
        <v>0</v>
      </c>
      <c r="H193" s="70">
        <f>(H28+H29)*'DATA - P&amp;L'!$C$3</f>
        <v>0</v>
      </c>
      <c r="I193" s="70">
        <f>(I28+I29)*'DATA - P&amp;L'!$C$3</f>
        <v>0</v>
      </c>
      <c r="J193" s="70">
        <f>(J28+J29)*'DATA - P&amp;L'!$C$3</f>
        <v>0</v>
      </c>
      <c r="K193" s="70">
        <f>(K28+K29)*'DATA - P&amp;L'!$C$3</f>
        <v>0</v>
      </c>
      <c r="L193" s="70">
        <f>(L28+L29)*'DATA - P&amp;L'!$C$3</f>
        <v>0</v>
      </c>
      <c r="M193" s="70">
        <f>(M28+M29)*'DATA - P&amp;L'!$C$3</f>
        <v>0</v>
      </c>
      <c r="N193" s="70">
        <f>(N28+N29)*'DATA - P&amp;L'!$C$3</f>
        <v>0</v>
      </c>
      <c r="O193" s="70">
        <f>(O28+O29)*'DATA - P&amp;L'!$C$3</f>
        <v>0</v>
      </c>
      <c r="P193" s="70">
        <f>(P28+P29)*'DATA - P&amp;L'!$C$3</f>
        <v>0</v>
      </c>
      <c r="Q193" s="70">
        <f>(Q28+Q29)*'DATA - P&amp;L'!$C$3</f>
        <v>0</v>
      </c>
      <c r="R193" s="70">
        <f>(R28+R29)*'DATA - P&amp;L'!$C$3</f>
        <v>0</v>
      </c>
      <c r="S193" s="70">
        <f>(S28+S29)*'DATA - P&amp;L'!$C$3</f>
        <v>0</v>
      </c>
      <c r="T193" s="70">
        <f>(T28+T29)*'DATA - P&amp;L'!$C$3</f>
        <v>0</v>
      </c>
      <c r="U193" s="70">
        <f>(U28+U29)*'DATA - P&amp;L'!$C$3</f>
        <v>0</v>
      </c>
      <c r="V193" s="70">
        <f>(V28+V29)*'DATA - P&amp;L'!$C$3</f>
        <v>0</v>
      </c>
      <c r="W193" s="70">
        <f>(W28+W29)*'DATA - P&amp;L'!$C$3</f>
        <v>0</v>
      </c>
      <c r="X193" s="70">
        <f>(X28+X29)*'DATA - P&amp;L'!$C$3</f>
        <v>0</v>
      </c>
      <c r="Y193" s="70">
        <f>(Y28+Y29)*'DATA - P&amp;L'!$C$3</f>
        <v>0</v>
      </c>
      <c r="Z193" s="70">
        <f>(Z28+Z29)*'DATA - P&amp;L'!$C$3</f>
        <v>0</v>
      </c>
      <c r="AA193" s="70">
        <f>(AA28+AA29)*'DATA - P&amp;L'!$C$3</f>
        <v>0</v>
      </c>
      <c r="AB193" s="70">
        <f>(AB28+AB29)*'DATA - P&amp;L'!$C$3</f>
        <v>0</v>
      </c>
      <c r="AC193" s="70">
        <f>(AC28+AC29)*'DATA - P&amp;L'!$C$3</f>
        <v>0</v>
      </c>
      <c r="AD193" s="70">
        <f>(AD28+AD29)*'DATA - P&amp;L'!$C$3</f>
        <v>0</v>
      </c>
      <c r="AE193" s="74">
        <f>(AE28+AE29)*'DATA - P&amp;L'!$C$3</f>
        <v>0</v>
      </c>
      <c r="AF193" s="65">
        <f t="shared" si="56"/>
        <v>0</v>
      </c>
    </row>
    <row r="194">
      <c r="A194" s="453" t="s">
        <v>386</v>
      </c>
      <c r="B194" s="70">
        <f>(B30+B31)*'DATA - P&amp;L'!$C$4</f>
        <v>1073.71</v>
      </c>
      <c r="C194" s="70">
        <f>(C30+C31)*'DATA - P&amp;L'!$C$4</f>
        <v>976.1</v>
      </c>
      <c r="D194" s="70">
        <f>(D30+D31)*'DATA - P&amp;L'!$C$4</f>
        <v>1659.37</v>
      </c>
      <c r="E194" s="70">
        <f>(E30+E31)*'DATA - P&amp;L'!$C$4</f>
        <v>2147.42</v>
      </c>
      <c r="F194" s="70">
        <f>(F30+F31)*'DATA - P&amp;L'!$C$4</f>
        <v>2049.81</v>
      </c>
      <c r="G194" s="70">
        <f>(G30+G31)*'DATA - P&amp;L'!$C$4</f>
        <v>1756.98</v>
      </c>
      <c r="H194" s="70">
        <f>(H30+H31)*'DATA - P&amp;L'!$C$4</f>
        <v>1268.93</v>
      </c>
      <c r="I194" s="70">
        <f>(I30+I31)*'DATA - P&amp;L'!$C$4</f>
        <v>976.1</v>
      </c>
      <c r="J194" s="70">
        <f>(J30+J31)*'DATA - P&amp;L'!$C$4</f>
        <v>2537.86</v>
      </c>
      <c r="K194" s="70">
        <f>(K30+K31)*'DATA - P&amp;L'!$C$4</f>
        <v>2147.42</v>
      </c>
      <c r="L194" s="70">
        <f>(L30+L31)*'DATA - P&amp;L'!$C$4</f>
        <v>2147.42</v>
      </c>
      <c r="M194" s="70">
        <f>(M30+M31)*'DATA - P&amp;L'!$C$4</f>
        <v>2635.47</v>
      </c>
      <c r="N194" s="70">
        <f>(N30+N31)*'DATA - P&amp;L'!$C$4</f>
        <v>2635.47</v>
      </c>
      <c r="O194" s="70">
        <f>(O30+O31)*'DATA - P&amp;L'!$C$4</f>
        <v>3025.91</v>
      </c>
      <c r="P194" s="70">
        <f>(P30+P31)*'DATA - P&amp;L'!$C$4</f>
        <v>1464.15</v>
      </c>
      <c r="Q194" s="70">
        <f>(Q30+Q31)*'DATA - P&amp;L'!$C$4</f>
        <v>2049.81</v>
      </c>
      <c r="R194" s="70">
        <f>(R30+R31)*'DATA - P&amp;L'!$C$4</f>
        <v>1756.98</v>
      </c>
      <c r="S194" s="70">
        <f>(S30+S31)*'DATA - P&amp;L'!$C$4</f>
        <v>2440.25</v>
      </c>
      <c r="T194" s="70">
        <f>(T30+T31)*'DATA - P&amp;L'!$C$4</f>
        <v>4782.89</v>
      </c>
      <c r="U194" s="70">
        <f>(U30+U31)*'DATA - P&amp;L'!$C$4</f>
        <v>3123.52</v>
      </c>
      <c r="V194" s="70">
        <f>(V30+V31)*'DATA - P&amp;L'!$C$4</f>
        <v>3025.91</v>
      </c>
      <c r="W194" s="70">
        <f>(W30+W31)*'DATA - P&amp;L'!$C$4</f>
        <v>4002.01</v>
      </c>
      <c r="X194" s="70">
        <f>(X30+X31)*'DATA - P&amp;L'!$C$4</f>
        <v>2049.81</v>
      </c>
      <c r="Y194" s="70">
        <f>(Y30+Y31)*'DATA - P&amp;L'!$C$4</f>
        <v>3806.79</v>
      </c>
      <c r="Z194" s="70">
        <f>(Z30+Z31)*'DATA - P&amp;L'!$C$4</f>
        <v>3123.52</v>
      </c>
      <c r="AA194" s="70">
        <f>(AA30+AA31)*'DATA - P&amp;L'!$C$4</f>
        <v>3513.96</v>
      </c>
      <c r="AB194" s="70">
        <f>(AB30+AB31)*'DATA - P&amp;L'!$C$4</f>
        <v>3318.74</v>
      </c>
      <c r="AC194" s="70">
        <f>(AC30+AC31)*'DATA - P&amp;L'!$C$4</f>
        <v>4002.01</v>
      </c>
      <c r="AD194" s="70">
        <f>(AD30+AD31)*'DATA - P&amp;L'!$C$4</f>
        <v>3611.57</v>
      </c>
      <c r="AE194" s="74">
        <f>(AE30+AE31)*'DATA - P&amp;L'!$C$4</f>
        <v>3123.52</v>
      </c>
      <c r="AF194" s="65">
        <f t="shared" si="56"/>
        <v>76233.41</v>
      </c>
    </row>
    <row r="195">
      <c r="A195" s="453" t="s">
        <v>388</v>
      </c>
      <c r="B195" s="70">
        <f>B34*'DATA - P&amp;L'!$C$6</f>
        <v>0</v>
      </c>
      <c r="C195" s="70">
        <f>C34*'DATA - P&amp;L'!$C$6</f>
        <v>0</v>
      </c>
      <c r="D195" s="70">
        <f>D34*'DATA - P&amp;L'!$C$6</f>
        <v>0</v>
      </c>
      <c r="E195" s="70">
        <f>E34*'DATA - P&amp;L'!$C$6</f>
        <v>0</v>
      </c>
      <c r="F195" s="70">
        <f>F34*'DATA - P&amp;L'!$C$6</f>
        <v>0</v>
      </c>
      <c r="G195" s="70">
        <f>G34*'DATA - P&amp;L'!$C$6</f>
        <v>0</v>
      </c>
      <c r="H195" s="70">
        <f>H34*'DATA - P&amp;L'!$C$6</f>
        <v>0</v>
      </c>
      <c r="I195" s="70">
        <f>I34*'DATA - P&amp;L'!$C$6</f>
        <v>0</v>
      </c>
      <c r="J195" s="70">
        <f>J34*'DATA - P&amp;L'!$C$6</f>
        <v>0</v>
      </c>
      <c r="K195" s="70">
        <f>K34*'DATA - P&amp;L'!$C$6</f>
        <v>0</v>
      </c>
      <c r="L195" s="70">
        <f>L34*'DATA - P&amp;L'!$C$6</f>
        <v>0</v>
      </c>
      <c r="M195" s="70">
        <f>M34*'DATA - P&amp;L'!$C$6</f>
        <v>0</v>
      </c>
      <c r="N195" s="70">
        <f>N34*'DATA - P&amp;L'!$C$6</f>
        <v>0</v>
      </c>
      <c r="O195" s="70">
        <f>O34*'DATA - P&amp;L'!$C$6</f>
        <v>0</v>
      </c>
      <c r="P195" s="70">
        <f>P34*'DATA - P&amp;L'!$C$6</f>
        <v>0</v>
      </c>
      <c r="Q195" s="70">
        <f>Q34*'DATA - P&amp;L'!$C$6</f>
        <v>0</v>
      </c>
      <c r="R195" s="70">
        <f>R34*'DATA - P&amp;L'!$C$6</f>
        <v>0</v>
      </c>
      <c r="S195" s="70">
        <f>S34*'DATA - P&amp;L'!$C$6</f>
        <v>0</v>
      </c>
      <c r="T195" s="70">
        <f>T34*'DATA - P&amp;L'!$C$6</f>
        <v>0</v>
      </c>
      <c r="U195" s="70">
        <f>U34*'DATA - P&amp;L'!$C$6</f>
        <v>0</v>
      </c>
      <c r="V195" s="70">
        <f>V34*'DATA - P&amp;L'!$C$6</f>
        <v>0</v>
      </c>
      <c r="W195" s="70">
        <f>W34*'DATA - P&amp;L'!$C$6</f>
        <v>0</v>
      </c>
      <c r="X195" s="70">
        <f>X34*'DATA - P&amp;L'!$C$6</f>
        <v>0</v>
      </c>
      <c r="Y195" s="70">
        <f>Y34*'DATA - P&amp;L'!$C$6</f>
        <v>0</v>
      </c>
      <c r="Z195" s="70">
        <f>Z34*'DATA - P&amp;L'!$C$6</f>
        <v>0</v>
      </c>
      <c r="AA195" s="70">
        <f>AA34*'DATA - P&amp;L'!$C$6</f>
        <v>0</v>
      </c>
      <c r="AB195" s="70">
        <f>AB34*'DATA - P&amp;L'!$C$6</f>
        <v>0</v>
      </c>
      <c r="AC195" s="70">
        <f>AC34*'DATA - P&amp;L'!$C$6</f>
        <v>0</v>
      </c>
      <c r="AD195" s="70">
        <f>AD34*'DATA - P&amp;L'!$C$6</f>
        <v>0</v>
      </c>
      <c r="AE195" s="74">
        <f>AE34*'DATA - P&amp;L'!$C$6</f>
        <v>0</v>
      </c>
      <c r="AF195" s="65">
        <f t="shared" si="56"/>
        <v>0</v>
      </c>
    </row>
    <row r="196">
      <c r="A196" s="453" t="s">
        <v>389</v>
      </c>
      <c r="B196" s="70">
        <f>B35*'DATA - P&amp;L'!$C$8</f>
        <v>0</v>
      </c>
      <c r="C196" s="70">
        <f>C35*'DATA - P&amp;L'!$C$8</f>
        <v>0</v>
      </c>
      <c r="D196" s="70">
        <f>D35*'DATA - P&amp;L'!$C$8</f>
        <v>0</v>
      </c>
      <c r="E196" s="70">
        <f>E35*'DATA - P&amp;L'!$C$8</f>
        <v>0</v>
      </c>
      <c r="F196" s="70">
        <f>F35*'DATA - P&amp;L'!$C$8</f>
        <v>0</v>
      </c>
      <c r="G196" s="70">
        <f>G35*'DATA - P&amp;L'!$C$8</f>
        <v>0</v>
      </c>
      <c r="H196" s="70">
        <f>H35*'DATA - P&amp;L'!$C$8</f>
        <v>0</v>
      </c>
      <c r="I196" s="70">
        <f>I35*'DATA - P&amp;L'!$C$8</f>
        <v>0</v>
      </c>
      <c r="J196" s="70">
        <f>J35*'DATA - P&amp;L'!$C$8</f>
        <v>0</v>
      </c>
      <c r="K196" s="70">
        <f>K35*'DATA - P&amp;L'!$C$8</f>
        <v>0</v>
      </c>
      <c r="L196" s="70">
        <f>L35*'DATA - P&amp;L'!$C$8</f>
        <v>0</v>
      </c>
      <c r="M196" s="70">
        <f>M35*'DATA - P&amp;L'!$C$8</f>
        <v>0</v>
      </c>
      <c r="N196" s="70">
        <f>N35*'DATA - P&amp;L'!$C$8</f>
        <v>0</v>
      </c>
      <c r="O196" s="70">
        <f>O35*'DATA - P&amp;L'!$C$8</f>
        <v>0</v>
      </c>
      <c r="P196" s="70">
        <f>P35*'DATA - P&amp;L'!$C$8</f>
        <v>0</v>
      </c>
      <c r="Q196" s="70">
        <f>Q35*'DATA - P&amp;L'!$C$8</f>
        <v>0</v>
      </c>
      <c r="R196" s="70">
        <f>R35*'DATA - P&amp;L'!$C$8</f>
        <v>0</v>
      </c>
      <c r="S196" s="70">
        <f>S35*'DATA - P&amp;L'!$C$8</f>
        <v>0</v>
      </c>
      <c r="T196" s="70">
        <f>T35*'DATA - P&amp;L'!$C$8</f>
        <v>0</v>
      </c>
      <c r="U196" s="70">
        <f>U35*'DATA - P&amp;L'!$C$8</f>
        <v>0</v>
      </c>
      <c r="V196" s="70">
        <f>V35*'DATA - P&amp;L'!$C$8</f>
        <v>0</v>
      </c>
      <c r="W196" s="70">
        <f>W35*'DATA - P&amp;L'!$C$8</f>
        <v>0</v>
      </c>
      <c r="X196" s="70">
        <f>X35*'DATA - P&amp;L'!$C$8</f>
        <v>0</v>
      </c>
      <c r="Y196" s="70">
        <f>Y35*'DATA - P&amp;L'!$C$8</f>
        <v>0</v>
      </c>
      <c r="Z196" s="70">
        <f>Z35*'DATA - P&amp;L'!$C$8</f>
        <v>0</v>
      </c>
      <c r="AA196" s="70">
        <f>AA35*'DATA - P&amp;L'!$C$8</f>
        <v>0</v>
      </c>
      <c r="AB196" s="70">
        <f>AB35*'DATA - P&amp;L'!$C$8</f>
        <v>0</v>
      </c>
      <c r="AC196" s="70">
        <f>AC35*'DATA - P&amp;L'!$C$8</f>
        <v>0</v>
      </c>
      <c r="AD196" s="70">
        <f>AD35*'DATA - P&amp;L'!$C$8</f>
        <v>0</v>
      </c>
      <c r="AE196" s="74">
        <f>AE35*'DATA - P&amp;L'!$C$8</f>
        <v>0</v>
      </c>
      <c r="AF196" s="65">
        <f t="shared" si="56"/>
        <v>0</v>
      </c>
    </row>
    <row r="197">
      <c r="A197" s="453" t="s">
        <v>393</v>
      </c>
      <c r="B197" s="70">
        <f>(B36+B37)*'DATA - P&amp;L'!$C$9</f>
        <v>0</v>
      </c>
      <c r="C197" s="70">
        <f>(C36+C37)*'DATA - P&amp;L'!$C$9</f>
        <v>0</v>
      </c>
      <c r="D197" s="70">
        <f>(D36+D37)*'DATA - P&amp;L'!$C$9</f>
        <v>0</v>
      </c>
      <c r="E197" s="70">
        <f>(E36+E37)*'DATA - P&amp;L'!$C$9</f>
        <v>0</v>
      </c>
      <c r="F197" s="70">
        <f>(F36+F37)*'DATA - P&amp;L'!$C$9</f>
        <v>0</v>
      </c>
      <c r="G197" s="70">
        <f>(G36+G37)*'DATA - P&amp;L'!$C$9</f>
        <v>0</v>
      </c>
      <c r="H197" s="70">
        <f>(H36+H37)*'DATA - P&amp;L'!$C$9</f>
        <v>0</v>
      </c>
      <c r="I197" s="70">
        <f>(I36+I37)*'DATA - P&amp;L'!$C$9</f>
        <v>0</v>
      </c>
      <c r="J197" s="70">
        <f>(J36+J37)*'DATA - P&amp;L'!$C$9</f>
        <v>0</v>
      </c>
      <c r="K197" s="70">
        <f>(K36+K37)*'DATA - P&amp;L'!$C$9</f>
        <v>0</v>
      </c>
      <c r="L197" s="70">
        <f>(L36+L37)*'DATA - P&amp;L'!$C$9</f>
        <v>0</v>
      </c>
      <c r="M197" s="70">
        <f>(M36+M37)*'DATA - P&amp;L'!$C$9</f>
        <v>0</v>
      </c>
      <c r="N197" s="70">
        <f>(N36+N37)*'DATA - P&amp;L'!$C$9</f>
        <v>0</v>
      </c>
      <c r="O197" s="70">
        <f>(O36+O37)*'DATA - P&amp;L'!$C$9</f>
        <v>0</v>
      </c>
      <c r="P197" s="70">
        <f>(P36+P37)*'DATA - P&amp;L'!$C$9</f>
        <v>0</v>
      </c>
      <c r="Q197" s="70">
        <f>(Q36+Q37)*'DATA - P&amp;L'!$C$9</f>
        <v>0</v>
      </c>
      <c r="R197" s="70">
        <f>(R36+R37)*'DATA - P&amp;L'!$C$9</f>
        <v>0</v>
      </c>
      <c r="S197" s="70">
        <f>(S36+S37)*'DATA - P&amp;L'!$C$9</f>
        <v>0</v>
      </c>
      <c r="T197" s="70">
        <f>(T36+T37)*'DATA - P&amp;L'!$C$9</f>
        <v>0</v>
      </c>
      <c r="U197" s="70">
        <f>(U36+U37)*'DATA - P&amp;L'!$C$9</f>
        <v>0</v>
      </c>
      <c r="V197" s="70">
        <f>(V36+V37)*'DATA - P&amp;L'!$C$9</f>
        <v>0</v>
      </c>
      <c r="W197" s="70">
        <f>(W36+W37)*'DATA - P&amp;L'!$C$9</f>
        <v>0</v>
      </c>
      <c r="X197" s="70">
        <f>(X36+X37)*'DATA - P&amp;L'!$C$9</f>
        <v>0</v>
      </c>
      <c r="Y197" s="70">
        <f>(Y36+Y37)*'DATA - P&amp;L'!$C$9</f>
        <v>0</v>
      </c>
      <c r="Z197" s="70">
        <f>(Z36+Z37)*'DATA - P&amp;L'!$C$9</f>
        <v>0</v>
      </c>
      <c r="AA197" s="70">
        <f>(AA36+AA37)*'DATA - P&amp;L'!$C$9</f>
        <v>0</v>
      </c>
      <c r="AB197" s="70">
        <f>(AB36+AB37)*'DATA - P&amp;L'!$C$9</f>
        <v>0</v>
      </c>
      <c r="AC197" s="70">
        <f>(AC36+AC37)*'DATA - P&amp;L'!$C$9</f>
        <v>0</v>
      </c>
      <c r="AD197" s="70">
        <f>(AD36+AD37)*'DATA - P&amp;L'!$C$9</f>
        <v>0</v>
      </c>
      <c r="AE197" s="74">
        <f>(AE36+AE37)*'DATA - P&amp;L'!$C$9</f>
        <v>0</v>
      </c>
      <c r="AF197" s="65">
        <f t="shared" si="56"/>
        <v>0</v>
      </c>
    </row>
    <row r="198">
      <c r="A198" s="453" t="s">
        <v>396</v>
      </c>
      <c r="B198" s="70">
        <f>(B38+B39)*'DATA - P&amp;L'!$C$5</f>
        <v>0</v>
      </c>
      <c r="C198" s="70">
        <f>(C38+C39)*'DATA - P&amp;L'!$C$5</f>
        <v>0</v>
      </c>
      <c r="D198" s="70">
        <f>(D38+D39)*'DATA - P&amp;L'!$C$5</f>
        <v>0</v>
      </c>
      <c r="E198" s="70">
        <f>(E38+E39)*'DATA - P&amp;L'!$C$5</f>
        <v>0</v>
      </c>
      <c r="F198" s="70">
        <f>(F38+F39)*'DATA - P&amp;L'!$C$5</f>
        <v>0</v>
      </c>
      <c r="G198" s="70">
        <f>(G38+G39)*'DATA - P&amp;L'!$C$5</f>
        <v>0</v>
      </c>
      <c r="H198" s="70">
        <f>(H38+H39)*'DATA - P&amp;L'!$C$5</f>
        <v>0</v>
      </c>
      <c r="I198" s="70">
        <f>(I38+I39)*'DATA - P&amp;L'!$C$5</f>
        <v>0</v>
      </c>
      <c r="J198" s="70">
        <f>(J38+J39)*'DATA - P&amp;L'!$C$5</f>
        <v>0</v>
      </c>
      <c r="K198" s="70">
        <f>(K38+K39)*'DATA - P&amp;L'!$C$5</f>
        <v>0</v>
      </c>
      <c r="L198" s="70">
        <f>(L38+L39)*'DATA - P&amp;L'!$C$5</f>
        <v>0</v>
      </c>
      <c r="M198" s="70">
        <f>(M38+M39)*'DATA - P&amp;L'!$C$5</f>
        <v>0</v>
      </c>
      <c r="N198" s="70">
        <f>(N38+N39)*'DATA - P&amp;L'!$C$5</f>
        <v>0</v>
      </c>
      <c r="O198" s="70">
        <f>(O38+O39)*'DATA - P&amp;L'!$C$5</f>
        <v>0</v>
      </c>
      <c r="P198" s="70">
        <f>(P38+P39)*'DATA - P&amp;L'!$C$5</f>
        <v>0</v>
      </c>
      <c r="Q198" s="70">
        <f>(Q38+Q39)*'DATA - P&amp;L'!$C$5</f>
        <v>0</v>
      </c>
      <c r="R198" s="70">
        <f>(R38+R39)*'DATA - P&amp;L'!$C$5</f>
        <v>0</v>
      </c>
      <c r="S198" s="70">
        <f>(S38+S39)*'DATA - P&amp;L'!$C$5</f>
        <v>0</v>
      </c>
      <c r="T198" s="70">
        <f>(T38+T39)*'DATA - P&amp;L'!$C$5</f>
        <v>0</v>
      </c>
      <c r="U198" s="70">
        <f>(U38+U39)*'DATA - P&amp;L'!$C$5</f>
        <v>0</v>
      </c>
      <c r="V198" s="70">
        <f>(V38+V39)*'DATA - P&amp;L'!$C$5</f>
        <v>0</v>
      </c>
      <c r="W198" s="70">
        <f>(W38+W39)*'DATA - P&amp;L'!$C$5</f>
        <v>0</v>
      </c>
      <c r="X198" s="70">
        <f>(X38+X39)*'DATA - P&amp;L'!$C$5</f>
        <v>0</v>
      </c>
      <c r="Y198" s="70">
        <f>(Y38+Y39)*'DATA - P&amp;L'!$C$5</f>
        <v>0</v>
      </c>
      <c r="Z198" s="70">
        <f>(Z38+Z39)*'DATA - P&amp;L'!$C$5</f>
        <v>0</v>
      </c>
      <c r="AA198" s="70">
        <f>(AA38+AA39)*'DATA - P&amp;L'!$C$5</f>
        <v>0</v>
      </c>
      <c r="AB198" s="70">
        <f>(AB38+AB39)*'DATA - P&amp;L'!$C$5</f>
        <v>0</v>
      </c>
      <c r="AC198" s="70">
        <f>(AC38+AC39)*'DATA - P&amp;L'!$C$5</f>
        <v>0</v>
      </c>
      <c r="AD198" s="70">
        <f>(AD38+AD39)*'DATA - P&amp;L'!$C$5</f>
        <v>0</v>
      </c>
      <c r="AE198" s="74">
        <f>(AE38+AE39)*'DATA - P&amp;L'!$C$5</f>
        <v>0</v>
      </c>
      <c r="AF198" s="65">
        <f t="shared" si="56"/>
        <v>0</v>
      </c>
    </row>
    <row r="199">
      <c r="A199" s="453" t="s">
        <v>398</v>
      </c>
      <c r="B199" s="456">
        <f>(B40+B41)*'DATA - P&amp;L'!$C$10</f>
        <v>0</v>
      </c>
      <c r="C199" s="456">
        <f>(C40+C41)*'DATA - P&amp;L'!$C$10</f>
        <v>0</v>
      </c>
      <c r="D199" s="456">
        <f>(D40+D41)*'DATA - P&amp;L'!$C$10</f>
        <v>0</v>
      </c>
      <c r="E199" s="456">
        <f>(E40+E41)*'DATA - P&amp;L'!$C$10</f>
        <v>0</v>
      </c>
      <c r="F199" s="456">
        <f>(F40+F41)*'DATA - P&amp;L'!$C$10</f>
        <v>0</v>
      </c>
      <c r="G199" s="456">
        <f>(G40+G41)*'DATA - P&amp;L'!$C$10</f>
        <v>0</v>
      </c>
      <c r="H199" s="456">
        <f>(H40+H41)*'DATA - P&amp;L'!$C$10</f>
        <v>0</v>
      </c>
      <c r="I199" s="456">
        <f>(I40+I41)*'DATA - P&amp;L'!$C$10</f>
        <v>0</v>
      </c>
      <c r="J199" s="456">
        <f>(J40+J41)*'DATA - P&amp;L'!$C$10</f>
        <v>0</v>
      </c>
      <c r="K199" s="456">
        <f>(K40+K41)*'DATA - P&amp;L'!$C$10</f>
        <v>0</v>
      </c>
      <c r="L199" s="456">
        <f>(L40+L41)*'DATA - P&amp;L'!$C$10</f>
        <v>0</v>
      </c>
      <c r="M199" s="456">
        <f>(M40+M41)*'DATA - P&amp;L'!$C$10</f>
        <v>0</v>
      </c>
      <c r="N199" s="456">
        <f>(N40+N41)*'DATA - P&amp;L'!$C$10</f>
        <v>0</v>
      </c>
      <c r="O199" s="456">
        <f>(O40+O41)*'DATA - P&amp;L'!$C$10</f>
        <v>0</v>
      </c>
      <c r="P199" s="456">
        <f>(P40+P41)*'DATA - P&amp;L'!$C$10</f>
        <v>0</v>
      </c>
      <c r="Q199" s="456">
        <f>(Q40+Q41)*'DATA - P&amp;L'!$C$10</f>
        <v>0</v>
      </c>
      <c r="R199" s="456">
        <f>(R40+R41)*'DATA - P&amp;L'!$C$10</f>
        <v>0</v>
      </c>
      <c r="S199" s="456">
        <f>(S40+S41)*'DATA - P&amp;L'!$C$10</f>
        <v>0</v>
      </c>
      <c r="T199" s="456">
        <f>(T40+T41)*'DATA - P&amp;L'!$C$10</f>
        <v>0</v>
      </c>
      <c r="U199" s="456">
        <f>(U40+U41)*'DATA - P&amp;L'!$C$10</f>
        <v>0</v>
      </c>
      <c r="V199" s="456">
        <f>(V40+V41)*'DATA - P&amp;L'!$C$10</f>
        <v>0</v>
      </c>
      <c r="W199" s="456">
        <f>(W40+W41)*'DATA - P&amp;L'!$C$10</f>
        <v>0</v>
      </c>
      <c r="X199" s="456">
        <f>(X40+X41)*'DATA - P&amp;L'!$C$10</f>
        <v>0</v>
      </c>
      <c r="Y199" s="456">
        <f>(Y40+Y41)*'DATA - P&amp;L'!$C$10</f>
        <v>0</v>
      </c>
      <c r="Z199" s="456">
        <f>(Z40+Z41)*'DATA - P&amp;L'!$C$10</f>
        <v>0</v>
      </c>
      <c r="AA199" s="456">
        <f>(AA40+AA41)*'DATA - P&amp;L'!$C$10</f>
        <v>0</v>
      </c>
      <c r="AB199" s="456">
        <f>(AB40+AB41)*'DATA - P&amp;L'!$C$10</f>
        <v>0</v>
      </c>
      <c r="AC199" s="456">
        <f>(AC40+AC41)*'DATA - P&amp;L'!$C$10</f>
        <v>0</v>
      </c>
      <c r="AD199" s="456">
        <f>(AD40+AD41)*'DATA - P&amp;L'!$C$10</f>
        <v>0</v>
      </c>
      <c r="AE199" s="457">
        <f>(AE40+AE41)*'DATA - P&amp;L'!$C$10</f>
        <v>0</v>
      </c>
      <c r="AF199" s="65">
        <f t="shared" si="56"/>
        <v>0</v>
      </c>
    </row>
    <row r="200">
      <c r="A200" s="458" t="s">
        <v>400</v>
      </c>
      <c r="B200" s="70">
        <f>B32*'DATA - P&amp;L'!$C$43</f>
        <v>131.34</v>
      </c>
      <c r="C200" s="70">
        <f>C32*'DATA - P&amp;L'!$C$43</f>
        <v>119.4</v>
      </c>
      <c r="D200" s="70">
        <f>D32*'DATA - P&amp;L'!$C$43</f>
        <v>202.98</v>
      </c>
      <c r="E200" s="70">
        <f>E32*'DATA - P&amp;L'!$C$43</f>
        <v>262.68</v>
      </c>
      <c r="F200" s="70">
        <f>F32*'DATA - P&amp;L'!$C$43</f>
        <v>250.74</v>
      </c>
      <c r="G200" s="70">
        <f>G32*'DATA - P&amp;L'!$C$43</f>
        <v>214.92</v>
      </c>
      <c r="H200" s="70">
        <f>H32*'DATA - P&amp;L'!$C$43</f>
        <v>155.22</v>
      </c>
      <c r="I200" s="70">
        <f>I32*'DATA - P&amp;L'!$C$43</f>
        <v>119.4</v>
      </c>
      <c r="J200" s="70">
        <f>J32*'DATA - P&amp;L'!$C$43</f>
        <v>310.44</v>
      </c>
      <c r="K200" s="70">
        <f>K32*'DATA - P&amp;L'!$C$43</f>
        <v>262.68</v>
      </c>
      <c r="L200" s="70">
        <f>L32*'DATA - P&amp;L'!$C$43</f>
        <v>262.68</v>
      </c>
      <c r="M200" s="70">
        <f>M32*'DATA - P&amp;L'!$C$43</f>
        <v>322.38</v>
      </c>
      <c r="N200" s="70">
        <f>N32*'DATA - P&amp;L'!$C$43</f>
        <v>322.38</v>
      </c>
      <c r="O200" s="70">
        <f>O32*'DATA - P&amp;L'!$C$43</f>
        <v>370.14</v>
      </c>
      <c r="P200" s="70">
        <f>P32*'DATA - P&amp;L'!$C$43</f>
        <v>179.1</v>
      </c>
      <c r="Q200" s="70">
        <f>Q32*'DATA - P&amp;L'!$C$43</f>
        <v>250.74</v>
      </c>
      <c r="R200" s="70">
        <f>R32*'DATA - P&amp;L'!$C$43</f>
        <v>214.92</v>
      </c>
      <c r="S200" s="70">
        <f>S32*'DATA - P&amp;L'!$C$43</f>
        <v>298.5</v>
      </c>
      <c r="T200" s="70">
        <f>T32*'DATA - P&amp;L'!$C$43</f>
        <v>585.06</v>
      </c>
      <c r="U200" s="70">
        <f>U32*'DATA - P&amp;L'!$C$43</f>
        <v>382.08</v>
      </c>
      <c r="V200" s="70">
        <f>V32*'DATA - P&amp;L'!$C$43</f>
        <v>370.14</v>
      </c>
      <c r="W200" s="70">
        <f>W32*'DATA - P&amp;L'!$C$43</f>
        <v>489.54</v>
      </c>
      <c r="X200" s="70">
        <f>X32*'DATA - P&amp;L'!$C$43</f>
        <v>250.74</v>
      </c>
      <c r="Y200" s="70">
        <f>Y32*'DATA - P&amp;L'!$C$43</f>
        <v>465.66</v>
      </c>
      <c r="Z200" s="70">
        <f>Z32*'DATA - P&amp;L'!$C$43</f>
        <v>382.08</v>
      </c>
      <c r="AA200" s="70">
        <f>AA32*'DATA - P&amp;L'!$C$43</f>
        <v>429.84</v>
      </c>
      <c r="AB200" s="70">
        <f>AB32*'DATA - P&amp;L'!$C$43</f>
        <v>405.96</v>
      </c>
      <c r="AC200" s="70">
        <f>AC32*'DATA - P&amp;L'!$C$43</f>
        <v>489.54</v>
      </c>
      <c r="AD200" s="70">
        <f>AD32*'DATA - P&amp;L'!$C$43</f>
        <v>441.78</v>
      </c>
      <c r="AE200" s="74">
        <f>AE32*'DATA - P&amp;L'!$C$43</f>
        <v>382.08</v>
      </c>
      <c r="AF200" s="65">
        <f t="shared" si="56"/>
        <v>9325.14</v>
      </c>
    </row>
    <row r="201">
      <c r="A201" s="458" t="s">
        <v>407</v>
      </c>
      <c r="B201" s="456">
        <f>(B32*'DATA - P&amp;L'!$C$46)+(B32*'DATA - P&amp;L'!$C$50)</f>
        <v>263.34</v>
      </c>
      <c r="C201" s="456">
        <f>(C32*'DATA - P&amp;L'!$C$46)+(C32*'DATA - P&amp;L'!$C$50)</f>
        <v>239.4</v>
      </c>
      <c r="D201" s="456">
        <f>(D32*'DATA - P&amp;L'!$C$46)+(D32*'DATA - P&amp;L'!$C$50)</f>
        <v>406.98</v>
      </c>
      <c r="E201" s="456">
        <f>(E32*'DATA - P&amp;L'!$C$46)+(E32*'DATA - P&amp;L'!$C$50)</f>
        <v>526.68</v>
      </c>
      <c r="F201" s="456">
        <f>(F32*'DATA - P&amp;L'!$C$46)+(F32*'DATA - P&amp;L'!$C$50)</f>
        <v>502.74</v>
      </c>
      <c r="G201" s="456">
        <f>(G32*'DATA - P&amp;L'!$C$46)+(G32*'DATA - P&amp;L'!$C$50)</f>
        <v>430.92</v>
      </c>
      <c r="H201" s="456">
        <f>(H32*'DATA - P&amp;L'!$C$46)+(H32*'DATA - P&amp;L'!$C$50)</f>
        <v>311.22</v>
      </c>
      <c r="I201" s="456">
        <f>(I32*'DATA - P&amp;L'!$C$46)+(I32*'DATA - P&amp;L'!$C$50)</f>
        <v>239.4</v>
      </c>
      <c r="J201" s="456">
        <f>(J32*'DATA - P&amp;L'!$C$46)+(J32*'DATA - P&amp;L'!$C$50)</f>
        <v>622.44</v>
      </c>
      <c r="K201" s="456">
        <f>(K32*'DATA - P&amp;L'!$C$46)+(K32*'DATA - P&amp;L'!$C$50)</f>
        <v>526.68</v>
      </c>
      <c r="L201" s="456">
        <f>(L32*'DATA - P&amp;L'!$C$46)+(L32*'DATA - P&amp;L'!$C$50)</f>
        <v>526.68</v>
      </c>
      <c r="M201" s="456">
        <f>(M32*'DATA - P&amp;L'!$C$46)+(M32*'DATA - P&amp;L'!$C$50)</f>
        <v>646.38</v>
      </c>
      <c r="N201" s="456">
        <f>(N32*'DATA - P&amp;L'!$C$46)+(N32*'DATA - P&amp;L'!$C$50)</f>
        <v>646.38</v>
      </c>
      <c r="O201" s="456">
        <f>(O32*'DATA - P&amp;L'!$C$46)+(O32*'DATA - P&amp;L'!$C$50)</f>
        <v>742.14</v>
      </c>
      <c r="P201" s="456">
        <f>(P32*'DATA - P&amp;L'!$C$46)+(P32*'DATA - P&amp;L'!$C$50)</f>
        <v>359.1</v>
      </c>
      <c r="Q201" s="456">
        <f>(Q32*'DATA - P&amp;L'!$C$46)+(Q32*'DATA - P&amp;L'!$C$50)</f>
        <v>502.74</v>
      </c>
      <c r="R201" s="456">
        <f>(R32*'DATA - P&amp;L'!$C$46)+(R32*'DATA - P&amp;L'!$C$50)</f>
        <v>430.92</v>
      </c>
      <c r="S201" s="456">
        <f>(S32*'DATA - P&amp;L'!$C$46)+(S32*'DATA - P&amp;L'!$C$50)</f>
        <v>598.5</v>
      </c>
      <c r="T201" s="456">
        <f>(T32*'DATA - P&amp;L'!$C$46)+(T32*'DATA - P&amp;L'!$C$50)</f>
        <v>1173.06</v>
      </c>
      <c r="U201" s="456">
        <f>(U32*'DATA - P&amp;L'!$C$46)+(U32*'DATA - P&amp;L'!$C$50)</f>
        <v>766.08</v>
      </c>
      <c r="V201" s="456">
        <f>(V32*'DATA - P&amp;L'!$C$46)+(V32*'DATA - P&amp;L'!$C$50)</f>
        <v>742.14</v>
      </c>
      <c r="W201" s="456">
        <f>(W32*'DATA - P&amp;L'!$C$46)+(W32*'DATA - P&amp;L'!$C$50)</f>
        <v>981.54</v>
      </c>
      <c r="X201" s="456">
        <f>(X32*'DATA - P&amp;L'!$C$46)+(X32*'DATA - P&amp;L'!$C$50)</f>
        <v>502.74</v>
      </c>
      <c r="Y201" s="456">
        <f>(Y32*'DATA - P&amp;L'!$C$46)+(Y32*'DATA - P&amp;L'!$C$50)</f>
        <v>933.66</v>
      </c>
      <c r="Z201" s="456">
        <f>(Z32*'DATA - P&amp;L'!$C$46)+(Z32*'DATA - P&amp;L'!$C$50)</f>
        <v>766.08</v>
      </c>
      <c r="AA201" s="456">
        <f>(AA32*'DATA - P&amp;L'!$C$46)+(AA32*'DATA - P&amp;L'!$C$50)</f>
        <v>861.84</v>
      </c>
      <c r="AB201" s="456">
        <f>(AB32*'DATA - P&amp;L'!$C$46)+(AB32*'DATA - P&amp;L'!$C$50)</f>
        <v>813.96</v>
      </c>
      <c r="AC201" s="456">
        <f>(AC32*'DATA - P&amp;L'!$C$46)+(AC32*'DATA - P&amp;L'!$C$50)</f>
        <v>981.54</v>
      </c>
      <c r="AD201" s="456">
        <f>(AD32*'DATA - P&amp;L'!$C$46)+(AD32*'DATA - P&amp;L'!$C$50)</f>
        <v>885.78</v>
      </c>
      <c r="AE201" s="457">
        <f>(AE32*'DATA - P&amp;L'!$C$46)+(AE32*'DATA - P&amp;L'!$C$50)</f>
        <v>766.08</v>
      </c>
      <c r="AF201" s="65">
        <f t="shared" si="56"/>
        <v>18697.14</v>
      </c>
    </row>
    <row r="202">
      <c r="A202" s="458" t="s">
        <v>410</v>
      </c>
      <c r="B202" s="70">
        <f>B42*'DATA - P&amp;L'!$D$43</f>
        <v>0</v>
      </c>
      <c r="C202" s="70">
        <f>C42*'DATA - P&amp;L'!$D$43</f>
        <v>0</v>
      </c>
      <c r="D202" s="70">
        <f>D42*'DATA - P&amp;L'!$D$43</f>
        <v>0</v>
      </c>
      <c r="E202" s="70">
        <f>E42*'DATA - P&amp;L'!$D$43</f>
        <v>0</v>
      </c>
      <c r="F202" s="70">
        <f>F42*'DATA - P&amp;L'!$D$43</f>
        <v>0</v>
      </c>
      <c r="G202" s="70">
        <f>G42*'DATA - P&amp;L'!$D$43</f>
        <v>0</v>
      </c>
      <c r="H202" s="70">
        <f>H42*'DATA - P&amp;L'!$D$43</f>
        <v>0</v>
      </c>
      <c r="I202" s="70">
        <f>I42*'DATA - P&amp;L'!$D$43</f>
        <v>0</v>
      </c>
      <c r="J202" s="70">
        <f>J42*'DATA - P&amp;L'!$D$43</f>
        <v>0</v>
      </c>
      <c r="K202" s="70">
        <f>K42*'DATA - P&amp;L'!$D$43</f>
        <v>0</v>
      </c>
      <c r="L202" s="70">
        <f>L42*'DATA - P&amp;L'!$D$43</f>
        <v>0</v>
      </c>
      <c r="M202" s="70">
        <f>M42*'DATA - P&amp;L'!$D$43</f>
        <v>0</v>
      </c>
      <c r="N202" s="70">
        <f>N42*'DATA - P&amp;L'!$D$43</f>
        <v>0</v>
      </c>
      <c r="O202" s="70">
        <f>O42*'DATA - P&amp;L'!$D$43</f>
        <v>0</v>
      </c>
      <c r="P202" s="70">
        <f>P42*'DATA - P&amp;L'!$D$43</f>
        <v>0</v>
      </c>
      <c r="Q202" s="70">
        <f>Q42*'DATA - P&amp;L'!$D$43</f>
        <v>0</v>
      </c>
      <c r="R202" s="70">
        <f>R42*'DATA - P&amp;L'!$D$43</f>
        <v>0</v>
      </c>
      <c r="S202" s="70">
        <f>S42*'DATA - P&amp;L'!$D$43</f>
        <v>0</v>
      </c>
      <c r="T202" s="70">
        <f>T42*'DATA - P&amp;L'!$D$43</f>
        <v>0</v>
      </c>
      <c r="U202" s="70">
        <f>U42*'DATA - P&amp;L'!$D$43</f>
        <v>0</v>
      </c>
      <c r="V202" s="70">
        <f>V42*'DATA - P&amp;L'!$D$43</f>
        <v>0</v>
      </c>
      <c r="W202" s="70">
        <f>W42*'DATA - P&amp;L'!$D$43</f>
        <v>0</v>
      </c>
      <c r="X202" s="70">
        <f>X42*'DATA - P&amp;L'!$D$43</f>
        <v>0</v>
      </c>
      <c r="Y202" s="70">
        <f>Y42*'DATA - P&amp;L'!$D$43</f>
        <v>0</v>
      </c>
      <c r="Z202" s="70">
        <f>Z42*'DATA - P&amp;L'!$D$43</f>
        <v>0</v>
      </c>
      <c r="AA202" s="70">
        <f>AA42*'DATA - P&amp;L'!$D$43</f>
        <v>0</v>
      </c>
      <c r="AB202" s="70">
        <f>AB42*'DATA - P&amp;L'!$D$43</f>
        <v>0</v>
      </c>
      <c r="AC202" s="70">
        <f>AC42*'DATA - P&amp;L'!$D$43</f>
        <v>0</v>
      </c>
      <c r="AD202" s="70">
        <f>AD42*'DATA - P&amp;L'!$D$43</f>
        <v>0</v>
      </c>
      <c r="AE202" s="74">
        <f>AE42*'DATA - P&amp;L'!$D$43</f>
        <v>0</v>
      </c>
      <c r="AF202" s="65">
        <f t="shared" si="56"/>
        <v>0</v>
      </c>
    </row>
    <row r="203">
      <c r="A203" s="458" t="s">
        <v>414</v>
      </c>
      <c r="B203" s="70">
        <f>(B42*'DATA - P&amp;L'!$C$47)+(B42*'DATA - P&amp;L'!$C$51)</f>
        <v>0</v>
      </c>
      <c r="C203" s="70">
        <f>(C42*'DATA - P&amp;L'!$C$47)+(C42*'DATA - P&amp;L'!$C$51)</f>
        <v>0</v>
      </c>
      <c r="D203" s="70">
        <f>(D42*'DATA - P&amp;L'!$C$47)+(D42*'DATA - P&amp;L'!$C$51)</f>
        <v>0</v>
      </c>
      <c r="E203" s="70">
        <f>(E42*'DATA - P&amp;L'!$C$47)+(E42*'DATA - P&amp;L'!$C$51)</f>
        <v>0</v>
      </c>
      <c r="F203" s="70">
        <f>(F42*'DATA - P&amp;L'!$C$47)+(F42*'DATA - P&amp;L'!$C$51)</f>
        <v>0</v>
      </c>
      <c r="G203" s="70">
        <f>(G42*'DATA - P&amp;L'!$C$47)+(G42*'DATA - P&amp;L'!$C$51)</f>
        <v>0</v>
      </c>
      <c r="H203" s="70">
        <f>(H42*'DATA - P&amp;L'!$C$47)+(H42*'DATA - P&amp;L'!$C$51)</f>
        <v>0</v>
      </c>
      <c r="I203" s="70">
        <f>(I42*'DATA - P&amp;L'!$C$47)+(I42*'DATA - P&amp;L'!$C$51)</f>
        <v>0</v>
      </c>
      <c r="J203" s="70">
        <f>(J42*'DATA - P&amp;L'!$C$47)+(J42*'DATA - P&amp;L'!$C$51)</f>
        <v>0</v>
      </c>
      <c r="K203" s="70">
        <f>(K42*'DATA - P&amp;L'!$C$47)+(K42*'DATA - P&amp;L'!$C$51)</f>
        <v>0</v>
      </c>
      <c r="L203" s="70">
        <f>(L42*'DATA - P&amp;L'!$C$47)+(L42*'DATA - P&amp;L'!$C$51)</f>
        <v>0</v>
      </c>
      <c r="M203" s="70">
        <f>(M42*'DATA - P&amp;L'!$C$47)+(M42*'DATA - P&amp;L'!$C$51)</f>
        <v>0</v>
      </c>
      <c r="N203" s="70">
        <f>(N42*'DATA - P&amp;L'!$C$47)+(N42*'DATA - P&amp;L'!$C$51)</f>
        <v>0</v>
      </c>
      <c r="O203" s="70">
        <f>(O42*'DATA - P&amp;L'!$C$47)+(O42*'DATA - P&amp;L'!$C$51)</f>
        <v>0</v>
      </c>
      <c r="P203" s="70">
        <f>(P42*'DATA - P&amp;L'!$C$47)+(P42*'DATA - P&amp;L'!$C$51)</f>
        <v>0</v>
      </c>
      <c r="Q203" s="70">
        <f>(Q42*'DATA - P&amp;L'!$C$47)+(Q42*'DATA - P&amp;L'!$C$51)</f>
        <v>0</v>
      </c>
      <c r="R203" s="70">
        <f>(R42*'DATA - P&amp;L'!$C$47)+(R42*'DATA - P&amp;L'!$C$51)</f>
        <v>0</v>
      </c>
      <c r="S203" s="70">
        <f>(S42*'DATA - P&amp;L'!$C$47)+(S42*'DATA - P&amp;L'!$C$51)</f>
        <v>0</v>
      </c>
      <c r="T203" s="70">
        <f>(T42*'DATA - P&amp;L'!$C$47)+(T42*'DATA - P&amp;L'!$C$51)</f>
        <v>0</v>
      </c>
      <c r="U203" s="70">
        <f>(U42*'DATA - P&amp;L'!$C$47)+(U42*'DATA - P&amp;L'!$C$51)</f>
        <v>0</v>
      </c>
      <c r="V203" s="70">
        <f>(V42*'DATA - P&amp;L'!$C$47)+(V42*'DATA - P&amp;L'!$C$51)</f>
        <v>0</v>
      </c>
      <c r="W203" s="70">
        <f>(W42*'DATA - P&amp;L'!$C$47)+(W42*'DATA - P&amp;L'!$C$51)</f>
        <v>0</v>
      </c>
      <c r="X203" s="70">
        <f>(X42*'DATA - P&amp;L'!$C$47)+(X42*'DATA - P&amp;L'!$C$51)</f>
        <v>0</v>
      </c>
      <c r="Y203" s="70">
        <f>(Y42*'DATA - P&amp;L'!$C$47)+(Y42*'DATA - P&amp;L'!$C$51)</f>
        <v>0</v>
      </c>
      <c r="Z203" s="70">
        <f>(Z42*'DATA - P&amp;L'!$C$47)+(Z42*'DATA - P&amp;L'!$C$51)</f>
        <v>0</v>
      </c>
      <c r="AA203" s="70">
        <f>(AA42*'DATA - P&amp;L'!$C$47)+(AA42*'DATA - P&amp;L'!$C$51)</f>
        <v>0</v>
      </c>
      <c r="AB203" s="70">
        <f>(AB42*'DATA - P&amp;L'!$C$47)+(AB42*'DATA - P&amp;L'!$C$51)</f>
        <v>0</v>
      </c>
      <c r="AC203" s="70">
        <f>(AC42*'DATA - P&amp;L'!$C$47)+(AC42*'DATA - P&amp;L'!$C$51)</f>
        <v>0</v>
      </c>
      <c r="AD203" s="70">
        <f>(AD42*'DATA - P&amp;L'!$C$47)+(AD42*'DATA - P&amp;L'!$C$51)</f>
        <v>0</v>
      </c>
      <c r="AE203" s="74">
        <f>(AE42*'DATA - P&amp;L'!$C$47)+(AE42*'DATA - P&amp;L'!$C$51)</f>
        <v>0</v>
      </c>
      <c r="AF203" s="65">
        <f t="shared" si="56"/>
        <v>0</v>
      </c>
    </row>
    <row r="204">
      <c r="A204" s="458" t="s">
        <v>419</v>
      </c>
      <c r="B204" s="70">
        <f>(B32*'DATA - P&amp;L'!$C$44)+(B42*'DATA - P&amp;L'!$D$44)</f>
        <v>2.64</v>
      </c>
      <c r="C204" s="70">
        <f>(C32*'DATA - P&amp;L'!$C$44)+(C42*'DATA - P&amp;L'!$D$44)</f>
        <v>2.4</v>
      </c>
      <c r="D204" s="70">
        <f>(D32*'DATA - P&amp;L'!$C$44)+(D42*'DATA - P&amp;L'!$D$44)</f>
        <v>4.08</v>
      </c>
      <c r="E204" s="70">
        <f>(E32*'DATA - P&amp;L'!$C$44)+(E42*'DATA - P&amp;L'!$D$44)</f>
        <v>5.28</v>
      </c>
      <c r="F204" s="70">
        <f>(F32*'DATA - P&amp;L'!$C$44)+(F42*'DATA - P&amp;L'!$D$44)</f>
        <v>5.04</v>
      </c>
      <c r="G204" s="70">
        <f>(G32*'DATA - P&amp;L'!$C$44)+(G42*'DATA - P&amp;L'!$D$44)</f>
        <v>4.32</v>
      </c>
      <c r="H204" s="70">
        <f>(H32*'DATA - P&amp;L'!$C$44)+(H42*'DATA - P&amp;L'!$D$44)</f>
        <v>3.12</v>
      </c>
      <c r="I204" s="70">
        <f>(I32*'DATA - P&amp;L'!$C$44)+(I42*'DATA - P&amp;L'!$D$44)</f>
        <v>2.4</v>
      </c>
      <c r="J204" s="70">
        <f>(J32*'DATA - P&amp;L'!$C$44)+(J42*'DATA - P&amp;L'!$D$44)</f>
        <v>6.24</v>
      </c>
      <c r="K204" s="70">
        <f>(K32*'DATA - P&amp;L'!$C$44)+(K42*'DATA - P&amp;L'!$D$44)</f>
        <v>5.28</v>
      </c>
      <c r="L204" s="70">
        <f>(L32*'DATA - P&amp;L'!$C$44)+(L42*'DATA - P&amp;L'!$D$44)</f>
        <v>5.28</v>
      </c>
      <c r="M204" s="70">
        <f>(M32*'DATA - P&amp;L'!$C$44)+(M42*'DATA - P&amp;L'!$D$44)</f>
        <v>6.48</v>
      </c>
      <c r="N204" s="70">
        <f>(N32*'DATA - P&amp;L'!$C$44)+(N42*'DATA - P&amp;L'!$D$44)</f>
        <v>6.48</v>
      </c>
      <c r="O204" s="70">
        <f>(O32*'DATA - P&amp;L'!$C$44)+(O42*'DATA - P&amp;L'!$D$44)</f>
        <v>7.44</v>
      </c>
      <c r="P204" s="70">
        <f>(P32*'DATA - P&amp;L'!$C$44)+(P42*'DATA - P&amp;L'!$D$44)</f>
        <v>3.6</v>
      </c>
      <c r="Q204" s="70">
        <f>(Q32*'DATA - P&amp;L'!$C$44)+(Q42*'DATA - P&amp;L'!$D$44)</f>
        <v>5.04</v>
      </c>
      <c r="R204" s="70">
        <f>(R32*'DATA - P&amp;L'!$C$44)+(R42*'DATA - P&amp;L'!$D$44)</f>
        <v>4.32</v>
      </c>
      <c r="S204" s="70">
        <f>(S32*'DATA - P&amp;L'!$C$44)+(S42*'DATA - P&amp;L'!$D$44)</f>
        <v>6</v>
      </c>
      <c r="T204" s="70">
        <f>(T32*'DATA - P&amp;L'!$C$44)+(T42*'DATA - P&amp;L'!$D$44)</f>
        <v>11.76</v>
      </c>
      <c r="U204" s="70">
        <f>(U32*'DATA - P&amp;L'!$C$44)+(U42*'DATA - P&amp;L'!$D$44)</f>
        <v>7.68</v>
      </c>
      <c r="V204" s="70">
        <f>(V32*'DATA - P&amp;L'!$C$44)+(V42*'DATA - P&amp;L'!$D$44)</f>
        <v>7.44</v>
      </c>
      <c r="W204" s="70">
        <f>(W32*'DATA - P&amp;L'!$C$44)+(W42*'DATA - P&amp;L'!$D$44)</f>
        <v>9.84</v>
      </c>
      <c r="X204" s="70">
        <f>(X32*'DATA - P&amp;L'!$C$44)+(X42*'DATA - P&amp;L'!$D$44)</f>
        <v>5.04</v>
      </c>
      <c r="Y204" s="70">
        <f>(Y32*'DATA - P&amp;L'!$C$44)+(Y42*'DATA - P&amp;L'!$D$44)</f>
        <v>9.36</v>
      </c>
      <c r="Z204" s="70">
        <f>(Z32*'DATA - P&amp;L'!$C$44)+(Z42*'DATA - P&amp;L'!$D$44)</f>
        <v>7.68</v>
      </c>
      <c r="AA204" s="70">
        <f>(AA32*'DATA - P&amp;L'!$C$44)+(AA42*'DATA - P&amp;L'!$D$44)</f>
        <v>8.64</v>
      </c>
      <c r="AB204" s="70">
        <f>(AB32*'DATA - P&amp;L'!$C$44)+(AB42*'DATA - P&amp;L'!$D$44)</f>
        <v>8.16</v>
      </c>
      <c r="AC204" s="70">
        <f>(AC32*'DATA - P&amp;L'!$C$44)+(AC42*'DATA - P&amp;L'!$D$44)</f>
        <v>9.84</v>
      </c>
      <c r="AD204" s="70">
        <f>(AD32*'DATA - P&amp;L'!$C$44)+(AD42*'DATA - P&amp;L'!$D$44)</f>
        <v>8.88</v>
      </c>
      <c r="AE204" s="74">
        <f>(AE32*'DATA - P&amp;L'!$C$44)+(AE42*'DATA - P&amp;L'!$D$44)</f>
        <v>7.68</v>
      </c>
      <c r="AF204" s="65">
        <f t="shared" si="56"/>
        <v>187.44</v>
      </c>
    </row>
    <row r="205">
      <c r="A205" s="461" t="s">
        <v>420</v>
      </c>
      <c r="B205" s="70">
        <f t="shared" ref="B205:AE205" si="57">B22</f>
        <v>205.77</v>
      </c>
      <c r="C205" s="70">
        <f t="shared" si="57"/>
        <v>210.38</v>
      </c>
      <c r="D205" s="70">
        <f t="shared" si="57"/>
        <v>302.63</v>
      </c>
      <c r="E205" s="70">
        <f t="shared" si="57"/>
        <v>423.13</v>
      </c>
      <c r="F205" s="70">
        <f t="shared" si="57"/>
        <v>410.82</v>
      </c>
      <c r="G205" s="70">
        <f t="shared" si="57"/>
        <v>328.65</v>
      </c>
      <c r="H205" s="70">
        <f t="shared" si="57"/>
        <v>221.96</v>
      </c>
      <c r="I205" s="70">
        <f t="shared" si="57"/>
        <v>195.94</v>
      </c>
      <c r="J205" s="70">
        <f t="shared" si="57"/>
        <v>524.61</v>
      </c>
      <c r="K205" s="70">
        <f t="shared" si="57"/>
        <v>451.31</v>
      </c>
      <c r="L205" s="70">
        <f t="shared" si="57"/>
        <v>392.02</v>
      </c>
      <c r="M205" s="70">
        <f t="shared" si="57"/>
        <v>499.26</v>
      </c>
      <c r="N205" s="70">
        <f t="shared" si="57"/>
        <v>554.7</v>
      </c>
      <c r="O205" s="70">
        <f t="shared" si="57"/>
        <v>583.53</v>
      </c>
      <c r="P205" s="70">
        <f t="shared" si="57"/>
        <v>320.37</v>
      </c>
      <c r="Q205" s="70">
        <f t="shared" si="57"/>
        <v>382.52</v>
      </c>
      <c r="R205" s="70">
        <f t="shared" si="57"/>
        <v>342.06</v>
      </c>
      <c r="S205" s="70">
        <f t="shared" si="57"/>
        <v>506.38</v>
      </c>
      <c r="T205" s="70">
        <f t="shared" si="57"/>
        <v>989.01</v>
      </c>
      <c r="U205" s="70">
        <f t="shared" si="57"/>
        <v>581.41</v>
      </c>
      <c r="V205" s="70">
        <f t="shared" si="57"/>
        <v>602.81</v>
      </c>
      <c r="W205" s="70">
        <f t="shared" si="57"/>
        <v>795.33</v>
      </c>
      <c r="X205" s="70">
        <f t="shared" si="57"/>
        <v>424.74</v>
      </c>
      <c r="Y205" s="70">
        <f t="shared" si="57"/>
        <v>795.77</v>
      </c>
      <c r="Z205" s="70">
        <f t="shared" si="57"/>
        <v>629.32</v>
      </c>
      <c r="AA205" s="70">
        <f t="shared" si="57"/>
        <v>699.27</v>
      </c>
      <c r="AB205" s="70">
        <f t="shared" si="57"/>
        <v>608.52</v>
      </c>
      <c r="AC205" s="70">
        <f t="shared" si="57"/>
        <v>823.17</v>
      </c>
      <c r="AD205" s="70">
        <f t="shared" si="57"/>
        <v>705.3</v>
      </c>
      <c r="AE205" s="74">
        <f t="shared" si="57"/>
        <v>520.9</v>
      </c>
      <c r="AF205" s="65">
        <f t="shared" si="56"/>
        <v>15031.59</v>
      </c>
    </row>
    <row r="206">
      <c r="A206" s="20" t="s">
        <v>421</v>
      </c>
      <c r="B206" s="70">
        <f t="shared" ref="B206:AE206" si="58">B23</f>
        <v>6.99</v>
      </c>
      <c r="C206" s="70">
        <f t="shared" si="58"/>
        <v>0.29</v>
      </c>
      <c r="D206" s="70">
        <f t="shared" si="58"/>
        <v>13.75</v>
      </c>
      <c r="E206" s="70">
        <f t="shared" si="58"/>
        <v>0.29</v>
      </c>
      <c r="F206" s="70">
        <f t="shared" si="58"/>
        <v>0</v>
      </c>
      <c r="G206" s="70">
        <f t="shared" si="58"/>
        <v>0.58</v>
      </c>
      <c r="H206" s="70">
        <f t="shared" si="58"/>
        <v>0</v>
      </c>
      <c r="I206" s="70">
        <f t="shared" si="58"/>
        <v>0</v>
      </c>
      <c r="J206" s="70">
        <f t="shared" si="58"/>
        <v>0.29</v>
      </c>
      <c r="K206" s="70">
        <f t="shared" si="58"/>
        <v>0</v>
      </c>
      <c r="L206" s="70">
        <f t="shared" si="58"/>
        <v>6.99</v>
      </c>
      <c r="M206" s="70">
        <f t="shared" si="58"/>
        <v>6.15</v>
      </c>
      <c r="N206" s="70">
        <f t="shared" si="58"/>
        <v>11.79</v>
      </c>
      <c r="O206" s="70">
        <f t="shared" si="58"/>
        <v>7.28</v>
      </c>
      <c r="P206" s="70">
        <f t="shared" si="58"/>
        <v>0</v>
      </c>
      <c r="Q206" s="70">
        <f t="shared" si="58"/>
        <v>0</v>
      </c>
      <c r="R206" s="70">
        <f t="shared" si="58"/>
        <v>0</v>
      </c>
      <c r="S206" s="70">
        <f t="shared" si="58"/>
        <v>0</v>
      </c>
      <c r="T206" s="70">
        <f t="shared" si="58"/>
        <v>0.58</v>
      </c>
      <c r="U206" s="70">
        <f t="shared" si="58"/>
        <v>6.99</v>
      </c>
      <c r="V206" s="70">
        <f t="shared" si="58"/>
        <v>0</v>
      </c>
      <c r="W206" s="70">
        <f t="shared" si="58"/>
        <v>0.29</v>
      </c>
      <c r="X206" s="70">
        <f t="shared" si="58"/>
        <v>4.48</v>
      </c>
      <c r="Y206" s="70">
        <f t="shared" si="58"/>
        <v>0.29</v>
      </c>
      <c r="Z206" s="70">
        <f t="shared" si="58"/>
        <v>0</v>
      </c>
      <c r="AA206" s="70">
        <f t="shared" si="58"/>
        <v>0</v>
      </c>
      <c r="AB206" s="70">
        <f t="shared" si="58"/>
        <v>1.45</v>
      </c>
      <c r="AC206" s="70">
        <f t="shared" si="58"/>
        <v>7.28</v>
      </c>
      <c r="AD206" s="70">
        <f t="shared" si="58"/>
        <v>0.58</v>
      </c>
      <c r="AE206" s="74">
        <f t="shared" si="58"/>
        <v>0</v>
      </c>
      <c r="AF206" s="65">
        <f t="shared" si="56"/>
        <v>76.34</v>
      </c>
    </row>
    <row r="207">
      <c r="A207" s="20" t="s">
        <v>423</v>
      </c>
      <c r="B207" s="70">
        <f t="shared" ref="B207:AE207" si="59">B24</f>
        <v>0</v>
      </c>
      <c r="C207" s="70">
        <f t="shared" si="59"/>
        <v>0.17</v>
      </c>
      <c r="D207" s="70">
        <f t="shared" si="59"/>
        <v>4.66</v>
      </c>
      <c r="E207" s="70">
        <f t="shared" si="59"/>
        <v>4.66</v>
      </c>
      <c r="F207" s="70">
        <f t="shared" si="59"/>
        <v>8.98</v>
      </c>
      <c r="G207" s="70">
        <f t="shared" si="59"/>
        <v>9.32</v>
      </c>
      <c r="H207" s="70">
        <f t="shared" si="59"/>
        <v>0</v>
      </c>
      <c r="I207" s="70">
        <f t="shared" si="59"/>
        <v>0</v>
      </c>
      <c r="J207" s="70">
        <f t="shared" si="59"/>
        <v>0.17</v>
      </c>
      <c r="K207" s="70">
        <f t="shared" si="59"/>
        <v>4.49</v>
      </c>
      <c r="L207" s="70">
        <f t="shared" si="59"/>
        <v>4.49</v>
      </c>
      <c r="M207" s="70">
        <f t="shared" si="59"/>
        <v>13.98</v>
      </c>
      <c r="N207" s="70">
        <f t="shared" si="59"/>
        <v>13.47</v>
      </c>
      <c r="O207" s="70">
        <f t="shared" si="59"/>
        <v>9.15</v>
      </c>
      <c r="P207" s="70">
        <f t="shared" si="59"/>
        <v>8.98</v>
      </c>
      <c r="Q207" s="70">
        <f t="shared" si="59"/>
        <v>0</v>
      </c>
      <c r="R207" s="70">
        <f t="shared" si="59"/>
        <v>8.98</v>
      </c>
      <c r="S207" s="70">
        <f t="shared" si="59"/>
        <v>0</v>
      </c>
      <c r="T207" s="70">
        <f t="shared" si="59"/>
        <v>4.83</v>
      </c>
      <c r="U207" s="70">
        <f t="shared" si="59"/>
        <v>4.49</v>
      </c>
      <c r="V207" s="70">
        <f t="shared" si="59"/>
        <v>0</v>
      </c>
      <c r="W207" s="70">
        <f t="shared" si="59"/>
        <v>4.66</v>
      </c>
      <c r="X207" s="70">
        <f t="shared" si="59"/>
        <v>4.49</v>
      </c>
      <c r="Y207" s="70">
        <f t="shared" si="59"/>
        <v>9.15</v>
      </c>
      <c r="Z207" s="70">
        <f t="shared" si="59"/>
        <v>0</v>
      </c>
      <c r="AA207" s="70">
        <f t="shared" si="59"/>
        <v>0</v>
      </c>
      <c r="AB207" s="70">
        <f t="shared" si="59"/>
        <v>5.34</v>
      </c>
      <c r="AC207" s="70">
        <f t="shared" si="59"/>
        <v>9.15</v>
      </c>
      <c r="AD207" s="70">
        <f t="shared" si="59"/>
        <v>9.32</v>
      </c>
      <c r="AE207" s="74">
        <f t="shared" si="59"/>
        <v>4.49</v>
      </c>
      <c r="AF207" s="65">
        <f t="shared" si="56"/>
        <v>147.42</v>
      </c>
    </row>
    <row r="208">
      <c r="A208" s="24"/>
      <c r="B208" s="462"/>
      <c r="C208" s="462"/>
      <c r="D208" s="462"/>
      <c r="E208" s="462"/>
      <c r="F208" s="462"/>
      <c r="G208" s="462"/>
      <c r="H208" s="462"/>
      <c r="I208" s="462"/>
      <c r="J208" s="462"/>
      <c r="K208" s="462"/>
      <c r="L208" s="462"/>
      <c r="M208" s="462"/>
      <c r="N208" s="462"/>
      <c r="O208" s="462"/>
      <c r="P208" s="462"/>
      <c r="Q208" s="462"/>
      <c r="R208" s="462"/>
      <c r="S208" s="462"/>
      <c r="T208" s="462"/>
      <c r="U208" s="462"/>
      <c r="V208" s="462"/>
      <c r="W208" s="462"/>
      <c r="X208" s="462"/>
      <c r="Y208" s="462"/>
      <c r="Z208" s="462"/>
      <c r="AA208" s="462"/>
      <c r="AB208" s="462"/>
      <c r="AC208" s="462"/>
      <c r="AD208" s="462"/>
      <c r="AE208" s="463"/>
      <c r="AF208" s="77"/>
    </row>
    <row r="209">
      <c r="A209" s="45" t="s">
        <v>426</v>
      </c>
      <c r="B209" s="464">
        <f t="shared" ref="B209:AE209" si="60">SUM(B191:B207)</f>
        <v>3452.724</v>
      </c>
      <c r="C209" s="465">
        <f t="shared" si="60"/>
        <v>3874.816</v>
      </c>
      <c r="D209" s="466">
        <f t="shared" si="60"/>
        <v>5494.816</v>
      </c>
      <c r="E209" s="467">
        <f t="shared" si="60"/>
        <v>6199.442</v>
      </c>
      <c r="F209" s="447">
        <f t="shared" si="60"/>
        <v>5529.41</v>
      </c>
      <c r="G209" s="173">
        <f t="shared" si="60"/>
        <v>5040.8425</v>
      </c>
      <c r="H209" s="468">
        <f t="shared" si="60"/>
        <v>3986.724</v>
      </c>
      <c r="I209" s="438">
        <f t="shared" si="60"/>
        <v>3460.881</v>
      </c>
      <c r="J209" s="469">
        <f t="shared" si="60"/>
        <v>7057.1805</v>
      </c>
      <c r="K209" s="470">
        <f t="shared" si="60"/>
        <v>6683.82</v>
      </c>
      <c r="L209" s="471">
        <f t="shared" si="60"/>
        <v>6124.295</v>
      </c>
      <c r="M209" s="472">
        <f t="shared" si="60"/>
        <v>7016.4585</v>
      </c>
      <c r="N209" s="473">
        <f t="shared" si="60"/>
        <v>7070.074</v>
      </c>
      <c r="O209" s="474">
        <f t="shared" si="60"/>
        <v>7829.404</v>
      </c>
      <c r="P209" s="475">
        <f t="shared" si="60"/>
        <v>4687.0025</v>
      </c>
      <c r="Q209" s="476">
        <f t="shared" si="60"/>
        <v>6430.378</v>
      </c>
      <c r="R209" s="472">
        <f t="shared" si="60"/>
        <v>6007.696</v>
      </c>
      <c r="S209" s="477">
        <f t="shared" si="60"/>
        <v>7133.177</v>
      </c>
      <c r="T209" s="478">
        <f t="shared" si="60"/>
        <v>12056.423</v>
      </c>
      <c r="U209" s="479">
        <f t="shared" si="60"/>
        <v>8392.2535</v>
      </c>
      <c r="V209" s="480">
        <f t="shared" si="60"/>
        <v>8056.9315</v>
      </c>
      <c r="W209" s="481">
        <f t="shared" si="60"/>
        <v>9569.772</v>
      </c>
      <c r="X209" s="482">
        <f t="shared" si="60"/>
        <v>6025.2765</v>
      </c>
      <c r="Y209" s="431">
        <f t="shared" si="60"/>
        <v>10029.4015</v>
      </c>
      <c r="Z209" s="483">
        <f t="shared" si="60"/>
        <v>8015.158</v>
      </c>
      <c r="AA209" s="484">
        <f t="shared" si="60"/>
        <v>8896.4205</v>
      </c>
      <c r="AB209" s="485">
        <f t="shared" si="60"/>
        <v>9379.3565</v>
      </c>
      <c r="AC209" s="486">
        <f t="shared" si="60"/>
        <v>11957.24</v>
      </c>
      <c r="AD209" s="429">
        <f t="shared" si="60"/>
        <v>10151.16</v>
      </c>
      <c r="AE209" s="487">
        <f t="shared" si="60"/>
        <v>9904.4685</v>
      </c>
      <c r="AF209" s="65">
        <f>SUM(B209:AE209)</f>
        <v>215513.0025</v>
      </c>
    </row>
    <row r="210">
      <c r="A210" s="24"/>
      <c r="B210" s="462"/>
      <c r="C210" s="462"/>
      <c r="D210" s="462"/>
      <c r="E210" s="462"/>
      <c r="F210" s="462"/>
      <c r="G210" s="462"/>
      <c r="H210" s="462"/>
      <c r="I210" s="462"/>
      <c r="J210" s="462"/>
      <c r="K210" s="462"/>
      <c r="L210" s="462"/>
      <c r="M210" s="462"/>
      <c r="N210" s="462"/>
      <c r="O210" s="462"/>
      <c r="P210" s="462"/>
      <c r="Q210" s="462"/>
      <c r="R210" s="462"/>
      <c r="S210" s="462"/>
      <c r="T210" s="462"/>
      <c r="U210" s="462"/>
      <c r="V210" s="462"/>
      <c r="W210" s="462"/>
      <c r="X210" s="462"/>
      <c r="Y210" s="462"/>
      <c r="Z210" s="462"/>
      <c r="AA210" s="462"/>
      <c r="AB210" s="462"/>
      <c r="AC210" s="462"/>
      <c r="AD210" s="462"/>
      <c r="AE210" s="463"/>
      <c r="AF210" s="77"/>
    </row>
    <row r="211">
      <c r="A211" s="325" t="s">
        <v>108</v>
      </c>
      <c r="B211" s="462"/>
      <c r="C211" s="462"/>
      <c r="D211" s="462"/>
      <c r="E211" s="462"/>
      <c r="F211" s="462"/>
      <c r="G211" s="462"/>
      <c r="H211" s="462"/>
      <c r="I211" s="462"/>
      <c r="J211" s="462"/>
      <c r="K211" s="462"/>
      <c r="L211" s="462"/>
      <c r="M211" s="462"/>
      <c r="N211" s="462"/>
      <c r="O211" s="462"/>
      <c r="P211" s="462"/>
      <c r="Q211" s="462"/>
      <c r="R211" s="462"/>
      <c r="S211" s="462"/>
      <c r="T211" s="462"/>
      <c r="U211" s="462"/>
      <c r="V211" s="462"/>
      <c r="W211" s="462"/>
      <c r="X211" s="462"/>
      <c r="Y211" s="462"/>
      <c r="Z211" s="462"/>
      <c r="AA211" s="462"/>
      <c r="AB211" s="462"/>
      <c r="AC211" s="462"/>
      <c r="AD211" s="462"/>
      <c r="AE211" s="463"/>
      <c r="AF211" s="77"/>
    </row>
    <row r="212">
      <c r="A212" s="74">
        <f>AF25</f>
        <v>229806.35</v>
      </c>
      <c r="B212" s="462"/>
      <c r="C212" s="462"/>
      <c r="D212" s="462"/>
      <c r="E212" s="462"/>
      <c r="F212" s="462"/>
      <c r="G212" s="462"/>
      <c r="H212" s="462"/>
      <c r="I212" s="462"/>
      <c r="J212" s="462"/>
      <c r="K212" s="462"/>
      <c r="L212" s="462"/>
      <c r="M212" s="462"/>
      <c r="N212" s="462"/>
      <c r="O212" s="462"/>
      <c r="P212" s="462"/>
      <c r="Q212" s="462"/>
      <c r="R212" s="462"/>
      <c r="S212" s="462"/>
      <c r="T212" s="462"/>
      <c r="U212" s="462"/>
      <c r="V212" s="462"/>
      <c r="W212" s="462"/>
      <c r="X212" s="462"/>
      <c r="Y212" s="462"/>
      <c r="Z212" s="462"/>
      <c r="AA212" s="462"/>
      <c r="AB212" s="462"/>
      <c r="AC212" s="462"/>
      <c r="AD212" s="462"/>
      <c r="AE212" s="463"/>
      <c r="AF212" s="77"/>
    </row>
    <row r="213">
      <c r="A213" s="24"/>
      <c r="B213" s="462"/>
      <c r="C213" s="462"/>
      <c r="D213" s="462"/>
      <c r="E213" s="462"/>
      <c r="F213" s="462"/>
      <c r="G213" s="462"/>
      <c r="H213" s="462"/>
      <c r="I213" s="462"/>
      <c r="J213" s="462"/>
      <c r="K213" s="462"/>
      <c r="L213" s="462"/>
      <c r="M213" s="462"/>
      <c r="N213" s="462"/>
      <c r="O213" s="462"/>
      <c r="P213" s="462"/>
      <c r="Q213" s="462"/>
      <c r="R213" s="462"/>
      <c r="S213" s="462"/>
      <c r="T213" s="462"/>
      <c r="U213" s="462"/>
      <c r="V213" s="462"/>
      <c r="W213" s="462"/>
      <c r="X213" s="462"/>
      <c r="Y213" s="462"/>
      <c r="Z213" s="462"/>
      <c r="AA213" s="462"/>
      <c r="AB213" s="462"/>
      <c r="AC213" s="462"/>
      <c r="AD213" s="462"/>
      <c r="AE213" s="463"/>
      <c r="AF213" s="77"/>
    </row>
    <row r="214">
      <c r="A214" s="325" t="s">
        <v>281</v>
      </c>
      <c r="B214" s="489">
        <f t="shared" ref="B214:AE214" si="61">B25-B209</f>
        <v>-170.964</v>
      </c>
      <c r="C214" s="490">
        <f t="shared" si="61"/>
        <v>-873.976</v>
      </c>
      <c r="D214" s="491">
        <f t="shared" si="61"/>
        <v>-709.776</v>
      </c>
      <c r="E214" s="492">
        <f t="shared" si="61"/>
        <v>87.638</v>
      </c>
      <c r="F214" s="493">
        <f t="shared" si="61"/>
        <v>470.39</v>
      </c>
      <c r="G214" s="494">
        <f t="shared" si="61"/>
        <v>319.7075</v>
      </c>
      <c r="H214" s="495">
        <f t="shared" si="61"/>
        <v>-137.764</v>
      </c>
      <c r="I214" s="496">
        <f t="shared" si="61"/>
        <v>-474.941</v>
      </c>
      <c r="J214" s="497">
        <f t="shared" si="61"/>
        <v>721.8895</v>
      </c>
      <c r="K214" s="498">
        <f t="shared" si="61"/>
        <v>-90.02</v>
      </c>
      <c r="L214" s="499">
        <f t="shared" si="61"/>
        <v>417.205</v>
      </c>
      <c r="M214" s="500">
        <f t="shared" si="61"/>
        <v>1035.9315</v>
      </c>
      <c r="N214" s="501">
        <f t="shared" si="61"/>
        <v>1042.886</v>
      </c>
      <c r="O214" s="502">
        <f t="shared" si="61"/>
        <v>1419.556</v>
      </c>
      <c r="P214" s="503">
        <f t="shared" si="61"/>
        <v>-172.6525</v>
      </c>
      <c r="Q214" s="497">
        <f t="shared" si="61"/>
        <v>-188.858</v>
      </c>
      <c r="R214" s="504">
        <f t="shared" si="61"/>
        <v>-634.656</v>
      </c>
      <c r="S214" s="505">
        <f t="shared" si="61"/>
        <v>348.203</v>
      </c>
      <c r="T214" s="506">
        <f t="shared" si="61"/>
        <v>2608.997</v>
      </c>
      <c r="U214" s="507">
        <f t="shared" si="61"/>
        <v>1128.6365</v>
      </c>
      <c r="V214" s="508">
        <f t="shared" si="61"/>
        <v>1194.8785</v>
      </c>
      <c r="W214" s="496">
        <f t="shared" si="61"/>
        <v>2390.508</v>
      </c>
      <c r="X214" s="509">
        <f t="shared" si="61"/>
        <v>-11.5665</v>
      </c>
      <c r="Y214" s="510">
        <f t="shared" si="61"/>
        <v>1656.8085</v>
      </c>
      <c r="Z214" s="499">
        <f t="shared" si="61"/>
        <v>1542.162</v>
      </c>
      <c r="AA214" s="511">
        <f t="shared" si="61"/>
        <v>1846.8495</v>
      </c>
      <c r="AB214" s="512">
        <f t="shared" si="61"/>
        <v>442.9535</v>
      </c>
      <c r="AC214" s="513">
        <f t="shared" si="61"/>
        <v>321.36</v>
      </c>
      <c r="AD214" s="514">
        <f t="shared" si="61"/>
        <v>887.04</v>
      </c>
      <c r="AE214" s="515">
        <f t="shared" si="61"/>
        <v>-2125.0785</v>
      </c>
      <c r="AF214" s="65">
        <f>SUM(B214:AE214)</f>
        <v>14293.3475</v>
      </c>
    </row>
    <row r="215">
      <c r="A215" s="74">
        <f>SUM(B214:AE214)</f>
        <v>14293.3475</v>
      </c>
      <c r="B215" s="334"/>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c r="Z215" s="334"/>
      <c r="AA215" s="334"/>
      <c r="AB215" s="334"/>
      <c r="AC215" s="334"/>
      <c r="AD215" s="334"/>
      <c r="AE215" s="516"/>
      <c r="AF215" s="77"/>
    </row>
    <row r="216">
      <c r="A216" s="325" t="s">
        <v>285</v>
      </c>
      <c r="B216" s="517">
        <f t="shared" ref="B216:AE216" si="62">B214/B25</f>
        <v>-0.0520952172</v>
      </c>
      <c r="C216" s="518">
        <f t="shared" si="62"/>
        <v>-0.2912437851</v>
      </c>
      <c r="D216" s="519">
        <f t="shared" si="62"/>
        <v>-0.1483323023</v>
      </c>
      <c r="E216" s="520">
        <f t="shared" si="62"/>
        <v>0.01393938044</v>
      </c>
      <c r="F216" s="521">
        <f t="shared" si="62"/>
        <v>0.0784009467</v>
      </c>
      <c r="G216" s="522">
        <f t="shared" si="62"/>
        <v>0.05964080178</v>
      </c>
      <c r="H216" s="523">
        <f t="shared" si="62"/>
        <v>-0.03579252577</v>
      </c>
      <c r="I216" s="524">
        <f t="shared" si="62"/>
        <v>-0.1590591238</v>
      </c>
      <c r="J216" s="525">
        <f t="shared" si="62"/>
        <v>0.0927989464</v>
      </c>
      <c r="K216" s="526">
        <f t="shared" si="62"/>
        <v>-0.01365221875</v>
      </c>
      <c r="L216" s="527">
        <f t="shared" si="62"/>
        <v>0.06377818543</v>
      </c>
      <c r="M216" s="528">
        <f t="shared" si="62"/>
        <v>0.1286489477</v>
      </c>
      <c r="N216" s="529">
        <f t="shared" si="62"/>
        <v>0.1285456849</v>
      </c>
      <c r="O216" s="530">
        <f t="shared" si="62"/>
        <v>0.15348277</v>
      </c>
      <c r="P216" s="531">
        <f t="shared" si="62"/>
        <v>-0.03824526233</v>
      </c>
      <c r="Q216" s="532">
        <f t="shared" si="62"/>
        <v>-0.03025833451</v>
      </c>
      <c r="R216" s="534">
        <f t="shared" si="62"/>
        <v>-0.118118607</v>
      </c>
      <c r="S216" s="535">
        <f t="shared" si="62"/>
        <v>0.04654261647</v>
      </c>
      <c r="T216" s="534">
        <f t="shared" si="62"/>
        <v>0.1779012807</v>
      </c>
      <c r="U216" s="526">
        <f t="shared" si="62"/>
        <v>0.1185431719</v>
      </c>
      <c r="V216" s="536">
        <f t="shared" si="62"/>
        <v>0.1291507824</v>
      </c>
      <c r="W216" s="537">
        <f t="shared" si="62"/>
        <v>0.1998705716</v>
      </c>
      <c r="X216" s="536">
        <f t="shared" si="62"/>
        <v>-0.001923355134</v>
      </c>
      <c r="Y216" s="538">
        <f t="shared" si="62"/>
        <v>0.1417746643</v>
      </c>
      <c r="Z216" s="540">
        <f t="shared" si="62"/>
        <v>0.1613592513</v>
      </c>
      <c r="AA216" s="542">
        <f t="shared" si="62"/>
        <v>0.1719075756</v>
      </c>
      <c r="AB216" s="543">
        <f t="shared" si="62"/>
        <v>0.04509667278</v>
      </c>
      <c r="AC216" s="525">
        <f t="shared" si="62"/>
        <v>0.02617236493</v>
      </c>
      <c r="AD216" s="544">
        <f t="shared" si="62"/>
        <v>0.08036092841</v>
      </c>
      <c r="AE216" s="545">
        <f t="shared" si="62"/>
        <v>-0.2731677548</v>
      </c>
      <c r="AF216" s="77"/>
    </row>
    <row r="217">
      <c r="A217" s="329">
        <f>A215/A212</f>
        <v>0.0621973566</v>
      </c>
      <c r="B217" s="462"/>
      <c r="C217" s="462"/>
      <c r="D217" s="462"/>
      <c r="E217" s="462"/>
      <c r="F217" s="462"/>
      <c r="G217" s="462"/>
      <c r="H217" s="462"/>
      <c r="I217" s="462"/>
      <c r="J217" s="462"/>
      <c r="K217" s="462"/>
      <c r="L217" s="462"/>
      <c r="M217" s="462"/>
      <c r="N217" s="462"/>
      <c r="O217" s="462"/>
      <c r="P217" s="462"/>
      <c r="Q217" s="462"/>
      <c r="R217" s="462"/>
      <c r="S217" s="462"/>
      <c r="T217" s="462"/>
      <c r="U217" s="462"/>
      <c r="V217" s="462"/>
      <c r="W217" s="462"/>
      <c r="X217" s="462"/>
      <c r="Y217" s="462"/>
      <c r="Z217" s="462"/>
      <c r="AA217" s="462"/>
      <c r="AB217" s="462"/>
      <c r="AC217" s="462"/>
      <c r="AD217" s="462"/>
      <c r="AE217" s="463"/>
      <c r="AF217" s="77"/>
    </row>
    <row r="218">
      <c r="A218" s="325" t="s">
        <v>438</v>
      </c>
      <c r="B218" s="547">
        <f>Summary!B96</f>
        <v>215.53</v>
      </c>
      <c r="C218" s="549">
        <f>Summary!C96</f>
        <v>221.15</v>
      </c>
      <c r="D218" s="551">
        <f>Summary!D96</f>
        <v>224.7</v>
      </c>
      <c r="E218" s="552">
        <f>Summary!E96</f>
        <v>223.56</v>
      </c>
      <c r="F218" s="553">
        <f>Summary!F96</f>
        <v>222.26</v>
      </c>
      <c r="G218" s="554">
        <f>Summary!G96</f>
        <v>212.86</v>
      </c>
      <c r="H218" s="554">
        <f>Summary!H96</f>
        <v>239.25</v>
      </c>
      <c r="I218" s="555">
        <f>Summary!I96</f>
        <v>269.13</v>
      </c>
      <c r="J218" s="556">
        <f>Summary!J96</f>
        <v>284.02</v>
      </c>
      <c r="K218" s="557">
        <f>Summary!K96</f>
        <v>256.73</v>
      </c>
      <c r="L218" s="558">
        <f>Summary!L96</f>
        <v>246.8</v>
      </c>
      <c r="M218" s="551">
        <f>Summary!M96</f>
        <v>259.84</v>
      </c>
      <c r="N218" s="556">
        <f>Summary!N96</f>
        <v>263.24</v>
      </c>
      <c r="O218" s="559">
        <f>Summary!O96</f>
        <v>263.01</v>
      </c>
      <c r="P218" s="560">
        <f>Summary!P96</f>
        <v>236.28</v>
      </c>
      <c r="Q218" s="561">
        <f>Summary!Q96</f>
        <v>230.73</v>
      </c>
      <c r="R218" s="557">
        <f>Summary!R96</f>
        <v>242.64</v>
      </c>
      <c r="S218" s="553">
        <f>Summary!S96</f>
        <v>89.75</v>
      </c>
      <c r="T218" s="561">
        <f>Summary!T96</f>
        <v>113.72</v>
      </c>
      <c r="U218" s="562">
        <f>Summary!U96</f>
        <v>151.24</v>
      </c>
      <c r="V218" s="563">
        <f>Summary!V96</f>
        <v>171.56</v>
      </c>
      <c r="W218" s="564">
        <f>Summary!W96</f>
        <v>176.02</v>
      </c>
      <c r="X218" s="565">
        <f>Summary!X96</f>
        <v>182.73</v>
      </c>
      <c r="Y218" s="566">
        <f>Summary!Y96</f>
        <v>187.71</v>
      </c>
      <c r="Z218" s="567">
        <f>Summary!Z96</f>
        <v>207.99</v>
      </c>
      <c r="AA218" s="568">
        <f>Summary!AA96</f>
        <v>179.9</v>
      </c>
      <c r="AB218" s="569">
        <f>Summary!AB96</f>
        <v>224.79</v>
      </c>
      <c r="AC218" s="570">
        <f>Summary!AC96</f>
        <v>204.07</v>
      </c>
      <c r="AD218" s="571">
        <f>Summary!AD96</f>
        <v>243.02</v>
      </c>
      <c r="AE218" s="572">
        <f>Summary!AE96</f>
        <v>244.55</v>
      </c>
      <c r="AF218" s="77"/>
    </row>
    <row r="219">
      <c r="A219" s="24"/>
      <c r="B219" s="462"/>
      <c r="C219" s="462"/>
      <c r="D219" s="462"/>
      <c r="E219" s="462"/>
      <c r="F219" s="462"/>
      <c r="G219" s="462"/>
      <c r="H219" s="462"/>
      <c r="I219" s="462"/>
      <c r="J219" s="462"/>
      <c r="K219" s="462"/>
      <c r="L219" s="462"/>
      <c r="M219" s="462"/>
      <c r="N219" s="462"/>
      <c r="O219" s="462"/>
      <c r="P219" s="462"/>
      <c r="Q219" s="462"/>
      <c r="R219" s="462"/>
      <c r="S219" s="462"/>
      <c r="T219" s="462"/>
      <c r="U219" s="462"/>
      <c r="V219" s="462"/>
      <c r="W219" s="462"/>
      <c r="X219" s="462"/>
      <c r="Y219" s="462"/>
      <c r="Z219" s="462"/>
      <c r="AA219" s="462"/>
      <c r="AB219" s="462"/>
      <c r="AC219" s="462"/>
      <c r="AD219" s="462"/>
      <c r="AE219" s="463"/>
      <c r="AF219" s="77"/>
    </row>
    <row r="220">
      <c r="A220" s="24"/>
      <c r="B220" s="462"/>
      <c r="C220" s="462"/>
      <c r="D220" s="462"/>
      <c r="E220" s="462"/>
      <c r="F220" s="462"/>
      <c r="G220" s="462"/>
      <c r="H220" s="462"/>
      <c r="I220" s="462"/>
      <c r="J220" s="462"/>
      <c r="K220" s="462"/>
      <c r="L220" s="462"/>
      <c r="M220" s="462"/>
      <c r="N220" s="462"/>
      <c r="O220" s="462"/>
      <c r="P220" s="462"/>
      <c r="Q220" s="462"/>
      <c r="R220" s="462"/>
      <c r="S220" s="462"/>
      <c r="T220" s="462"/>
      <c r="U220" s="462"/>
      <c r="V220" s="462"/>
      <c r="W220" s="462"/>
      <c r="X220" s="462"/>
      <c r="Y220" s="462"/>
      <c r="Z220" s="462"/>
      <c r="AA220" s="462"/>
      <c r="AB220" s="462"/>
      <c r="AC220" s="462"/>
      <c r="AD220" s="462"/>
      <c r="AE220" s="463"/>
      <c r="AF220" s="77"/>
    </row>
    <row r="221">
      <c r="A221" s="573" t="s">
        <v>444</v>
      </c>
      <c r="B221" s="81" t="str">
        <f t="shared" ref="B221:AE221" si="63">iferror(#REF!+#REF!+#REF!+#REF!+#REF!,"")</f>
        <v/>
      </c>
      <c r="C221" s="81" t="str">
        <f t="shared" si="63"/>
        <v/>
      </c>
      <c r="D221" s="81" t="str">
        <f t="shared" si="63"/>
        <v/>
      </c>
      <c r="E221" s="81" t="str">
        <f t="shared" si="63"/>
        <v/>
      </c>
      <c r="F221" s="81" t="str">
        <f t="shared" si="63"/>
        <v/>
      </c>
      <c r="G221" s="81" t="str">
        <f t="shared" si="63"/>
        <v/>
      </c>
      <c r="H221" s="81" t="str">
        <f t="shared" si="63"/>
        <v/>
      </c>
      <c r="I221" s="81" t="str">
        <f t="shared" si="63"/>
        <v/>
      </c>
      <c r="J221" s="81" t="str">
        <f t="shared" si="63"/>
        <v/>
      </c>
      <c r="K221" s="81" t="str">
        <f t="shared" si="63"/>
        <v/>
      </c>
      <c r="L221" s="81" t="str">
        <f t="shared" si="63"/>
        <v/>
      </c>
      <c r="M221" s="81" t="str">
        <f t="shared" si="63"/>
        <v/>
      </c>
      <c r="N221" s="81" t="str">
        <f t="shared" si="63"/>
        <v/>
      </c>
      <c r="O221" s="81" t="str">
        <f t="shared" si="63"/>
        <v/>
      </c>
      <c r="P221" s="81" t="str">
        <f t="shared" si="63"/>
        <v/>
      </c>
      <c r="Q221" s="81" t="str">
        <f t="shared" si="63"/>
        <v/>
      </c>
      <c r="R221" s="81" t="str">
        <f t="shared" si="63"/>
        <v/>
      </c>
      <c r="S221" s="81" t="str">
        <f t="shared" si="63"/>
        <v/>
      </c>
      <c r="T221" s="81" t="str">
        <f t="shared" si="63"/>
        <v/>
      </c>
      <c r="U221" s="81" t="str">
        <f t="shared" si="63"/>
        <v/>
      </c>
      <c r="V221" s="81" t="str">
        <f t="shared" si="63"/>
        <v/>
      </c>
      <c r="W221" s="81" t="str">
        <f t="shared" si="63"/>
        <v/>
      </c>
      <c r="X221" s="81" t="str">
        <f t="shared" si="63"/>
        <v/>
      </c>
      <c r="Y221" s="81" t="str">
        <f t="shared" si="63"/>
        <v/>
      </c>
      <c r="Z221" s="81" t="str">
        <f t="shared" si="63"/>
        <v/>
      </c>
      <c r="AA221" s="81" t="str">
        <f t="shared" si="63"/>
        <v/>
      </c>
      <c r="AB221" s="81" t="str">
        <f t="shared" si="63"/>
        <v/>
      </c>
      <c r="AC221" s="81" t="str">
        <f t="shared" si="63"/>
        <v/>
      </c>
      <c r="AD221" s="81" t="str">
        <f t="shared" si="63"/>
        <v/>
      </c>
      <c r="AE221" s="89" t="str">
        <f t="shared" si="63"/>
        <v/>
      </c>
      <c r="AF221" s="65"/>
    </row>
    <row r="222">
      <c r="A222" s="575" t="s">
        <v>446</v>
      </c>
      <c r="B222" s="576">
        <f t="shared" ref="B222:AE222" si="64">SUM(B223:B231)-B232</f>
        <v>0</v>
      </c>
      <c r="C222" s="576">
        <f t="shared" si="64"/>
        <v>-59.9</v>
      </c>
      <c r="D222" s="576">
        <f t="shared" si="64"/>
        <v>49.65</v>
      </c>
      <c r="E222" s="576">
        <f t="shared" si="64"/>
        <v>-169.45</v>
      </c>
      <c r="F222" s="576">
        <f t="shared" si="64"/>
        <v>0</v>
      </c>
      <c r="G222" s="576">
        <f t="shared" si="64"/>
        <v>-59.9</v>
      </c>
      <c r="H222" s="576">
        <f t="shared" si="64"/>
        <v>0</v>
      </c>
      <c r="I222" s="576">
        <f t="shared" si="64"/>
        <v>0</v>
      </c>
      <c r="J222" s="576">
        <f t="shared" si="64"/>
        <v>49.65</v>
      </c>
      <c r="K222" s="576">
        <f t="shared" si="64"/>
        <v>0</v>
      </c>
      <c r="L222" s="576">
        <f t="shared" si="64"/>
        <v>0</v>
      </c>
      <c r="M222" s="576">
        <f t="shared" si="64"/>
        <v>-508.35</v>
      </c>
      <c r="N222" s="576">
        <f t="shared" si="64"/>
        <v>0</v>
      </c>
      <c r="O222" s="576">
        <f t="shared" si="64"/>
        <v>-169.45</v>
      </c>
      <c r="P222" s="576">
        <f t="shared" si="64"/>
        <v>0</v>
      </c>
      <c r="Q222" s="576">
        <f t="shared" si="64"/>
        <v>0</v>
      </c>
      <c r="R222" s="576">
        <f t="shared" si="64"/>
        <v>0</v>
      </c>
      <c r="S222" s="576">
        <f t="shared" si="64"/>
        <v>0</v>
      </c>
      <c r="T222" s="576">
        <f t="shared" si="64"/>
        <v>-338.9</v>
      </c>
      <c r="U222" s="576">
        <f t="shared" si="64"/>
        <v>0</v>
      </c>
      <c r="V222" s="576">
        <f t="shared" si="64"/>
        <v>0</v>
      </c>
      <c r="W222" s="576">
        <f t="shared" si="64"/>
        <v>-169.45</v>
      </c>
      <c r="X222" s="576">
        <f t="shared" si="64"/>
        <v>0</v>
      </c>
      <c r="Y222" s="576">
        <f t="shared" si="64"/>
        <v>-169.45</v>
      </c>
      <c r="Z222" s="576">
        <f t="shared" si="64"/>
        <v>0</v>
      </c>
      <c r="AA222" s="576">
        <f t="shared" si="64"/>
        <v>0</v>
      </c>
      <c r="AB222" s="576">
        <f t="shared" si="64"/>
        <v>-847.25</v>
      </c>
      <c r="AC222" s="576">
        <f t="shared" si="64"/>
        <v>-169.45</v>
      </c>
      <c r="AD222" s="576">
        <f t="shared" si="64"/>
        <v>-169.45</v>
      </c>
      <c r="AE222" s="577">
        <f t="shared" si="64"/>
        <v>-169.45</v>
      </c>
      <c r="AF222" s="65">
        <f t="shared" ref="AF222:AF255" si="65">SUM(B222:AE222)</f>
        <v>-2901.15</v>
      </c>
    </row>
    <row r="223">
      <c r="A223" s="116" t="s">
        <v>383</v>
      </c>
      <c r="B223" s="70">
        <f>(B111+B112)*'DATA - P&amp;L'!$C$3</f>
        <v>0</v>
      </c>
      <c r="C223" s="70">
        <f>(C111+C112)*'DATA - P&amp;L'!$C$3</f>
        <v>0</v>
      </c>
      <c r="D223" s="70">
        <f>(D111+D112)*'DATA - P&amp;L'!$C$3</f>
        <v>0</v>
      </c>
      <c r="E223" s="70">
        <f>(E111+E112)*'DATA - P&amp;L'!$C$3</f>
        <v>0</v>
      </c>
      <c r="F223" s="70">
        <f>(F111+F112)*'DATA - P&amp;L'!$C$3</f>
        <v>0</v>
      </c>
      <c r="G223" s="70">
        <f>(G111+G112)*'DATA - P&amp;L'!$C$3</f>
        <v>0</v>
      </c>
      <c r="H223" s="70">
        <f>(H111+H112)*'DATA - P&amp;L'!$C$3</f>
        <v>0</v>
      </c>
      <c r="I223" s="70">
        <f>(I111+I112)*'DATA - P&amp;L'!$C$3</f>
        <v>0</v>
      </c>
      <c r="J223" s="70">
        <f>(J111+J112)*'DATA - P&amp;L'!$C$3</f>
        <v>0</v>
      </c>
      <c r="K223" s="70">
        <f>(K111+K112)*'DATA - P&amp;L'!$C$3</f>
        <v>0</v>
      </c>
      <c r="L223" s="70">
        <f>(L111+L112)*'DATA - P&amp;L'!$C$3</f>
        <v>0</v>
      </c>
      <c r="M223" s="70">
        <f>(M111+M112)*'DATA - P&amp;L'!$C$3</f>
        <v>0</v>
      </c>
      <c r="N223" s="70">
        <f>(N111+N112)*'DATA - P&amp;L'!$C$3</f>
        <v>0</v>
      </c>
      <c r="O223" s="70">
        <f>(O111+O112)*'DATA - P&amp;L'!$C$3</f>
        <v>0</v>
      </c>
      <c r="P223" s="70">
        <f>(P111+P112)*'DATA - P&amp;L'!$C$3</f>
        <v>0</v>
      </c>
      <c r="Q223" s="70">
        <f>(Q111+Q112)*'DATA - P&amp;L'!$C$3</f>
        <v>0</v>
      </c>
      <c r="R223" s="70">
        <f>(R111+R112)*'DATA - P&amp;L'!$C$3</f>
        <v>0</v>
      </c>
      <c r="S223" s="70">
        <f>(S111+S112)*'DATA - P&amp;L'!$C$3</f>
        <v>0</v>
      </c>
      <c r="T223" s="70">
        <f>(T111+T112)*'DATA - P&amp;L'!$C$3</f>
        <v>0</v>
      </c>
      <c r="U223" s="70">
        <f>(U111+U112)*'DATA - P&amp;L'!$C$3</f>
        <v>0</v>
      </c>
      <c r="V223" s="70">
        <f>(V111+V112)*'DATA - P&amp;L'!$C$3</f>
        <v>0</v>
      </c>
      <c r="W223" s="70">
        <f>(W111+W112)*'DATA - P&amp;L'!$C$3</f>
        <v>0</v>
      </c>
      <c r="X223" s="70">
        <f>(X111+X112)*'DATA - P&amp;L'!$C$3</f>
        <v>0</v>
      </c>
      <c r="Y223" s="70">
        <f>(Y111+Y112)*'DATA - P&amp;L'!$C$3</f>
        <v>0</v>
      </c>
      <c r="Z223" s="70">
        <f>(Z111+Z112)*'DATA - P&amp;L'!$C$3</f>
        <v>0</v>
      </c>
      <c r="AA223" s="70">
        <f>(AA111+AA112)*'DATA - P&amp;L'!$C$3</f>
        <v>0</v>
      </c>
      <c r="AB223" s="70">
        <f>(AB111+AB112)*'DATA - P&amp;L'!$C$3</f>
        <v>0</v>
      </c>
      <c r="AC223" s="70">
        <f>(AC111+AC112)*'DATA - P&amp;L'!$C$3</f>
        <v>0</v>
      </c>
      <c r="AD223" s="70">
        <f>(AD111+AD112)*'DATA - P&amp;L'!$C$3</f>
        <v>0</v>
      </c>
      <c r="AE223" s="74">
        <f>(AE111+AE112)*'DATA - P&amp;L'!$C$3</f>
        <v>0</v>
      </c>
      <c r="AF223" s="65">
        <f t="shared" si="65"/>
        <v>0</v>
      </c>
    </row>
    <row r="224">
      <c r="A224" s="116" t="s">
        <v>386</v>
      </c>
      <c r="B224" s="70">
        <f>(B113+B114)*'DATA - P&amp;L'!$C$4</f>
        <v>0</v>
      </c>
      <c r="C224" s="70">
        <f>(C113+C114)*'DATA - P&amp;L'!$C$4</f>
        <v>195.22</v>
      </c>
      <c r="D224" s="70">
        <f>(D113+D114)*'DATA - P&amp;L'!$C$4</f>
        <v>292.83</v>
      </c>
      <c r="E224" s="70">
        <f>(E113+E114)*'DATA - P&amp;L'!$C$4</f>
        <v>97.61</v>
      </c>
      <c r="F224" s="70">
        <f>(F113+F114)*'DATA - P&amp;L'!$C$4</f>
        <v>0</v>
      </c>
      <c r="G224" s="70">
        <f>(G113+G114)*'DATA - P&amp;L'!$C$4</f>
        <v>195.22</v>
      </c>
      <c r="H224" s="70">
        <f>(H113+H114)*'DATA - P&amp;L'!$C$4</f>
        <v>0</v>
      </c>
      <c r="I224" s="70">
        <f>(I113+I114)*'DATA - P&amp;L'!$C$4</f>
        <v>0</v>
      </c>
      <c r="J224" s="70">
        <f>(J113+J114)*'DATA - P&amp;L'!$C$4</f>
        <v>292.83</v>
      </c>
      <c r="K224" s="70">
        <f>(K113+K114)*'DATA - P&amp;L'!$C$4</f>
        <v>0</v>
      </c>
      <c r="L224" s="70">
        <f>(L113+L114)*'DATA - P&amp;L'!$C$4</f>
        <v>0</v>
      </c>
      <c r="M224" s="70">
        <f>(M113+M114)*'DATA - P&amp;L'!$C$4</f>
        <v>292.83</v>
      </c>
      <c r="N224" s="70">
        <f>(N113+N114)*'DATA - P&amp;L'!$C$4</f>
        <v>0</v>
      </c>
      <c r="O224" s="70">
        <f>(O113+O114)*'DATA - P&amp;L'!$C$4</f>
        <v>97.61</v>
      </c>
      <c r="P224" s="70">
        <f>(P113+P114)*'DATA - P&amp;L'!$C$4</f>
        <v>0</v>
      </c>
      <c r="Q224" s="70">
        <f>(Q113+Q114)*'DATA - P&amp;L'!$C$4</f>
        <v>0</v>
      </c>
      <c r="R224" s="70">
        <f>(R113+R114)*'DATA - P&amp;L'!$C$4</f>
        <v>0</v>
      </c>
      <c r="S224" s="70">
        <f>(S113+S114)*'DATA - P&amp;L'!$C$4</f>
        <v>0</v>
      </c>
      <c r="T224" s="70">
        <f>(T113+T114)*'DATA - P&amp;L'!$C$4</f>
        <v>195.22</v>
      </c>
      <c r="U224" s="70">
        <f>(U113+U114)*'DATA - P&amp;L'!$C$4</f>
        <v>0</v>
      </c>
      <c r="V224" s="70">
        <f>(V113+V114)*'DATA - P&amp;L'!$C$4</f>
        <v>0</v>
      </c>
      <c r="W224" s="70">
        <f>(W113+W114)*'DATA - P&amp;L'!$C$4</f>
        <v>97.61</v>
      </c>
      <c r="X224" s="70">
        <f>(X113+X114)*'DATA - P&amp;L'!$C$4</f>
        <v>0</v>
      </c>
      <c r="Y224" s="70">
        <f>(Y113+Y114)*'DATA - P&amp;L'!$C$4</f>
        <v>97.61</v>
      </c>
      <c r="Z224" s="70">
        <f>(Z113+Z114)*'DATA - P&amp;L'!$C$4</f>
        <v>0</v>
      </c>
      <c r="AA224" s="70">
        <f>(AA113+AA114)*'DATA - P&amp;L'!$C$4</f>
        <v>0</v>
      </c>
      <c r="AB224" s="70">
        <f>(AB113+AB114)*'DATA - P&amp;L'!$C$4</f>
        <v>488.05</v>
      </c>
      <c r="AC224" s="70">
        <f>(AC113+AC114)*'DATA - P&amp;L'!$C$4</f>
        <v>97.61</v>
      </c>
      <c r="AD224" s="70">
        <f>(AD113+AD114)*'DATA - P&amp;L'!$C$4</f>
        <v>97.61</v>
      </c>
      <c r="AE224" s="74">
        <f>(AE113+AE114)*'DATA - P&amp;L'!$C$4</f>
        <v>97.61</v>
      </c>
      <c r="AF224" s="65">
        <f t="shared" si="65"/>
        <v>2635.47</v>
      </c>
    </row>
    <row r="225">
      <c r="A225" s="116" t="s">
        <v>388</v>
      </c>
      <c r="B225" s="70">
        <f>(B118)*'DATA - P&amp;L'!$C$6</f>
        <v>0</v>
      </c>
      <c r="C225" s="70">
        <f>(C118)*'DATA - P&amp;L'!$C$6</f>
        <v>0</v>
      </c>
      <c r="D225" s="70">
        <f>(D118)*'DATA - P&amp;L'!$C$6</f>
        <v>0</v>
      </c>
      <c r="E225" s="70">
        <f>(E118)*'DATA - P&amp;L'!$C$6</f>
        <v>0</v>
      </c>
      <c r="F225" s="70">
        <f>(F118)*'DATA - P&amp;L'!$C$6</f>
        <v>0</v>
      </c>
      <c r="G225" s="70">
        <f>(G118)*'DATA - P&amp;L'!$C$6</f>
        <v>0</v>
      </c>
      <c r="H225" s="70">
        <f>(H118)*'DATA - P&amp;L'!$C$6</f>
        <v>0</v>
      </c>
      <c r="I225" s="70">
        <f>(I118)*'DATA - P&amp;L'!$C$6</f>
        <v>0</v>
      </c>
      <c r="J225" s="70">
        <f>(J118)*'DATA - P&amp;L'!$C$6</f>
        <v>0</v>
      </c>
      <c r="K225" s="70">
        <f>(K118)*'DATA - P&amp;L'!$C$6</f>
        <v>0</v>
      </c>
      <c r="L225" s="70">
        <f>(L118)*'DATA - P&amp;L'!$C$6</f>
        <v>0</v>
      </c>
      <c r="M225" s="70">
        <f>(M118)*'DATA - P&amp;L'!$C$6</f>
        <v>0</v>
      </c>
      <c r="N225" s="70">
        <f>(N118)*'DATA - P&amp;L'!$C$6</f>
        <v>0</v>
      </c>
      <c r="O225" s="70">
        <f>(O118)*'DATA - P&amp;L'!$C$6</f>
        <v>0</v>
      </c>
      <c r="P225" s="70">
        <f>(P118)*'DATA - P&amp;L'!$C$6</f>
        <v>0</v>
      </c>
      <c r="Q225" s="70">
        <f>(Q118)*'DATA - P&amp;L'!$C$6</f>
        <v>0</v>
      </c>
      <c r="R225" s="70">
        <f>(R118)*'DATA - P&amp;L'!$C$6</f>
        <v>0</v>
      </c>
      <c r="S225" s="70">
        <f>(S118)*'DATA - P&amp;L'!$C$6</f>
        <v>0</v>
      </c>
      <c r="T225" s="70">
        <f>(T118)*'DATA - P&amp;L'!$C$6</f>
        <v>0</v>
      </c>
      <c r="U225" s="70">
        <f>(U118)*'DATA - P&amp;L'!$C$6</f>
        <v>0</v>
      </c>
      <c r="V225" s="70">
        <f>(V118)*'DATA - P&amp;L'!$C$6</f>
        <v>0</v>
      </c>
      <c r="W225" s="70">
        <f>(W118)*'DATA - P&amp;L'!$C$6</f>
        <v>0</v>
      </c>
      <c r="X225" s="70">
        <f>(X118)*'DATA - P&amp;L'!$C$6</f>
        <v>0</v>
      </c>
      <c r="Y225" s="70">
        <f>(Y118)*'DATA - P&amp;L'!$C$6</f>
        <v>0</v>
      </c>
      <c r="Z225" s="70">
        <f>(Z118)*'DATA - P&amp;L'!$C$6</f>
        <v>0</v>
      </c>
      <c r="AA225" s="70">
        <f>(AA118)*'DATA - P&amp;L'!$C$6</f>
        <v>0</v>
      </c>
      <c r="AB225" s="70">
        <f>(AB118)*'DATA - P&amp;L'!$C$6</f>
        <v>0</v>
      </c>
      <c r="AC225" s="70">
        <f>(AC118)*'DATA - P&amp;L'!$C$6</f>
        <v>0</v>
      </c>
      <c r="AD225" s="70">
        <f>(AD118)*'DATA - P&amp;L'!$C$6</f>
        <v>0</v>
      </c>
      <c r="AE225" s="74">
        <f>(AE118)*'DATA - P&amp;L'!$C$6</f>
        <v>0</v>
      </c>
      <c r="AF225" s="65">
        <f t="shared" si="65"/>
        <v>0</v>
      </c>
    </row>
    <row r="226">
      <c r="A226" s="116" t="s">
        <v>389</v>
      </c>
      <c r="B226" s="70">
        <f>(B119)*'DATA - P&amp;L'!$C$8</f>
        <v>0</v>
      </c>
      <c r="C226" s="70">
        <f>(C119)*'DATA - P&amp;L'!$C$8</f>
        <v>0</v>
      </c>
      <c r="D226" s="70">
        <f>(D119)*'DATA - P&amp;L'!$C$8</f>
        <v>0</v>
      </c>
      <c r="E226" s="70">
        <f>(E119)*'DATA - P&amp;L'!$C$8</f>
        <v>0</v>
      </c>
      <c r="F226" s="70">
        <f>(F119)*'DATA - P&amp;L'!$C$8</f>
        <v>0</v>
      </c>
      <c r="G226" s="70">
        <f>(G119)*'DATA - P&amp;L'!$C$8</f>
        <v>0</v>
      </c>
      <c r="H226" s="70">
        <f>(H119)*'DATA - P&amp;L'!$C$8</f>
        <v>0</v>
      </c>
      <c r="I226" s="70">
        <f>(I119)*'DATA - P&amp;L'!$C$8</f>
        <v>0</v>
      </c>
      <c r="J226" s="70">
        <f>(J119)*'DATA - P&amp;L'!$C$8</f>
        <v>0</v>
      </c>
      <c r="K226" s="70">
        <f>(K119)*'DATA - P&amp;L'!$C$8</f>
        <v>0</v>
      </c>
      <c r="L226" s="70">
        <f>(L119)*'DATA - P&amp;L'!$C$8</f>
        <v>0</v>
      </c>
      <c r="M226" s="70">
        <f>(M119)*'DATA - P&amp;L'!$C$8</f>
        <v>0</v>
      </c>
      <c r="N226" s="70">
        <f>(N119)*'DATA - P&amp;L'!$C$8</f>
        <v>0</v>
      </c>
      <c r="O226" s="70">
        <f>(O119)*'DATA - P&amp;L'!$C$8</f>
        <v>0</v>
      </c>
      <c r="P226" s="70">
        <f>(P119)*'DATA - P&amp;L'!$C$8</f>
        <v>0</v>
      </c>
      <c r="Q226" s="70">
        <f>(Q119)*'DATA - P&amp;L'!$C$8</f>
        <v>0</v>
      </c>
      <c r="R226" s="70">
        <f>(R119)*'DATA - P&amp;L'!$C$8</f>
        <v>0</v>
      </c>
      <c r="S226" s="70">
        <f>(S119)*'DATA - P&amp;L'!$C$8</f>
        <v>0</v>
      </c>
      <c r="T226" s="70">
        <f>(T119)*'DATA - P&amp;L'!$C$8</f>
        <v>0</v>
      </c>
      <c r="U226" s="70">
        <f>(U119)*'DATA - P&amp;L'!$C$8</f>
        <v>0</v>
      </c>
      <c r="V226" s="70">
        <f>(V119)*'DATA - P&amp;L'!$C$8</f>
        <v>0</v>
      </c>
      <c r="W226" s="70">
        <f>(W119)*'DATA - P&amp;L'!$C$8</f>
        <v>0</v>
      </c>
      <c r="X226" s="70">
        <f>(X119)*'DATA - P&amp;L'!$C$8</f>
        <v>0</v>
      </c>
      <c r="Y226" s="70">
        <f>(Y119)*'DATA - P&amp;L'!$C$8</f>
        <v>0</v>
      </c>
      <c r="Z226" s="70">
        <f>(Z119)*'DATA - P&amp;L'!$C$8</f>
        <v>0</v>
      </c>
      <c r="AA226" s="70">
        <f>(AA119)*'DATA - P&amp;L'!$C$8</f>
        <v>0</v>
      </c>
      <c r="AB226" s="70">
        <f>(AB119)*'DATA - P&amp;L'!$C$8</f>
        <v>0</v>
      </c>
      <c r="AC226" s="70">
        <f>(AC119)*'DATA - P&amp;L'!$C$8</f>
        <v>0</v>
      </c>
      <c r="AD226" s="70">
        <f>(AD119)*'DATA - P&amp;L'!$C$8</f>
        <v>0</v>
      </c>
      <c r="AE226" s="74">
        <f>(AE119)*'DATA - P&amp;L'!$C$8</f>
        <v>0</v>
      </c>
      <c r="AF226" s="65">
        <f t="shared" si="65"/>
        <v>0</v>
      </c>
    </row>
    <row r="227">
      <c r="A227" s="116" t="s">
        <v>393</v>
      </c>
      <c r="B227" s="70">
        <f>(B120+B121)*'DATA - P&amp;L'!$C$9</f>
        <v>0</v>
      </c>
      <c r="C227" s="70">
        <f>(C120+C121)*'DATA - P&amp;L'!$C$9</f>
        <v>0</v>
      </c>
      <c r="D227" s="70">
        <f>(D120+D121)*'DATA - P&amp;L'!$C$9</f>
        <v>0</v>
      </c>
      <c r="E227" s="70">
        <f>(E120+E121)*'DATA - P&amp;L'!$C$9</f>
        <v>0</v>
      </c>
      <c r="F227" s="70">
        <f>(F120+F121)*'DATA - P&amp;L'!$C$9</f>
        <v>0</v>
      </c>
      <c r="G227" s="70">
        <f>(G120+G121)*'DATA - P&amp;L'!$C$9</f>
        <v>0</v>
      </c>
      <c r="H227" s="70">
        <f>(H120+H121)*'DATA - P&amp;L'!$C$9</f>
        <v>0</v>
      </c>
      <c r="I227" s="70">
        <f>(I120+I121)*'DATA - P&amp;L'!$C$9</f>
        <v>0</v>
      </c>
      <c r="J227" s="70">
        <f>(J120+J121)*'DATA - P&amp;L'!$C$9</f>
        <v>0</v>
      </c>
      <c r="K227" s="70">
        <f>(K120+K121)*'DATA - P&amp;L'!$C$9</f>
        <v>0</v>
      </c>
      <c r="L227" s="70">
        <f>(L120+L121)*'DATA - P&amp;L'!$C$9</f>
        <v>0</v>
      </c>
      <c r="M227" s="70">
        <f>(M120+M121)*'DATA - P&amp;L'!$C$9</f>
        <v>0</v>
      </c>
      <c r="N227" s="70">
        <f>(N120+N121)*'DATA - P&amp;L'!$C$9</f>
        <v>0</v>
      </c>
      <c r="O227" s="70">
        <f>(O120+O121)*'DATA - P&amp;L'!$C$9</f>
        <v>0</v>
      </c>
      <c r="P227" s="70">
        <f>(P120+P121)*'DATA - P&amp;L'!$C$9</f>
        <v>0</v>
      </c>
      <c r="Q227" s="70">
        <f>(Q120+Q121)*'DATA - P&amp;L'!$C$9</f>
        <v>0</v>
      </c>
      <c r="R227" s="70">
        <f>(R120+R121)*'DATA - P&amp;L'!$C$9</f>
        <v>0</v>
      </c>
      <c r="S227" s="70">
        <f>(S120+S121)*'DATA - P&amp;L'!$C$9</f>
        <v>0</v>
      </c>
      <c r="T227" s="70">
        <f>(T120+T121)*'DATA - P&amp;L'!$C$9</f>
        <v>0</v>
      </c>
      <c r="U227" s="70">
        <f>(U120+U121)*'DATA - P&amp;L'!$C$9</f>
        <v>0</v>
      </c>
      <c r="V227" s="70">
        <f>(V120+V121)*'DATA - P&amp;L'!$C$9</f>
        <v>0</v>
      </c>
      <c r="W227" s="70">
        <f>(W120+W121)*'DATA - P&amp;L'!$C$9</f>
        <v>0</v>
      </c>
      <c r="X227" s="70">
        <f>(X120+X121)*'DATA - P&amp;L'!$C$9</f>
        <v>0</v>
      </c>
      <c r="Y227" s="70">
        <f>(Y120+Y121)*'DATA - P&amp;L'!$C$9</f>
        <v>0</v>
      </c>
      <c r="Z227" s="70">
        <f>(Z120+Z121)*'DATA - P&amp;L'!$C$9</f>
        <v>0</v>
      </c>
      <c r="AA227" s="70">
        <f>(AA120+AA121)*'DATA - P&amp;L'!$C$9</f>
        <v>0</v>
      </c>
      <c r="AB227" s="70">
        <f>(AB120+AB121)*'DATA - P&amp;L'!$C$9</f>
        <v>0</v>
      </c>
      <c r="AC227" s="70">
        <f>(AC120+AC121)*'DATA - P&amp;L'!$C$9</f>
        <v>0</v>
      </c>
      <c r="AD227" s="70">
        <f>(AD120+AD121)*'DATA - P&amp;L'!$C$9</f>
        <v>0</v>
      </c>
      <c r="AE227" s="74">
        <f>(AE120+AE121)*'DATA - P&amp;L'!$C$9</f>
        <v>0</v>
      </c>
      <c r="AF227" s="65">
        <f t="shared" si="65"/>
        <v>0</v>
      </c>
    </row>
    <row r="228">
      <c r="A228" s="116" t="s">
        <v>396</v>
      </c>
      <c r="B228" s="70">
        <f>(B122+B1570)*'DATA - P&amp;L'!$C$5</f>
        <v>0</v>
      </c>
      <c r="C228" s="70">
        <f>(C122+C1570)*'DATA - P&amp;L'!$C$5</f>
        <v>0</v>
      </c>
      <c r="D228" s="70">
        <f>(D122+D1570)*'DATA - P&amp;L'!$C$5</f>
        <v>0</v>
      </c>
      <c r="E228" s="70">
        <f>(E122+E1570)*'DATA - P&amp;L'!$C$5</f>
        <v>0</v>
      </c>
      <c r="F228" s="70">
        <f>(F122+F1570)*'DATA - P&amp;L'!$C$5</f>
        <v>0</v>
      </c>
      <c r="G228" s="70">
        <f>(G122+G1570)*'DATA - P&amp;L'!$C$5</f>
        <v>0</v>
      </c>
      <c r="H228" s="70">
        <f>(H122+H1570)*'DATA - P&amp;L'!$C$5</f>
        <v>0</v>
      </c>
      <c r="I228" s="70">
        <f>(I122+I1570)*'DATA - P&amp;L'!$C$5</f>
        <v>0</v>
      </c>
      <c r="J228" s="70">
        <f>(J122+J1570)*'DATA - P&amp;L'!$C$5</f>
        <v>0</v>
      </c>
      <c r="K228" s="70">
        <f>(K122+K1570)*'DATA - P&amp;L'!$C$5</f>
        <v>0</v>
      </c>
      <c r="L228" s="70">
        <f>(L122+L1570)*'DATA - P&amp;L'!$C$5</f>
        <v>0</v>
      </c>
      <c r="M228" s="70">
        <f>(M122+M1570)*'DATA - P&amp;L'!$C$5</f>
        <v>0</v>
      </c>
      <c r="N228" s="70">
        <f>(N122+N1570)*'DATA - P&amp;L'!$C$5</f>
        <v>0</v>
      </c>
      <c r="O228" s="70">
        <f>(O122+O1570)*'DATA - P&amp;L'!$C$5</f>
        <v>0</v>
      </c>
      <c r="P228" s="70">
        <f>(P122+P1570)*'DATA - P&amp;L'!$C$5</f>
        <v>0</v>
      </c>
      <c r="Q228" s="70">
        <f>(Q122+Q1570)*'DATA - P&amp;L'!$C$5</f>
        <v>0</v>
      </c>
      <c r="R228" s="70">
        <f>(R122+R1570)*'DATA - P&amp;L'!$C$5</f>
        <v>0</v>
      </c>
      <c r="S228" s="70">
        <f>(S122+S1570)*'DATA - P&amp;L'!$C$5</f>
        <v>0</v>
      </c>
      <c r="T228" s="70">
        <f>(T122+T1570)*'DATA - P&amp;L'!$C$5</f>
        <v>0</v>
      </c>
      <c r="U228" s="70">
        <f>(U122+U1570)*'DATA - P&amp;L'!$C$5</f>
        <v>0</v>
      </c>
      <c r="V228" s="70">
        <f>(V122+V1570)*'DATA - P&amp;L'!$C$5</f>
        <v>0</v>
      </c>
      <c r="W228" s="70">
        <f>(W122+W1570)*'DATA - P&amp;L'!$C$5</f>
        <v>0</v>
      </c>
      <c r="X228" s="70">
        <f>(X122+X1570)*'DATA - P&amp;L'!$C$5</f>
        <v>0</v>
      </c>
      <c r="Y228" s="70">
        <f>(Y122+Y1570)*'DATA - P&amp;L'!$C$5</f>
        <v>0</v>
      </c>
      <c r="Z228" s="70">
        <f>(Z122+Z1570)*'DATA - P&amp;L'!$C$5</f>
        <v>0</v>
      </c>
      <c r="AA228" s="70">
        <f>(AA122+AA1570)*'DATA - P&amp;L'!$C$5</f>
        <v>0</v>
      </c>
      <c r="AB228" s="70">
        <f>(AB122+AB1570)*'DATA - P&amp;L'!$C$5</f>
        <v>0</v>
      </c>
      <c r="AC228" s="70">
        <f>(AC122+AC1570)*'DATA - P&amp;L'!$C$5</f>
        <v>0</v>
      </c>
      <c r="AD228" s="70">
        <f>(AD122+AD1570)*'DATA - P&amp;L'!$C$5</f>
        <v>0</v>
      </c>
      <c r="AE228" s="74">
        <f>(AE122+AE1570)*'DATA - P&amp;L'!$C$5</f>
        <v>0</v>
      </c>
      <c r="AF228" s="65">
        <f t="shared" si="65"/>
        <v>0</v>
      </c>
    </row>
    <row r="229">
      <c r="A229" s="116" t="s">
        <v>398</v>
      </c>
      <c r="B229" s="70">
        <f>(B124+B125)*'DATA - P&amp;L'!$C$10</f>
        <v>0</v>
      </c>
      <c r="C229" s="70">
        <f>(C124+C125)*'DATA - P&amp;L'!$C$10</f>
        <v>0</v>
      </c>
      <c r="D229" s="70">
        <f>(D124+D125)*'DATA - P&amp;L'!$C$10</f>
        <v>0</v>
      </c>
      <c r="E229" s="70">
        <f>(E124+E125)*'DATA - P&amp;L'!$C$10</f>
        <v>0</v>
      </c>
      <c r="F229" s="70">
        <f>(F124+F125)*'DATA - P&amp;L'!$C$10</f>
        <v>0</v>
      </c>
      <c r="G229" s="70">
        <f>(G124+G125)*'DATA - P&amp;L'!$C$10</f>
        <v>0</v>
      </c>
      <c r="H229" s="70">
        <f>(H124+H125)*'DATA - P&amp;L'!$C$10</f>
        <v>0</v>
      </c>
      <c r="I229" s="70">
        <f>(I124+I125)*'DATA - P&amp;L'!$C$10</f>
        <v>0</v>
      </c>
      <c r="J229" s="70">
        <f>(J124+J125)*'DATA - P&amp;L'!$C$10</f>
        <v>0</v>
      </c>
      <c r="K229" s="70">
        <f>(K124+K125)*'DATA - P&amp;L'!$C$10</f>
        <v>0</v>
      </c>
      <c r="L229" s="70">
        <f>(L124+L125)*'DATA - P&amp;L'!$C$10</f>
        <v>0</v>
      </c>
      <c r="M229" s="70">
        <f>(M124+M125)*'DATA - P&amp;L'!$C$10</f>
        <v>0</v>
      </c>
      <c r="N229" s="70">
        <f>(N124+N125)*'DATA - P&amp;L'!$C$10</f>
        <v>0</v>
      </c>
      <c r="O229" s="70">
        <f>(O124+O125)*'DATA - P&amp;L'!$C$10</f>
        <v>0</v>
      </c>
      <c r="P229" s="70">
        <f>(P124+P125)*'DATA - P&amp;L'!$C$10</f>
        <v>0</v>
      </c>
      <c r="Q229" s="70">
        <f>(Q124+Q125)*'DATA - P&amp;L'!$C$10</f>
        <v>0</v>
      </c>
      <c r="R229" s="70">
        <f>(R124+R125)*'DATA - P&amp;L'!$C$10</f>
        <v>0</v>
      </c>
      <c r="S229" s="70">
        <f>(S124+S125)*'DATA - P&amp;L'!$C$10</f>
        <v>0</v>
      </c>
      <c r="T229" s="70">
        <f>(T124+T125)*'DATA - P&amp;L'!$C$10</f>
        <v>0</v>
      </c>
      <c r="U229" s="70">
        <f>(U124+U125)*'DATA - P&amp;L'!$C$10</f>
        <v>0</v>
      </c>
      <c r="V229" s="70">
        <f>(V124+V125)*'DATA - P&amp;L'!$C$10</f>
        <v>0</v>
      </c>
      <c r="W229" s="70">
        <f>(W124+W125)*'DATA - P&amp;L'!$C$10</f>
        <v>0</v>
      </c>
      <c r="X229" s="70">
        <f>(X124+X125)*'DATA - P&amp;L'!$C$10</f>
        <v>0</v>
      </c>
      <c r="Y229" s="70">
        <f>(Y124+Y125)*'DATA - P&amp;L'!$C$10</f>
        <v>0</v>
      </c>
      <c r="Z229" s="70">
        <f>(Z124+Z125)*'DATA - P&amp;L'!$C$10</f>
        <v>0</v>
      </c>
      <c r="AA229" s="70">
        <f>(AA124+AA125)*'DATA - P&amp;L'!$C$10</f>
        <v>0</v>
      </c>
      <c r="AB229" s="70">
        <f>(AB124+AB125)*'DATA - P&amp;L'!$C$10</f>
        <v>0</v>
      </c>
      <c r="AC229" s="70">
        <f>(AC124+AC125)*'DATA - P&amp;L'!$C$10</f>
        <v>0</v>
      </c>
      <c r="AD229" s="70">
        <f>(AD124+AD125)*'DATA - P&amp;L'!$C$10</f>
        <v>0</v>
      </c>
      <c r="AE229" s="74">
        <f>(AE124+AE125)*'DATA - P&amp;L'!$C$10</f>
        <v>0</v>
      </c>
      <c r="AF229" s="65">
        <f t="shared" si="65"/>
        <v>0</v>
      </c>
    </row>
    <row r="230">
      <c r="A230" s="116" t="s">
        <v>400</v>
      </c>
      <c r="B230" s="70">
        <f>(B115+B116)*'DATA - P&amp;L'!$C$43</f>
        <v>0</v>
      </c>
      <c r="C230" s="70">
        <f>(C115+C116)*'DATA - P&amp;L'!$C$43</f>
        <v>23.88</v>
      </c>
      <c r="D230" s="70">
        <f>(D115+D116)*'DATA - P&amp;L'!$C$43</f>
        <v>35.82</v>
      </c>
      <c r="E230" s="70">
        <f>(E115+E116)*'DATA - P&amp;L'!$C$43</f>
        <v>11.94</v>
      </c>
      <c r="F230" s="70">
        <f>(F115+F116)*'DATA - P&amp;L'!$C$43</f>
        <v>0</v>
      </c>
      <c r="G230" s="70">
        <f>(G115+G116)*'DATA - P&amp;L'!$C$43</f>
        <v>23.88</v>
      </c>
      <c r="H230" s="70">
        <f>(H115+H116)*'DATA - P&amp;L'!$C$43</f>
        <v>0</v>
      </c>
      <c r="I230" s="70">
        <f>(I115+I116)*'DATA - P&amp;L'!$C$43</f>
        <v>0</v>
      </c>
      <c r="J230" s="70">
        <f>(J115+J116)*'DATA - P&amp;L'!$C$43</f>
        <v>35.82</v>
      </c>
      <c r="K230" s="70">
        <f>(K115+K116)*'DATA - P&amp;L'!$C$43</f>
        <v>0</v>
      </c>
      <c r="L230" s="70">
        <f>(L115+L116)*'DATA - P&amp;L'!$C$43</f>
        <v>0</v>
      </c>
      <c r="M230" s="70">
        <f>(M115+M116)*'DATA - P&amp;L'!$C$43</f>
        <v>35.82</v>
      </c>
      <c r="N230" s="70">
        <f>(N115+N116)*'DATA - P&amp;L'!$C$43</f>
        <v>0</v>
      </c>
      <c r="O230" s="70">
        <f>(O115+O116)*'DATA - P&amp;L'!$C$43</f>
        <v>11.94</v>
      </c>
      <c r="P230" s="70">
        <f>(P115+P116)*'DATA - P&amp;L'!$C$43</f>
        <v>0</v>
      </c>
      <c r="Q230" s="70">
        <f>(Q115+Q116)*'DATA - P&amp;L'!$C$43</f>
        <v>0</v>
      </c>
      <c r="R230" s="70">
        <f>(R115+R116)*'DATA - P&amp;L'!$C$43</f>
        <v>0</v>
      </c>
      <c r="S230" s="70">
        <f>(S115+S116)*'DATA - P&amp;L'!$C$43</f>
        <v>0</v>
      </c>
      <c r="T230" s="70">
        <f>(T115+T116)*'DATA - P&amp;L'!$C$43</f>
        <v>23.88</v>
      </c>
      <c r="U230" s="70">
        <f>(U115+U116)*'DATA - P&amp;L'!$C$43</f>
        <v>0</v>
      </c>
      <c r="V230" s="70">
        <f>(V115+V116)*'DATA - P&amp;L'!$C$43</f>
        <v>0</v>
      </c>
      <c r="W230" s="70">
        <f>(W115+W116)*'DATA - P&amp;L'!$C$43</f>
        <v>11.94</v>
      </c>
      <c r="X230" s="70">
        <f>(X115+X116)*'DATA - P&amp;L'!$C$43</f>
        <v>0</v>
      </c>
      <c r="Y230" s="70">
        <f>(Y115+Y116)*'DATA - P&amp;L'!$C$43</f>
        <v>11.94</v>
      </c>
      <c r="Z230" s="70">
        <f>(Z115+Z116)*'DATA - P&amp;L'!$C$43</f>
        <v>0</v>
      </c>
      <c r="AA230" s="70">
        <f>(AA115+AA116)*'DATA - P&amp;L'!$C$43</f>
        <v>0</v>
      </c>
      <c r="AB230" s="70">
        <f>(AB115+AB116)*'DATA - P&amp;L'!$C$43</f>
        <v>59.7</v>
      </c>
      <c r="AC230" s="70">
        <f>(AC115+AC116)*'DATA - P&amp;L'!$C$43</f>
        <v>11.94</v>
      </c>
      <c r="AD230" s="70">
        <f>(AD115+AD116)*'DATA - P&amp;L'!$C$43</f>
        <v>11.94</v>
      </c>
      <c r="AE230" s="74">
        <f>(AE115+AE116)*'DATA - P&amp;L'!$C$43</f>
        <v>11.94</v>
      </c>
      <c r="AF230" s="65">
        <f t="shared" si="65"/>
        <v>322.38</v>
      </c>
    </row>
    <row r="231">
      <c r="A231" s="116" t="s">
        <v>465</v>
      </c>
      <c r="B231" s="70">
        <f>B126*'DATA - P&amp;L'!$C$43</f>
        <v>0</v>
      </c>
      <c r="C231" s="70">
        <f>C126*'DATA - P&amp;L'!$C$43</f>
        <v>0</v>
      </c>
      <c r="D231" s="70">
        <f>D126*'DATA - P&amp;L'!$C$43</f>
        <v>0</v>
      </c>
      <c r="E231" s="70">
        <f>E126*'DATA - P&amp;L'!$C$43</f>
        <v>0</v>
      </c>
      <c r="F231" s="70">
        <f>F126*'DATA - P&amp;L'!$C$43</f>
        <v>0</v>
      </c>
      <c r="G231" s="70">
        <f>G126*'DATA - P&amp;L'!$C$43</f>
        <v>0</v>
      </c>
      <c r="H231" s="70">
        <f>H126*'DATA - P&amp;L'!$C$43</f>
        <v>0</v>
      </c>
      <c r="I231" s="70">
        <f>I126*'DATA - P&amp;L'!$C$43</f>
        <v>0</v>
      </c>
      <c r="J231" s="70">
        <f>J126*'DATA - P&amp;L'!$C$43</f>
        <v>0</v>
      </c>
      <c r="K231" s="70">
        <f>K126*'DATA - P&amp;L'!$C$43</f>
        <v>0</v>
      </c>
      <c r="L231" s="70">
        <f>L126*'DATA - P&amp;L'!$C$43</f>
        <v>0</v>
      </c>
      <c r="M231" s="70">
        <f>M126*'DATA - P&amp;L'!$C$43</f>
        <v>0</v>
      </c>
      <c r="N231" s="70">
        <f>N126*'DATA - P&amp;L'!$C$43</f>
        <v>0</v>
      </c>
      <c r="O231" s="70">
        <f>O126*'DATA - P&amp;L'!$C$43</f>
        <v>0</v>
      </c>
      <c r="P231" s="70">
        <f>P126*'DATA - P&amp;L'!$C$43</f>
        <v>0</v>
      </c>
      <c r="Q231" s="70">
        <f>Q126*'DATA - P&amp;L'!$C$43</f>
        <v>0</v>
      </c>
      <c r="R231" s="70">
        <f>R126*'DATA - P&amp;L'!$C$43</f>
        <v>0</v>
      </c>
      <c r="S231" s="70">
        <f>S126*'DATA - P&amp;L'!$C$43</f>
        <v>0</v>
      </c>
      <c r="T231" s="70">
        <f>T126*'DATA - P&amp;L'!$C$43</f>
        <v>0</v>
      </c>
      <c r="U231" s="70">
        <f>U126*'DATA - P&amp;L'!$C$43</f>
        <v>0</v>
      </c>
      <c r="V231" s="70">
        <f>V126*'DATA - P&amp;L'!$C$43</f>
        <v>0</v>
      </c>
      <c r="W231" s="70">
        <f>W126*'DATA - P&amp;L'!$C$43</f>
        <v>0</v>
      </c>
      <c r="X231" s="70">
        <f>X126*'DATA - P&amp;L'!$C$43</f>
        <v>0</v>
      </c>
      <c r="Y231" s="70">
        <f>Y126*'DATA - P&amp;L'!$C$43</f>
        <v>0</v>
      </c>
      <c r="Z231" s="70">
        <f>Z126*'DATA - P&amp;L'!$C$43</f>
        <v>0</v>
      </c>
      <c r="AA231" s="70">
        <f>AA126*'DATA - P&amp;L'!$C$43</f>
        <v>0</v>
      </c>
      <c r="AB231" s="70">
        <f>AB126*'DATA - P&amp;L'!$C$43</f>
        <v>0</v>
      </c>
      <c r="AC231" s="70">
        <f>AC126*'DATA - P&amp;L'!$C$43</f>
        <v>0</v>
      </c>
      <c r="AD231" s="70">
        <f>AD126*'DATA - P&amp;L'!$C$43</f>
        <v>0</v>
      </c>
      <c r="AE231" s="74">
        <f>AE126*'DATA - P&amp;L'!$C$43</f>
        <v>0</v>
      </c>
      <c r="AF231" s="65">
        <f t="shared" si="65"/>
        <v>0</v>
      </c>
    </row>
    <row r="232">
      <c r="A232" s="116" t="s">
        <v>467</v>
      </c>
      <c r="B232" s="70">
        <f t="shared" ref="B232:AE232" si="66">B148</f>
        <v>0</v>
      </c>
      <c r="C232" s="70">
        <f t="shared" si="66"/>
        <v>279</v>
      </c>
      <c r="D232" s="70">
        <f t="shared" si="66"/>
        <v>279</v>
      </c>
      <c r="E232" s="70">
        <f t="shared" si="66"/>
        <v>279</v>
      </c>
      <c r="F232" s="70">
        <f t="shared" si="66"/>
        <v>0</v>
      </c>
      <c r="G232" s="70">
        <f t="shared" si="66"/>
        <v>279</v>
      </c>
      <c r="H232" s="70">
        <f t="shared" si="66"/>
        <v>0</v>
      </c>
      <c r="I232" s="70">
        <f t="shared" si="66"/>
        <v>0</v>
      </c>
      <c r="J232" s="70">
        <f t="shared" si="66"/>
        <v>279</v>
      </c>
      <c r="K232" s="70">
        <f t="shared" si="66"/>
        <v>0</v>
      </c>
      <c r="L232" s="70">
        <f t="shared" si="66"/>
        <v>0</v>
      </c>
      <c r="M232" s="70">
        <f t="shared" si="66"/>
        <v>837</v>
      </c>
      <c r="N232" s="70">
        <f t="shared" si="66"/>
        <v>0</v>
      </c>
      <c r="O232" s="70">
        <f t="shared" si="66"/>
        <v>279</v>
      </c>
      <c r="P232" s="70">
        <f t="shared" si="66"/>
        <v>0</v>
      </c>
      <c r="Q232" s="70">
        <f t="shared" si="66"/>
        <v>0</v>
      </c>
      <c r="R232" s="70">
        <f t="shared" si="66"/>
        <v>0</v>
      </c>
      <c r="S232" s="70">
        <f t="shared" si="66"/>
        <v>0</v>
      </c>
      <c r="T232" s="70">
        <f t="shared" si="66"/>
        <v>558</v>
      </c>
      <c r="U232" s="70">
        <f t="shared" si="66"/>
        <v>0</v>
      </c>
      <c r="V232" s="70">
        <f t="shared" si="66"/>
        <v>0</v>
      </c>
      <c r="W232" s="70">
        <f t="shared" si="66"/>
        <v>279</v>
      </c>
      <c r="X232" s="70">
        <f t="shared" si="66"/>
        <v>0</v>
      </c>
      <c r="Y232" s="70">
        <f t="shared" si="66"/>
        <v>279</v>
      </c>
      <c r="Z232" s="70">
        <f t="shared" si="66"/>
        <v>0</v>
      </c>
      <c r="AA232" s="70">
        <f t="shared" si="66"/>
        <v>0</v>
      </c>
      <c r="AB232" s="70">
        <f t="shared" si="66"/>
        <v>1395</v>
      </c>
      <c r="AC232" s="70">
        <f t="shared" si="66"/>
        <v>279</v>
      </c>
      <c r="AD232" s="70">
        <f t="shared" si="66"/>
        <v>279</v>
      </c>
      <c r="AE232" s="74">
        <f t="shared" si="66"/>
        <v>279</v>
      </c>
      <c r="AF232" s="65">
        <f t="shared" si="65"/>
        <v>5859</v>
      </c>
    </row>
    <row r="233">
      <c r="A233" s="575" t="s">
        <v>469</v>
      </c>
      <c r="B233" s="576">
        <f t="shared" ref="B233:AE233" si="67">SUM(B234:B242)-B243-B244</f>
        <v>-484.3</v>
      </c>
      <c r="C233" s="576">
        <f t="shared" si="67"/>
        <v>-471.55</v>
      </c>
      <c r="D233" s="576">
        <f t="shared" si="67"/>
        <v>0</v>
      </c>
      <c r="E233" s="576">
        <f t="shared" si="67"/>
        <v>49.931128</v>
      </c>
      <c r="F233" s="576">
        <f t="shared" si="67"/>
        <v>49.931128</v>
      </c>
      <c r="G233" s="576">
        <f t="shared" si="67"/>
        <v>-433.834436</v>
      </c>
      <c r="H233" s="576">
        <f t="shared" si="67"/>
        <v>-471.55</v>
      </c>
      <c r="I233" s="576">
        <f t="shared" si="67"/>
        <v>-204.434436</v>
      </c>
      <c r="J233" s="576">
        <f t="shared" si="67"/>
        <v>-358.937744</v>
      </c>
      <c r="K233" s="576">
        <f t="shared" si="67"/>
        <v>-204.434436</v>
      </c>
      <c r="L233" s="576">
        <f t="shared" si="67"/>
        <v>-229.4</v>
      </c>
      <c r="M233" s="576">
        <f t="shared" si="67"/>
        <v>99.862256</v>
      </c>
      <c r="N233" s="576">
        <f t="shared" si="67"/>
        <v>-204.434436</v>
      </c>
      <c r="O233" s="576">
        <f t="shared" si="67"/>
        <v>-229.4</v>
      </c>
      <c r="P233" s="576">
        <f t="shared" si="67"/>
        <v>-496.184436</v>
      </c>
      <c r="Q233" s="576">
        <f t="shared" si="67"/>
        <v>-421.287744</v>
      </c>
      <c r="R233" s="576">
        <f t="shared" si="67"/>
        <v>-217.184436</v>
      </c>
      <c r="S233" s="576">
        <f t="shared" si="67"/>
        <v>-279</v>
      </c>
      <c r="T233" s="576">
        <f t="shared" si="67"/>
        <v>-279</v>
      </c>
      <c r="U233" s="576">
        <f t="shared" si="67"/>
        <v>-738.334436</v>
      </c>
      <c r="V233" s="576">
        <f t="shared" si="67"/>
        <v>-588.87218</v>
      </c>
      <c r="W233" s="576">
        <f t="shared" si="67"/>
        <v>-917.803308</v>
      </c>
      <c r="X233" s="576">
        <f t="shared" si="67"/>
        <v>-421.618872</v>
      </c>
      <c r="Y233" s="576">
        <f t="shared" si="67"/>
        <v>-154.503308</v>
      </c>
      <c r="Z233" s="576">
        <f t="shared" si="67"/>
        <v>-421.618872</v>
      </c>
      <c r="AA233" s="576">
        <f t="shared" si="67"/>
        <v>-242.15</v>
      </c>
      <c r="AB233" s="576">
        <f t="shared" si="67"/>
        <v>-229.068872</v>
      </c>
      <c r="AC233" s="576">
        <f t="shared" si="67"/>
        <v>-688.734436</v>
      </c>
      <c r="AD233" s="576">
        <f t="shared" si="67"/>
        <v>24.965564</v>
      </c>
      <c r="AE233" s="577">
        <f t="shared" si="67"/>
        <v>0</v>
      </c>
      <c r="AF233" s="65">
        <f t="shared" si="65"/>
        <v>-9162.946312</v>
      </c>
    </row>
    <row r="234">
      <c r="A234" s="116" t="s">
        <v>472</v>
      </c>
      <c r="B234" s="70">
        <f>((B129+B130)*'DATA - P&amp;L'!$C$3)*'DATA - P&amp;L'!$C$54</f>
        <v>0</v>
      </c>
      <c r="C234" s="70">
        <f>((C129+C130)*'DATA - P&amp;L'!$C$3)*'DATA - P&amp;L'!$C$54</f>
        <v>0</v>
      </c>
      <c r="D234" s="70">
        <f>((D129+D130)*'DATA - P&amp;L'!$C$3)*'DATA - P&amp;L'!$C$54</f>
        <v>0</v>
      </c>
      <c r="E234" s="70">
        <f>((E129+E130)*'DATA - P&amp;L'!$C$3)*'DATA - P&amp;L'!$C$54</f>
        <v>0</v>
      </c>
      <c r="F234" s="70">
        <f>((F129+F130)*'DATA - P&amp;L'!$C$3)*'DATA - P&amp;L'!$C$54</f>
        <v>0</v>
      </c>
      <c r="G234" s="70">
        <f>((G129+G130)*'DATA - P&amp;L'!$C$3)*'DATA - P&amp;L'!$C$54</f>
        <v>0</v>
      </c>
      <c r="H234" s="70">
        <f>((H129+H130)*'DATA - P&amp;L'!$C$3)*'DATA - P&amp;L'!$C$54</f>
        <v>0</v>
      </c>
      <c r="I234" s="70">
        <f>((I129+I130)*'DATA - P&amp;L'!$C$3)*'DATA - P&amp;L'!$C$54</f>
        <v>0</v>
      </c>
      <c r="J234" s="70">
        <f>((J129+J130)*'DATA - P&amp;L'!$C$3)*'DATA - P&amp;L'!$C$54</f>
        <v>0</v>
      </c>
      <c r="K234" s="70">
        <f>((K129+K130)*'DATA - P&amp;L'!$C$3)*'DATA - P&amp;L'!$C$54</f>
        <v>0</v>
      </c>
      <c r="L234" s="70">
        <f>((L129+L130)*'DATA - P&amp;L'!$C$3)*'DATA - P&amp;L'!$C$54</f>
        <v>0</v>
      </c>
      <c r="M234" s="70">
        <f>((M129+M130)*'DATA - P&amp;L'!$C$3)*'DATA - P&amp;L'!$C$54</f>
        <v>0</v>
      </c>
      <c r="N234" s="70">
        <f>((N129+N130)*'DATA - P&amp;L'!$C$3)*'DATA - P&amp;L'!$C$54</f>
        <v>0</v>
      </c>
      <c r="O234" s="70">
        <f>((O129+O130)*'DATA - P&amp;L'!$C$3)*'DATA - P&amp;L'!$C$54</f>
        <v>0</v>
      </c>
      <c r="P234" s="70">
        <f>((P129+P130)*'DATA - P&amp;L'!$C$3)*'DATA - P&amp;L'!$C$54</f>
        <v>0</v>
      </c>
      <c r="Q234" s="70">
        <f>((Q129+Q130)*'DATA - P&amp;L'!$C$3)*'DATA - P&amp;L'!$C$54</f>
        <v>0</v>
      </c>
      <c r="R234" s="70">
        <f>((R129+R130)*'DATA - P&amp;L'!$C$3)*'DATA - P&amp;L'!$C$54</f>
        <v>0</v>
      </c>
      <c r="S234" s="70">
        <f>((S129+S130)*'DATA - P&amp;L'!$C$3)*'DATA - P&amp;L'!$C$54</f>
        <v>0</v>
      </c>
      <c r="T234" s="70">
        <f>((T129+T130)*'DATA - P&amp;L'!$C$3)*'DATA - P&amp;L'!$C$54</f>
        <v>0</v>
      </c>
      <c r="U234" s="70">
        <f>((U129+U130)*'DATA - P&amp;L'!$C$3)*'DATA - P&amp;L'!$C$54</f>
        <v>0</v>
      </c>
      <c r="V234" s="70">
        <f>((V129+V130)*'DATA - P&amp;L'!$C$3)*'DATA - P&amp;L'!$C$54</f>
        <v>0</v>
      </c>
      <c r="W234" s="70">
        <f>((W129+W130)*'DATA - P&amp;L'!$C$3)*'DATA - P&amp;L'!$C$54</f>
        <v>0</v>
      </c>
      <c r="X234" s="70">
        <f>((X129+X130)*'DATA - P&amp;L'!$C$3)*'DATA - P&amp;L'!$C$54</f>
        <v>0</v>
      </c>
      <c r="Y234" s="70">
        <f>((Y129+Y130)*'DATA - P&amp;L'!$C$3)*'DATA - P&amp;L'!$C$54</f>
        <v>0</v>
      </c>
      <c r="Z234" s="70">
        <f>((Z129+Z130)*'DATA - P&amp;L'!$C$3)*'DATA - P&amp;L'!$C$54</f>
        <v>0</v>
      </c>
      <c r="AA234" s="70">
        <f>((AA129+AA130)*'DATA - P&amp;L'!$C$3)*'DATA - P&amp;L'!$C$54</f>
        <v>0</v>
      </c>
      <c r="AB234" s="70">
        <f>((AB129+AB130)*'DATA - P&amp;L'!$C$3)*'DATA - P&amp;L'!$C$54</f>
        <v>0</v>
      </c>
      <c r="AC234" s="70">
        <f>((AC129+AC130)*'DATA - P&amp;L'!$C$3)*'DATA - P&amp;L'!$C$54</f>
        <v>0</v>
      </c>
      <c r="AD234" s="70">
        <f>((AD129+AD130)*'DATA - P&amp;L'!$C$3)*'DATA - P&amp;L'!$C$54</f>
        <v>0</v>
      </c>
      <c r="AE234" s="74">
        <f>((AE129+AE130)*'DATA - P&amp;L'!$C$3)*'DATA - P&amp;L'!$C$54</f>
        <v>0</v>
      </c>
      <c r="AF234" s="65">
        <f t="shared" si="65"/>
        <v>0</v>
      </c>
    </row>
    <row r="235">
      <c r="A235" s="116" t="s">
        <v>475</v>
      </c>
      <c r="B235" s="70">
        <f>(B131+B132)*'DATA - P&amp;L'!$C$4*'DATA - P&amp;L'!$C$54</f>
        <v>0</v>
      </c>
      <c r="C235" s="70">
        <f>(C131+C132)*'DATA - P&amp;L'!$C$4*'DATA - P&amp;L'!$C$54</f>
        <v>0</v>
      </c>
      <c r="D235" s="70">
        <f>(D131+D132)*'DATA - P&amp;L'!$C$4*'DATA - P&amp;L'!$C$54</f>
        <v>0</v>
      </c>
      <c r="E235" s="70">
        <f>(E131+E132)*'DATA - P&amp;L'!$C$4*'DATA - P&amp;L'!$C$54</f>
        <v>48.805</v>
      </c>
      <c r="F235" s="70">
        <f>(F131+F132)*'DATA - P&amp;L'!$C$4*'DATA - P&amp;L'!$C$54</f>
        <v>48.805</v>
      </c>
      <c r="G235" s="70">
        <f>(G131+G132)*'DATA - P&amp;L'!$C$4*'DATA - P&amp;L'!$C$54</f>
        <v>24.4025</v>
      </c>
      <c r="H235" s="70">
        <f>(H131+H132)*'DATA - P&amp;L'!$C$4*'DATA - P&amp;L'!$C$54</f>
        <v>0</v>
      </c>
      <c r="I235" s="70">
        <f>(I131+I132)*'DATA - P&amp;L'!$C$4*'DATA - P&amp;L'!$C$54</f>
        <v>24.4025</v>
      </c>
      <c r="J235" s="70">
        <f>(J131+J132)*'DATA - P&amp;L'!$C$4*'DATA - P&amp;L'!$C$54</f>
        <v>97.61</v>
      </c>
      <c r="K235" s="70">
        <f>(K131+K132)*'DATA - P&amp;L'!$C$4*'DATA - P&amp;L'!$C$54</f>
        <v>24.4025</v>
      </c>
      <c r="L235" s="70">
        <f>(L131+L132)*'DATA - P&amp;L'!$C$4*'DATA - P&amp;L'!$C$54</f>
        <v>0</v>
      </c>
      <c r="M235" s="70">
        <f>(M131+M132)*'DATA - P&amp;L'!$C$4*'DATA - P&amp;L'!$C$54</f>
        <v>97.61</v>
      </c>
      <c r="N235" s="70">
        <f>(N131+N132)*'DATA - P&amp;L'!$C$4*'DATA - P&amp;L'!$C$54</f>
        <v>24.4025</v>
      </c>
      <c r="O235" s="70">
        <f>(O131+O132)*'DATA - P&amp;L'!$C$4*'DATA - P&amp;L'!$C$54</f>
        <v>0</v>
      </c>
      <c r="P235" s="70">
        <f>(P131+P132)*'DATA - P&amp;L'!$C$4*'DATA - P&amp;L'!$C$54</f>
        <v>24.4025</v>
      </c>
      <c r="Q235" s="70">
        <f>(Q131+Q132)*'DATA - P&amp;L'!$C$4*'DATA - P&amp;L'!$C$54</f>
        <v>97.61</v>
      </c>
      <c r="R235" s="70">
        <f>(R131+R132)*'DATA - P&amp;L'!$C$4*'DATA - P&amp;L'!$C$54</f>
        <v>24.4025</v>
      </c>
      <c r="S235" s="70">
        <f>(S131+S132)*'DATA - P&amp;L'!$C$4*'DATA - P&amp;L'!$C$54</f>
        <v>0</v>
      </c>
      <c r="T235" s="70">
        <f>(T131+T132)*'DATA - P&amp;L'!$C$4*'DATA - P&amp;L'!$C$54</f>
        <v>0</v>
      </c>
      <c r="U235" s="70">
        <f>(U131+U132)*'DATA - P&amp;L'!$C$4*'DATA - P&amp;L'!$C$54</f>
        <v>24.4025</v>
      </c>
      <c r="V235" s="70">
        <f>(V131+V132)*'DATA - P&amp;L'!$C$4*'DATA - P&amp;L'!$C$54</f>
        <v>122.0125</v>
      </c>
      <c r="W235" s="70">
        <f>(W131+W132)*'DATA - P&amp;L'!$C$4*'DATA - P&amp;L'!$C$54</f>
        <v>73.2075</v>
      </c>
      <c r="X235" s="70">
        <f>(X131+X132)*'DATA - P&amp;L'!$C$4*'DATA - P&amp;L'!$C$54</f>
        <v>48.805</v>
      </c>
      <c r="Y235" s="70">
        <f>(Y131+Y132)*'DATA - P&amp;L'!$C$4*'DATA - P&amp;L'!$C$54</f>
        <v>73.2075</v>
      </c>
      <c r="Z235" s="70">
        <f>(Z131+Z132)*'DATA - P&amp;L'!$C$4*'DATA - P&amp;L'!$C$54</f>
        <v>48.805</v>
      </c>
      <c r="AA235" s="70">
        <f>(AA131+AA132)*'DATA - P&amp;L'!$C$4*'DATA - P&amp;L'!$C$54</f>
        <v>0</v>
      </c>
      <c r="AB235" s="70">
        <f>(AB131+AB132)*'DATA - P&amp;L'!$C$4*'DATA - P&amp;L'!$C$54</f>
        <v>48.805</v>
      </c>
      <c r="AC235" s="70">
        <f>(AC131+AC132)*'DATA - P&amp;L'!$C$4*'DATA - P&amp;L'!$C$54</f>
        <v>24.4025</v>
      </c>
      <c r="AD235" s="70">
        <f>(AD131+AD132)*'DATA - P&amp;L'!$C$4*'DATA - P&amp;L'!$C$54</f>
        <v>24.4025</v>
      </c>
      <c r="AE235" s="74">
        <f>(AE131+AE132)*'DATA - P&amp;L'!$C$4*'DATA - P&amp;L'!$C$54</f>
        <v>0</v>
      </c>
      <c r="AF235" s="65">
        <f t="shared" si="65"/>
        <v>1024.905</v>
      </c>
    </row>
    <row r="236">
      <c r="A236" s="116" t="s">
        <v>481</v>
      </c>
      <c r="B236" s="70">
        <f>B136*'DATA - P&amp;L'!$C$6*'DATA - P&amp;L'!$C$54</f>
        <v>0</v>
      </c>
      <c r="C236" s="70">
        <f>C136*'DATA - P&amp;L'!$C$6*'DATA - P&amp;L'!$C$54</f>
        <v>0</v>
      </c>
      <c r="D236" s="70">
        <f>D136*'DATA - P&amp;L'!$C$6*'DATA - P&amp;L'!$C$54</f>
        <v>0</v>
      </c>
      <c r="E236" s="70">
        <f>E136*'DATA - P&amp;L'!$C$6*'DATA - P&amp;L'!$C$54</f>
        <v>0</v>
      </c>
      <c r="F236" s="70">
        <f>F136*'DATA - P&amp;L'!$C$6*'DATA - P&amp;L'!$C$54</f>
        <v>0</v>
      </c>
      <c r="G236" s="70">
        <f>G136*'DATA - P&amp;L'!$C$6*'DATA - P&amp;L'!$C$54</f>
        <v>0</v>
      </c>
      <c r="H236" s="70">
        <f>H136*'DATA - P&amp;L'!$C$6*'DATA - P&amp;L'!$C$54</f>
        <v>0</v>
      </c>
      <c r="I236" s="70">
        <f>I136*'DATA - P&amp;L'!$C$6*'DATA - P&amp;L'!$C$54</f>
        <v>0</v>
      </c>
      <c r="J236" s="70">
        <f>J136*'DATA - P&amp;L'!$C$6*'DATA - P&amp;L'!$C$54</f>
        <v>0</v>
      </c>
      <c r="K236" s="70">
        <f>K136*'DATA - P&amp;L'!$C$6*'DATA - P&amp;L'!$C$54</f>
        <v>0</v>
      </c>
      <c r="L236" s="70">
        <f>L136*'DATA - P&amp;L'!$C$6*'DATA - P&amp;L'!$C$54</f>
        <v>0</v>
      </c>
      <c r="M236" s="70">
        <f>M136*'DATA - P&amp;L'!$C$6*'DATA - P&amp;L'!$C$54</f>
        <v>0</v>
      </c>
      <c r="N236" s="70">
        <f>N136*'DATA - P&amp;L'!$C$6*'DATA - P&amp;L'!$C$54</f>
        <v>0</v>
      </c>
      <c r="O236" s="70">
        <f>O136*'DATA - P&amp;L'!$C$6*'DATA - P&amp;L'!$C$54</f>
        <v>0</v>
      </c>
      <c r="P236" s="70">
        <f>P136*'DATA - P&amp;L'!$C$6*'DATA - P&amp;L'!$C$54</f>
        <v>0</v>
      </c>
      <c r="Q236" s="70">
        <f>Q136*'DATA - P&amp;L'!$C$6*'DATA - P&amp;L'!$C$54</f>
        <v>0</v>
      </c>
      <c r="R236" s="70">
        <f>R136*'DATA - P&amp;L'!$C$6*'DATA - P&amp;L'!$C$54</f>
        <v>0</v>
      </c>
      <c r="S236" s="70">
        <f>S136*'DATA - P&amp;L'!$C$6*'DATA - P&amp;L'!$C$54</f>
        <v>0</v>
      </c>
      <c r="T236" s="70">
        <f>T136*'DATA - P&amp;L'!$C$6*'DATA - P&amp;L'!$C$54</f>
        <v>0</v>
      </c>
      <c r="U236" s="70">
        <f>U136*'DATA - P&amp;L'!$C$6*'DATA - P&amp;L'!$C$54</f>
        <v>0</v>
      </c>
      <c r="V236" s="70">
        <f>V136*'DATA - P&amp;L'!$C$6*'DATA - P&amp;L'!$C$54</f>
        <v>0</v>
      </c>
      <c r="W236" s="70">
        <f>W136*'DATA - P&amp;L'!$C$6*'DATA - P&amp;L'!$C$54</f>
        <v>0</v>
      </c>
      <c r="X236" s="70">
        <f>X136*'DATA - P&amp;L'!$C$6*'DATA - P&amp;L'!$C$54</f>
        <v>0</v>
      </c>
      <c r="Y236" s="70">
        <f>Y136*'DATA - P&amp;L'!$C$6*'DATA - P&amp;L'!$C$54</f>
        <v>0</v>
      </c>
      <c r="Z236" s="70">
        <f>Z136*'DATA - P&amp;L'!$C$6*'DATA - P&amp;L'!$C$54</f>
        <v>0</v>
      </c>
      <c r="AA236" s="70">
        <f>AA136*'DATA - P&amp;L'!$C$6*'DATA - P&amp;L'!$C$54</f>
        <v>0</v>
      </c>
      <c r="AB236" s="70">
        <f>AB136*'DATA - P&amp;L'!$C$6*'DATA - P&amp;L'!$C$54</f>
        <v>0</v>
      </c>
      <c r="AC236" s="70">
        <f>AC136*'DATA - P&amp;L'!$C$6*'DATA - P&amp;L'!$C$54</f>
        <v>0</v>
      </c>
      <c r="AD236" s="70">
        <f>AD136*'DATA - P&amp;L'!$C$6*'DATA - P&amp;L'!$C$54</f>
        <v>0</v>
      </c>
      <c r="AE236" s="74">
        <f>AE136*'DATA - P&amp;L'!$C$6*'DATA - P&amp;L'!$C$54</f>
        <v>0</v>
      </c>
      <c r="AF236" s="65">
        <f t="shared" si="65"/>
        <v>0</v>
      </c>
    </row>
    <row r="237">
      <c r="A237" s="116" t="s">
        <v>485</v>
      </c>
      <c r="B237" s="70">
        <f>B137*'DATA - P&amp;L'!$C$8*'DATA - P&amp;L'!$C$54</f>
        <v>0</v>
      </c>
      <c r="C237" s="70">
        <f>C137*'DATA - P&amp;L'!$C$8*'DATA - P&amp;L'!$C$54</f>
        <v>0</v>
      </c>
      <c r="D237" s="70">
        <f>D137*'DATA - P&amp;L'!$C$8*'DATA - P&amp;L'!$C$54</f>
        <v>0</v>
      </c>
      <c r="E237" s="70">
        <f>E137*'DATA - P&amp;L'!$C$8*'DATA - P&amp;L'!$C$54</f>
        <v>0</v>
      </c>
      <c r="F237" s="70">
        <f>F137*'DATA - P&amp;L'!$C$8*'DATA - P&amp;L'!$C$54</f>
        <v>0</v>
      </c>
      <c r="G237" s="70">
        <f>G137*'DATA - P&amp;L'!$C$8*'DATA - P&amp;L'!$C$54</f>
        <v>0</v>
      </c>
      <c r="H237" s="70">
        <f>H137*'DATA - P&amp;L'!$C$8*'DATA - P&amp;L'!$C$54</f>
        <v>0</v>
      </c>
      <c r="I237" s="70">
        <f>I137*'DATA - P&amp;L'!$C$8*'DATA - P&amp;L'!$C$54</f>
        <v>0</v>
      </c>
      <c r="J237" s="70">
        <f>J137*'DATA - P&amp;L'!$C$8*'DATA - P&amp;L'!$C$54</f>
        <v>0</v>
      </c>
      <c r="K237" s="70">
        <f>K137*'DATA - P&amp;L'!$C$8*'DATA - P&amp;L'!$C$54</f>
        <v>0</v>
      </c>
      <c r="L237" s="70">
        <f>L137*'DATA - P&amp;L'!$C$8*'DATA - P&amp;L'!$C$54</f>
        <v>0</v>
      </c>
      <c r="M237" s="70">
        <f>M137*'DATA - P&amp;L'!$C$8*'DATA - P&amp;L'!$C$54</f>
        <v>0</v>
      </c>
      <c r="N237" s="70">
        <f>N137*'DATA - P&amp;L'!$C$8*'DATA - P&amp;L'!$C$54</f>
        <v>0</v>
      </c>
      <c r="O237" s="70">
        <f>O137*'DATA - P&amp;L'!$C$8*'DATA - P&amp;L'!$C$54</f>
        <v>0</v>
      </c>
      <c r="P237" s="70">
        <f>P137*'DATA - P&amp;L'!$C$8*'DATA - P&amp;L'!$C$54</f>
        <v>0</v>
      </c>
      <c r="Q237" s="70">
        <f>Q137*'DATA - P&amp;L'!$C$8*'DATA - P&amp;L'!$C$54</f>
        <v>0</v>
      </c>
      <c r="R237" s="70">
        <f>R137*'DATA - P&amp;L'!$C$8*'DATA - P&amp;L'!$C$54</f>
        <v>0</v>
      </c>
      <c r="S237" s="70">
        <f>S137*'DATA - P&amp;L'!$C$8*'DATA - P&amp;L'!$C$54</f>
        <v>0</v>
      </c>
      <c r="T237" s="70">
        <f>T137*'DATA - P&amp;L'!$C$8*'DATA - P&amp;L'!$C$54</f>
        <v>0</v>
      </c>
      <c r="U237" s="70">
        <f>U137*'DATA - P&amp;L'!$C$8*'DATA - P&amp;L'!$C$54</f>
        <v>0</v>
      </c>
      <c r="V237" s="70">
        <f>V137*'DATA - P&amp;L'!$C$8*'DATA - P&amp;L'!$C$54</f>
        <v>0</v>
      </c>
      <c r="W237" s="70">
        <f>W137*'DATA - P&amp;L'!$C$8*'DATA - P&amp;L'!$C$54</f>
        <v>0</v>
      </c>
      <c r="X237" s="70">
        <f>X137*'DATA - P&amp;L'!$C$8*'DATA - P&amp;L'!$C$54</f>
        <v>0</v>
      </c>
      <c r="Y237" s="70">
        <f>Y137*'DATA - P&amp;L'!$C$8*'DATA - P&amp;L'!$C$54</f>
        <v>0</v>
      </c>
      <c r="Z237" s="70">
        <f>Z137*'DATA - P&amp;L'!$C$8*'DATA - P&amp;L'!$C$54</f>
        <v>0</v>
      </c>
      <c r="AA237" s="70">
        <f>AA137*'DATA - P&amp;L'!$C$8*'DATA - P&amp;L'!$C$54</f>
        <v>0</v>
      </c>
      <c r="AB237" s="70">
        <f>AB137*'DATA - P&amp;L'!$C$8*'DATA - P&amp;L'!$C$54</f>
        <v>0</v>
      </c>
      <c r="AC237" s="70">
        <f>AC137*'DATA - P&amp;L'!$C$8*'DATA - P&amp;L'!$C$54</f>
        <v>0</v>
      </c>
      <c r="AD237" s="70">
        <f>AD137*'DATA - P&amp;L'!$C$8*'DATA - P&amp;L'!$C$54</f>
        <v>0</v>
      </c>
      <c r="AE237" s="74">
        <f>AE137*'DATA - P&amp;L'!$C$8*'DATA - P&amp;L'!$C$54</f>
        <v>0</v>
      </c>
      <c r="AF237" s="65">
        <f t="shared" si="65"/>
        <v>0</v>
      </c>
    </row>
    <row r="238">
      <c r="A238" s="116" t="s">
        <v>393</v>
      </c>
      <c r="B238" s="70">
        <f>(B138+B139)*'DATA - P&amp;L'!$C$9*'DATA - P&amp;L'!$C$54</f>
        <v>0</v>
      </c>
      <c r="C238" s="70">
        <f>(C138+C139)*'DATA - P&amp;L'!$C$9*'DATA - P&amp;L'!$C$54</f>
        <v>0</v>
      </c>
      <c r="D238" s="70">
        <f>(D138+D139)*'DATA - P&amp;L'!$C$9*'DATA - P&amp;L'!$C$54</f>
        <v>0</v>
      </c>
      <c r="E238" s="70">
        <f>(E138+E139)*'DATA - P&amp;L'!$C$9*'DATA - P&amp;L'!$C$54</f>
        <v>0</v>
      </c>
      <c r="F238" s="70">
        <f>(F138+F139)*'DATA - P&amp;L'!$C$9*'DATA - P&amp;L'!$C$54</f>
        <v>0</v>
      </c>
      <c r="G238" s="70">
        <f>(G138+G139)*'DATA - P&amp;L'!$C$9*'DATA - P&amp;L'!$C$54</f>
        <v>0</v>
      </c>
      <c r="H238" s="70">
        <f>(H138+H139)*'DATA - P&amp;L'!$C$9*'DATA - P&amp;L'!$C$54</f>
        <v>0</v>
      </c>
      <c r="I238" s="70">
        <f>(I138+I139)*'DATA - P&amp;L'!$C$9*'DATA - P&amp;L'!$C$54</f>
        <v>0</v>
      </c>
      <c r="J238" s="70">
        <f>(J138+J139)*'DATA - P&amp;L'!$C$9*'DATA - P&amp;L'!$C$54</f>
        <v>0</v>
      </c>
      <c r="K238" s="70">
        <f>(K138+K139)*'DATA - P&amp;L'!$C$9*'DATA - P&amp;L'!$C$54</f>
        <v>0</v>
      </c>
      <c r="L238" s="70">
        <f>(L138+L139)*'DATA - P&amp;L'!$C$9*'DATA - P&amp;L'!$C$54</f>
        <v>0</v>
      </c>
      <c r="M238" s="70">
        <f>(M138+M139)*'DATA - P&amp;L'!$C$9*'DATA - P&amp;L'!$C$54</f>
        <v>0</v>
      </c>
      <c r="N238" s="70">
        <f>(N138+N139)*'DATA - P&amp;L'!$C$9*'DATA - P&amp;L'!$C$54</f>
        <v>0</v>
      </c>
      <c r="O238" s="70">
        <f>(O138+O139)*'DATA - P&amp;L'!$C$9*'DATA - P&amp;L'!$C$54</f>
        <v>0</v>
      </c>
      <c r="P238" s="70">
        <f>(P138+P139)*'DATA - P&amp;L'!$C$9*'DATA - P&amp;L'!$C$54</f>
        <v>0</v>
      </c>
      <c r="Q238" s="70">
        <f>(Q138+Q139)*'DATA - P&amp;L'!$C$9*'DATA - P&amp;L'!$C$54</f>
        <v>0</v>
      </c>
      <c r="R238" s="70">
        <f>(R138+R139)*'DATA - P&amp;L'!$C$9*'DATA - P&amp;L'!$C$54</f>
        <v>0</v>
      </c>
      <c r="S238" s="70">
        <f>(S138+S139)*'DATA - P&amp;L'!$C$9*'DATA - P&amp;L'!$C$54</f>
        <v>0</v>
      </c>
      <c r="T238" s="70">
        <f>(T138+T139)*'DATA - P&amp;L'!$C$9*'DATA - P&amp;L'!$C$54</f>
        <v>0</v>
      </c>
      <c r="U238" s="70">
        <f>(U138+U139)*'DATA - P&amp;L'!$C$9*'DATA - P&amp;L'!$C$54</f>
        <v>0</v>
      </c>
      <c r="V238" s="70">
        <f>(V138+V139)*'DATA - P&amp;L'!$C$9*'DATA - P&amp;L'!$C$54</f>
        <v>0</v>
      </c>
      <c r="W238" s="70">
        <f>(W138+W139)*'DATA - P&amp;L'!$C$9*'DATA - P&amp;L'!$C$54</f>
        <v>0</v>
      </c>
      <c r="X238" s="70">
        <f>(X138+X139)*'DATA - P&amp;L'!$C$9*'DATA - P&amp;L'!$C$54</f>
        <v>0</v>
      </c>
      <c r="Y238" s="70">
        <f>(Y138+Y139)*'DATA - P&amp;L'!$C$9*'DATA - P&amp;L'!$C$54</f>
        <v>0</v>
      </c>
      <c r="Z238" s="70">
        <f>(Z138+Z139)*'DATA - P&amp;L'!$C$9*'DATA - P&amp;L'!$C$54</f>
        <v>0</v>
      </c>
      <c r="AA238" s="70">
        <f>(AA138+AA139)*'DATA - P&amp;L'!$C$9*'DATA - P&amp;L'!$C$54</f>
        <v>0</v>
      </c>
      <c r="AB238" s="70">
        <f>(AB138+AB139)*'DATA - P&amp;L'!$C$9*'DATA - P&amp;L'!$C$54</f>
        <v>0</v>
      </c>
      <c r="AC238" s="70">
        <f>(AC138+AC139)*'DATA - P&amp;L'!$C$9*'DATA - P&amp;L'!$C$54</f>
        <v>0</v>
      </c>
      <c r="AD238" s="70">
        <f>(AD138+AD139)*'DATA - P&amp;L'!$C$9*'DATA - P&amp;L'!$C$54</f>
        <v>0</v>
      </c>
      <c r="AE238" s="74">
        <f>(AE138+AE139)*'DATA - P&amp;L'!$C$9*'DATA - P&amp;L'!$C$54</f>
        <v>0</v>
      </c>
      <c r="AF238" s="65">
        <f t="shared" si="65"/>
        <v>0</v>
      </c>
    </row>
    <row r="239">
      <c r="A239" s="116" t="s">
        <v>396</v>
      </c>
      <c r="B239" s="70">
        <f>(B140+B141)*'DATA - P&amp;L'!$C$5*'DATA - P&amp;L'!$C$54</f>
        <v>0</v>
      </c>
      <c r="C239" s="70">
        <f>(C140+C141)*'DATA - P&amp;L'!$C$5*'DATA - P&amp;L'!$C$54</f>
        <v>0</v>
      </c>
      <c r="D239" s="70">
        <f>(D140+D141)*'DATA - P&amp;L'!$C$5*'DATA - P&amp;L'!$C$54</f>
        <v>0</v>
      </c>
      <c r="E239" s="70">
        <f>(E140+E141)*'DATA - P&amp;L'!$C$5*'DATA - P&amp;L'!$C$54</f>
        <v>0</v>
      </c>
      <c r="F239" s="70">
        <f>(F140+F141)*'DATA - P&amp;L'!$C$5*'DATA - P&amp;L'!$C$54</f>
        <v>0</v>
      </c>
      <c r="G239" s="70">
        <f>(G140+G141)*'DATA - P&amp;L'!$C$5*'DATA - P&amp;L'!$C$54</f>
        <v>0</v>
      </c>
      <c r="H239" s="70">
        <f>(H140+H141)*'DATA - P&amp;L'!$C$5*'DATA - P&amp;L'!$C$54</f>
        <v>0</v>
      </c>
      <c r="I239" s="70">
        <f>(I140+I141)*'DATA - P&amp;L'!$C$5*'DATA - P&amp;L'!$C$54</f>
        <v>0</v>
      </c>
      <c r="J239" s="70">
        <f>(J140+J141)*'DATA - P&amp;L'!$C$5*'DATA - P&amp;L'!$C$54</f>
        <v>0</v>
      </c>
      <c r="K239" s="70">
        <f>(K140+K141)*'DATA - P&amp;L'!$C$5*'DATA - P&amp;L'!$C$54</f>
        <v>0</v>
      </c>
      <c r="L239" s="70">
        <f>(L140+L141)*'DATA - P&amp;L'!$C$5*'DATA - P&amp;L'!$C$54</f>
        <v>0</v>
      </c>
      <c r="M239" s="70">
        <f>(M140+M141)*'DATA - P&amp;L'!$C$5*'DATA - P&amp;L'!$C$54</f>
        <v>0</v>
      </c>
      <c r="N239" s="70">
        <f>(N140+N141)*'DATA - P&amp;L'!$C$5*'DATA - P&amp;L'!$C$54</f>
        <v>0</v>
      </c>
      <c r="O239" s="70">
        <f>(O140+O141)*'DATA - P&amp;L'!$C$5*'DATA - P&amp;L'!$C$54</f>
        <v>0</v>
      </c>
      <c r="P239" s="70">
        <f>(P140+P141)*'DATA - P&amp;L'!$C$5*'DATA - P&amp;L'!$C$54</f>
        <v>0</v>
      </c>
      <c r="Q239" s="70">
        <f>(Q140+Q141)*'DATA - P&amp;L'!$C$5*'DATA - P&amp;L'!$C$54</f>
        <v>0</v>
      </c>
      <c r="R239" s="70">
        <f>(R140+R141)*'DATA - P&amp;L'!$C$5*'DATA - P&amp;L'!$C$54</f>
        <v>0</v>
      </c>
      <c r="S239" s="70">
        <f>(S140+S141)*'DATA - P&amp;L'!$C$5*'DATA - P&amp;L'!$C$54</f>
        <v>0</v>
      </c>
      <c r="T239" s="70">
        <f>(T140+T141)*'DATA - P&amp;L'!$C$5*'DATA - P&amp;L'!$C$54</f>
        <v>0</v>
      </c>
      <c r="U239" s="70">
        <f>(U140+U141)*'DATA - P&amp;L'!$C$5*'DATA - P&amp;L'!$C$54</f>
        <v>0</v>
      </c>
      <c r="V239" s="70">
        <f>(V140+V141)*'DATA - P&amp;L'!$C$5*'DATA - P&amp;L'!$C$54</f>
        <v>0</v>
      </c>
      <c r="W239" s="70">
        <f>(W140+W141)*'DATA - P&amp;L'!$C$5*'DATA - P&amp;L'!$C$54</f>
        <v>0</v>
      </c>
      <c r="X239" s="70">
        <f>(X140+X141)*'DATA - P&amp;L'!$C$5*'DATA - P&amp;L'!$C$54</f>
        <v>0</v>
      </c>
      <c r="Y239" s="70">
        <f>(Y140+Y141)*'DATA - P&amp;L'!$C$5*'DATA - P&amp;L'!$C$54</f>
        <v>0</v>
      </c>
      <c r="Z239" s="70">
        <f>(Z140+Z141)*'DATA - P&amp;L'!$C$5*'DATA - P&amp;L'!$C$54</f>
        <v>0</v>
      </c>
      <c r="AA239" s="70">
        <f>(AA140+AA141)*'DATA - P&amp;L'!$C$5*'DATA - P&amp;L'!$C$54</f>
        <v>0</v>
      </c>
      <c r="AB239" s="70">
        <f>(AB140+AB141)*'DATA - P&amp;L'!$C$5*'DATA - P&amp;L'!$C$54</f>
        <v>0</v>
      </c>
      <c r="AC239" s="70">
        <f>(AC140+AC141)*'DATA - P&amp;L'!$C$5*'DATA - P&amp;L'!$C$54</f>
        <v>0</v>
      </c>
      <c r="AD239" s="70">
        <f>(AD140+AD141)*'DATA - P&amp;L'!$C$5*'DATA - P&amp;L'!$C$54</f>
        <v>0</v>
      </c>
      <c r="AE239" s="74">
        <f>(AE140+AE141)*'DATA - P&amp;L'!$C$5*'DATA - P&amp;L'!$C$54</f>
        <v>0</v>
      </c>
      <c r="AF239" s="65">
        <f t="shared" si="65"/>
        <v>0</v>
      </c>
    </row>
    <row r="240">
      <c r="A240" s="116" t="s">
        <v>398</v>
      </c>
      <c r="B240" s="70">
        <f>(B142+B143)*'DATA - P&amp;L'!$C$10*'DATA - P&amp;L'!$C$54</f>
        <v>0</v>
      </c>
      <c r="C240" s="70">
        <f>(C142+C143)*'DATA - P&amp;L'!$C$10*'DATA - P&amp;L'!$C$54</f>
        <v>0</v>
      </c>
      <c r="D240" s="70">
        <f>(D142+D143)*'DATA - P&amp;L'!$C$10*'DATA - P&amp;L'!$C$54</f>
        <v>0</v>
      </c>
      <c r="E240" s="70">
        <f>(E142+E143)*'DATA - P&amp;L'!$C$10*'DATA - P&amp;L'!$C$54</f>
        <v>0</v>
      </c>
      <c r="F240" s="70">
        <f>(F142+F143)*'DATA - P&amp;L'!$C$10*'DATA - P&amp;L'!$C$54</f>
        <v>0</v>
      </c>
      <c r="G240" s="70">
        <f>(G142+G143)*'DATA - P&amp;L'!$C$10*'DATA - P&amp;L'!$C$54</f>
        <v>0</v>
      </c>
      <c r="H240" s="70">
        <f>(H142+H143)*'DATA - P&amp;L'!$C$10*'DATA - P&amp;L'!$C$54</f>
        <v>0</v>
      </c>
      <c r="I240" s="70">
        <f>(I142+I143)*'DATA - P&amp;L'!$C$10*'DATA - P&amp;L'!$C$54</f>
        <v>0</v>
      </c>
      <c r="J240" s="70">
        <f>(J142+J143)*'DATA - P&amp;L'!$C$10*'DATA - P&amp;L'!$C$54</f>
        <v>0</v>
      </c>
      <c r="K240" s="70">
        <f>(K142+K143)*'DATA - P&amp;L'!$C$10*'DATA - P&amp;L'!$C$54</f>
        <v>0</v>
      </c>
      <c r="L240" s="70">
        <f>(L142+L143)*'DATA - P&amp;L'!$C$10*'DATA - P&amp;L'!$C$54</f>
        <v>0</v>
      </c>
      <c r="M240" s="70">
        <f>(M142+M143)*'DATA - P&amp;L'!$C$10*'DATA - P&amp;L'!$C$54</f>
        <v>0</v>
      </c>
      <c r="N240" s="70">
        <f>(N142+N143)*'DATA - P&amp;L'!$C$10*'DATA - P&amp;L'!$C$54</f>
        <v>0</v>
      </c>
      <c r="O240" s="70">
        <f>(O142+O143)*'DATA - P&amp;L'!$C$10*'DATA - P&amp;L'!$C$54</f>
        <v>0</v>
      </c>
      <c r="P240" s="70">
        <f>(P142+P143)*'DATA - P&amp;L'!$C$10*'DATA - P&amp;L'!$C$54</f>
        <v>0</v>
      </c>
      <c r="Q240" s="70">
        <f>(Q142+Q143)*'DATA - P&amp;L'!$C$10*'DATA - P&amp;L'!$C$54</f>
        <v>0</v>
      </c>
      <c r="R240" s="70">
        <f>(R142+R143)*'DATA - P&amp;L'!$C$10*'DATA - P&amp;L'!$C$54</f>
        <v>0</v>
      </c>
      <c r="S240" s="70">
        <f>(S142+S143)*'DATA - P&amp;L'!$C$10*'DATA - P&amp;L'!$C$54</f>
        <v>0</v>
      </c>
      <c r="T240" s="70">
        <f>(T142+T143)*'DATA - P&amp;L'!$C$10*'DATA - P&amp;L'!$C$54</f>
        <v>0</v>
      </c>
      <c r="U240" s="70">
        <f>(U142+U143)*'DATA - P&amp;L'!$C$10*'DATA - P&amp;L'!$C$54</f>
        <v>0</v>
      </c>
      <c r="V240" s="70">
        <f>(V142+V143)*'DATA - P&amp;L'!$C$10*'DATA - P&amp;L'!$C$54</f>
        <v>0</v>
      </c>
      <c r="W240" s="70">
        <f>(W142+W143)*'DATA - P&amp;L'!$C$10*'DATA - P&amp;L'!$C$54</f>
        <v>0</v>
      </c>
      <c r="X240" s="70">
        <f>(X142+X143)*'DATA - P&amp;L'!$C$10*'DATA - P&amp;L'!$C$54</f>
        <v>0</v>
      </c>
      <c r="Y240" s="70">
        <f>(Y142+Y143)*'DATA - P&amp;L'!$C$10*'DATA - P&amp;L'!$C$54</f>
        <v>0</v>
      </c>
      <c r="Z240" s="70">
        <f>(Z142+Z143)*'DATA - P&amp;L'!$C$10*'DATA - P&amp;L'!$C$54</f>
        <v>0</v>
      </c>
      <c r="AA240" s="70">
        <f>(AA142+AA143)*'DATA - P&amp;L'!$C$10*'DATA - P&amp;L'!$C$54</f>
        <v>0</v>
      </c>
      <c r="AB240" s="70">
        <f>(AB142+AB143)*'DATA - P&amp;L'!$C$10*'DATA - P&amp;L'!$C$54</f>
        <v>0</v>
      </c>
      <c r="AC240" s="70">
        <f>(AC142+AC143)*'DATA - P&amp;L'!$C$10*'DATA - P&amp;L'!$C$54</f>
        <v>0</v>
      </c>
      <c r="AD240" s="70">
        <f>(AD142+AD143)*'DATA - P&amp;L'!$C$10*'DATA - P&amp;L'!$C$54</f>
        <v>0</v>
      </c>
      <c r="AE240" s="74">
        <f>(AE142+AE143)*'DATA - P&amp;L'!$C$10*'DATA - P&amp;L'!$C$54</f>
        <v>0</v>
      </c>
      <c r="AF240" s="65">
        <f t="shared" si="65"/>
        <v>0</v>
      </c>
    </row>
    <row r="241">
      <c r="A241" s="116" t="s">
        <v>400</v>
      </c>
      <c r="B241" s="70">
        <f>(B133+B134)*'DATA - P&amp;L'!$C$43*'DATA - P&amp;L'!$C$54</f>
        <v>0</v>
      </c>
      <c r="C241" s="70">
        <f>(C133+C134)*'DATA - P&amp;L'!$C$43*'DATA - P&amp;L'!$C$54</f>
        <v>0</v>
      </c>
      <c r="D241" s="70">
        <f>(D133+D134)*'DATA - P&amp;L'!$C$43*'DATA - P&amp;L'!$C$54</f>
        <v>0</v>
      </c>
      <c r="E241" s="70">
        <f>(E133+E134)*'DATA - P&amp;L'!$C$43*'DATA - P&amp;L'!$C$54</f>
        <v>5.97</v>
      </c>
      <c r="F241" s="70">
        <f>(F133+F134)*'DATA - P&amp;L'!$C$43*'DATA - P&amp;L'!$C$54</f>
        <v>5.97</v>
      </c>
      <c r="G241" s="70">
        <f>(G133+G134)*'DATA - P&amp;L'!$C$43*'DATA - P&amp;L'!$C$54</f>
        <v>2.985</v>
      </c>
      <c r="H241" s="70">
        <f>(H133+H134)*'DATA - P&amp;L'!$C$43*'DATA - P&amp;L'!$C$54</f>
        <v>0</v>
      </c>
      <c r="I241" s="70">
        <f>(I133+I134)*'DATA - P&amp;L'!$C$43*'DATA - P&amp;L'!$C$54</f>
        <v>2.985</v>
      </c>
      <c r="J241" s="70">
        <f>(J133+J134)*'DATA - P&amp;L'!$C$43*'DATA - P&amp;L'!$C$54</f>
        <v>11.94</v>
      </c>
      <c r="K241" s="70">
        <f>(K133+K134)*'DATA - P&amp;L'!$C$43*'DATA - P&amp;L'!$C$54</f>
        <v>2.985</v>
      </c>
      <c r="L241" s="70">
        <f>(L133+L134)*'DATA - P&amp;L'!$C$43*'DATA - P&amp;L'!$C$54</f>
        <v>0</v>
      </c>
      <c r="M241" s="70">
        <f>(M133+M134)*'DATA - P&amp;L'!$C$43*'DATA - P&amp;L'!$C$54</f>
        <v>11.94</v>
      </c>
      <c r="N241" s="70">
        <f>(N133+N134)*'DATA - P&amp;L'!$C$43*'DATA - P&amp;L'!$C$54</f>
        <v>2.985</v>
      </c>
      <c r="O241" s="70">
        <f>(O133+O134)*'DATA - P&amp;L'!$C$43*'DATA - P&amp;L'!$C$54</f>
        <v>0</v>
      </c>
      <c r="P241" s="70">
        <f>(P133+P134)*'DATA - P&amp;L'!$C$43*'DATA - P&amp;L'!$C$54</f>
        <v>2.985</v>
      </c>
      <c r="Q241" s="70">
        <f>(Q133+Q134)*'DATA - P&amp;L'!$C$43*'DATA - P&amp;L'!$C$54</f>
        <v>11.94</v>
      </c>
      <c r="R241" s="70">
        <f>(R133+R134)*'DATA - P&amp;L'!$C$43*'DATA - P&amp;L'!$C$54</f>
        <v>2.985</v>
      </c>
      <c r="S241" s="70">
        <f>(S133+S134)*'DATA - P&amp;L'!$C$43*'DATA - P&amp;L'!$C$54</f>
        <v>0</v>
      </c>
      <c r="T241" s="70">
        <f>(T133+T134)*'DATA - P&amp;L'!$C$43*'DATA - P&amp;L'!$C$54</f>
        <v>0</v>
      </c>
      <c r="U241" s="70">
        <f>(U133+U134)*'DATA - P&amp;L'!$C$43*'DATA - P&amp;L'!$C$54</f>
        <v>2.985</v>
      </c>
      <c r="V241" s="70">
        <f>(V133+V134)*'DATA - P&amp;L'!$C$43*'DATA - P&amp;L'!$C$54</f>
        <v>14.925</v>
      </c>
      <c r="W241" s="70">
        <f>(W133+W134)*'DATA - P&amp;L'!$C$43*'DATA - P&amp;L'!$C$54</f>
        <v>8.955</v>
      </c>
      <c r="X241" s="70">
        <f>(X133+X134)*'DATA - P&amp;L'!$C$43*'DATA - P&amp;L'!$C$54</f>
        <v>5.97</v>
      </c>
      <c r="Y241" s="70">
        <f>(Y133+Y134)*'DATA - P&amp;L'!$C$43*'DATA - P&amp;L'!$C$54</f>
        <v>8.955</v>
      </c>
      <c r="Z241" s="70">
        <f>(Z133+Z134)*'DATA - P&amp;L'!$C$43*'DATA - P&amp;L'!$C$54</f>
        <v>5.97</v>
      </c>
      <c r="AA241" s="70">
        <f>(AA133+AA134)*'DATA - P&amp;L'!$C$43*'DATA - P&amp;L'!$C$54</f>
        <v>0</v>
      </c>
      <c r="AB241" s="70">
        <f>(AB133+AB134)*'DATA - P&amp;L'!$C$43*'DATA - P&amp;L'!$C$54</f>
        <v>5.97</v>
      </c>
      <c r="AC241" s="70">
        <f>(AC133+AC134)*'DATA - P&amp;L'!$C$43*'DATA - P&amp;L'!$C$54</f>
        <v>2.985</v>
      </c>
      <c r="AD241" s="70">
        <f>(AD133+AD134)*'DATA - P&amp;L'!$C$43*'DATA - P&amp;L'!$C$54</f>
        <v>2.985</v>
      </c>
      <c r="AE241" s="74">
        <f>(AE133+AE134)*'DATA - P&amp;L'!$C$43*'DATA - P&amp;L'!$C$54</f>
        <v>0</v>
      </c>
      <c r="AF241" s="65">
        <f t="shared" si="65"/>
        <v>125.37</v>
      </c>
    </row>
    <row r="242">
      <c r="A242" s="116" t="s">
        <v>465</v>
      </c>
      <c r="B242" s="70">
        <f>(B144)*'DATA - P&amp;L'!$C$43*'DATA - P&amp;L'!$C$54</f>
        <v>0</v>
      </c>
      <c r="C242" s="70">
        <f>(C144)*'DATA - P&amp;L'!$C$43*'DATA - P&amp;L'!$C$54</f>
        <v>0</v>
      </c>
      <c r="D242" s="70">
        <f>(D144)*'DATA - P&amp;L'!$C$43*'DATA - P&amp;L'!$C$54</f>
        <v>0</v>
      </c>
      <c r="E242" s="70">
        <f>(E144)*'DATA - P&amp;L'!$C$43*'DATA - P&amp;L'!$C$54</f>
        <v>0</v>
      </c>
      <c r="F242" s="70">
        <f>(F144)*'DATA - P&amp;L'!$C$43*'DATA - P&amp;L'!$C$54</f>
        <v>0</v>
      </c>
      <c r="G242" s="70">
        <f>(G144)*'DATA - P&amp;L'!$C$43*'DATA - P&amp;L'!$C$54</f>
        <v>0</v>
      </c>
      <c r="H242" s="70">
        <f>(H144)*'DATA - P&amp;L'!$C$43*'DATA - P&amp;L'!$C$54</f>
        <v>0</v>
      </c>
      <c r="I242" s="70">
        <f>(I144)*'DATA - P&amp;L'!$C$43*'DATA - P&amp;L'!$C$54</f>
        <v>0</v>
      </c>
      <c r="J242" s="70">
        <f>(J144)*'DATA - P&amp;L'!$C$43*'DATA - P&amp;L'!$C$54</f>
        <v>0</v>
      </c>
      <c r="K242" s="70">
        <f>(K144)*'DATA - P&amp;L'!$C$43*'DATA - P&amp;L'!$C$54</f>
        <v>0</v>
      </c>
      <c r="L242" s="70">
        <f>(L144)*'DATA - P&amp;L'!$C$43*'DATA - P&amp;L'!$C$54</f>
        <v>0</v>
      </c>
      <c r="M242" s="70">
        <f>(M144)*'DATA - P&amp;L'!$C$43*'DATA - P&amp;L'!$C$54</f>
        <v>0</v>
      </c>
      <c r="N242" s="70">
        <f>(N144)*'DATA - P&amp;L'!$C$43*'DATA - P&amp;L'!$C$54</f>
        <v>0</v>
      </c>
      <c r="O242" s="70">
        <f>(O144)*'DATA - P&amp;L'!$C$43*'DATA - P&amp;L'!$C$54</f>
        <v>0</v>
      </c>
      <c r="P242" s="70">
        <f>(P144)*'DATA - P&amp;L'!$C$43*'DATA - P&amp;L'!$C$54</f>
        <v>0</v>
      </c>
      <c r="Q242" s="70">
        <f>(Q144)*'DATA - P&amp;L'!$C$43*'DATA - P&amp;L'!$C$54</f>
        <v>0</v>
      </c>
      <c r="R242" s="70">
        <f>(R144)*'DATA - P&amp;L'!$C$43*'DATA - P&amp;L'!$C$54</f>
        <v>0</v>
      </c>
      <c r="S242" s="70">
        <f>(S144)*'DATA - P&amp;L'!$C$43*'DATA - P&amp;L'!$C$54</f>
        <v>0</v>
      </c>
      <c r="T242" s="70">
        <f>(T144)*'DATA - P&amp;L'!$C$43*'DATA - P&amp;L'!$C$54</f>
        <v>0</v>
      </c>
      <c r="U242" s="70">
        <f>(U144)*'DATA - P&amp;L'!$C$43*'DATA - P&amp;L'!$C$54</f>
        <v>0</v>
      </c>
      <c r="V242" s="70">
        <f>(V144)*'DATA - P&amp;L'!$C$43*'DATA - P&amp;L'!$C$54</f>
        <v>0</v>
      </c>
      <c r="W242" s="70">
        <f>(W144)*'DATA - P&amp;L'!$C$43*'DATA - P&amp;L'!$C$54</f>
        <v>0</v>
      </c>
      <c r="X242" s="70">
        <f>(X144)*'DATA - P&amp;L'!$C$43*'DATA - P&amp;L'!$C$54</f>
        <v>0</v>
      </c>
      <c r="Y242" s="70">
        <f>(Y144)*'DATA - P&amp;L'!$C$43*'DATA - P&amp;L'!$C$54</f>
        <v>0</v>
      </c>
      <c r="Z242" s="70">
        <f>(Z144)*'DATA - P&amp;L'!$C$43*'DATA - P&amp;L'!$C$54</f>
        <v>0</v>
      </c>
      <c r="AA242" s="70">
        <f>(AA144)*'DATA - P&amp;L'!$C$43*'DATA - P&amp;L'!$C$54</f>
        <v>0</v>
      </c>
      <c r="AB242" s="70">
        <f>(AB144)*'DATA - P&amp;L'!$C$43*'DATA - P&amp;L'!$C$54</f>
        <v>0</v>
      </c>
      <c r="AC242" s="70">
        <f>(AC144)*'DATA - P&amp;L'!$C$43*'DATA - P&amp;L'!$C$54</f>
        <v>0</v>
      </c>
      <c r="AD242" s="70">
        <f>(AD144)*'DATA - P&amp;L'!$C$43*'DATA - P&amp;L'!$C$54</f>
        <v>0</v>
      </c>
      <c r="AE242" s="74">
        <f>(AE144)*'DATA - P&amp;L'!$C$43*'DATA - P&amp;L'!$C$54</f>
        <v>0</v>
      </c>
      <c r="AF242" s="65">
        <f t="shared" si="65"/>
        <v>0</v>
      </c>
    </row>
    <row r="243">
      <c r="A243" s="116" t="s">
        <v>500</v>
      </c>
      <c r="B243" s="70">
        <f>(((B133+B134)*'DATA - P&amp;L'!$C$62)*(1-'DATA - P&amp;L'!$C$58))+((B144*'DATA - P&amp;L'!$C$63)*(1-'DATA - P&amp;L'!$C$58))</f>
        <v>0</v>
      </c>
      <c r="C243" s="70">
        <f>(((C133+C134)*'DATA - P&amp;L'!$C$62)*(1-'DATA - P&amp;L'!$C$58))+((C144*'DATA - P&amp;L'!$C$63)*(1-'DATA - P&amp;L'!$C$58))</f>
        <v>0</v>
      </c>
      <c r="D243" s="70">
        <f>(((D133+D134)*'DATA - P&amp;L'!$C$62)*(1-'DATA - P&amp;L'!$C$58))+((D144*'DATA - P&amp;L'!$C$63)*(1-'DATA - P&amp;L'!$C$58))</f>
        <v>0</v>
      </c>
      <c r="E243" s="70">
        <f>(((E133+E134)*'DATA - P&amp;L'!$C$62)*(1-'DATA - P&amp;L'!$C$58))+((E144*'DATA - P&amp;L'!$C$63)*(1-'DATA - P&amp;L'!$C$58))</f>
        <v>4.843872</v>
      </c>
      <c r="F243" s="70">
        <f>(((F133+F134)*'DATA - P&amp;L'!$C$62)*(1-'DATA - P&amp;L'!$C$58))+((F144*'DATA - P&amp;L'!$C$63)*(1-'DATA - P&amp;L'!$C$58))</f>
        <v>4.843872</v>
      </c>
      <c r="G243" s="70">
        <f>(((G133+G134)*'DATA - P&amp;L'!$C$62)*(1-'DATA - P&amp;L'!$C$58))+((G144*'DATA - P&amp;L'!$C$63)*(1-'DATA - P&amp;L'!$C$58))</f>
        <v>2.421936</v>
      </c>
      <c r="H243" s="70">
        <f>(((H133+H134)*'DATA - P&amp;L'!$C$62)*(1-'DATA - P&amp;L'!$C$58))+((H144*'DATA - P&amp;L'!$C$63)*(1-'DATA - P&amp;L'!$C$58))</f>
        <v>0</v>
      </c>
      <c r="I243" s="70">
        <f>(((I133+I134)*'DATA - P&amp;L'!$C$62)*(1-'DATA - P&amp;L'!$C$58))+((I144*'DATA - P&amp;L'!$C$63)*(1-'DATA - P&amp;L'!$C$58))</f>
        <v>2.421936</v>
      </c>
      <c r="J243" s="70">
        <f>(((J133+J134)*'DATA - P&amp;L'!$C$62)*(1-'DATA - P&amp;L'!$C$58))+((J144*'DATA - P&amp;L'!$C$63)*(1-'DATA - P&amp;L'!$C$58))</f>
        <v>9.687744</v>
      </c>
      <c r="K243" s="70">
        <f>(((K133+K134)*'DATA - P&amp;L'!$C$62)*(1-'DATA - P&amp;L'!$C$58))+((K144*'DATA - P&amp;L'!$C$63)*(1-'DATA - P&amp;L'!$C$58))</f>
        <v>2.421936</v>
      </c>
      <c r="L243" s="70">
        <f>(((L133+L134)*'DATA - P&amp;L'!$C$62)*(1-'DATA - P&amp;L'!$C$58))+((L144*'DATA - P&amp;L'!$C$63)*(1-'DATA - P&amp;L'!$C$58))</f>
        <v>0</v>
      </c>
      <c r="M243" s="70">
        <f>(((M133+M134)*'DATA - P&amp;L'!$C$62)*(1-'DATA - P&amp;L'!$C$58))+((M144*'DATA - P&amp;L'!$C$63)*(1-'DATA - P&amp;L'!$C$58))</f>
        <v>9.687744</v>
      </c>
      <c r="N243" s="70">
        <f>(((N133+N134)*'DATA - P&amp;L'!$C$62)*(1-'DATA - P&amp;L'!$C$58))+((N144*'DATA - P&amp;L'!$C$63)*(1-'DATA - P&amp;L'!$C$58))</f>
        <v>2.421936</v>
      </c>
      <c r="O243" s="70">
        <f>(((O133+O134)*'DATA - P&amp;L'!$C$62)*(1-'DATA - P&amp;L'!$C$58))+((O144*'DATA - P&amp;L'!$C$63)*(1-'DATA - P&amp;L'!$C$58))</f>
        <v>0</v>
      </c>
      <c r="P243" s="70">
        <f>(((P133+P134)*'DATA - P&amp;L'!$C$62)*(1-'DATA - P&amp;L'!$C$58))+((P144*'DATA - P&amp;L'!$C$63)*(1-'DATA - P&amp;L'!$C$58))</f>
        <v>2.421936</v>
      </c>
      <c r="Q243" s="70">
        <f>(((Q133+Q134)*'DATA - P&amp;L'!$C$62)*(1-'DATA - P&amp;L'!$C$58))+((Q144*'DATA - P&amp;L'!$C$63)*(1-'DATA - P&amp;L'!$C$58))</f>
        <v>9.687744</v>
      </c>
      <c r="R243" s="70">
        <f>(((R133+R134)*'DATA - P&amp;L'!$C$62)*(1-'DATA - P&amp;L'!$C$58))+((R144*'DATA - P&amp;L'!$C$63)*(1-'DATA - P&amp;L'!$C$58))</f>
        <v>2.421936</v>
      </c>
      <c r="S243" s="70">
        <f>(((S133+S134)*'DATA - P&amp;L'!$C$62)*(1-'DATA - P&amp;L'!$C$58))+((S144*'DATA - P&amp;L'!$C$63)*(1-'DATA - P&amp;L'!$C$58))</f>
        <v>0</v>
      </c>
      <c r="T243" s="70">
        <f>(((T133+T134)*'DATA - P&amp;L'!$C$62)*(1-'DATA - P&amp;L'!$C$58))+((T144*'DATA - P&amp;L'!$C$63)*(1-'DATA - P&amp;L'!$C$58))</f>
        <v>0</v>
      </c>
      <c r="U243" s="70">
        <f>(((U133+U134)*'DATA - P&amp;L'!$C$62)*(1-'DATA - P&amp;L'!$C$58))+((U144*'DATA - P&amp;L'!$C$63)*(1-'DATA - P&amp;L'!$C$58))</f>
        <v>2.421936</v>
      </c>
      <c r="V243" s="70">
        <f>(((V133+V134)*'DATA - P&amp;L'!$C$62)*(1-'DATA - P&amp;L'!$C$58))+((V144*'DATA - P&amp;L'!$C$63)*(1-'DATA - P&amp;L'!$C$58))</f>
        <v>12.10968</v>
      </c>
      <c r="W243" s="70">
        <f>(((W133+W134)*'DATA - P&amp;L'!$C$62)*(1-'DATA - P&amp;L'!$C$58))+((W144*'DATA - P&amp;L'!$C$63)*(1-'DATA - P&amp;L'!$C$58))</f>
        <v>7.265808</v>
      </c>
      <c r="X243" s="70">
        <f>(((X133+X134)*'DATA - P&amp;L'!$C$62)*(1-'DATA - P&amp;L'!$C$58))+((X144*'DATA - P&amp;L'!$C$63)*(1-'DATA - P&amp;L'!$C$58))</f>
        <v>4.843872</v>
      </c>
      <c r="Y243" s="70">
        <f>(((Y133+Y134)*'DATA - P&amp;L'!$C$62)*(1-'DATA - P&amp;L'!$C$58))+((Y144*'DATA - P&amp;L'!$C$63)*(1-'DATA - P&amp;L'!$C$58))</f>
        <v>7.265808</v>
      </c>
      <c r="Z243" s="70">
        <f>(((Z133+Z134)*'DATA - P&amp;L'!$C$62)*(1-'DATA - P&amp;L'!$C$58))+((Z144*'DATA - P&amp;L'!$C$63)*(1-'DATA - P&amp;L'!$C$58))</f>
        <v>4.843872</v>
      </c>
      <c r="AA243" s="70">
        <f>(((AA133+AA134)*'DATA - P&amp;L'!$C$62)*(1-'DATA - P&amp;L'!$C$58))+((AA144*'DATA - P&amp;L'!$C$63)*(1-'DATA - P&amp;L'!$C$58))</f>
        <v>0</v>
      </c>
      <c r="AB243" s="70">
        <f>(((AB133+AB134)*'DATA - P&amp;L'!$C$62)*(1-'DATA - P&amp;L'!$C$58))+((AB144*'DATA - P&amp;L'!$C$63)*(1-'DATA - P&amp;L'!$C$58))</f>
        <v>4.843872</v>
      </c>
      <c r="AC243" s="70">
        <f>(((AC133+AC134)*'DATA - P&amp;L'!$C$62)*(1-'DATA - P&amp;L'!$C$58))+((AC144*'DATA - P&amp;L'!$C$63)*(1-'DATA - P&amp;L'!$C$58))</f>
        <v>2.421936</v>
      </c>
      <c r="AD243" s="70">
        <f>(((AD133+AD134)*'DATA - P&amp;L'!$C$62)*(1-'DATA - P&amp;L'!$C$58))+((AD144*'DATA - P&amp;L'!$C$63)*(1-'DATA - P&amp;L'!$C$58))</f>
        <v>2.421936</v>
      </c>
      <c r="AE243" s="74">
        <f>(((AE133+AE134)*'DATA - P&amp;L'!$C$62)*(1-'DATA - P&amp;L'!$C$58))+((AE144*'DATA - P&amp;L'!$C$63)*(1-'DATA - P&amp;L'!$C$58))</f>
        <v>0</v>
      </c>
      <c r="AF243" s="65">
        <f t="shared" si="65"/>
        <v>101.721312</v>
      </c>
    </row>
    <row r="244">
      <c r="A244" s="116" t="s">
        <v>502</v>
      </c>
      <c r="B244" s="70">
        <f t="shared" ref="B244:AE244" si="68">B155</f>
        <v>484.3</v>
      </c>
      <c r="C244" s="70">
        <f t="shared" si="68"/>
        <v>471.55</v>
      </c>
      <c r="D244" s="70">
        <f t="shared" si="68"/>
        <v>0</v>
      </c>
      <c r="E244" s="70">
        <f t="shared" si="68"/>
        <v>0</v>
      </c>
      <c r="F244" s="70">
        <f t="shared" si="68"/>
        <v>0</v>
      </c>
      <c r="G244" s="70">
        <f t="shared" si="68"/>
        <v>458.8</v>
      </c>
      <c r="H244" s="70">
        <f t="shared" si="68"/>
        <v>471.55</v>
      </c>
      <c r="I244" s="70">
        <f t="shared" si="68"/>
        <v>229.4</v>
      </c>
      <c r="J244" s="70">
        <f t="shared" si="68"/>
        <v>458.8</v>
      </c>
      <c r="K244" s="70">
        <f t="shared" si="68"/>
        <v>229.4</v>
      </c>
      <c r="L244" s="70">
        <f t="shared" si="68"/>
        <v>229.4</v>
      </c>
      <c r="M244" s="70">
        <f t="shared" si="68"/>
        <v>0</v>
      </c>
      <c r="N244" s="70">
        <f t="shared" si="68"/>
        <v>229.4</v>
      </c>
      <c r="O244" s="70">
        <f t="shared" si="68"/>
        <v>229.4</v>
      </c>
      <c r="P244" s="70">
        <f t="shared" si="68"/>
        <v>521.15</v>
      </c>
      <c r="Q244" s="70">
        <f t="shared" si="68"/>
        <v>521.15</v>
      </c>
      <c r="R244" s="70">
        <f t="shared" si="68"/>
        <v>242.15</v>
      </c>
      <c r="S244" s="70">
        <f t="shared" si="68"/>
        <v>279</v>
      </c>
      <c r="T244" s="70">
        <f t="shared" si="68"/>
        <v>279</v>
      </c>
      <c r="U244" s="70">
        <f t="shared" si="68"/>
        <v>763.3</v>
      </c>
      <c r="V244" s="70">
        <f t="shared" si="68"/>
        <v>713.7</v>
      </c>
      <c r="W244" s="70">
        <f t="shared" si="68"/>
        <v>992.7</v>
      </c>
      <c r="X244" s="70">
        <f t="shared" si="68"/>
        <v>471.55</v>
      </c>
      <c r="Y244" s="70">
        <f t="shared" si="68"/>
        <v>229.4</v>
      </c>
      <c r="Z244" s="70">
        <f t="shared" si="68"/>
        <v>471.55</v>
      </c>
      <c r="AA244" s="70">
        <f t="shared" si="68"/>
        <v>242.15</v>
      </c>
      <c r="AB244" s="70">
        <f t="shared" si="68"/>
        <v>279</v>
      </c>
      <c r="AC244" s="70">
        <f t="shared" si="68"/>
        <v>713.7</v>
      </c>
      <c r="AD244" s="70">
        <f t="shared" si="68"/>
        <v>0</v>
      </c>
      <c r="AE244" s="74">
        <f t="shared" si="68"/>
        <v>0</v>
      </c>
      <c r="AF244" s="65">
        <f t="shared" si="65"/>
        <v>10211.5</v>
      </c>
    </row>
    <row r="245">
      <c r="A245" s="575" t="s">
        <v>503</v>
      </c>
      <c r="B245" s="576">
        <f t="shared" ref="B245:AE245" si="69">sum(B246:B254)-B255</f>
        <v>0</v>
      </c>
      <c r="C245" s="576">
        <f t="shared" si="69"/>
        <v>0</v>
      </c>
      <c r="D245" s="576">
        <f t="shared" si="69"/>
        <v>0</v>
      </c>
      <c r="E245" s="576">
        <f t="shared" si="69"/>
        <v>0</v>
      </c>
      <c r="F245" s="576">
        <f t="shared" si="69"/>
        <v>0</v>
      </c>
      <c r="G245" s="576">
        <f t="shared" si="69"/>
        <v>0</v>
      </c>
      <c r="H245" s="576">
        <f t="shared" si="69"/>
        <v>0</v>
      </c>
      <c r="I245" s="576">
        <f t="shared" si="69"/>
        <v>0</v>
      </c>
      <c r="J245" s="576">
        <f t="shared" si="69"/>
        <v>0</v>
      </c>
      <c r="K245" s="576">
        <f t="shared" si="69"/>
        <v>0</v>
      </c>
      <c r="L245" s="576">
        <f t="shared" si="69"/>
        <v>0</v>
      </c>
      <c r="M245" s="576">
        <f t="shared" si="69"/>
        <v>0</v>
      </c>
      <c r="N245" s="576">
        <f t="shared" si="69"/>
        <v>0</v>
      </c>
      <c r="O245" s="576">
        <f t="shared" si="69"/>
        <v>0</v>
      </c>
      <c r="P245" s="576">
        <f t="shared" si="69"/>
        <v>0</v>
      </c>
      <c r="Q245" s="576">
        <f t="shared" si="69"/>
        <v>0</v>
      </c>
      <c r="R245" s="576">
        <f t="shared" si="69"/>
        <v>0</v>
      </c>
      <c r="S245" s="576">
        <f t="shared" si="69"/>
        <v>0</v>
      </c>
      <c r="T245" s="576">
        <f t="shared" si="69"/>
        <v>0</v>
      </c>
      <c r="U245" s="576">
        <f t="shared" si="69"/>
        <v>0</v>
      </c>
      <c r="V245" s="576">
        <f t="shared" si="69"/>
        <v>0</v>
      </c>
      <c r="W245" s="576">
        <f t="shared" si="69"/>
        <v>0</v>
      </c>
      <c r="X245" s="576">
        <f t="shared" si="69"/>
        <v>0</v>
      </c>
      <c r="Y245" s="576">
        <f t="shared" si="69"/>
        <v>0</v>
      </c>
      <c r="Z245" s="576">
        <f t="shared" si="69"/>
        <v>0</v>
      </c>
      <c r="AA245" s="576">
        <f t="shared" si="69"/>
        <v>0</v>
      </c>
      <c r="AB245" s="576">
        <f t="shared" si="69"/>
        <v>0</v>
      </c>
      <c r="AC245" s="576">
        <f t="shared" si="69"/>
        <v>0</v>
      </c>
      <c r="AD245" s="576">
        <f t="shared" si="69"/>
        <v>0</v>
      </c>
      <c r="AE245" s="577">
        <f t="shared" si="69"/>
        <v>0</v>
      </c>
      <c r="AF245" s="65">
        <f t="shared" si="65"/>
        <v>0</v>
      </c>
    </row>
    <row r="246">
      <c r="A246" s="116" t="s">
        <v>383</v>
      </c>
      <c r="B246" s="70">
        <f>B167*'DATA - P&amp;L'!$C$3*'DATA - P&amp;L'!$C$55</f>
        <v>0</v>
      </c>
      <c r="C246" s="70">
        <f>C167*'DATA - P&amp;L'!$C$3*'DATA - P&amp;L'!$C$55</f>
        <v>0</v>
      </c>
      <c r="D246" s="70">
        <f>D167*'DATA - P&amp;L'!$C$3*'DATA - P&amp;L'!$C$55</f>
        <v>0</v>
      </c>
      <c r="E246" s="70">
        <f>E167*'DATA - P&amp;L'!$C$3*'DATA - P&amp;L'!$C$55</f>
        <v>0</v>
      </c>
      <c r="F246" s="70">
        <f>F167*'DATA - P&amp;L'!$C$3*'DATA - P&amp;L'!$C$55</f>
        <v>0</v>
      </c>
      <c r="G246" s="70">
        <f>G167*'DATA - P&amp;L'!$C$3*'DATA - P&amp;L'!$C$55</f>
        <v>0</v>
      </c>
      <c r="H246" s="70">
        <f>H167*'DATA - P&amp;L'!$C$3*'DATA - P&amp;L'!$C$55</f>
        <v>0</v>
      </c>
      <c r="I246" s="70">
        <f>I167*'DATA - P&amp;L'!$C$3*'DATA - P&amp;L'!$C$55</f>
        <v>0</v>
      </c>
      <c r="J246" s="70">
        <f>J167*'DATA - P&amp;L'!$C$3*'DATA - P&amp;L'!$C$55</f>
        <v>0</v>
      </c>
      <c r="K246" s="70">
        <f>K167*'DATA - P&amp;L'!$C$3*'DATA - P&amp;L'!$C$55</f>
        <v>0</v>
      </c>
      <c r="L246" s="70">
        <f>L167*'DATA - P&amp;L'!$C$3*'DATA - P&amp;L'!$C$55</f>
        <v>0</v>
      </c>
      <c r="M246" s="70">
        <f>M167*'DATA - P&amp;L'!$C$3*'DATA - P&amp;L'!$C$55</f>
        <v>0</v>
      </c>
      <c r="N246" s="70">
        <f>N167*'DATA - P&amp;L'!$C$3*'DATA - P&amp;L'!$C$55</f>
        <v>0</v>
      </c>
      <c r="O246" s="70">
        <f>O167*'DATA - P&amp;L'!$C$3*'DATA - P&amp;L'!$C$55</f>
        <v>0</v>
      </c>
      <c r="P246" s="70">
        <f>P167*'DATA - P&amp;L'!$C$3*'DATA - P&amp;L'!$C$55</f>
        <v>0</v>
      </c>
      <c r="Q246" s="70">
        <f>Q167*'DATA - P&amp;L'!$C$3*'DATA - P&amp;L'!$C$55</f>
        <v>0</v>
      </c>
      <c r="R246" s="70">
        <f>R167*'DATA - P&amp;L'!$C$3*'DATA - P&amp;L'!$C$55</f>
        <v>0</v>
      </c>
      <c r="S246" s="70">
        <f>S167*'DATA - P&amp;L'!$C$3*'DATA - P&amp;L'!$C$55</f>
        <v>0</v>
      </c>
      <c r="T246" s="70">
        <f>T167*'DATA - P&amp;L'!$C$3*'DATA - P&amp;L'!$C$55</f>
        <v>0</v>
      </c>
      <c r="U246" s="70">
        <f>U167*'DATA - P&amp;L'!$C$3*'DATA - P&amp;L'!$C$55</f>
        <v>0</v>
      </c>
      <c r="V246" s="70">
        <f>V167*'DATA - P&amp;L'!$C$3*'DATA - P&amp;L'!$C$55</f>
        <v>0</v>
      </c>
      <c r="W246" s="70">
        <f>W167*'DATA - P&amp;L'!$C$3*'DATA - P&amp;L'!$C$55</f>
        <v>0</v>
      </c>
      <c r="X246" s="70">
        <f>X167*'DATA - P&amp;L'!$C$3*'DATA - P&amp;L'!$C$55</f>
        <v>0</v>
      </c>
      <c r="Y246" s="70">
        <f>Y167*'DATA - P&amp;L'!$C$3*'DATA - P&amp;L'!$C$55</f>
        <v>0</v>
      </c>
      <c r="Z246" s="70">
        <f>Z167*'DATA - P&amp;L'!$C$3*'DATA - P&amp;L'!$C$55</f>
        <v>0</v>
      </c>
      <c r="AA246" s="70">
        <f>AA167*'DATA - P&amp;L'!$C$3*'DATA - P&amp;L'!$C$55</f>
        <v>0</v>
      </c>
      <c r="AB246" s="70">
        <f>AB167*'DATA - P&amp;L'!$C$3*'DATA - P&amp;L'!$C$55</f>
        <v>0</v>
      </c>
      <c r="AC246" s="70">
        <f>AC167*'DATA - P&amp;L'!$C$3*'DATA - P&amp;L'!$C$55</f>
        <v>0</v>
      </c>
      <c r="AD246" s="70">
        <f>AD167*'DATA - P&amp;L'!$C$3*'DATA - P&amp;L'!$C$55</f>
        <v>0</v>
      </c>
      <c r="AE246" s="74">
        <f>AE167*'DATA - P&amp;L'!$C$3*'DATA - P&amp;L'!$C$55</f>
        <v>0</v>
      </c>
      <c r="AF246" s="65">
        <f t="shared" si="65"/>
        <v>0</v>
      </c>
    </row>
    <row r="247">
      <c r="A247" s="116" t="s">
        <v>386</v>
      </c>
      <c r="B247" s="70">
        <f>B168*'DATA - P&amp;L'!$C$4*'DATA - P&amp;L'!$C$55</f>
        <v>0</v>
      </c>
      <c r="C247" s="70">
        <f>C168*'DATA - P&amp;L'!$C$4*'DATA - P&amp;L'!$C$55</f>
        <v>0</v>
      </c>
      <c r="D247" s="70">
        <f>D168*'DATA - P&amp;L'!$C$4*'DATA - P&amp;L'!$C$55</f>
        <v>0</v>
      </c>
      <c r="E247" s="70">
        <f>E168*'DATA - P&amp;L'!$C$4*'DATA - P&amp;L'!$C$55</f>
        <v>0</v>
      </c>
      <c r="F247" s="70">
        <f>F168*'DATA - P&amp;L'!$C$4*'DATA - P&amp;L'!$C$55</f>
        <v>0</v>
      </c>
      <c r="G247" s="70">
        <f>G168*'DATA - P&amp;L'!$C$4*'DATA - P&amp;L'!$C$55</f>
        <v>0</v>
      </c>
      <c r="H247" s="70">
        <f>H168*'DATA - P&amp;L'!$C$4*'DATA - P&amp;L'!$C$55</f>
        <v>0</v>
      </c>
      <c r="I247" s="70">
        <f>I168*'DATA - P&amp;L'!$C$4*'DATA - P&amp;L'!$C$55</f>
        <v>0</v>
      </c>
      <c r="J247" s="70">
        <f>J168*'DATA - P&amp;L'!$C$4*'DATA - P&amp;L'!$C$55</f>
        <v>0</v>
      </c>
      <c r="K247" s="70">
        <f>K168*'DATA - P&amp;L'!$C$4*'DATA - P&amp;L'!$C$55</f>
        <v>0</v>
      </c>
      <c r="L247" s="70">
        <f>L168*'DATA - P&amp;L'!$C$4*'DATA - P&amp;L'!$C$55</f>
        <v>0</v>
      </c>
      <c r="M247" s="70">
        <f>M168*'DATA - P&amp;L'!$C$4*'DATA - P&amp;L'!$C$55</f>
        <v>0</v>
      </c>
      <c r="N247" s="70">
        <f>N168*'DATA - P&amp;L'!$C$4*'DATA - P&amp;L'!$C$55</f>
        <v>0</v>
      </c>
      <c r="O247" s="70">
        <f>O168*'DATA - P&amp;L'!$C$4*'DATA - P&amp;L'!$C$55</f>
        <v>0</v>
      </c>
      <c r="P247" s="70">
        <f>P168*'DATA - P&amp;L'!$C$4*'DATA - P&amp;L'!$C$55</f>
        <v>0</v>
      </c>
      <c r="Q247" s="70">
        <f>Q168*'DATA - P&amp;L'!$C$4*'DATA - P&amp;L'!$C$55</f>
        <v>0</v>
      </c>
      <c r="R247" s="70">
        <f>R168*'DATA - P&amp;L'!$C$4*'DATA - P&amp;L'!$C$55</f>
        <v>0</v>
      </c>
      <c r="S247" s="70">
        <f>S168*'DATA - P&amp;L'!$C$4*'DATA - P&amp;L'!$C$55</f>
        <v>0</v>
      </c>
      <c r="T247" s="70">
        <f>T168*'DATA - P&amp;L'!$C$4*'DATA - P&amp;L'!$C$55</f>
        <v>0</v>
      </c>
      <c r="U247" s="70">
        <f>U168*'DATA - P&amp;L'!$C$4*'DATA - P&amp;L'!$C$55</f>
        <v>0</v>
      </c>
      <c r="V247" s="70">
        <f>V168*'DATA - P&amp;L'!$C$4*'DATA - P&amp;L'!$C$55</f>
        <v>0</v>
      </c>
      <c r="W247" s="70">
        <f>W168*'DATA - P&amp;L'!$C$4*'DATA - P&amp;L'!$C$55</f>
        <v>0</v>
      </c>
      <c r="X247" s="70">
        <f>X168*'DATA - P&amp;L'!$C$4*'DATA - P&amp;L'!$C$55</f>
        <v>0</v>
      </c>
      <c r="Y247" s="70">
        <f>Y168*'DATA - P&amp;L'!$C$4*'DATA - P&amp;L'!$C$55</f>
        <v>0</v>
      </c>
      <c r="Z247" s="70">
        <f>Z168*'DATA - P&amp;L'!$C$4*'DATA - P&amp;L'!$C$55</f>
        <v>0</v>
      </c>
      <c r="AA247" s="70">
        <f>AA168*'DATA - P&amp;L'!$C$4*'DATA - P&amp;L'!$C$55</f>
        <v>0</v>
      </c>
      <c r="AB247" s="70">
        <f>AB168*'DATA - P&amp;L'!$C$4*'DATA - P&amp;L'!$C$55</f>
        <v>0</v>
      </c>
      <c r="AC247" s="70">
        <f>AC168*'DATA - P&amp;L'!$C$4*'DATA - P&amp;L'!$C$55</f>
        <v>0</v>
      </c>
      <c r="AD247" s="70">
        <f>AD168*'DATA - P&amp;L'!$C$4*'DATA - P&amp;L'!$C$55</f>
        <v>0</v>
      </c>
      <c r="AE247" s="74">
        <f>AE168*'DATA - P&amp;L'!$C$4*'DATA - P&amp;L'!$C$55</f>
        <v>0</v>
      </c>
      <c r="AF247" s="65">
        <f t="shared" si="65"/>
        <v>0</v>
      </c>
    </row>
    <row r="248">
      <c r="A248" s="116" t="s">
        <v>388</v>
      </c>
      <c r="B248" s="70">
        <f>B170*'DATA - P&amp;L'!$C$6*'DATA - P&amp;L'!$C$55</f>
        <v>0</v>
      </c>
      <c r="C248" s="70">
        <f>C170*'DATA - P&amp;L'!$C$6*'DATA - P&amp;L'!$C$55</f>
        <v>0</v>
      </c>
      <c r="D248" s="70">
        <f>D170*'DATA - P&amp;L'!$C$6*'DATA - P&amp;L'!$C$55</f>
        <v>0</v>
      </c>
      <c r="E248" s="70">
        <f>E170*'DATA - P&amp;L'!$C$6*'DATA - P&amp;L'!$C$55</f>
        <v>0</v>
      </c>
      <c r="F248" s="70">
        <f>F170*'DATA - P&amp;L'!$C$6*'DATA - P&amp;L'!$C$55</f>
        <v>0</v>
      </c>
      <c r="G248" s="70">
        <f>G170*'DATA - P&amp;L'!$C$6*'DATA - P&amp;L'!$C$55</f>
        <v>0</v>
      </c>
      <c r="H248" s="70">
        <f>H170*'DATA - P&amp;L'!$C$6*'DATA - P&amp;L'!$C$55</f>
        <v>0</v>
      </c>
      <c r="I248" s="70">
        <f>I170*'DATA - P&amp;L'!$C$6*'DATA - P&amp;L'!$C$55</f>
        <v>0</v>
      </c>
      <c r="J248" s="70">
        <f>J170*'DATA - P&amp;L'!$C$6*'DATA - P&amp;L'!$C$55</f>
        <v>0</v>
      </c>
      <c r="K248" s="70">
        <f>K170*'DATA - P&amp;L'!$C$6*'DATA - P&amp;L'!$C$55</f>
        <v>0</v>
      </c>
      <c r="L248" s="70">
        <f>L170*'DATA - P&amp;L'!$C$6*'DATA - P&amp;L'!$C$55</f>
        <v>0</v>
      </c>
      <c r="M248" s="70">
        <f>M170*'DATA - P&amp;L'!$C$6*'DATA - P&amp;L'!$C$55</f>
        <v>0</v>
      </c>
      <c r="N248" s="70">
        <f>N170*'DATA - P&amp;L'!$C$6*'DATA - P&amp;L'!$C$55</f>
        <v>0</v>
      </c>
      <c r="O248" s="70">
        <f>O170*'DATA - P&amp;L'!$C$6*'DATA - P&amp;L'!$C$55</f>
        <v>0</v>
      </c>
      <c r="P248" s="70">
        <f>P170*'DATA - P&amp;L'!$C$6*'DATA - P&amp;L'!$C$55</f>
        <v>0</v>
      </c>
      <c r="Q248" s="70">
        <f>Q170*'DATA - P&amp;L'!$C$6*'DATA - P&amp;L'!$C$55</f>
        <v>0</v>
      </c>
      <c r="R248" s="70">
        <f>R170*'DATA - P&amp;L'!$C$6*'DATA - P&amp;L'!$C$55</f>
        <v>0</v>
      </c>
      <c r="S248" s="70">
        <f>S170*'DATA - P&amp;L'!$C$6*'DATA - P&amp;L'!$C$55</f>
        <v>0</v>
      </c>
      <c r="T248" s="70">
        <f>T170*'DATA - P&amp;L'!$C$6*'DATA - P&amp;L'!$C$55</f>
        <v>0</v>
      </c>
      <c r="U248" s="70">
        <f>U170*'DATA - P&amp;L'!$C$6*'DATA - P&amp;L'!$C$55</f>
        <v>0</v>
      </c>
      <c r="V248" s="70">
        <f>V170*'DATA - P&amp;L'!$C$6*'DATA - P&amp;L'!$C$55</f>
        <v>0</v>
      </c>
      <c r="W248" s="70">
        <f>W170*'DATA - P&amp;L'!$C$6*'DATA - P&amp;L'!$C$55</f>
        <v>0</v>
      </c>
      <c r="X248" s="70">
        <f>X170*'DATA - P&amp;L'!$C$6*'DATA - P&amp;L'!$C$55</f>
        <v>0</v>
      </c>
      <c r="Y248" s="70">
        <f>Y170*'DATA - P&amp;L'!$C$6*'DATA - P&amp;L'!$C$55</f>
        <v>0</v>
      </c>
      <c r="Z248" s="70">
        <f>Z170*'DATA - P&amp;L'!$C$6*'DATA - P&amp;L'!$C$55</f>
        <v>0</v>
      </c>
      <c r="AA248" s="70">
        <f>AA170*'DATA - P&amp;L'!$C$6*'DATA - P&amp;L'!$C$55</f>
        <v>0</v>
      </c>
      <c r="AB248" s="70">
        <f>AB170*'DATA - P&amp;L'!$C$6*'DATA - P&amp;L'!$C$55</f>
        <v>0</v>
      </c>
      <c r="AC248" s="70">
        <f>AC170*'DATA - P&amp;L'!$C$6*'DATA - P&amp;L'!$C$55</f>
        <v>0</v>
      </c>
      <c r="AD248" s="70">
        <f>AD170*'DATA - P&amp;L'!$C$6*'DATA - P&amp;L'!$C$55</f>
        <v>0</v>
      </c>
      <c r="AE248" s="74">
        <f>AE170*'DATA - P&amp;L'!$C$6*'DATA - P&amp;L'!$C$55</f>
        <v>0</v>
      </c>
      <c r="AF248" s="65">
        <f t="shared" si="65"/>
        <v>0</v>
      </c>
    </row>
    <row r="249">
      <c r="A249" s="116" t="s">
        <v>389</v>
      </c>
      <c r="B249" s="70">
        <f>B171*'DATA - P&amp;L'!$C$8*'DATA - P&amp;L'!$C$55</f>
        <v>0</v>
      </c>
      <c r="C249" s="70">
        <f>C171*'DATA - P&amp;L'!$C$8*'DATA - P&amp;L'!$C$55</f>
        <v>0</v>
      </c>
      <c r="D249" s="70">
        <f>D171*'DATA - P&amp;L'!$C$8*'DATA - P&amp;L'!$C$55</f>
        <v>0</v>
      </c>
      <c r="E249" s="70">
        <f>E171*'DATA - P&amp;L'!$C$8*'DATA - P&amp;L'!$C$55</f>
        <v>0</v>
      </c>
      <c r="F249" s="70">
        <f>F171*'DATA - P&amp;L'!$C$8*'DATA - P&amp;L'!$C$55</f>
        <v>0</v>
      </c>
      <c r="G249" s="70">
        <f>G171*'DATA - P&amp;L'!$C$8*'DATA - P&amp;L'!$C$55</f>
        <v>0</v>
      </c>
      <c r="H249" s="70">
        <f>H171*'DATA - P&amp;L'!$C$8*'DATA - P&amp;L'!$C$55</f>
        <v>0</v>
      </c>
      <c r="I249" s="70">
        <f>I171*'DATA - P&amp;L'!$C$8*'DATA - P&amp;L'!$C$55</f>
        <v>0</v>
      </c>
      <c r="J249" s="70">
        <f>J171*'DATA - P&amp;L'!$C$8*'DATA - P&amp;L'!$C$55</f>
        <v>0</v>
      </c>
      <c r="K249" s="70">
        <f>K171*'DATA - P&amp;L'!$C$8*'DATA - P&amp;L'!$C$55</f>
        <v>0</v>
      </c>
      <c r="L249" s="70">
        <f>L171*'DATA - P&amp;L'!$C$8*'DATA - P&amp;L'!$C$55</f>
        <v>0</v>
      </c>
      <c r="M249" s="70">
        <f>M171*'DATA - P&amp;L'!$C$8*'DATA - P&amp;L'!$C$55</f>
        <v>0</v>
      </c>
      <c r="N249" s="70">
        <f>N171*'DATA - P&amp;L'!$C$8*'DATA - P&amp;L'!$C$55</f>
        <v>0</v>
      </c>
      <c r="O249" s="70">
        <f>O171*'DATA - P&amp;L'!$C$8*'DATA - P&amp;L'!$C$55</f>
        <v>0</v>
      </c>
      <c r="P249" s="70">
        <f>P171*'DATA - P&amp;L'!$C$8*'DATA - P&amp;L'!$C$55</f>
        <v>0</v>
      </c>
      <c r="Q249" s="70">
        <f>Q171*'DATA - P&amp;L'!$C$8*'DATA - P&amp;L'!$C$55</f>
        <v>0</v>
      </c>
      <c r="R249" s="70">
        <f>R171*'DATA - P&amp;L'!$C$8*'DATA - P&amp;L'!$C$55</f>
        <v>0</v>
      </c>
      <c r="S249" s="70">
        <f>S171*'DATA - P&amp;L'!$C$8*'DATA - P&amp;L'!$C$55</f>
        <v>0</v>
      </c>
      <c r="T249" s="70">
        <f>T171*'DATA - P&amp;L'!$C$8*'DATA - P&amp;L'!$C$55</f>
        <v>0</v>
      </c>
      <c r="U249" s="70">
        <f>U171*'DATA - P&amp;L'!$C$8*'DATA - P&amp;L'!$C$55</f>
        <v>0</v>
      </c>
      <c r="V249" s="70">
        <f>V171*'DATA - P&amp;L'!$C$8*'DATA - P&amp;L'!$C$55</f>
        <v>0</v>
      </c>
      <c r="W249" s="70">
        <f>W171*'DATA - P&amp;L'!$C$8*'DATA - P&amp;L'!$C$55</f>
        <v>0</v>
      </c>
      <c r="X249" s="70">
        <f>X171*'DATA - P&amp;L'!$C$8*'DATA - P&amp;L'!$C$55</f>
        <v>0</v>
      </c>
      <c r="Y249" s="70">
        <f>Y171*'DATA - P&amp;L'!$C$8*'DATA - P&amp;L'!$C$55</f>
        <v>0</v>
      </c>
      <c r="Z249" s="70">
        <f>Z171*'DATA - P&amp;L'!$C$8*'DATA - P&amp;L'!$C$55</f>
        <v>0</v>
      </c>
      <c r="AA249" s="70">
        <f>AA171*'DATA - P&amp;L'!$C$8*'DATA - P&amp;L'!$C$55</f>
        <v>0</v>
      </c>
      <c r="AB249" s="70">
        <f>AB171*'DATA - P&amp;L'!$C$8*'DATA - P&amp;L'!$C$55</f>
        <v>0</v>
      </c>
      <c r="AC249" s="70">
        <f>AC171*'DATA - P&amp;L'!$C$8*'DATA - P&amp;L'!$C$55</f>
        <v>0</v>
      </c>
      <c r="AD249" s="70">
        <f>AD171*'DATA - P&amp;L'!$C$8*'DATA - P&amp;L'!$C$55</f>
        <v>0</v>
      </c>
      <c r="AE249" s="74">
        <f>AE171*'DATA - P&amp;L'!$C$8*'DATA - P&amp;L'!$C$55</f>
        <v>0</v>
      </c>
      <c r="AF249" s="65">
        <f t="shared" si="65"/>
        <v>0</v>
      </c>
    </row>
    <row r="250">
      <c r="A250" s="116" t="s">
        <v>393</v>
      </c>
      <c r="B250" s="70">
        <f>(B172+B173)*'DATA - P&amp;L'!$C$9*'DATA - P&amp;L'!$C$55</f>
        <v>0</v>
      </c>
      <c r="C250" s="70">
        <f>(C172+C173)*'DATA - P&amp;L'!$C$9*'DATA - P&amp;L'!$C$55</f>
        <v>0</v>
      </c>
      <c r="D250" s="70">
        <f>(D172+D173)*'DATA - P&amp;L'!$C$9*'DATA - P&amp;L'!$C$55</f>
        <v>0</v>
      </c>
      <c r="E250" s="70">
        <f>(E172+E173)*'DATA - P&amp;L'!$C$9*'DATA - P&amp;L'!$C$55</f>
        <v>0</v>
      </c>
      <c r="F250" s="70">
        <f>(F172+F173)*'DATA - P&amp;L'!$C$9*'DATA - P&amp;L'!$C$55</f>
        <v>0</v>
      </c>
      <c r="G250" s="70">
        <f>(G172+G173)*'DATA - P&amp;L'!$C$9*'DATA - P&amp;L'!$C$55</f>
        <v>0</v>
      </c>
      <c r="H250" s="70">
        <f>(H172+H173)*'DATA - P&amp;L'!$C$9*'DATA - P&amp;L'!$C$55</f>
        <v>0</v>
      </c>
      <c r="I250" s="70">
        <f>(I172+I173)*'DATA - P&amp;L'!$C$9*'DATA - P&amp;L'!$C$55</f>
        <v>0</v>
      </c>
      <c r="J250" s="70">
        <f>(J172+J173)*'DATA - P&amp;L'!$C$9*'DATA - P&amp;L'!$C$55</f>
        <v>0</v>
      </c>
      <c r="K250" s="70">
        <f>(K172+K173)*'DATA - P&amp;L'!$C$9*'DATA - P&amp;L'!$C$55</f>
        <v>0</v>
      </c>
      <c r="L250" s="70">
        <f>(L172+L173)*'DATA - P&amp;L'!$C$9*'DATA - P&amp;L'!$C$55</f>
        <v>0</v>
      </c>
      <c r="M250" s="70">
        <f>(M172+M173)*'DATA - P&amp;L'!$C$9*'DATA - P&amp;L'!$C$55</f>
        <v>0</v>
      </c>
      <c r="N250" s="70">
        <f>(N172+N173)*'DATA - P&amp;L'!$C$9*'DATA - P&amp;L'!$C$55</f>
        <v>0</v>
      </c>
      <c r="O250" s="70">
        <f>(O172+O173)*'DATA - P&amp;L'!$C$9*'DATA - P&amp;L'!$C$55</f>
        <v>0</v>
      </c>
      <c r="P250" s="70">
        <f>(P172+P173)*'DATA - P&amp;L'!$C$9*'DATA - P&amp;L'!$C$55</f>
        <v>0</v>
      </c>
      <c r="Q250" s="70">
        <f>(Q172+Q173)*'DATA - P&amp;L'!$C$9*'DATA - P&amp;L'!$C$55</f>
        <v>0</v>
      </c>
      <c r="R250" s="70">
        <f>(R172+R173)*'DATA - P&amp;L'!$C$9*'DATA - P&amp;L'!$C$55</f>
        <v>0</v>
      </c>
      <c r="S250" s="70">
        <f>(S172+S173)*'DATA - P&amp;L'!$C$9*'DATA - P&amp;L'!$C$55</f>
        <v>0</v>
      </c>
      <c r="T250" s="70">
        <f>(T172+T173)*'DATA - P&amp;L'!$C$9*'DATA - P&amp;L'!$C$55</f>
        <v>0</v>
      </c>
      <c r="U250" s="70">
        <f>(U172+U173)*'DATA - P&amp;L'!$C$9*'DATA - P&amp;L'!$C$55</f>
        <v>0</v>
      </c>
      <c r="V250" s="70">
        <f>(V172+V173)*'DATA - P&amp;L'!$C$9*'DATA - P&amp;L'!$C$55</f>
        <v>0</v>
      </c>
      <c r="W250" s="70">
        <f>(W172+W173)*'DATA - P&amp;L'!$C$9*'DATA - P&amp;L'!$C$55</f>
        <v>0</v>
      </c>
      <c r="X250" s="70">
        <f>(X172+X173)*'DATA - P&amp;L'!$C$9*'DATA - P&amp;L'!$C$55</f>
        <v>0</v>
      </c>
      <c r="Y250" s="70">
        <f>(Y172+Y173)*'DATA - P&amp;L'!$C$9*'DATA - P&amp;L'!$C$55</f>
        <v>0</v>
      </c>
      <c r="Z250" s="70">
        <f>(Z172+Z173)*'DATA - P&amp;L'!$C$9*'DATA - P&amp;L'!$C$55</f>
        <v>0</v>
      </c>
      <c r="AA250" s="70">
        <f>(AA172+AA173)*'DATA - P&amp;L'!$C$9*'DATA - P&amp;L'!$C$55</f>
        <v>0</v>
      </c>
      <c r="AB250" s="70">
        <f>(AB172+AB173)*'DATA - P&amp;L'!$C$9*'DATA - P&amp;L'!$C$55</f>
        <v>0</v>
      </c>
      <c r="AC250" s="70">
        <f>(AC172+AC173)*'DATA - P&amp;L'!$C$9*'DATA - P&amp;L'!$C$55</f>
        <v>0</v>
      </c>
      <c r="AD250" s="70">
        <f>(AD172+AD173)*'DATA - P&amp;L'!$C$9*'DATA - P&amp;L'!$C$55</f>
        <v>0</v>
      </c>
      <c r="AE250" s="74">
        <f>(AE172+AE173)*'DATA - P&amp;L'!$C$9*'DATA - P&amp;L'!$C$55</f>
        <v>0</v>
      </c>
      <c r="AF250" s="65">
        <f t="shared" si="65"/>
        <v>0</v>
      </c>
    </row>
    <row r="251">
      <c r="A251" s="116" t="s">
        <v>396</v>
      </c>
      <c r="B251" s="70">
        <f>(B174+B175)*'DATA - P&amp;L'!$C$5*'DATA - P&amp;L'!$C$55</f>
        <v>0</v>
      </c>
      <c r="C251" s="70">
        <f>(C174+C175)*'DATA - P&amp;L'!$C$5*'DATA - P&amp;L'!$C$55</f>
        <v>0</v>
      </c>
      <c r="D251" s="70">
        <f>(D174+D175)*'DATA - P&amp;L'!$C$5*'DATA - P&amp;L'!$C$55</f>
        <v>0</v>
      </c>
      <c r="E251" s="70">
        <f>(E174+E175)*'DATA - P&amp;L'!$C$5*'DATA - P&amp;L'!$C$55</f>
        <v>0</v>
      </c>
      <c r="F251" s="70">
        <f>(F174+F175)*'DATA - P&amp;L'!$C$5*'DATA - P&amp;L'!$C$55</f>
        <v>0</v>
      </c>
      <c r="G251" s="70">
        <f>(G174+G175)*'DATA - P&amp;L'!$C$5*'DATA - P&amp;L'!$C$55</f>
        <v>0</v>
      </c>
      <c r="H251" s="70">
        <f>(H174+H175)*'DATA - P&amp;L'!$C$5*'DATA - P&amp;L'!$C$55</f>
        <v>0</v>
      </c>
      <c r="I251" s="70">
        <f>(I174+I175)*'DATA - P&amp;L'!$C$5*'DATA - P&amp;L'!$C$55</f>
        <v>0</v>
      </c>
      <c r="J251" s="70">
        <f>(J174+J175)*'DATA - P&amp;L'!$C$5*'DATA - P&amp;L'!$C$55</f>
        <v>0</v>
      </c>
      <c r="K251" s="70">
        <f>(K174+K175)*'DATA - P&amp;L'!$C$5*'DATA - P&amp;L'!$C$55</f>
        <v>0</v>
      </c>
      <c r="L251" s="70">
        <f>(L174+L175)*'DATA - P&amp;L'!$C$5*'DATA - P&amp;L'!$C$55</f>
        <v>0</v>
      </c>
      <c r="M251" s="70">
        <f>(M174+M175)*'DATA - P&amp;L'!$C$5*'DATA - P&amp;L'!$C$55</f>
        <v>0</v>
      </c>
      <c r="N251" s="70">
        <f>(N174+N175)*'DATA - P&amp;L'!$C$5*'DATA - P&amp;L'!$C$55</f>
        <v>0</v>
      </c>
      <c r="O251" s="70">
        <f>(O174+O175)*'DATA - P&amp;L'!$C$5*'DATA - P&amp;L'!$C$55</f>
        <v>0</v>
      </c>
      <c r="P251" s="70">
        <f>(P174+P175)*'DATA - P&amp;L'!$C$5*'DATA - P&amp;L'!$C$55</f>
        <v>0</v>
      </c>
      <c r="Q251" s="70">
        <f>(Q174+Q175)*'DATA - P&amp;L'!$C$5*'DATA - P&amp;L'!$C$55</f>
        <v>0</v>
      </c>
      <c r="R251" s="70">
        <f>(R174+R175)*'DATA - P&amp;L'!$C$5*'DATA - P&amp;L'!$C$55</f>
        <v>0</v>
      </c>
      <c r="S251" s="70">
        <f>(S174+S175)*'DATA - P&amp;L'!$C$5*'DATA - P&amp;L'!$C$55</f>
        <v>0</v>
      </c>
      <c r="T251" s="70">
        <f>(T174+T175)*'DATA - P&amp;L'!$C$5*'DATA - P&amp;L'!$C$55</f>
        <v>0</v>
      </c>
      <c r="U251" s="70">
        <f>(U174+U175)*'DATA - P&amp;L'!$C$5*'DATA - P&amp;L'!$C$55</f>
        <v>0</v>
      </c>
      <c r="V251" s="70">
        <f>(V174+V175)*'DATA - P&amp;L'!$C$5*'DATA - P&amp;L'!$C$55</f>
        <v>0</v>
      </c>
      <c r="W251" s="70">
        <f>(W174+W175)*'DATA - P&amp;L'!$C$5*'DATA - P&amp;L'!$C$55</f>
        <v>0</v>
      </c>
      <c r="X251" s="70">
        <f>(X174+X175)*'DATA - P&amp;L'!$C$5*'DATA - P&amp;L'!$C$55</f>
        <v>0</v>
      </c>
      <c r="Y251" s="70">
        <f>(Y174+Y175)*'DATA - P&amp;L'!$C$5*'DATA - P&amp;L'!$C$55</f>
        <v>0</v>
      </c>
      <c r="Z251" s="70">
        <f>(Z174+Z175)*'DATA - P&amp;L'!$C$5*'DATA - P&amp;L'!$C$55</f>
        <v>0</v>
      </c>
      <c r="AA251" s="70">
        <f>(AA174+AA175)*'DATA - P&amp;L'!$C$5*'DATA - P&amp;L'!$C$55</f>
        <v>0</v>
      </c>
      <c r="AB251" s="70">
        <f>(AB174+AB175)*'DATA - P&amp;L'!$C$5*'DATA - P&amp;L'!$C$55</f>
        <v>0</v>
      </c>
      <c r="AC251" s="70">
        <f>(AC174+AC175)*'DATA - P&amp;L'!$C$5*'DATA - P&amp;L'!$C$55</f>
        <v>0</v>
      </c>
      <c r="AD251" s="70">
        <f>(AD174+AD175)*'DATA - P&amp;L'!$C$5*'DATA - P&amp;L'!$C$55</f>
        <v>0</v>
      </c>
      <c r="AE251" s="74">
        <f>(AE174+AE175)*'DATA - P&amp;L'!$C$5*'DATA - P&amp;L'!$C$55</f>
        <v>0</v>
      </c>
      <c r="AF251" s="65">
        <f t="shared" si="65"/>
        <v>0</v>
      </c>
    </row>
    <row r="252">
      <c r="A252" s="116" t="s">
        <v>398</v>
      </c>
      <c r="B252" s="70">
        <f>(B176+B177)*'DATA - P&amp;L'!$C$10*'DATA - P&amp;L'!$C$55</f>
        <v>0</v>
      </c>
      <c r="C252" s="70">
        <f>(C176+C177)*'DATA - P&amp;L'!$C$10*'DATA - P&amp;L'!$C$55</f>
        <v>0</v>
      </c>
      <c r="D252" s="70">
        <f>(D176+D177)*'DATA - P&amp;L'!$C$10*'DATA - P&amp;L'!$C$55</f>
        <v>0</v>
      </c>
      <c r="E252" s="70">
        <f>(E176+E177)*'DATA - P&amp;L'!$C$10*'DATA - P&amp;L'!$C$55</f>
        <v>0</v>
      </c>
      <c r="F252" s="70">
        <f>(F176+F177)*'DATA - P&amp;L'!$C$10*'DATA - P&amp;L'!$C$55</f>
        <v>0</v>
      </c>
      <c r="G252" s="70">
        <f>(G176+G177)*'DATA - P&amp;L'!$C$10*'DATA - P&amp;L'!$C$55</f>
        <v>0</v>
      </c>
      <c r="H252" s="70">
        <f>(H176+H177)*'DATA - P&amp;L'!$C$10*'DATA - P&amp;L'!$C$55</f>
        <v>0</v>
      </c>
      <c r="I252" s="70">
        <f>(I176+I177)*'DATA - P&amp;L'!$C$10*'DATA - P&amp;L'!$C$55</f>
        <v>0</v>
      </c>
      <c r="J252" s="70">
        <f>(J176+J177)*'DATA - P&amp;L'!$C$10*'DATA - P&amp;L'!$C$55</f>
        <v>0</v>
      </c>
      <c r="K252" s="70">
        <f>(K176+K177)*'DATA - P&amp;L'!$C$10*'DATA - P&amp;L'!$C$55</f>
        <v>0</v>
      </c>
      <c r="L252" s="70">
        <f>(L176+L177)*'DATA - P&amp;L'!$C$10*'DATA - P&amp;L'!$C$55</f>
        <v>0</v>
      </c>
      <c r="M252" s="70">
        <f>(M176+M177)*'DATA - P&amp;L'!$C$10*'DATA - P&amp;L'!$C$55</f>
        <v>0</v>
      </c>
      <c r="N252" s="70">
        <f>(N176+N177)*'DATA - P&amp;L'!$C$10*'DATA - P&amp;L'!$C$55</f>
        <v>0</v>
      </c>
      <c r="O252" s="70">
        <f>(O176+O177)*'DATA - P&amp;L'!$C$10*'DATA - P&amp;L'!$C$55</f>
        <v>0</v>
      </c>
      <c r="P252" s="70">
        <f>(P176+P177)*'DATA - P&amp;L'!$C$10*'DATA - P&amp;L'!$C$55</f>
        <v>0</v>
      </c>
      <c r="Q252" s="70">
        <f>(Q176+Q177)*'DATA - P&amp;L'!$C$10*'DATA - P&amp;L'!$C$55</f>
        <v>0</v>
      </c>
      <c r="R252" s="70">
        <f>(R176+R177)*'DATA - P&amp;L'!$C$10*'DATA - P&amp;L'!$C$55</f>
        <v>0</v>
      </c>
      <c r="S252" s="70">
        <f>(S176+S177)*'DATA - P&amp;L'!$C$10*'DATA - P&amp;L'!$C$55</f>
        <v>0</v>
      </c>
      <c r="T252" s="70">
        <f>(T176+T177)*'DATA - P&amp;L'!$C$10*'DATA - P&amp;L'!$C$55</f>
        <v>0</v>
      </c>
      <c r="U252" s="70">
        <f>(U176+U177)*'DATA - P&amp;L'!$C$10*'DATA - P&amp;L'!$C$55</f>
        <v>0</v>
      </c>
      <c r="V252" s="70">
        <f>(V176+V177)*'DATA - P&amp;L'!$C$10*'DATA - P&amp;L'!$C$55</f>
        <v>0</v>
      </c>
      <c r="W252" s="70">
        <f>(W176+W177)*'DATA - P&amp;L'!$C$10*'DATA - P&amp;L'!$C$55</f>
        <v>0</v>
      </c>
      <c r="X252" s="70">
        <f>(X176+X177)*'DATA - P&amp;L'!$C$10*'DATA - P&amp;L'!$C$55</f>
        <v>0</v>
      </c>
      <c r="Y252" s="70">
        <f>(Y176+Y177)*'DATA - P&amp;L'!$C$10*'DATA - P&amp;L'!$C$55</f>
        <v>0</v>
      </c>
      <c r="Z252" s="70">
        <f>(Z176+Z177)*'DATA - P&amp;L'!$C$10*'DATA - P&amp;L'!$C$55</f>
        <v>0</v>
      </c>
      <c r="AA252" s="70">
        <f>(AA176+AA177)*'DATA - P&amp;L'!$C$10*'DATA - P&amp;L'!$C$55</f>
        <v>0</v>
      </c>
      <c r="AB252" s="70">
        <f>(AB176+AB177)*'DATA - P&amp;L'!$C$10*'DATA - P&amp;L'!$C$55</f>
        <v>0</v>
      </c>
      <c r="AC252" s="70">
        <f>(AC176+AC177)*'DATA - P&amp;L'!$C$10*'DATA - P&amp;L'!$C$55</f>
        <v>0</v>
      </c>
      <c r="AD252" s="70">
        <f>(AD176+AD177)*'DATA - P&amp;L'!$C$10*'DATA - P&amp;L'!$C$55</f>
        <v>0</v>
      </c>
      <c r="AE252" s="74">
        <f>(AE176+AE177)*'DATA - P&amp;L'!$C$10*'DATA - P&amp;L'!$C$55</f>
        <v>0</v>
      </c>
      <c r="AF252" s="65">
        <f t="shared" si="65"/>
        <v>0</v>
      </c>
    </row>
    <row r="253">
      <c r="A253" s="116" t="s">
        <v>400</v>
      </c>
      <c r="B253" s="70">
        <f>(B167+B168)*'DATA - P&amp;L'!$C$43*'DATA - P&amp;L'!$C$55</f>
        <v>0</v>
      </c>
      <c r="C253" s="70">
        <f>(C167+C168)*'DATA - P&amp;L'!$C$43*'DATA - P&amp;L'!$C$55</f>
        <v>0</v>
      </c>
      <c r="D253" s="70">
        <f>(D167+D168)*'DATA - P&amp;L'!$C$43*'DATA - P&amp;L'!$C$55</f>
        <v>0</v>
      </c>
      <c r="E253" s="70">
        <f>(E167+E168)*'DATA - P&amp;L'!$C$43*'DATA - P&amp;L'!$C$55</f>
        <v>0</v>
      </c>
      <c r="F253" s="70">
        <f>(F167+F168)*'DATA - P&amp;L'!$C$43*'DATA - P&amp;L'!$C$55</f>
        <v>0</v>
      </c>
      <c r="G253" s="70">
        <f>(G167+G168)*'DATA - P&amp;L'!$C$43*'DATA - P&amp;L'!$C$55</f>
        <v>0</v>
      </c>
      <c r="H253" s="70">
        <f>(H167+H168)*'DATA - P&amp;L'!$C$43*'DATA - P&amp;L'!$C$55</f>
        <v>0</v>
      </c>
      <c r="I253" s="70">
        <f>(I167+I168)*'DATA - P&amp;L'!$C$43*'DATA - P&amp;L'!$C$55</f>
        <v>0</v>
      </c>
      <c r="J253" s="70">
        <f>(J167+J168)*'DATA - P&amp;L'!$C$43*'DATA - P&amp;L'!$C$55</f>
        <v>0</v>
      </c>
      <c r="K253" s="70">
        <f>(K167+K168)*'DATA - P&amp;L'!$C$43*'DATA - P&amp;L'!$C$55</f>
        <v>0</v>
      </c>
      <c r="L253" s="70">
        <f>(L167+L168)*'DATA - P&amp;L'!$C$43*'DATA - P&amp;L'!$C$55</f>
        <v>0</v>
      </c>
      <c r="M253" s="70">
        <f>(M167+M168)*'DATA - P&amp;L'!$C$43*'DATA - P&amp;L'!$C$55</f>
        <v>0</v>
      </c>
      <c r="N253" s="70">
        <f>(N167+N168)*'DATA - P&amp;L'!$C$43*'DATA - P&amp;L'!$C$55</f>
        <v>0</v>
      </c>
      <c r="O253" s="70">
        <f>(O167+O168)*'DATA - P&amp;L'!$C$43*'DATA - P&amp;L'!$C$55</f>
        <v>0</v>
      </c>
      <c r="P253" s="70">
        <f>(P167+P168)*'DATA - P&amp;L'!$C$43*'DATA - P&amp;L'!$C$55</f>
        <v>0</v>
      </c>
      <c r="Q253" s="70">
        <f>(Q167+Q168)*'DATA - P&amp;L'!$C$43*'DATA - P&amp;L'!$C$55</f>
        <v>0</v>
      </c>
      <c r="R253" s="70">
        <f>(R167+R168)*'DATA - P&amp;L'!$C$43*'DATA - P&amp;L'!$C$55</f>
        <v>0</v>
      </c>
      <c r="S253" s="70">
        <f>(S167+S168)*'DATA - P&amp;L'!$C$43*'DATA - P&amp;L'!$C$55</f>
        <v>0</v>
      </c>
      <c r="T253" s="70">
        <f>(T167+T168)*'DATA - P&amp;L'!$C$43*'DATA - P&amp;L'!$C$55</f>
        <v>0</v>
      </c>
      <c r="U253" s="70">
        <f>(U167+U168)*'DATA - P&amp;L'!$C$43*'DATA - P&amp;L'!$C$55</f>
        <v>0</v>
      </c>
      <c r="V253" s="70">
        <f>(V167+V168)*'DATA - P&amp;L'!$C$43*'DATA - P&amp;L'!$C$55</f>
        <v>0</v>
      </c>
      <c r="W253" s="70">
        <f>(W167+W168)*'DATA - P&amp;L'!$C$43*'DATA - P&amp;L'!$C$55</f>
        <v>0</v>
      </c>
      <c r="X253" s="70">
        <f>(X167+X168)*'DATA - P&amp;L'!$C$43*'DATA - P&amp;L'!$C$55</f>
        <v>0</v>
      </c>
      <c r="Y253" s="70">
        <f>(Y167+Y168)*'DATA - P&amp;L'!$C$43*'DATA - P&amp;L'!$C$55</f>
        <v>0</v>
      </c>
      <c r="Z253" s="70">
        <f>(Z167+Z168)*'DATA - P&amp;L'!$C$43*'DATA - P&amp;L'!$C$55</f>
        <v>0</v>
      </c>
      <c r="AA253" s="70">
        <f>(AA167+AA168)*'DATA - P&amp;L'!$C$43*'DATA - P&amp;L'!$C$55</f>
        <v>0</v>
      </c>
      <c r="AB253" s="70">
        <f>(AB167+AB168)*'DATA - P&amp;L'!$C$43*'DATA - P&amp;L'!$C$55</f>
        <v>0</v>
      </c>
      <c r="AC253" s="70">
        <f>(AC167+AC168)*'DATA - P&amp;L'!$C$43*'DATA - P&amp;L'!$C$55</f>
        <v>0</v>
      </c>
      <c r="AD253" s="70">
        <f>(AD167+AD168)*'DATA - P&amp;L'!$C$43*'DATA - P&amp;L'!$C$55</f>
        <v>0</v>
      </c>
      <c r="AE253" s="74">
        <f>(AE167+AE168)*'DATA - P&amp;L'!$C$43*'DATA - P&amp;L'!$C$55</f>
        <v>0</v>
      </c>
      <c r="AF253" s="65">
        <f t="shared" si="65"/>
        <v>0</v>
      </c>
    </row>
    <row r="254">
      <c r="A254" s="116" t="s">
        <v>465</v>
      </c>
      <c r="B254" s="70">
        <f>B178*'DATA - P&amp;L'!$C$43*'DATA - P&amp;L'!$C$55</f>
        <v>0</v>
      </c>
      <c r="C254" s="70">
        <f>C178*'DATA - P&amp;L'!$C$43*'DATA - P&amp;L'!$C$55</f>
        <v>0</v>
      </c>
      <c r="D254" s="70">
        <f>D178*'DATA - P&amp;L'!$C$43*'DATA - P&amp;L'!$C$55</f>
        <v>0</v>
      </c>
      <c r="E254" s="70">
        <f>E178*'DATA - P&amp;L'!$C$43*'DATA - P&amp;L'!$C$55</f>
        <v>0</v>
      </c>
      <c r="F254" s="70">
        <f>F178*'DATA - P&amp;L'!$C$43*'DATA - P&amp;L'!$C$55</f>
        <v>0</v>
      </c>
      <c r="G254" s="70">
        <f>G178*'DATA - P&amp;L'!$C$43*'DATA - P&amp;L'!$C$55</f>
        <v>0</v>
      </c>
      <c r="H254" s="70">
        <f>H178*'DATA - P&amp;L'!$C$43*'DATA - P&amp;L'!$C$55</f>
        <v>0</v>
      </c>
      <c r="I254" s="70">
        <f>I178*'DATA - P&amp;L'!$C$43*'DATA - P&amp;L'!$C$55</f>
        <v>0</v>
      </c>
      <c r="J254" s="70">
        <f>J178*'DATA - P&amp;L'!$C$43*'DATA - P&amp;L'!$C$55</f>
        <v>0</v>
      </c>
      <c r="K254" s="70">
        <f>K178*'DATA - P&amp;L'!$C$43*'DATA - P&amp;L'!$C$55</f>
        <v>0</v>
      </c>
      <c r="L254" s="70">
        <f>L178*'DATA - P&amp;L'!$C$43*'DATA - P&amp;L'!$C$55</f>
        <v>0</v>
      </c>
      <c r="M254" s="70">
        <f>M178*'DATA - P&amp;L'!$C$43*'DATA - P&amp;L'!$C$55</f>
        <v>0</v>
      </c>
      <c r="N254" s="70">
        <f>N178*'DATA - P&amp;L'!$C$43*'DATA - P&amp;L'!$C$55</f>
        <v>0</v>
      </c>
      <c r="O254" s="70">
        <f>O178*'DATA - P&amp;L'!$C$43*'DATA - P&amp;L'!$C$55</f>
        <v>0</v>
      </c>
      <c r="P254" s="70">
        <f>P178*'DATA - P&amp;L'!$C$43*'DATA - P&amp;L'!$C$55</f>
        <v>0</v>
      </c>
      <c r="Q254" s="70">
        <f>Q178*'DATA - P&amp;L'!$C$43*'DATA - P&amp;L'!$C$55</f>
        <v>0</v>
      </c>
      <c r="R254" s="70">
        <f>R178*'DATA - P&amp;L'!$C$43*'DATA - P&amp;L'!$C$55</f>
        <v>0</v>
      </c>
      <c r="S254" s="70">
        <f>S178*'DATA - P&amp;L'!$C$43*'DATA - P&amp;L'!$C$55</f>
        <v>0</v>
      </c>
      <c r="T254" s="70">
        <f>T178*'DATA - P&amp;L'!$C$43*'DATA - P&amp;L'!$C$55</f>
        <v>0</v>
      </c>
      <c r="U254" s="70">
        <f>U178*'DATA - P&amp;L'!$C$43*'DATA - P&amp;L'!$C$55</f>
        <v>0</v>
      </c>
      <c r="V254" s="70">
        <f>V178*'DATA - P&amp;L'!$C$43*'DATA - P&amp;L'!$C$55</f>
        <v>0</v>
      </c>
      <c r="W254" s="70">
        <f>W178*'DATA - P&amp;L'!$C$43*'DATA - P&amp;L'!$C$55</f>
        <v>0</v>
      </c>
      <c r="X254" s="70">
        <f>X178*'DATA - P&amp;L'!$C$43*'DATA - P&amp;L'!$C$55</f>
        <v>0</v>
      </c>
      <c r="Y254" s="70">
        <f>Y178*'DATA - P&amp;L'!$C$43*'DATA - P&amp;L'!$C$55</f>
        <v>0</v>
      </c>
      <c r="Z254" s="70">
        <f>Z178*'DATA - P&amp;L'!$C$43*'DATA - P&amp;L'!$C$55</f>
        <v>0</v>
      </c>
      <c r="AA254" s="70">
        <f>AA178*'DATA - P&amp;L'!$C$43*'DATA - P&amp;L'!$C$55</f>
        <v>0</v>
      </c>
      <c r="AB254" s="70">
        <f>AB178*'DATA - P&amp;L'!$C$43*'DATA - P&amp;L'!$C$55</f>
        <v>0</v>
      </c>
      <c r="AC254" s="70">
        <f>AC178*'DATA - P&amp;L'!$C$43*'DATA - P&amp;L'!$C$55</f>
        <v>0</v>
      </c>
      <c r="AD254" s="70">
        <f>AD178*'DATA - P&amp;L'!$C$43*'DATA - P&amp;L'!$C$55</f>
        <v>0</v>
      </c>
      <c r="AE254" s="74">
        <f>AE178*'DATA - P&amp;L'!$C$43*'DATA - P&amp;L'!$C$55</f>
        <v>0</v>
      </c>
      <c r="AF254" s="65">
        <f t="shared" si="65"/>
        <v>0</v>
      </c>
    </row>
    <row r="255">
      <c r="A255" s="116" t="s">
        <v>500</v>
      </c>
      <c r="B255" s="70">
        <f>(((B167+B168)*'DATA - P&amp;L'!$C$62)*(1-'DATA - P&amp;L'!$C$59))+((B178*'DATA - P&amp;L'!$C$63)*(1-'DATA - P&amp;L'!$C$59))</f>
        <v>0</v>
      </c>
      <c r="C255" s="70">
        <f>(((C167+C168)*'DATA - P&amp;L'!$C$62)*(1-'DATA - P&amp;L'!$C$59))+((C178*'DATA - P&amp;L'!$C$63)*(1-'DATA - P&amp;L'!$C$59))</f>
        <v>0</v>
      </c>
      <c r="D255" s="70">
        <f>(((D167+D168)*'DATA - P&amp;L'!$C$62)*(1-'DATA - P&amp;L'!$C$59))+((D178*'DATA - P&amp;L'!$C$63)*(1-'DATA - P&amp;L'!$C$59))</f>
        <v>0</v>
      </c>
      <c r="E255" s="70">
        <f>(((E167+E168)*'DATA - P&amp;L'!$C$62)*(1-'DATA - P&amp;L'!$C$59))+((E178*'DATA - P&amp;L'!$C$63)*(1-'DATA - P&amp;L'!$C$59))</f>
        <v>0</v>
      </c>
      <c r="F255" s="70">
        <f>(((F167+F168)*'DATA - P&amp;L'!$C$62)*(1-'DATA - P&amp;L'!$C$59))+((F178*'DATA - P&amp;L'!$C$63)*(1-'DATA - P&amp;L'!$C$59))</f>
        <v>0</v>
      </c>
      <c r="G255" s="70">
        <f>(((G167+G168)*'DATA - P&amp;L'!$C$62)*(1-'DATA - P&amp;L'!$C$59))+((G178*'DATA - P&amp;L'!$C$63)*(1-'DATA - P&amp;L'!$C$59))</f>
        <v>0</v>
      </c>
      <c r="H255" s="70">
        <f>(((H167+H168)*'DATA - P&amp;L'!$C$62)*(1-'DATA - P&amp;L'!$C$59))+((H178*'DATA - P&amp;L'!$C$63)*(1-'DATA - P&amp;L'!$C$59))</f>
        <v>0</v>
      </c>
      <c r="I255" s="70">
        <f>(((I167+I168)*'DATA - P&amp;L'!$C$62)*(1-'DATA - P&amp;L'!$C$59))+((I178*'DATA - P&amp;L'!$C$63)*(1-'DATA - P&amp;L'!$C$59))</f>
        <v>0</v>
      </c>
      <c r="J255" s="70">
        <f>(((J167+J168)*'DATA - P&amp;L'!$C$62)*(1-'DATA - P&amp;L'!$C$59))+((J178*'DATA - P&amp;L'!$C$63)*(1-'DATA - P&amp;L'!$C$59))</f>
        <v>0</v>
      </c>
      <c r="K255" s="70">
        <f>(((K167+K168)*'DATA - P&amp;L'!$C$62)*(1-'DATA - P&amp;L'!$C$59))+((K178*'DATA - P&amp;L'!$C$63)*(1-'DATA - P&amp;L'!$C$59))</f>
        <v>0</v>
      </c>
      <c r="L255" s="70">
        <f>(((L167+L168)*'DATA - P&amp;L'!$C$62)*(1-'DATA - P&amp;L'!$C$59))+((L178*'DATA - P&amp;L'!$C$63)*(1-'DATA - P&amp;L'!$C$59))</f>
        <v>0</v>
      </c>
      <c r="M255" s="70">
        <f>(((M167+M168)*'DATA - P&amp;L'!$C$62)*(1-'DATA - P&amp;L'!$C$59))+((M178*'DATA - P&amp;L'!$C$63)*(1-'DATA - P&amp;L'!$C$59))</f>
        <v>0</v>
      </c>
      <c r="N255" s="70">
        <f>(((N167+N168)*'DATA - P&amp;L'!$C$62)*(1-'DATA - P&amp;L'!$C$59))+((N178*'DATA - P&amp;L'!$C$63)*(1-'DATA - P&amp;L'!$C$59))</f>
        <v>0</v>
      </c>
      <c r="O255" s="70">
        <f>(((O167+O168)*'DATA - P&amp;L'!$C$62)*(1-'DATA - P&amp;L'!$C$59))+((O178*'DATA - P&amp;L'!$C$63)*(1-'DATA - P&amp;L'!$C$59))</f>
        <v>0</v>
      </c>
      <c r="P255" s="70">
        <f>(((P167+P168)*'DATA - P&amp;L'!$C$62)*(1-'DATA - P&amp;L'!$C$59))+((P178*'DATA - P&amp;L'!$C$63)*(1-'DATA - P&amp;L'!$C$59))</f>
        <v>0</v>
      </c>
      <c r="Q255" s="70">
        <f>(((Q167+Q168)*'DATA - P&amp;L'!$C$62)*(1-'DATA - P&amp;L'!$C$59))+((Q178*'DATA - P&amp;L'!$C$63)*(1-'DATA - P&amp;L'!$C$59))</f>
        <v>0</v>
      </c>
      <c r="R255" s="70">
        <f>(((R167+R168)*'DATA - P&amp;L'!$C$62)*(1-'DATA - P&amp;L'!$C$59))+((R178*'DATA - P&amp;L'!$C$63)*(1-'DATA - P&amp;L'!$C$59))</f>
        <v>0</v>
      </c>
      <c r="S255" s="70">
        <f>(((S167+S168)*'DATA - P&amp;L'!$C$62)*(1-'DATA - P&amp;L'!$C$59))+((S178*'DATA - P&amp;L'!$C$63)*(1-'DATA - P&amp;L'!$C$59))</f>
        <v>0</v>
      </c>
      <c r="T255" s="70">
        <f>(((T167+T168)*'DATA - P&amp;L'!$C$62)*(1-'DATA - P&amp;L'!$C$59))+((T178*'DATA - P&amp;L'!$C$63)*(1-'DATA - P&amp;L'!$C$59))</f>
        <v>0</v>
      </c>
      <c r="U255" s="70">
        <f>(((U167+U168)*'DATA - P&amp;L'!$C$62)*(1-'DATA - P&amp;L'!$C$59))+((U178*'DATA - P&amp;L'!$C$63)*(1-'DATA - P&amp;L'!$C$59))</f>
        <v>0</v>
      </c>
      <c r="V255" s="70">
        <f>(((V167+V168)*'DATA - P&amp;L'!$C$62)*(1-'DATA - P&amp;L'!$C$59))+((V178*'DATA - P&amp;L'!$C$63)*(1-'DATA - P&amp;L'!$C$59))</f>
        <v>0</v>
      </c>
      <c r="W255" s="70">
        <f>(((W167+W168)*'DATA - P&amp;L'!$C$62)*(1-'DATA - P&amp;L'!$C$59))+((W178*'DATA - P&amp;L'!$C$63)*(1-'DATA - P&amp;L'!$C$59))</f>
        <v>0</v>
      </c>
      <c r="X255" s="70">
        <f>(((X167+X168)*'DATA - P&amp;L'!$C$62)*(1-'DATA - P&amp;L'!$C$59))+((X178*'DATA - P&amp;L'!$C$63)*(1-'DATA - P&amp;L'!$C$59))</f>
        <v>0</v>
      </c>
      <c r="Y255" s="70">
        <f>(((Y167+Y168)*'DATA - P&amp;L'!$C$62)*(1-'DATA - P&amp;L'!$C$59))+((Y178*'DATA - P&amp;L'!$C$63)*(1-'DATA - P&amp;L'!$C$59))</f>
        <v>0</v>
      </c>
      <c r="Z255" s="70">
        <f>(((Z167+Z168)*'DATA - P&amp;L'!$C$62)*(1-'DATA - P&amp;L'!$C$59))+((Z178*'DATA - P&amp;L'!$C$63)*(1-'DATA - P&amp;L'!$C$59))</f>
        <v>0</v>
      </c>
      <c r="AA255" s="70">
        <f>(((AA167+AA168)*'DATA - P&amp;L'!$C$62)*(1-'DATA - P&amp;L'!$C$59))+((AA178*'DATA - P&amp;L'!$C$63)*(1-'DATA - P&amp;L'!$C$59))</f>
        <v>0</v>
      </c>
      <c r="AB255" s="70">
        <f>(((AB167+AB168)*'DATA - P&amp;L'!$C$62)*(1-'DATA - P&amp;L'!$C$59))+((AB178*'DATA - P&amp;L'!$C$63)*(1-'DATA - P&amp;L'!$C$59))</f>
        <v>0</v>
      </c>
      <c r="AC255" s="70">
        <f>(((AC167+AC168)*'DATA - P&amp;L'!$C$62)*(1-'DATA - P&amp;L'!$C$59))+((AC178*'DATA - P&amp;L'!$C$63)*(1-'DATA - P&amp;L'!$C$59))</f>
        <v>0</v>
      </c>
      <c r="AD255" s="70">
        <f>(((AD167+AD168)*'DATA - P&amp;L'!$C$62)*(1-'DATA - P&amp;L'!$C$59))+((AD178*'DATA - P&amp;L'!$C$63)*(1-'DATA - P&amp;L'!$C$59))</f>
        <v>0</v>
      </c>
      <c r="AE255" s="74">
        <f>(((AE167+AE168)*'DATA - P&amp;L'!$C$62)*(1-'DATA - P&amp;L'!$C$59))+((AE178*'DATA - P&amp;L'!$C$63)*(1-'DATA - P&amp;L'!$C$59))</f>
        <v>0</v>
      </c>
      <c r="AF255" s="65">
        <f t="shared" si="65"/>
        <v>0</v>
      </c>
    </row>
    <row r="256">
      <c r="A256" s="575" t="s">
        <v>533</v>
      </c>
      <c r="B256" s="576">
        <f t="shared" ref="B256:AE256" si="70">sum(B257:B265)</f>
        <v>0</v>
      </c>
      <c r="C256" s="576">
        <f t="shared" si="70"/>
        <v>0</v>
      </c>
      <c r="D256" s="576">
        <f t="shared" si="70"/>
        <v>0</v>
      </c>
      <c r="E256" s="576">
        <f t="shared" si="70"/>
        <v>0</v>
      </c>
      <c r="F256" s="576">
        <f t="shared" si="70"/>
        <v>0</v>
      </c>
      <c r="G256" s="576">
        <f t="shared" si="70"/>
        <v>0</v>
      </c>
      <c r="H256" s="576">
        <f t="shared" si="70"/>
        <v>0</v>
      </c>
      <c r="I256" s="576">
        <f t="shared" si="70"/>
        <v>0</v>
      </c>
      <c r="J256" s="576">
        <f t="shared" si="70"/>
        <v>0</v>
      </c>
      <c r="K256" s="576">
        <f t="shared" si="70"/>
        <v>0</v>
      </c>
      <c r="L256" s="576">
        <f t="shared" si="70"/>
        <v>0</v>
      </c>
      <c r="M256" s="576">
        <f t="shared" si="70"/>
        <v>0</v>
      </c>
      <c r="N256" s="576">
        <f t="shared" si="70"/>
        <v>0</v>
      </c>
      <c r="O256" s="576">
        <f t="shared" si="70"/>
        <v>0</v>
      </c>
      <c r="P256" s="576">
        <f t="shared" si="70"/>
        <v>0</v>
      </c>
      <c r="Q256" s="576">
        <f t="shared" si="70"/>
        <v>0</v>
      </c>
      <c r="R256" s="576">
        <f t="shared" si="70"/>
        <v>0</v>
      </c>
      <c r="S256" s="576">
        <f t="shared" si="70"/>
        <v>0</v>
      </c>
      <c r="T256" s="576">
        <f t="shared" si="70"/>
        <v>0</v>
      </c>
      <c r="U256" s="576">
        <f t="shared" si="70"/>
        <v>0</v>
      </c>
      <c r="V256" s="576">
        <f t="shared" si="70"/>
        <v>0</v>
      </c>
      <c r="W256" s="576">
        <f t="shared" si="70"/>
        <v>0</v>
      </c>
      <c r="X256" s="576">
        <f t="shared" si="70"/>
        <v>0</v>
      </c>
      <c r="Y256" s="576">
        <f t="shared" si="70"/>
        <v>0</v>
      </c>
      <c r="Z256" s="576">
        <f t="shared" si="70"/>
        <v>0</v>
      </c>
      <c r="AA256" s="576">
        <f t="shared" si="70"/>
        <v>0</v>
      </c>
      <c r="AB256" s="576">
        <f t="shared" si="70"/>
        <v>0</v>
      </c>
      <c r="AC256" s="576">
        <f t="shared" si="70"/>
        <v>0</v>
      </c>
      <c r="AD256" s="576">
        <f t="shared" si="70"/>
        <v>0</v>
      </c>
      <c r="AE256" s="577">
        <f t="shared" si="70"/>
        <v>0</v>
      </c>
      <c r="AF256" s="65">
        <f>SUM(AF246:AF255)</f>
        <v>0</v>
      </c>
    </row>
    <row r="257">
      <c r="A257" s="116" t="s">
        <v>383</v>
      </c>
      <c r="B257" s="70">
        <f>B167*'DATA - P&amp;L'!$C$3</f>
        <v>0</v>
      </c>
      <c r="C257" s="70">
        <f>C167*'DATA - P&amp;L'!$C$3</f>
        <v>0</v>
      </c>
      <c r="D257" s="70">
        <f>D167*'DATA - P&amp;L'!$C$3</f>
        <v>0</v>
      </c>
      <c r="E257" s="70">
        <f>E167*'DATA - P&amp;L'!$C$3</f>
        <v>0</v>
      </c>
      <c r="F257" s="70">
        <f>F167*'DATA - P&amp;L'!$C$3</f>
        <v>0</v>
      </c>
      <c r="G257" s="70">
        <f>G167*'DATA - P&amp;L'!$C$3</f>
        <v>0</v>
      </c>
      <c r="H257" s="70">
        <f>H167*'DATA - P&amp;L'!$C$3</f>
        <v>0</v>
      </c>
      <c r="I257" s="70">
        <f>I167*'DATA - P&amp;L'!$C$3</f>
        <v>0</v>
      </c>
      <c r="J257" s="70">
        <f>J167*'DATA - P&amp;L'!$C$3</f>
        <v>0</v>
      </c>
      <c r="K257" s="70">
        <f>K167*'DATA - P&amp;L'!$C$3</f>
        <v>0</v>
      </c>
      <c r="L257" s="70">
        <f>L167*'DATA - P&amp;L'!$C$3</f>
        <v>0</v>
      </c>
      <c r="M257" s="70">
        <f>M167*'DATA - P&amp;L'!$C$3</f>
        <v>0</v>
      </c>
      <c r="N257" s="70">
        <f>N167*'DATA - P&amp;L'!$C$3</f>
        <v>0</v>
      </c>
      <c r="O257" s="70">
        <f>O167*'DATA - P&amp;L'!$C$3</f>
        <v>0</v>
      </c>
      <c r="P257" s="70">
        <f>P167*'DATA - P&amp;L'!$C$3</f>
        <v>0</v>
      </c>
      <c r="Q257" s="70">
        <f>Q167*'DATA - P&amp;L'!$C$3</f>
        <v>0</v>
      </c>
      <c r="R257" s="70">
        <f>R167*'DATA - P&amp;L'!$C$3</f>
        <v>0</v>
      </c>
      <c r="S257" s="70">
        <f>S167*'DATA - P&amp;L'!$C$3</f>
        <v>0</v>
      </c>
      <c r="T257" s="70">
        <f>T167*'DATA - P&amp;L'!$C$3</f>
        <v>0</v>
      </c>
      <c r="U257" s="70">
        <f>U167*'DATA - P&amp;L'!$C$3</f>
        <v>0</v>
      </c>
      <c r="V257" s="70">
        <f>V167*'DATA - P&amp;L'!$C$3</f>
        <v>0</v>
      </c>
      <c r="W257" s="70">
        <f>W167*'DATA - P&amp;L'!$C$3</f>
        <v>0</v>
      </c>
      <c r="X257" s="70">
        <f>X167*'DATA - P&amp;L'!$C$3</f>
        <v>0</v>
      </c>
      <c r="Y257" s="70">
        <f>Y167*'DATA - P&amp;L'!$C$3</f>
        <v>0</v>
      </c>
      <c r="Z257" s="70">
        <f>Z167*'DATA - P&amp;L'!$C$3</f>
        <v>0</v>
      </c>
      <c r="AA257" s="70">
        <f>AA167*'DATA - P&amp;L'!$C$3</f>
        <v>0</v>
      </c>
      <c r="AB257" s="70">
        <f>AB167*'DATA - P&amp;L'!$C$3</f>
        <v>0</v>
      </c>
      <c r="AC257" s="70">
        <f>AC167*'DATA - P&amp;L'!$C$3</f>
        <v>0</v>
      </c>
      <c r="AD257" s="70">
        <f>AD167*'DATA - P&amp;L'!$C$3</f>
        <v>0</v>
      </c>
      <c r="AE257" s="74">
        <f>AE167*'DATA - P&amp;L'!$C$3</f>
        <v>0</v>
      </c>
      <c r="AF257" s="65">
        <f t="shared" ref="AF257:AF268" si="71">SUM(B257:AE257)</f>
        <v>0</v>
      </c>
    </row>
    <row r="258">
      <c r="A258" s="116" t="s">
        <v>386</v>
      </c>
      <c r="B258" s="70">
        <f>B168*'DATA - P&amp;L'!$C$4</f>
        <v>0</v>
      </c>
      <c r="C258" s="70">
        <f>C168*'DATA - P&amp;L'!$C$4</f>
        <v>0</v>
      </c>
      <c r="D258" s="70">
        <f>D168*'DATA - P&amp;L'!$C$4</f>
        <v>0</v>
      </c>
      <c r="E258" s="70">
        <f>E168*'DATA - P&amp;L'!$C$4</f>
        <v>0</v>
      </c>
      <c r="F258" s="70">
        <f>F168*'DATA - P&amp;L'!$C$4</f>
        <v>0</v>
      </c>
      <c r="G258" s="70">
        <f>G168*'DATA - P&amp;L'!$C$4</f>
        <v>0</v>
      </c>
      <c r="H258" s="70">
        <f>H168*'DATA - P&amp;L'!$C$4</f>
        <v>0</v>
      </c>
      <c r="I258" s="70">
        <f>I168*'DATA - P&amp;L'!$C$4</f>
        <v>0</v>
      </c>
      <c r="J258" s="70">
        <f>J168*'DATA - P&amp;L'!$C$4</f>
        <v>0</v>
      </c>
      <c r="K258" s="70">
        <f>K168*'DATA - P&amp;L'!$C$4</f>
        <v>0</v>
      </c>
      <c r="L258" s="70">
        <f>L168*'DATA - P&amp;L'!$C$4</f>
        <v>0</v>
      </c>
      <c r="M258" s="70">
        <f>M168*'DATA - P&amp;L'!$C$4</f>
        <v>0</v>
      </c>
      <c r="N258" s="70">
        <f>N168*'DATA - P&amp;L'!$C$4</f>
        <v>0</v>
      </c>
      <c r="O258" s="70">
        <f>O168*'DATA - P&amp;L'!$C$4</f>
        <v>0</v>
      </c>
      <c r="P258" s="70">
        <f>P168*'DATA - P&amp;L'!$C$4</f>
        <v>0</v>
      </c>
      <c r="Q258" s="70">
        <f>Q168*'DATA - P&amp;L'!$C$4</f>
        <v>0</v>
      </c>
      <c r="R258" s="70">
        <f>R168*'DATA - P&amp;L'!$C$4</f>
        <v>0</v>
      </c>
      <c r="S258" s="70">
        <f>S168*'DATA - P&amp;L'!$C$4</f>
        <v>0</v>
      </c>
      <c r="T258" s="70">
        <f>T168*'DATA - P&amp;L'!$C$4</f>
        <v>0</v>
      </c>
      <c r="U258" s="70">
        <f>U168*'DATA - P&amp;L'!$C$4</f>
        <v>0</v>
      </c>
      <c r="V258" s="70">
        <f>V168*'DATA - P&amp;L'!$C$4</f>
        <v>0</v>
      </c>
      <c r="W258" s="70">
        <f>W168*'DATA - P&amp;L'!$C$4</f>
        <v>0</v>
      </c>
      <c r="X258" s="70">
        <f>X168*'DATA - P&amp;L'!$C$4</f>
        <v>0</v>
      </c>
      <c r="Y258" s="70">
        <f>Y168*'DATA - P&amp;L'!$C$4</f>
        <v>0</v>
      </c>
      <c r="Z258" s="70">
        <f>Z168*'DATA - P&amp;L'!$C$4</f>
        <v>0</v>
      </c>
      <c r="AA258" s="70">
        <f>AA168*'DATA - P&amp;L'!$C$4</f>
        <v>0</v>
      </c>
      <c r="AB258" s="70">
        <f>AB168*'DATA - P&amp;L'!$C$4</f>
        <v>0</v>
      </c>
      <c r="AC258" s="70">
        <f>AC168*'DATA - P&amp;L'!$C$4</f>
        <v>0</v>
      </c>
      <c r="AD258" s="70">
        <f>AD168*'DATA - P&amp;L'!$C$4</f>
        <v>0</v>
      </c>
      <c r="AE258" s="74">
        <f>AE168*'DATA - P&amp;L'!$C$4</f>
        <v>0</v>
      </c>
      <c r="AF258" s="65">
        <f t="shared" si="71"/>
        <v>0</v>
      </c>
    </row>
    <row r="259">
      <c r="A259" s="116" t="s">
        <v>388</v>
      </c>
      <c r="B259" s="70">
        <f>B170*'DATA - P&amp;L'!$C$6</f>
        <v>0</v>
      </c>
      <c r="C259" s="70">
        <f>C170*'DATA - P&amp;L'!$C$6</f>
        <v>0</v>
      </c>
      <c r="D259" s="70">
        <f>D170*'DATA - P&amp;L'!$C$6</f>
        <v>0</v>
      </c>
      <c r="E259" s="70">
        <f>E170*'DATA - P&amp;L'!$C$6</f>
        <v>0</v>
      </c>
      <c r="F259" s="70">
        <f>F170*'DATA - P&amp;L'!$C$6</f>
        <v>0</v>
      </c>
      <c r="G259" s="70">
        <f>G170*'DATA - P&amp;L'!$C$6</f>
        <v>0</v>
      </c>
      <c r="H259" s="70">
        <f>H170*'DATA - P&amp;L'!$C$6</f>
        <v>0</v>
      </c>
      <c r="I259" s="70">
        <f>I170*'DATA - P&amp;L'!$C$6</f>
        <v>0</v>
      </c>
      <c r="J259" s="70">
        <f>J170*'DATA - P&amp;L'!$C$6</f>
        <v>0</v>
      </c>
      <c r="K259" s="70">
        <f>K170*'DATA - P&amp;L'!$C$6</f>
        <v>0</v>
      </c>
      <c r="L259" s="70">
        <f>L170*'DATA - P&amp;L'!$C$6</f>
        <v>0</v>
      </c>
      <c r="M259" s="70">
        <f>M170*'DATA - P&amp;L'!$C$6</f>
        <v>0</v>
      </c>
      <c r="N259" s="70">
        <f>N170*'DATA - P&amp;L'!$C$6</f>
        <v>0</v>
      </c>
      <c r="O259" s="70">
        <f>O170*'DATA - P&amp;L'!$C$6</f>
        <v>0</v>
      </c>
      <c r="P259" s="70">
        <f>P170*'DATA - P&amp;L'!$C$6</f>
        <v>0</v>
      </c>
      <c r="Q259" s="70">
        <f>Q170*'DATA - P&amp;L'!$C$6</f>
        <v>0</v>
      </c>
      <c r="R259" s="70">
        <f>R170*'DATA - P&amp;L'!$C$6</f>
        <v>0</v>
      </c>
      <c r="S259" s="70">
        <f>S170*'DATA - P&amp;L'!$C$6</f>
        <v>0</v>
      </c>
      <c r="T259" s="70">
        <f>T170*'DATA - P&amp;L'!$C$6</f>
        <v>0</v>
      </c>
      <c r="U259" s="70">
        <f>U170*'DATA - P&amp;L'!$C$6</f>
        <v>0</v>
      </c>
      <c r="V259" s="70">
        <f>V170*'DATA - P&amp;L'!$C$6</f>
        <v>0</v>
      </c>
      <c r="W259" s="70">
        <f>W170*'DATA - P&amp;L'!$C$6</f>
        <v>0</v>
      </c>
      <c r="X259" s="70">
        <f>X170*'DATA - P&amp;L'!$C$6</f>
        <v>0</v>
      </c>
      <c r="Y259" s="70">
        <f>Y170*'DATA - P&amp;L'!$C$6</f>
        <v>0</v>
      </c>
      <c r="Z259" s="70">
        <f>Z170*'DATA - P&amp;L'!$C$6</f>
        <v>0</v>
      </c>
      <c r="AA259" s="70">
        <f>AA170*'DATA - P&amp;L'!$C$6</f>
        <v>0</v>
      </c>
      <c r="AB259" s="70">
        <f>AB170*'DATA - P&amp;L'!$C$6</f>
        <v>0</v>
      </c>
      <c r="AC259" s="70">
        <f>AC170*'DATA - P&amp;L'!$C$6</f>
        <v>0</v>
      </c>
      <c r="AD259" s="70">
        <f>AD170*'DATA - P&amp;L'!$C$6</f>
        <v>0</v>
      </c>
      <c r="AE259" s="74">
        <f>AE170*'DATA - P&amp;L'!$C$6</f>
        <v>0</v>
      </c>
      <c r="AF259" s="65">
        <f t="shared" si="71"/>
        <v>0</v>
      </c>
    </row>
    <row r="260">
      <c r="A260" s="116" t="s">
        <v>389</v>
      </c>
      <c r="B260" s="70">
        <f>B171*'DATA - P&amp;L'!$C$8</f>
        <v>0</v>
      </c>
      <c r="C260" s="70">
        <f>C171*'DATA - P&amp;L'!$C$8</f>
        <v>0</v>
      </c>
      <c r="D260" s="70">
        <f>D171*'DATA - P&amp;L'!$C$8</f>
        <v>0</v>
      </c>
      <c r="E260" s="70">
        <f>E171*'DATA - P&amp;L'!$C$8</f>
        <v>0</v>
      </c>
      <c r="F260" s="70">
        <f>F171*'DATA - P&amp;L'!$C$8</f>
        <v>0</v>
      </c>
      <c r="G260" s="70">
        <f>G171*'DATA - P&amp;L'!$C$8</f>
        <v>0</v>
      </c>
      <c r="H260" s="70">
        <f>H171*'DATA - P&amp;L'!$C$8</f>
        <v>0</v>
      </c>
      <c r="I260" s="70">
        <f>I171*'DATA - P&amp;L'!$C$8</f>
        <v>0</v>
      </c>
      <c r="J260" s="70">
        <f>J171*'DATA - P&amp;L'!$C$8</f>
        <v>0</v>
      </c>
      <c r="K260" s="70">
        <f>K171*'DATA - P&amp;L'!$C$8</f>
        <v>0</v>
      </c>
      <c r="L260" s="70">
        <f>L171*'DATA - P&amp;L'!$C$8</f>
        <v>0</v>
      </c>
      <c r="M260" s="70">
        <f>M171*'DATA - P&amp;L'!$C$8</f>
        <v>0</v>
      </c>
      <c r="N260" s="70">
        <f>N171*'DATA - P&amp;L'!$C$8</f>
        <v>0</v>
      </c>
      <c r="O260" s="70">
        <f>O171*'DATA - P&amp;L'!$C$8</f>
        <v>0</v>
      </c>
      <c r="P260" s="70">
        <f>P171*'DATA - P&amp;L'!$C$8</f>
        <v>0</v>
      </c>
      <c r="Q260" s="70">
        <f>Q171*'DATA - P&amp;L'!$C$8</f>
        <v>0</v>
      </c>
      <c r="R260" s="70">
        <f>R171*'DATA - P&amp;L'!$C$8</f>
        <v>0</v>
      </c>
      <c r="S260" s="70">
        <f>S171*'DATA - P&amp;L'!$C$8</f>
        <v>0</v>
      </c>
      <c r="T260" s="70">
        <f>T171*'DATA - P&amp;L'!$C$8</f>
        <v>0</v>
      </c>
      <c r="U260" s="70">
        <f>U171*'DATA - P&amp;L'!$C$8</f>
        <v>0</v>
      </c>
      <c r="V260" s="70">
        <f>V171*'DATA - P&amp;L'!$C$8</f>
        <v>0</v>
      </c>
      <c r="W260" s="70">
        <f>W171*'DATA - P&amp;L'!$C$8</f>
        <v>0</v>
      </c>
      <c r="X260" s="70">
        <f>X171*'DATA - P&amp;L'!$C$8</f>
        <v>0</v>
      </c>
      <c r="Y260" s="70">
        <f>Y171*'DATA - P&amp;L'!$C$8</f>
        <v>0</v>
      </c>
      <c r="Z260" s="70">
        <f>Z171*'DATA - P&amp;L'!$C$8</f>
        <v>0</v>
      </c>
      <c r="AA260" s="70">
        <f>AA171*'DATA - P&amp;L'!$C$8</f>
        <v>0</v>
      </c>
      <c r="AB260" s="70">
        <f>AB171*'DATA - P&amp;L'!$C$8</f>
        <v>0</v>
      </c>
      <c r="AC260" s="70">
        <f>AC171*'DATA - P&amp;L'!$C$8</f>
        <v>0</v>
      </c>
      <c r="AD260" s="70">
        <f>AD171*'DATA - P&amp;L'!$C$8</f>
        <v>0</v>
      </c>
      <c r="AE260" s="74">
        <f>AE171*'DATA - P&amp;L'!$C$8</f>
        <v>0</v>
      </c>
      <c r="AF260" s="65">
        <f t="shared" si="71"/>
        <v>0</v>
      </c>
    </row>
    <row r="261">
      <c r="A261" s="116" t="s">
        <v>393</v>
      </c>
      <c r="B261" s="70">
        <f>(B172+B173)*'DATA - P&amp;L'!$C$9</f>
        <v>0</v>
      </c>
      <c r="C261" s="70">
        <f>(C172+C173)*'DATA - P&amp;L'!$C$9</f>
        <v>0</v>
      </c>
      <c r="D261" s="70">
        <f>(D172+D173)*'DATA - P&amp;L'!$C$9</f>
        <v>0</v>
      </c>
      <c r="E261" s="70">
        <f>(E172+E173)*'DATA - P&amp;L'!$C$9</f>
        <v>0</v>
      </c>
      <c r="F261" s="70">
        <f>(F172+F173)*'DATA - P&amp;L'!$C$9</f>
        <v>0</v>
      </c>
      <c r="G261" s="70">
        <f>(G172+G173)*'DATA - P&amp;L'!$C$9</f>
        <v>0</v>
      </c>
      <c r="H261" s="70">
        <f>(H172+H173)*'DATA - P&amp;L'!$C$9</f>
        <v>0</v>
      </c>
      <c r="I261" s="70">
        <f>(I172+I173)*'DATA - P&amp;L'!$C$9</f>
        <v>0</v>
      </c>
      <c r="J261" s="70">
        <f>(J172+J173)*'DATA - P&amp;L'!$C$9</f>
        <v>0</v>
      </c>
      <c r="K261" s="70">
        <f>(K172+K173)*'DATA - P&amp;L'!$C$9</f>
        <v>0</v>
      </c>
      <c r="L261" s="70">
        <f>(L172+L173)*'DATA - P&amp;L'!$C$9</f>
        <v>0</v>
      </c>
      <c r="M261" s="70">
        <f>(M172+M173)*'DATA - P&amp;L'!$C$9</f>
        <v>0</v>
      </c>
      <c r="N261" s="70">
        <f>(N172+N173)*'DATA - P&amp;L'!$C$9</f>
        <v>0</v>
      </c>
      <c r="O261" s="70">
        <f>(O172+O173)*'DATA - P&amp;L'!$C$9</f>
        <v>0</v>
      </c>
      <c r="P261" s="70">
        <f>(P172+P173)*'DATA - P&amp;L'!$C$9</f>
        <v>0</v>
      </c>
      <c r="Q261" s="70">
        <f>(Q172+Q173)*'DATA - P&amp;L'!$C$9</f>
        <v>0</v>
      </c>
      <c r="R261" s="70">
        <f>(R172+R173)*'DATA - P&amp;L'!$C$9</f>
        <v>0</v>
      </c>
      <c r="S261" s="70">
        <f>(S172+S173)*'DATA - P&amp;L'!$C$9</f>
        <v>0</v>
      </c>
      <c r="T261" s="70">
        <f>(T172+T173)*'DATA - P&amp;L'!$C$9</f>
        <v>0</v>
      </c>
      <c r="U261" s="70">
        <f>(U172+U173)*'DATA - P&amp;L'!$C$9</f>
        <v>0</v>
      </c>
      <c r="V261" s="70">
        <f>(V172+V173)*'DATA - P&amp;L'!$C$9</f>
        <v>0</v>
      </c>
      <c r="W261" s="70">
        <f>(W172+W173)*'DATA - P&amp;L'!$C$9</f>
        <v>0</v>
      </c>
      <c r="X261" s="70">
        <f>(X172+X173)*'DATA - P&amp;L'!$C$9</f>
        <v>0</v>
      </c>
      <c r="Y261" s="70">
        <f>(Y172+Y173)*'DATA - P&amp;L'!$C$9</f>
        <v>0</v>
      </c>
      <c r="Z261" s="70">
        <f>(Z172+Z173)*'DATA - P&amp;L'!$C$9</f>
        <v>0</v>
      </c>
      <c r="AA261" s="70">
        <f>(AA172+AA173)*'DATA - P&amp;L'!$C$9</f>
        <v>0</v>
      </c>
      <c r="AB261" s="70">
        <f>(AB172+AB173)*'DATA - P&amp;L'!$C$9</f>
        <v>0</v>
      </c>
      <c r="AC261" s="70">
        <f>(AC172+AC173)*'DATA - P&amp;L'!$C$9</f>
        <v>0</v>
      </c>
      <c r="AD261" s="70">
        <f>(AD172+AD173)*'DATA - P&amp;L'!$C$9</f>
        <v>0</v>
      </c>
      <c r="AE261" s="74">
        <f>(AE172+AE173)*'DATA - P&amp;L'!$C$9</f>
        <v>0</v>
      </c>
      <c r="AF261" s="65">
        <f t="shared" si="71"/>
        <v>0</v>
      </c>
    </row>
    <row r="262">
      <c r="A262" s="116" t="s">
        <v>396</v>
      </c>
      <c r="B262" s="70">
        <f>(B174+B175)*'DATA - P&amp;L'!$C$5</f>
        <v>0</v>
      </c>
      <c r="C262" s="70">
        <f>(C174+C175)*'DATA - P&amp;L'!$C$5</f>
        <v>0</v>
      </c>
      <c r="D262" s="70">
        <f>(D174+D175)*'DATA - P&amp;L'!$C$5</f>
        <v>0</v>
      </c>
      <c r="E262" s="70">
        <f>(E174+E175)*'DATA - P&amp;L'!$C$5</f>
        <v>0</v>
      </c>
      <c r="F262" s="70">
        <f>(F174+F175)*'DATA - P&amp;L'!$C$5</f>
        <v>0</v>
      </c>
      <c r="G262" s="70">
        <f>(G174+G175)*'DATA - P&amp;L'!$C$5</f>
        <v>0</v>
      </c>
      <c r="H262" s="70">
        <f>(H174+H175)*'DATA - P&amp;L'!$C$5</f>
        <v>0</v>
      </c>
      <c r="I262" s="70">
        <f>(I174+I175)*'DATA - P&amp;L'!$C$5</f>
        <v>0</v>
      </c>
      <c r="J262" s="70">
        <f>(J174+J175)*'DATA - P&amp;L'!$C$5</f>
        <v>0</v>
      </c>
      <c r="K262" s="70">
        <f>(K174+K175)*'DATA - P&amp;L'!$C$5</f>
        <v>0</v>
      </c>
      <c r="L262" s="70">
        <f>(L174+L175)*'DATA - P&amp;L'!$C$5</f>
        <v>0</v>
      </c>
      <c r="M262" s="70">
        <f>(M174+M175)*'DATA - P&amp;L'!$C$5</f>
        <v>0</v>
      </c>
      <c r="N262" s="70">
        <f>(N174+N175)*'DATA - P&amp;L'!$C$5</f>
        <v>0</v>
      </c>
      <c r="O262" s="70">
        <f>(O174+O175)*'DATA - P&amp;L'!$C$5</f>
        <v>0</v>
      </c>
      <c r="P262" s="70">
        <f>(P174+P175)*'DATA - P&amp;L'!$C$5</f>
        <v>0</v>
      </c>
      <c r="Q262" s="70">
        <f>(Q174+Q175)*'DATA - P&amp;L'!$C$5</f>
        <v>0</v>
      </c>
      <c r="R262" s="70">
        <f>(R174+R175)*'DATA - P&amp;L'!$C$5</f>
        <v>0</v>
      </c>
      <c r="S262" s="70">
        <f>(S174+S175)*'DATA - P&amp;L'!$C$5</f>
        <v>0</v>
      </c>
      <c r="T262" s="70">
        <f>(T174+T175)*'DATA - P&amp;L'!$C$5</f>
        <v>0</v>
      </c>
      <c r="U262" s="70">
        <f>(U174+U175)*'DATA - P&amp;L'!$C$5</f>
        <v>0</v>
      </c>
      <c r="V262" s="70">
        <f>(V174+V175)*'DATA - P&amp;L'!$C$5</f>
        <v>0</v>
      </c>
      <c r="W262" s="70">
        <f>(W174+W175)*'DATA - P&amp;L'!$C$5</f>
        <v>0</v>
      </c>
      <c r="X262" s="70">
        <f>(X174+X175)*'DATA - P&amp;L'!$C$5</f>
        <v>0</v>
      </c>
      <c r="Y262" s="70">
        <f>(Y174+Y175)*'DATA - P&amp;L'!$C$5</f>
        <v>0</v>
      </c>
      <c r="Z262" s="70">
        <f>(Z174+Z175)*'DATA - P&amp;L'!$C$5</f>
        <v>0</v>
      </c>
      <c r="AA262" s="70">
        <f>(AA174+AA175)*'DATA - P&amp;L'!$C$5</f>
        <v>0</v>
      </c>
      <c r="AB262" s="70">
        <f>(AB174+AB175)*'DATA - P&amp;L'!$C$5</f>
        <v>0</v>
      </c>
      <c r="AC262" s="70">
        <f>(AC174+AC175)*'DATA - P&amp;L'!$C$5</f>
        <v>0</v>
      </c>
      <c r="AD262" s="70">
        <f>(AD174+AD175)*'DATA - P&amp;L'!$C$5</f>
        <v>0</v>
      </c>
      <c r="AE262" s="74">
        <f>(AE174+AE175)*'DATA - P&amp;L'!$C$5</f>
        <v>0</v>
      </c>
      <c r="AF262" s="65">
        <f t="shared" si="71"/>
        <v>0</v>
      </c>
    </row>
    <row r="263">
      <c r="A263" s="116" t="s">
        <v>398</v>
      </c>
      <c r="B263" s="70">
        <f>(B176+B177)*'DATA - P&amp;L'!$C$10</f>
        <v>0</v>
      </c>
      <c r="C263" s="70">
        <f>(C176+C177)*'DATA - P&amp;L'!$C$10</f>
        <v>0</v>
      </c>
      <c r="D263" s="70">
        <f>(D176+D177)*'DATA - P&amp;L'!$C$10</f>
        <v>0</v>
      </c>
      <c r="E263" s="70">
        <f>(E176+E177)*'DATA - P&amp;L'!$C$10</f>
        <v>0</v>
      </c>
      <c r="F263" s="70">
        <f>(F176+F177)*'DATA - P&amp;L'!$C$10</f>
        <v>0</v>
      </c>
      <c r="G263" s="70">
        <f>(G176+G177)*'DATA - P&amp;L'!$C$10</f>
        <v>0</v>
      </c>
      <c r="H263" s="70">
        <f>(H176+H177)*'DATA - P&amp;L'!$C$10</f>
        <v>0</v>
      </c>
      <c r="I263" s="70">
        <f>(I176+I177)*'DATA - P&amp;L'!$C$10</f>
        <v>0</v>
      </c>
      <c r="J263" s="70">
        <f>(J176+J177)*'DATA - P&amp;L'!$C$10</f>
        <v>0</v>
      </c>
      <c r="K263" s="70">
        <f>(K176+K177)*'DATA - P&amp;L'!$C$10</f>
        <v>0</v>
      </c>
      <c r="L263" s="70">
        <f>(L176+L177)*'DATA - P&amp;L'!$C$10</f>
        <v>0</v>
      </c>
      <c r="M263" s="70">
        <f>(M176+M177)*'DATA - P&amp;L'!$C$10</f>
        <v>0</v>
      </c>
      <c r="N263" s="70">
        <f>(N176+N177)*'DATA - P&amp;L'!$C$10</f>
        <v>0</v>
      </c>
      <c r="O263" s="70">
        <f>(O176+O177)*'DATA - P&amp;L'!$C$10</f>
        <v>0</v>
      </c>
      <c r="P263" s="70">
        <f>(P176+P177)*'DATA - P&amp;L'!$C$10</f>
        <v>0</v>
      </c>
      <c r="Q263" s="70">
        <f>(Q176+Q177)*'DATA - P&amp;L'!$C$10</f>
        <v>0</v>
      </c>
      <c r="R263" s="70">
        <f>(R176+R177)*'DATA - P&amp;L'!$C$10</f>
        <v>0</v>
      </c>
      <c r="S263" s="70">
        <f>(S176+S177)*'DATA - P&amp;L'!$C$10</f>
        <v>0</v>
      </c>
      <c r="T263" s="70">
        <f>(T176+T177)*'DATA - P&amp;L'!$C$10</f>
        <v>0</v>
      </c>
      <c r="U263" s="70">
        <f>(U176+U177)*'DATA - P&amp;L'!$C$10</f>
        <v>0</v>
      </c>
      <c r="V263" s="70">
        <f>(V176+V177)*'DATA - P&amp;L'!$C$10</f>
        <v>0</v>
      </c>
      <c r="W263" s="70">
        <f>(W176+W177)*'DATA - P&amp;L'!$C$10</f>
        <v>0</v>
      </c>
      <c r="X263" s="70">
        <f>(X176+X177)*'DATA - P&amp;L'!$C$10</f>
        <v>0</v>
      </c>
      <c r="Y263" s="70">
        <f>(Y176+Y177)*'DATA - P&amp;L'!$C$10</f>
        <v>0</v>
      </c>
      <c r="Z263" s="70">
        <f>(Z176+Z177)*'DATA - P&amp;L'!$C$10</f>
        <v>0</v>
      </c>
      <c r="AA263" s="70">
        <f>(AA176+AA177)*'DATA - P&amp;L'!$C$10</f>
        <v>0</v>
      </c>
      <c r="AB263" s="70">
        <f>(AB176+AB177)*'DATA - P&amp;L'!$C$10</f>
        <v>0</v>
      </c>
      <c r="AC263" s="70">
        <f>(AC176+AC177)*'DATA - P&amp;L'!$C$10</f>
        <v>0</v>
      </c>
      <c r="AD263" s="70">
        <f>(AD176+AD177)*'DATA - P&amp;L'!$C$10</f>
        <v>0</v>
      </c>
      <c r="AE263" s="74">
        <f>(AE176+AE177)*'DATA - P&amp;L'!$C$10</f>
        <v>0</v>
      </c>
      <c r="AF263" s="65">
        <f t="shared" si="71"/>
        <v>0</v>
      </c>
    </row>
    <row r="264">
      <c r="A264" s="116" t="s">
        <v>400</v>
      </c>
      <c r="B264" s="70">
        <f>(B167+B168)*'DATA - P&amp;L'!$C$43*'DATA - P&amp;L'!$C$55</f>
        <v>0</v>
      </c>
      <c r="C264" s="70">
        <f>(C167+C168)*'DATA - P&amp;L'!$C$43*'DATA - P&amp;L'!$C$55</f>
        <v>0</v>
      </c>
      <c r="D264" s="70">
        <f>(D167+D168)*'DATA - P&amp;L'!$C$43*'DATA - P&amp;L'!$C$55</f>
        <v>0</v>
      </c>
      <c r="E264" s="70">
        <f>(E167+E168)*'DATA - P&amp;L'!$C$43*'DATA - P&amp;L'!$C$55</f>
        <v>0</v>
      </c>
      <c r="F264" s="70">
        <f>(F167+F168)*'DATA - P&amp;L'!$C$43*'DATA - P&amp;L'!$C$55</f>
        <v>0</v>
      </c>
      <c r="G264" s="70">
        <f>(G167+G168)*'DATA - P&amp;L'!$C$43*'DATA - P&amp;L'!$C$55</f>
        <v>0</v>
      </c>
      <c r="H264" s="70">
        <f>(H167+H168)*'DATA - P&amp;L'!$C$43*'DATA - P&amp;L'!$C$55</f>
        <v>0</v>
      </c>
      <c r="I264" s="70">
        <f>(I167+I168)*'DATA - P&amp;L'!$C$43*'DATA - P&amp;L'!$C$55</f>
        <v>0</v>
      </c>
      <c r="J264" s="70">
        <f>(J167+J168)*'DATA - P&amp;L'!$C$43*'DATA - P&amp;L'!$C$55</f>
        <v>0</v>
      </c>
      <c r="K264" s="70">
        <f>(K167+K168)*'DATA - P&amp;L'!$C$43*'DATA - P&amp;L'!$C$55</f>
        <v>0</v>
      </c>
      <c r="L264" s="70">
        <f>(L167+L168)*'DATA - P&amp;L'!$C$43*'DATA - P&amp;L'!$C$55</f>
        <v>0</v>
      </c>
      <c r="M264" s="70">
        <f>(M167+M168)*'DATA - P&amp;L'!$C$43*'DATA - P&amp;L'!$C$55</f>
        <v>0</v>
      </c>
      <c r="N264" s="70">
        <f>(N167+N168)*'DATA - P&amp;L'!$C$43*'DATA - P&amp;L'!$C$55</f>
        <v>0</v>
      </c>
      <c r="O264" s="70">
        <f>(O167+O168)*'DATA - P&amp;L'!$C$43*'DATA - P&amp;L'!$C$55</f>
        <v>0</v>
      </c>
      <c r="P264" s="70">
        <f>(P167+P168)*'DATA - P&amp;L'!$C$43*'DATA - P&amp;L'!$C$55</f>
        <v>0</v>
      </c>
      <c r="Q264" s="70">
        <f>(Q167+Q168)*'DATA - P&amp;L'!$C$43*'DATA - P&amp;L'!$C$55</f>
        <v>0</v>
      </c>
      <c r="R264" s="70">
        <f>(R167+R168)*'DATA - P&amp;L'!$C$43*'DATA - P&amp;L'!$C$55</f>
        <v>0</v>
      </c>
      <c r="S264" s="70">
        <f>(S167+S168)*'DATA - P&amp;L'!$C$43*'DATA - P&amp;L'!$C$55</f>
        <v>0</v>
      </c>
      <c r="T264" s="70">
        <f>(T167+T168)*'DATA - P&amp;L'!$C$43*'DATA - P&amp;L'!$C$55</f>
        <v>0</v>
      </c>
      <c r="U264" s="70">
        <f>(U167+U168)*'DATA - P&amp;L'!$C$43*'DATA - P&amp;L'!$C$55</f>
        <v>0</v>
      </c>
      <c r="V264" s="70">
        <f>(V167+V168)*'DATA - P&amp;L'!$C$43*'DATA - P&amp;L'!$C$55</f>
        <v>0</v>
      </c>
      <c r="W264" s="70">
        <f>(W167+W168)*'DATA - P&amp;L'!$C$43*'DATA - P&amp;L'!$C$55</f>
        <v>0</v>
      </c>
      <c r="X264" s="70">
        <f>(X167+X168)*'DATA - P&amp;L'!$C$43*'DATA - P&amp;L'!$C$55</f>
        <v>0</v>
      </c>
      <c r="Y264" s="70">
        <f>(Y167+Y168)*'DATA - P&amp;L'!$C$43*'DATA - P&amp;L'!$C$55</f>
        <v>0</v>
      </c>
      <c r="Z264" s="70">
        <f>(Z167+Z168)*'DATA - P&amp;L'!$C$43*'DATA - P&amp;L'!$C$55</f>
        <v>0</v>
      </c>
      <c r="AA264" s="70">
        <f>(AA167+AA168)*'DATA - P&amp;L'!$C$43*'DATA - P&amp;L'!$C$55</f>
        <v>0</v>
      </c>
      <c r="AB264" s="70">
        <f>(AB167+AB168)*'DATA - P&amp;L'!$C$43*'DATA - P&amp;L'!$C$55</f>
        <v>0</v>
      </c>
      <c r="AC264" s="70">
        <f>(AC167+AC168)*'DATA - P&amp;L'!$C$43*'DATA - P&amp;L'!$C$55</f>
        <v>0</v>
      </c>
      <c r="AD264" s="70">
        <f>(AD167+AD168)*'DATA - P&amp;L'!$C$43*'DATA - P&amp;L'!$C$55</f>
        <v>0</v>
      </c>
      <c r="AE264" s="74">
        <f>(AE167+AE168)*'DATA - P&amp;L'!$C$43*'DATA - P&amp;L'!$C$55</f>
        <v>0</v>
      </c>
      <c r="AF264" s="65">
        <f t="shared" si="71"/>
        <v>0</v>
      </c>
    </row>
    <row r="265">
      <c r="A265" s="116" t="s">
        <v>465</v>
      </c>
      <c r="B265" s="70">
        <f>B178*'DATA - P&amp;L'!$C$43*'DATA - P&amp;L'!$C$55</f>
        <v>0</v>
      </c>
      <c r="C265" s="70">
        <f>C178*'DATA - P&amp;L'!$C$43*'DATA - P&amp;L'!$C$55</f>
        <v>0</v>
      </c>
      <c r="D265" s="70">
        <f>D178*'DATA - P&amp;L'!$C$43*'DATA - P&amp;L'!$C$55</f>
        <v>0</v>
      </c>
      <c r="E265" s="70">
        <f>E178*'DATA - P&amp;L'!$C$43*'DATA - P&amp;L'!$C$55</f>
        <v>0</v>
      </c>
      <c r="F265" s="70">
        <f>F178*'DATA - P&amp;L'!$C$43*'DATA - P&amp;L'!$C$55</f>
        <v>0</v>
      </c>
      <c r="G265" s="70">
        <f>G178*'DATA - P&amp;L'!$C$43*'DATA - P&amp;L'!$C$55</f>
        <v>0</v>
      </c>
      <c r="H265" s="70">
        <f>H178*'DATA - P&amp;L'!$C$43*'DATA - P&amp;L'!$C$55</f>
        <v>0</v>
      </c>
      <c r="I265" s="70">
        <f>I178*'DATA - P&amp;L'!$C$43*'DATA - P&amp;L'!$C$55</f>
        <v>0</v>
      </c>
      <c r="J265" s="70">
        <f>J178*'DATA - P&amp;L'!$C$43*'DATA - P&amp;L'!$C$55</f>
        <v>0</v>
      </c>
      <c r="K265" s="70">
        <f>K178*'DATA - P&amp;L'!$C$43*'DATA - P&amp;L'!$C$55</f>
        <v>0</v>
      </c>
      <c r="L265" s="70">
        <f>L178*'DATA - P&amp;L'!$C$43*'DATA - P&amp;L'!$C$55</f>
        <v>0</v>
      </c>
      <c r="M265" s="70">
        <f>M178*'DATA - P&amp;L'!$C$43*'DATA - P&amp;L'!$C$55</f>
        <v>0</v>
      </c>
      <c r="N265" s="70">
        <f>N178*'DATA - P&amp;L'!$C$43*'DATA - P&amp;L'!$C$55</f>
        <v>0</v>
      </c>
      <c r="O265" s="70">
        <f>O178*'DATA - P&amp;L'!$C$43*'DATA - P&amp;L'!$C$55</f>
        <v>0</v>
      </c>
      <c r="P265" s="70">
        <f>P178*'DATA - P&amp;L'!$C$43*'DATA - P&amp;L'!$C$55</f>
        <v>0</v>
      </c>
      <c r="Q265" s="70">
        <f>Q178*'DATA - P&amp;L'!$C$43*'DATA - P&amp;L'!$C$55</f>
        <v>0</v>
      </c>
      <c r="R265" s="70">
        <f>R178*'DATA - P&amp;L'!$C$43*'DATA - P&amp;L'!$C$55</f>
        <v>0</v>
      </c>
      <c r="S265" s="70">
        <f>S178*'DATA - P&amp;L'!$C$43*'DATA - P&amp;L'!$C$55</f>
        <v>0</v>
      </c>
      <c r="T265" s="70">
        <f>T178*'DATA - P&amp;L'!$C$43*'DATA - P&amp;L'!$C$55</f>
        <v>0</v>
      </c>
      <c r="U265" s="70">
        <f>U178*'DATA - P&amp;L'!$C$43*'DATA - P&amp;L'!$C$55</f>
        <v>0</v>
      </c>
      <c r="V265" s="70">
        <f>V178*'DATA - P&amp;L'!$C$43*'DATA - P&amp;L'!$C$55</f>
        <v>0</v>
      </c>
      <c r="W265" s="70">
        <f>W178*'DATA - P&amp;L'!$C$43*'DATA - P&amp;L'!$C$55</f>
        <v>0</v>
      </c>
      <c r="X265" s="70">
        <f>X178*'DATA - P&amp;L'!$C$43*'DATA - P&amp;L'!$C$55</f>
        <v>0</v>
      </c>
      <c r="Y265" s="70">
        <f>Y178*'DATA - P&amp;L'!$C$43*'DATA - P&amp;L'!$C$55</f>
        <v>0</v>
      </c>
      <c r="Z265" s="70">
        <f>Z178*'DATA - P&amp;L'!$C$43*'DATA - P&amp;L'!$C$55</f>
        <v>0</v>
      </c>
      <c r="AA265" s="70">
        <f>AA178*'DATA - P&amp;L'!$C$43*'DATA - P&amp;L'!$C$55</f>
        <v>0</v>
      </c>
      <c r="AB265" s="70">
        <f>AB178*'DATA - P&amp;L'!$C$43*'DATA - P&amp;L'!$C$55</f>
        <v>0</v>
      </c>
      <c r="AC265" s="70">
        <f>AC178*'DATA - P&amp;L'!$C$43*'DATA - P&amp;L'!$C$55</f>
        <v>0</v>
      </c>
      <c r="AD265" s="70">
        <f>AD178*'DATA - P&amp;L'!$C$43*'DATA - P&amp;L'!$C$55</f>
        <v>0</v>
      </c>
      <c r="AE265" s="74">
        <f>AE178*'DATA - P&amp;L'!$C$43*'DATA - P&amp;L'!$C$55</f>
        <v>0</v>
      </c>
      <c r="AF265" s="65">
        <f t="shared" si="71"/>
        <v>0</v>
      </c>
    </row>
    <row r="266">
      <c r="A266" s="575" t="s">
        <v>369</v>
      </c>
      <c r="B266" s="70">
        <v>0.0</v>
      </c>
      <c r="C266" s="70">
        <v>0.0</v>
      </c>
      <c r="D266" s="70">
        <v>0.0</v>
      </c>
      <c r="E266" s="70">
        <v>0.0</v>
      </c>
      <c r="F266" s="70">
        <v>0.0</v>
      </c>
      <c r="G266" s="70">
        <v>0.0</v>
      </c>
      <c r="H266" s="70">
        <v>0.0</v>
      </c>
      <c r="I266" s="70">
        <v>0.0</v>
      </c>
      <c r="J266" s="70">
        <v>0.0</v>
      </c>
      <c r="K266" s="70">
        <v>0.0</v>
      </c>
      <c r="L266" s="70">
        <v>0.0</v>
      </c>
      <c r="M266" s="70">
        <v>0.0</v>
      </c>
      <c r="N266" s="70">
        <v>0.0</v>
      </c>
      <c r="O266" s="70">
        <v>0.0</v>
      </c>
      <c r="P266" s="70">
        <v>0.0</v>
      </c>
      <c r="Q266" s="70">
        <v>0.0</v>
      </c>
      <c r="R266" s="70">
        <v>0.0</v>
      </c>
      <c r="S266" s="70">
        <v>0.0</v>
      </c>
      <c r="T266" s="70">
        <v>0.0</v>
      </c>
      <c r="U266" s="70">
        <v>0.0</v>
      </c>
      <c r="V266" s="70">
        <v>0.0</v>
      </c>
      <c r="W266" s="70">
        <v>0.0</v>
      </c>
      <c r="X266" s="70">
        <v>0.0</v>
      </c>
      <c r="Y266" s="70">
        <v>0.0</v>
      </c>
      <c r="Z266" s="70">
        <v>0.0</v>
      </c>
      <c r="AA266" s="70">
        <v>0.0</v>
      </c>
      <c r="AB266" s="70">
        <v>0.0</v>
      </c>
      <c r="AC266" s="70">
        <v>0.0</v>
      </c>
      <c r="AD266" s="70">
        <v>0.0</v>
      </c>
      <c r="AE266" s="74">
        <v>0.0</v>
      </c>
      <c r="AF266" s="65">
        <f t="shared" si="71"/>
        <v>0</v>
      </c>
    </row>
    <row r="267">
      <c r="A267" s="575" t="s">
        <v>562</v>
      </c>
      <c r="B267" s="70">
        <f t="shared" ref="B267:AE267" si="72">B188*15</f>
        <v>0</v>
      </c>
      <c r="C267" s="70">
        <f t="shared" si="72"/>
        <v>0</v>
      </c>
      <c r="D267" s="70">
        <f t="shared" si="72"/>
        <v>0</v>
      </c>
      <c r="E267" s="70">
        <f t="shared" si="72"/>
        <v>0</v>
      </c>
      <c r="F267" s="70">
        <f t="shared" si="72"/>
        <v>0</v>
      </c>
      <c r="G267" s="70">
        <f t="shared" si="72"/>
        <v>0</v>
      </c>
      <c r="H267" s="70">
        <f t="shared" si="72"/>
        <v>0</v>
      </c>
      <c r="I267" s="70">
        <f t="shared" si="72"/>
        <v>0</v>
      </c>
      <c r="J267" s="70">
        <f t="shared" si="72"/>
        <v>0</v>
      </c>
      <c r="K267" s="70">
        <f t="shared" si="72"/>
        <v>0</v>
      </c>
      <c r="L267" s="70">
        <f t="shared" si="72"/>
        <v>0</v>
      </c>
      <c r="M267" s="70">
        <f t="shared" si="72"/>
        <v>0</v>
      </c>
      <c r="N267" s="70">
        <f t="shared" si="72"/>
        <v>0</v>
      </c>
      <c r="O267" s="70">
        <f t="shared" si="72"/>
        <v>0</v>
      </c>
      <c r="P267" s="70">
        <f t="shared" si="72"/>
        <v>0</v>
      </c>
      <c r="Q267" s="70">
        <f t="shared" si="72"/>
        <v>0</v>
      </c>
      <c r="R267" s="70">
        <f t="shared" si="72"/>
        <v>0</v>
      </c>
      <c r="S267" s="70">
        <f t="shared" si="72"/>
        <v>0</v>
      </c>
      <c r="T267" s="70">
        <f t="shared" si="72"/>
        <v>0</v>
      </c>
      <c r="U267" s="70">
        <f t="shared" si="72"/>
        <v>0</v>
      </c>
      <c r="V267" s="70">
        <f t="shared" si="72"/>
        <v>0</v>
      </c>
      <c r="W267" s="70">
        <f t="shared" si="72"/>
        <v>0</v>
      </c>
      <c r="X267" s="70">
        <f t="shared" si="72"/>
        <v>0</v>
      </c>
      <c r="Y267" s="70">
        <f t="shared" si="72"/>
        <v>0</v>
      </c>
      <c r="Z267" s="70">
        <f t="shared" si="72"/>
        <v>0</v>
      </c>
      <c r="AA267" s="70">
        <f t="shared" si="72"/>
        <v>0</v>
      </c>
      <c r="AB267" s="70">
        <f t="shared" si="72"/>
        <v>0</v>
      </c>
      <c r="AC267" s="70">
        <f t="shared" si="72"/>
        <v>0</v>
      </c>
      <c r="AD267" s="70">
        <f t="shared" si="72"/>
        <v>0</v>
      </c>
      <c r="AE267" s="74">
        <f t="shared" si="72"/>
        <v>0</v>
      </c>
      <c r="AF267" s="65">
        <f t="shared" si="71"/>
        <v>0</v>
      </c>
    </row>
    <row r="268">
      <c r="A268" s="575" t="s">
        <v>564</v>
      </c>
      <c r="B268" s="456">
        <v>0.0</v>
      </c>
      <c r="C268" s="456">
        <v>0.0</v>
      </c>
      <c r="D268" s="456">
        <v>0.0</v>
      </c>
      <c r="E268" s="456">
        <v>0.0</v>
      </c>
      <c r="F268" s="456">
        <v>0.0</v>
      </c>
      <c r="G268" s="456">
        <v>0.0</v>
      </c>
      <c r="H268" s="456">
        <v>0.0</v>
      </c>
      <c r="I268" s="456">
        <v>0.0</v>
      </c>
      <c r="J268" s="456">
        <v>0.0</v>
      </c>
      <c r="K268" s="456">
        <v>0.0</v>
      </c>
      <c r="L268" s="456">
        <v>0.0</v>
      </c>
      <c r="M268" s="456">
        <v>0.0</v>
      </c>
      <c r="N268" s="456">
        <v>0.0</v>
      </c>
      <c r="O268" s="456">
        <v>0.0</v>
      </c>
      <c r="P268" s="624"/>
      <c r="Q268" s="624"/>
      <c r="R268" s="624"/>
      <c r="S268" s="624"/>
      <c r="T268" s="624"/>
      <c r="U268" s="624"/>
      <c r="V268" s="624"/>
      <c r="W268" s="624"/>
      <c r="X268" s="624"/>
      <c r="Y268" s="624"/>
      <c r="Z268" s="624"/>
      <c r="AA268" s="624"/>
      <c r="AB268" s="624"/>
      <c r="AC268" s="624"/>
      <c r="AD268" s="624"/>
      <c r="AE268" s="625"/>
      <c r="AF268" s="65">
        <f t="shared" si="71"/>
        <v>0</v>
      </c>
    </row>
    <row r="269">
      <c r="A269" s="24"/>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24"/>
      <c r="AF269" s="77"/>
    </row>
    <row r="270">
      <c r="A270" s="592" t="s">
        <v>566</v>
      </c>
      <c r="B270" s="70">
        <f t="shared" ref="B270:AE270" si="73">B232+B244+B266+B267+B268</f>
        <v>484.3</v>
      </c>
      <c r="C270" s="70">
        <f t="shared" si="73"/>
        <v>750.55</v>
      </c>
      <c r="D270" s="70">
        <f t="shared" si="73"/>
        <v>279</v>
      </c>
      <c r="E270" s="70">
        <f t="shared" si="73"/>
        <v>279</v>
      </c>
      <c r="F270" s="70">
        <f t="shared" si="73"/>
        <v>0</v>
      </c>
      <c r="G270" s="70">
        <f t="shared" si="73"/>
        <v>737.8</v>
      </c>
      <c r="H270" s="70">
        <f t="shared" si="73"/>
        <v>471.55</v>
      </c>
      <c r="I270" s="70">
        <f t="shared" si="73"/>
        <v>229.4</v>
      </c>
      <c r="J270" s="70">
        <f t="shared" si="73"/>
        <v>737.8</v>
      </c>
      <c r="K270" s="70">
        <f t="shared" si="73"/>
        <v>229.4</v>
      </c>
      <c r="L270" s="70">
        <f t="shared" si="73"/>
        <v>229.4</v>
      </c>
      <c r="M270" s="70">
        <f t="shared" si="73"/>
        <v>837</v>
      </c>
      <c r="N270" s="70">
        <f t="shared" si="73"/>
        <v>229.4</v>
      </c>
      <c r="O270" s="70">
        <f t="shared" si="73"/>
        <v>508.4</v>
      </c>
      <c r="P270" s="70">
        <f t="shared" si="73"/>
        <v>521.15</v>
      </c>
      <c r="Q270" s="70">
        <f t="shared" si="73"/>
        <v>521.15</v>
      </c>
      <c r="R270" s="70">
        <f t="shared" si="73"/>
        <v>242.15</v>
      </c>
      <c r="S270" s="70">
        <f t="shared" si="73"/>
        <v>279</v>
      </c>
      <c r="T270" s="70">
        <f t="shared" si="73"/>
        <v>837</v>
      </c>
      <c r="U270" s="70">
        <f t="shared" si="73"/>
        <v>763.3</v>
      </c>
      <c r="V270" s="70">
        <f t="shared" si="73"/>
        <v>713.7</v>
      </c>
      <c r="W270" s="70">
        <f t="shared" si="73"/>
        <v>1271.7</v>
      </c>
      <c r="X270" s="70">
        <f t="shared" si="73"/>
        <v>471.55</v>
      </c>
      <c r="Y270" s="70">
        <f t="shared" si="73"/>
        <v>508.4</v>
      </c>
      <c r="Z270" s="70">
        <f t="shared" si="73"/>
        <v>471.55</v>
      </c>
      <c r="AA270" s="70">
        <f t="shared" si="73"/>
        <v>242.15</v>
      </c>
      <c r="AB270" s="70">
        <f t="shared" si="73"/>
        <v>1674</v>
      </c>
      <c r="AC270" s="70">
        <f t="shared" si="73"/>
        <v>992.7</v>
      </c>
      <c r="AD270" s="70">
        <f t="shared" si="73"/>
        <v>279</v>
      </c>
      <c r="AE270" s="74">
        <f t="shared" si="73"/>
        <v>279</v>
      </c>
      <c r="AF270" s="65">
        <f>SUM(B270:AE270)</f>
        <v>16070.5</v>
      </c>
    </row>
    <row r="271">
      <c r="A271" s="24"/>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24"/>
      <c r="AF271" s="77"/>
    </row>
    <row r="272">
      <c r="A272" s="45" t="s">
        <v>567</v>
      </c>
      <c r="B272" s="70">
        <f t="shared" ref="B272:AE272" si="74">B222+B233+B245-B256-B266-B268</f>
        <v>-484.3</v>
      </c>
      <c r="C272" s="70">
        <f t="shared" si="74"/>
        <v>-531.45</v>
      </c>
      <c r="D272" s="70">
        <f t="shared" si="74"/>
        <v>49.65</v>
      </c>
      <c r="E272" s="70">
        <f t="shared" si="74"/>
        <v>-119.518872</v>
      </c>
      <c r="F272" s="70">
        <f t="shared" si="74"/>
        <v>49.931128</v>
      </c>
      <c r="G272" s="70">
        <f t="shared" si="74"/>
        <v>-493.734436</v>
      </c>
      <c r="H272" s="70">
        <f t="shared" si="74"/>
        <v>-471.55</v>
      </c>
      <c r="I272" s="70">
        <f t="shared" si="74"/>
        <v>-204.434436</v>
      </c>
      <c r="J272" s="70">
        <f t="shared" si="74"/>
        <v>-309.287744</v>
      </c>
      <c r="K272" s="70">
        <f t="shared" si="74"/>
        <v>-204.434436</v>
      </c>
      <c r="L272" s="70">
        <f t="shared" si="74"/>
        <v>-229.4</v>
      </c>
      <c r="M272" s="70">
        <f t="shared" si="74"/>
        <v>-408.487744</v>
      </c>
      <c r="N272" s="70">
        <f t="shared" si="74"/>
        <v>-204.434436</v>
      </c>
      <c r="O272" s="70">
        <f t="shared" si="74"/>
        <v>-398.85</v>
      </c>
      <c r="P272" s="70">
        <f t="shared" si="74"/>
        <v>-496.184436</v>
      </c>
      <c r="Q272" s="70">
        <f t="shared" si="74"/>
        <v>-421.287744</v>
      </c>
      <c r="R272" s="70">
        <f t="shared" si="74"/>
        <v>-217.184436</v>
      </c>
      <c r="S272" s="70">
        <f t="shared" si="74"/>
        <v>-279</v>
      </c>
      <c r="T272" s="70">
        <f t="shared" si="74"/>
        <v>-617.9</v>
      </c>
      <c r="U272" s="70">
        <f t="shared" si="74"/>
        <v>-738.334436</v>
      </c>
      <c r="V272" s="70">
        <f t="shared" si="74"/>
        <v>-588.87218</v>
      </c>
      <c r="W272" s="70">
        <f t="shared" si="74"/>
        <v>-1087.253308</v>
      </c>
      <c r="X272" s="70">
        <f t="shared" si="74"/>
        <v>-421.618872</v>
      </c>
      <c r="Y272" s="70">
        <f t="shared" si="74"/>
        <v>-323.953308</v>
      </c>
      <c r="Z272" s="70">
        <f t="shared" si="74"/>
        <v>-421.618872</v>
      </c>
      <c r="AA272" s="70">
        <f t="shared" si="74"/>
        <v>-242.15</v>
      </c>
      <c r="AB272" s="70">
        <f t="shared" si="74"/>
        <v>-1076.318872</v>
      </c>
      <c r="AC272" s="70">
        <f t="shared" si="74"/>
        <v>-858.184436</v>
      </c>
      <c r="AD272" s="70">
        <f t="shared" si="74"/>
        <v>-144.484436</v>
      </c>
      <c r="AE272" s="74">
        <f t="shared" si="74"/>
        <v>-169.45</v>
      </c>
      <c r="AF272" s="65">
        <f t="shared" ref="AF272:AF274" si="75">SUM(B272:AE272)</f>
        <v>-12064.09631</v>
      </c>
    </row>
    <row r="273">
      <c r="A273" s="24"/>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24"/>
      <c r="AF273" s="65">
        <f t="shared" si="75"/>
        <v>0</v>
      </c>
    </row>
    <row r="274">
      <c r="A274" s="325" t="s">
        <v>570</v>
      </c>
      <c r="B274" s="628">
        <f t="shared" ref="B274:AE274" si="76">B214+B272</f>
        <v>-655.264</v>
      </c>
      <c r="C274" s="629">
        <f t="shared" si="76"/>
        <v>-1405.426</v>
      </c>
      <c r="D274" s="173">
        <f t="shared" si="76"/>
        <v>-660.126</v>
      </c>
      <c r="E274" s="630">
        <f t="shared" si="76"/>
        <v>-31.880872</v>
      </c>
      <c r="F274" s="631">
        <f t="shared" si="76"/>
        <v>520.321128</v>
      </c>
      <c r="G274" s="632">
        <f t="shared" si="76"/>
        <v>-174.026936</v>
      </c>
      <c r="H274" s="633">
        <f t="shared" si="76"/>
        <v>-609.314</v>
      </c>
      <c r="I274" s="493">
        <f t="shared" si="76"/>
        <v>-679.375436</v>
      </c>
      <c r="J274" s="634">
        <f t="shared" si="76"/>
        <v>412.601756</v>
      </c>
      <c r="K274" s="634">
        <f t="shared" si="76"/>
        <v>-294.454436</v>
      </c>
      <c r="L274" s="489">
        <f t="shared" si="76"/>
        <v>187.805</v>
      </c>
      <c r="M274" s="635">
        <f t="shared" si="76"/>
        <v>627.443756</v>
      </c>
      <c r="N274" s="636">
        <f t="shared" si="76"/>
        <v>838.451564</v>
      </c>
      <c r="O274" s="637">
        <f t="shared" si="76"/>
        <v>1020.706</v>
      </c>
      <c r="P274" s="638">
        <f t="shared" si="76"/>
        <v>-668.836936</v>
      </c>
      <c r="Q274" s="639">
        <f t="shared" si="76"/>
        <v>-610.145744</v>
      </c>
      <c r="R274" s="640">
        <f t="shared" si="76"/>
        <v>-851.840436</v>
      </c>
      <c r="S274" s="641">
        <f t="shared" si="76"/>
        <v>69.203</v>
      </c>
      <c r="T274" s="642">
        <f t="shared" si="76"/>
        <v>1991.097</v>
      </c>
      <c r="U274" s="493">
        <f t="shared" si="76"/>
        <v>390.302064</v>
      </c>
      <c r="V274" s="643">
        <f t="shared" si="76"/>
        <v>606.00632</v>
      </c>
      <c r="W274" s="644">
        <f t="shared" si="76"/>
        <v>1303.254692</v>
      </c>
      <c r="X274" s="645">
        <f t="shared" si="76"/>
        <v>-433.185372</v>
      </c>
      <c r="Y274" s="493">
        <f t="shared" si="76"/>
        <v>1332.855192</v>
      </c>
      <c r="Z274" s="646">
        <f t="shared" si="76"/>
        <v>1120.543128</v>
      </c>
      <c r="AA274" s="647">
        <f t="shared" si="76"/>
        <v>1604.6995</v>
      </c>
      <c r="AB274" s="489">
        <f t="shared" si="76"/>
        <v>-633.365372</v>
      </c>
      <c r="AC274" s="490">
        <f t="shared" si="76"/>
        <v>-536.824436</v>
      </c>
      <c r="AD274" s="648">
        <f t="shared" si="76"/>
        <v>742.555564</v>
      </c>
      <c r="AE274" s="649">
        <f t="shared" si="76"/>
        <v>-2294.5285</v>
      </c>
      <c r="AF274" s="65">
        <f t="shared" si="75"/>
        <v>2229.251188</v>
      </c>
    </row>
    <row r="275">
      <c r="A275" s="74">
        <f>SUM(B274:AE274)</f>
        <v>2229.251188</v>
      </c>
      <c r="B275" s="462"/>
      <c r="C275" s="462"/>
      <c r="D275" s="462"/>
      <c r="E275" s="462"/>
      <c r="F275" s="462"/>
      <c r="G275" s="462"/>
      <c r="H275" s="462"/>
      <c r="I275" s="462"/>
      <c r="J275" s="462"/>
      <c r="K275" s="462"/>
      <c r="L275" s="462"/>
      <c r="M275" s="462"/>
      <c r="N275" s="462"/>
      <c r="O275" s="462"/>
      <c r="P275" s="462"/>
      <c r="Q275" s="462"/>
      <c r="R275" s="462"/>
      <c r="S275" s="462"/>
      <c r="T275" s="462"/>
      <c r="U275" s="462"/>
      <c r="V275" s="462"/>
      <c r="W275" s="462"/>
      <c r="X275" s="462"/>
      <c r="Y275" s="462"/>
      <c r="Z275" s="462"/>
      <c r="AA275" s="462"/>
      <c r="AB275" s="462"/>
      <c r="AC275" s="462"/>
      <c r="AD275" s="462"/>
      <c r="AE275" s="463"/>
      <c r="AF275" s="65"/>
    </row>
    <row r="276">
      <c r="A276" s="24"/>
      <c r="B276" s="462"/>
      <c r="C276" s="462"/>
      <c r="D276" s="462"/>
      <c r="E276" s="462"/>
      <c r="F276" s="462"/>
      <c r="G276" s="462"/>
      <c r="H276" s="462"/>
      <c r="I276" s="462"/>
      <c r="J276" s="462"/>
      <c r="K276" s="462"/>
      <c r="L276" s="462"/>
      <c r="M276" s="462"/>
      <c r="N276" s="462"/>
      <c r="O276" s="462"/>
      <c r="P276" s="462"/>
      <c r="Q276" s="462"/>
      <c r="R276" s="462"/>
      <c r="S276" s="462"/>
      <c r="T276" s="462"/>
      <c r="U276" s="462"/>
      <c r="V276" s="462"/>
      <c r="W276" s="462"/>
      <c r="X276" s="462"/>
      <c r="Y276" s="462"/>
      <c r="Z276" s="462"/>
      <c r="AA276" s="462"/>
      <c r="AB276" s="462"/>
      <c r="AC276" s="462"/>
      <c r="AD276" s="462"/>
      <c r="AE276" s="463"/>
      <c r="AF276" s="77"/>
    </row>
    <row r="277">
      <c r="A277" s="325" t="s">
        <v>576</v>
      </c>
      <c r="B277" s="650">
        <f t="shared" ref="B277:AE277" si="77">B274/(B20+B21)</f>
        <v>-0.2135105898</v>
      </c>
      <c r="C277" s="652">
        <f t="shared" si="77"/>
        <v>-0.5037369176</v>
      </c>
      <c r="D277" s="653">
        <f t="shared" si="77"/>
        <v>-0.1478776882</v>
      </c>
      <c r="E277" s="654">
        <f t="shared" si="77"/>
        <v>-0.005441350401</v>
      </c>
      <c r="F277" s="655">
        <f t="shared" si="77"/>
        <v>0.09324751398</v>
      </c>
      <c r="G277" s="656">
        <f t="shared" si="77"/>
        <v>-0.03465291438</v>
      </c>
      <c r="H277" s="657">
        <f t="shared" si="77"/>
        <v>-0.1679939344</v>
      </c>
      <c r="I277" s="658">
        <f t="shared" si="77"/>
        <v>-0.2435037405</v>
      </c>
      <c r="J277" s="659">
        <f t="shared" si="77"/>
        <v>0.0568792054</v>
      </c>
      <c r="K277" s="659">
        <f t="shared" si="77"/>
        <v>-0.04797237471</v>
      </c>
      <c r="L277" s="660">
        <f t="shared" si="77"/>
        <v>0.03059710003</v>
      </c>
      <c r="M277" s="661">
        <f t="shared" si="77"/>
        <v>0.08329267968</v>
      </c>
      <c r="N277" s="662">
        <f t="shared" si="77"/>
        <v>0.1113038051</v>
      </c>
      <c r="O277" s="663">
        <f t="shared" si="77"/>
        <v>0.1180143369</v>
      </c>
      <c r="P277" s="664">
        <f t="shared" si="77"/>
        <v>-0.1598176669</v>
      </c>
      <c r="Q277" s="666">
        <f t="shared" si="77"/>
        <v>-0.1041382052</v>
      </c>
      <c r="R277" s="667">
        <f t="shared" si="77"/>
        <v>-0.1696217515</v>
      </c>
      <c r="S277" s="668">
        <f t="shared" si="77"/>
        <v>0.009921577061</v>
      </c>
      <c r="T277" s="669">
        <f t="shared" si="77"/>
        <v>0.1456438446</v>
      </c>
      <c r="U277" s="670">
        <f t="shared" si="77"/>
        <v>0.04371662903</v>
      </c>
      <c r="V277" s="671">
        <f t="shared" si="77"/>
        <v>0.07006663429</v>
      </c>
      <c r="W277" s="672">
        <f t="shared" si="77"/>
        <v>0.1167790943</v>
      </c>
      <c r="X277" s="673">
        <f t="shared" si="77"/>
        <v>-0.0776317871</v>
      </c>
      <c r="Y277" s="674">
        <f t="shared" si="77"/>
        <v>0.1224938142</v>
      </c>
      <c r="Z277" s="675">
        <f t="shared" si="77"/>
        <v>0.1255088629</v>
      </c>
      <c r="AA277" s="676">
        <f t="shared" si="77"/>
        <v>0.1597669753</v>
      </c>
      <c r="AB277" s="677">
        <f t="shared" si="77"/>
        <v>-0.06879172065</v>
      </c>
      <c r="AC277" s="678">
        <f t="shared" si="77"/>
        <v>-0.04692931515</v>
      </c>
      <c r="AD277" s="679">
        <f t="shared" si="77"/>
        <v>0.07193214802</v>
      </c>
      <c r="AE277" s="680">
        <f t="shared" si="77"/>
        <v>-0.3163121726</v>
      </c>
      <c r="AF277" s="77"/>
    </row>
    <row r="278">
      <c r="A278" s="329">
        <f>A275/A212</f>
        <v>0.009700563923</v>
      </c>
      <c r="B278" s="462"/>
      <c r="C278" s="462"/>
      <c r="D278" s="462"/>
      <c r="E278" s="462"/>
      <c r="F278" s="462"/>
      <c r="G278" s="462"/>
      <c r="H278" s="462"/>
      <c r="I278" s="462"/>
      <c r="J278" s="462"/>
      <c r="K278" s="462"/>
      <c r="L278" s="462"/>
      <c r="M278" s="462"/>
      <c r="N278" s="462"/>
      <c r="O278" s="462"/>
      <c r="P278" s="462"/>
      <c r="Q278" s="462"/>
      <c r="R278" s="462"/>
      <c r="S278" s="462"/>
      <c r="T278" s="462"/>
      <c r="U278" s="462"/>
      <c r="V278" s="462"/>
      <c r="W278" s="462"/>
      <c r="X278" s="462"/>
      <c r="Y278" s="462"/>
      <c r="Z278" s="462"/>
      <c r="AA278" s="462"/>
      <c r="AB278" s="462"/>
      <c r="AC278" s="462"/>
      <c r="AD278" s="462"/>
      <c r="AE278" s="463"/>
      <c r="AF278" s="77"/>
    </row>
    <row r="279">
      <c r="A279" s="24"/>
      <c r="B279" s="462"/>
      <c r="C279" s="462"/>
      <c r="D279" s="462"/>
      <c r="E279" s="462"/>
      <c r="F279" s="462"/>
      <c r="G279" s="462"/>
      <c r="H279" s="462"/>
      <c r="I279" s="462"/>
      <c r="J279" s="462"/>
      <c r="K279" s="462"/>
      <c r="L279" s="462"/>
      <c r="M279" s="462"/>
      <c r="N279" s="462"/>
      <c r="O279" s="462"/>
      <c r="P279" s="462"/>
      <c r="Q279" s="462"/>
      <c r="R279" s="462"/>
      <c r="S279" s="462"/>
      <c r="T279" s="462"/>
      <c r="U279" s="462"/>
      <c r="V279" s="462"/>
      <c r="W279" s="462"/>
      <c r="X279" s="462"/>
      <c r="Y279" s="462"/>
      <c r="Z279" s="462"/>
      <c r="AA279" s="462"/>
      <c r="AB279" s="462"/>
      <c r="AC279" s="462"/>
      <c r="AD279" s="462"/>
      <c r="AE279" s="463"/>
      <c r="AF279" s="77"/>
    </row>
    <row r="280">
      <c r="A280" s="325" t="s">
        <v>438</v>
      </c>
      <c r="B280" s="547">
        <f t="shared" ref="B280:AE280" si="78">B218</f>
        <v>215.53</v>
      </c>
      <c r="C280" s="549">
        <f t="shared" si="78"/>
        <v>221.15</v>
      </c>
      <c r="D280" s="551">
        <f t="shared" si="78"/>
        <v>224.7</v>
      </c>
      <c r="E280" s="552">
        <f t="shared" si="78"/>
        <v>223.56</v>
      </c>
      <c r="F280" s="553">
        <f t="shared" si="78"/>
        <v>222.26</v>
      </c>
      <c r="G280" s="554">
        <f t="shared" si="78"/>
        <v>212.86</v>
      </c>
      <c r="H280" s="554">
        <f t="shared" si="78"/>
        <v>239.25</v>
      </c>
      <c r="I280" s="555">
        <f t="shared" si="78"/>
        <v>269.13</v>
      </c>
      <c r="J280" s="556">
        <f t="shared" si="78"/>
        <v>284.02</v>
      </c>
      <c r="K280" s="557">
        <f t="shared" si="78"/>
        <v>256.73</v>
      </c>
      <c r="L280" s="558">
        <f t="shared" si="78"/>
        <v>246.8</v>
      </c>
      <c r="M280" s="551">
        <f t="shared" si="78"/>
        <v>259.84</v>
      </c>
      <c r="N280" s="556">
        <f t="shared" si="78"/>
        <v>263.24</v>
      </c>
      <c r="O280" s="559">
        <f t="shared" si="78"/>
        <v>263.01</v>
      </c>
      <c r="P280" s="560">
        <f t="shared" si="78"/>
        <v>236.28</v>
      </c>
      <c r="Q280" s="561">
        <f t="shared" si="78"/>
        <v>230.73</v>
      </c>
      <c r="R280" s="557">
        <f t="shared" si="78"/>
        <v>242.64</v>
      </c>
      <c r="S280" s="553">
        <f t="shared" si="78"/>
        <v>89.75</v>
      </c>
      <c r="T280" s="561">
        <f t="shared" si="78"/>
        <v>113.72</v>
      </c>
      <c r="U280" s="562">
        <f t="shared" si="78"/>
        <v>151.24</v>
      </c>
      <c r="V280" s="563">
        <f t="shared" si="78"/>
        <v>171.56</v>
      </c>
      <c r="W280" s="564">
        <f t="shared" si="78"/>
        <v>176.02</v>
      </c>
      <c r="X280" s="565">
        <f t="shared" si="78"/>
        <v>182.73</v>
      </c>
      <c r="Y280" s="566">
        <f t="shared" si="78"/>
        <v>187.71</v>
      </c>
      <c r="Z280" s="567">
        <f t="shared" si="78"/>
        <v>207.99</v>
      </c>
      <c r="AA280" s="568">
        <f t="shared" si="78"/>
        <v>179.9</v>
      </c>
      <c r="AB280" s="569">
        <f t="shared" si="78"/>
        <v>224.79</v>
      </c>
      <c r="AC280" s="570">
        <f t="shared" si="78"/>
        <v>204.07</v>
      </c>
      <c r="AD280" s="571">
        <f t="shared" si="78"/>
        <v>243.02</v>
      </c>
      <c r="AE280" s="572">
        <f t="shared" si="78"/>
        <v>244.55</v>
      </c>
      <c r="AF280" s="77"/>
    </row>
    <row r="281">
      <c r="A281" s="24"/>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24"/>
      <c r="AF281" s="11"/>
    </row>
    <row r="282">
      <c r="A282" s="24"/>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24"/>
      <c r="AF282" s="11"/>
    </row>
    <row r="283">
      <c r="A283" s="24"/>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24"/>
      <c r="AF283" s="11"/>
    </row>
    <row r="284">
      <c r="A284" s="24"/>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24"/>
      <c r="AF284" s="11"/>
    </row>
    <row r="285">
      <c r="A285" s="24"/>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24"/>
      <c r="AF285" s="11"/>
    </row>
    <row r="286">
      <c r="A286" s="24"/>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24"/>
      <c r="AF286" s="11"/>
    </row>
    <row r="287">
      <c r="A287" s="24"/>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24"/>
      <c r="AF287" s="11"/>
    </row>
    <row r="288">
      <c r="A288" s="24"/>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24"/>
      <c r="AF288" s="11"/>
    </row>
    <row r="289">
      <c r="A289" s="24"/>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24"/>
      <c r="AF289" s="11"/>
    </row>
    <row r="290">
      <c r="A290" s="24"/>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24"/>
      <c r="AF290" s="11"/>
    </row>
    <row r="291">
      <c r="A291" s="24"/>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24"/>
      <c r="AF291" s="11"/>
    </row>
    <row r="292">
      <c r="A292" s="24"/>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24"/>
      <c r="AF292" s="11"/>
    </row>
    <row r="293">
      <c r="A293" s="24"/>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24"/>
      <c r="AF293" s="11"/>
    </row>
    <row r="294">
      <c r="A294" s="24"/>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24"/>
      <c r="AF294" s="11"/>
    </row>
    <row r="295">
      <c r="A295" s="24"/>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24"/>
      <c r="AF295" s="11"/>
    </row>
    <row r="296">
      <c r="A296" s="24"/>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24"/>
      <c r="AF296" s="11"/>
    </row>
    <row r="297">
      <c r="A297" s="24"/>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24"/>
      <c r="AF297" s="11"/>
    </row>
    <row r="298">
      <c r="A298" s="24"/>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24"/>
      <c r="AF298" s="11"/>
    </row>
    <row r="299">
      <c r="A299" s="24"/>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24"/>
      <c r="AF299" s="11"/>
    </row>
    <row r="300">
      <c r="A300" s="24"/>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24"/>
      <c r="AF300" s="11"/>
    </row>
    <row r="301">
      <c r="A301" s="24"/>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24"/>
      <c r="AF301" s="11"/>
    </row>
    <row r="302">
      <c r="A302" s="24"/>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24"/>
      <c r="AF302" s="11"/>
    </row>
    <row r="303">
      <c r="A303" s="24"/>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24"/>
      <c r="AF303" s="11"/>
    </row>
    <row r="304">
      <c r="A304" s="24"/>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24"/>
      <c r="AF304" s="11"/>
    </row>
    <row r="305">
      <c r="A305" s="24"/>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24"/>
      <c r="AF305" s="11"/>
    </row>
    <row r="306">
      <c r="A306" s="24"/>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24"/>
      <c r="AF306" s="11"/>
    </row>
    <row r="307">
      <c r="A307" s="24"/>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24"/>
      <c r="AF307" s="11"/>
    </row>
    <row r="308">
      <c r="A308" s="24"/>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24"/>
      <c r="AF308" s="11"/>
    </row>
    <row r="309">
      <c r="A309" s="24"/>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24"/>
      <c r="AF309" s="11"/>
    </row>
    <row r="310">
      <c r="A310" s="24"/>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24"/>
      <c r="AF310" s="11"/>
    </row>
    <row r="311">
      <c r="A311" s="24"/>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24"/>
      <c r="AF311" s="11"/>
    </row>
    <row r="312">
      <c r="A312" s="24"/>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24"/>
      <c r="AF312" s="11"/>
    </row>
    <row r="313">
      <c r="A313" s="24"/>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24"/>
      <c r="AF313" s="11"/>
    </row>
    <row r="314">
      <c r="A314" s="24"/>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24"/>
      <c r="AF314" s="11"/>
    </row>
    <row r="315">
      <c r="A315" s="24"/>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24"/>
      <c r="AF315" s="11"/>
    </row>
    <row r="316">
      <c r="A316" s="24"/>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24"/>
      <c r="AF316" s="11"/>
    </row>
    <row r="317">
      <c r="A317" s="24"/>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24"/>
      <c r="AF317" s="11"/>
    </row>
    <row r="318">
      <c r="A318" s="24"/>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24"/>
      <c r="AF318" s="11"/>
    </row>
    <row r="319">
      <c r="A319" s="24"/>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24"/>
      <c r="AF319" s="11"/>
    </row>
    <row r="320">
      <c r="A320" s="24"/>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24"/>
      <c r="AF320" s="11"/>
    </row>
    <row r="321">
      <c r="A321" s="24"/>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24"/>
      <c r="AF321" s="11"/>
    </row>
    <row r="322">
      <c r="A322" s="24"/>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24"/>
      <c r="AF322" s="11"/>
    </row>
    <row r="323">
      <c r="A323" s="24"/>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24"/>
      <c r="AF323" s="11"/>
    </row>
    <row r="324">
      <c r="A324" s="24"/>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24"/>
      <c r="AF324" s="11"/>
    </row>
    <row r="325">
      <c r="A325" s="24"/>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24"/>
      <c r="AF325" s="11"/>
    </row>
    <row r="326">
      <c r="A326" s="24"/>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24"/>
      <c r="AF326" s="11"/>
    </row>
    <row r="327">
      <c r="A327" s="24"/>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24"/>
      <c r="AF327" s="11"/>
    </row>
    <row r="328">
      <c r="A328" s="24"/>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24"/>
      <c r="AF328" s="11"/>
    </row>
    <row r="329">
      <c r="A329" s="24"/>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24"/>
      <c r="AF329" s="11"/>
    </row>
    <row r="330">
      <c r="A330" s="24"/>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24"/>
      <c r="AF330" s="11"/>
    </row>
    <row r="331">
      <c r="A331" s="24"/>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24"/>
      <c r="AF331" s="11"/>
    </row>
    <row r="332">
      <c r="A332" s="24"/>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24"/>
      <c r="AF332" s="11"/>
    </row>
    <row r="333">
      <c r="A333" s="24"/>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24"/>
      <c r="AF333" s="11"/>
    </row>
    <row r="334">
      <c r="A334" s="24"/>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24"/>
      <c r="AF334" s="11"/>
    </row>
    <row r="335">
      <c r="A335" s="24"/>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24"/>
      <c r="AF335" s="11"/>
    </row>
    <row r="336">
      <c r="A336" s="24"/>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24"/>
      <c r="AF336" s="11"/>
    </row>
    <row r="337">
      <c r="A337" s="24"/>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24"/>
      <c r="AF337" s="11"/>
    </row>
    <row r="338">
      <c r="A338" s="24"/>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24"/>
      <c r="AF338" s="11"/>
    </row>
    <row r="339">
      <c r="A339" s="24"/>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24"/>
      <c r="AF339" s="11"/>
    </row>
    <row r="340">
      <c r="A340" s="24"/>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24"/>
      <c r="AF340" s="11"/>
    </row>
    <row r="341">
      <c r="A341" s="24"/>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24"/>
      <c r="AF341" s="11"/>
    </row>
    <row r="342">
      <c r="A342" s="24"/>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24"/>
      <c r="AF342" s="11"/>
    </row>
    <row r="343">
      <c r="A343" s="24"/>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24"/>
      <c r="AF343" s="11"/>
    </row>
    <row r="344">
      <c r="A344" s="24"/>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24"/>
      <c r="AF344" s="11"/>
    </row>
    <row r="345">
      <c r="A345" s="24"/>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24"/>
      <c r="AF345" s="11"/>
    </row>
    <row r="346">
      <c r="A346" s="24"/>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24"/>
      <c r="AF346" s="11"/>
    </row>
    <row r="347">
      <c r="A347" s="24"/>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24"/>
      <c r="AF347" s="11"/>
    </row>
    <row r="348">
      <c r="A348" s="24"/>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24"/>
      <c r="AF348" s="11"/>
    </row>
    <row r="349">
      <c r="A349" s="24"/>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24"/>
      <c r="AF349" s="11"/>
    </row>
    <row r="350">
      <c r="A350" s="24"/>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24"/>
      <c r="AF350" s="11"/>
    </row>
    <row r="351">
      <c r="A351" s="24"/>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24"/>
      <c r="AF351" s="11"/>
    </row>
    <row r="352">
      <c r="A352" s="24"/>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24"/>
      <c r="AF352" s="11"/>
    </row>
    <row r="353">
      <c r="A353" s="24"/>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24"/>
      <c r="AF353" s="11"/>
    </row>
    <row r="354">
      <c r="A354" s="24"/>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24"/>
      <c r="AF354" s="11"/>
    </row>
    <row r="355">
      <c r="A355" s="24"/>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24"/>
      <c r="AF355" s="11"/>
    </row>
    <row r="356">
      <c r="A356" s="24"/>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24"/>
      <c r="AF356" s="11"/>
    </row>
    <row r="357">
      <c r="A357" s="24"/>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24"/>
      <c r="AF357" s="11"/>
    </row>
    <row r="358">
      <c r="A358" s="24"/>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24"/>
      <c r="AF358" s="11"/>
    </row>
    <row r="359">
      <c r="A359" s="24"/>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24"/>
      <c r="AF359" s="11"/>
    </row>
    <row r="360">
      <c r="A360" s="24"/>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24"/>
      <c r="AF360" s="11"/>
    </row>
    <row r="361">
      <c r="A361" s="24"/>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24"/>
      <c r="AF361" s="11"/>
    </row>
    <row r="362">
      <c r="A362" s="24"/>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24"/>
      <c r="AF362" s="11"/>
    </row>
    <row r="363">
      <c r="A363" s="24"/>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24"/>
      <c r="AF363" s="11"/>
    </row>
    <row r="364">
      <c r="A364" s="24"/>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24"/>
      <c r="AF364" s="11"/>
    </row>
    <row r="365">
      <c r="A365" s="24"/>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24"/>
      <c r="AF365" s="11"/>
    </row>
    <row r="366">
      <c r="A366" s="24"/>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24"/>
      <c r="AF366" s="11"/>
    </row>
    <row r="367">
      <c r="A367" s="24"/>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24"/>
      <c r="AF367" s="11"/>
    </row>
    <row r="368">
      <c r="A368" s="24"/>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24"/>
      <c r="AF368" s="11"/>
    </row>
    <row r="369">
      <c r="A369" s="24"/>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24"/>
      <c r="AF369" s="11"/>
    </row>
    <row r="370">
      <c r="A370" s="24"/>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24"/>
      <c r="AF370" s="11"/>
    </row>
    <row r="371">
      <c r="A371" s="24"/>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24"/>
      <c r="AF371" s="11"/>
    </row>
    <row r="372">
      <c r="A372" s="24"/>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24"/>
      <c r="AF372" s="11"/>
    </row>
    <row r="373">
      <c r="A373" s="24"/>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24"/>
      <c r="AF373" s="11"/>
    </row>
    <row r="374">
      <c r="A374" s="24"/>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24"/>
      <c r="AF374" s="11"/>
    </row>
    <row r="375">
      <c r="A375" s="24"/>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24"/>
      <c r="AF375" s="11"/>
    </row>
    <row r="376">
      <c r="A376" s="24"/>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24"/>
      <c r="AF376" s="11"/>
    </row>
    <row r="377">
      <c r="A377" s="24"/>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24"/>
      <c r="AF377" s="11"/>
    </row>
    <row r="378">
      <c r="A378" s="24"/>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24"/>
      <c r="AF378" s="11"/>
    </row>
    <row r="379">
      <c r="A379" s="24"/>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24"/>
      <c r="AF379" s="11"/>
    </row>
    <row r="380">
      <c r="A380" s="24"/>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24"/>
      <c r="AF380" s="11"/>
    </row>
    <row r="381">
      <c r="A381" s="24"/>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24"/>
      <c r="AF381" s="11"/>
    </row>
    <row r="382">
      <c r="A382" s="24"/>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24"/>
      <c r="AF382" s="11"/>
    </row>
    <row r="383">
      <c r="A383" s="24"/>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24"/>
      <c r="AF383" s="11"/>
    </row>
    <row r="384">
      <c r="A384" s="24"/>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24"/>
      <c r="AF384" s="11"/>
    </row>
    <row r="385">
      <c r="A385" s="24"/>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24"/>
      <c r="AF385" s="11"/>
    </row>
    <row r="386">
      <c r="A386" s="24"/>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24"/>
      <c r="AF386" s="11"/>
    </row>
    <row r="387">
      <c r="A387" s="24"/>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24"/>
      <c r="AF387" s="11"/>
    </row>
    <row r="388">
      <c r="A388" s="24"/>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24"/>
      <c r="AF388" s="11"/>
    </row>
    <row r="389">
      <c r="A389" s="24"/>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24"/>
      <c r="AF389" s="11"/>
    </row>
    <row r="390">
      <c r="A390" s="24"/>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24"/>
      <c r="AF390" s="11"/>
    </row>
    <row r="391">
      <c r="A391" s="24"/>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24"/>
      <c r="AF391" s="11"/>
    </row>
    <row r="392">
      <c r="A392" s="24"/>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24"/>
      <c r="AF392" s="11"/>
    </row>
    <row r="393">
      <c r="A393" s="24"/>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24"/>
      <c r="AF393" s="11"/>
    </row>
    <row r="394">
      <c r="A394" s="24"/>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24"/>
      <c r="AF394" s="11"/>
    </row>
    <row r="395">
      <c r="A395" s="24"/>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24"/>
      <c r="AF395" s="11"/>
    </row>
    <row r="396">
      <c r="A396" s="24"/>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24"/>
      <c r="AF396" s="11"/>
    </row>
    <row r="397">
      <c r="A397" s="24"/>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24"/>
      <c r="AF397" s="11"/>
    </row>
    <row r="398">
      <c r="A398" s="24"/>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24"/>
      <c r="AF398" s="11"/>
    </row>
    <row r="399">
      <c r="A399" s="24"/>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24"/>
      <c r="AF399" s="11"/>
    </row>
    <row r="400">
      <c r="A400" s="24"/>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24"/>
      <c r="AF400" s="11"/>
    </row>
    <row r="401">
      <c r="A401" s="24"/>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24"/>
      <c r="AF401" s="11"/>
    </row>
    <row r="402">
      <c r="A402" s="24"/>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24"/>
      <c r="AF402" s="11"/>
    </row>
    <row r="403">
      <c r="A403" s="24"/>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24"/>
      <c r="AF403" s="11"/>
    </row>
    <row r="404">
      <c r="A404" s="24"/>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24"/>
      <c r="AF404" s="11"/>
    </row>
    <row r="405">
      <c r="A405" s="24"/>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24"/>
      <c r="AF405" s="11"/>
    </row>
    <row r="406">
      <c r="A406" s="24"/>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24"/>
      <c r="AF406" s="11"/>
    </row>
    <row r="407">
      <c r="A407" s="24"/>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24"/>
      <c r="AF407" s="11"/>
    </row>
    <row r="408">
      <c r="A408" s="24"/>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24"/>
      <c r="AF408" s="11"/>
    </row>
    <row r="409">
      <c r="A409" s="24"/>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24"/>
      <c r="AF409" s="11"/>
    </row>
    <row r="410">
      <c r="A410" s="24"/>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24"/>
      <c r="AF410" s="11"/>
    </row>
    <row r="411">
      <c r="A411" s="24"/>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24"/>
      <c r="AF411" s="11"/>
    </row>
    <row r="412">
      <c r="A412" s="24"/>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24"/>
      <c r="AF412" s="11"/>
    </row>
    <row r="413">
      <c r="A413" s="24"/>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24"/>
      <c r="AF413" s="11"/>
    </row>
    <row r="414">
      <c r="A414" s="24"/>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24"/>
      <c r="AF414" s="11"/>
    </row>
    <row r="415">
      <c r="A415" s="24"/>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24"/>
      <c r="AF415" s="11"/>
    </row>
    <row r="416">
      <c r="A416" s="24"/>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24"/>
      <c r="AF416" s="11"/>
    </row>
    <row r="417">
      <c r="A417" s="24"/>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24"/>
      <c r="AF417" s="11"/>
    </row>
    <row r="418">
      <c r="A418" s="24"/>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24"/>
      <c r="AF418" s="11"/>
    </row>
    <row r="419">
      <c r="A419" s="24"/>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24"/>
      <c r="AF419" s="11"/>
    </row>
    <row r="420">
      <c r="A420" s="24"/>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24"/>
      <c r="AF420" s="11"/>
    </row>
    <row r="421">
      <c r="A421" s="24"/>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24"/>
      <c r="AF421" s="11"/>
    </row>
    <row r="422">
      <c r="A422" s="24"/>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24"/>
      <c r="AF422" s="11"/>
    </row>
    <row r="423">
      <c r="A423" s="24"/>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24"/>
      <c r="AF423" s="11"/>
    </row>
    <row r="424">
      <c r="A424" s="24"/>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24"/>
      <c r="AF424" s="11"/>
    </row>
    <row r="425">
      <c r="A425" s="24"/>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24"/>
      <c r="AF425" s="11"/>
    </row>
    <row r="426">
      <c r="A426" s="24"/>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24"/>
      <c r="AF426" s="11"/>
    </row>
    <row r="427">
      <c r="A427" s="24"/>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24"/>
      <c r="AF427" s="11"/>
    </row>
    <row r="428">
      <c r="A428" s="24"/>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24"/>
      <c r="AF428" s="11"/>
    </row>
    <row r="429">
      <c r="A429" s="24"/>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24"/>
      <c r="AF429" s="11"/>
    </row>
    <row r="430">
      <c r="A430" s="24"/>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24"/>
      <c r="AF430" s="11"/>
    </row>
    <row r="431">
      <c r="A431" s="24"/>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24"/>
      <c r="AF431" s="11"/>
    </row>
    <row r="432">
      <c r="A432" s="24"/>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24"/>
      <c r="AF432" s="11"/>
    </row>
    <row r="433">
      <c r="A433" s="24"/>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24"/>
      <c r="AF433" s="11"/>
    </row>
    <row r="434">
      <c r="A434" s="24"/>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24"/>
      <c r="AF434" s="11"/>
    </row>
    <row r="435">
      <c r="A435" s="24"/>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24"/>
      <c r="AF435" s="11"/>
    </row>
    <row r="436">
      <c r="A436" s="24"/>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24"/>
      <c r="AF436" s="11"/>
    </row>
    <row r="437">
      <c r="A437" s="24"/>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24"/>
      <c r="AF437" s="11"/>
    </row>
    <row r="438">
      <c r="A438" s="24"/>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24"/>
      <c r="AF438" s="11"/>
    </row>
    <row r="439">
      <c r="A439" s="24"/>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24"/>
      <c r="AF439" s="11"/>
    </row>
    <row r="440">
      <c r="A440" s="24"/>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24"/>
      <c r="AF440" s="11"/>
    </row>
    <row r="441">
      <c r="A441" s="24"/>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24"/>
      <c r="AF441" s="11"/>
    </row>
    <row r="442">
      <c r="A442" s="24"/>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24"/>
      <c r="AF442" s="11"/>
    </row>
    <row r="443">
      <c r="A443" s="24"/>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24"/>
      <c r="AF443" s="11"/>
    </row>
    <row r="444">
      <c r="A444" s="24"/>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24"/>
      <c r="AF444" s="11"/>
    </row>
    <row r="445">
      <c r="A445" s="24"/>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24"/>
      <c r="AF445" s="11"/>
    </row>
    <row r="446">
      <c r="A446" s="24"/>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24"/>
      <c r="AF446" s="11"/>
    </row>
    <row r="447">
      <c r="A447" s="24"/>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24"/>
      <c r="AF447" s="11"/>
    </row>
    <row r="448">
      <c r="A448" s="24"/>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24"/>
      <c r="AF448" s="11"/>
    </row>
    <row r="449">
      <c r="A449" s="24"/>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24"/>
      <c r="AF449" s="11"/>
    </row>
    <row r="450">
      <c r="A450" s="24"/>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24"/>
      <c r="AF450" s="11"/>
    </row>
    <row r="451">
      <c r="A451" s="24"/>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24"/>
      <c r="AF451" s="11"/>
    </row>
    <row r="452">
      <c r="A452" s="24"/>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24"/>
      <c r="AF452" s="11"/>
    </row>
    <row r="453">
      <c r="A453" s="24"/>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24"/>
      <c r="AF453" s="11"/>
    </row>
    <row r="454">
      <c r="A454" s="24"/>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24"/>
      <c r="AF454" s="11"/>
    </row>
    <row r="455">
      <c r="A455" s="24"/>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24"/>
      <c r="AF455" s="11"/>
    </row>
    <row r="456">
      <c r="A456" s="24"/>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24"/>
      <c r="AF456" s="11"/>
    </row>
    <row r="457">
      <c r="A457" s="24"/>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24"/>
      <c r="AF457" s="11"/>
    </row>
    <row r="458">
      <c r="A458" s="24"/>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24"/>
      <c r="AF458" s="11"/>
    </row>
    <row r="459">
      <c r="A459" s="24"/>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24"/>
      <c r="AF459" s="11"/>
    </row>
    <row r="460">
      <c r="A460" s="24"/>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24"/>
      <c r="AF460" s="11"/>
    </row>
    <row r="461">
      <c r="A461" s="24"/>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24"/>
      <c r="AF461" s="11"/>
    </row>
    <row r="462">
      <c r="A462" s="24"/>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24"/>
      <c r="AF462" s="11"/>
    </row>
    <row r="463">
      <c r="A463" s="24"/>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24"/>
      <c r="AF463" s="11"/>
    </row>
    <row r="464">
      <c r="A464" s="24"/>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24"/>
      <c r="AF464" s="11"/>
    </row>
    <row r="465">
      <c r="A465" s="24"/>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24"/>
      <c r="AF465" s="11"/>
    </row>
    <row r="466">
      <c r="A466" s="24"/>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24"/>
      <c r="AF466" s="11"/>
    </row>
    <row r="467">
      <c r="A467" s="24"/>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24"/>
      <c r="AF467" s="11"/>
    </row>
    <row r="468">
      <c r="A468" s="24"/>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24"/>
      <c r="AF468" s="11"/>
    </row>
    <row r="469">
      <c r="A469" s="24"/>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24"/>
      <c r="AF469" s="11"/>
    </row>
    <row r="470">
      <c r="A470" s="24"/>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24"/>
      <c r="AF470" s="11"/>
    </row>
    <row r="471">
      <c r="A471" s="24"/>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24"/>
      <c r="AF471" s="11"/>
    </row>
    <row r="472">
      <c r="A472" s="24"/>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24"/>
      <c r="AF472" s="11"/>
    </row>
    <row r="473">
      <c r="A473" s="24"/>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24"/>
      <c r="AF473" s="11"/>
    </row>
    <row r="474">
      <c r="A474" s="24"/>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24"/>
      <c r="AF474" s="11"/>
    </row>
    <row r="475">
      <c r="A475" s="24"/>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24"/>
      <c r="AF475" s="11"/>
    </row>
    <row r="476">
      <c r="A476" s="24"/>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24"/>
      <c r="AF476" s="11"/>
    </row>
    <row r="477">
      <c r="A477" s="24"/>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24"/>
      <c r="AF477" s="11"/>
    </row>
    <row r="478">
      <c r="A478" s="24"/>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24"/>
      <c r="AF478" s="11"/>
    </row>
    <row r="479">
      <c r="A479" s="24"/>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24"/>
      <c r="AF479" s="11"/>
    </row>
    <row r="480">
      <c r="A480" s="24"/>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24"/>
      <c r="AF480" s="11"/>
    </row>
    <row r="481">
      <c r="A481" s="24"/>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24"/>
      <c r="AF481" s="11"/>
    </row>
    <row r="482">
      <c r="A482" s="24"/>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24"/>
      <c r="AF482" s="11"/>
    </row>
    <row r="483">
      <c r="A483" s="24"/>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24"/>
      <c r="AF483" s="11"/>
    </row>
    <row r="484">
      <c r="A484" s="24"/>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24"/>
      <c r="AF484" s="11"/>
    </row>
    <row r="485">
      <c r="A485" s="24"/>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24"/>
      <c r="AF485" s="11"/>
    </row>
    <row r="486">
      <c r="A486" s="24"/>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24"/>
      <c r="AF486" s="11"/>
    </row>
    <row r="487">
      <c r="A487" s="24"/>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24"/>
      <c r="AF487" s="11"/>
    </row>
    <row r="488">
      <c r="A488" s="24"/>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24"/>
      <c r="AF488" s="11"/>
    </row>
    <row r="489">
      <c r="A489" s="24"/>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24"/>
      <c r="AF489" s="11"/>
    </row>
    <row r="490">
      <c r="A490" s="24"/>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24"/>
      <c r="AF490" s="11"/>
    </row>
    <row r="491">
      <c r="A491" s="24"/>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24"/>
      <c r="AF491" s="11"/>
    </row>
    <row r="492">
      <c r="A492" s="24"/>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24"/>
      <c r="AF492" s="11"/>
    </row>
    <row r="493">
      <c r="A493" s="24"/>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24"/>
      <c r="AF493" s="11"/>
    </row>
    <row r="494">
      <c r="A494" s="24"/>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24"/>
      <c r="AF494" s="11"/>
    </row>
    <row r="495">
      <c r="A495" s="24"/>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24"/>
      <c r="AF495" s="11"/>
    </row>
    <row r="496">
      <c r="A496" s="24"/>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24"/>
      <c r="AF496" s="11"/>
    </row>
    <row r="497">
      <c r="A497" s="24"/>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24"/>
      <c r="AF497" s="11"/>
    </row>
    <row r="498">
      <c r="A498" s="24"/>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24"/>
      <c r="AF498" s="11"/>
    </row>
    <row r="499">
      <c r="A499" s="24"/>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24"/>
      <c r="AF499" s="11"/>
    </row>
    <row r="500">
      <c r="A500" s="24"/>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24"/>
      <c r="AF500" s="11"/>
    </row>
    <row r="501">
      <c r="A501" s="24"/>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24"/>
      <c r="AF501" s="11"/>
    </row>
    <row r="502">
      <c r="A502" s="24"/>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24"/>
      <c r="AF502" s="11"/>
    </row>
    <row r="503">
      <c r="A503" s="24"/>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24"/>
      <c r="AF503" s="11"/>
    </row>
    <row r="504">
      <c r="A504" s="24"/>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24"/>
      <c r="AF504" s="11"/>
    </row>
    <row r="505">
      <c r="A505" s="24"/>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24"/>
      <c r="AF505" s="11"/>
    </row>
    <row r="506">
      <c r="A506" s="24"/>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24"/>
      <c r="AF506" s="11"/>
    </row>
    <row r="507">
      <c r="A507" s="24"/>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24"/>
      <c r="AF507" s="11"/>
    </row>
    <row r="508">
      <c r="A508" s="24"/>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24"/>
      <c r="AF508" s="11"/>
    </row>
    <row r="509">
      <c r="A509" s="24"/>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24"/>
      <c r="AF509" s="11"/>
    </row>
    <row r="510">
      <c r="A510" s="24"/>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24"/>
      <c r="AF510" s="11"/>
    </row>
    <row r="511">
      <c r="A511" s="24"/>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24"/>
      <c r="AF511" s="11"/>
    </row>
    <row r="512">
      <c r="A512" s="24"/>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24"/>
      <c r="AF512" s="11"/>
    </row>
    <row r="513">
      <c r="A513" s="24"/>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24"/>
      <c r="AF513" s="11"/>
    </row>
    <row r="514">
      <c r="A514" s="24"/>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24"/>
      <c r="AF514" s="11"/>
    </row>
    <row r="515">
      <c r="A515" s="24"/>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24"/>
      <c r="AF515" s="11"/>
    </row>
    <row r="516">
      <c r="A516" s="24"/>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24"/>
      <c r="AF516" s="11"/>
    </row>
    <row r="517">
      <c r="A517" s="24"/>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24"/>
      <c r="AF517" s="11"/>
    </row>
    <row r="518">
      <c r="A518" s="24"/>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24"/>
      <c r="AF518" s="11"/>
    </row>
    <row r="519">
      <c r="A519" s="24"/>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24"/>
      <c r="AF519" s="11"/>
    </row>
    <row r="520">
      <c r="A520" s="24"/>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24"/>
      <c r="AF520" s="11"/>
    </row>
    <row r="521">
      <c r="A521" s="24"/>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24"/>
      <c r="AF521" s="11"/>
    </row>
    <row r="522">
      <c r="A522" s="24"/>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24"/>
      <c r="AF522" s="11"/>
    </row>
    <row r="523">
      <c r="A523" s="24"/>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24"/>
      <c r="AF523" s="11"/>
    </row>
    <row r="524">
      <c r="A524" s="24"/>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24"/>
      <c r="AF524" s="11"/>
    </row>
    <row r="525">
      <c r="A525" s="24"/>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24"/>
      <c r="AF525" s="11"/>
    </row>
    <row r="526">
      <c r="A526" s="24"/>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24"/>
      <c r="AF526" s="11"/>
    </row>
    <row r="527">
      <c r="A527" s="24"/>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24"/>
      <c r="AF527" s="11"/>
    </row>
    <row r="528">
      <c r="A528" s="24"/>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24"/>
      <c r="AF528" s="11"/>
    </row>
    <row r="529">
      <c r="A529" s="24"/>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24"/>
      <c r="AF529" s="11"/>
    </row>
    <row r="530">
      <c r="A530" s="24"/>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24"/>
      <c r="AF530" s="11"/>
    </row>
    <row r="531">
      <c r="A531" s="24"/>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24"/>
      <c r="AF531" s="11"/>
    </row>
    <row r="532">
      <c r="A532" s="24"/>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24"/>
      <c r="AF532" s="11"/>
    </row>
    <row r="533">
      <c r="A533" s="24"/>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24"/>
      <c r="AF533" s="11"/>
    </row>
    <row r="534">
      <c r="A534" s="24"/>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24"/>
      <c r="AF534" s="11"/>
    </row>
    <row r="535">
      <c r="A535" s="24"/>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24"/>
      <c r="AF535" s="11"/>
    </row>
    <row r="536">
      <c r="A536" s="24"/>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24"/>
      <c r="AF536" s="11"/>
    </row>
    <row r="537">
      <c r="A537" s="24"/>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24"/>
      <c r="AF537" s="11"/>
    </row>
    <row r="538">
      <c r="A538" s="24"/>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24"/>
      <c r="AF538" s="11"/>
    </row>
    <row r="539">
      <c r="A539" s="24"/>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24"/>
      <c r="AF539" s="11"/>
    </row>
    <row r="540">
      <c r="A540" s="24"/>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24"/>
      <c r="AF540" s="11"/>
    </row>
    <row r="541">
      <c r="A541" s="24"/>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24"/>
      <c r="AF541" s="11"/>
    </row>
    <row r="542">
      <c r="A542" s="24"/>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24"/>
      <c r="AF542" s="11"/>
    </row>
    <row r="543">
      <c r="A543" s="24"/>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24"/>
      <c r="AF543" s="11"/>
    </row>
    <row r="544">
      <c r="A544" s="24"/>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24"/>
      <c r="AF544" s="11"/>
    </row>
    <row r="545">
      <c r="A545" s="24"/>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24"/>
      <c r="AF545" s="11"/>
    </row>
    <row r="546">
      <c r="A546" s="24"/>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24"/>
      <c r="AF546" s="11"/>
    </row>
    <row r="547">
      <c r="A547" s="24"/>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24"/>
      <c r="AF547" s="11"/>
    </row>
    <row r="548">
      <c r="A548" s="24"/>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24"/>
      <c r="AF548" s="11"/>
    </row>
    <row r="549">
      <c r="A549" s="24"/>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24"/>
      <c r="AF549" s="11"/>
    </row>
    <row r="550">
      <c r="A550" s="24"/>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24"/>
      <c r="AF550" s="11"/>
    </row>
    <row r="551">
      <c r="A551" s="24"/>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24"/>
      <c r="AF551" s="11"/>
    </row>
    <row r="552">
      <c r="A552" s="24"/>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24"/>
      <c r="AF552" s="11"/>
    </row>
    <row r="553">
      <c r="A553" s="24"/>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24"/>
      <c r="AF553" s="11"/>
    </row>
    <row r="554">
      <c r="A554" s="24"/>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24"/>
      <c r="AF554" s="11"/>
    </row>
    <row r="555">
      <c r="A555" s="24"/>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24"/>
      <c r="AF555" s="11"/>
    </row>
    <row r="556">
      <c r="A556" s="24"/>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24"/>
      <c r="AF556" s="11"/>
    </row>
    <row r="557">
      <c r="A557" s="24"/>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24"/>
      <c r="AF557" s="11"/>
    </row>
    <row r="558">
      <c r="A558" s="24"/>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24"/>
      <c r="AF558" s="11"/>
    </row>
    <row r="559">
      <c r="A559" s="24"/>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24"/>
      <c r="AF559" s="11"/>
    </row>
    <row r="560">
      <c r="A560" s="24"/>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24"/>
      <c r="AF560" s="11"/>
    </row>
    <row r="561">
      <c r="A561" s="24"/>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24"/>
      <c r="AF561" s="11"/>
    </row>
    <row r="562">
      <c r="A562" s="24"/>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24"/>
      <c r="AF562" s="11"/>
    </row>
    <row r="563">
      <c r="A563" s="24"/>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24"/>
      <c r="AF563" s="11"/>
    </row>
    <row r="564">
      <c r="A564" s="24"/>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24"/>
      <c r="AF564" s="11"/>
    </row>
    <row r="565">
      <c r="A565" s="24"/>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24"/>
      <c r="AF565" s="11"/>
    </row>
    <row r="566">
      <c r="A566" s="24"/>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24"/>
      <c r="AF566" s="11"/>
    </row>
    <row r="567">
      <c r="A567" s="24"/>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24"/>
      <c r="AF567" s="11"/>
    </row>
    <row r="568">
      <c r="A568" s="24"/>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24"/>
      <c r="AF568" s="11"/>
    </row>
    <row r="569">
      <c r="A569" s="24"/>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24"/>
      <c r="AF569" s="11"/>
    </row>
    <row r="570">
      <c r="A570" s="24"/>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24"/>
      <c r="AF570" s="11"/>
    </row>
    <row r="571">
      <c r="A571" s="24"/>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24"/>
      <c r="AF571" s="11"/>
    </row>
    <row r="572">
      <c r="A572" s="24"/>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24"/>
      <c r="AF572" s="11"/>
    </row>
    <row r="573">
      <c r="A573" s="24"/>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24"/>
      <c r="AF573" s="11"/>
    </row>
    <row r="574">
      <c r="A574" s="24"/>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24"/>
      <c r="AF574" s="11"/>
    </row>
    <row r="575">
      <c r="A575" s="24"/>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24"/>
      <c r="AF575" s="11"/>
    </row>
    <row r="576">
      <c r="A576" s="24"/>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24"/>
      <c r="AF576" s="11"/>
    </row>
    <row r="577">
      <c r="A577" s="24"/>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24"/>
      <c r="AF577" s="11"/>
    </row>
    <row r="578">
      <c r="A578" s="24"/>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24"/>
      <c r="AF578" s="11"/>
    </row>
    <row r="579">
      <c r="A579" s="24"/>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24"/>
      <c r="AF579" s="11"/>
    </row>
    <row r="580">
      <c r="A580" s="24"/>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24"/>
      <c r="AF580" s="11"/>
    </row>
    <row r="581">
      <c r="A581" s="24"/>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24"/>
      <c r="AF581" s="11"/>
    </row>
    <row r="582">
      <c r="A582" s="24"/>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24"/>
      <c r="AF582" s="11"/>
    </row>
    <row r="583">
      <c r="A583" s="24"/>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24"/>
      <c r="AF583" s="11"/>
    </row>
    <row r="584">
      <c r="A584" s="24"/>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24"/>
      <c r="AF584" s="11"/>
    </row>
    <row r="585">
      <c r="A585" s="24"/>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24"/>
      <c r="AF585" s="11"/>
    </row>
    <row r="586">
      <c r="A586" s="24"/>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24"/>
      <c r="AF586" s="11"/>
    </row>
    <row r="587">
      <c r="A587" s="24"/>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24"/>
      <c r="AF587" s="11"/>
    </row>
    <row r="588">
      <c r="A588" s="24"/>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24"/>
      <c r="AF588" s="11"/>
    </row>
    <row r="589">
      <c r="A589" s="24"/>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24"/>
      <c r="AF589" s="11"/>
    </row>
    <row r="590">
      <c r="A590" s="24"/>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24"/>
      <c r="AF590" s="11"/>
    </row>
    <row r="591">
      <c r="A591" s="24"/>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24"/>
      <c r="AF591" s="11"/>
    </row>
    <row r="592">
      <c r="A592" s="24"/>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24"/>
      <c r="AF592" s="11"/>
    </row>
    <row r="593">
      <c r="A593" s="24"/>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24"/>
      <c r="AF593" s="11"/>
    </row>
    <row r="594">
      <c r="A594" s="24"/>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24"/>
      <c r="AF594" s="11"/>
    </row>
    <row r="595">
      <c r="A595" s="24"/>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24"/>
      <c r="AF595" s="11"/>
    </row>
    <row r="596">
      <c r="A596" s="24"/>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24"/>
      <c r="AF596" s="11"/>
    </row>
    <row r="597">
      <c r="A597" s="24"/>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24"/>
      <c r="AF597" s="11"/>
    </row>
    <row r="598">
      <c r="A598" s="24"/>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24"/>
      <c r="AF598" s="11"/>
    </row>
    <row r="599">
      <c r="A599" s="24"/>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24"/>
      <c r="AF599" s="11"/>
    </row>
    <row r="600">
      <c r="A600" s="24"/>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24"/>
      <c r="AF600" s="11"/>
    </row>
    <row r="601">
      <c r="A601" s="24"/>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24"/>
      <c r="AF601" s="11"/>
    </row>
    <row r="602">
      <c r="A602" s="24"/>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24"/>
      <c r="AF602" s="11"/>
    </row>
    <row r="603">
      <c r="A603" s="24"/>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24"/>
      <c r="AF603" s="11"/>
    </row>
    <row r="604">
      <c r="A604" s="24"/>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24"/>
      <c r="AF604" s="11"/>
    </row>
    <row r="605">
      <c r="A605" s="24"/>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24"/>
      <c r="AF605" s="11"/>
    </row>
    <row r="606">
      <c r="A606" s="24"/>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24"/>
      <c r="AF606" s="11"/>
    </row>
    <row r="607">
      <c r="A607" s="24"/>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24"/>
      <c r="AF607" s="11"/>
    </row>
    <row r="608">
      <c r="A608" s="24"/>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24"/>
      <c r="AF608" s="11"/>
    </row>
    <row r="609">
      <c r="A609" s="24"/>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24"/>
      <c r="AF609" s="11"/>
    </row>
    <row r="610">
      <c r="A610" s="24"/>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24"/>
      <c r="AF610" s="11"/>
    </row>
    <row r="611">
      <c r="A611" s="24"/>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24"/>
      <c r="AF611" s="11"/>
    </row>
    <row r="612">
      <c r="A612" s="24"/>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24"/>
      <c r="AF612" s="11"/>
    </row>
    <row r="613">
      <c r="A613" s="24"/>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24"/>
      <c r="AF613" s="11"/>
    </row>
    <row r="614">
      <c r="A614" s="24"/>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24"/>
      <c r="AF614" s="11"/>
    </row>
    <row r="615">
      <c r="A615" s="24"/>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24"/>
      <c r="AF615" s="11"/>
    </row>
    <row r="616">
      <c r="A616" s="24"/>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24"/>
      <c r="AF616" s="11"/>
    </row>
    <row r="617">
      <c r="A617" s="24"/>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24"/>
      <c r="AF617" s="11"/>
    </row>
    <row r="618">
      <c r="A618" s="24"/>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24"/>
      <c r="AF618" s="11"/>
    </row>
    <row r="619">
      <c r="A619" s="24"/>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24"/>
      <c r="AF619" s="11"/>
    </row>
    <row r="620">
      <c r="A620" s="24"/>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24"/>
      <c r="AF620" s="11"/>
    </row>
    <row r="621">
      <c r="A621" s="24"/>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24"/>
      <c r="AF621" s="11"/>
    </row>
    <row r="622">
      <c r="A622" s="24"/>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24"/>
      <c r="AF622" s="11"/>
    </row>
    <row r="623">
      <c r="A623" s="24"/>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24"/>
      <c r="AF623" s="11"/>
    </row>
    <row r="624">
      <c r="A624" s="24"/>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24"/>
      <c r="AF624" s="11"/>
    </row>
    <row r="625">
      <c r="A625" s="24"/>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24"/>
      <c r="AF625" s="11"/>
    </row>
    <row r="626">
      <c r="A626" s="24"/>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24"/>
      <c r="AF626" s="11"/>
    </row>
    <row r="627">
      <c r="A627" s="24"/>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24"/>
      <c r="AF627" s="11"/>
    </row>
    <row r="628">
      <c r="A628" s="24"/>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24"/>
      <c r="AF628" s="11"/>
    </row>
    <row r="629">
      <c r="A629" s="24"/>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24"/>
      <c r="AF629" s="11"/>
    </row>
    <row r="630">
      <c r="A630" s="24"/>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24"/>
      <c r="AF630" s="11"/>
    </row>
    <row r="631">
      <c r="A631" s="24"/>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24"/>
      <c r="AF631" s="11"/>
    </row>
    <row r="632">
      <c r="A632" s="24"/>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24"/>
      <c r="AF632" s="11"/>
    </row>
    <row r="633">
      <c r="A633" s="24"/>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24"/>
      <c r="AF633" s="11"/>
    </row>
    <row r="634">
      <c r="A634" s="24"/>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24"/>
      <c r="AF634" s="11"/>
    </row>
    <row r="635">
      <c r="A635" s="24"/>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24"/>
      <c r="AF635" s="11"/>
    </row>
    <row r="636">
      <c r="A636" s="24"/>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24"/>
      <c r="AF636" s="11"/>
    </row>
    <row r="637">
      <c r="A637" s="24"/>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24"/>
      <c r="AF637" s="11"/>
    </row>
    <row r="638">
      <c r="A638" s="24"/>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24"/>
      <c r="AF638" s="11"/>
    </row>
    <row r="639">
      <c r="A639" s="24"/>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24"/>
      <c r="AF639" s="11"/>
    </row>
    <row r="640">
      <c r="A640" s="24"/>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24"/>
      <c r="AF640" s="11"/>
    </row>
    <row r="641">
      <c r="A641" s="24"/>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24"/>
      <c r="AF641" s="11"/>
    </row>
    <row r="642">
      <c r="A642" s="24"/>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24"/>
      <c r="AF642" s="11"/>
    </row>
    <row r="643">
      <c r="A643" s="24"/>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24"/>
      <c r="AF643" s="11"/>
    </row>
    <row r="644">
      <c r="A644" s="24"/>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24"/>
      <c r="AF644" s="11"/>
    </row>
    <row r="645">
      <c r="A645" s="24"/>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24"/>
      <c r="AF645" s="11"/>
    </row>
    <row r="646">
      <c r="A646" s="24"/>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24"/>
      <c r="AF646" s="11"/>
    </row>
    <row r="647">
      <c r="A647" s="24"/>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24"/>
      <c r="AF647" s="11"/>
    </row>
    <row r="648">
      <c r="A648" s="24"/>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24"/>
      <c r="AF648" s="11"/>
    </row>
    <row r="649">
      <c r="A649" s="24"/>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24"/>
      <c r="AF649" s="11"/>
    </row>
    <row r="650">
      <c r="A650" s="24"/>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24"/>
      <c r="AF650" s="11"/>
    </row>
    <row r="651">
      <c r="A651" s="24"/>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24"/>
      <c r="AF651" s="11"/>
    </row>
    <row r="652">
      <c r="A652" s="24"/>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24"/>
      <c r="AF652" s="11"/>
    </row>
    <row r="653">
      <c r="A653" s="24"/>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24"/>
      <c r="AF653" s="11"/>
    </row>
    <row r="654">
      <c r="A654" s="24"/>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24"/>
      <c r="AF654" s="11"/>
    </row>
    <row r="655">
      <c r="A655" s="24"/>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24"/>
      <c r="AF655" s="11"/>
    </row>
    <row r="656">
      <c r="A656" s="24"/>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24"/>
      <c r="AF656" s="11"/>
    </row>
    <row r="657">
      <c r="A657" s="24"/>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24"/>
      <c r="AF657" s="11"/>
    </row>
    <row r="658">
      <c r="A658" s="24"/>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24"/>
      <c r="AF658" s="11"/>
    </row>
    <row r="659">
      <c r="A659" s="24"/>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24"/>
      <c r="AF659" s="11"/>
    </row>
    <row r="660">
      <c r="A660" s="24"/>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24"/>
      <c r="AF660" s="11"/>
    </row>
    <row r="661">
      <c r="A661" s="24"/>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24"/>
      <c r="AF661" s="11"/>
    </row>
    <row r="662">
      <c r="A662" s="24"/>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24"/>
      <c r="AF662" s="11"/>
    </row>
    <row r="663">
      <c r="A663" s="24"/>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24"/>
      <c r="AF663" s="11"/>
    </row>
    <row r="664">
      <c r="A664" s="24"/>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24"/>
      <c r="AF664" s="11"/>
    </row>
    <row r="665">
      <c r="A665" s="24"/>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24"/>
      <c r="AF665" s="11"/>
    </row>
    <row r="666">
      <c r="A666" s="24"/>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24"/>
      <c r="AF666" s="11"/>
    </row>
    <row r="667">
      <c r="A667" s="24"/>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24"/>
      <c r="AF667" s="11"/>
    </row>
    <row r="668">
      <c r="A668" s="24"/>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24"/>
      <c r="AF668" s="11"/>
    </row>
    <row r="669">
      <c r="A669" s="24"/>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24"/>
      <c r="AF669" s="11"/>
    </row>
    <row r="670">
      <c r="A670" s="24"/>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24"/>
      <c r="AF670" s="11"/>
    </row>
    <row r="671">
      <c r="A671" s="24"/>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24"/>
      <c r="AF671" s="11"/>
    </row>
    <row r="672">
      <c r="A672" s="24"/>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24"/>
      <c r="AF672" s="11"/>
    </row>
    <row r="673">
      <c r="A673" s="24"/>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24"/>
      <c r="AF673" s="11"/>
    </row>
    <row r="674">
      <c r="A674" s="24"/>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24"/>
      <c r="AF674" s="11"/>
    </row>
    <row r="675">
      <c r="A675" s="24"/>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24"/>
      <c r="AF675" s="11"/>
    </row>
    <row r="676">
      <c r="A676" s="24"/>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24"/>
      <c r="AF676" s="11"/>
    </row>
    <row r="677">
      <c r="A677" s="24"/>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24"/>
      <c r="AF677" s="11"/>
    </row>
    <row r="678">
      <c r="A678" s="24"/>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24"/>
      <c r="AF678" s="11"/>
    </row>
    <row r="679">
      <c r="A679" s="24"/>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24"/>
      <c r="AF679" s="11"/>
    </row>
    <row r="680">
      <c r="A680" s="24"/>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24"/>
      <c r="AF680" s="11"/>
    </row>
    <row r="681">
      <c r="A681" s="24"/>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24"/>
      <c r="AF681" s="11"/>
    </row>
    <row r="682">
      <c r="A682" s="24"/>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24"/>
      <c r="AF682" s="11"/>
    </row>
    <row r="683">
      <c r="A683" s="24"/>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24"/>
      <c r="AF683" s="11"/>
    </row>
    <row r="684">
      <c r="A684" s="24"/>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24"/>
      <c r="AF684" s="11"/>
    </row>
    <row r="685">
      <c r="A685" s="24"/>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24"/>
      <c r="AF685" s="11"/>
    </row>
    <row r="686">
      <c r="A686" s="24"/>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24"/>
      <c r="AF686" s="11"/>
    </row>
    <row r="687">
      <c r="A687" s="24"/>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24"/>
      <c r="AF687" s="11"/>
    </row>
    <row r="688">
      <c r="A688" s="24"/>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24"/>
      <c r="AF688" s="11"/>
    </row>
    <row r="689">
      <c r="A689" s="24"/>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24"/>
      <c r="AF689" s="11"/>
    </row>
    <row r="690">
      <c r="A690" s="24"/>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24"/>
      <c r="AF690" s="11"/>
    </row>
    <row r="691">
      <c r="A691" s="24"/>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24"/>
      <c r="AF691" s="11"/>
    </row>
    <row r="692">
      <c r="A692" s="24"/>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24"/>
      <c r="AF692" s="11"/>
    </row>
    <row r="693">
      <c r="A693" s="24"/>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24"/>
      <c r="AF693" s="11"/>
    </row>
    <row r="694">
      <c r="A694" s="24"/>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24"/>
      <c r="AF694" s="11"/>
    </row>
    <row r="695">
      <c r="A695" s="24"/>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24"/>
      <c r="AF695" s="11"/>
    </row>
    <row r="696">
      <c r="A696" s="24"/>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24"/>
      <c r="AF696" s="11"/>
    </row>
    <row r="697">
      <c r="A697" s="24"/>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24"/>
      <c r="AF697" s="11"/>
    </row>
    <row r="698">
      <c r="A698" s="24"/>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24"/>
      <c r="AF698" s="11"/>
    </row>
    <row r="699">
      <c r="A699" s="24"/>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24"/>
      <c r="AF699" s="11"/>
    </row>
    <row r="700">
      <c r="A700" s="24"/>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24"/>
      <c r="AF700" s="11"/>
    </row>
    <row r="701">
      <c r="A701" s="24"/>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24"/>
      <c r="AF701" s="11"/>
    </row>
    <row r="702">
      <c r="A702" s="24"/>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24"/>
      <c r="AF702" s="11"/>
    </row>
    <row r="703">
      <c r="A703" s="24"/>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24"/>
      <c r="AF703" s="11"/>
    </row>
    <row r="704">
      <c r="A704" s="24"/>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24"/>
      <c r="AF704" s="11"/>
    </row>
    <row r="705">
      <c r="A705" s="24"/>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24"/>
      <c r="AF705" s="11"/>
    </row>
    <row r="706">
      <c r="A706" s="24"/>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24"/>
      <c r="AF706" s="11"/>
    </row>
    <row r="707">
      <c r="A707" s="24"/>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24"/>
      <c r="AF707" s="11"/>
    </row>
    <row r="708">
      <c r="A708" s="24"/>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24"/>
      <c r="AF708" s="11"/>
    </row>
    <row r="709">
      <c r="A709" s="24"/>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24"/>
      <c r="AF709" s="11"/>
    </row>
    <row r="710">
      <c r="A710" s="24"/>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24"/>
      <c r="AF710" s="11"/>
    </row>
    <row r="711">
      <c r="A711" s="24"/>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24"/>
      <c r="AF711" s="11"/>
    </row>
    <row r="712">
      <c r="A712" s="24"/>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24"/>
      <c r="AF712" s="11"/>
    </row>
    <row r="713">
      <c r="A713" s="24"/>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24"/>
      <c r="AF713" s="11"/>
    </row>
    <row r="714">
      <c r="A714" s="24"/>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24"/>
      <c r="AF714" s="11"/>
    </row>
    <row r="715">
      <c r="A715" s="24"/>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24"/>
      <c r="AF715" s="11"/>
    </row>
    <row r="716">
      <c r="A716" s="24"/>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24"/>
      <c r="AF716" s="11"/>
    </row>
    <row r="717">
      <c r="A717" s="24"/>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24"/>
      <c r="AF717" s="11"/>
    </row>
    <row r="718">
      <c r="A718" s="24"/>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24"/>
      <c r="AF718" s="11"/>
    </row>
    <row r="719">
      <c r="A719" s="24"/>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24"/>
      <c r="AF719" s="11"/>
    </row>
    <row r="720">
      <c r="A720" s="24"/>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24"/>
      <c r="AF720" s="11"/>
    </row>
    <row r="721">
      <c r="A721" s="24"/>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24"/>
      <c r="AF721" s="11"/>
    </row>
    <row r="722">
      <c r="A722" s="24"/>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24"/>
      <c r="AF722" s="11"/>
    </row>
    <row r="723">
      <c r="A723" s="24"/>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24"/>
      <c r="AF723" s="11"/>
    </row>
    <row r="724">
      <c r="A724" s="24"/>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24"/>
      <c r="AF724" s="11"/>
    </row>
    <row r="725">
      <c r="A725" s="24"/>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24"/>
      <c r="AF725" s="11"/>
    </row>
    <row r="726">
      <c r="A726" s="24"/>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24"/>
      <c r="AF726" s="11"/>
    </row>
    <row r="727">
      <c r="A727" s="24"/>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24"/>
      <c r="AF727" s="11"/>
    </row>
    <row r="728">
      <c r="A728" s="24"/>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24"/>
      <c r="AF728" s="11"/>
    </row>
    <row r="729">
      <c r="A729" s="24"/>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24"/>
      <c r="AF729" s="11"/>
    </row>
    <row r="730">
      <c r="A730" s="24"/>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24"/>
      <c r="AF730" s="11"/>
    </row>
    <row r="731">
      <c r="A731" s="24"/>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24"/>
      <c r="AF731" s="11"/>
    </row>
    <row r="732">
      <c r="A732" s="24"/>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24"/>
      <c r="AF732" s="11"/>
    </row>
    <row r="733">
      <c r="A733" s="24"/>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24"/>
      <c r="AF733" s="11"/>
    </row>
    <row r="734">
      <c r="A734" s="24"/>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24"/>
      <c r="AF734" s="11"/>
    </row>
    <row r="735">
      <c r="A735" s="24"/>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24"/>
      <c r="AF735" s="11"/>
    </row>
    <row r="736">
      <c r="A736" s="24"/>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24"/>
      <c r="AF736" s="11"/>
    </row>
    <row r="737">
      <c r="A737" s="24"/>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24"/>
      <c r="AF737" s="11"/>
    </row>
    <row r="738">
      <c r="A738" s="24"/>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24"/>
      <c r="AF738" s="11"/>
    </row>
    <row r="739">
      <c r="A739" s="24"/>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24"/>
      <c r="AF739" s="11"/>
    </row>
    <row r="740">
      <c r="A740" s="24"/>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24"/>
      <c r="AF740" s="11"/>
    </row>
    <row r="741">
      <c r="A741" s="24"/>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24"/>
      <c r="AF741" s="11"/>
    </row>
    <row r="742">
      <c r="A742" s="24"/>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24"/>
      <c r="AF742" s="11"/>
    </row>
    <row r="743">
      <c r="A743" s="24"/>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24"/>
      <c r="AF743" s="11"/>
    </row>
    <row r="744">
      <c r="A744" s="24"/>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24"/>
      <c r="AF744" s="11"/>
    </row>
    <row r="745">
      <c r="A745" s="24"/>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24"/>
      <c r="AF745" s="11"/>
    </row>
    <row r="746">
      <c r="AE746" s="854"/>
    </row>
    <row r="747">
      <c r="AE747" s="854"/>
    </row>
    <row r="748">
      <c r="AE748" s="854"/>
    </row>
    <row r="749">
      <c r="AE749" s="854"/>
    </row>
    <row r="750">
      <c r="AE750" s="854"/>
    </row>
    <row r="751">
      <c r="AE751" s="854"/>
    </row>
    <row r="752">
      <c r="AE752" s="854"/>
    </row>
    <row r="753">
      <c r="AE753" s="854"/>
    </row>
    <row r="754">
      <c r="AE754" s="854"/>
    </row>
    <row r="755">
      <c r="AE755" s="854"/>
    </row>
    <row r="756">
      <c r="AE756" s="854"/>
    </row>
    <row r="757">
      <c r="AE757" s="854"/>
    </row>
    <row r="758">
      <c r="AE758" s="854"/>
    </row>
    <row r="759">
      <c r="AE759" s="854"/>
    </row>
    <row r="760">
      <c r="AE760" s="854"/>
    </row>
    <row r="761">
      <c r="AE761" s="854"/>
    </row>
    <row r="762">
      <c r="AE762" s="854"/>
    </row>
    <row r="763">
      <c r="AE763" s="854"/>
    </row>
    <row r="764">
      <c r="AE764" s="854"/>
    </row>
    <row r="765">
      <c r="AE765" s="854"/>
    </row>
    <row r="766">
      <c r="AE766" s="854"/>
    </row>
    <row r="767">
      <c r="AE767" s="854"/>
    </row>
    <row r="768">
      <c r="AE768" s="854"/>
    </row>
    <row r="769">
      <c r="AE769" s="854"/>
    </row>
    <row r="770">
      <c r="AE770" s="854"/>
    </row>
    <row r="771">
      <c r="AE771" s="854"/>
    </row>
    <row r="772">
      <c r="AE772" s="854"/>
    </row>
    <row r="773">
      <c r="AE773" s="854"/>
    </row>
    <row r="774">
      <c r="AE774" s="854"/>
    </row>
    <row r="775">
      <c r="AE775" s="854"/>
    </row>
    <row r="776">
      <c r="AE776" s="854"/>
    </row>
    <row r="777">
      <c r="AE777" s="854"/>
    </row>
    <row r="778">
      <c r="AE778" s="854"/>
    </row>
    <row r="779">
      <c r="AE779" s="854"/>
    </row>
    <row r="780">
      <c r="AE780" s="854"/>
    </row>
    <row r="781">
      <c r="AE781" s="854"/>
    </row>
    <row r="782">
      <c r="AE782" s="854"/>
    </row>
    <row r="783">
      <c r="AE783" s="854"/>
    </row>
    <row r="784">
      <c r="AE784" s="854"/>
    </row>
    <row r="785">
      <c r="AE785" s="854"/>
    </row>
    <row r="786">
      <c r="AE786" s="854"/>
    </row>
    <row r="787">
      <c r="AE787" s="854"/>
    </row>
    <row r="788">
      <c r="AE788" s="854"/>
    </row>
    <row r="789">
      <c r="AE789" s="854"/>
    </row>
    <row r="790">
      <c r="AE790" s="854"/>
    </row>
    <row r="791">
      <c r="AE791" s="854"/>
    </row>
    <row r="792">
      <c r="AE792" s="854"/>
    </row>
    <row r="793">
      <c r="AE793" s="854"/>
    </row>
    <row r="794">
      <c r="AE794" s="854"/>
    </row>
    <row r="795">
      <c r="AE795" s="854"/>
    </row>
    <row r="796">
      <c r="AE796" s="854"/>
    </row>
    <row r="797">
      <c r="AE797" s="854"/>
    </row>
    <row r="798">
      <c r="AE798" s="854"/>
    </row>
    <row r="799">
      <c r="AE799" s="854"/>
    </row>
    <row r="800">
      <c r="AE800" s="854"/>
    </row>
    <row r="801">
      <c r="AE801" s="854"/>
    </row>
    <row r="802">
      <c r="AE802" s="854"/>
    </row>
    <row r="803">
      <c r="AE803" s="854"/>
    </row>
    <row r="804">
      <c r="AE804" s="854"/>
    </row>
    <row r="805">
      <c r="AE805" s="854"/>
    </row>
    <row r="806">
      <c r="AE806" s="854"/>
    </row>
    <row r="807">
      <c r="AE807" s="854"/>
    </row>
    <row r="808">
      <c r="AE808" s="854"/>
    </row>
    <row r="809">
      <c r="AE809" s="854"/>
    </row>
    <row r="810">
      <c r="AE810" s="854"/>
    </row>
    <row r="811">
      <c r="AE811" s="854"/>
    </row>
    <row r="812">
      <c r="AE812" s="854"/>
    </row>
    <row r="813">
      <c r="AE813" s="854"/>
    </row>
    <row r="814">
      <c r="AE814" s="854"/>
    </row>
    <row r="815">
      <c r="AE815" s="854"/>
    </row>
    <row r="816">
      <c r="AE816" s="854"/>
    </row>
    <row r="817">
      <c r="AE817" s="854"/>
    </row>
    <row r="818">
      <c r="AE818" s="854"/>
    </row>
    <row r="819">
      <c r="AE819" s="854"/>
    </row>
    <row r="820">
      <c r="AE820" s="854"/>
    </row>
    <row r="821">
      <c r="AE821" s="854"/>
    </row>
    <row r="822">
      <c r="AE822" s="854"/>
    </row>
    <row r="823">
      <c r="AE823" s="854"/>
    </row>
    <row r="824">
      <c r="AE824" s="854"/>
    </row>
    <row r="825">
      <c r="AE825" s="854"/>
    </row>
    <row r="826">
      <c r="AE826" s="854"/>
    </row>
    <row r="827">
      <c r="AE827" s="854"/>
    </row>
    <row r="828">
      <c r="AE828" s="854"/>
    </row>
    <row r="829">
      <c r="AE829" s="854"/>
    </row>
    <row r="830">
      <c r="AE830" s="854"/>
    </row>
    <row r="831">
      <c r="AE831" s="854"/>
    </row>
    <row r="832">
      <c r="AE832" s="854"/>
    </row>
    <row r="833">
      <c r="AE833" s="854"/>
    </row>
    <row r="834">
      <c r="AE834" s="854"/>
    </row>
    <row r="835">
      <c r="AE835" s="854"/>
    </row>
    <row r="836">
      <c r="AE836" s="854"/>
    </row>
    <row r="837">
      <c r="AE837" s="854"/>
    </row>
    <row r="838">
      <c r="AE838" s="854"/>
    </row>
    <row r="839">
      <c r="AE839" s="854"/>
    </row>
    <row r="840">
      <c r="AE840" s="854"/>
    </row>
    <row r="841">
      <c r="AE841" s="854"/>
    </row>
    <row r="842">
      <c r="AE842" s="854"/>
    </row>
    <row r="843">
      <c r="AE843" s="854"/>
    </row>
    <row r="844">
      <c r="AE844" s="854"/>
    </row>
    <row r="845">
      <c r="AE845" s="854"/>
    </row>
    <row r="846">
      <c r="AE846" s="854"/>
    </row>
    <row r="847">
      <c r="AE847" s="854"/>
    </row>
    <row r="848">
      <c r="AE848" s="854"/>
    </row>
    <row r="849">
      <c r="AE849" s="854"/>
    </row>
    <row r="850">
      <c r="AE850" s="854"/>
    </row>
    <row r="851">
      <c r="AE851" s="854"/>
    </row>
    <row r="852">
      <c r="AE852" s="854"/>
    </row>
    <row r="853">
      <c r="AE853" s="854"/>
    </row>
    <row r="854">
      <c r="AE854" s="854"/>
    </row>
    <row r="855">
      <c r="AE855" s="854"/>
    </row>
    <row r="856">
      <c r="AE856" s="854"/>
    </row>
    <row r="857">
      <c r="AE857" s="854"/>
    </row>
    <row r="858">
      <c r="AE858" s="854"/>
    </row>
    <row r="859">
      <c r="AE859" s="854"/>
    </row>
    <row r="860">
      <c r="AE860" s="854"/>
    </row>
    <row r="861">
      <c r="AE861" s="854"/>
    </row>
    <row r="862">
      <c r="AE862" s="854"/>
    </row>
    <row r="863">
      <c r="AE863" s="854"/>
    </row>
    <row r="864">
      <c r="AE864" s="854"/>
    </row>
    <row r="865">
      <c r="AE865" s="854"/>
    </row>
    <row r="866">
      <c r="AE866" s="854"/>
    </row>
    <row r="867">
      <c r="AE867" s="854"/>
    </row>
    <row r="868">
      <c r="AE868" s="854"/>
    </row>
    <row r="869">
      <c r="AE869" s="854"/>
    </row>
    <row r="870">
      <c r="AE870" s="854"/>
    </row>
    <row r="871">
      <c r="AE871" s="854"/>
    </row>
    <row r="872">
      <c r="AE872" s="854"/>
    </row>
    <row r="873">
      <c r="AE873" s="854"/>
    </row>
    <row r="874">
      <c r="AE874" s="854"/>
    </row>
    <row r="875">
      <c r="AE875" s="854"/>
    </row>
    <row r="876">
      <c r="AE876" s="854"/>
    </row>
    <row r="877">
      <c r="AE877" s="854"/>
    </row>
    <row r="878">
      <c r="AE878" s="854"/>
    </row>
    <row r="879">
      <c r="AE879" s="854"/>
    </row>
    <row r="880">
      <c r="AE880" s="854"/>
    </row>
    <row r="881">
      <c r="AE881" s="854"/>
    </row>
    <row r="882">
      <c r="AE882" s="854"/>
    </row>
    <row r="883">
      <c r="AE883" s="854"/>
    </row>
    <row r="884">
      <c r="AE884" s="854"/>
    </row>
    <row r="885">
      <c r="AE885" s="854"/>
    </row>
    <row r="886">
      <c r="AE886" s="854"/>
    </row>
    <row r="887">
      <c r="AE887" s="854"/>
    </row>
    <row r="888">
      <c r="AE888" s="854"/>
    </row>
    <row r="889">
      <c r="AE889" s="854"/>
    </row>
    <row r="890">
      <c r="AE890" s="854"/>
    </row>
    <row r="891">
      <c r="AE891" s="854"/>
    </row>
    <row r="892">
      <c r="AE892" s="854"/>
    </row>
    <row r="893">
      <c r="AE893" s="854"/>
    </row>
    <row r="894">
      <c r="AE894" s="854"/>
    </row>
    <row r="895">
      <c r="AE895" s="854"/>
    </row>
    <row r="896">
      <c r="AE896" s="854"/>
    </row>
    <row r="897">
      <c r="AE897" s="854"/>
    </row>
    <row r="898">
      <c r="AE898" s="854"/>
    </row>
    <row r="899">
      <c r="AE899" s="854"/>
    </row>
    <row r="900">
      <c r="AE900" s="854"/>
    </row>
    <row r="901">
      <c r="AE901" s="854"/>
    </row>
    <row r="902">
      <c r="AE902" s="854"/>
    </row>
    <row r="903">
      <c r="AE903" s="854"/>
    </row>
    <row r="904">
      <c r="AE904" s="854"/>
    </row>
    <row r="905">
      <c r="AE905" s="854"/>
    </row>
    <row r="906">
      <c r="AE906" s="854"/>
    </row>
    <row r="907">
      <c r="AE907" s="854"/>
    </row>
    <row r="908">
      <c r="AE908" s="854"/>
    </row>
    <row r="909">
      <c r="AE909" s="854"/>
    </row>
    <row r="910">
      <c r="AE910" s="854"/>
    </row>
    <row r="911">
      <c r="AE911" s="854"/>
    </row>
    <row r="912">
      <c r="AE912" s="854"/>
    </row>
    <row r="913">
      <c r="AE913" s="854"/>
    </row>
    <row r="914">
      <c r="AE914" s="854"/>
    </row>
    <row r="915">
      <c r="AE915" s="854"/>
    </row>
    <row r="916">
      <c r="AE916" s="854"/>
    </row>
    <row r="917">
      <c r="AE917" s="854"/>
    </row>
    <row r="918">
      <c r="AE918" s="854"/>
    </row>
    <row r="919">
      <c r="AE919" s="854"/>
    </row>
    <row r="920">
      <c r="AE920" s="854"/>
    </row>
    <row r="921">
      <c r="AE921" s="854"/>
    </row>
    <row r="922">
      <c r="AE922" s="854"/>
    </row>
    <row r="923">
      <c r="AE923" s="854"/>
    </row>
    <row r="924">
      <c r="AE924" s="854"/>
    </row>
    <row r="925">
      <c r="AE925" s="854"/>
    </row>
    <row r="926">
      <c r="AE926" s="854"/>
    </row>
    <row r="927">
      <c r="AE927" s="854"/>
    </row>
    <row r="928">
      <c r="AE928" s="854"/>
    </row>
    <row r="929">
      <c r="AE929" s="854"/>
    </row>
    <row r="930">
      <c r="AE930" s="854"/>
    </row>
    <row r="931">
      <c r="AE931" s="854"/>
    </row>
    <row r="932">
      <c r="AE932" s="854"/>
    </row>
    <row r="933">
      <c r="AE933" s="854"/>
    </row>
    <row r="934">
      <c r="AE934" s="854"/>
    </row>
    <row r="935">
      <c r="AE935" s="854"/>
    </row>
    <row r="936">
      <c r="AE936" s="854"/>
    </row>
    <row r="937">
      <c r="AE937" s="854"/>
    </row>
    <row r="938">
      <c r="AE938" s="854"/>
    </row>
    <row r="939">
      <c r="AE939" s="854"/>
    </row>
    <row r="940">
      <c r="AE940" s="854"/>
    </row>
    <row r="941">
      <c r="AE941" s="854"/>
    </row>
    <row r="942">
      <c r="AE942" s="854"/>
    </row>
    <row r="943">
      <c r="AE943" s="854"/>
    </row>
    <row r="944">
      <c r="AE944" s="854"/>
    </row>
    <row r="945">
      <c r="AE945" s="854"/>
    </row>
    <row r="946">
      <c r="AE946" s="854"/>
    </row>
    <row r="947">
      <c r="AE947" s="854"/>
    </row>
    <row r="948">
      <c r="AE948" s="854"/>
    </row>
    <row r="949">
      <c r="AE949" s="854"/>
    </row>
    <row r="950">
      <c r="AE950" s="854"/>
    </row>
    <row r="951">
      <c r="AE951" s="854"/>
    </row>
    <row r="952">
      <c r="AE952" s="854"/>
    </row>
    <row r="953">
      <c r="AE953" s="854"/>
    </row>
    <row r="954">
      <c r="AE954" s="854"/>
    </row>
    <row r="955">
      <c r="AE955" s="854"/>
    </row>
    <row r="956">
      <c r="AE956" s="854"/>
    </row>
    <row r="957">
      <c r="AE957" s="854"/>
    </row>
    <row r="958">
      <c r="AE958" s="854"/>
    </row>
    <row r="959">
      <c r="AE959" s="854"/>
    </row>
    <row r="960">
      <c r="AE960" s="854"/>
    </row>
    <row r="961">
      <c r="AE961" s="854"/>
    </row>
    <row r="962">
      <c r="AE962" s="854"/>
    </row>
    <row r="963">
      <c r="AE963" s="854"/>
    </row>
    <row r="964">
      <c r="AE964" s="854"/>
    </row>
    <row r="965">
      <c r="AE965" s="854"/>
    </row>
    <row r="966">
      <c r="AE966" s="854"/>
    </row>
    <row r="967">
      <c r="AE967" s="854"/>
    </row>
    <row r="968">
      <c r="AE968" s="854"/>
    </row>
    <row r="969">
      <c r="AE969" s="854"/>
    </row>
    <row r="970">
      <c r="AE970" s="854"/>
    </row>
    <row r="971">
      <c r="AE971" s="854"/>
    </row>
    <row r="972">
      <c r="AE972" s="854"/>
    </row>
    <row r="973">
      <c r="AE973" s="854"/>
    </row>
    <row r="974">
      <c r="AE974" s="854"/>
    </row>
    <row r="975">
      <c r="AE975" s="854"/>
    </row>
    <row r="976">
      <c r="AE976" s="854"/>
    </row>
    <row r="977">
      <c r="AE977" s="854"/>
    </row>
    <row r="978">
      <c r="AE978" s="854"/>
    </row>
    <row r="979">
      <c r="AE979" s="854"/>
    </row>
    <row r="980">
      <c r="AE980" s="854"/>
    </row>
    <row r="981">
      <c r="AE981" s="854"/>
    </row>
    <row r="982">
      <c r="AE982" s="854"/>
    </row>
    <row r="983">
      <c r="AE983" s="854"/>
    </row>
    <row r="984">
      <c r="AE984" s="854"/>
    </row>
    <row r="985">
      <c r="AE985" s="854"/>
    </row>
    <row r="986">
      <c r="AE986" s="854"/>
    </row>
    <row r="987">
      <c r="AE987" s="854"/>
    </row>
    <row r="988">
      <c r="AE988" s="854"/>
    </row>
    <row r="989">
      <c r="AE989" s="854"/>
    </row>
    <row r="990">
      <c r="AE990" s="854"/>
    </row>
    <row r="991">
      <c r="AE991" s="854"/>
    </row>
    <row r="992">
      <c r="AE992" s="854"/>
    </row>
    <row r="993">
      <c r="AE993" s="854"/>
    </row>
    <row r="994">
      <c r="AE994" s="854"/>
    </row>
    <row r="995">
      <c r="AE995" s="854"/>
    </row>
    <row r="996">
      <c r="AE996" s="854"/>
    </row>
    <row r="997">
      <c r="AE997" s="854"/>
    </row>
    <row r="998">
      <c r="AE998" s="854"/>
    </row>
    <row r="999">
      <c r="AE999" s="854"/>
    </row>
    <row r="1000">
      <c r="AE1000" s="85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sheetViews>
  <sheetFormatPr customHeight="1" defaultColWidth="12.63" defaultRowHeight="15.75" outlineLevelCol="1"/>
  <cols>
    <col customWidth="1" min="1" max="1" width="61.25"/>
  </cols>
  <sheetData>
    <row r="1">
      <c r="A1" s="69" t="s">
        <v>1</v>
      </c>
      <c r="B1" s="6">
        <v>45170.0</v>
      </c>
      <c r="C1" s="6">
        <v>45171.0</v>
      </c>
      <c r="D1" s="6">
        <v>45172.0</v>
      </c>
      <c r="E1" s="6">
        <v>45173.0</v>
      </c>
      <c r="F1" s="6">
        <v>45174.0</v>
      </c>
      <c r="G1" s="6">
        <v>45175.0</v>
      </c>
      <c r="H1" s="6">
        <v>45176.0</v>
      </c>
      <c r="I1" s="6">
        <v>45177.0</v>
      </c>
      <c r="J1" s="6">
        <v>45178.0</v>
      </c>
      <c r="K1" s="6">
        <v>45179.0</v>
      </c>
      <c r="L1" s="6">
        <v>45180.0</v>
      </c>
      <c r="M1" s="6">
        <v>45181.0</v>
      </c>
      <c r="N1" s="6">
        <v>45182.0</v>
      </c>
      <c r="O1" s="6">
        <v>45183.0</v>
      </c>
      <c r="P1" s="6">
        <v>45184.0</v>
      </c>
      <c r="Q1" s="6">
        <v>45185.0</v>
      </c>
      <c r="R1" s="6">
        <v>45186.0</v>
      </c>
      <c r="S1" s="6">
        <v>45187.0</v>
      </c>
      <c r="T1" s="6">
        <v>45188.0</v>
      </c>
      <c r="U1" s="6">
        <v>45189.0</v>
      </c>
      <c r="V1" s="6">
        <v>45190.0</v>
      </c>
      <c r="W1" s="6">
        <v>45191.0</v>
      </c>
      <c r="X1" s="6">
        <v>45192.0</v>
      </c>
      <c r="Y1" s="6">
        <v>45193.0</v>
      </c>
      <c r="Z1" s="6">
        <v>45194.0</v>
      </c>
      <c r="AA1" s="6">
        <v>45195.0</v>
      </c>
      <c r="AB1" s="6">
        <v>45196.0</v>
      </c>
      <c r="AC1" s="6">
        <v>45197.0</v>
      </c>
      <c r="AD1" s="6">
        <v>45198.0</v>
      </c>
      <c r="AE1" s="6">
        <v>45199.0</v>
      </c>
      <c r="AF1" s="17"/>
    </row>
    <row r="2">
      <c r="A2" s="14" t="s">
        <v>44</v>
      </c>
      <c r="B2" s="13" t="s">
        <v>46</v>
      </c>
      <c r="C2" s="13" t="s">
        <v>48</v>
      </c>
      <c r="D2" s="13" t="s">
        <v>51</v>
      </c>
      <c r="E2" s="13" t="s">
        <v>52</v>
      </c>
      <c r="F2" s="13" t="s">
        <v>55</v>
      </c>
      <c r="G2" s="13" t="s">
        <v>57</v>
      </c>
      <c r="H2" s="13" t="s">
        <v>58</v>
      </c>
      <c r="I2" s="13" t="s">
        <v>46</v>
      </c>
      <c r="J2" s="13" t="s">
        <v>48</v>
      </c>
      <c r="K2" s="13" t="s">
        <v>51</v>
      </c>
      <c r="L2" s="13" t="s">
        <v>52</v>
      </c>
      <c r="M2" s="13" t="s">
        <v>55</v>
      </c>
      <c r="N2" s="13" t="s">
        <v>57</v>
      </c>
      <c r="O2" s="13" t="s">
        <v>58</v>
      </c>
      <c r="P2" s="13" t="s">
        <v>46</v>
      </c>
      <c r="Q2" s="13" t="s">
        <v>48</v>
      </c>
      <c r="R2" s="13" t="s">
        <v>51</v>
      </c>
      <c r="S2" s="13" t="s">
        <v>52</v>
      </c>
      <c r="T2" s="13" t="s">
        <v>55</v>
      </c>
      <c r="U2" s="13" t="s">
        <v>57</v>
      </c>
      <c r="V2" s="13" t="s">
        <v>58</v>
      </c>
      <c r="W2" s="13" t="s">
        <v>46</v>
      </c>
      <c r="X2" s="13" t="s">
        <v>48</v>
      </c>
      <c r="Y2" s="13" t="s">
        <v>51</v>
      </c>
      <c r="Z2" s="13" t="s">
        <v>52</v>
      </c>
      <c r="AA2" s="13" t="s">
        <v>55</v>
      </c>
      <c r="AB2" s="13" t="s">
        <v>57</v>
      </c>
      <c r="AC2" s="13" t="s">
        <v>58</v>
      </c>
      <c r="AD2" s="13" t="s">
        <v>46</v>
      </c>
      <c r="AE2" s="13" t="s">
        <v>48</v>
      </c>
      <c r="AF2" s="17"/>
    </row>
    <row r="3">
      <c r="A3" s="24"/>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72"/>
    </row>
    <row r="4">
      <c r="A4" s="73" t="s">
        <v>108</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72"/>
    </row>
    <row r="5">
      <c r="A5" s="78" t="s">
        <v>110</v>
      </c>
      <c r="B5" s="80">
        <v>0.0</v>
      </c>
      <c r="C5" s="80">
        <v>0.0</v>
      </c>
      <c r="D5" s="80">
        <v>0.0</v>
      </c>
      <c r="E5" s="80">
        <v>0.0</v>
      </c>
      <c r="F5" s="80">
        <v>0.0</v>
      </c>
      <c r="G5" s="80">
        <v>0.0</v>
      </c>
      <c r="H5" s="80">
        <v>0.0</v>
      </c>
      <c r="I5" s="80">
        <v>0.0</v>
      </c>
      <c r="J5" s="80">
        <v>0.0</v>
      </c>
      <c r="K5" s="80">
        <v>0.0</v>
      </c>
      <c r="L5" s="80">
        <v>0.0</v>
      </c>
      <c r="M5" s="80">
        <v>0.0</v>
      </c>
      <c r="N5" s="80">
        <v>0.0</v>
      </c>
      <c r="O5" s="80">
        <v>0.0</v>
      </c>
      <c r="P5" s="80">
        <v>0.0</v>
      </c>
      <c r="Q5" s="80">
        <v>0.0</v>
      </c>
      <c r="R5" s="80">
        <v>0.0</v>
      </c>
      <c r="S5" s="80">
        <v>5748.69347</v>
      </c>
      <c r="T5" s="80">
        <v>6580.551941</v>
      </c>
      <c r="U5" s="80">
        <v>4058.230714</v>
      </c>
      <c r="V5" s="80">
        <v>3177.162467</v>
      </c>
      <c r="W5" s="80">
        <v>2122.420077</v>
      </c>
      <c r="X5" s="80">
        <v>2216.313939</v>
      </c>
      <c r="Y5" s="80">
        <v>2009.192659</v>
      </c>
      <c r="Z5" s="80">
        <v>1405.256379</v>
      </c>
      <c r="AA5" s="80">
        <v>1441.604651</v>
      </c>
      <c r="AB5" s="80">
        <v>965.975819</v>
      </c>
      <c r="AC5" s="80">
        <v>1057.488153</v>
      </c>
      <c r="AD5" s="80">
        <v>5026.634142</v>
      </c>
      <c r="AE5" s="80">
        <v>4807.308773</v>
      </c>
      <c r="AF5" s="85">
        <f t="shared" ref="AF5:AF11" si="1">sum(B5:AE5)</f>
        <v>40616.83318</v>
      </c>
    </row>
    <row r="6">
      <c r="A6" s="78" t="s">
        <v>113</v>
      </c>
      <c r="B6" s="80">
        <v>0.0</v>
      </c>
      <c r="C6" s="80">
        <v>0.0</v>
      </c>
      <c r="D6" s="80">
        <v>0.0</v>
      </c>
      <c r="E6" s="80">
        <v>0.0</v>
      </c>
      <c r="F6" s="80">
        <v>0.0</v>
      </c>
      <c r="G6" s="80">
        <v>0.0</v>
      </c>
      <c r="H6" s="80">
        <v>0.0</v>
      </c>
      <c r="I6" s="80">
        <v>0.0</v>
      </c>
      <c r="J6" s="80">
        <v>0.0</v>
      </c>
      <c r="K6" s="80">
        <v>0.0</v>
      </c>
      <c r="L6" s="80">
        <v>0.0</v>
      </c>
      <c r="M6" s="80">
        <v>0.0</v>
      </c>
      <c r="N6" s="80">
        <v>0.0</v>
      </c>
      <c r="O6" s="80">
        <v>0.0</v>
      </c>
      <c r="P6" s="80">
        <v>0.0</v>
      </c>
      <c r="Q6" s="80">
        <v>0.0</v>
      </c>
      <c r="R6" s="80">
        <v>0.0</v>
      </c>
      <c r="S6" s="80">
        <v>5748.69347</v>
      </c>
      <c r="T6" s="80">
        <v>6580.551941</v>
      </c>
      <c r="U6" s="80">
        <v>4058.230714</v>
      </c>
      <c r="V6" s="80">
        <v>3177.162467</v>
      </c>
      <c r="W6" s="80">
        <v>2122.420077</v>
      </c>
      <c r="X6" s="80">
        <v>2216.313939</v>
      </c>
      <c r="Y6" s="80">
        <v>2009.192659</v>
      </c>
      <c r="Z6" s="80">
        <v>1361.222758</v>
      </c>
      <c r="AA6" s="80">
        <v>1348.011241</v>
      </c>
      <c r="AB6" s="80">
        <v>934.396455</v>
      </c>
      <c r="AC6" s="80">
        <v>1026.308812</v>
      </c>
      <c r="AD6" s="80">
        <v>5005.441022</v>
      </c>
      <c r="AE6" s="80">
        <v>4783.125653</v>
      </c>
      <c r="AF6" s="85">
        <f t="shared" si="1"/>
        <v>40371.07121</v>
      </c>
    </row>
    <row r="7">
      <c r="A7" s="78" t="s">
        <v>114</v>
      </c>
      <c r="B7" s="80">
        <v>0.0</v>
      </c>
      <c r="C7" s="80">
        <v>0.0</v>
      </c>
      <c r="D7" s="80">
        <v>0.0</v>
      </c>
      <c r="E7" s="80">
        <v>0.0</v>
      </c>
      <c r="F7" s="80">
        <v>0.0</v>
      </c>
      <c r="G7" s="80">
        <v>0.0</v>
      </c>
      <c r="H7" s="80">
        <v>0.0</v>
      </c>
      <c r="I7" s="80">
        <v>0.0</v>
      </c>
      <c r="J7" s="80">
        <v>0.0</v>
      </c>
      <c r="K7" s="80">
        <v>0.0</v>
      </c>
      <c r="L7" s="80">
        <v>0.0</v>
      </c>
      <c r="M7" s="80">
        <v>0.0</v>
      </c>
      <c r="N7" s="80">
        <v>0.0</v>
      </c>
      <c r="O7" s="80">
        <v>0.0</v>
      </c>
      <c r="P7" s="80">
        <v>0.0</v>
      </c>
      <c r="Q7" s="80">
        <v>0.0</v>
      </c>
      <c r="R7" s="80">
        <v>0.0</v>
      </c>
      <c r="S7" s="80">
        <v>0.0</v>
      </c>
      <c r="T7" s="80">
        <v>0.0</v>
      </c>
      <c r="U7" s="80">
        <v>0.0</v>
      </c>
      <c r="V7" s="80">
        <v>0.0</v>
      </c>
      <c r="W7" s="80">
        <v>0.0</v>
      </c>
      <c r="X7" s="80">
        <v>0.0</v>
      </c>
      <c r="Y7" s="80">
        <v>0.0</v>
      </c>
      <c r="Z7" s="80">
        <v>44.033621</v>
      </c>
      <c r="AA7" s="80">
        <v>93.59341</v>
      </c>
      <c r="AB7" s="80">
        <v>31.579364</v>
      </c>
      <c r="AC7" s="80">
        <v>31.179341</v>
      </c>
      <c r="AD7" s="80">
        <v>21.19312</v>
      </c>
      <c r="AE7" s="80">
        <v>24.18312</v>
      </c>
      <c r="AF7" s="85">
        <f t="shared" si="1"/>
        <v>245.761976</v>
      </c>
    </row>
    <row r="8">
      <c r="A8" s="78" t="s">
        <v>115</v>
      </c>
      <c r="B8" s="80">
        <v>0.0</v>
      </c>
      <c r="C8" s="80">
        <v>0.0</v>
      </c>
      <c r="D8" s="80">
        <v>0.0</v>
      </c>
      <c r="E8" s="80">
        <v>0.0</v>
      </c>
      <c r="F8" s="80">
        <v>0.0</v>
      </c>
      <c r="G8" s="80">
        <v>3.53</v>
      </c>
      <c r="H8" s="80">
        <v>3.52</v>
      </c>
      <c r="I8" s="80">
        <v>0.0</v>
      </c>
      <c r="J8" s="80">
        <v>0.0</v>
      </c>
      <c r="K8" s="80">
        <v>0.0</v>
      </c>
      <c r="L8" s="80">
        <v>0.0</v>
      </c>
      <c r="M8" s="80">
        <v>0.0</v>
      </c>
      <c r="N8" s="80">
        <v>0.0</v>
      </c>
      <c r="O8" s="80">
        <v>0.0</v>
      </c>
      <c r="P8" s="80">
        <v>35.16</v>
      </c>
      <c r="Q8" s="80">
        <v>15.99</v>
      </c>
      <c r="R8" s="80">
        <v>35.15</v>
      </c>
      <c r="S8" s="80">
        <v>2612.31</v>
      </c>
      <c r="T8" s="80">
        <v>1993.73</v>
      </c>
      <c r="U8" s="80">
        <v>1418.95</v>
      </c>
      <c r="V8" s="80">
        <v>1165.15</v>
      </c>
      <c r="W8" s="80">
        <v>829.06</v>
      </c>
      <c r="X8" s="80">
        <v>745.44</v>
      </c>
      <c r="Y8" s="80">
        <v>626.12</v>
      </c>
      <c r="Z8" s="80">
        <v>497.57</v>
      </c>
      <c r="AA8" s="80">
        <v>589.46</v>
      </c>
      <c r="AB8" s="80">
        <v>457.86</v>
      </c>
      <c r="AC8" s="80">
        <v>360.17</v>
      </c>
      <c r="AD8" s="80">
        <v>2072.5</v>
      </c>
      <c r="AE8" s="80">
        <v>2861.7</v>
      </c>
      <c r="AF8" s="85">
        <f t="shared" si="1"/>
        <v>16323.37</v>
      </c>
    </row>
    <row r="9">
      <c r="A9" s="78" t="s">
        <v>113</v>
      </c>
      <c r="B9" s="80">
        <v>0.0</v>
      </c>
      <c r="C9" s="80">
        <v>0.0</v>
      </c>
      <c r="D9" s="80">
        <v>0.0</v>
      </c>
      <c r="E9" s="80">
        <v>0.0</v>
      </c>
      <c r="F9" s="80">
        <v>0.0</v>
      </c>
      <c r="G9" s="80">
        <v>0.0</v>
      </c>
      <c r="H9" s="80">
        <v>0.0</v>
      </c>
      <c r="I9" s="80">
        <v>0.0</v>
      </c>
      <c r="J9" s="80">
        <v>0.0</v>
      </c>
      <c r="K9" s="80">
        <v>0.0</v>
      </c>
      <c r="L9" s="80">
        <v>0.0</v>
      </c>
      <c r="M9" s="80">
        <v>0.0</v>
      </c>
      <c r="N9" s="80">
        <v>0.0</v>
      </c>
      <c r="O9" s="80">
        <v>0.0</v>
      </c>
      <c r="P9" s="80">
        <v>31.97</v>
      </c>
      <c r="Q9" s="80">
        <v>15.99</v>
      </c>
      <c r="R9" s="80">
        <v>31.96</v>
      </c>
      <c r="S9" s="80">
        <v>2602.74</v>
      </c>
      <c r="T9" s="80">
        <v>1993.73</v>
      </c>
      <c r="U9" s="80">
        <v>1412.75</v>
      </c>
      <c r="V9" s="80">
        <v>1165.15</v>
      </c>
      <c r="W9" s="80">
        <v>829.06</v>
      </c>
      <c r="X9" s="80">
        <v>745.44</v>
      </c>
      <c r="Y9" s="80">
        <v>626.12</v>
      </c>
      <c r="Z9" s="80">
        <v>491.4</v>
      </c>
      <c r="AA9" s="80">
        <v>570.4</v>
      </c>
      <c r="AB9" s="80">
        <v>448.25</v>
      </c>
      <c r="AC9" s="80">
        <v>353.64</v>
      </c>
      <c r="AD9" s="80">
        <v>2066.35</v>
      </c>
      <c r="AE9" s="80">
        <v>2852.07</v>
      </c>
      <c r="AF9" s="85">
        <f t="shared" si="1"/>
        <v>16237.02</v>
      </c>
    </row>
    <row r="10">
      <c r="A10" s="78" t="s">
        <v>114</v>
      </c>
      <c r="B10" s="80">
        <v>0.0</v>
      </c>
      <c r="C10" s="80">
        <v>0.0</v>
      </c>
      <c r="D10" s="80">
        <v>0.0</v>
      </c>
      <c r="E10" s="80">
        <v>0.0</v>
      </c>
      <c r="F10" s="80">
        <v>0.0</v>
      </c>
      <c r="G10" s="80">
        <v>3.53</v>
      </c>
      <c r="H10" s="80">
        <v>3.52</v>
      </c>
      <c r="I10" s="80">
        <v>0.0</v>
      </c>
      <c r="J10" s="80">
        <v>0.0</v>
      </c>
      <c r="K10" s="80">
        <v>0.0</v>
      </c>
      <c r="L10" s="80">
        <v>0.0</v>
      </c>
      <c r="M10" s="80">
        <v>0.0</v>
      </c>
      <c r="N10" s="80">
        <v>0.0</v>
      </c>
      <c r="O10" s="80">
        <v>0.0</v>
      </c>
      <c r="P10" s="80">
        <v>3.19</v>
      </c>
      <c r="Q10" s="80">
        <v>0.0</v>
      </c>
      <c r="R10" s="80">
        <v>3.19</v>
      </c>
      <c r="S10" s="80">
        <v>9.57</v>
      </c>
      <c r="T10" s="80">
        <v>0.0</v>
      </c>
      <c r="U10" s="80">
        <v>6.2</v>
      </c>
      <c r="V10" s="80">
        <v>0.0</v>
      </c>
      <c r="W10" s="80">
        <v>0.0</v>
      </c>
      <c r="X10" s="80">
        <v>0.0</v>
      </c>
      <c r="Y10" s="80">
        <v>0.0</v>
      </c>
      <c r="Z10" s="80">
        <v>6.17</v>
      </c>
      <c r="AA10" s="80">
        <v>19.06</v>
      </c>
      <c r="AB10" s="80">
        <v>9.61</v>
      </c>
      <c r="AC10" s="80">
        <v>6.53</v>
      </c>
      <c r="AD10" s="80">
        <v>6.15</v>
      </c>
      <c r="AE10" s="80">
        <v>9.63</v>
      </c>
      <c r="AF10" s="85">
        <f t="shared" si="1"/>
        <v>86.35</v>
      </c>
    </row>
    <row r="11">
      <c r="A11" s="91" t="s">
        <v>117</v>
      </c>
      <c r="B11" s="92">
        <f t="shared" ref="B11:AE11" si="2">sum(B5+B8)</f>
        <v>0</v>
      </c>
      <c r="C11" s="92">
        <f t="shared" si="2"/>
        <v>0</v>
      </c>
      <c r="D11" s="92">
        <f t="shared" si="2"/>
        <v>0</v>
      </c>
      <c r="E11" s="92">
        <f t="shared" si="2"/>
        <v>0</v>
      </c>
      <c r="F11" s="92">
        <f t="shared" si="2"/>
        <v>0</v>
      </c>
      <c r="G11" s="92">
        <f t="shared" si="2"/>
        <v>3.53</v>
      </c>
      <c r="H11" s="92">
        <f t="shared" si="2"/>
        <v>3.52</v>
      </c>
      <c r="I11" s="92">
        <f t="shared" si="2"/>
        <v>0</v>
      </c>
      <c r="J11" s="92">
        <f t="shared" si="2"/>
        <v>0</v>
      </c>
      <c r="K11" s="92">
        <f t="shared" si="2"/>
        <v>0</v>
      </c>
      <c r="L11" s="92">
        <f t="shared" si="2"/>
        <v>0</v>
      </c>
      <c r="M11" s="92">
        <f t="shared" si="2"/>
        <v>0</v>
      </c>
      <c r="N11" s="92">
        <f t="shared" si="2"/>
        <v>0</v>
      </c>
      <c r="O11" s="92">
        <f t="shared" si="2"/>
        <v>0</v>
      </c>
      <c r="P11" s="92">
        <f t="shared" si="2"/>
        <v>35.16</v>
      </c>
      <c r="Q11" s="92">
        <f t="shared" si="2"/>
        <v>15.99</v>
      </c>
      <c r="R11" s="92">
        <f t="shared" si="2"/>
        <v>35.15</v>
      </c>
      <c r="S11" s="92">
        <f t="shared" si="2"/>
        <v>8361.00347</v>
      </c>
      <c r="T11" s="92">
        <f t="shared" si="2"/>
        <v>8574.281941</v>
      </c>
      <c r="U11" s="92">
        <f t="shared" si="2"/>
        <v>5477.180714</v>
      </c>
      <c r="V11" s="92">
        <f t="shared" si="2"/>
        <v>4342.312467</v>
      </c>
      <c r="W11" s="92">
        <f t="shared" si="2"/>
        <v>2951.480077</v>
      </c>
      <c r="X11" s="92">
        <f t="shared" si="2"/>
        <v>2961.753939</v>
      </c>
      <c r="Y11" s="92">
        <f t="shared" si="2"/>
        <v>2635.312659</v>
      </c>
      <c r="Z11" s="92">
        <f t="shared" si="2"/>
        <v>1902.826379</v>
      </c>
      <c r="AA11" s="92">
        <f t="shared" si="2"/>
        <v>2031.064651</v>
      </c>
      <c r="AB11" s="92">
        <f t="shared" si="2"/>
        <v>1423.835819</v>
      </c>
      <c r="AC11" s="92">
        <f t="shared" si="2"/>
        <v>1417.658153</v>
      </c>
      <c r="AD11" s="92">
        <f t="shared" si="2"/>
        <v>7099.134142</v>
      </c>
      <c r="AE11" s="92">
        <f t="shared" si="2"/>
        <v>7669.008773</v>
      </c>
      <c r="AF11" s="96">
        <f t="shared" si="1"/>
        <v>56940.20318</v>
      </c>
    </row>
    <row r="12">
      <c r="A12" s="24"/>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row>
    <row r="13">
      <c r="A13" s="73" t="s">
        <v>118</v>
      </c>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row>
    <row r="14">
      <c r="A14" s="78" t="s">
        <v>121</v>
      </c>
      <c r="B14" s="100">
        <f t="shared" ref="B14:AE14" si="3">sum(B15:B16)</f>
        <v>0</v>
      </c>
      <c r="C14" s="100">
        <f t="shared" si="3"/>
        <v>0</v>
      </c>
      <c r="D14" s="100">
        <f t="shared" si="3"/>
        <v>0</v>
      </c>
      <c r="E14" s="100">
        <f t="shared" si="3"/>
        <v>0</v>
      </c>
      <c r="F14" s="100">
        <f t="shared" si="3"/>
        <v>0</v>
      </c>
      <c r="G14" s="100">
        <f t="shared" si="3"/>
        <v>0</v>
      </c>
      <c r="H14" s="100">
        <f t="shared" si="3"/>
        <v>0</v>
      </c>
      <c r="I14" s="100">
        <f t="shared" si="3"/>
        <v>0</v>
      </c>
      <c r="J14" s="100">
        <f t="shared" si="3"/>
        <v>0</v>
      </c>
      <c r="K14" s="100">
        <f t="shared" si="3"/>
        <v>0</v>
      </c>
      <c r="L14" s="100">
        <f t="shared" si="3"/>
        <v>0</v>
      </c>
      <c r="M14" s="100">
        <f t="shared" si="3"/>
        <v>0</v>
      </c>
      <c r="N14" s="100">
        <f t="shared" si="3"/>
        <v>0</v>
      </c>
      <c r="O14" s="100">
        <f t="shared" si="3"/>
        <v>0</v>
      </c>
      <c r="P14" s="100">
        <f t="shared" si="3"/>
        <v>0</v>
      </c>
      <c r="Q14" s="100">
        <f t="shared" si="3"/>
        <v>0</v>
      </c>
      <c r="R14" s="100">
        <f t="shared" si="3"/>
        <v>0</v>
      </c>
      <c r="S14" s="100">
        <f t="shared" si="3"/>
        <v>372</v>
      </c>
      <c r="T14" s="100">
        <f t="shared" si="3"/>
        <v>431</v>
      </c>
      <c r="U14" s="100">
        <f t="shared" si="3"/>
        <v>265</v>
      </c>
      <c r="V14" s="100">
        <f t="shared" si="3"/>
        <v>207</v>
      </c>
      <c r="W14" s="100">
        <f t="shared" si="3"/>
        <v>141</v>
      </c>
      <c r="X14" s="100">
        <f t="shared" si="3"/>
        <v>145</v>
      </c>
      <c r="Y14" s="100">
        <f t="shared" si="3"/>
        <v>132</v>
      </c>
      <c r="Z14" s="100">
        <f t="shared" si="3"/>
        <v>103</v>
      </c>
      <c r="AA14" s="100">
        <f t="shared" si="3"/>
        <v>117</v>
      </c>
      <c r="AB14" s="100">
        <f t="shared" si="3"/>
        <v>72</v>
      </c>
      <c r="AC14" s="100">
        <f t="shared" si="3"/>
        <v>77</v>
      </c>
      <c r="AD14" s="100">
        <f t="shared" si="3"/>
        <v>338</v>
      </c>
      <c r="AE14" s="100">
        <f t="shared" si="3"/>
        <v>319</v>
      </c>
      <c r="AF14" s="103">
        <f t="shared" ref="AF14:AF22" si="4">sum(B14:AE14)</f>
        <v>2719</v>
      </c>
    </row>
    <row r="15">
      <c r="A15" s="78" t="s">
        <v>113</v>
      </c>
      <c r="B15" s="104">
        <v>0.0</v>
      </c>
      <c r="C15" s="104">
        <v>0.0</v>
      </c>
      <c r="D15" s="104">
        <v>0.0</v>
      </c>
      <c r="E15" s="104">
        <v>0.0</v>
      </c>
      <c r="F15" s="104">
        <v>0.0</v>
      </c>
      <c r="G15" s="104">
        <v>0.0</v>
      </c>
      <c r="H15" s="104">
        <v>0.0</v>
      </c>
      <c r="I15" s="104">
        <v>0.0</v>
      </c>
      <c r="J15" s="104">
        <v>0.0</v>
      </c>
      <c r="K15" s="104">
        <v>0.0</v>
      </c>
      <c r="L15" s="104">
        <v>0.0</v>
      </c>
      <c r="M15" s="104">
        <v>0.0</v>
      </c>
      <c r="N15" s="104">
        <v>0.0</v>
      </c>
      <c r="O15" s="104">
        <v>0.0</v>
      </c>
      <c r="P15" s="104">
        <v>0.0</v>
      </c>
      <c r="Q15" s="104">
        <v>0.0</v>
      </c>
      <c r="R15" s="104">
        <v>0.0</v>
      </c>
      <c r="S15" s="104">
        <v>372.0</v>
      </c>
      <c r="T15" s="104">
        <v>431.0</v>
      </c>
      <c r="U15" s="104">
        <v>265.0</v>
      </c>
      <c r="V15" s="104">
        <v>207.0</v>
      </c>
      <c r="W15" s="104">
        <v>141.0</v>
      </c>
      <c r="X15" s="104">
        <v>145.0</v>
      </c>
      <c r="Y15" s="104">
        <v>132.0</v>
      </c>
      <c r="Z15" s="104">
        <v>89.0</v>
      </c>
      <c r="AA15" s="104">
        <v>86.0</v>
      </c>
      <c r="AB15" s="104">
        <v>62.0</v>
      </c>
      <c r="AC15" s="104">
        <v>67.0</v>
      </c>
      <c r="AD15" s="104">
        <v>331.0</v>
      </c>
      <c r="AE15" s="104">
        <v>311.0</v>
      </c>
      <c r="AF15" s="103">
        <f t="shared" si="4"/>
        <v>2639</v>
      </c>
    </row>
    <row r="16">
      <c r="A16" s="78" t="s">
        <v>114</v>
      </c>
      <c r="B16" s="104">
        <v>0.0</v>
      </c>
      <c r="C16" s="104">
        <v>0.0</v>
      </c>
      <c r="D16" s="104">
        <v>0.0</v>
      </c>
      <c r="E16" s="104">
        <v>0.0</v>
      </c>
      <c r="F16" s="104">
        <v>0.0</v>
      </c>
      <c r="G16" s="104">
        <v>0.0</v>
      </c>
      <c r="H16" s="104">
        <v>0.0</v>
      </c>
      <c r="I16" s="104">
        <v>0.0</v>
      </c>
      <c r="J16" s="104">
        <v>0.0</v>
      </c>
      <c r="K16" s="104">
        <v>0.0</v>
      </c>
      <c r="L16" s="104">
        <v>0.0</v>
      </c>
      <c r="M16" s="104">
        <v>0.0</v>
      </c>
      <c r="N16" s="104">
        <v>0.0</v>
      </c>
      <c r="O16" s="104">
        <v>0.0</v>
      </c>
      <c r="P16" s="104">
        <v>0.0</v>
      </c>
      <c r="Q16" s="104">
        <v>0.0</v>
      </c>
      <c r="R16" s="104">
        <v>0.0</v>
      </c>
      <c r="S16" s="104">
        <v>0.0</v>
      </c>
      <c r="T16" s="104">
        <v>0.0</v>
      </c>
      <c r="U16" s="104">
        <v>0.0</v>
      </c>
      <c r="V16" s="104">
        <v>0.0</v>
      </c>
      <c r="W16" s="104">
        <v>0.0</v>
      </c>
      <c r="X16" s="104">
        <v>0.0</v>
      </c>
      <c r="Y16" s="104">
        <v>0.0</v>
      </c>
      <c r="Z16" s="104">
        <v>14.0</v>
      </c>
      <c r="AA16" s="104">
        <v>31.0</v>
      </c>
      <c r="AB16" s="104">
        <v>10.0</v>
      </c>
      <c r="AC16" s="104">
        <v>10.0</v>
      </c>
      <c r="AD16" s="104">
        <v>7.0</v>
      </c>
      <c r="AE16" s="104">
        <v>8.0</v>
      </c>
      <c r="AF16" s="103">
        <f t="shared" si="4"/>
        <v>80</v>
      </c>
    </row>
    <row r="17">
      <c r="A17" s="78" t="s">
        <v>123</v>
      </c>
      <c r="B17" s="106">
        <f t="shared" ref="B17:AE17" si="5">sum(B18:B19)</f>
        <v>0</v>
      </c>
      <c r="C17" s="106">
        <f t="shared" si="5"/>
        <v>0</v>
      </c>
      <c r="D17" s="106">
        <f t="shared" si="5"/>
        <v>0</v>
      </c>
      <c r="E17" s="106">
        <f t="shared" si="5"/>
        <v>0</v>
      </c>
      <c r="F17" s="106">
        <f t="shared" si="5"/>
        <v>0</v>
      </c>
      <c r="G17" s="106">
        <f t="shared" si="5"/>
        <v>1</v>
      </c>
      <c r="H17" s="106">
        <f t="shared" si="5"/>
        <v>1</v>
      </c>
      <c r="I17" s="106">
        <f t="shared" si="5"/>
        <v>0</v>
      </c>
      <c r="J17" s="106">
        <f t="shared" si="5"/>
        <v>0</v>
      </c>
      <c r="K17" s="106">
        <f t="shared" si="5"/>
        <v>0</v>
      </c>
      <c r="L17" s="106">
        <f t="shared" si="5"/>
        <v>0</v>
      </c>
      <c r="M17" s="106">
        <f t="shared" si="5"/>
        <v>0</v>
      </c>
      <c r="N17" s="106">
        <f t="shared" si="5"/>
        <v>0</v>
      </c>
      <c r="O17" s="106">
        <f t="shared" si="5"/>
        <v>0</v>
      </c>
      <c r="P17" s="106">
        <f t="shared" si="5"/>
        <v>2</v>
      </c>
      <c r="Q17" s="106">
        <f t="shared" si="5"/>
        <v>1</v>
      </c>
      <c r="R17" s="106">
        <f t="shared" si="5"/>
        <v>2</v>
      </c>
      <c r="S17" s="106">
        <f t="shared" si="5"/>
        <v>148</v>
      </c>
      <c r="T17" s="106">
        <f t="shared" si="5"/>
        <v>157</v>
      </c>
      <c r="U17" s="106">
        <f t="shared" si="5"/>
        <v>100</v>
      </c>
      <c r="V17" s="106">
        <f t="shared" si="5"/>
        <v>74</v>
      </c>
      <c r="W17" s="106">
        <f t="shared" si="5"/>
        <v>56</v>
      </c>
      <c r="X17" s="106">
        <f t="shared" si="5"/>
        <v>46</v>
      </c>
      <c r="Y17" s="106">
        <f t="shared" si="5"/>
        <v>39</v>
      </c>
      <c r="Z17" s="106">
        <f t="shared" si="5"/>
        <v>33</v>
      </c>
      <c r="AA17" s="106">
        <f t="shared" si="5"/>
        <v>41</v>
      </c>
      <c r="AB17" s="106">
        <f t="shared" si="5"/>
        <v>31</v>
      </c>
      <c r="AC17" s="106">
        <f t="shared" si="5"/>
        <v>24</v>
      </c>
      <c r="AD17" s="106">
        <f t="shared" si="5"/>
        <v>131</v>
      </c>
      <c r="AE17" s="106">
        <f t="shared" si="5"/>
        <v>182</v>
      </c>
      <c r="AF17" s="103">
        <f t="shared" si="4"/>
        <v>1069</v>
      </c>
    </row>
    <row r="18">
      <c r="A18" s="78" t="s">
        <v>113</v>
      </c>
      <c r="B18" s="109">
        <v>0.0</v>
      </c>
      <c r="C18" s="109">
        <v>0.0</v>
      </c>
      <c r="D18" s="109">
        <v>0.0</v>
      </c>
      <c r="E18" s="109">
        <v>0.0</v>
      </c>
      <c r="F18" s="109">
        <v>0.0</v>
      </c>
      <c r="G18" s="109">
        <v>0.0</v>
      </c>
      <c r="H18" s="109">
        <v>0.0</v>
      </c>
      <c r="I18" s="109">
        <v>0.0</v>
      </c>
      <c r="J18" s="109">
        <v>0.0</v>
      </c>
      <c r="K18" s="109">
        <v>0.0</v>
      </c>
      <c r="L18" s="109">
        <v>0.0</v>
      </c>
      <c r="M18" s="109">
        <v>0.0</v>
      </c>
      <c r="N18" s="109">
        <v>0.0</v>
      </c>
      <c r="O18" s="109">
        <v>0.0</v>
      </c>
      <c r="P18" s="109">
        <v>1.0</v>
      </c>
      <c r="Q18" s="109">
        <v>1.0</v>
      </c>
      <c r="R18" s="109">
        <v>1.0</v>
      </c>
      <c r="S18" s="109">
        <v>145.0</v>
      </c>
      <c r="T18" s="109">
        <v>157.0</v>
      </c>
      <c r="U18" s="109">
        <v>98.0</v>
      </c>
      <c r="V18" s="109">
        <v>74.0</v>
      </c>
      <c r="W18" s="109">
        <v>56.0</v>
      </c>
      <c r="X18" s="109">
        <v>46.0</v>
      </c>
      <c r="Y18" s="109">
        <v>39.0</v>
      </c>
      <c r="Z18" s="109">
        <v>31.0</v>
      </c>
      <c r="AA18" s="109">
        <v>35.0</v>
      </c>
      <c r="AB18" s="109">
        <v>28.0</v>
      </c>
      <c r="AC18" s="109">
        <v>22.0</v>
      </c>
      <c r="AD18" s="109">
        <v>129.0</v>
      </c>
      <c r="AE18" s="109">
        <v>179.0</v>
      </c>
      <c r="AF18" s="103">
        <f t="shared" si="4"/>
        <v>1042</v>
      </c>
    </row>
    <row r="19">
      <c r="A19" s="78" t="s">
        <v>114</v>
      </c>
      <c r="B19" s="109">
        <v>0.0</v>
      </c>
      <c r="C19" s="109">
        <v>0.0</v>
      </c>
      <c r="D19" s="109">
        <v>0.0</v>
      </c>
      <c r="E19" s="109">
        <v>0.0</v>
      </c>
      <c r="F19" s="109">
        <v>0.0</v>
      </c>
      <c r="G19" s="109">
        <v>1.0</v>
      </c>
      <c r="H19" s="109">
        <v>1.0</v>
      </c>
      <c r="I19" s="109">
        <v>0.0</v>
      </c>
      <c r="J19" s="109">
        <v>0.0</v>
      </c>
      <c r="K19" s="109">
        <v>0.0</v>
      </c>
      <c r="L19" s="109">
        <v>0.0</v>
      </c>
      <c r="M19" s="109">
        <v>0.0</v>
      </c>
      <c r="N19" s="109">
        <v>0.0</v>
      </c>
      <c r="O19" s="109">
        <v>0.0</v>
      </c>
      <c r="P19" s="109">
        <v>1.0</v>
      </c>
      <c r="Q19" s="109">
        <v>0.0</v>
      </c>
      <c r="R19" s="109">
        <v>1.0</v>
      </c>
      <c r="S19" s="109">
        <v>3.0</v>
      </c>
      <c r="T19" s="109">
        <v>0.0</v>
      </c>
      <c r="U19" s="109">
        <v>2.0</v>
      </c>
      <c r="V19" s="109">
        <v>0.0</v>
      </c>
      <c r="W19" s="109">
        <v>0.0</v>
      </c>
      <c r="X19" s="109">
        <v>0.0</v>
      </c>
      <c r="Y19" s="109">
        <v>0.0</v>
      </c>
      <c r="Z19" s="109">
        <v>2.0</v>
      </c>
      <c r="AA19" s="109">
        <v>6.0</v>
      </c>
      <c r="AB19" s="109">
        <v>3.0</v>
      </c>
      <c r="AC19" s="109">
        <v>2.0</v>
      </c>
      <c r="AD19" s="109">
        <v>2.0</v>
      </c>
      <c r="AE19" s="109">
        <v>3.0</v>
      </c>
      <c r="AF19" s="103">
        <f t="shared" si="4"/>
        <v>27</v>
      </c>
    </row>
    <row r="20">
      <c r="A20" s="91" t="s">
        <v>117</v>
      </c>
      <c r="B20" s="110">
        <f t="shared" ref="B20:AE20" si="6">sum(B14+B17)</f>
        <v>0</v>
      </c>
      <c r="C20" s="110">
        <f t="shared" si="6"/>
        <v>0</v>
      </c>
      <c r="D20" s="110">
        <f t="shared" si="6"/>
        <v>0</v>
      </c>
      <c r="E20" s="110">
        <f t="shared" si="6"/>
        <v>0</v>
      </c>
      <c r="F20" s="110">
        <f t="shared" si="6"/>
        <v>0</v>
      </c>
      <c r="G20" s="110">
        <f t="shared" si="6"/>
        <v>1</v>
      </c>
      <c r="H20" s="110">
        <f t="shared" si="6"/>
        <v>1</v>
      </c>
      <c r="I20" s="110">
        <f t="shared" si="6"/>
        <v>0</v>
      </c>
      <c r="J20" s="110">
        <f t="shared" si="6"/>
        <v>0</v>
      </c>
      <c r="K20" s="110">
        <f t="shared" si="6"/>
        <v>0</v>
      </c>
      <c r="L20" s="110">
        <f t="shared" si="6"/>
        <v>0</v>
      </c>
      <c r="M20" s="110">
        <f t="shared" si="6"/>
        <v>0</v>
      </c>
      <c r="N20" s="110">
        <f t="shared" si="6"/>
        <v>0</v>
      </c>
      <c r="O20" s="110">
        <f t="shared" si="6"/>
        <v>0</v>
      </c>
      <c r="P20" s="110">
        <f t="shared" si="6"/>
        <v>2</v>
      </c>
      <c r="Q20" s="110">
        <f t="shared" si="6"/>
        <v>1</v>
      </c>
      <c r="R20" s="110">
        <f t="shared" si="6"/>
        <v>2</v>
      </c>
      <c r="S20" s="110">
        <f t="shared" si="6"/>
        <v>520</v>
      </c>
      <c r="T20" s="110">
        <f t="shared" si="6"/>
        <v>588</v>
      </c>
      <c r="U20" s="110">
        <f t="shared" si="6"/>
        <v>365</v>
      </c>
      <c r="V20" s="110">
        <f t="shared" si="6"/>
        <v>281</v>
      </c>
      <c r="W20" s="110">
        <f t="shared" si="6"/>
        <v>197</v>
      </c>
      <c r="X20" s="110">
        <f t="shared" si="6"/>
        <v>191</v>
      </c>
      <c r="Y20" s="110">
        <f t="shared" si="6"/>
        <v>171</v>
      </c>
      <c r="Z20" s="110">
        <f t="shared" si="6"/>
        <v>136</v>
      </c>
      <c r="AA20" s="110">
        <f t="shared" si="6"/>
        <v>158</v>
      </c>
      <c r="AB20" s="110">
        <f t="shared" si="6"/>
        <v>103</v>
      </c>
      <c r="AC20" s="110">
        <f t="shared" si="6"/>
        <v>101</v>
      </c>
      <c r="AD20" s="110">
        <f t="shared" si="6"/>
        <v>469</v>
      </c>
      <c r="AE20" s="110">
        <f t="shared" si="6"/>
        <v>501</v>
      </c>
      <c r="AF20" s="113">
        <f t="shared" si="4"/>
        <v>3788</v>
      </c>
    </row>
    <row r="21">
      <c r="A21" s="114" t="s">
        <v>113</v>
      </c>
      <c r="B21" s="100">
        <f t="shared" ref="B21:AE21" si="7">B15+B18</f>
        <v>0</v>
      </c>
      <c r="C21" s="100">
        <f t="shared" si="7"/>
        <v>0</v>
      </c>
      <c r="D21" s="100">
        <f t="shared" si="7"/>
        <v>0</v>
      </c>
      <c r="E21" s="100">
        <f t="shared" si="7"/>
        <v>0</v>
      </c>
      <c r="F21" s="100">
        <f t="shared" si="7"/>
        <v>0</v>
      </c>
      <c r="G21" s="100">
        <f t="shared" si="7"/>
        <v>0</v>
      </c>
      <c r="H21" s="100">
        <f t="shared" si="7"/>
        <v>0</v>
      </c>
      <c r="I21" s="100">
        <f t="shared" si="7"/>
        <v>0</v>
      </c>
      <c r="J21" s="100">
        <f t="shared" si="7"/>
        <v>0</v>
      </c>
      <c r="K21" s="100">
        <f t="shared" si="7"/>
        <v>0</v>
      </c>
      <c r="L21" s="100">
        <f t="shared" si="7"/>
        <v>0</v>
      </c>
      <c r="M21" s="100">
        <f t="shared" si="7"/>
        <v>0</v>
      </c>
      <c r="N21" s="100">
        <f t="shared" si="7"/>
        <v>0</v>
      </c>
      <c r="O21" s="100">
        <f t="shared" si="7"/>
        <v>0</v>
      </c>
      <c r="P21" s="100">
        <f t="shared" si="7"/>
        <v>1</v>
      </c>
      <c r="Q21" s="100">
        <f t="shared" si="7"/>
        <v>1</v>
      </c>
      <c r="R21" s="100">
        <f t="shared" si="7"/>
        <v>1</v>
      </c>
      <c r="S21" s="100">
        <f t="shared" si="7"/>
        <v>517</v>
      </c>
      <c r="T21" s="100">
        <f t="shared" si="7"/>
        <v>588</v>
      </c>
      <c r="U21" s="100">
        <f t="shared" si="7"/>
        <v>363</v>
      </c>
      <c r="V21" s="100">
        <f t="shared" si="7"/>
        <v>281</v>
      </c>
      <c r="W21" s="100">
        <f t="shared" si="7"/>
        <v>197</v>
      </c>
      <c r="X21" s="100">
        <f t="shared" si="7"/>
        <v>191</v>
      </c>
      <c r="Y21" s="100">
        <f t="shared" si="7"/>
        <v>171</v>
      </c>
      <c r="Z21" s="100">
        <f t="shared" si="7"/>
        <v>120</v>
      </c>
      <c r="AA21" s="100">
        <f t="shared" si="7"/>
        <v>121</v>
      </c>
      <c r="AB21" s="100">
        <f t="shared" si="7"/>
        <v>90</v>
      </c>
      <c r="AC21" s="100">
        <f t="shared" si="7"/>
        <v>89</v>
      </c>
      <c r="AD21" s="100">
        <f t="shared" si="7"/>
        <v>460</v>
      </c>
      <c r="AE21" s="100">
        <f t="shared" si="7"/>
        <v>490</v>
      </c>
      <c r="AF21" s="103">
        <f t="shared" si="4"/>
        <v>3681</v>
      </c>
    </row>
    <row r="22">
      <c r="A22" s="114" t="s">
        <v>114</v>
      </c>
      <c r="B22" s="100">
        <f t="shared" ref="B22:AE22" si="8">B16+B19</f>
        <v>0</v>
      </c>
      <c r="C22" s="100">
        <f t="shared" si="8"/>
        <v>0</v>
      </c>
      <c r="D22" s="100">
        <f t="shared" si="8"/>
        <v>0</v>
      </c>
      <c r="E22" s="100">
        <f t="shared" si="8"/>
        <v>0</v>
      </c>
      <c r="F22" s="100">
        <f t="shared" si="8"/>
        <v>0</v>
      </c>
      <c r="G22" s="100">
        <f t="shared" si="8"/>
        <v>1</v>
      </c>
      <c r="H22" s="100">
        <f t="shared" si="8"/>
        <v>1</v>
      </c>
      <c r="I22" s="100">
        <f t="shared" si="8"/>
        <v>0</v>
      </c>
      <c r="J22" s="100">
        <f t="shared" si="8"/>
        <v>0</v>
      </c>
      <c r="K22" s="100">
        <f t="shared" si="8"/>
        <v>0</v>
      </c>
      <c r="L22" s="100">
        <f t="shared" si="8"/>
        <v>0</v>
      </c>
      <c r="M22" s="100">
        <f t="shared" si="8"/>
        <v>0</v>
      </c>
      <c r="N22" s="100">
        <f t="shared" si="8"/>
        <v>0</v>
      </c>
      <c r="O22" s="100">
        <f t="shared" si="8"/>
        <v>0</v>
      </c>
      <c r="P22" s="100">
        <f t="shared" si="8"/>
        <v>1</v>
      </c>
      <c r="Q22" s="100">
        <f t="shared" si="8"/>
        <v>0</v>
      </c>
      <c r="R22" s="100">
        <f t="shared" si="8"/>
        <v>1</v>
      </c>
      <c r="S22" s="100">
        <f t="shared" si="8"/>
        <v>3</v>
      </c>
      <c r="T22" s="100">
        <f t="shared" si="8"/>
        <v>0</v>
      </c>
      <c r="U22" s="100">
        <f t="shared" si="8"/>
        <v>2</v>
      </c>
      <c r="V22" s="100">
        <f t="shared" si="8"/>
        <v>0</v>
      </c>
      <c r="W22" s="100">
        <f t="shared" si="8"/>
        <v>0</v>
      </c>
      <c r="X22" s="100">
        <f t="shared" si="8"/>
        <v>0</v>
      </c>
      <c r="Y22" s="100">
        <f t="shared" si="8"/>
        <v>0</v>
      </c>
      <c r="Z22" s="100">
        <f t="shared" si="8"/>
        <v>16</v>
      </c>
      <c r="AA22" s="100">
        <f t="shared" si="8"/>
        <v>37</v>
      </c>
      <c r="AB22" s="100">
        <f t="shared" si="8"/>
        <v>13</v>
      </c>
      <c r="AC22" s="100">
        <f t="shared" si="8"/>
        <v>12</v>
      </c>
      <c r="AD22" s="100">
        <f t="shared" si="8"/>
        <v>9</v>
      </c>
      <c r="AE22" s="100">
        <f t="shared" si="8"/>
        <v>11</v>
      </c>
      <c r="AF22" s="103">
        <f t="shared" si="4"/>
        <v>107</v>
      </c>
    </row>
    <row r="23">
      <c r="A23" s="24"/>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72"/>
    </row>
    <row r="24">
      <c r="A24" s="73" t="s">
        <v>131</v>
      </c>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72"/>
    </row>
    <row r="25">
      <c r="A25" s="116" t="s">
        <v>110</v>
      </c>
      <c r="B25" s="117">
        <f t="shared" ref="B25:AE25" si="9">sum(B26:B27)</f>
        <v>0</v>
      </c>
      <c r="C25" s="117">
        <f t="shared" si="9"/>
        <v>0</v>
      </c>
      <c r="D25" s="117">
        <f t="shared" si="9"/>
        <v>0</v>
      </c>
      <c r="E25" s="117">
        <f t="shared" si="9"/>
        <v>0</v>
      </c>
      <c r="F25" s="117">
        <f t="shared" si="9"/>
        <v>0</v>
      </c>
      <c r="G25" s="117">
        <f t="shared" si="9"/>
        <v>0</v>
      </c>
      <c r="H25" s="117">
        <f t="shared" si="9"/>
        <v>0</v>
      </c>
      <c r="I25" s="117">
        <f t="shared" si="9"/>
        <v>0</v>
      </c>
      <c r="J25" s="117">
        <f t="shared" si="9"/>
        <v>0</v>
      </c>
      <c r="K25" s="117">
        <f t="shared" si="9"/>
        <v>0</v>
      </c>
      <c r="L25" s="117">
        <f t="shared" si="9"/>
        <v>0</v>
      </c>
      <c r="M25" s="117">
        <f t="shared" si="9"/>
        <v>0</v>
      </c>
      <c r="N25" s="117">
        <f t="shared" si="9"/>
        <v>0</v>
      </c>
      <c r="O25" s="117">
        <f t="shared" si="9"/>
        <v>0</v>
      </c>
      <c r="P25" s="117">
        <f t="shared" si="9"/>
        <v>0</v>
      </c>
      <c r="Q25" s="117">
        <f t="shared" si="9"/>
        <v>0</v>
      </c>
      <c r="R25" s="117">
        <f t="shared" si="9"/>
        <v>0</v>
      </c>
      <c r="S25" s="117">
        <f t="shared" si="9"/>
        <v>0</v>
      </c>
      <c r="T25" s="117">
        <f t="shared" si="9"/>
        <v>14.99</v>
      </c>
      <c r="U25" s="117">
        <f t="shared" si="9"/>
        <v>0</v>
      </c>
      <c r="V25" s="117">
        <f t="shared" si="9"/>
        <v>0</v>
      </c>
      <c r="W25" s="117">
        <f t="shared" si="9"/>
        <v>29.72</v>
      </c>
      <c r="X25" s="117">
        <f t="shared" si="9"/>
        <v>0</v>
      </c>
      <c r="Y25" s="117">
        <f t="shared" si="9"/>
        <v>0</v>
      </c>
      <c r="Z25" s="117">
        <f t="shared" si="9"/>
        <v>0</v>
      </c>
      <c r="AA25" s="117">
        <f t="shared" si="9"/>
        <v>0</v>
      </c>
      <c r="AB25" s="117">
        <f t="shared" si="9"/>
        <v>28.47</v>
      </c>
      <c r="AC25" s="117">
        <f t="shared" si="9"/>
        <v>0</v>
      </c>
      <c r="AD25" s="117">
        <f t="shared" si="9"/>
        <v>0</v>
      </c>
      <c r="AE25" s="117">
        <f t="shared" si="9"/>
        <v>14.99</v>
      </c>
      <c r="AF25" s="118">
        <f t="shared" ref="AF25:AF31" si="10">sum(B25:AE25)</f>
        <v>88.17</v>
      </c>
    </row>
    <row r="26">
      <c r="A26" s="116" t="s">
        <v>113</v>
      </c>
      <c r="B26" s="119">
        <v>0.0</v>
      </c>
      <c r="C26" s="119">
        <v>0.0</v>
      </c>
      <c r="D26" s="119">
        <v>0.0</v>
      </c>
      <c r="E26" s="119">
        <v>0.0</v>
      </c>
      <c r="F26" s="119">
        <v>0.0</v>
      </c>
      <c r="G26" s="119">
        <v>0.0</v>
      </c>
      <c r="H26" s="119">
        <v>0.0</v>
      </c>
      <c r="I26" s="119">
        <v>0.0</v>
      </c>
      <c r="J26" s="119">
        <v>0.0</v>
      </c>
      <c r="K26" s="119">
        <v>0.0</v>
      </c>
      <c r="L26" s="119">
        <v>0.0</v>
      </c>
      <c r="M26" s="119">
        <v>0.0</v>
      </c>
      <c r="N26" s="119">
        <v>0.0</v>
      </c>
      <c r="O26" s="119">
        <v>0.0</v>
      </c>
      <c r="P26" s="119">
        <v>0.0</v>
      </c>
      <c r="Q26" s="119">
        <v>0.0</v>
      </c>
      <c r="R26" s="119">
        <v>0.0</v>
      </c>
      <c r="S26" s="119">
        <v>0.0</v>
      </c>
      <c r="T26" s="119">
        <v>14.99</v>
      </c>
      <c r="U26" s="119">
        <v>0.0</v>
      </c>
      <c r="V26" s="119">
        <v>0.0</v>
      </c>
      <c r="W26" s="119">
        <v>29.72</v>
      </c>
      <c r="X26" s="119">
        <v>0.0</v>
      </c>
      <c r="Y26" s="119">
        <v>0.0</v>
      </c>
      <c r="Z26" s="119">
        <v>0.0</v>
      </c>
      <c r="AA26" s="119">
        <v>0.0</v>
      </c>
      <c r="AB26" s="119">
        <v>28.47</v>
      </c>
      <c r="AC26" s="119">
        <v>0.0</v>
      </c>
      <c r="AD26" s="119">
        <v>0.0</v>
      </c>
      <c r="AE26" s="119">
        <v>14.99</v>
      </c>
      <c r="AF26" s="118">
        <f t="shared" si="10"/>
        <v>88.17</v>
      </c>
    </row>
    <row r="27">
      <c r="A27" s="116" t="s">
        <v>114</v>
      </c>
      <c r="B27" s="119">
        <v>0.0</v>
      </c>
      <c r="C27" s="119">
        <v>0.0</v>
      </c>
      <c r="D27" s="119">
        <v>0.0</v>
      </c>
      <c r="E27" s="119">
        <v>0.0</v>
      </c>
      <c r="F27" s="119">
        <v>0.0</v>
      </c>
      <c r="G27" s="119">
        <v>0.0</v>
      </c>
      <c r="H27" s="119">
        <v>0.0</v>
      </c>
      <c r="I27" s="119">
        <v>0.0</v>
      </c>
      <c r="J27" s="119">
        <v>0.0</v>
      </c>
      <c r="K27" s="119">
        <v>0.0</v>
      </c>
      <c r="L27" s="119">
        <v>0.0</v>
      </c>
      <c r="M27" s="119">
        <v>0.0</v>
      </c>
      <c r="N27" s="119">
        <v>0.0</v>
      </c>
      <c r="O27" s="119">
        <v>0.0</v>
      </c>
      <c r="P27" s="119">
        <v>0.0</v>
      </c>
      <c r="Q27" s="119">
        <v>0.0</v>
      </c>
      <c r="R27" s="119">
        <v>0.0</v>
      </c>
      <c r="S27" s="119">
        <v>0.0</v>
      </c>
      <c r="T27" s="119">
        <v>0.0</v>
      </c>
      <c r="U27" s="119">
        <v>0.0</v>
      </c>
      <c r="V27" s="119">
        <v>0.0</v>
      </c>
      <c r="W27" s="119">
        <v>0.0</v>
      </c>
      <c r="X27" s="119">
        <v>0.0</v>
      </c>
      <c r="Y27" s="119">
        <v>0.0</v>
      </c>
      <c r="Z27" s="119">
        <v>0.0</v>
      </c>
      <c r="AA27" s="119">
        <v>0.0</v>
      </c>
      <c r="AB27" s="119">
        <v>0.0</v>
      </c>
      <c r="AC27" s="119">
        <v>0.0</v>
      </c>
      <c r="AD27" s="119">
        <v>0.0</v>
      </c>
      <c r="AE27" s="119">
        <v>0.0</v>
      </c>
      <c r="AF27" s="118">
        <f t="shared" si="10"/>
        <v>0</v>
      </c>
    </row>
    <row r="28">
      <c r="A28" s="116" t="s">
        <v>115</v>
      </c>
      <c r="B28" s="122">
        <f t="shared" ref="B28:AE28" si="11">sum(B29:B30)</f>
        <v>0</v>
      </c>
      <c r="C28" s="122">
        <f t="shared" si="11"/>
        <v>0</v>
      </c>
      <c r="D28" s="122">
        <f t="shared" si="11"/>
        <v>0</v>
      </c>
      <c r="E28" s="122">
        <f t="shared" si="11"/>
        <v>0</v>
      </c>
      <c r="F28" s="122">
        <f t="shared" si="11"/>
        <v>0</v>
      </c>
      <c r="G28" s="122">
        <f t="shared" si="11"/>
        <v>0</v>
      </c>
      <c r="H28" s="122">
        <f t="shared" si="11"/>
        <v>0</v>
      </c>
      <c r="I28" s="122">
        <f t="shared" si="11"/>
        <v>0</v>
      </c>
      <c r="J28" s="122">
        <f t="shared" si="11"/>
        <v>0</v>
      </c>
      <c r="K28" s="122">
        <f t="shared" si="11"/>
        <v>0</v>
      </c>
      <c r="L28" s="122">
        <f t="shared" si="11"/>
        <v>0</v>
      </c>
      <c r="M28" s="122">
        <f t="shared" si="11"/>
        <v>0</v>
      </c>
      <c r="N28" s="122">
        <f t="shared" si="11"/>
        <v>0</v>
      </c>
      <c r="O28" s="122">
        <f t="shared" si="11"/>
        <v>0</v>
      </c>
      <c r="P28" s="122">
        <f t="shared" si="11"/>
        <v>0</v>
      </c>
      <c r="Q28" s="122">
        <f t="shared" si="11"/>
        <v>14.99</v>
      </c>
      <c r="R28" s="122">
        <f t="shared" si="11"/>
        <v>0</v>
      </c>
      <c r="S28" s="122">
        <f t="shared" si="11"/>
        <v>0</v>
      </c>
      <c r="T28" s="122">
        <f t="shared" si="11"/>
        <v>314.79</v>
      </c>
      <c r="U28" s="122">
        <f t="shared" si="11"/>
        <v>0</v>
      </c>
      <c r="V28" s="122">
        <f t="shared" si="11"/>
        <v>14.99</v>
      </c>
      <c r="W28" s="122">
        <f t="shared" si="11"/>
        <v>14.99</v>
      </c>
      <c r="X28" s="122">
        <f t="shared" si="11"/>
        <v>0</v>
      </c>
      <c r="Y28" s="122">
        <f t="shared" si="11"/>
        <v>0</v>
      </c>
      <c r="Z28" s="122">
        <f t="shared" si="11"/>
        <v>0</v>
      </c>
      <c r="AA28" s="122">
        <f t="shared" si="11"/>
        <v>0</v>
      </c>
      <c r="AB28" s="122">
        <f t="shared" si="11"/>
        <v>0</v>
      </c>
      <c r="AC28" s="122">
        <f t="shared" si="11"/>
        <v>0</v>
      </c>
      <c r="AD28" s="122">
        <f t="shared" si="11"/>
        <v>0</v>
      </c>
      <c r="AE28" s="122">
        <f t="shared" si="11"/>
        <v>0</v>
      </c>
      <c r="AF28" s="118">
        <f t="shared" si="10"/>
        <v>359.76</v>
      </c>
    </row>
    <row r="29">
      <c r="A29" s="116" t="s">
        <v>113</v>
      </c>
      <c r="B29" s="124">
        <v>0.0</v>
      </c>
      <c r="C29" s="124">
        <v>0.0</v>
      </c>
      <c r="D29" s="124">
        <v>0.0</v>
      </c>
      <c r="E29" s="124">
        <v>0.0</v>
      </c>
      <c r="F29" s="124">
        <v>0.0</v>
      </c>
      <c r="G29" s="124">
        <v>0.0</v>
      </c>
      <c r="H29" s="124">
        <v>0.0</v>
      </c>
      <c r="I29" s="124">
        <v>0.0</v>
      </c>
      <c r="J29" s="124">
        <v>0.0</v>
      </c>
      <c r="K29" s="124">
        <v>0.0</v>
      </c>
      <c r="L29" s="124">
        <v>0.0</v>
      </c>
      <c r="M29" s="124">
        <v>0.0</v>
      </c>
      <c r="N29" s="124">
        <v>0.0</v>
      </c>
      <c r="O29" s="124">
        <v>0.0</v>
      </c>
      <c r="P29" s="124">
        <v>0.0</v>
      </c>
      <c r="Q29" s="124">
        <v>14.99</v>
      </c>
      <c r="R29" s="124">
        <v>0.0</v>
      </c>
      <c r="S29" s="124">
        <v>0.0</v>
      </c>
      <c r="T29" s="124">
        <f>21*14.99</f>
        <v>314.79</v>
      </c>
      <c r="U29" s="124">
        <v>0.0</v>
      </c>
      <c r="V29" s="124">
        <v>14.99</v>
      </c>
      <c r="W29" s="124">
        <v>14.99</v>
      </c>
      <c r="X29" s="124">
        <v>0.0</v>
      </c>
      <c r="Y29" s="124">
        <v>0.0</v>
      </c>
      <c r="Z29" s="124">
        <v>0.0</v>
      </c>
      <c r="AA29" s="124">
        <v>0.0</v>
      </c>
      <c r="AB29" s="124">
        <v>0.0</v>
      </c>
      <c r="AC29" s="124">
        <v>0.0</v>
      </c>
      <c r="AD29" s="124">
        <v>0.0</v>
      </c>
      <c r="AE29" s="124">
        <v>0.0</v>
      </c>
      <c r="AF29" s="118">
        <f t="shared" si="10"/>
        <v>359.76</v>
      </c>
    </row>
    <row r="30">
      <c r="A30" s="116" t="s">
        <v>114</v>
      </c>
      <c r="B30" s="124">
        <v>0.0</v>
      </c>
      <c r="C30" s="124">
        <v>0.0</v>
      </c>
      <c r="D30" s="124">
        <v>0.0</v>
      </c>
      <c r="E30" s="124">
        <v>0.0</v>
      </c>
      <c r="F30" s="124">
        <v>0.0</v>
      </c>
      <c r="G30" s="124">
        <v>0.0</v>
      </c>
      <c r="H30" s="124">
        <v>0.0</v>
      </c>
      <c r="I30" s="124">
        <v>0.0</v>
      </c>
      <c r="J30" s="124">
        <v>0.0</v>
      </c>
      <c r="K30" s="124">
        <v>0.0</v>
      </c>
      <c r="L30" s="124">
        <v>0.0</v>
      </c>
      <c r="M30" s="124">
        <v>0.0</v>
      </c>
      <c r="N30" s="124">
        <v>0.0</v>
      </c>
      <c r="O30" s="124">
        <v>0.0</v>
      </c>
      <c r="P30" s="124">
        <v>0.0</v>
      </c>
      <c r="Q30" s="124">
        <v>0.0</v>
      </c>
      <c r="R30" s="124">
        <v>0.0</v>
      </c>
      <c r="S30" s="124">
        <v>0.0</v>
      </c>
      <c r="T30" s="124">
        <v>0.0</v>
      </c>
      <c r="U30" s="124">
        <v>0.0</v>
      </c>
      <c r="V30" s="124">
        <v>0.0</v>
      </c>
      <c r="W30" s="124">
        <v>0.0</v>
      </c>
      <c r="X30" s="124">
        <v>0.0</v>
      </c>
      <c r="Y30" s="124">
        <v>0.0</v>
      </c>
      <c r="Z30" s="124">
        <v>0.0</v>
      </c>
      <c r="AA30" s="124">
        <v>0.0</v>
      </c>
      <c r="AB30" s="124">
        <v>0.0</v>
      </c>
      <c r="AC30" s="124">
        <v>0.0</v>
      </c>
      <c r="AD30" s="124">
        <v>0.0</v>
      </c>
      <c r="AE30" s="124">
        <v>0.0</v>
      </c>
      <c r="AF30" s="118">
        <f t="shared" si="10"/>
        <v>0</v>
      </c>
    </row>
    <row r="31">
      <c r="A31" s="126" t="s">
        <v>117</v>
      </c>
      <c r="B31" s="128">
        <f t="shared" ref="B31:AE31" si="12">B25+B28</f>
        <v>0</v>
      </c>
      <c r="C31" s="128">
        <f t="shared" si="12"/>
        <v>0</v>
      </c>
      <c r="D31" s="128">
        <f t="shared" si="12"/>
        <v>0</v>
      </c>
      <c r="E31" s="128">
        <f t="shared" si="12"/>
        <v>0</v>
      </c>
      <c r="F31" s="128">
        <f t="shared" si="12"/>
        <v>0</v>
      </c>
      <c r="G31" s="128">
        <f t="shared" si="12"/>
        <v>0</v>
      </c>
      <c r="H31" s="128">
        <f t="shared" si="12"/>
        <v>0</v>
      </c>
      <c r="I31" s="128">
        <f t="shared" si="12"/>
        <v>0</v>
      </c>
      <c r="J31" s="128">
        <f t="shared" si="12"/>
        <v>0</v>
      </c>
      <c r="K31" s="128">
        <f t="shared" si="12"/>
        <v>0</v>
      </c>
      <c r="L31" s="128">
        <f t="shared" si="12"/>
        <v>0</v>
      </c>
      <c r="M31" s="128">
        <f t="shared" si="12"/>
        <v>0</v>
      </c>
      <c r="N31" s="128">
        <f t="shared" si="12"/>
        <v>0</v>
      </c>
      <c r="O31" s="128">
        <f t="shared" si="12"/>
        <v>0</v>
      </c>
      <c r="P31" s="128">
        <f t="shared" si="12"/>
        <v>0</v>
      </c>
      <c r="Q31" s="128">
        <f t="shared" si="12"/>
        <v>14.99</v>
      </c>
      <c r="R31" s="128">
        <f t="shared" si="12"/>
        <v>0</v>
      </c>
      <c r="S31" s="128">
        <f t="shared" si="12"/>
        <v>0</v>
      </c>
      <c r="T31" s="128">
        <f t="shared" si="12"/>
        <v>329.78</v>
      </c>
      <c r="U31" s="128">
        <f t="shared" si="12"/>
        <v>0</v>
      </c>
      <c r="V31" s="128">
        <f t="shared" si="12"/>
        <v>14.99</v>
      </c>
      <c r="W31" s="128">
        <f t="shared" si="12"/>
        <v>44.71</v>
      </c>
      <c r="X31" s="128">
        <f t="shared" si="12"/>
        <v>0</v>
      </c>
      <c r="Y31" s="128">
        <f t="shared" si="12"/>
        <v>0</v>
      </c>
      <c r="Z31" s="128">
        <f t="shared" si="12"/>
        <v>0</v>
      </c>
      <c r="AA31" s="128">
        <f t="shared" si="12"/>
        <v>0</v>
      </c>
      <c r="AB31" s="128">
        <f t="shared" si="12"/>
        <v>28.47</v>
      </c>
      <c r="AC31" s="128">
        <f t="shared" si="12"/>
        <v>0</v>
      </c>
      <c r="AD31" s="128">
        <f t="shared" si="12"/>
        <v>0</v>
      </c>
      <c r="AE31" s="128">
        <f t="shared" si="12"/>
        <v>14.99</v>
      </c>
      <c r="AF31" s="133">
        <f t="shared" si="10"/>
        <v>447.93</v>
      </c>
    </row>
    <row r="32">
      <c r="A32" s="24"/>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72"/>
    </row>
    <row r="33">
      <c r="A33" s="73" t="s">
        <v>140</v>
      </c>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72"/>
    </row>
    <row r="34">
      <c r="A34" s="116" t="s">
        <v>142</v>
      </c>
      <c r="B34" s="106">
        <f t="shared" ref="B34:AE34" si="13">sum(B35:B36)</f>
        <v>0</v>
      </c>
      <c r="C34" s="106">
        <f t="shared" si="13"/>
        <v>0</v>
      </c>
      <c r="D34" s="106">
        <f t="shared" si="13"/>
        <v>0</v>
      </c>
      <c r="E34" s="106">
        <f t="shared" si="13"/>
        <v>0</v>
      </c>
      <c r="F34" s="106">
        <f t="shared" si="13"/>
        <v>0</v>
      </c>
      <c r="G34" s="106">
        <f t="shared" si="13"/>
        <v>0</v>
      </c>
      <c r="H34" s="106">
        <f t="shared" si="13"/>
        <v>0</v>
      </c>
      <c r="I34" s="106">
        <f t="shared" si="13"/>
        <v>0</v>
      </c>
      <c r="J34" s="106">
        <f t="shared" si="13"/>
        <v>0</v>
      </c>
      <c r="K34" s="106">
        <f t="shared" si="13"/>
        <v>0</v>
      </c>
      <c r="L34" s="106">
        <f t="shared" si="13"/>
        <v>0</v>
      </c>
      <c r="M34" s="106">
        <f t="shared" si="13"/>
        <v>0</v>
      </c>
      <c r="N34" s="106">
        <f t="shared" si="13"/>
        <v>0</v>
      </c>
      <c r="O34" s="106">
        <f t="shared" si="13"/>
        <v>0</v>
      </c>
      <c r="P34" s="106">
        <f t="shared" si="13"/>
        <v>0</v>
      </c>
      <c r="Q34" s="106">
        <f t="shared" si="13"/>
        <v>0</v>
      </c>
      <c r="R34" s="106">
        <f t="shared" si="13"/>
        <v>0</v>
      </c>
      <c r="S34" s="106">
        <f t="shared" si="13"/>
        <v>0</v>
      </c>
      <c r="T34" s="106">
        <f t="shared" si="13"/>
        <v>1</v>
      </c>
      <c r="U34" s="106">
        <f t="shared" si="13"/>
        <v>0</v>
      </c>
      <c r="V34" s="106">
        <f t="shared" si="13"/>
        <v>0</v>
      </c>
      <c r="W34" s="106">
        <f t="shared" si="13"/>
        <v>2</v>
      </c>
      <c r="X34" s="106">
        <f t="shared" si="13"/>
        <v>0</v>
      </c>
      <c r="Y34" s="106">
        <f t="shared" si="13"/>
        <v>0</v>
      </c>
      <c r="Z34" s="106">
        <f t="shared" si="13"/>
        <v>0</v>
      </c>
      <c r="AA34" s="106">
        <f t="shared" si="13"/>
        <v>0</v>
      </c>
      <c r="AB34" s="106">
        <f t="shared" si="13"/>
        <v>1</v>
      </c>
      <c r="AC34" s="106">
        <f t="shared" si="13"/>
        <v>0</v>
      </c>
      <c r="AD34" s="106">
        <f t="shared" si="13"/>
        <v>0</v>
      </c>
      <c r="AE34" s="106">
        <f t="shared" si="13"/>
        <v>1</v>
      </c>
      <c r="AF34" s="103">
        <f>sum(B34:AE34)</f>
        <v>5</v>
      </c>
    </row>
    <row r="35">
      <c r="A35" s="116" t="s">
        <v>113</v>
      </c>
      <c r="B35" s="109">
        <v>0.0</v>
      </c>
      <c r="C35" s="109">
        <v>0.0</v>
      </c>
      <c r="D35" s="109">
        <v>0.0</v>
      </c>
      <c r="E35" s="109">
        <v>0.0</v>
      </c>
      <c r="F35" s="109">
        <v>0.0</v>
      </c>
      <c r="G35" s="109">
        <v>0.0</v>
      </c>
      <c r="H35" s="109">
        <v>0.0</v>
      </c>
      <c r="I35" s="109">
        <v>0.0</v>
      </c>
      <c r="J35" s="109">
        <v>0.0</v>
      </c>
      <c r="K35" s="109">
        <v>0.0</v>
      </c>
      <c r="L35" s="109">
        <v>0.0</v>
      </c>
      <c r="M35" s="109">
        <v>0.0</v>
      </c>
      <c r="N35" s="109">
        <v>0.0</v>
      </c>
      <c r="O35" s="109">
        <v>0.0</v>
      </c>
      <c r="P35" s="109">
        <v>0.0</v>
      </c>
      <c r="Q35" s="109">
        <v>0.0</v>
      </c>
      <c r="R35" s="109">
        <v>0.0</v>
      </c>
      <c r="S35" s="109">
        <v>0.0</v>
      </c>
      <c r="T35" s="109">
        <v>1.0</v>
      </c>
      <c r="U35" s="109">
        <v>0.0</v>
      </c>
      <c r="V35" s="109">
        <v>0.0</v>
      </c>
      <c r="W35" s="109">
        <v>2.0</v>
      </c>
      <c r="X35" s="109">
        <v>0.0</v>
      </c>
      <c r="Y35" s="109">
        <v>0.0</v>
      </c>
      <c r="Z35" s="109">
        <v>0.0</v>
      </c>
      <c r="AA35" s="109">
        <v>0.0</v>
      </c>
      <c r="AB35" s="109">
        <v>1.0</v>
      </c>
      <c r="AC35" s="109">
        <v>0.0</v>
      </c>
      <c r="AD35" s="109">
        <v>0.0</v>
      </c>
      <c r="AE35" s="109">
        <v>1.0</v>
      </c>
      <c r="AF35" s="72"/>
    </row>
    <row r="36">
      <c r="A36" s="116" t="s">
        <v>114</v>
      </c>
      <c r="B36" s="109">
        <v>0.0</v>
      </c>
      <c r="C36" s="109">
        <v>0.0</v>
      </c>
      <c r="D36" s="109">
        <v>0.0</v>
      </c>
      <c r="E36" s="109">
        <v>0.0</v>
      </c>
      <c r="F36" s="109">
        <v>0.0</v>
      </c>
      <c r="G36" s="109">
        <v>0.0</v>
      </c>
      <c r="H36" s="109">
        <v>0.0</v>
      </c>
      <c r="I36" s="109">
        <v>0.0</v>
      </c>
      <c r="J36" s="109">
        <v>0.0</v>
      </c>
      <c r="K36" s="109">
        <v>0.0</v>
      </c>
      <c r="L36" s="109">
        <v>0.0</v>
      </c>
      <c r="M36" s="109">
        <v>0.0</v>
      </c>
      <c r="N36" s="109">
        <v>0.0</v>
      </c>
      <c r="O36" s="109">
        <v>0.0</v>
      </c>
      <c r="P36" s="109">
        <v>0.0</v>
      </c>
      <c r="Q36" s="109">
        <v>0.0</v>
      </c>
      <c r="R36" s="109">
        <v>0.0</v>
      </c>
      <c r="S36" s="109">
        <v>0.0</v>
      </c>
      <c r="T36" s="109">
        <v>0.0</v>
      </c>
      <c r="U36" s="109">
        <v>0.0</v>
      </c>
      <c r="V36" s="109">
        <v>0.0</v>
      </c>
      <c r="W36" s="109">
        <v>0.0</v>
      </c>
      <c r="X36" s="109">
        <v>0.0</v>
      </c>
      <c r="Y36" s="109">
        <v>0.0</v>
      </c>
      <c r="Z36" s="109">
        <v>0.0</v>
      </c>
      <c r="AA36" s="109">
        <v>0.0</v>
      </c>
      <c r="AB36" s="109">
        <v>0.0</v>
      </c>
      <c r="AC36" s="109">
        <v>0.0</v>
      </c>
      <c r="AD36" s="109">
        <v>0.0</v>
      </c>
      <c r="AE36" s="109">
        <v>0.0</v>
      </c>
      <c r="AF36" s="72"/>
    </row>
    <row r="37">
      <c r="A37" s="116" t="s">
        <v>148</v>
      </c>
      <c r="B37" s="100">
        <f t="shared" ref="B37:AE37" si="14">sum(B38:B39)</f>
        <v>0</v>
      </c>
      <c r="C37" s="100">
        <f t="shared" si="14"/>
        <v>0</v>
      </c>
      <c r="D37" s="100">
        <f t="shared" si="14"/>
        <v>0</v>
      </c>
      <c r="E37" s="100">
        <f t="shared" si="14"/>
        <v>0</v>
      </c>
      <c r="F37" s="100">
        <f t="shared" si="14"/>
        <v>0</v>
      </c>
      <c r="G37" s="100">
        <f t="shared" si="14"/>
        <v>0</v>
      </c>
      <c r="H37" s="100">
        <f t="shared" si="14"/>
        <v>0</v>
      </c>
      <c r="I37" s="100">
        <f t="shared" si="14"/>
        <v>0</v>
      </c>
      <c r="J37" s="100">
        <f t="shared" si="14"/>
        <v>0</v>
      </c>
      <c r="K37" s="100">
        <f t="shared" si="14"/>
        <v>0</v>
      </c>
      <c r="L37" s="100">
        <f t="shared" si="14"/>
        <v>0</v>
      </c>
      <c r="M37" s="100">
        <f t="shared" si="14"/>
        <v>0</v>
      </c>
      <c r="N37" s="100">
        <f t="shared" si="14"/>
        <v>0</v>
      </c>
      <c r="O37" s="100">
        <f t="shared" si="14"/>
        <v>0</v>
      </c>
      <c r="P37" s="100">
        <f t="shared" si="14"/>
        <v>0</v>
      </c>
      <c r="Q37" s="100">
        <f t="shared" si="14"/>
        <v>1</v>
      </c>
      <c r="R37" s="100">
        <f t="shared" si="14"/>
        <v>0</v>
      </c>
      <c r="S37" s="100">
        <f t="shared" si="14"/>
        <v>0</v>
      </c>
      <c r="T37" s="100">
        <f t="shared" si="14"/>
        <v>21</v>
      </c>
      <c r="U37" s="100">
        <f t="shared" si="14"/>
        <v>0</v>
      </c>
      <c r="V37" s="100">
        <f t="shared" si="14"/>
        <v>1</v>
      </c>
      <c r="W37" s="100">
        <f t="shared" si="14"/>
        <v>1</v>
      </c>
      <c r="X37" s="100">
        <f t="shared" si="14"/>
        <v>0</v>
      </c>
      <c r="Y37" s="100">
        <f t="shared" si="14"/>
        <v>0</v>
      </c>
      <c r="Z37" s="100">
        <f t="shared" si="14"/>
        <v>0</v>
      </c>
      <c r="AA37" s="100">
        <f t="shared" si="14"/>
        <v>0</v>
      </c>
      <c r="AB37" s="100">
        <f t="shared" si="14"/>
        <v>0</v>
      </c>
      <c r="AC37" s="100">
        <f t="shared" si="14"/>
        <v>0</v>
      </c>
      <c r="AD37" s="100">
        <f t="shared" si="14"/>
        <v>0</v>
      </c>
      <c r="AE37" s="100">
        <f t="shared" si="14"/>
        <v>0</v>
      </c>
      <c r="AF37" s="103">
        <f>sum(B37:AE37)</f>
        <v>24</v>
      </c>
    </row>
    <row r="38">
      <c r="A38" s="116" t="s">
        <v>113</v>
      </c>
      <c r="B38" s="104">
        <v>0.0</v>
      </c>
      <c r="C38" s="104">
        <v>0.0</v>
      </c>
      <c r="D38" s="104">
        <v>0.0</v>
      </c>
      <c r="E38" s="104">
        <v>0.0</v>
      </c>
      <c r="F38" s="104">
        <v>0.0</v>
      </c>
      <c r="G38" s="104">
        <v>0.0</v>
      </c>
      <c r="H38" s="104">
        <v>0.0</v>
      </c>
      <c r="I38" s="104">
        <v>0.0</v>
      </c>
      <c r="J38" s="104">
        <v>0.0</v>
      </c>
      <c r="K38" s="104">
        <v>0.0</v>
      </c>
      <c r="L38" s="104">
        <v>0.0</v>
      </c>
      <c r="M38" s="104">
        <v>0.0</v>
      </c>
      <c r="N38" s="104">
        <v>0.0</v>
      </c>
      <c r="O38" s="104">
        <v>0.0</v>
      </c>
      <c r="P38" s="104">
        <v>0.0</v>
      </c>
      <c r="Q38" s="104">
        <v>1.0</v>
      </c>
      <c r="R38" s="104">
        <v>0.0</v>
      </c>
      <c r="S38" s="104">
        <v>0.0</v>
      </c>
      <c r="T38" s="104">
        <v>21.0</v>
      </c>
      <c r="U38" s="104">
        <v>0.0</v>
      </c>
      <c r="V38" s="104">
        <v>1.0</v>
      </c>
      <c r="W38" s="104">
        <v>1.0</v>
      </c>
      <c r="X38" s="104">
        <v>0.0</v>
      </c>
      <c r="Y38" s="104">
        <v>0.0</v>
      </c>
      <c r="Z38" s="104">
        <v>0.0</v>
      </c>
      <c r="AA38" s="104">
        <v>0.0</v>
      </c>
      <c r="AB38" s="104">
        <v>0.0</v>
      </c>
      <c r="AC38" s="104">
        <v>0.0</v>
      </c>
      <c r="AD38" s="104">
        <v>0.0</v>
      </c>
      <c r="AE38" s="104">
        <v>0.0</v>
      </c>
      <c r="AF38" s="72"/>
    </row>
    <row r="39">
      <c r="A39" s="116" t="s">
        <v>114</v>
      </c>
      <c r="B39" s="104">
        <v>0.0</v>
      </c>
      <c r="C39" s="104">
        <v>0.0</v>
      </c>
      <c r="D39" s="104">
        <v>0.0</v>
      </c>
      <c r="E39" s="104">
        <v>0.0</v>
      </c>
      <c r="F39" s="104">
        <v>0.0</v>
      </c>
      <c r="G39" s="104">
        <v>0.0</v>
      </c>
      <c r="H39" s="104">
        <v>0.0</v>
      </c>
      <c r="I39" s="104">
        <v>0.0</v>
      </c>
      <c r="J39" s="104">
        <v>0.0</v>
      </c>
      <c r="K39" s="104">
        <v>0.0</v>
      </c>
      <c r="L39" s="104">
        <v>0.0</v>
      </c>
      <c r="M39" s="104">
        <v>0.0</v>
      </c>
      <c r="N39" s="104">
        <v>0.0</v>
      </c>
      <c r="O39" s="104">
        <v>0.0</v>
      </c>
      <c r="P39" s="104">
        <v>0.0</v>
      </c>
      <c r="Q39" s="104">
        <v>0.0</v>
      </c>
      <c r="R39" s="104">
        <v>0.0</v>
      </c>
      <c r="S39" s="104">
        <v>0.0</v>
      </c>
      <c r="T39" s="104">
        <v>0.0</v>
      </c>
      <c r="U39" s="104">
        <v>0.0</v>
      </c>
      <c r="V39" s="104">
        <v>0.0</v>
      </c>
      <c r="W39" s="104">
        <v>0.0</v>
      </c>
      <c r="X39" s="104">
        <v>0.0</v>
      </c>
      <c r="Y39" s="104">
        <v>0.0</v>
      </c>
      <c r="Z39" s="104">
        <v>0.0</v>
      </c>
      <c r="AA39" s="104">
        <v>0.0</v>
      </c>
      <c r="AB39" s="104">
        <v>0.0</v>
      </c>
      <c r="AC39" s="104">
        <v>0.0</v>
      </c>
      <c r="AD39" s="104">
        <v>0.0</v>
      </c>
      <c r="AE39" s="104">
        <v>0.0</v>
      </c>
      <c r="AF39" s="72"/>
    </row>
    <row r="40">
      <c r="A40" s="126" t="s">
        <v>117</v>
      </c>
      <c r="B40" s="160">
        <f t="shared" ref="B40:AE40" si="15">B34+B37</f>
        <v>0</v>
      </c>
      <c r="C40" s="160">
        <f t="shared" si="15"/>
        <v>0</v>
      </c>
      <c r="D40" s="160">
        <f t="shared" si="15"/>
        <v>0</v>
      </c>
      <c r="E40" s="160">
        <f t="shared" si="15"/>
        <v>0</v>
      </c>
      <c r="F40" s="160">
        <f t="shared" si="15"/>
        <v>0</v>
      </c>
      <c r="G40" s="160">
        <f t="shared" si="15"/>
        <v>0</v>
      </c>
      <c r="H40" s="160">
        <f t="shared" si="15"/>
        <v>0</v>
      </c>
      <c r="I40" s="160">
        <f t="shared" si="15"/>
        <v>0</v>
      </c>
      <c r="J40" s="160">
        <f t="shared" si="15"/>
        <v>0</v>
      </c>
      <c r="K40" s="160">
        <f t="shared" si="15"/>
        <v>0</v>
      </c>
      <c r="L40" s="160">
        <f t="shared" si="15"/>
        <v>0</v>
      </c>
      <c r="M40" s="160">
        <f t="shared" si="15"/>
        <v>0</v>
      </c>
      <c r="N40" s="160">
        <f t="shared" si="15"/>
        <v>0</v>
      </c>
      <c r="O40" s="160">
        <f t="shared" si="15"/>
        <v>0</v>
      </c>
      <c r="P40" s="160">
        <f t="shared" si="15"/>
        <v>0</v>
      </c>
      <c r="Q40" s="160">
        <f t="shared" si="15"/>
        <v>1</v>
      </c>
      <c r="R40" s="160">
        <f t="shared" si="15"/>
        <v>0</v>
      </c>
      <c r="S40" s="160">
        <f t="shared" si="15"/>
        <v>0</v>
      </c>
      <c r="T40" s="160">
        <f t="shared" si="15"/>
        <v>22</v>
      </c>
      <c r="U40" s="160">
        <f t="shared" si="15"/>
        <v>0</v>
      </c>
      <c r="V40" s="160">
        <f t="shared" si="15"/>
        <v>1</v>
      </c>
      <c r="W40" s="160">
        <f t="shared" si="15"/>
        <v>3</v>
      </c>
      <c r="X40" s="160">
        <f t="shared" si="15"/>
        <v>0</v>
      </c>
      <c r="Y40" s="160">
        <f t="shared" si="15"/>
        <v>0</v>
      </c>
      <c r="Z40" s="160">
        <f t="shared" si="15"/>
        <v>0</v>
      </c>
      <c r="AA40" s="160">
        <f t="shared" si="15"/>
        <v>0</v>
      </c>
      <c r="AB40" s="160">
        <f t="shared" si="15"/>
        <v>1</v>
      </c>
      <c r="AC40" s="160">
        <f t="shared" si="15"/>
        <v>0</v>
      </c>
      <c r="AD40" s="160">
        <f t="shared" si="15"/>
        <v>0</v>
      </c>
      <c r="AE40" s="160">
        <f t="shared" si="15"/>
        <v>1</v>
      </c>
      <c r="AF40" s="164">
        <f>sum(B40:AE40)</f>
        <v>29</v>
      </c>
    </row>
    <row r="41">
      <c r="A41" s="24"/>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72"/>
    </row>
    <row r="42">
      <c r="A42" s="73" t="s">
        <v>162</v>
      </c>
      <c r="B42" s="130"/>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72"/>
    </row>
    <row r="43">
      <c r="A43" s="169" t="s">
        <v>165</v>
      </c>
      <c r="B43" s="70">
        <f t="shared" ref="B43:AE43" si="16">B5-B25</f>
        <v>0</v>
      </c>
      <c r="C43" s="70">
        <f t="shared" si="16"/>
        <v>0</v>
      </c>
      <c r="D43" s="70">
        <f t="shared" si="16"/>
        <v>0</v>
      </c>
      <c r="E43" s="70">
        <f t="shared" si="16"/>
        <v>0</v>
      </c>
      <c r="F43" s="70">
        <f t="shared" si="16"/>
        <v>0</v>
      </c>
      <c r="G43" s="70">
        <f t="shared" si="16"/>
        <v>0</v>
      </c>
      <c r="H43" s="70">
        <f t="shared" si="16"/>
        <v>0</v>
      </c>
      <c r="I43" s="70">
        <f t="shared" si="16"/>
        <v>0</v>
      </c>
      <c r="J43" s="70">
        <f t="shared" si="16"/>
        <v>0</v>
      </c>
      <c r="K43" s="70">
        <f t="shared" si="16"/>
        <v>0</v>
      </c>
      <c r="L43" s="70">
        <f t="shared" si="16"/>
        <v>0</v>
      </c>
      <c r="M43" s="70">
        <f t="shared" si="16"/>
        <v>0</v>
      </c>
      <c r="N43" s="70">
        <f t="shared" si="16"/>
        <v>0</v>
      </c>
      <c r="O43" s="70">
        <f t="shared" si="16"/>
        <v>0</v>
      </c>
      <c r="P43" s="70">
        <f t="shared" si="16"/>
        <v>0</v>
      </c>
      <c r="Q43" s="70">
        <f t="shared" si="16"/>
        <v>0</v>
      </c>
      <c r="R43" s="70">
        <f t="shared" si="16"/>
        <v>0</v>
      </c>
      <c r="S43" s="70">
        <f t="shared" si="16"/>
        <v>5748.69347</v>
      </c>
      <c r="T43" s="70">
        <f t="shared" si="16"/>
        <v>6565.561941</v>
      </c>
      <c r="U43" s="70">
        <f t="shared" si="16"/>
        <v>4058.230714</v>
      </c>
      <c r="V43" s="70">
        <f t="shared" si="16"/>
        <v>3177.162467</v>
      </c>
      <c r="W43" s="70">
        <f t="shared" si="16"/>
        <v>2092.700077</v>
      </c>
      <c r="X43" s="70">
        <f t="shared" si="16"/>
        <v>2216.313939</v>
      </c>
      <c r="Y43" s="70">
        <f t="shared" si="16"/>
        <v>2009.192659</v>
      </c>
      <c r="Z43" s="70">
        <f t="shared" si="16"/>
        <v>1405.256379</v>
      </c>
      <c r="AA43" s="70">
        <f t="shared" si="16"/>
        <v>1441.604651</v>
      </c>
      <c r="AB43" s="70">
        <f t="shared" si="16"/>
        <v>937.505819</v>
      </c>
      <c r="AC43" s="70">
        <f t="shared" si="16"/>
        <v>1057.488153</v>
      </c>
      <c r="AD43" s="70">
        <f t="shared" si="16"/>
        <v>5026.634142</v>
      </c>
      <c r="AE43" s="70">
        <f t="shared" si="16"/>
        <v>4792.318773</v>
      </c>
      <c r="AF43" s="118">
        <f t="shared" ref="AF43:AF49" si="18">sum(B43:AE43)</f>
        <v>40528.66318</v>
      </c>
    </row>
    <row r="44">
      <c r="A44" s="169" t="s">
        <v>113</v>
      </c>
      <c r="B44" s="173">
        <f t="shared" ref="B44:AE44" si="17">B6-B26</f>
        <v>0</v>
      </c>
      <c r="C44" s="173">
        <f t="shared" si="17"/>
        <v>0</v>
      </c>
      <c r="D44" s="173">
        <f t="shared" si="17"/>
        <v>0</v>
      </c>
      <c r="E44" s="173">
        <f t="shared" si="17"/>
        <v>0</v>
      </c>
      <c r="F44" s="173">
        <f t="shared" si="17"/>
        <v>0</v>
      </c>
      <c r="G44" s="173">
        <f t="shared" si="17"/>
        <v>0</v>
      </c>
      <c r="H44" s="173">
        <f t="shared" si="17"/>
        <v>0</v>
      </c>
      <c r="I44" s="173">
        <f t="shared" si="17"/>
        <v>0</v>
      </c>
      <c r="J44" s="173">
        <f t="shared" si="17"/>
        <v>0</v>
      </c>
      <c r="K44" s="173">
        <f t="shared" si="17"/>
        <v>0</v>
      </c>
      <c r="L44" s="173">
        <f t="shared" si="17"/>
        <v>0</v>
      </c>
      <c r="M44" s="173">
        <f t="shared" si="17"/>
        <v>0</v>
      </c>
      <c r="N44" s="173">
        <f t="shared" si="17"/>
        <v>0</v>
      </c>
      <c r="O44" s="173">
        <f t="shared" si="17"/>
        <v>0</v>
      </c>
      <c r="P44" s="173">
        <f t="shared" si="17"/>
        <v>0</v>
      </c>
      <c r="Q44" s="173">
        <f t="shared" si="17"/>
        <v>0</v>
      </c>
      <c r="R44" s="173">
        <f t="shared" si="17"/>
        <v>0</v>
      </c>
      <c r="S44" s="173">
        <f t="shared" si="17"/>
        <v>5748.69347</v>
      </c>
      <c r="T44" s="173">
        <f t="shared" si="17"/>
        <v>6565.561941</v>
      </c>
      <c r="U44" s="173">
        <f t="shared" si="17"/>
        <v>4058.230714</v>
      </c>
      <c r="V44" s="173">
        <f t="shared" si="17"/>
        <v>3177.162467</v>
      </c>
      <c r="W44" s="173">
        <f t="shared" si="17"/>
        <v>2092.700077</v>
      </c>
      <c r="X44" s="173">
        <f t="shared" si="17"/>
        <v>2216.313939</v>
      </c>
      <c r="Y44" s="173">
        <f t="shared" si="17"/>
        <v>2009.192659</v>
      </c>
      <c r="Z44" s="173">
        <f t="shared" si="17"/>
        <v>1361.222758</v>
      </c>
      <c r="AA44" s="173">
        <f t="shared" si="17"/>
        <v>1348.011241</v>
      </c>
      <c r="AB44" s="173">
        <f t="shared" si="17"/>
        <v>905.926455</v>
      </c>
      <c r="AC44" s="173">
        <f t="shared" si="17"/>
        <v>1026.308812</v>
      </c>
      <c r="AD44" s="173">
        <f t="shared" si="17"/>
        <v>5005.441022</v>
      </c>
      <c r="AE44" s="173">
        <f t="shared" si="17"/>
        <v>4768.135653</v>
      </c>
      <c r="AF44" s="118">
        <f t="shared" si="18"/>
        <v>40282.90121</v>
      </c>
    </row>
    <row r="45">
      <c r="A45" s="169" t="s">
        <v>114</v>
      </c>
      <c r="B45" s="173">
        <f t="shared" ref="B45:AE45" si="19">B7-B27</f>
        <v>0</v>
      </c>
      <c r="C45" s="173">
        <f t="shared" si="19"/>
        <v>0</v>
      </c>
      <c r="D45" s="173">
        <f t="shared" si="19"/>
        <v>0</v>
      </c>
      <c r="E45" s="173">
        <f t="shared" si="19"/>
        <v>0</v>
      </c>
      <c r="F45" s="173">
        <f t="shared" si="19"/>
        <v>0</v>
      </c>
      <c r="G45" s="173">
        <f t="shared" si="19"/>
        <v>0</v>
      </c>
      <c r="H45" s="173">
        <f t="shared" si="19"/>
        <v>0</v>
      </c>
      <c r="I45" s="173">
        <f t="shared" si="19"/>
        <v>0</v>
      </c>
      <c r="J45" s="173">
        <f t="shared" si="19"/>
        <v>0</v>
      </c>
      <c r="K45" s="173">
        <f t="shared" si="19"/>
        <v>0</v>
      </c>
      <c r="L45" s="173">
        <f t="shared" si="19"/>
        <v>0</v>
      </c>
      <c r="M45" s="173">
        <f t="shared" si="19"/>
        <v>0</v>
      </c>
      <c r="N45" s="173">
        <f t="shared" si="19"/>
        <v>0</v>
      </c>
      <c r="O45" s="173">
        <f t="shared" si="19"/>
        <v>0</v>
      </c>
      <c r="P45" s="173">
        <f t="shared" si="19"/>
        <v>0</v>
      </c>
      <c r="Q45" s="173">
        <f t="shared" si="19"/>
        <v>0</v>
      </c>
      <c r="R45" s="173">
        <f t="shared" si="19"/>
        <v>0</v>
      </c>
      <c r="S45" s="173">
        <f t="shared" si="19"/>
        <v>0</v>
      </c>
      <c r="T45" s="173">
        <f t="shared" si="19"/>
        <v>0</v>
      </c>
      <c r="U45" s="173">
        <f t="shared" si="19"/>
        <v>0</v>
      </c>
      <c r="V45" s="173">
        <f t="shared" si="19"/>
        <v>0</v>
      </c>
      <c r="W45" s="173">
        <f t="shared" si="19"/>
        <v>0</v>
      </c>
      <c r="X45" s="173">
        <f t="shared" si="19"/>
        <v>0</v>
      </c>
      <c r="Y45" s="173">
        <f t="shared" si="19"/>
        <v>0</v>
      </c>
      <c r="Z45" s="173">
        <f t="shared" si="19"/>
        <v>44.033621</v>
      </c>
      <c r="AA45" s="173">
        <f t="shared" si="19"/>
        <v>93.59341</v>
      </c>
      <c r="AB45" s="173">
        <f t="shared" si="19"/>
        <v>31.579364</v>
      </c>
      <c r="AC45" s="173">
        <f t="shared" si="19"/>
        <v>31.179341</v>
      </c>
      <c r="AD45" s="173">
        <f t="shared" si="19"/>
        <v>21.19312</v>
      </c>
      <c r="AE45" s="173">
        <f t="shared" si="19"/>
        <v>24.18312</v>
      </c>
      <c r="AF45" s="118">
        <f t="shared" si="18"/>
        <v>245.761976</v>
      </c>
    </row>
    <row r="46">
      <c r="A46" s="169" t="s">
        <v>176</v>
      </c>
      <c r="B46" s="70">
        <f t="shared" ref="B46:AE46" si="20">B8-B28</f>
        <v>0</v>
      </c>
      <c r="C46" s="70">
        <f t="shared" si="20"/>
        <v>0</v>
      </c>
      <c r="D46" s="70">
        <f t="shared" si="20"/>
        <v>0</v>
      </c>
      <c r="E46" s="70">
        <f t="shared" si="20"/>
        <v>0</v>
      </c>
      <c r="F46" s="70">
        <f t="shared" si="20"/>
        <v>0</v>
      </c>
      <c r="G46" s="70">
        <f t="shared" si="20"/>
        <v>3.53</v>
      </c>
      <c r="H46" s="70">
        <f t="shared" si="20"/>
        <v>3.52</v>
      </c>
      <c r="I46" s="70">
        <f t="shared" si="20"/>
        <v>0</v>
      </c>
      <c r="J46" s="70">
        <f t="shared" si="20"/>
        <v>0</v>
      </c>
      <c r="K46" s="70">
        <f t="shared" si="20"/>
        <v>0</v>
      </c>
      <c r="L46" s="70">
        <f t="shared" si="20"/>
        <v>0</v>
      </c>
      <c r="M46" s="70">
        <f t="shared" si="20"/>
        <v>0</v>
      </c>
      <c r="N46" s="70">
        <f t="shared" si="20"/>
        <v>0</v>
      </c>
      <c r="O46" s="70">
        <f t="shared" si="20"/>
        <v>0</v>
      </c>
      <c r="P46" s="70">
        <f t="shared" si="20"/>
        <v>35.16</v>
      </c>
      <c r="Q46" s="70">
        <f t="shared" si="20"/>
        <v>1</v>
      </c>
      <c r="R46" s="70">
        <f t="shared" si="20"/>
        <v>35.15</v>
      </c>
      <c r="S46" s="70">
        <f t="shared" si="20"/>
        <v>2612.31</v>
      </c>
      <c r="T46" s="70">
        <f t="shared" si="20"/>
        <v>1678.94</v>
      </c>
      <c r="U46" s="70">
        <f t="shared" si="20"/>
        <v>1418.95</v>
      </c>
      <c r="V46" s="70">
        <f t="shared" si="20"/>
        <v>1150.16</v>
      </c>
      <c r="W46" s="70">
        <f t="shared" si="20"/>
        <v>814.07</v>
      </c>
      <c r="X46" s="70">
        <f t="shared" si="20"/>
        <v>745.44</v>
      </c>
      <c r="Y46" s="70">
        <f t="shared" si="20"/>
        <v>626.12</v>
      </c>
      <c r="Z46" s="70">
        <f t="shared" si="20"/>
        <v>497.57</v>
      </c>
      <c r="AA46" s="70">
        <f t="shared" si="20"/>
        <v>589.46</v>
      </c>
      <c r="AB46" s="70">
        <f t="shared" si="20"/>
        <v>457.86</v>
      </c>
      <c r="AC46" s="70">
        <f t="shared" si="20"/>
        <v>360.17</v>
      </c>
      <c r="AD46" s="70">
        <f t="shared" si="20"/>
        <v>2072.5</v>
      </c>
      <c r="AE46" s="70">
        <f t="shared" si="20"/>
        <v>2861.7</v>
      </c>
      <c r="AF46" s="118">
        <f t="shared" si="18"/>
        <v>15963.61</v>
      </c>
    </row>
    <row r="47">
      <c r="A47" s="169" t="s">
        <v>113</v>
      </c>
      <c r="B47" s="173">
        <f t="shared" ref="B47:AE47" si="21">B9-B29</f>
        <v>0</v>
      </c>
      <c r="C47" s="173">
        <f t="shared" si="21"/>
        <v>0</v>
      </c>
      <c r="D47" s="173">
        <f t="shared" si="21"/>
        <v>0</v>
      </c>
      <c r="E47" s="173">
        <f t="shared" si="21"/>
        <v>0</v>
      </c>
      <c r="F47" s="173">
        <f t="shared" si="21"/>
        <v>0</v>
      </c>
      <c r="G47" s="173">
        <f t="shared" si="21"/>
        <v>0</v>
      </c>
      <c r="H47" s="173">
        <f t="shared" si="21"/>
        <v>0</v>
      </c>
      <c r="I47" s="173">
        <f t="shared" si="21"/>
        <v>0</v>
      </c>
      <c r="J47" s="173">
        <f t="shared" si="21"/>
        <v>0</v>
      </c>
      <c r="K47" s="173">
        <f t="shared" si="21"/>
        <v>0</v>
      </c>
      <c r="L47" s="173">
        <f t="shared" si="21"/>
        <v>0</v>
      </c>
      <c r="M47" s="173">
        <f t="shared" si="21"/>
        <v>0</v>
      </c>
      <c r="N47" s="173">
        <f t="shared" si="21"/>
        <v>0</v>
      </c>
      <c r="O47" s="173">
        <f t="shared" si="21"/>
        <v>0</v>
      </c>
      <c r="P47" s="173">
        <f t="shared" si="21"/>
        <v>31.97</v>
      </c>
      <c r="Q47" s="173">
        <f t="shared" si="21"/>
        <v>1</v>
      </c>
      <c r="R47" s="173">
        <f t="shared" si="21"/>
        <v>31.96</v>
      </c>
      <c r="S47" s="173">
        <f t="shared" si="21"/>
        <v>2602.74</v>
      </c>
      <c r="T47" s="173">
        <f t="shared" si="21"/>
        <v>1678.94</v>
      </c>
      <c r="U47" s="173">
        <f t="shared" si="21"/>
        <v>1412.75</v>
      </c>
      <c r="V47" s="173">
        <f t="shared" si="21"/>
        <v>1150.16</v>
      </c>
      <c r="W47" s="173">
        <f t="shared" si="21"/>
        <v>814.07</v>
      </c>
      <c r="X47" s="173">
        <f t="shared" si="21"/>
        <v>745.44</v>
      </c>
      <c r="Y47" s="173">
        <f t="shared" si="21"/>
        <v>626.12</v>
      </c>
      <c r="Z47" s="173">
        <f t="shared" si="21"/>
        <v>491.4</v>
      </c>
      <c r="AA47" s="173">
        <f t="shared" si="21"/>
        <v>570.4</v>
      </c>
      <c r="AB47" s="173">
        <f t="shared" si="21"/>
        <v>448.25</v>
      </c>
      <c r="AC47" s="173">
        <f t="shared" si="21"/>
        <v>353.64</v>
      </c>
      <c r="AD47" s="173">
        <f t="shared" si="21"/>
        <v>2066.35</v>
      </c>
      <c r="AE47" s="173">
        <f t="shared" si="21"/>
        <v>2852.07</v>
      </c>
      <c r="AF47" s="118">
        <f t="shared" si="18"/>
        <v>15877.26</v>
      </c>
    </row>
    <row r="48">
      <c r="A48" s="169" t="s">
        <v>114</v>
      </c>
      <c r="B48" s="173">
        <f t="shared" ref="B48:AE48" si="22">B10-B30</f>
        <v>0</v>
      </c>
      <c r="C48" s="173">
        <f t="shared" si="22"/>
        <v>0</v>
      </c>
      <c r="D48" s="173">
        <f t="shared" si="22"/>
        <v>0</v>
      </c>
      <c r="E48" s="173">
        <f t="shared" si="22"/>
        <v>0</v>
      </c>
      <c r="F48" s="173">
        <f t="shared" si="22"/>
        <v>0</v>
      </c>
      <c r="G48" s="173">
        <f t="shared" si="22"/>
        <v>3.53</v>
      </c>
      <c r="H48" s="173">
        <f t="shared" si="22"/>
        <v>3.52</v>
      </c>
      <c r="I48" s="173">
        <f t="shared" si="22"/>
        <v>0</v>
      </c>
      <c r="J48" s="173">
        <f t="shared" si="22"/>
        <v>0</v>
      </c>
      <c r="K48" s="173">
        <f t="shared" si="22"/>
        <v>0</v>
      </c>
      <c r="L48" s="173">
        <f t="shared" si="22"/>
        <v>0</v>
      </c>
      <c r="M48" s="173">
        <f t="shared" si="22"/>
        <v>0</v>
      </c>
      <c r="N48" s="173">
        <f t="shared" si="22"/>
        <v>0</v>
      </c>
      <c r="O48" s="173">
        <f t="shared" si="22"/>
        <v>0</v>
      </c>
      <c r="P48" s="173">
        <f t="shared" si="22"/>
        <v>3.19</v>
      </c>
      <c r="Q48" s="173">
        <f t="shared" si="22"/>
        <v>0</v>
      </c>
      <c r="R48" s="173">
        <f t="shared" si="22"/>
        <v>3.19</v>
      </c>
      <c r="S48" s="173">
        <f t="shared" si="22"/>
        <v>9.57</v>
      </c>
      <c r="T48" s="173">
        <f t="shared" si="22"/>
        <v>0</v>
      </c>
      <c r="U48" s="173">
        <f t="shared" si="22"/>
        <v>6.2</v>
      </c>
      <c r="V48" s="173">
        <f t="shared" si="22"/>
        <v>0</v>
      </c>
      <c r="W48" s="173">
        <f t="shared" si="22"/>
        <v>0</v>
      </c>
      <c r="X48" s="173">
        <f t="shared" si="22"/>
        <v>0</v>
      </c>
      <c r="Y48" s="173">
        <f t="shared" si="22"/>
        <v>0</v>
      </c>
      <c r="Z48" s="173">
        <f t="shared" si="22"/>
        <v>6.17</v>
      </c>
      <c r="AA48" s="173">
        <f t="shared" si="22"/>
        <v>19.06</v>
      </c>
      <c r="AB48" s="173">
        <f t="shared" si="22"/>
        <v>9.61</v>
      </c>
      <c r="AC48" s="173">
        <f t="shared" si="22"/>
        <v>6.53</v>
      </c>
      <c r="AD48" s="173">
        <f t="shared" si="22"/>
        <v>6.15</v>
      </c>
      <c r="AE48" s="173">
        <f t="shared" si="22"/>
        <v>9.63</v>
      </c>
      <c r="AF48" s="118">
        <f t="shared" si="18"/>
        <v>86.35</v>
      </c>
    </row>
    <row r="49">
      <c r="A49" s="193" t="s">
        <v>117</v>
      </c>
      <c r="B49" s="195">
        <f t="shared" ref="B49:AE49" si="23">B43+B46</f>
        <v>0</v>
      </c>
      <c r="C49" s="195">
        <f t="shared" si="23"/>
        <v>0</v>
      </c>
      <c r="D49" s="195">
        <f t="shared" si="23"/>
        <v>0</v>
      </c>
      <c r="E49" s="195">
        <f t="shared" si="23"/>
        <v>0</v>
      </c>
      <c r="F49" s="195">
        <f t="shared" si="23"/>
        <v>0</v>
      </c>
      <c r="G49" s="195">
        <f t="shared" si="23"/>
        <v>3.53</v>
      </c>
      <c r="H49" s="195">
        <f t="shared" si="23"/>
        <v>3.52</v>
      </c>
      <c r="I49" s="195">
        <f t="shared" si="23"/>
        <v>0</v>
      </c>
      <c r="J49" s="195">
        <f t="shared" si="23"/>
        <v>0</v>
      </c>
      <c r="K49" s="195">
        <f t="shared" si="23"/>
        <v>0</v>
      </c>
      <c r="L49" s="195">
        <f t="shared" si="23"/>
        <v>0</v>
      </c>
      <c r="M49" s="195">
        <f t="shared" si="23"/>
        <v>0</v>
      </c>
      <c r="N49" s="195">
        <f t="shared" si="23"/>
        <v>0</v>
      </c>
      <c r="O49" s="195">
        <f t="shared" si="23"/>
        <v>0</v>
      </c>
      <c r="P49" s="195">
        <f t="shared" si="23"/>
        <v>35.16</v>
      </c>
      <c r="Q49" s="195">
        <f t="shared" si="23"/>
        <v>1</v>
      </c>
      <c r="R49" s="195">
        <f t="shared" si="23"/>
        <v>35.15</v>
      </c>
      <c r="S49" s="195">
        <f t="shared" si="23"/>
        <v>8361.00347</v>
      </c>
      <c r="T49" s="195">
        <f t="shared" si="23"/>
        <v>8244.501941</v>
      </c>
      <c r="U49" s="195">
        <f t="shared" si="23"/>
        <v>5477.180714</v>
      </c>
      <c r="V49" s="195">
        <f t="shared" si="23"/>
        <v>4327.322467</v>
      </c>
      <c r="W49" s="195">
        <f t="shared" si="23"/>
        <v>2906.770077</v>
      </c>
      <c r="X49" s="195">
        <f t="shared" si="23"/>
        <v>2961.753939</v>
      </c>
      <c r="Y49" s="195">
        <f t="shared" si="23"/>
        <v>2635.312659</v>
      </c>
      <c r="Z49" s="195">
        <f t="shared" si="23"/>
        <v>1902.826379</v>
      </c>
      <c r="AA49" s="195">
        <f t="shared" si="23"/>
        <v>2031.064651</v>
      </c>
      <c r="AB49" s="195">
        <f t="shared" si="23"/>
        <v>1395.365819</v>
      </c>
      <c r="AC49" s="195">
        <f t="shared" si="23"/>
        <v>1417.658153</v>
      </c>
      <c r="AD49" s="195">
        <f t="shared" si="23"/>
        <v>7099.134142</v>
      </c>
      <c r="AE49" s="195">
        <f t="shared" si="23"/>
        <v>7654.018773</v>
      </c>
      <c r="AF49" s="200">
        <f t="shared" si="18"/>
        <v>56492.27318</v>
      </c>
    </row>
    <row r="50">
      <c r="A50" s="24"/>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204"/>
    </row>
    <row r="51">
      <c r="A51" s="73" t="s">
        <v>186</v>
      </c>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204"/>
    </row>
    <row r="52">
      <c r="A52" s="169" t="s">
        <v>165</v>
      </c>
      <c r="B52" s="100">
        <f t="shared" ref="B52:AE52" si="24">B14-B34</f>
        <v>0</v>
      </c>
      <c r="C52" s="100">
        <f t="shared" si="24"/>
        <v>0</v>
      </c>
      <c r="D52" s="100">
        <f t="shared" si="24"/>
        <v>0</v>
      </c>
      <c r="E52" s="100">
        <f t="shared" si="24"/>
        <v>0</v>
      </c>
      <c r="F52" s="100">
        <f t="shared" si="24"/>
        <v>0</v>
      </c>
      <c r="G52" s="100">
        <f t="shared" si="24"/>
        <v>0</v>
      </c>
      <c r="H52" s="100">
        <f t="shared" si="24"/>
        <v>0</v>
      </c>
      <c r="I52" s="100">
        <f t="shared" si="24"/>
        <v>0</v>
      </c>
      <c r="J52" s="100">
        <f t="shared" si="24"/>
        <v>0</v>
      </c>
      <c r="K52" s="100">
        <f t="shared" si="24"/>
        <v>0</v>
      </c>
      <c r="L52" s="100">
        <f t="shared" si="24"/>
        <v>0</v>
      </c>
      <c r="M52" s="100">
        <f t="shared" si="24"/>
        <v>0</v>
      </c>
      <c r="N52" s="100">
        <f t="shared" si="24"/>
        <v>0</v>
      </c>
      <c r="O52" s="100">
        <f t="shared" si="24"/>
        <v>0</v>
      </c>
      <c r="P52" s="100">
        <f t="shared" si="24"/>
        <v>0</v>
      </c>
      <c r="Q52" s="100">
        <f t="shared" si="24"/>
        <v>0</v>
      </c>
      <c r="R52" s="100">
        <f t="shared" si="24"/>
        <v>0</v>
      </c>
      <c r="S52" s="100">
        <f t="shared" si="24"/>
        <v>372</v>
      </c>
      <c r="T52" s="100">
        <f t="shared" si="24"/>
        <v>430</v>
      </c>
      <c r="U52" s="100">
        <f t="shared" si="24"/>
        <v>265</v>
      </c>
      <c r="V52" s="100">
        <f t="shared" si="24"/>
        <v>207</v>
      </c>
      <c r="W52" s="100">
        <f t="shared" si="24"/>
        <v>139</v>
      </c>
      <c r="X52" s="100">
        <f t="shared" si="24"/>
        <v>145</v>
      </c>
      <c r="Y52" s="100">
        <f t="shared" si="24"/>
        <v>132</v>
      </c>
      <c r="Z52" s="100">
        <f t="shared" si="24"/>
        <v>103</v>
      </c>
      <c r="AA52" s="100">
        <f t="shared" si="24"/>
        <v>117</v>
      </c>
      <c r="AB52" s="100">
        <f t="shared" si="24"/>
        <v>71</v>
      </c>
      <c r="AC52" s="100">
        <f t="shared" si="24"/>
        <v>77</v>
      </c>
      <c r="AD52" s="100">
        <f t="shared" si="24"/>
        <v>338</v>
      </c>
      <c r="AE52" s="100">
        <f t="shared" si="24"/>
        <v>318</v>
      </c>
      <c r="AF52" s="103">
        <f t="shared" ref="AF52:AF58" si="26">sum(B52:AE52)</f>
        <v>2714</v>
      </c>
    </row>
    <row r="53">
      <c r="A53" s="169" t="s">
        <v>113</v>
      </c>
      <c r="B53" s="100">
        <f t="shared" ref="B53:AE53" si="25">B15-B35</f>
        <v>0</v>
      </c>
      <c r="C53" s="100">
        <f t="shared" si="25"/>
        <v>0</v>
      </c>
      <c r="D53" s="100">
        <f t="shared" si="25"/>
        <v>0</v>
      </c>
      <c r="E53" s="100">
        <f t="shared" si="25"/>
        <v>0</v>
      </c>
      <c r="F53" s="100">
        <f t="shared" si="25"/>
        <v>0</v>
      </c>
      <c r="G53" s="100">
        <f t="shared" si="25"/>
        <v>0</v>
      </c>
      <c r="H53" s="100">
        <f t="shared" si="25"/>
        <v>0</v>
      </c>
      <c r="I53" s="100">
        <f t="shared" si="25"/>
        <v>0</v>
      </c>
      <c r="J53" s="100">
        <f t="shared" si="25"/>
        <v>0</v>
      </c>
      <c r="K53" s="100">
        <f t="shared" si="25"/>
        <v>0</v>
      </c>
      <c r="L53" s="100">
        <f t="shared" si="25"/>
        <v>0</v>
      </c>
      <c r="M53" s="100">
        <f t="shared" si="25"/>
        <v>0</v>
      </c>
      <c r="N53" s="100">
        <f t="shared" si="25"/>
        <v>0</v>
      </c>
      <c r="O53" s="100">
        <f t="shared" si="25"/>
        <v>0</v>
      </c>
      <c r="P53" s="100">
        <f t="shared" si="25"/>
        <v>0</v>
      </c>
      <c r="Q53" s="100">
        <f t="shared" si="25"/>
        <v>0</v>
      </c>
      <c r="R53" s="100">
        <f t="shared" si="25"/>
        <v>0</v>
      </c>
      <c r="S53" s="100">
        <f t="shared" si="25"/>
        <v>372</v>
      </c>
      <c r="T53" s="100">
        <f t="shared" si="25"/>
        <v>430</v>
      </c>
      <c r="U53" s="100">
        <f t="shared" si="25"/>
        <v>265</v>
      </c>
      <c r="V53" s="100">
        <f t="shared" si="25"/>
        <v>207</v>
      </c>
      <c r="W53" s="100">
        <f t="shared" si="25"/>
        <v>139</v>
      </c>
      <c r="X53" s="100">
        <f t="shared" si="25"/>
        <v>145</v>
      </c>
      <c r="Y53" s="100">
        <f t="shared" si="25"/>
        <v>132</v>
      </c>
      <c r="Z53" s="100">
        <f t="shared" si="25"/>
        <v>89</v>
      </c>
      <c r="AA53" s="100">
        <f t="shared" si="25"/>
        <v>86</v>
      </c>
      <c r="AB53" s="100">
        <f t="shared" si="25"/>
        <v>61</v>
      </c>
      <c r="AC53" s="100">
        <f t="shared" si="25"/>
        <v>67</v>
      </c>
      <c r="AD53" s="100">
        <f t="shared" si="25"/>
        <v>331</v>
      </c>
      <c r="AE53" s="100">
        <f t="shared" si="25"/>
        <v>310</v>
      </c>
      <c r="AF53" s="103">
        <f t="shared" si="26"/>
        <v>2634</v>
      </c>
    </row>
    <row r="54">
      <c r="A54" s="169" t="s">
        <v>114</v>
      </c>
      <c r="B54" s="100">
        <f t="shared" ref="B54:AE54" si="27">B16-B36</f>
        <v>0</v>
      </c>
      <c r="C54" s="100">
        <f t="shared" si="27"/>
        <v>0</v>
      </c>
      <c r="D54" s="100">
        <f t="shared" si="27"/>
        <v>0</v>
      </c>
      <c r="E54" s="100">
        <f t="shared" si="27"/>
        <v>0</v>
      </c>
      <c r="F54" s="100">
        <f t="shared" si="27"/>
        <v>0</v>
      </c>
      <c r="G54" s="100">
        <f t="shared" si="27"/>
        <v>0</v>
      </c>
      <c r="H54" s="100">
        <f t="shared" si="27"/>
        <v>0</v>
      </c>
      <c r="I54" s="100">
        <f t="shared" si="27"/>
        <v>0</v>
      </c>
      <c r="J54" s="100">
        <f t="shared" si="27"/>
        <v>0</v>
      </c>
      <c r="K54" s="100">
        <f t="shared" si="27"/>
        <v>0</v>
      </c>
      <c r="L54" s="100">
        <f t="shared" si="27"/>
        <v>0</v>
      </c>
      <c r="M54" s="100">
        <f t="shared" si="27"/>
        <v>0</v>
      </c>
      <c r="N54" s="100">
        <f t="shared" si="27"/>
        <v>0</v>
      </c>
      <c r="O54" s="100">
        <f t="shared" si="27"/>
        <v>0</v>
      </c>
      <c r="P54" s="100">
        <f t="shared" si="27"/>
        <v>0</v>
      </c>
      <c r="Q54" s="100">
        <f t="shared" si="27"/>
        <v>0</v>
      </c>
      <c r="R54" s="100">
        <f t="shared" si="27"/>
        <v>0</v>
      </c>
      <c r="S54" s="100">
        <f t="shared" si="27"/>
        <v>0</v>
      </c>
      <c r="T54" s="100">
        <f t="shared" si="27"/>
        <v>0</v>
      </c>
      <c r="U54" s="100">
        <f t="shared" si="27"/>
        <v>0</v>
      </c>
      <c r="V54" s="100">
        <f t="shared" si="27"/>
        <v>0</v>
      </c>
      <c r="W54" s="100">
        <f t="shared" si="27"/>
        <v>0</v>
      </c>
      <c r="X54" s="100">
        <f t="shared" si="27"/>
        <v>0</v>
      </c>
      <c r="Y54" s="100">
        <f t="shared" si="27"/>
        <v>0</v>
      </c>
      <c r="Z54" s="100">
        <f t="shared" si="27"/>
        <v>14</v>
      </c>
      <c r="AA54" s="100">
        <f t="shared" si="27"/>
        <v>31</v>
      </c>
      <c r="AB54" s="100">
        <f t="shared" si="27"/>
        <v>10</v>
      </c>
      <c r="AC54" s="100">
        <f t="shared" si="27"/>
        <v>10</v>
      </c>
      <c r="AD54" s="100">
        <f t="shared" si="27"/>
        <v>7</v>
      </c>
      <c r="AE54" s="100">
        <f t="shared" si="27"/>
        <v>8</v>
      </c>
      <c r="AF54" s="103">
        <f t="shared" si="26"/>
        <v>80</v>
      </c>
    </row>
    <row r="55">
      <c r="A55" s="169" t="s">
        <v>176</v>
      </c>
      <c r="B55" s="100">
        <f t="shared" ref="B55:AE55" si="28">B17-B37</f>
        <v>0</v>
      </c>
      <c r="C55" s="100">
        <f t="shared" si="28"/>
        <v>0</v>
      </c>
      <c r="D55" s="100">
        <f t="shared" si="28"/>
        <v>0</v>
      </c>
      <c r="E55" s="100">
        <f t="shared" si="28"/>
        <v>0</v>
      </c>
      <c r="F55" s="100">
        <f t="shared" si="28"/>
        <v>0</v>
      </c>
      <c r="G55" s="100">
        <f t="shared" si="28"/>
        <v>1</v>
      </c>
      <c r="H55" s="100">
        <f t="shared" si="28"/>
        <v>1</v>
      </c>
      <c r="I55" s="100">
        <f t="shared" si="28"/>
        <v>0</v>
      </c>
      <c r="J55" s="100">
        <f t="shared" si="28"/>
        <v>0</v>
      </c>
      <c r="K55" s="100">
        <f t="shared" si="28"/>
        <v>0</v>
      </c>
      <c r="L55" s="100">
        <f t="shared" si="28"/>
        <v>0</v>
      </c>
      <c r="M55" s="100">
        <f t="shared" si="28"/>
        <v>0</v>
      </c>
      <c r="N55" s="100">
        <f t="shared" si="28"/>
        <v>0</v>
      </c>
      <c r="O55" s="100">
        <f t="shared" si="28"/>
        <v>0</v>
      </c>
      <c r="P55" s="100">
        <f t="shared" si="28"/>
        <v>2</v>
      </c>
      <c r="Q55" s="100">
        <f t="shared" si="28"/>
        <v>0</v>
      </c>
      <c r="R55" s="100">
        <f t="shared" si="28"/>
        <v>2</v>
      </c>
      <c r="S55" s="100">
        <f t="shared" si="28"/>
        <v>148</v>
      </c>
      <c r="T55" s="100">
        <f t="shared" si="28"/>
        <v>136</v>
      </c>
      <c r="U55" s="100">
        <f t="shared" si="28"/>
        <v>100</v>
      </c>
      <c r="V55" s="100">
        <f t="shared" si="28"/>
        <v>73</v>
      </c>
      <c r="W55" s="100">
        <f t="shared" si="28"/>
        <v>55</v>
      </c>
      <c r="X55" s="100">
        <f t="shared" si="28"/>
        <v>46</v>
      </c>
      <c r="Y55" s="100">
        <f t="shared" si="28"/>
        <v>39</v>
      </c>
      <c r="Z55" s="100">
        <f t="shared" si="28"/>
        <v>33</v>
      </c>
      <c r="AA55" s="100">
        <f t="shared" si="28"/>
        <v>41</v>
      </c>
      <c r="AB55" s="100">
        <f t="shared" si="28"/>
        <v>31</v>
      </c>
      <c r="AC55" s="100">
        <f t="shared" si="28"/>
        <v>24</v>
      </c>
      <c r="AD55" s="100">
        <f t="shared" si="28"/>
        <v>131</v>
      </c>
      <c r="AE55" s="100">
        <f t="shared" si="28"/>
        <v>182</v>
      </c>
      <c r="AF55" s="103">
        <f t="shared" si="26"/>
        <v>1045</v>
      </c>
    </row>
    <row r="56">
      <c r="A56" s="169" t="s">
        <v>113</v>
      </c>
      <c r="B56" s="100">
        <f t="shared" ref="B56:AE56" si="29">B18-B38</f>
        <v>0</v>
      </c>
      <c r="C56" s="100">
        <f t="shared" si="29"/>
        <v>0</v>
      </c>
      <c r="D56" s="100">
        <f t="shared" si="29"/>
        <v>0</v>
      </c>
      <c r="E56" s="100">
        <f t="shared" si="29"/>
        <v>0</v>
      </c>
      <c r="F56" s="100">
        <f t="shared" si="29"/>
        <v>0</v>
      </c>
      <c r="G56" s="100">
        <f t="shared" si="29"/>
        <v>0</v>
      </c>
      <c r="H56" s="100">
        <f t="shared" si="29"/>
        <v>0</v>
      </c>
      <c r="I56" s="100">
        <f t="shared" si="29"/>
        <v>0</v>
      </c>
      <c r="J56" s="100">
        <f t="shared" si="29"/>
        <v>0</v>
      </c>
      <c r="K56" s="100">
        <f t="shared" si="29"/>
        <v>0</v>
      </c>
      <c r="L56" s="100">
        <f t="shared" si="29"/>
        <v>0</v>
      </c>
      <c r="M56" s="100">
        <f t="shared" si="29"/>
        <v>0</v>
      </c>
      <c r="N56" s="100">
        <f t="shared" si="29"/>
        <v>0</v>
      </c>
      <c r="O56" s="100">
        <f t="shared" si="29"/>
        <v>0</v>
      </c>
      <c r="P56" s="100">
        <f t="shared" si="29"/>
        <v>1</v>
      </c>
      <c r="Q56" s="100">
        <f t="shared" si="29"/>
        <v>0</v>
      </c>
      <c r="R56" s="100">
        <f t="shared" si="29"/>
        <v>1</v>
      </c>
      <c r="S56" s="100">
        <f t="shared" si="29"/>
        <v>145</v>
      </c>
      <c r="T56" s="100">
        <f t="shared" si="29"/>
        <v>136</v>
      </c>
      <c r="U56" s="100">
        <f t="shared" si="29"/>
        <v>98</v>
      </c>
      <c r="V56" s="100">
        <f t="shared" si="29"/>
        <v>73</v>
      </c>
      <c r="W56" s="100">
        <f t="shared" si="29"/>
        <v>55</v>
      </c>
      <c r="X56" s="100">
        <f t="shared" si="29"/>
        <v>46</v>
      </c>
      <c r="Y56" s="100">
        <f t="shared" si="29"/>
        <v>39</v>
      </c>
      <c r="Z56" s="100">
        <f t="shared" si="29"/>
        <v>31</v>
      </c>
      <c r="AA56" s="100">
        <f t="shared" si="29"/>
        <v>35</v>
      </c>
      <c r="AB56" s="100">
        <f t="shared" si="29"/>
        <v>28</v>
      </c>
      <c r="AC56" s="100">
        <f t="shared" si="29"/>
        <v>22</v>
      </c>
      <c r="AD56" s="100">
        <f t="shared" si="29"/>
        <v>129</v>
      </c>
      <c r="AE56" s="100">
        <f t="shared" si="29"/>
        <v>179</v>
      </c>
      <c r="AF56" s="103">
        <f t="shared" si="26"/>
        <v>1018</v>
      </c>
    </row>
    <row r="57">
      <c r="A57" s="169" t="s">
        <v>114</v>
      </c>
      <c r="B57" s="100">
        <f t="shared" ref="B57:AE57" si="30">B19-B39</f>
        <v>0</v>
      </c>
      <c r="C57" s="100">
        <f t="shared" si="30"/>
        <v>0</v>
      </c>
      <c r="D57" s="100">
        <f t="shared" si="30"/>
        <v>0</v>
      </c>
      <c r="E57" s="100">
        <f t="shared" si="30"/>
        <v>0</v>
      </c>
      <c r="F57" s="100">
        <f t="shared" si="30"/>
        <v>0</v>
      </c>
      <c r="G57" s="100">
        <f t="shared" si="30"/>
        <v>1</v>
      </c>
      <c r="H57" s="100">
        <f t="shared" si="30"/>
        <v>1</v>
      </c>
      <c r="I57" s="100">
        <f t="shared" si="30"/>
        <v>0</v>
      </c>
      <c r="J57" s="100">
        <f t="shared" si="30"/>
        <v>0</v>
      </c>
      <c r="K57" s="100">
        <f t="shared" si="30"/>
        <v>0</v>
      </c>
      <c r="L57" s="100">
        <f t="shared" si="30"/>
        <v>0</v>
      </c>
      <c r="M57" s="100">
        <f t="shared" si="30"/>
        <v>0</v>
      </c>
      <c r="N57" s="100">
        <f t="shared" si="30"/>
        <v>0</v>
      </c>
      <c r="O57" s="100">
        <f t="shared" si="30"/>
        <v>0</v>
      </c>
      <c r="P57" s="100">
        <f t="shared" si="30"/>
        <v>1</v>
      </c>
      <c r="Q57" s="100">
        <f t="shared" si="30"/>
        <v>0</v>
      </c>
      <c r="R57" s="100">
        <f t="shared" si="30"/>
        <v>1</v>
      </c>
      <c r="S57" s="100">
        <f t="shared" si="30"/>
        <v>3</v>
      </c>
      <c r="T57" s="100">
        <f t="shared" si="30"/>
        <v>0</v>
      </c>
      <c r="U57" s="100">
        <f t="shared" si="30"/>
        <v>2</v>
      </c>
      <c r="V57" s="100">
        <f t="shared" si="30"/>
        <v>0</v>
      </c>
      <c r="W57" s="100">
        <f t="shared" si="30"/>
        <v>0</v>
      </c>
      <c r="X57" s="100">
        <f t="shared" si="30"/>
        <v>0</v>
      </c>
      <c r="Y57" s="100">
        <f t="shared" si="30"/>
        <v>0</v>
      </c>
      <c r="Z57" s="100">
        <f t="shared" si="30"/>
        <v>2</v>
      </c>
      <c r="AA57" s="100">
        <f t="shared" si="30"/>
        <v>6</v>
      </c>
      <c r="AB57" s="100">
        <f t="shared" si="30"/>
        <v>3</v>
      </c>
      <c r="AC57" s="100">
        <f t="shared" si="30"/>
        <v>2</v>
      </c>
      <c r="AD57" s="100">
        <f t="shared" si="30"/>
        <v>2</v>
      </c>
      <c r="AE57" s="100">
        <f t="shared" si="30"/>
        <v>3</v>
      </c>
      <c r="AF57" s="103">
        <f t="shared" si="26"/>
        <v>27</v>
      </c>
    </row>
    <row r="58">
      <c r="A58" s="193" t="s">
        <v>117</v>
      </c>
      <c r="B58" s="248">
        <f t="shared" ref="B58:AE58" si="31">B52+B55</f>
        <v>0</v>
      </c>
      <c r="C58" s="248">
        <f t="shared" si="31"/>
        <v>0</v>
      </c>
      <c r="D58" s="248">
        <f t="shared" si="31"/>
        <v>0</v>
      </c>
      <c r="E58" s="248">
        <f t="shared" si="31"/>
        <v>0</v>
      </c>
      <c r="F58" s="248">
        <f t="shared" si="31"/>
        <v>0</v>
      </c>
      <c r="G58" s="248">
        <f t="shared" si="31"/>
        <v>1</v>
      </c>
      <c r="H58" s="248">
        <f t="shared" si="31"/>
        <v>1</v>
      </c>
      <c r="I58" s="248">
        <f t="shared" si="31"/>
        <v>0</v>
      </c>
      <c r="J58" s="248">
        <f t="shared" si="31"/>
        <v>0</v>
      </c>
      <c r="K58" s="248">
        <f t="shared" si="31"/>
        <v>0</v>
      </c>
      <c r="L58" s="248">
        <f t="shared" si="31"/>
        <v>0</v>
      </c>
      <c r="M58" s="248">
        <f t="shared" si="31"/>
        <v>0</v>
      </c>
      <c r="N58" s="248">
        <f t="shared" si="31"/>
        <v>0</v>
      </c>
      <c r="O58" s="248">
        <f t="shared" si="31"/>
        <v>0</v>
      </c>
      <c r="P58" s="248">
        <f t="shared" si="31"/>
        <v>2</v>
      </c>
      <c r="Q58" s="248">
        <f t="shared" si="31"/>
        <v>0</v>
      </c>
      <c r="R58" s="248">
        <f t="shared" si="31"/>
        <v>2</v>
      </c>
      <c r="S58" s="248">
        <f t="shared" si="31"/>
        <v>520</v>
      </c>
      <c r="T58" s="248">
        <f t="shared" si="31"/>
        <v>566</v>
      </c>
      <c r="U58" s="248">
        <f t="shared" si="31"/>
        <v>365</v>
      </c>
      <c r="V58" s="248">
        <f t="shared" si="31"/>
        <v>280</v>
      </c>
      <c r="W58" s="248">
        <f t="shared" si="31"/>
        <v>194</v>
      </c>
      <c r="X58" s="248">
        <f t="shared" si="31"/>
        <v>191</v>
      </c>
      <c r="Y58" s="248">
        <f t="shared" si="31"/>
        <v>171</v>
      </c>
      <c r="Z58" s="248">
        <f t="shared" si="31"/>
        <v>136</v>
      </c>
      <c r="AA58" s="248">
        <f t="shared" si="31"/>
        <v>158</v>
      </c>
      <c r="AB58" s="248">
        <f t="shared" si="31"/>
        <v>102</v>
      </c>
      <c r="AC58" s="248">
        <f t="shared" si="31"/>
        <v>101</v>
      </c>
      <c r="AD58" s="248">
        <f t="shared" si="31"/>
        <v>469</v>
      </c>
      <c r="AE58" s="248">
        <f t="shared" si="31"/>
        <v>500</v>
      </c>
      <c r="AF58" s="249">
        <f t="shared" si="26"/>
        <v>3759</v>
      </c>
    </row>
    <row r="59">
      <c r="A59" s="24"/>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row>
    <row r="60">
      <c r="A60" s="252"/>
      <c r="B60" s="253"/>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c r="AA60" s="253"/>
      <c r="AB60" s="253"/>
      <c r="AC60" s="253"/>
      <c r="AD60" s="253"/>
      <c r="AE60" s="253"/>
      <c r="AF60" s="253"/>
    </row>
    <row r="61">
      <c r="A61" s="24"/>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72"/>
    </row>
    <row r="62">
      <c r="A62" s="73" t="s">
        <v>204</v>
      </c>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row>
    <row r="63">
      <c r="A63" s="116" t="s">
        <v>206</v>
      </c>
      <c r="B63" s="102">
        <f t="shared" ref="B63:AE63" si="32">B5*0.3</f>
        <v>0</v>
      </c>
      <c r="C63" s="102">
        <f t="shared" si="32"/>
        <v>0</v>
      </c>
      <c r="D63" s="102">
        <f t="shared" si="32"/>
        <v>0</v>
      </c>
      <c r="E63" s="102">
        <f t="shared" si="32"/>
        <v>0</v>
      </c>
      <c r="F63" s="102">
        <f t="shared" si="32"/>
        <v>0</v>
      </c>
      <c r="G63" s="102">
        <f t="shared" si="32"/>
        <v>0</v>
      </c>
      <c r="H63" s="102">
        <f t="shared" si="32"/>
        <v>0</v>
      </c>
      <c r="I63" s="102">
        <f t="shared" si="32"/>
        <v>0</v>
      </c>
      <c r="J63" s="102">
        <f t="shared" si="32"/>
        <v>0</v>
      </c>
      <c r="K63" s="102">
        <f t="shared" si="32"/>
        <v>0</v>
      </c>
      <c r="L63" s="102">
        <f t="shared" si="32"/>
        <v>0</v>
      </c>
      <c r="M63" s="102">
        <f t="shared" si="32"/>
        <v>0</v>
      </c>
      <c r="N63" s="102">
        <f t="shared" si="32"/>
        <v>0</v>
      </c>
      <c r="O63" s="102">
        <f t="shared" si="32"/>
        <v>0</v>
      </c>
      <c r="P63" s="102">
        <f t="shared" si="32"/>
        <v>0</v>
      </c>
      <c r="Q63" s="102">
        <f t="shared" si="32"/>
        <v>0</v>
      </c>
      <c r="R63" s="102">
        <f t="shared" si="32"/>
        <v>0</v>
      </c>
      <c r="S63" s="102">
        <f t="shared" si="32"/>
        <v>1724.608041</v>
      </c>
      <c r="T63" s="102">
        <f t="shared" si="32"/>
        <v>1974.165582</v>
      </c>
      <c r="U63" s="102">
        <f t="shared" si="32"/>
        <v>1217.469214</v>
      </c>
      <c r="V63" s="102">
        <f t="shared" si="32"/>
        <v>953.1487401</v>
      </c>
      <c r="W63" s="102">
        <f t="shared" si="32"/>
        <v>636.7260231</v>
      </c>
      <c r="X63" s="102">
        <f t="shared" si="32"/>
        <v>664.8941817</v>
      </c>
      <c r="Y63" s="102">
        <f t="shared" si="32"/>
        <v>602.7577977</v>
      </c>
      <c r="Z63" s="102">
        <f t="shared" si="32"/>
        <v>421.5769137</v>
      </c>
      <c r="AA63" s="102">
        <f t="shared" si="32"/>
        <v>432.4813953</v>
      </c>
      <c r="AB63" s="102">
        <f t="shared" si="32"/>
        <v>289.7927457</v>
      </c>
      <c r="AC63" s="102">
        <f t="shared" si="32"/>
        <v>317.2464459</v>
      </c>
      <c r="AD63" s="102">
        <f t="shared" si="32"/>
        <v>1507.990243</v>
      </c>
      <c r="AE63" s="102">
        <f t="shared" si="32"/>
        <v>1442.192632</v>
      </c>
      <c r="AF63" s="260">
        <f t="shared" ref="AF63:AF68" si="33">SUM(B63:AE63)</f>
        <v>12185.04996</v>
      </c>
    </row>
    <row r="64">
      <c r="A64" s="116" t="s">
        <v>210</v>
      </c>
      <c r="B64" s="263">
        <v>0.0</v>
      </c>
      <c r="C64" s="263">
        <v>0.0</v>
      </c>
      <c r="D64" s="263">
        <v>0.0</v>
      </c>
      <c r="E64" s="263">
        <v>0.0</v>
      </c>
      <c r="F64" s="263">
        <v>0.0</v>
      </c>
      <c r="G64" s="263">
        <v>0.0</v>
      </c>
      <c r="H64" s="263">
        <v>0.0</v>
      </c>
      <c r="I64" s="263">
        <v>0.0</v>
      </c>
      <c r="J64" s="263">
        <v>0.0</v>
      </c>
      <c r="K64" s="263">
        <v>0.0</v>
      </c>
      <c r="L64" s="263">
        <v>0.0</v>
      </c>
      <c r="M64" s="263">
        <v>0.0</v>
      </c>
      <c r="N64" s="263">
        <v>0.0</v>
      </c>
      <c r="O64" s="263">
        <v>0.0</v>
      </c>
      <c r="P64" s="263">
        <v>0.0</v>
      </c>
      <c r="Q64" s="263">
        <v>12.12</v>
      </c>
      <c r="R64" s="263">
        <v>0.0</v>
      </c>
      <c r="S64" s="263">
        <v>152.44</v>
      </c>
      <c r="T64" s="263">
        <v>127.28</v>
      </c>
      <c r="U64" s="263">
        <v>80.86</v>
      </c>
      <c r="V64" s="263">
        <v>50.36</v>
      </c>
      <c r="W64" s="263">
        <v>31.12</v>
      </c>
      <c r="X64" s="263">
        <v>35.52</v>
      </c>
      <c r="Y64" s="263">
        <v>26.45</v>
      </c>
      <c r="Z64" s="263">
        <v>32.8</v>
      </c>
      <c r="AA64" s="263">
        <v>29.38</v>
      </c>
      <c r="AB64" s="263">
        <v>17.18</v>
      </c>
      <c r="AC64" s="263">
        <v>23.21</v>
      </c>
      <c r="AD64" s="263">
        <v>42.67</v>
      </c>
      <c r="AE64" s="263">
        <v>132.83</v>
      </c>
      <c r="AF64" s="260">
        <f t="shared" si="33"/>
        <v>794.22</v>
      </c>
    </row>
    <row r="65">
      <c r="A65" s="116" t="s">
        <v>213</v>
      </c>
      <c r="B65" s="102">
        <f t="shared" ref="B65:AE65" si="34">B8*0.15</f>
        <v>0</v>
      </c>
      <c r="C65" s="102">
        <f t="shared" si="34"/>
        <v>0</v>
      </c>
      <c r="D65" s="102">
        <f t="shared" si="34"/>
        <v>0</v>
      </c>
      <c r="E65" s="102">
        <f t="shared" si="34"/>
        <v>0</v>
      </c>
      <c r="F65" s="102">
        <f t="shared" si="34"/>
        <v>0</v>
      </c>
      <c r="G65" s="102">
        <f t="shared" si="34"/>
        <v>0.5295</v>
      </c>
      <c r="H65" s="102">
        <f t="shared" si="34"/>
        <v>0.528</v>
      </c>
      <c r="I65" s="102">
        <f t="shared" si="34"/>
        <v>0</v>
      </c>
      <c r="J65" s="102">
        <f t="shared" si="34"/>
        <v>0</v>
      </c>
      <c r="K65" s="102">
        <f t="shared" si="34"/>
        <v>0</v>
      </c>
      <c r="L65" s="102">
        <f t="shared" si="34"/>
        <v>0</v>
      </c>
      <c r="M65" s="102">
        <f t="shared" si="34"/>
        <v>0</v>
      </c>
      <c r="N65" s="102">
        <f t="shared" si="34"/>
        <v>0</v>
      </c>
      <c r="O65" s="102">
        <f t="shared" si="34"/>
        <v>0</v>
      </c>
      <c r="P65" s="102">
        <f t="shared" si="34"/>
        <v>5.274</v>
      </c>
      <c r="Q65" s="102">
        <f t="shared" si="34"/>
        <v>2.3985</v>
      </c>
      <c r="R65" s="102">
        <f t="shared" si="34"/>
        <v>5.2725</v>
      </c>
      <c r="S65" s="102">
        <f t="shared" si="34"/>
        <v>391.8465</v>
      </c>
      <c r="T65" s="102">
        <f t="shared" si="34"/>
        <v>299.0595</v>
      </c>
      <c r="U65" s="102">
        <f t="shared" si="34"/>
        <v>212.8425</v>
      </c>
      <c r="V65" s="102">
        <f t="shared" si="34"/>
        <v>174.7725</v>
      </c>
      <c r="W65" s="102">
        <f t="shared" si="34"/>
        <v>124.359</v>
      </c>
      <c r="X65" s="102">
        <f t="shared" si="34"/>
        <v>111.816</v>
      </c>
      <c r="Y65" s="102">
        <f t="shared" si="34"/>
        <v>93.918</v>
      </c>
      <c r="Z65" s="102">
        <f t="shared" si="34"/>
        <v>74.6355</v>
      </c>
      <c r="AA65" s="102">
        <f t="shared" si="34"/>
        <v>88.419</v>
      </c>
      <c r="AB65" s="102">
        <f t="shared" si="34"/>
        <v>68.679</v>
      </c>
      <c r="AC65" s="102">
        <f t="shared" si="34"/>
        <v>54.0255</v>
      </c>
      <c r="AD65" s="102">
        <f t="shared" si="34"/>
        <v>310.875</v>
      </c>
      <c r="AE65" s="102">
        <f t="shared" si="34"/>
        <v>429.255</v>
      </c>
      <c r="AF65" s="260">
        <f t="shared" si="33"/>
        <v>2448.5055</v>
      </c>
    </row>
    <row r="66">
      <c r="A66" s="116" t="s">
        <v>218</v>
      </c>
      <c r="B66" s="263">
        <v>0.0</v>
      </c>
      <c r="C66" s="263">
        <v>0.0</v>
      </c>
      <c r="D66" s="263">
        <v>0.0</v>
      </c>
      <c r="E66" s="263">
        <v>0.0</v>
      </c>
      <c r="F66" s="263">
        <v>0.0</v>
      </c>
      <c r="G66" s="263">
        <v>0.64</v>
      </c>
      <c r="H66" s="263">
        <v>0.64</v>
      </c>
      <c r="I66" s="263">
        <v>0.0</v>
      </c>
      <c r="J66" s="263">
        <v>0.0</v>
      </c>
      <c r="K66" s="263">
        <v>0.0</v>
      </c>
      <c r="L66" s="263">
        <v>0.0</v>
      </c>
      <c r="M66" s="263">
        <v>0.0</v>
      </c>
      <c r="N66" s="263">
        <v>0.0</v>
      </c>
      <c r="O66" s="263">
        <v>0.0</v>
      </c>
      <c r="P66" s="263">
        <v>0.57</v>
      </c>
      <c r="Q66" s="263">
        <v>3.27</v>
      </c>
      <c r="R66" s="263">
        <v>0.58</v>
      </c>
      <c r="S66" s="263">
        <v>131.5</v>
      </c>
      <c r="T66" s="263">
        <v>95.03</v>
      </c>
      <c r="U66" s="263">
        <v>45.24</v>
      </c>
      <c r="V66" s="263">
        <v>60.6</v>
      </c>
      <c r="W66" s="263">
        <v>33.15</v>
      </c>
      <c r="X66" s="263">
        <v>52.05</v>
      </c>
      <c r="Y66" s="263">
        <v>39.21</v>
      </c>
      <c r="Z66" s="263">
        <v>27.35</v>
      </c>
      <c r="AA66" s="263">
        <v>28.43</v>
      </c>
      <c r="AB66" s="263">
        <v>16.38</v>
      </c>
      <c r="AC66" s="263">
        <v>14.35</v>
      </c>
      <c r="AD66" s="263">
        <v>61.11</v>
      </c>
      <c r="AE66" s="263">
        <v>120.35</v>
      </c>
      <c r="AF66" s="260">
        <f t="shared" si="33"/>
        <v>730.45</v>
      </c>
    </row>
    <row r="67">
      <c r="A67" s="271" t="s">
        <v>220</v>
      </c>
      <c r="B67" s="272">
        <f t="shared" ref="B67:AE67" si="35">B63+B65</f>
        <v>0</v>
      </c>
      <c r="C67" s="272">
        <f t="shared" si="35"/>
        <v>0</v>
      </c>
      <c r="D67" s="272">
        <f t="shared" si="35"/>
        <v>0</v>
      </c>
      <c r="E67" s="272">
        <f t="shared" si="35"/>
        <v>0</v>
      </c>
      <c r="F67" s="272">
        <f t="shared" si="35"/>
        <v>0</v>
      </c>
      <c r="G67" s="272">
        <f t="shared" si="35"/>
        <v>0.5295</v>
      </c>
      <c r="H67" s="272">
        <f t="shared" si="35"/>
        <v>0.528</v>
      </c>
      <c r="I67" s="272">
        <f t="shared" si="35"/>
        <v>0</v>
      </c>
      <c r="J67" s="272">
        <f t="shared" si="35"/>
        <v>0</v>
      </c>
      <c r="K67" s="272">
        <f t="shared" si="35"/>
        <v>0</v>
      </c>
      <c r="L67" s="272">
        <f t="shared" si="35"/>
        <v>0</v>
      </c>
      <c r="M67" s="272">
        <f t="shared" si="35"/>
        <v>0</v>
      </c>
      <c r="N67" s="272">
        <f t="shared" si="35"/>
        <v>0</v>
      </c>
      <c r="O67" s="272">
        <f t="shared" si="35"/>
        <v>0</v>
      </c>
      <c r="P67" s="272">
        <f t="shared" si="35"/>
        <v>5.274</v>
      </c>
      <c r="Q67" s="272">
        <f t="shared" si="35"/>
        <v>2.3985</v>
      </c>
      <c r="R67" s="272">
        <f t="shared" si="35"/>
        <v>5.2725</v>
      </c>
      <c r="S67" s="272">
        <f t="shared" si="35"/>
        <v>2116.454541</v>
      </c>
      <c r="T67" s="272">
        <f t="shared" si="35"/>
        <v>2273.225082</v>
      </c>
      <c r="U67" s="272">
        <f t="shared" si="35"/>
        <v>1430.311714</v>
      </c>
      <c r="V67" s="272">
        <f t="shared" si="35"/>
        <v>1127.92124</v>
      </c>
      <c r="W67" s="272">
        <f t="shared" si="35"/>
        <v>761.0850231</v>
      </c>
      <c r="X67" s="272">
        <f t="shared" si="35"/>
        <v>776.7101817</v>
      </c>
      <c r="Y67" s="272">
        <f t="shared" si="35"/>
        <v>696.6757977</v>
      </c>
      <c r="Z67" s="272">
        <f t="shared" si="35"/>
        <v>496.2124137</v>
      </c>
      <c r="AA67" s="272">
        <f t="shared" si="35"/>
        <v>520.9003953</v>
      </c>
      <c r="AB67" s="272">
        <f t="shared" si="35"/>
        <v>358.4717457</v>
      </c>
      <c r="AC67" s="272">
        <f t="shared" si="35"/>
        <v>371.2719459</v>
      </c>
      <c r="AD67" s="272">
        <f t="shared" si="35"/>
        <v>1818.865243</v>
      </c>
      <c r="AE67" s="272">
        <f t="shared" si="35"/>
        <v>1871.447632</v>
      </c>
      <c r="AF67" s="276">
        <f t="shared" si="33"/>
        <v>14633.55546</v>
      </c>
    </row>
    <row r="68">
      <c r="A68" s="271" t="s">
        <v>223</v>
      </c>
      <c r="B68" s="272">
        <f t="shared" ref="B68:AE68" si="36">B64+B66</f>
        <v>0</v>
      </c>
      <c r="C68" s="272">
        <f t="shared" si="36"/>
        <v>0</v>
      </c>
      <c r="D68" s="272">
        <f t="shared" si="36"/>
        <v>0</v>
      </c>
      <c r="E68" s="272">
        <f t="shared" si="36"/>
        <v>0</v>
      </c>
      <c r="F68" s="272">
        <f t="shared" si="36"/>
        <v>0</v>
      </c>
      <c r="G68" s="272">
        <f t="shared" si="36"/>
        <v>0.64</v>
      </c>
      <c r="H68" s="272">
        <f t="shared" si="36"/>
        <v>0.64</v>
      </c>
      <c r="I68" s="272">
        <f t="shared" si="36"/>
        <v>0</v>
      </c>
      <c r="J68" s="272">
        <f t="shared" si="36"/>
        <v>0</v>
      </c>
      <c r="K68" s="272">
        <f t="shared" si="36"/>
        <v>0</v>
      </c>
      <c r="L68" s="272">
        <f t="shared" si="36"/>
        <v>0</v>
      </c>
      <c r="M68" s="272">
        <f t="shared" si="36"/>
        <v>0</v>
      </c>
      <c r="N68" s="272">
        <f t="shared" si="36"/>
        <v>0</v>
      </c>
      <c r="O68" s="272">
        <f t="shared" si="36"/>
        <v>0</v>
      </c>
      <c r="P68" s="272">
        <f t="shared" si="36"/>
        <v>0.57</v>
      </c>
      <c r="Q68" s="272">
        <f t="shared" si="36"/>
        <v>15.39</v>
      </c>
      <c r="R68" s="272">
        <f t="shared" si="36"/>
        <v>0.58</v>
      </c>
      <c r="S68" s="272">
        <f t="shared" si="36"/>
        <v>283.94</v>
      </c>
      <c r="T68" s="272">
        <f t="shared" si="36"/>
        <v>222.31</v>
      </c>
      <c r="U68" s="272">
        <f t="shared" si="36"/>
        <v>126.1</v>
      </c>
      <c r="V68" s="272">
        <f t="shared" si="36"/>
        <v>110.96</v>
      </c>
      <c r="W68" s="272">
        <f t="shared" si="36"/>
        <v>64.27</v>
      </c>
      <c r="X68" s="272">
        <f t="shared" si="36"/>
        <v>87.57</v>
      </c>
      <c r="Y68" s="272">
        <f t="shared" si="36"/>
        <v>65.66</v>
      </c>
      <c r="Z68" s="272">
        <f t="shared" si="36"/>
        <v>60.15</v>
      </c>
      <c r="AA68" s="272">
        <f t="shared" si="36"/>
        <v>57.81</v>
      </c>
      <c r="AB68" s="272">
        <f t="shared" si="36"/>
        <v>33.56</v>
      </c>
      <c r="AC68" s="272">
        <f t="shared" si="36"/>
        <v>37.56</v>
      </c>
      <c r="AD68" s="272">
        <f t="shared" si="36"/>
        <v>103.78</v>
      </c>
      <c r="AE68" s="272">
        <f t="shared" si="36"/>
        <v>253.18</v>
      </c>
      <c r="AF68" s="276">
        <f t="shared" si="33"/>
        <v>1524.67</v>
      </c>
    </row>
    <row r="69">
      <c r="A69" s="24"/>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row>
    <row r="70">
      <c r="A70" s="73" t="s">
        <v>226</v>
      </c>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row>
    <row r="71">
      <c r="A71" s="116" t="s">
        <v>205</v>
      </c>
      <c r="B71" s="102">
        <f>Summary!B79</f>
        <v>0.7567197</v>
      </c>
      <c r="C71" s="102">
        <f>Summary!C79</f>
        <v>0.4127562</v>
      </c>
      <c r="D71" s="102">
        <f>Summary!D79</f>
        <v>0</v>
      </c>
      <c r="E71" s="102">
        <f>Summary!E79</f>
        <v>0.44715255</v>
      </c>
      <c r="F71" s="102">
        <f>Summary!F79</f>
        <v>1.0318905</v>
      </c>
      <c r="G71" s="102">
        <f>Summary!G79</f>
        <v>0.60766885</v>
      </c>
      <c r="H71" s="102">
        <f>Summary!H79</f>
        <v>0</v>
      </c>
      <c r="I71" s="102">
        <f>Summary!I79</f>
        <v>0</v>
      </c>
      <c r="J71" s="102">
        <f>Summary!J79</f>
        <v>0</v>
      </c>
      <c r="K71" s="102">
        <f>Summary!K79</f>
        <v>0</v>
      </c>
      <c r="L71" s="102">
        <f>Summary!L79</f>
        <v>0</v>
      </c>
      <c r="M71" s="102">
        <f>Summary!M79</f>
        <v>0</v>
      </c>
      <c r="N71" s="102">
        <f>Summary!N79</f>
        <v>0</v>
      </c>
      <c r="O71" s="102">
        <f>Summary!O79</f>
        <v>0</v>
      </c>
      <c r="P71" s="102">
        <f>Summary!P79</f>
        <v>0</v>
      </c>
      <c r="Q71" s="102">
        <f>Summary!Q79</f>
        <v>0</v>
      </c>
      <c r="R71" s="102">
        <f>Summary!R79</f>
        <v>0</v>
      </c>
      <c r="S71" s="102">
        <f>Summary!S79</f>
        <v>0</v>
      </c>
      <c r="T71" s="102">
        <f>Summary!T79</f>
        <v>0</v>
      </c>
      <c r="U71" s="102">
        <f>Summary!U79</f>
        <v>7.0168554</v>
      </c>
      <c r="V71" s="102">
        <f>Summary!V79</f>
        <v>25.25838635</v>
      </c>
      <c r="W71" s="102">
        <f>Summary!W79</f>
        <v>31.2548167</v>
      </c>
      <c r="X71" s="102">
        <f>Summary!X79</f>
        <v>32.04593275</v>
      </c>
      <c r="Y71" s="102">
        <f>Summary!Y79</f>
        <v>32.87144515</v>
      </c>
      <c r="Z71" s="102">
        <f>Summary!Z79</f>
        <v>32.91730695</v>
      </c>
      <c r="AA71" s="102">
        <f>Summary!AA79</f>
        <v>54.35769845</v>
      </c>
      <c r="AB71" s="102">
        <f>Summary!AB79</f>
        <v>54.42649115</v>
      </c>
      <c r="AC71" s="102">
        <f>Summary!AC79</f>
        <v>54.804851</v>
      </c>
      <c r="AD71" s="102">
        <f>Summary!AD79</f>
        <v>54.804851</v>
      </c>
      <c r="AE71" s="102">
        <f>Summary!AE79</f>
        <v>54.79338555</v>
      </c>
      <c r="AF71" s="260">
        <f t="shared" ref="AF71:AF73" si="37">SUM(B71:AE71)</f>
        <v>437.8082083</v>
      </c>
    </row>
    <row r="72">
      <c r="A72" s="116" t="s">
        <v>239</v>
      </c>
      <c r="B72" s="102">
        <f>Summary!B80</f>
        <v>0</v>
      </c>
      <c r="C72" s="102">
        <f>Summary!C80</f>
        <v>0</v>
      </c>
      <c r="D72" s="102">
        <f>Summary!D80</f>
        <v>0</v>
      </c>
      <c r="E72" s="102">
        <f>Summary!E80</f>
        <v>0</v>
      </c>
      <c r="F72" s="102">
        <f>Summary!F80</f>
        <v>0</v>
      </c>
      <c r="G72" s="102">
        <f>Summary!G80</f>
        <v>0</v>
      </c>
      <c r="H72" s="102">
        <f>Summary!H80</f>
        <v>0</v>
      </c>
      <c r="I72" s="102">
        <f>Summary!I80</f>
        <v>0</v>
      </c>
      <c r="J72" s="102">
        <f>Summary!J80</f>
        <v>0</v>
      </c>
      <c r="K72" s="102">
        <f>Summary!K80</f>
        <v>0</v>
      </c>
      <c r="L72" s="102">
        <f>Summary!L80</f>
        <v>0</v>
      </c>
      <c r="M72" s="102">
        <f>Summary!M80</f>
        <v>0</v>
      </c>
      <c r="N72" s="102">
        <f>Summary!N80</f>
        <v>0</v>
      </c>
      <c r="O72" s="102">
        <f>Summary!O80</f>
        <v>5.72</v>
      </c>
      <c r="P72" s="102">
        <f>Summary!P80</f>
        <v>7.5</v>
      </c>
      <c r="Q72" s="102">
        <f>Summary!Q80</f>
        <v>5.65</v>
      </c>
      <c r="R72" s="102">
        <f>Summary!R80</f>
        <v>7.21</v>
      </c>
      <c r="S72" s="102">
        <f>Summary!S80</f>
        <v>5.84</v>
      </c>
      <c r="T72" s="102">
        <f>Summary!T80</f>
        <v>0</v>
      </c>
      <c r="U72" s="102">
        <f>Summary!U80</f>
        <v>0</v>
      </c>
      <c r="V72" s="102">
        <f>Summary!V80</f>
        <v>0</v>
      </c>
      <c r="W72" s="102">
        <f>Summary!W80</f>
        <v>0</v>
      </c>
      <c r="X72" s="102">
        <f>Summary!X80</f>
        <v>0</v>
      </c>
      <c r="Y72" s="102">
        <f>Summary!Y80</f>
        <v>0</v>
      </c>
      <c r="Z72" s="102">
        <f>Summary!Z80</f>
        <v>40.34</v>
      </c>
      <c r="AA72" s="102">
        <f>Summary!AA80</f>
        <v>38.09</v>
      </c>
      <c r="AB72" s="102">
        <f>Summary!AB80</f>
        <v>51.01</v>
      </c>
      <c r="AC72" s="102">
        <f>Summary!AC80</f>
        <v>46.29</v>
      </c>
      <c r="AD72" s="102">
        <f>Summary!AD80</f>
        <v>43.94</v>
      </c>
      <c r="AE72" s="102">
        <f>Summary!AE80</f>
        <v>35.18</v>
      </c>
      <c r="AF72" s="260">
        <f t="shared" si="37"/>
        <v>286.77</v>
      </c>
    </row>
    <row r="73">
      <c r="A73" s="116" t="s">
        <v>211</v>
      </c>
      <c r="B73" s="102">
        <f>Summary!B81</f>
        <v>0</v>
      </c>
      <c r="C73" s="102">
        <f>Summary!C81</f>
        <v>0</v>
      </c>
      <c r="D73" s="102">
        <f>Summary!D81</f>
        <v>0</v>
      </c>
      <c r="E73" s="102">
        <f>Summary!E81</f>
        <v>0</v>
      </c>
      <c r="F73" s="102">
        <f>Summary!F81</f>
        <v>0</v>
      </c>
      <c r="G73" s="102">
        <f>Summary!G81</f>
        <v>0</v>
      </c>
      <c r="H73" s="102">
        <f>Summary!H81</f>
        <v>0</v>
      </c>
      <c r="I73" s="102">
        <f>Summary!I81</f>
        <v>0</v>
      </c>
      <c r="J73" s="102">
        <f>Summary!J81</f>
        <v>0</v>
      </c>
      <c r="K73" s="102">
        <f>Summary!K81</f>
        <v>0</v>
      </c>
      <c r="L73" s="102">
        <f>Summary!L81</f>
        <v>0</v>
      </c>
      <c r="M73" s="102">
        <f>Summary!M81</f>
        <v>0</v>
      </c>
      <c r="N73" s="102">
        <f>Summary!N81</f>
        <v>0</v>
      </c>
      <c r="O73" s="102">
        <f>Summary!O81</f>
        <v>0</v>
      </c>
      <c r="P73" s="102">
        <f>Summary!P81</f>
        <v>0</v>
      </c>
      <c r="Q73" s="102">
        <f>Summary!Q81</f>
        <v>0</v>
      </c>
      <c r="R73" s="102">
        <f>Summary!R81</f>
        <v>0</v>
      </c>
      <c r="S73" s="102">
        <f>Summary!S81</f>
        <v>0</v>
      </c>
      <c r="T73" s="102">
        <f>Summary!T81</f>
        <v>0</v>
      </c>
      <c r="U73" s="102">
        <f>Summary!U81</f>
        <v>0</v>
      </c>
      <c r="V73" s="102">
        <f>Summary!V81</f>
        <v>0</v>
      </c>
      <c r="W73" s="102">
        <f>Summary!W81</f>
        <v>0</v>
      </c>
      <c r="X73" s="102">
        <f>Summary!X81</f>
        <v>0</v>
      </c>
      <c r="Y73" s="102">
        <f>Summary!Y81</f>
        <v>0</v>
      </c>
      <c r="Z73" s="102">
        <f>Summary!Z81</f>
        <v>0</v>
      </c>
      <c r="AA73" s="102">
        <f>Summary!AA81</f>
        <v>0</v>
      </c>
      <c r="AB73" s="102">
        <f>Summary!AB81</f>
        <v>0</v>
      </c>
      <c r="AC73" s="102">
        <f>Summary!AC81</f>
        <v>0</v>
      </c>
      <c r="AD73" s="102">
        <f>Summary!AD81</f>
        <v>0</v>
      </c>
      <c r="AE73" s="102">
        <f>Summary!AE81</f>
        <v>0</v>
      </c>
      <c r="AF73" s="260">
        <f t="shared" si="37"/>
        <v>0</v>
      </c>
    </row>
    <row r="74">
      <c r="A74" s="271" t="s">
        <v>117</v>
      </c>
      <c r="B74" s="272">
        <f t="shared" ref="B74:AE74" si="38">SUM(B71:B73)</f>
        <v>0.7567197</v>
      </c>
      <c r="C74" s="272">
        <f t="shared" si="38"/>
        <v>0.4127562</v>
      </c>
      <c r="D74" s="272">
        <f t="shared" si="38"/>
        <v>0</v>
      </c>
      <c r="E74" s="272">
        <f t="shared" si="38"/>
        <v>0.44715255</v>
      </c>
      <c r="F74" s="272">
        <f t="shared" si="38"/>
        <v>1.0318905</v>
      </c>
      <c r="G74" s="272">
        <f t="shared" si="38"/>
        <v>0.60766885</v>
      </c>
      <c r="H74" s="272">
        <f t="shared" si="38"/>
        <v>0</v>
      </c>
      <c r="I74" s="272">
        <f t="shared" si="38"/>
        <v>0</v>
      </c>
      <c r="J74" s="272">
        <f t="shared" si="38"/>
        <v>0</v>
      </c>
      <c r="K74" s="272">
        <f t="shared" si="38"/>
        <v>0</v>
      </c>
      <c r="L74" s="272">
        <f t="shared" si="38"/>
        <v>0</v>
      </c>
      <c r="M74" s="272">
        <f t="shared" si="38"/>
        <v>0</v>
      </c>
      <c r="N74" s="272">
        <f t="shared" si="38"/>
        <v>0</v>
      </c>
      <c r="O74" s="272">
        <f t="shared" si="38"/>
        <v>5.72</v>
      </c>
      <c r="P74" s="272">
        <f t="shared" si="38"/>
        <v>7.5</v>
      </c>
      <c r="Q74" s="272">
        <f t="shared" si="38"/>
        <v>5.65</v>
      </c>
      <c r="R74" s="272">
        <f t="shared" si="38"/>
        <v>7.21</v>
      </c>
      <c r="S74" s="272">
        <f t="shared" si="38"/>
        <v>5.84</v>
      </c>
      <c r="T74" s="272">
        <f t="shared" si="38"/>
        <v>0</v>
      </c>
      <c r="U74" s="272">
        <f t="shared" si="38"/>
        <v>7.0168554</v>
      </c>
      <c r="V74" s="272">
        <f t="shared" si="38"/>
        <v>25.25838635</v>
      </c>
      <c r="W74" s="272">
        <f t="shared" si="38"/>
        <v>31.2548167</v>
      </c>
      <c r="X74" s="272">
        <f t="shared" si="38"/>
        <v>32.04593275</v>
      </c>
      <c r="Y74" s="272">
        <f t="shared" si="38"/>
        <v>32.87144515</v>
      </c>
      <c r="Z74" s="272">
        <f t="shared" si="38"/>
        <v>73.25730695</v>
      </c>
      <c r="AA74" s="272">
        <f t="shared" si="38"/>
        <v>92.44769845</v>
      </c>
      <c r="AB74" s="272">
        <f t="shared" si="38"/>
        <v>105.4364912</v>
      </c>
      <c r="AC74" s="272">
        <f t="shared" si="38"/>
        <v>101.094851</v>
      </c>
      <c r="AD74" s="272">
        <f t="shared" si="38"/>
        <v>98.744851</v>
      </c>
      <c r="AE74" s="272">
        <f t="shared" si="38"/>
        <v>89.97338555</v>
      </c>
      <c r="AF74" s="281"/>
    </row>
    <row r="75">
      <c r="A75" s="24"/>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row>
    <row r="76">
      <c r="A76" s="73" t="s">
        <v>248</v>
      </c>
      <c r="B76" s="130"/>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72"/>
    </row>
    <row r="77">
      <c r="A77" s="169" t="s">
        <v>251</v>
      </c>
      <c r="B77" s="122">
        <f>B43-B63-B64-B72-(B71*'DATA - P&amp;L'!$I$18)</f>
        <v>0</v>
      </c>
      <c r="C77" s="122">
        <f>C43-C63-C64-C72-(C71*'DATA - P&amp;L'!$I$18)</f>
        <v>0</v>
      </c>
      <c r="D77" s="122">
        <f>D43-D63-D64-D72-(D71*'DATA - P&amp;L'!$I$18)</f>
        <v>0</v>
      </c>
      <c r="E77" s="122">
        <f>E43-E63-E64-E72-(E71*'DATA - P&amp;L'!$I$18)</f>
        <v>0</v>
      </c>
      <c r="F77" s="122">
        <f>F43-F63-F64-F72-(F71*'DATA - P&amp;L'!$I$18)</f>
        <v>0</v>
      </c>
      <c r="G77" s="122">
        <f>G43-G63-G64-G72-(G71*'DATA - P&amp;L'!$I$18)</f>
        <v>0</v>
      </c>
      <c r="H77" s="122">
        <f>H43-H63-H64-H72-(H71*'DATA - P&amp;L'!$I$18)</f>
        <v>0</v>
      </c>
      <c r="I77" s="122">
        <f>I43-I63-I64-I72-(I71*'DATA - P&amp;L'!$I$18)</f>
        <v>0</v>
      </c>
      <c r="J77" s="122">
        <f>J43-J63-J64-J72-(J71*'DATA - P&amp;L'!$I$18)</f>
        <v>0</v>
      </c>
      <c r="K77" s="122">
        <f>K43-K63-K64-K72-(K71*'DATA - P&amp;L'!$I$18)</f>
        <v>0</v>
      </c>
      <c r="L77" s="122">
        <f>L43-L63-L64-L72-(L71*'DATA - P&amp;L'!$I$18)</f>
        <v>0</v>
      </c>
      <c r="M77" s="122">
        <f>M43-M63-M64-M72-(M71*'DATA - P&amp;L'!$I$18)</f>
        <v>0</v>
      </c>
      <c r="N77" s="122">
        <f>N43-N63-N64-N72-(N71*'DATA - P&amp;L'!$I$18)</f>
        <v>0</v>
      </c>
      <c r="O77" s="122">
        <f>O43-O63-O64-O72-(O71*'DATA - P&amp;L'!$I$18)</f>
        <v>-5.72</v>
      </c>
      <c r="P77" s="122">
        <f>P43-P63-P64-P72-(P71*'DATA - P&amp;L'!$I$18)</f>
        <v>-7.5</v>
      </c>
      <c r="Q77" s="122">
        <f>Q43-Q63-Q64-Q72-(Q71*'DATA - P&amp;L'!$I$18)</f>
        <v>-17.77</v>
      </c>
      <c r="R77" s="122">
        <f>R43-R63-R64-R72-(R71*'DATA - P&amp;L'!$I$18)</f>
        <v>-7.21</v>
      </c>
      <c r="S77" s="122">
        <f>S43-S63-S64-S72-(S71*'DATA - P&amp;L'!$I$18)</f>
        <v>3865.805429</v>
      </c>
      <c r="T77" s="122">
        <f>T43-T63-T64-T72-(T71*'DATA - P&amp;L'!$I$18)</f>
        <v>4464.116359</v>
      </c>
      <c r="U77" s="122">
        <f>U43-U63-U64-U72-(U71*'DATA - P&amp;L'!$I$18)</f>
        <v>2759.9015</v>
      </c>
      <c r="V77" s="122">
        <f>V43-V63-V64-V72-(V71*'DATA - P&amp;L'!$I$18)</f>
        <v>2173.653727</v>
      </c>
      <c r="W77" s="122">
        <f>W43-W63-W64-W72-(W71*'DATA - P&amp;L'!$I$18)</f>
        <v>1424.854054</v>
      </c>
      <c r="X77" s="122">
        <f>X43-X63-X64-X72-(X71*'DATA - P&amp;L'!$I$18)</f>
        <v>1515.899757</v>
      </c>
      <c r="Y77" s="122">
        <f>Y43-Y63-Y64-Y72-(Y71*'DATA - P&amp;L'!$I$18)</f>
        <v>1379.984861</v>
      </c>
      <c r="Z77" s="122">
        <f>Z43-Z63-Z64-Z72-(Z71*'DATA - P&amp;L'!$I$18)</f>
        <v>910.5394653</v>
      </c>
      <c r="AA77" s="122">
        <f>AA43-AA63-AA64-AA72-(AA71*'DATA - P&amp;L'!$I$18)</f>
        <v>941.6532557</v>
      </c>
      <c r="AB77" s="122">
        <f>AB43-AB63-AB64-AB72-(AB71*'DATA - P&amp;L'!$I$18)</f>
        <v>579.5230733</v>
      </c>
      <c r="AC77" s="122">
        <f>AC43-AC63-AC64-AC72-(AC71*'DATA - P&amp;L'!$I$18)</f>
        <v>670.7417071</v>
      </c>
      <c r="AD77" s="122">
        <f>AD43-AD63-AD64-AD72-(AD71*'DATA - P&amp;L'!$I$18)</f>
        <v>3432.033899</v>
      </c>
      <c r="AE77" s="122">
        <f>AE43-AE63-AE64-AE72-(AE71*'DATA - P&amp;L'!$I$18)</f>
        <v>3182.116141</v>
      </c>
      <c r="AF77" s="118">
        <f t="shared" ref="AF77:AF79" si="39">sum(B77:AE77)</f>
        <v>27262.62323</v>
      </c>
    </row>
    <row r="78">
      <c r="A78" s="169" t="s">
        <v>264</v>
      </c>
      <c r="B78" s="122">
        <f>B46-B65-B66-B73-(B71*'DATA - P&amp;L'!$I$19)</f>
        <v>0</v>
      </c>
      <c r="C78" s="122">
        <f>C46-C65-C66-C73-(C71*'DATA - P&amp;L'!$I$19)</f>
        <v>0</v>
      </c>
      <c r="D78" s="122">
        <f>D46-D65-D66-D73-(D71*'DATA - P&amp;L'!$I$19)</f>
        <v>0</v>
      </c>
      <c r="E78" s="122">
        <f>E46-E65-E66-E73-(E71*'DATA - P&amp;L'!$I$19)</f>
        <v>0</v>
      </c>
      <c r="F78" s="122">
        <f>F46-F65-F66-F73-(F71*'DATA - P&amp;L'!$I$19)</f>
        <v>0</v>
      </c>
      <c r="G78" s="122">
        <f>G46-G65-G66-G73-(G71*'DATA - P&amp;L'!$I$19)</f>
        <v>2.3605</v>
      </c>
      <c r="H78" s="122">
        <f>H46-H65-H66-H73-(H71*'DATA - P&amp;L'!$I$19)</f>
        <v>2.352</v>
      </c>
      <c r="I78" s="122">
        <f>I46-I65-I66-I73-(I71*'DATA - P&amp;L'!$I$19)</f>
        <v>0</v>
      </c>
      <c r="J78" s="122">
        <f>J46-J65-J66-J73-(J71*'DATA - P&amp;L'!$I$19)</f>
        <v>0</v>
      </c>
      <c r="K78" s="122">
        <f>K46-K65-K66-K73-(K71*'DATA - P&amp;L'!$I$19)</f>
        <v>0</v>
      </c>
      <c r="L78" s="122">
        <f>L46-L65-L66-L73-(L71*'DATA - P&amp;L'!$I$19)</f>
        <v>0</v>
      </c>
      <c r="M78" s="122">
        <f>M46-M65-M66-M73-(M71*'DATA - P&amp;L'!$I$19)</f>
        <v>0</v>
      </c>
      <c r="N78" s="122">
        <f>N46-N65-N66-N73-(N71*'DATA - P&amp;L'!$I$19)</f>
        <v>0</v>
      </c>
      <c r="O78" s="122">
        <f>O46-O65-O66-O73-(O71*'DATA - P&amp;L'!$I$19)</f>
        <v>0</v>
      </c>
      <c r="P78" s="122">
        <f>P46-P65-P66-P73-(P71*'DATA - P&amp;L'!$I$19)</f>
        <v>29.316</v>
      </c>
      <c r="Q78" s="122">
        <f>Q46-Q65-Q66-Q73-(Q71*'DATA - P&amp;L'!$I$19)</f>
        <v>-4.6685</v>
      </c>
      <c r="R78" s="122">
        <f>R46-R65-R66-R73-(R71*'DATA - P&amp;L'!$I$19)</f>
        <v>29.2975</v>
      </c>
      <c r="S78" s="122">
        <f>S46-S65-S66-S73-(S71*'DATA - P&amp;L'!$I$19)</f>
        <v>2088.9635</v>
      </c>
      <c r="T78" s="122">
        <f>T46-T65-T66-T73-(T71*'DATA - P&amp;L'!$I$19)</f>
        <v>1284.8505</v>
      </c>
      <c r="U78" s="122">
        <f>U46-U65-U66-U73-(U71*'DATA - P&amp;L'!$I$19)</f>
        <v>1160.8675</v>
      </c>
      <c r="V78" s="122">
        <f>V46-V65-V66-V73-(V71*'DATA - P&amp;L'!$I$19)</f>
        <v>914.7875</v>
      </c>
      <c r="W78" s="122">
        <f>W46-W65-W66-W73-(W71*'DATA - P&amp;L'!$I$19)</f>
        <v>656.561</v>
      </c>
      <c r="X78" s="122">
        <f>X46-X65-X66-X73-(X71*'DATA - P&amp;L'!$I$19)</f>
        <v>581.574</v>
      </c>
      <c r="Y78" s="122">
        <f>Y46-Y65-Y66-Y73-(Y71*'DATA - P&amp;L'!$I$19)</f>
        <v>492.992</v>
      </c>
      <c r="Z78" s="122">
        <f>Z46-Z65-Z66-Z73-(Z71*'DATA - P&amp;L'!$I$19)</f>
        <v>395.5845</v>
      </c>
      <c r="AA78" s="122">
        <f>AA46-AA65-AA66-AA73-(AA71*'DATA - P&amp;L'!$I$19)</f>
        <v>472.611</v>
      </c>
      <c r="AB78" s="122">
        <f>AB46-AB65-AB66-AB73-(AB71*'DATA - P&amp;L'!$I$19)</f>
        <v>372.801</v>
      </c>
      <c r="AC78" s="122">
        <f>AC46-AC65-AC66-AC73-(AC71*'DATA - P&amp;L'!$I$19)</f>
        <v>291.7945</v>
      </c>
      <c r="AD78" s="122">
        <f>AD46-AD65-AD66-AD73-(AD71*'DATA - P&amp;L'!$I$19)</f>
        <v>1700.515</v>
      </c>
      <c r="AE78" s="122">
        <f>AE46-AE65-AE66-AE73-(AE71*'DATA - P&amp;L'!$I$19)</f>
        <v>2312.095</v>
      </c>
      <c r="AF78" s="118">
        <f t="shared" si="39"/>
        <v>12784.6545</v>
      </c>
    </row>
    <row r="79">
      <c r="A79" s="323" t="s">
        <v>274</v>
      </c>
      <c r="B79" s="324">
        <f t="shared" ref="B79:AE79" si="40">sum(B77:B78)</f>
        <v>0</v>
      </c>
      <c r="C79" s="324">
        <f t="shared" si="40"/>
        <v>0</v>
      </c>
      <c r="D79" s="324">
        <f t="shared" si="40"/>
        <v>0</v>
      </c>
      <c r="E79" s="324">
        <f t="shared" si="40"/>
        <v>0</v>
      </c>
      <c r="F79" s="324">
        <f t="shared" si="40"/>
        <v>0</v>
      </c>
      <c r="G79" s="324">
        <f t="shared" si="40"/>
        <v>2.3605</v>
      </c>
      <c r="H79" s="324">
        <f t="shared" si="40"/>
        <v>2.352</v>
      </c>
      <c r="I79" s="324">
        <f t="shared" si="40"/>
        <v>0</v>
      </c>
      <c r="J79" s="324">
        <f t="shared" si="40"/>
        <v>0</v>
      </c>
      <c r="K79" s="324">
        <f t="shared" si="40"/>
        <v>0</v>
      </c>
      <c r="L79" s="324">
        <f t="shared" si="40"/>
        <v>0</v>
      </c>
      <c r="M79" s="324">
        <f t="shared" si="40"/>
        <v>0</v>
      </c>
      <c r="N79" s="324">
        <f t="shared" si="40"/>
        <v>0</v>
      </c>
      <c r="O79" s="324">
        <f t="shared" si="40"/>
        <v>-5.72</v>
      </c>
      <c r="P79" s="324">
        <f t="shared" si="40"/>
        <v>21.816</v>
      </c>
      <c r="Q79" s="324">
        <f t="shared" si="40"/>
        <v>-22.4385</v>
      </c>
      <c r="R79" s="324">
        <f t="shared" si="40"/>
        <v>22.0875</v>
      </c>
      <c r="S79" s="324">
        <f t="shared" si="40"/>
        <v>5954.768929</v>
      </c>
      <c r="T79" s="324">
        <f t="shared" si="40"/>
        <v>5748.966859</v>
      </c>
      <c r="U79" s="324">
        <f t="shared" si="40"/>
        <v>3920.769</v>
      </c>
      <c r="V79" s="324">
        <f t="shared" si="40"/>
        <v>3088.441227</v>
      </c>
      <c r="W79" s="324">
        <f t="shared" si="40"/>
        <v>2081.415054</v>
      </c>
      <c r="X79" s="324">
        <f t="shared" si="40"/>
        <v>2097.473757</v>
      </c>
      <c r="Y79" s="324">
        <f t="shared" si="40"/>
        <v>1872.976861</v>
      </c>
      <c r="Z79" s="324">
        <f t="shared" si="40"/>
        <v>1306.123965</v>
      </c>
      <c r="AA79" s="324">
        <f t="shared" si="40"/>
        <v>1414.264256</v>
      </c>
      <c r="AB79" s="324">
        <f t="shared" si="40"/>
        <v>952.3240733</v>
      </c>
      <c r="AC79" s="324">
        <f t="shared" si="40"/>
        <v>962.5362071</v>
      </c>
      <c r="AD79" s="324">
        <f t="shared" si="40"/>
        <v>5132.548899</v>
      </c>
      <c r="AE79" s="324">
        <f t="shared" si="40"/>
        <v>5494.211141</v>
      </c>
      <c r="AF79" s="118">
        <f t="shared" si="39"/>
        <v>40047.27773</v>
      </c>
    </row>
    <row r="80">
      <c r="A80" s="24"/>
      <c r="B80" s="130"/>
      <c r="C80" s="130"/>
      <c r="D80" s="130"/>
      <c r="E80" s="130"/>
      <c r="F80" s="130"/>
      <c r="G80" s="130"/>
      <c r="H80" s="130"/>
      <c r="I80" s="130"/>
      <c r="J80" s="17"/>
      <c r="K80" s="17"/>
      <c r="L80" s="17"/>
      <c r="M80" s="17"/>
      <c r="N80" s="17"/>
      <c r="O80" s="17"/>
      <c r="P80" s="17"/>
      <c r="Q80" s="17"/>
      <c r="R80" s="17"/>
      <c r="S80" s="17"/>
      <c r="T80" s="17"/>
      <c r="U80" s="17"/>
      <c r="V80" s="17"/>
      <c r="W80" s="17"/>
      <c r="X80" s="17"/>
      <c r="Y80" s="17"/>
      <c r="Z80" s="17"/>
      <c r="AA80" s="17"/>
      <c r="AB80" s="17"/>
      <c r="AC80" s="17"/>
      <c r="AD80" s="17"/>
      <c r="AE80" s="17"/>
      <c r="AF80" s="17"/>
    </row>
    <row r="81">
      <c r="A81" s="24"/>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row>
    <row r="82">
      <c r="A82" s="325" t="s">
        <v>108</v>
      </c>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row>
    <row r="83">
      <c r="A83" s="328">
        <f>SUM(B11:AE11)</f>
        <v>56940.20318</v>
      </c>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row>
    <row r="84">
      <c r="A84" s="325" t="s">
        <v>281</v>
      </c>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row>
    <row r="85">
      <c r="A85" s="328">
        <f>SUM(B79:AE79)</f>
        <v>40047.27773</v>
      </c>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row>
    <row r="86">
      <c r="A86" s="325" t="s">
        <v>285</v>
      </c>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row>
    <row r="87">
      <c r="A87" s="329">
        <f>A85/A83</f>
        <v>0.7033216513</v>
      </c>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row>
    <row r="88">
      <c r="A88" s="24"/>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row>
    <row r="89">
      <c r="A89" s="330" t="s">
        <v>289</v>
      </c>
      <c r="B89" s="204"/>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row>
    <row r="90">
      <c r="A90" s="204" t="s">
        <v>84</v>
      </c>
      <c r="B90" s="204">
        <f t="shared" ref="B90:AE90" si="41">B8-B65-B66</f>
        <v>0</v>
      </c>
      <c r="C90" s="204">
        <f t="shared" si="41"/>
        <v>0</v>
      </c>
      <c r="D90" s="204">
        <f t="shared" si="41"/>
        <v>0</v>
      </c>
      <c r="E90" s="204">
        <f t="shared" si="41"/>
        <v>0</v>
      </c>
      <c r="F90" s="204">
        <f t="shared" si="41"/>
        <v>0</v>
      </c>
      <c r="G90" s="204">
        <f t="shared" si="41"/>
        <v>2.3605</v>
      </c>
      <c r="H90" s="204">
        <f t="shared" si="41"/>
        <v>2.352</v>
      </c>
      <c r="I90" s="204">
        <f t="shared" si="41"/>
        <v>0</v>
      </c>
      <c r="J90" s="204">
        <f t="shared" si="41"/>
        <v>0</v>
      </c>
      <c r="K90" s="204">
        <f t="shared" si="41"/>
        <v>0</v>
      </c>
      <c r="L90" s="204">
        <f t="shared" si="41"/>
        <v>0</v>
      </c>
      <c r="M90" s="204">
        <f t="shared" si="41"/>
        <v>0</v>
      </c>
      <c r="N90" s="204">
        <f t="shared" si="41"/>
        <v>0</v>
      </c>
      <c r="O90" s="204">
        <f t="shared" si="41"/>
        <v>0</v>
      </c>
      <c r="P90" s="204">
        <f t="shared" si="41"/>
        <v>29.316</v>
      </c>
      <c r="Q90" s="204">
        <f t="shared" si="41"/>
        <v>10.3215</v>
      </c>
      <c r="R90" s="204">
        <f t="shared" si="41"/>
        <v>29.2975</v>
      </c>
      <c r="S90" s="204">
        <f t="shared" si="41"/>
        <v>2088.9635</v>
      </c>
      <c r="T90" s="204">
        <f t="shared" si="41"/>
        <v>1599.6405</v>
      </c>
      <c r="U90" s="204">
        <f t="shared" si="41"/>
        <v>1160.8675</v>
      </c>
      <c r="V90" s="204">
        <f t="shared" si="41"/>
        <v>929.7775</v>
      </c>
      <c r="W90" s="204">
        <f t="shared" si="41"/>
        <v>671.551</v>
      </c>
      <c r="X90" s="204">
        <f t="shared" si="41"/>
        <v>581.574</v>
      </c>
      <c r="Y90" s="204">
        <f t="shared" si="41"/>
        <v>492.992</v>
      </c>
      <c r="Z90" s="204">
        <f t="shared" si="41"/>
        <v>395.5845</v>
      </c>
      <c r="AA90" s="204">
        <f t="shared" si="41"/>
        <v>472.611</v>
      </c>
      <c r="AB90" s="204">
        <f t="shared" si="41"/>
        <v>372.801</v>
      </c>
      <c r="AC90" s="204">
        <f t="shared" si="41"/>
        <v>291.7945</v>
      </c>
      <c r="AD90" s="204">
        <f t="shared" si="41"/>
        <v>1700.515</v>
      </c>
      <c r="AE90" s="204">
        <f t="shared" si="41"/>
        <v>2312.095</v>
      </c>
      <c r="AF90" s="204"/>
    </row>
    <row r="91">
      <c r="A91" s="204" t="s">
        <v>291</v>
      </c>
      <c r="B91" s="204">
        <f t="shared" ref="B91:AE91" si="42">B5-B63-B64</f>
        <v>0</v>
      </c>
      <c r="C91" s="204">
        <f t="shared" si="42"/>
        <v>0</v>
      </c>
      <c r="D91" s="204">
        <f t="shared" si="42"/>
        <v>0</v>
      </c>
      <c r="E91" s="204">
        <f t="shared" si="42"/>
        <v>0</v>
      </c>
      <c r="F91" s="204">
        <f t="shared" si="42"/>
        <v>0</v>
      </c>
      <c r="G91" s="204">
        <f t="shared" si="42"/>
        <v>0</v>
      </c>
      <c r="H91" s="204">
        <f t="shared" si="42"/>
        <v>0</v>
      </c>
      <c r="I91" s="204">
        <f t="shared" si="42"/>
        <v>0</v>
      </c>
      <c r="J91" s="204">
        <f t="shared" si="42"/>
        <v>0</v>
      </c>
      <c r="K91" s="204">
        <f t="shared" si="42"/>
        <v>0</v>
      </c>
      <c r="L91" s="204">
        <f t="shared" si="42"/>
        <v>0</v>
      </c>
      <c r="M91" s="204">
        <f t="shared" si="42"/>
        <v>0</v>
      </c>
      <c r="N91" s="204">
        <f t="shared" si="42"/>
        <v>0</v>
      </c>
      <c r="O91" s="204">
        <f t="shared" si="42"/>
        <v>0</v>
      </c>
      <c r="P91" s="204">
        <f t="shared" si="42"/>
        <v>0</v>
      </c>
      <c r="Q91" s="204">
        <f t="shared" si="42"/>
        <v>-12.12</v>
      </c>
      <c r="R91" s="204">
        <f t="shared" si="42"/>
        <v>0</v>
      </c>
      <c r="S91" s="204">
        <f t="shared" si="42"/>
        <v>3871.645429</v>
      </c>
      <c r="T91" s="204">
        <f t="shared" si="42"/>
        <v>4479.106359</v>
      </c>
      <c r="U91" s="204">
        <f t="shared" si="42"/>
        <v>2759.9015</v>
      </c>
      <c r="V91" s="204">
        <f t="shared" si="42"/>
        <v>2173.653727</v>
      </c>
      <c r="W91" s="204">
        <f t="shared" si="42"/>
        <v>1454.574054</v>
      </c>
      <c r="X91" s="204">
        <f t="shared" si="42"/>
        <v>1515.899757</v>
      </c>
      <c r="Y91" s="204">
        <f t="shared" si="42"/>
        <v>1379.984861</v>
      </c>
      <c r="Z91" s="204">
        <f t="shared" si="42"/>
        <v>950.8794653</v>
      </c>
      <c r="AA91" s="204">
        <f t="shared" si="42"/>
        <v>979.7432557</v>
      </c>
      <c r="AB91" s="204">
        <f t="shared" si="42"/>
        <v>659.0030733</v>
      </c>
      <c r="AC91" s="204">
        <f t="shared" si="42"/>
        <v>717.0317071</v>
      </c>
      <c r="AD91" s="204">
        <f t="shared" si="42"/>
        <v>3475.973899</v>
      </c>
      <c r="AE91" s="204">
        <f t="shared" si="42"/>
        <v>3232.286141</v>
      </c>
      <c r="AF91" s="204"/>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6.88"/>
  </cols>
  <sheetData>
    <row r="1">
      <c r="A1" s="2" t="s">
        <v>1</v>
      </c>
      <c r="B1" s="6">
        <v>45170.0</v>
      </c>
      <c r="C1" s="6">
        <v>45171.0</v>
      </c>
      <c r="D1" s="6">
        <v>45172.0</v>
      </c>
      <c r="E1" s="6">
        <v>45173.0</v>
      </c>
      <c r="F1" s="6">
        <v>45174.0</v>
      </c>
      <c r="G1" s="6">
        <v>45175.0</v>
      </c>
      <c r="H1" s="6">
        <v>45176.0</v>
      </c>
      <c r="I1" s="6">
        <v>45177.0</v>
      </c>
      <c r="J1" s="6">
        <v>45178.0</v>
      </c>
      <c r="K1" s="6">
        <v>45179.0</v>
      </c>
      <c r="L1" s="6">
        <v>45180.0</v>
      </c>
      <c r="M1" s="6">
        <v>45181.0</v>
      </c>
      <c r="N1" s="6">
        <v>45182.0</v>
      </c>
      <c r="O1" s="6">
        <v>45183.0</v>
      </c>
      <c r="P1" s="6">
        <v>45184.0</v>
      </c>
      <c r="Q1" s="6">
        <v>45185.0</v>
      </c>
      <c r="R1" s="6">
        <v>45186.0</v>
      </c>
      <c r="S1" s="6">
        <v>45187.0</v>
      </c>
      <c r="T1" s="6">
        <v>45188.0</v>
      </c>
      <c r="U1" s="6">
        <v>45189.0</v>
      </c>
      <c r="V1" s="6">
        <v>45190.0</v>
      </c>
      <c r="W1" s="6">
        <v>45191.0</v>
      </c>
      <c r="X1" s="6">
        <v>45192.0</v>
      </c>
      <c r="Y1" s="6">
        <v>45193.0</v>
      </c>
      <c r="Z1" s="6">
        <v>45194.0</v>
      </c>
      <c r="AA1" s="6">
        <v>45195.0</v>
      </c>
      <c r="AB1" s="6">
        <v>45196.0</v>
      </c>
      <c r="AC1" s="6">
        <v>45197.0</v>
      </c>
      <c r="AD1" s="6">
        <v>45198.0</v>
      </c>
      <c r="AE1" s="6">
        <v>45199.0</v>
      </c>
      <c r="AF1" s="585"/>
    </row>
    <row r="2">
      <c r="A2" s="14" t="s">
        <v>44</v>
      </c>
      <c r="B2" s="586" t="s">
        <v>52</v>
      </c>
      <c r="C2" s="586" t="s">
        <v>55</v>
      </c>
      <c r="D2" s="586" t="s">
        <v>57</v>
      </c>
      <c r="E2" s="586" t="s">
        <v>58</v>
      </c>
      <c r="F2" s="586" t="s">
        <v>46</v>
      </c>
      <c r="G2" s="586" t="s">
        <v>48</v>
      </c>
      <c r="H2" s="586" t="s">
        <v>51</v>
      </c>
      <c r="I2" s="586" t="s">
        <v>52</v>
      </c>
      <c r="J2" s="586" t="s">
        <v>55</v>
      </c>
      <c r="K2" s="586" t="s">
        <v>57</v>
      </c>
      <c r="L2" s="586" t="s">
        <v>58</v>
      </c>
      <c r="M2" s="586" t="s">
        <v>46</v>
      </c>
      <c r="N2" s="586" t="s">
        <v>48</v>
      </c>
      <c r="O2" s="586" t="s">
        <v>51</v>
      </c>
      <c r="P2" s="586" t="s">
        <v>52</v>
      </c>
      <c r="Q2" s="586" t="s">
        <v>55</v>
      </c>
      <c r="R2" s="586" t="s">
        <v>57</v>
      </c>
      <c r="S2" s="586" t="s">
        <v>58</v>
      </c>
      <c r="T2" s="586" t="s">
        <v>46</v>
      </c>
      <c r="U2" s="586" t="s">
        <v>48</v>
      </c>
      <c r="V2" s="586" t="s">
        <v>51</v>
      </c>
      <c r="W2" s="586" t="s">
        <v>52</v>
      </c>
      <c r="X2" s="586" t="s">
        <v>55</v>
      </c>
      <c r="Y2" s="586" t="s">
        <v>57</v>
      </c>
      <c r="Z2" s="586" t="s">
        <v>58</v>
      </c>
      <c r="AA2" s="586" t="s">
        <v>46</v>
      </c>
      <c r="AB2" s="586" t="s">
        <v>48</v>
      </c>
      <c r="AC2" s="586" t="s">
        <v>51</v>
      </c>
      <c r="AD2" s="586" t="s">
        <v>52</v>
      </c>
      <c r="AE2" s="586" t="s">
        <v>55</v>
      </c>
      <c r="AF2" s="585"/>
    </row>
    <row r="3">
      <c r="A3" s="587" t="s">
        <v>528</v>
      </c>
      <c r="B3" s="588"/>
      <c r="C3" s="588"/>
      <c r="D3" s="588"/>
      <c r="E3" s="588"/>
      <c r="F3" s="588"/>
      <c r="G3" s="588"/>
      <c r="H3" s="588"/>
      <c r="I3" s="588"/>
      <c r="J3" s="588"/>
      <c r="K3" s="588"/>
      <c r="L3" s="588"/>
      <c r="M3" s="588"/>
      <c r="N3" s="588"/>
      <c r="O3" s="588"/>
      <c r="P3" s="588"/>
      <c r="Q3" s="588"/>
      <c r="R3" s="588"/>
      <c r="S3" s="588"/>
      <c r="T3" s="588"/>
      <c r="U3" s="588"/>
      <c r="V3" s="588"/>
      <c r="W3" s="588"/>
      <c r="X3" s="588"/>
      <c r="Y3" s="588"/>
      <c r="Z3" s="588"/>
      <c r="AA3" s="588"/>
      <c r="AB3" s="588"/>
      <c r="AC3" s="588"/>
      <c r="AD3" s="588"/>
      <c r="AE3" s="589"/>
      <c r="AF3" s="590"/>
    </row>
    <row r="4">
      <c r="A4" s="147" t="s">
        <v>98</v>
      </c>
      <c r="B4" s="70">
        <f>Summary!B22</f>
        <v>0</v>
      </c>
      <c r="C4" s="70">
        <f>Summary!C22</f>
        <v>0</v>
      </c>
      <c r="D4" s="70">
        <f>Summary!D22</f>
        <v>0</v>
      </c>
      <c r="E4" s="70">
        <f>Summary!E22</f>
        <v>0</v>
      </c>
      <c r="F4" s="70">
        <f>Summary!F22</f>
        <v>0</v>
      </c>
      <c r="G4" s="70">
        <f>Summary!G22</f>
        <v>0</v>
      </c>
      <c r="H4" s="70">
        <f>Summary!H22</f>
        <v>0</v>
      </c>
      <c r="I4" s="70">
        <f>Summary!I22</f>
        <v>0</v>
      </c>
      <c r="J4" s="70">
        <f>Summary!J22</f>
        <v>0</v>
      </c>
      <c r="K4" s="70">
        <f>Summary!K22</f>
        <v>0</v>
      </c>
      <c r="L4" s="70">
        <f>Summary!L22</f>
        <v>0</v>
      </c>
      <c r="M4" s="70">
        <f>Summary!M22</f>
        <v>0</v>
      </c>
      <c r="N4" s="70">
        <f>Summary!N22</f>
        <v>0</v>
      </c>
      <c r="O4" s="70">
        <f>Summary!O22</f>
        <v>0</v>
      </c>
      <c r="P4" s="70">
        <f>Summary!P22</f>
        <v>0</v>
      </c>
      <c r="Q4" s="70">
        <f>Summary!Q22</f>
        <v>0</v>
      </c>
      <c r="R4" s="70">
        <f>Summary!R22</f>
        <v>0</v>
      </c>
      <c r="S4" s="70">
        <f>Summary!S22</f>
        <v>0</v>
      </c>
      <c r="T4" s="70">
        <f>Summary!T22</f>
        <v>0</v>
      </c>
      <c r="U4" s="70">
        <f>Summary!U22</f>
        <v>0</v>
      </c>
      <c r="V4" s="70">
        <f>Summary!V22</f>
        <v>0</v>
      </c>
      <c r="W4" s="70">
        <f>Summary!W22</f>
        <v>0</v>
      </c>
      <c r="X4" s="70">
        <f>Summary!X22</f>
        <v>0</v>
      </c>
      <c r="Y4" s="70">
        <f>Summary!Y22</f>
        <v>0</v>
      </c>
      <c r="Z4" s="70">
        <f>Summary!Z22</f>
        <v>0</v>
      </c>
      <c r="AA4" s="70">
        <f>Summary!AA22</f>
        <v>0</v>
      </c>
      <c r="AB4" s="70">
        <f>Summary!AB22</f>
        <v>0</v>
      </c>
      <c r="AC4" s="70">
        <f>Summary!AC22</f>
        <v>8188.24</v>
      </c>
      <c r="AD4" s="70">
        <f>Summary!AD22</f>
        <v>5806.09</v>
      </c>
      <c r="AE4" s="70">
        <f>Summary!AE22</f>
        <v>1039</v>
      </c>
      <c r="AF4" s="591">
        <f>sum(B4:AE4)</f>
        <v>15033.33</v>
      </c>
    </row>
    <row r="5" outlineLevel="1">
      <c r="A5" s="592" t="s">
        <v>177</v>
      </c>
      <c r="B5" s="593"/>
      <c r="C5" s="593"/>
      <c r="D5" s="593"/>
      <c r="E5" s="593"/>
      <c r="F5" s="593"/>
      <c r="G5" s="593"/>
      <c r="H5" s="593"/>
      <c r="I5" s="593"/>
      <c r="J5" s="593"/>
      <c r="K5" s="593"/>
      <c r="L5" s="593"/>
      <c r="M5" s="593"/>
      <c r="N5" s="593"/>
      <c r="O5" s="593"/>
      <c r="P5" s="593"/>
      <c r="Q5" s="593"/>
      <c r="R5" s="593"/>
      <c r="S5" s="593"/>
      <c r="T5" s="593"/>
      <c r="U5" s="593"/>
      <c r="V5" s="593"/>
      <c r="W5" s="593"/>
      <c r="X5" s="593"/>
      <c r="Y5" s="593"/>
      <c r="Z5" s="593"/>
      <c r="AA5" s="593"/>
      <c r="AB5" s="593"/>
      <c r="AC5" s="593"/>
      <c r="AD5" s="593"/>
      <c r="AE5" s="593"/>
      <c r="AF5" s="590"/>
    </row>
    <row r="6" outlineLevel="1">
      <c r="A6" s="114" t="s">
        <v>139</v>
      </c>
      <c r="B6" s="70" t="str">
        <f>Summary!B24</f>
        <v/>
      </c>
      <c r="C6" s="70" t="str">
        <f>Summary!C24</f>
        <v/>
      </c>
      <c r="D6" s="70" t="str">
        <f>Summary!D24</f>
        <v/>
      </c>
      <c r="E6" s="70" t="str">
        <f>Summary!E24</f>
        <v/>
      </c>
      <c r="F6" s="70" t="str">
        <f>Summary!F24</f>
        <v/>
      </c>
      <c r="G6" s="70" t="str">
        <f>Summary!G24</f>
        <v/>
      </c>
      <c r="H6" s="70" t="str">
        <f>Summary!H24</f>
        <v/>
      </c>
      <c r="I6" s="70" t="str">
        <f>Summary!I24</f>
        <v/>
      </c>
      <c r="J6" s="70" t="str">
        <f>Summary!J24</f>
        <v/>
      </c>
      <c r="K6" s="70" t="str">
        <f>Summary!K24</f>
        <v/>
      </c>
      <c r="L6" s="70" t="str">
        <f>Summary!L24</f>
        <v/>
      </c>
      <c r="M6" s="70" t="str">
        <f>Summary!M24</f>
        <v/>
      </c>
      <c r="N6" s="70" t="str">
        <f>Summary!N24</f>
        <v/>
      </c>
      <c r="O6" s="70" t="str">
        <f>Summary!O24</f>
        <v/>
      </c>
      <c r="P6" s="70" t="str">
        <f>Summary!P24</f>
        <v/>
      </c>
      <c r="Q6" s="70" t="str">
        <f>Summary!Q24</f>
        <v/>
      </c>
      <c r="R6" s="70" t="str">
        <f>Summary!R24</f>
        <v/>
      </c>
      <c r="S6" s="70" t="str">
        <f>Summary!S24</f>
        <v/>
      </c>
      <c r="T6" s="70" t="str">
        <f>Summary!T24</f>
        <v/>
      </c>
      <c r="U6" s="70" t="str">
        <f>Summary!U24</f>
        <v/>
      </c>
      <c r="V6" s="70" t="str">
        <f>Summary!V24</f>
        <v/>
      </c>
      <c r="W6" s="70" t="str">
        <f>Summary!W24</f>
        <v/>
      </c>
      <c r="X6" s="70" t="str">
        <f>Summary!X24</f>
        <v/>
      </c>
      <c r="Y6" s="70" t="str">
        <f>Summary!Y24</f>
        <v/>
      </c>
      <c r="Z6" s="70" t="str">
        <f>Summary!Z24</f>
        <v/>
      </c>
      <c r="AA6" s="70" t="str">
        <f>Summary!AA24</f>
        <v/>
      </c>
      <c r="AB6" s="70" t="str">
        <f>Summary!AB24</f>
        <v/>
      </c>
      <c r="AC6" s="70" t="str">
        <f>Summary!AC24</f>
        <v/>
      </c>
      <c r="AD6" s="70" t="str">
        <f>Summary!AD24</f>
        <v/>
      </c>
      <c r="AE6" s="70" t="str">
        <f>Summary!AE24</f>
        <v/>
      </c>
      <c r="AF6" s="591">
        <f t="shared" ref="AF6:AF8" si="1">sum(B6:AE6)</f>
        <v>0</v>
      </c>
    </row>
    <row r="7" outlineLevel="1">
      <c r="A7" s="114" t="s">
        <v>536</v>
      </c>
      <c r="B7" s="595">
        <f>Summary!B25</f>
        <v>0</v>
      </c>
      <c r="C7" s="595">
        <f>Summary!C25</f>
        <v>0</v>
      </c>
      <c r="D7" s="595">
        <f>Summary!D25</f>
        <v>0</v>
      </c>
      <c r="E7" s="595">
        <f>Summary!E25</f>
        <v>0</v>
      </c>
      <c r="F7" s="595">
        <f>Summary!F25</f>
        <v>0</v>
      </c>
      <c r="G7" s="595">
        <f>Summary!G25</f>
        <v>0</v>
      </c>
      <c r="H7" s="595">
        <f>Summary!H25</f>
        <v>0</v>
      </c>
      <c r="I7" s="595">
        <f>Summary!I25</f>
        <v>0</v>
      </c>
      <c r="J7" s="595">
        <f>Summary!J25</f>
        <v>0</v>
      </c>
      <c r="K7" s="595">
        <f>Summary!K25</f>
        <v>0</v>
      </c>
      <c r="L7" s="595">
        <f>Summary!L25</f>
        <v>0</v>
      </c>
      <c r="M7" s="595">
        <f>Summary!M25</f>
        <v>0</v>
      </c>
      <c r="N7" s="595">
        <f>Summary!N25</f>
        <v>0</v>
      </c>
      <c r="O7" s="595">
        <f>Summary!O25</f>
        <v>0</v>
      </c>
      <c r="P7" s="595">
        <f>Summary!P25</f>
        <v>0</v>
      </c>
      <c r="Q7" s="595">
        <f>Summary!Q25</f>
        <v>0</v>
      </c>
      <c r="R7" s="595">
        <f>Summary!R25</f>
        <v>0</v>
      </c>
      <c r="S7" s="595">
        <f>Summary!S25</f>
        <v>0</v>
      </c>
      <c r="T7" s="595">
        <f>Summary!T25</f>
        <v>0</v>
      </c>
      <c r="U7" s="595">
        <f>Summary!U25</f>
        <v>0</v>
      </c>
      <c r="V7" s="595">
        <f>Summary!V25</f>
        <v>0</v>
      </c>
      <c r="W7" s="595">
        <f>Summary!W25</f>
        <v>0</v>
      </c>
      <c r="X7" s="595">
        <f>Summary!X25</f>
        <v>0</v>
      </c>
      <c r="Y7" s="595">
        <f>Summary!Y25</f>
        <v>0</v>
      </c>
      <c r="Z7" s="595">
        <f>Summary!Z25</f>
        <v>0</v>
      </c>
      <c r="AA7" s="595">
        <f>Summary!AA25</f>
        <v>0</v>
      </c>
      <c r="AB7" s="595">
        <f>Summary!AB25</f>
        <v>0</v>
      </c>
      <c r="AC7" s="595">
        <f>Summary!AC25</f>
        <v>0</v>
      </c>
      <c r="AD7" s="595">
        <f>Summary!AD25</f>
        <v>0</v>
      </c>
      <c r="AE7" s="595">
        <f>Summary!AE25</f>
        <v>0</v>
      </c>
      <c r="AF7" s="591">
        <f t="shared" si="1"/>
        <v>0</v>
      </c>
    </row>
    <row r="8">
      <c r="A8" s="147" t="s">
        <v>69</v>
      </c>
      <c r="B8" s="597" t="str">
        <f>Summary!B51</f>
        <v/>
      </c>
      <c r="C8" s="597" t="str">
        <f>Summary!C51</f>
        <v/>
      </c>
      <c r="D8" s="597" t="str">
        <f>Summary!D51</f>
        <v/>
      </c>
      <c r="E8" s="597" t="str">
        <f>Summary!E51</f>
        <v/>
      </c>
      <c r="F8" s="597" t="str">
        <f>Summary!F51</f>
        <v/>
      </c>
      <c r="G8" s="597" t="str">
        <f>Summary!G51</f>
        <v/>
      </c>
      <c r="H8" s="597" t="str">
        <f>Summary!H51</f>
        <v/>
      </c>
      <c r="I8" s="597" t="str">
        <f>Summary!I51</f>
        <v/>
      </c>
      <c r="J8" s="597" t="str">
        <f>Summary!J51</f>
        <v/>
      </c>
      <c r="K8" s="597" t="str">
        <f>Summary!K51</f>
        <v/>
      </c>
      <c r="L8" s="597" t="str">
        <f>Summary!L51</f>
        <v/>
      </c>
      <c r="M8" s="597" t="str">
        <f>Summary!M51</f>
        <v/>
      </c>
      <c r="N8" s="597" t="str">
        <f>Summary!N51</f>
        <v/>
      </c>
      <c r="O8" s="597" t="str">
        <f>Summary!O51</f>
        <v/>
      </c>
      <c r="P8" s="597" t="str">
        <f>Summary!P51</f>
        <v/>
      </c>
      <c r="Q8" s="597" t="str">
        <f>Summary!Q51</f>
        <v/>
      </c>
      <c r="R8" s="597" t="str">
        <f>Summary!R51</f>
        <v/>
      </c>
      <c r="S8" s="597" t="str">
        <f>Summary!S51</f>
        <v/>
      </c>
      <c r="T8" s="597" t="str">
        <f>Summary!T51</f>
        <v/>
      </c>
      <c r="U8" s="597" t="str">
        <f>Summary!U51</f>
        <v/>
      </c>
      <c r="V8" s="597" t="str">
        <f>Summary!V51</f>
        <v/>
      </c>
      <c r="W8" s="597" t="str">
        <f>Summary!W51</f>
        <v/>
      </c>
      <c r="X8" s="597" t="str">
        <f>Summary!X51</f>
        <v/>
      </c>
      <c r="Y8" s="597" t="str">
        <f>Summary!Y51</f>
        <v/>
      </c>
      <c r="Z8" s="597" t="str">
        <f>Summary!Z51</f>
        <v/>
      </c>
      <c r="AA8" s="597" t="str">
        <f>Summary!AA51</f>
        <v/>
      </c>
      <c r="AB8" s="597" t="str">
        <f>Summary!AB51</f>
        <v/>
      </c>
      <c r="AC8" s="582">
        <f>Summary!AC51</f>
        <v>38</v>
      </c>
      <c r="AD8" s="582">
        <f>Summary!AD51</f>
        <v>26</v>
      </c>
      <c r="AE8" s="582">
        <f>Summary!AE51</f>
        <v>5</v>
      </c>
      <c r="AF8" s="599">
        <f t="shared" si="1"/>
        <v>69</v>
      </c>
    </row>
    <row r="9">
      <c r="A9" s="20"/>
      <c r="B9" s="582"/>
      <c r="C9" s="582"/>
      <c r="D9" s="582"/>
      <c r="E9" s="582"/>
      <c r="F9" s="582"/>
      <c r="G9" s="582"/>
      <c r="H9" s="582"/>
      <c r="I9" s="582"/>
      <c r="J9" s="582"/>
      <c r="K9" s="582"/>
      <c r="L9" s="582"/>
      <c r="M9" s="582"/>
      <c r="N9" s="582"/>
      <c r="O9" s="582"/>
      <c r="P9" s="582"/>
      <c r="Q9" s="582"/>
      <c r="R9" s="582"/>
      <c r="S9" s="582"/>
      <c r="T9" s="582"/>
      <c r="U9" s="582"/>
      <c r="V9" s="582"/>
      <c r="W9" s="582"/>
      <c r="X9" s="582"/>
      <c r="Y9" s="582"/>
      <c r="Z9" s="582"/>
      <c r="AA9" s="582"/>
      <c r="AB9" s="582"/>
      <c r="AC9" s="582"/>
      <c r="AD9" s="582"/>
      <c r="AE9" s="582"/>
      <c r="AF9" s="599"/>
    </row>
    <row r="10">
      <c r="A10" s="116" t="s">
        <v>541</v>
      </c>
      <c r="B10" s="122">
        <f>Summary!B73</f>
        <v>0</v>
      </c>
      <c r="C10" s="122">
        <f>Summary!C73</f>
        <v>0</v>
      </c>
      <c r="D10" s="122">
        <f>Summary!D73</f>
        <v>0</v>
      </c>
      <c r="E10" s="122">
        <f>Summary!E73</f>
        <v>0</v>
      </c>
      <c r="F10" s="122">
        <f>Summary!F73</f>
        <v>0</v>
      </c>
      <c r="G10" s="122">
        <f>Summary!G73</f>
        <v>0</v>
      </c>
      <c r="H10" s="122">
        <f>Summary!H73</f>
        <v>0</v>
      </c>
      <c r="I10" s="122">
        <f>Summary!I73</f>
        <v>0</v>
      </c>
      <c r="J10" s="122">
        <f>Summary!J73</f>
        <v>0</v>
      </c>
      <c r="K10" s="122">
        <f>Summary!K73</f>
        <v>0</v>
      </c>
      <c r="L10" s="122">
        <f>Summary!L73</f>
        <v>0</v>
      </c>
      <c r="M10" s="122">
        <f>Summary!M73</f>
        <v>0</v>
      </c>
      <c r="N10" s="122">
        <f>Summary!N73</f>
        <v>0</v>
      </c>
      <c r="O10" s="122">
        <f>Summary!O73</f>
        <v>0</v>
      </c>
      <c r="P10" s="122">
        <f>Summary!P73</f>
        <v>0</v>
      </c>
      <c r="Q10" s="122">
        <f>Summary!Q73</f>
        <v>0</v>
      </c>
      <c r="R10" s="122">
        <f>Summary!R73</f>
        <v>0</v>
      </c>
      <c r="S10" s="122">
        <f>Summary!S73</f>
        <v>0</v>
      </c>
      <c r="T10" s="122">
        <f>Summary!T73</f>
        <v>0</v>
      </c>
      <c r="U10" s="122">
        <f>Summary!U73</f>
        <v>0</v>
      </c>
      <c r="V10" s="122">
        <f>Summary!V73</f>
        <v>0</v>
      </c>
      <c r="W10" s="122">
        <f>Summary!W73</f>
        <v>0</v>
      </c>
      <c r="X10" s="122">
        <f>Summary!X73</f>
        <v>0</v>
      </c>
      <c r="Y10" s="122">
        <f>Summary!Y73</f>
        <v>0</v>
      </c>
      <c r="Z10" s="122">
        <f>Summary!Z73</f>
        <v>0</v>
      </c>
      <c r="AA10" s="122">
        <f>Summary!AA73</f>
        <v>0</v>
      </c>
      <c r="AB10" s="122">
        <f>Summary!AB73</f>
        <v>0</v>
      </c>
      <c r="AC10" s="122">
        <f>Summary!AC73</f>
        <v>1637.648</v>
      </c>
      <c r="AD10" s="122">
        <f>Summary!AD73</f>
        <v>1161.218</v>
      </c>
      <c r="AE10" s="122">
        <f>Summary!AE73</f>
        <v>207.8</v>
      </c>
      <c r="AF10" s="591">
        <f>sum(B10:AE10)</f>
        <v>3006.666</v>
      </c>
    </row>
    <row r="11">
      <c r="A11" s="20"/>
      <c r="B11" s="582"/>
      <c r="C11" s="582"/>
      <c r="D11" s="582"/>
      <c r="E11" s="582"/>
      <c r="F11" s="582"/>
      <c r="G11" s="582"/>
      <c r="H11" s="582"/>
      <c r="I11" s="582"/>
      <c r="J11" s="582"/>
      <c r="K11" s="582"/>
      <c r="L11" s="582"/>
      <c r="M11" s="582"/>
      <c r="N11" s="582"/>
      <c r="O11" s="582"/>
      <c r="P11" s="582"/>
      <c r="Q11" s="582"/>
      <c r="R11" s="582"/>
      <c r="S11" s="582"/>
      <c r="T11" s="582"/>
      <c r="U11" s="582"/>
      <c r="V11" s="582"/>
      <c r="W11" s="582"/>
      <c r="X11" s="582"/>
      <c r="Y11" s="582"/>
      <c r="Z11" s="582"/>
      <c r="AA11" s="582"/>
      <c r="AB11" s="582"/>
      <c r="AC11" s="582"/>
      <c r="AD11" s="582"/>
      <c r="AE11" s="582"/>
      <c r="AF11" s="585"/>
    </row>
    <row r="12">
      <c r="A12" s="73" t="s">
        <v>542</v>
      </c>
      <c r="B12" s="609"/>
      <c r="C12" s="582"/>
      <c r="D12" s="582"/>
      <c r="E12" s="582"/>
      <c r="F12" s="582"/>
      <c r="G12" s="582"/>
      <c r="H12" s="582"/>
      <c r="I12" s="582"/>
      <c r="J12" s="582"/>
      <c r="K12" s="582"/>
      <c r="L12" s="582"/>
      <c r="M12" s="582"/>
      <c r="N12" s="582"/>
      <c r="O12" s="582"/>
      <c r="P12" s="582"/>
      <c r="Q12" s="582"/>
      <c r="R12" s="582"/>
      <c r="S12" s="582"/>
      <c r="T12" s="582"/>
      <c r="U12" s="582"/>
      <c r="V12" s="582"/>
      <c r="W12" s="582"/>
      <c r="X12" s="582"/>
      <c r="Y12" s="582"/>
      <c r="Z12" s="582"/>
      <c r="AA12" s="582"/>
      <c r="AB12" s="582"/>
      <c r="AC12" s="582"/>
      <c r="AD12" s="582"/>
      <c r="AE12" s="167"/>
      <c r="AF12" s="590"/>
    </row>
    <row r="13">
      <c r="A13" s="78" t="s">
        <v>543</v>
      </c>
      <c r="B13" s="614"/>
      <c r="C13" s="614"/>
      <c r="D13" s="614"/>
      <c r="E13" s="614"/>
      <c r="F13" s="614"/>
      <c r="G13" s="614"/>
      <c r="H13" s="614"/>
      <c r="I13" s="614"/>
      <c r="J13" s="614"/>
      <c r="K13" s="614"/>
      <c r="L13" s="614"/>
      <c r="M13" s="614"/>
      <c r="N13" s="614"/>
      <c r="O13" s="614"/>
      <c r="P13" s="614"/>
      <c r="Q13" s="614"/>
      <c r="R13" s="614"/>
      <c r="S13" s="614"/>
      <c r="T13" s="614"/>
      <c r="U13" s="614"/>
      <c r="V13" s="614"/>
      <c r="W13" s="614"/>
      <c r="X13" s="614"/>
      <c r="Y13" s="614"/>
      <c r="Z13" s="614"/>
      <c r="AA13" s="614"/>
      <c r="AB13" s="614"/>
      <c r="AC13" s="104">
        <v>7.0</v>
      </c>
      <c r="AD13" s="104">
        <v>9.0</v>
      </c>
      <c r="AE13" s="265">
        <v>0.0</v>
      </c>
      <c r="AF13" s="599">
        <f t="shared" ref="AF13:AF17" si="2">sum(B13:AE13)</f>
        <v>16</v>
      </c>
    </row>
    <row r="14">
      <c r="A14" s="78" t="s">
        <v>544</v>
      </c>
      <c r="B14" s="614"/>
      <c r="C14" s="614"/>
      <c r="D14" s="614"/>
      <c r="E14" s="614"/>
      <c r="F14" s="614"/>
      <c r="G14" s="614"/>
      <c r="H14" s="614"/>
      <c r="I14" s="614"/>
      <c r="J14" s="614"/>
      <c r="K14" s="614"/>
      <c r="L14" s="614"/>
      <c r="M14" s="614"/>
      <c r="N14" s="614"/>
      <c r="O14" s="614"/>
      <c r="P14" s="614"/>
      <c r="Q14" s="614"/>
      <c r="R14" s="614"/>
      <c r="S14" s="614"/>
      <c r="T14" s="614"/>
      <c r="U14" s="614"/>
      <c r="V14" s="614"/>
      <c r="W14" s="614"/>
      <c r="X14" s="614"/>
      <c r="Y14" s="614"/>
      <c r="Z14" s="614"/>
      <c r="AA14" s="614"/>
      <c r="AB14" s="614"/>
      <c r="AC14" s="104">
        <v>4.0</v>
      </c>
      <c r="AD14" s="104">
        <v>3.0</v>
      </c>
      <c r="AE14" s="265">
        <v>1.0</v>
      </c>
      <c r="AF14" s="599">
        <f t="shared" si="2"/>
        <v>8</v>
      </c>
    </row>
    <row r="15">
      <c r="A15" s="78" t="s">
        <v>546</v>
      </c>
      <c r="B15" s="614"/>
      <c r="C15" s="614"/>
      <c r="D15" s="614"/>
      <c r="E15" s="614"/>
      <c r="F15" s="614"/>
      <c r="G15" s="614"/>
      <c r="H15" s="614"/>
      <c r="I15" s="614"/>
      <c r="J15" s="614"/>
      <c r="K15" s="614"/>
      <c r="L15" s="614"/>
      <c r="M15" s="614"/>
      <c r="N15" s="614"/>
      <c r="O15" s="614"/>
      <c r="P15" s="614"/>
      <c r="Q15" s="614"/>
      <c r="R15" s="614"/>
      <c r="S15" s="614"/>
      <c r="T15" s="614"/>
      <c r="U15" s="614"/>
      <c r="V15" s="614"/>
      <c r="W15" s="614"/>
      <c r="X15" s="614"/>
      <c r="Y15" s="614"/>
      <c r="Z15" s="614"/>
      <c r="AA15" s="614"/>
      <c r="AB15" s="614"/>
      <c r="AC15" s="104">
        <v>19.0</v>
      </c>
      <c r="AD15" s="104">
        <v>12.0</v>
      </c>
      <c r="AE15" s="265">
        <v>3.0</v>
      </c>
      <c r="AF15" s="599">
        <f t="shared" si="2"/>
        <v>34</v>
      </c>
    </row>
    <row r="16">
      <c r="A16" s="78" t="s">
        <v>547</v>
      </c>
      <c r="B16" s="614"/>
      <c r="C16" s="614"/>
      <c r="D16" s="614"/>
      <c r="E16" s="614"/>
      <c r="F16" s="614"/>
      <c r="G16" s="614"/>
      <c r="H16" s="614"/>
      <c r="I16" s="614"/>
      <c r="J16" s="614"/>
      <c r="K16" s="614"/>
      <c r="L16" s="614"/>
      <c r="M16" s="614"/>
      <c r="N16" s="614"/>
      <c r="O16" s="614"/>
      <c r="P16" s="614"/>
      <c r="Q16" s="614"/>
      <c r="R16" s="614"/>
      <c r="S16" s="614"/>
      <c r="T16" s="614"/>
      <c r="U16" s="614"/>
      <c r="V16" s="614"/>
      <c r="W16" s="614"/>
      <c r="X16" s="614"/>
      <c r="Y16" s="614"/>
      <c r="Z16" s="614"/>
      <c r="AA16" s="614"/>
      <c r="AB16" s="614"/>
      <c r="AC16" s="104">
        <v>5.0</v>
      </c>
      <c r="AD16" s="104">
        <v>3.0</v>
      </c>
      <c r="AE16" s="265">
        <v>1.0</v>
      </c>
      <c r="AF16" s="599">
        <f t="shared" si="2"/>
        <v>9</v>
      </c>
    </row>
    <row r="17">
      <c r="A17" s="91" t="s">
        <v>145</v>
      </c>
      <c r="B17" s="145">
        <f t="shared" ref="B17:AE17" si="3">SUM(B13:B16)</f>
        <v>0</v>
      </c>
      <c r="C17" s="145">
        <f t="shared" si="3"/>
        <v>0</v>
      </c>
      <c r="D17" s="145">
        <f t="shared" si="3"/>
        <v>0</v>
      </c>
      <c r="E17" s="145">
        <f t="shared" si="3"/>
        <v>0</v>
      </c>
      <c r="F17" s="145">
        <f t="shared" si="3"/>
        <v>0</v>
      </c>
      <c r="G17" s="145">
        <f t="shared" si="3"/>
        <v>0</v>
      </c>
      <c r="H17" s="145">
        <f t="shared" si="3"/>
        <v>0</v>
      </c>
      <c r="I17" s="145">
        <f t="shared" si="3"/>
        <v>0</v>
      </c>
      <c r="J17" s="145">
        <f t="shared" si="3"/>
        <v>0</v>
      </c>
      <c r="K17" s="145">
        <f t="shared" si="3"/>
        <v>0</v>
      </c>
      <c r="L17" s="145">
        <f t="shared" si="3"/>
        <v>0</v>
      </c>
      <c r="M17" s="145">
        <f t="shared" si="3"/>
        <v>0</v>
      </c>
      <c r="N17" s="145">
        <f t="shared" si="3"/>
        <v>0</v>
      </c>
      <c r="O17" s="145">
        <f t="shared" si="3"/>
        <v>0</v>
      </c>
      <c r="P17" s="145">
        <f t="shared" si="3"/>
        <v>0</v>
      </c>
      <c r="Q17" s="145">
        <f t="shared" si="3"/>
        <v>0</v>
      </c>
      <c r="R17" s="145">
        <f t="shared" si="3"/>
        <v>0</v>
      </c>
      <c r="S17" s="145">
        <f t="shared" si="3"/>
        <v>0</v>
      </c>
      <c r="T17" s="145">
        <f t="shared" si="3"/>
        <v>0</v>
      </c>
      <c r="U17" s="145">
        <f t="shared" si="3"/>
        <v>0</v>
      </c>
      <c r="V17" s="145">
        <f t="shared" si="3"/>
        <v>0</v>
      </c>
      <c r="W17" s="145">
        <f t="shared" si="3"/>
        <v>0</v>
      </c>
      <c r="X17" s="145">
        <f t="shared" si="3"/>
        <v>0</v>
      </c>
      <c r="Y17" s="145">
        <f t="shared" si="3"/>
        <v>0</v>
      </c>
      <c r="Z17" s="145">
        <f t="shared" si="3"/>
        <v>0</v>
      </c>
      <c r="AA17" s="145">
        <f t="shared" si="3"/>
        <v>0</v>
      </c>
      <c r="AB17" s="145">
        <f t="shared" si="3"/>
        <v>0</v>
      </c>
      <c r="AC17" s="145">
        <f t="shared" si="3"/>
        <v>35</v>
      </c>
      <c r="AD17" s="145">
        <f t="shared" si="3"/>
        <v>27</v>
      </c>
      <c r="AE17" s="145">
        <f t="shared" si="3"/>
        <v>5</v>
      </c>
      <c r="AF17" s="599">
        <f t="shared" si="2"/>
        <v>67</v>
      </c>
    </row>
    <row r="18">
      <c r="A18" s="20"/>
      <c r="B18" s="609"/>
      <c r="C18" s="609"/>
      <c r="D18" s="609"/>
      <c r="E18" s="609"/>
      <c r="F18" s="609"/>
      <c r="G18" s="609"/>
      <c r="H18" s="609"/>
      <c r="I18" s="609"/>
      <c r="J18" s="582"/>
      <c r="K18" s="582"/>
      <c r="L18" s="582"/>
      <c r="M18" s="582"/>
      <c r="N18" s="582"/>
      <c r="O18" s="582"/>
      <c r="P18" s="582"/>
      <c r="Q18" s="582"/>
      <c r="R18" s="582"/>
      <c r="S18" s="582"/>
      <c r="T18" s="582"/>
      <c r="U18" s="582"/>
      <c r="V18" s="582"/>
      <c r="W18" s="582"/>
      <c r="X18" s="582"/>
      <c r="Y18" s="582"/>
      <c r="Z18" s="582"/>
      <c r="AA18" s="582"/>
      <c r="AB18" s="582"/>
      <c r="AC18" s="582"/>
      <c r="AD18" s="582"/>
      <c r="AE18" s="582"/>
      <c r="AF18" s="585"/>
    </row>
    <row r="19">
      <c r="A19" s="78" t="s">
        <v>147</v>
      </c>
      <c r="B19" s="142"/>
      <c r="C19" s="142"/>
      <c r="D19" s="142"/>
      <c r="E19" s="142"/>
      <c r="F19" s="142"/>
      <c r="G19" s="142"/>
      <c r="H19" s="142"/>
      <c r="I19" s="142"/>
      <c r="J19" s="142"/>
      <c r="K19" s="142"/>
      <c r="L19" s="142"/>
      <c r="M19" s="142"/>
      <c r="N19" s="142"/>
      <c r="O19" s="142"/>
      <c r="P19" s="142"/>
      <c r="Q19" s="142"/>
      <c r="R19" s="142"/>
      <c r="S19" s="614"/>
      <c r="T19" s="614"/>
      <c r="U19" s="614"/>
      <c r="V19" s="614"/>
      <c r="W19" s="614"/>
      <c r="X19" s="614"/>
      <c r="Y19" s="614"/>
      <c r="Z19" s="614"/>
      <c r="AA19" s="614"/>
      <c r="AB19" s="614"/>
      <c r="AC19" s="104">
        <v>0.0</v>
      </c>
      <c r="AD19" s="104">
        <v>0.0</v>
      </c>
      <c r="AE19" s="265">
        <v>0.0</v>
      </c>
      <c r="AF19" s="599">
        <f t="shared" ref="AF19:AF27" si="4">sum(B19:AE19)</f>
        <v>0</v>
      </c>
    </row>
    <row r="20">
      <c r="A20" s="78" t="s">
        <v>150</v>
      </c>
      <c r="B20" s="142"/>
      <c r="C20" s="142"/>
      <c r="D20" s="142"/>
      <c r="E20" s="142"/>
      <c r="F20" s="142"/>
      <c r="G20" s="142"/>
      <c r="H20" s="142"/>
      <c r="I20" s="142"/>
      <c r="J20" s="142"/>
      <c r="K20" s="142"/>
      <c r="L20" s="142"/>
      <c r="M20" s="142"/>
      <c r="N20" s="142"/>
      <c r="O20" s="142"/>
      <c r="P20" s="142"/>
      <c r="Q20" s="142"/>
      <c r="R20" s="142"/>
      <c r="S20" s="614"/>
      <c r="T20" s="614"/>
      <c r="U20" s="614"/>
      <c r="V20" s="614"/>
      <c r="W20" s="614"/>
      <c r="X20" s="614"/>
      <c r="Y20" s="614"/>
      <c r="Z20" s="614"/>
      <c r="AA20" s="614"/>
      <c r="AB20" s="614"/>
      <c r="AC20" s="104">
        <v>0.0</v>
      </c>
      <c r="AD20" s="104">
        <v>0.0</v>
      </c>
      <c r="AE20" s="265">
        <v>0.0</v>
      </c>
      <c r="AF20" s="599">
        <f t="shared" si="4"/>
        <v>0</v>
      </c>
    </row>
    <row r="21">
      <c r="A21" s="78" t="s">
        <v>549</v>
      </c>
      <c r="B21" s="142"/>
      <c r="C21" s="142"/>
      <c r="D21" s="142"/>
      <c r="E21" s="142"/>
      <c r="F21" s="142"/>
      <c r="G21" s="142"/>
      <c r="H21" s="142"/>
      <c r="I21" s="142"/>
      <c r="J21" s="142"/>
      <c r="K21" s="142"/>
      <c r="L21" s="142"/>
      <c r="M21" s="142"/>
      <c r="N21" s="142"/>
      <c r="O21" s="142"/>
      <c r="P21" s="142"/>
      <c r="Q21" s="142"/>
      <c r="R21" s="142"/>
      <c r="S21" s="614"/>
      <c r="T21" s="614"/>
      <c r="U21" s="614"/>
      <c r="V21" s="614"/>
      <c r="W21" s="614"/>
      <c r="X21" s="614"/>
      <c r="Y21" s="614"/>
      <c r="Z21" s="614"/>
      <c r="AA21" s="614"/>
      <c r="AB21" s="614"/>
      <c r="AC21" s="104">
        <v>0.0</v>
      </c>
      <c r="AD21" s="104">
        <v>0.0</v>
      </c>
      <c r="AE21" s="265">
        <v>0.0</v>
      </c>
      <c r="AF21" s="599">
        <f t="shared" si="4"/>
        <v>0</v>
      </c>
    </row>
    <row r="22">
      <c r="A22" s="78" t="s">
        <v>550</v>
      </c>
      <c r="B22" s="614"/>
      <c r="C22" s="614"/>
      <c r="D22" s="614"/>
      <c r="E22" s="614"/>
      <c r="F22" s="614"/>
      <c r="G22" s="614"/>
      <c r="H22" s="614"/>
      <c r="I22" s="614"/>
      <c r="J22" s="614"/>
      <c r="K22" s="614"/>
      <c r="L22" s="614"/>
      <c r="M22" s="614"/>
      <c r="N22" s="614"/>
      <c r="O22" s="614"/>
      <c r="P22" s="614"/>
      <c r="Q22" s="614"/>
      <c r="R22" s="614"/>
      <c r="S22" s="614"/>
      <c r="T22" s="614"/>
      <c r="U22" s="614"/>
      <c r="V22" s="614"/>
      <c r="W22" s="614"/>
      <c r="X22" s="614"/>
      <c r="Y22" s="614"/>
      <c r="Z22" s="614"/>
      <c r="AA22" s="614"/>
      <c r="AB22" s="614"/>
      <c r="AC22" s="104">
        <v>0.0</v>
      </c>
      <c r="AD22" s="104">
        <v>0.0</v>
      </c>
      <c r="AE22" s="265">
        <v>0.0</v>
      </c>
      <c r="AF22" s="599">
        <f t="shared" si="4"/>
        <v>0</v>
      </c>
    </row>
    <row r="23">
      <c r="A23" s="78" t="s">
        <v>551</v>
      </c>
      <c r="B23" s="142"/>
      <c r="C23" s="142"/>
      <c r="D23" s="142"/>
      <c r="E23" s="142"/>
      <c r="F23" s="142"/>
      <c r="G23" s="142"/>
      <c r="H23" s="142"/>
      <c r="I23" s="142"/>
      <c r="J23" s="142"/>
      <c r="K23" s="142"/>
      <c r="L23" s="142"/>
      <c r="M23" s="142"/>
      <c r="N23" s="142"/>
      <c r="O23" s="142"/>
      <c r="P23" s="142"/>
      <c r="Q23" s="142"/>
      <c r="R23" s="142"/>
      <c r="S23" s="614"/>
      <c r="T23" s="614"/>
      <c r="U23" s="614"/>
      <c r="V23" s="614"/>
      <c r="W23" s="614"/>
      <c r="X23" s="614"/>
      <c r="Y23" s="614"/>
      <c r="Z23" s="614"/>
      <c r="AA23" s="614"/>
      <c r="AB23" s="614"/>
      <c r="AC23" s="104">
        <v>0.0</v>
      </c>
      <c r="AD23" s="104">
        <v>0.0</v>
      </c>
      <c r="AE23" s="265">
        <v>0.0</v>
      </c>
      <c r="AF23" s="599">
        <f t="shared" si="4"/>
        <v>0</v>
      </c>
    </row>
    <row r="24">
      <c r="A24" s="78" t="s">
        <v>553</v>
      </c>
      <c r="B24" s="614"/>
      <c r="C24" s="614"/>
      <c r="D24" s="614"/>
      <c r="E24" s="614"/>
      <c r="F24" s="614"/>
      <c r="G24" s="614"/>
      <c r="H24" s="614"/>
      <c r="I24" s="614"/>
      <c r="J24" s="614"/>
      <c r="K24" s="614"/>
      <c r="L24" s="614"/>
      <c r="M24" s="614"/>
      <c r="N24" s="614"/>
      <c r="O24" s="614"/>
      <c r="P24" s="614"/>
      <c r="Q24" s="614"/>
      <c r="R24" s="614"/>
      <c r="S24" s="614"/>
      <c r="T24" s="614"/>
      <c r="U24" s="614"/>
      <c r="V24" s="614"/>
      <c r="W24" s="614"/>
      <c r="X24" s="614"/>
      <c r="Y24" s="614"/>
      <c r="Z24" s="614"/>
      <c r="AA24" s="614"/>
      <c r="AB24" s="614"/>
      <c r="AC24" s="104">
        <v>0.0</v>
      </c>
      <c r="AD24" s="104">
        <v>0.0</v>
      </c>
      <c r="AE24" s="265">
        <v>0.0</v>
      </c>
      <c r="AF24" s="599">
        <f t="shared" si="4"/>
        <v>0</v>
      </c>
    </row>
    <row r="25">
      <c r="A25" s="78" t="s">
        <v>554</v>
      </c>
      <c r="B25" s="142"/>
      <c r="C25" s="142"/>
      <c r="D25" s="142"/>
      <c r="E25" s="142"/>
      <c r="F25" s="142"/>
      <c r="G25" s="142"/>
      <c r="H25" s="142"/>
      <c r="I25" s="142"/>
      <c r="J25" s="142"/>
      <c r="K25" s="142"/>
      <c r="L25" s="142"/>
      <c r="M25" s="142"/>
      <c r="N25" s="142"/>
      <c r="O25" s="142"/>
      <c r="P25" s="142"/>
      <c r="Q25" s="142"/>
      <c r="R25" s="142"/>
      <c r="S25" s="614"/>
      <c r="T25" s="614"/>
      <c r="U25" s="614"/>
      <c r="V25" s="614"/>
      <c r="W25" s="614"/>
      <c r="X25" s="614"/>
      <c r="Y25" s="614"/>
      <c r="Z25" s="614"/>
      <c r="AA25" s="614"/>
      <c r="AB25" s="614"/>
      <c r="AC25" s="104">
        <v>0.0</v>
      </c>
      <c r="AD25" s="104">
        <v>0.0</v>
      </c>
      <c r="AE25" s="265">
        <v>0.0</v>
      </c>
      <c r="AF25" s="599">
        <f t="shared" si="4"/>
        <v>0</v>
      </c>
    </row>
    <row r="26">
      <c r="A26" s="78" t="s">
        <v>555</v>
      </c>
      <c r="B26" s="142"/>
      <c r="C26" s="142"/>
      <c r="D26" s="142"/>
      <c r="E26" s="142"/>
      <c r="F26" s="142"/>
      <c r="G26" s="142"/>
      <c r="H26" s="142"/>
      <c r="I26" s="142"/>
      <c r="J26" s="142"/>
      <c r="K26" s="142"/>
      <c r="L26" s="142"/>
      <c r="M26" s="142"/>
      <c r="N26" s="142"/>
      <c r="O26" s="142"/>
      <c r="P26" s="142"/>
      <c r="Q26" s="142"/>
      <c r="R26" s="142"/>
      <c r="S26" s="614"/>
      <c r="T26" s="614"/>
      <c r="U26" s="614"/>
      <c r="V26" s="614"/>
      <c r="W26" s="614"/>
      <c r="X26" s="614"/>
      <c r="Y26" s="614"/>
      <c r="Z26" s="614"/>
      <c r="AA26" s="614"/>
      <c r="AB26" s="614"/>
      <c r="AC26" s="104">
        <v>0.0</v>
      </c>
      <c r="AD26" s="104">
        <v>0.0</v>
      </c>
      <c r="AE26" s="265">
        <v>0.0</v>
      </c>
      <c r="AF26" s="599">
        <f t="shared" si="4"/>
        <v>0</v>
      </c>
    </row>
    <row r="27">
      <c r="A27" s="619" t="s">
        <v>159</v>
      </c>
      <c r="B27" s="145">
        <f t="shared" ref="B27:AE27" si="5">SUM(B19:B26)</f>
        <v>0</v>
      </c>
      <c r="C27" s="145">
        <f t="shared" si="5"/>
        <v>0</v>
      </c>
      <c r="D27" s="145">
        <f t="shared" si="5"/>
        <v>0</v>
      </c>
      <c r="E27" s="145">
        <f t="shared" si="5"/>
        <v>0</v>
      </c>
      <c r="F27" s="145">
        <f t="shared" si="5"/>
        <v>0</v>
      </c>
      <c r="G27" s="145">
        <f t="shared" si="5"/>
        <v>0</v>
      </c>
      <c r="H27" s="145">
        <f t="shared" si="5"/>
        <v>0</v>
      </c>
      <c r="I27" s="145">
        <f t="shared" si="5"/>
        <v>0</v>
      </c>
      <c r="J27" s="145">
        <f t="shared" si="5"/>
        <v>0</v>
      </c>
      <c r="K27" s="145">
        <f t="shared" si="5"/>
        <v>0</v>
      </c>
      <c r="L27" s="145">
        <f t="shared" si="5"/>
        <v>0</v>
      </c>
      <c r="M27" s="145">
        <f t="shared" si="5"/>
        <v>0</v>
      </c>
      <c r="N27" s="145">
        <f t="shared" si="5"/>
        <v>0</v>
      </c>
      <c r="O27" s="145">
        <f t="shared" si="5"/>
        <v>0</v>
      </c>
      <c r="P27" s="145">
        <f t="shared" si="5"/>
        <v>0</v>
      </c>
      <c r="Q27" s="145">
        <f t="shared" si="5"/>
        <v>0</v>
      </c>
      <c r="R27" s="145">
        <f t="shared" si="5"/>
        <v>0</v>
      </c>
      <c r="S27" s="145">
        <f t="shared" si="5"/>
        <v>0</v>
      </c>
      <c r="T27" s="145">
        <f t="shared" si="5"/>
        <v>0</v>
      </c>
      <c r="U27" s="145">
        <f t="shared" si="5"/>
        <v>0</v>
      </c>
      <c r="V27" s="145">
        <f t="shared" si="5"/>
        <v>0</v>
      </c>
      <c r="W27" s="145">
        <f t="shared" si="5"/>
        <v>0</v>
      </c>
      <c r="X27" s="145">
        <f t="shared" si="5"/>
        <v>0</v>
      </c>
      <c r="Y27" s="145">
        <f t="shared" si="5"/>
        <v>0</v>
      </c>
      <c r="Z27" s="145">
        <f t="shared" si="5"/>
        <v>0</v>
      </c>
      <c r="AA27" s="145">
        <f t="shared" si="5"/>
        <v>0</v>
      </c>
      <c r="AB27" s="145">
        <f t="shared" si="5"/>
        <v>0</v>
      </c>
      <c r="AC27" s="145">
        <f t="shared" si="5"/>
        <v>0</v>
      </c>
      <c r="AD27" s="145">
        <f t="shared" si="5"/>
        <v>0</v>
      </c>
      <c r="AE27" s="145">
        <f t="shared" si="5"/>
        <v>0</v>
      </c>
      <c r="AF27" s="599">
        <f t="shared" si="4"/>
        <v>0</v>
      </c>
    </row>
    <row r="28">
      <c r="A28" s="20"/>
      <c r="B28" s="582"/>
      <c r="C28" s="582"/>
      <c r="D28" s="582"/>
      <c r="E28" s="582"/>
      <c r="F28" s="582"/>
      <c r="G28" s="582"/>
      <c r="H28" s="582"/>
      <c r="I28" s="582"/>
      <c r="J28" s="582"/>
      <c r="K28" s="582"/>
      <c r="L28" s="582"/>
      <c r="M28" s="582"/>
      <c r="N28" s="582"/>
      <c r="O28" s="582"/>
      <c r="P28" s="582"/>
      <c r="Q28" s="582"/>
      <c r="R28" s="582"/>
      <c r="S28" s="582"/>
      <c r="T28" s="582"/>
      <c r="U28" s="582"/>
      <c r="V28" s="582"/>
      <c r="W28" s="582"/>
      <c r="X28" s="582"/>
      <c r="Y28" s="582"/>
      <c r="Z28" s="582"/>
      <c r="AA28" s="582"/>
      <c r="AB28" s="582"/>
      <c r="AC28" s="582"/>
      <c r="AD28" s="582"/>
      <c r="AE28" s="582"/>
      <c r="AF28" s="585"/>
    </row>
    <row r="29">
      <c r="A29" s="620" t="s">
        <v>556</v>
      </c>
      <c r="B29" s="621"/>
      <c r="C29" s="621"/>
      <c r="D29" s="621"/>
      <c r="E29" s="621"/>
      <c r="F29" s="621"/>
      <c r="G29" s="621"/>
      <c r="H29" s="621"/>
      <c r="I29" s="621"/>
      <c r="J29" s="621"/>
      <c r="K29" s="621"/>
      <c r="L29" s="621"/>
      <c r="M29" s="621"/>
      <c r="N29" s="621"/>
      <c r="O29" s="621"/>
      <c r="P29" s="621"/>
      <c r="Q29" s="621"/>
      <c r="R29" s="621"/>
      <c r="S29" s="621"/>
      <c r="T29" s="621"/>
      <c r="U29" s="621"/>
      <c r="V29" s="621"/>
      <c r="W29" s="621"/>
      <c r="X29" s="621"/>
      <c r="Y29" s="621"/>
      <c r="Z29" s="621"/>
      <c r="AA29" s="621"/>
      <c r="AB29" s="621"/>
      <c r="AC29" s="621"/>
      <c r="AD29" s="621"/>
      <c r="AE29" s="621"/>
      <c r="AF29" s="585"/>
    </row>
    <row r="30">
      <c r="A30" s="20"/>
      <c r="B30" s="582"/>
      <c r="C30" s="582"/>
      <c r="D30" s="582"/>
      <c r="E30" s="582"/>
      <c r="F30" s="582"/>
      <c r="G30" s="582"/>
      <c r="H30" s="582"/>
      <c r="I30" s="582"/>
      <c r="J30" s="582"/>
      <c r="K30" s="582"/>
      <c r="L30" s="582"/>
      <c r="M30" s="582"/>
      <c r="N30" s="582"/>
      <c r="O30" s="582"/>
      <c r="P30" s="582"/>
      <c r="Q30" s="582"/>
      <c r="R30" s="582"/>
      <c r="S30" s="582"/>
      <c r="T30" s="582"/>
      <c r="U30" s="582"/>
      <c r="V30" s="582"/>
      <c r="W30" s="582"/>
      <c r="X30" s="582"/>
      <c r="Y30" s="582"/>
      <c r="Z30" s="582"/>
      <c r="AA30" s="582"/>
      <c r="AB30" s="582"/>
      <c r="AC30" s="582"/>
      <c r="AD30" s="582"/>
      <c r="AE30" s="582"/>
      <c r="AF30" s="585"/>
    </row>
    <row r="31">
      <c r="A31" s="73" t="s">
        <v>557</v>
      </c>
      <c r="B31" s="622"/>
      <c r="C31" s="622"/>
      <c r="D31" s="622"/>
      <c r="E31" s="622"/>
      <c r="F31" s="622"/>
      <c r="G31" s="622"/>
      <c r="H31" s="622"/>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5"/>
    </row>
    <row r="32">
      <c r="A32" s="116" t="s">
        <v>558</v>
      </c>
      <c r="B32" s="623"/>
      <c r="C32" s="623"/>
      <c r="D32" s="623"/>
      <c r="E32" s="623"/>
      <c r="F32" s="623"/>
      <c r="G32" s="623"/>
      <c r="H32" s="623"/>
      <c r="I32" s="623"/>
      <c r="J32" s="623"/>
      <c r="K32" s="623"/>
      <c r="L32" s="623"/>
      <c r="M32" s="623"/>
      <c r="N32" s="623"/>
      <c r="O32" s="623"/>
      <c r="P32" s="623"/>
      <c r="Q32" s="623"/>
      <c r="R32" s="623"/>
      <c r="S32" s="623"/>
      <c r="T32" s="623"/>
      <c r="U32" s="623"/>
      <c r="V32" s="623"/>
      <c r="W32" s="623"/>
      <c r="X32" s="623"/>
      <c r="Y32" s="623"/>
      <c r="Z32" s="623"/>
      <c r="AA32" s="623"/>
      <c r="AB32" s="623"/>
      <c r="AC32" s="623"/>
      <c r="AD32" s="623"/>
      <c r="AE32" s="623"/>
      <c r="AF32" s="599">
        <f t="shared" ref="AF32:AF37" si="6">SUM(B32:AE32)</f>
        <v>0</v>
      </c>
    </row>
    <row r="33">
      <c r="A33" s="116" t="s">
        <v>560</v>
      </c>
      <c r="B33" s="623"/>
      <c r="C33" s="623"/>
      <c r="D33" s="623"/>
      <c r="E33" s="623"/>
      <c r="F33" s="623"/>
      <c r="G33" s="623"/>
      <c r="H33" s="623"/>
      <c r="I33" s="623"/>
      <c r="J33" s="623"/>
      <c r="K33" s="623"/>
      <c r="L33" s="623"/>
      <c r="M33" s="623"/>
      <c r="N33" s="623"/>
      <c r="O33" s="623"/>
      <c r="P33" s="623"/>
      <c r="Q33" s="623"/>
      <c r="R33" s="623"/>
      <c r="S33" s="623"/>
      <c r="T33" s="623"/>
      <c r="U33" s="623"/>
      <c r="V33" s="623"/>
      <c r="W33" s="623"/>
      <c r="X33" s="623"/>
      <c r="Y33" s="623"/>
      <c r="Z33" s="623"/>
      <c r="AA33" s="623"/>
      <c r="AB33" s="623"/>
      <c r="AC33" s="623"/>
      <c r="AD33" s="623"/>
      <c r="AE33" s="623"/>
      <c r="AF33" s="599">
        <f t="shared" si="6"/>
        <v>0</v>
      </c>
    </row>
    <row r="34">
      <c r="A34" s="116" t="s">
        <v>561</v>
      </c>
      <c r="B34" s="597"/>
      <c r="C34" s="597"/>
      <c r="D34" s="597"/>
      <c r="E34" s="597"/>
      <c r="F34" s="597"/>
      <c r="G34" s="597"/>
      <c r="H34" s="597"/>
      <c r="I34" s="597"/>
      <c r="J34" s="597"/>
      <c r="K34" s="597"/>
      <c r="L34" s="597"/>
      <c r="M34" s="597"/>
      <c r="N34" s="597"/>
      <c r="O34" s="623"/>
      <c r="P34" s="623"/>
      <c r="Q34" s="623"/>
      <c r="R34" s="623"/>
      <c r="S34" s="623"/>
      <c r="T34" s="623"/>
      <c r="U34" s="623"/>
      <c r="V34" s="623"/>
      <c r="W34" s="623"/>
      <c r="X34" s="623"/>
      <c r="Y34" s="623"/>
      <c r="Z34" s="623"/>
      <c r="AA34" s="623"/>
      <c r="AB34" s="623"/>
      <c r="AC34" s="623"/>
      <c r="AD34" s="623"/>
      <c r="AE34" s="623"/>
      <c r="AF34" s="599">
        <f t="shared" si="6"/>
        <v>0</v>
      </c>
    </row>
    <row r="35">
      <c r="A35" s="116" t="s">
        <v>563</v>
      </c>
      <c r="B35" s="597"/>
      <c r="C35" s="597"/>
      <c r="D35" s="597"/>
      <c r="E35" s="597"/>
      <c r="F35" s="597"/>
      <c r="G35" s="597"/>
      <c r="H35" s="597"/>
      <c r="I35" s="597"/>
      <c r="J35" s="597"/>
      <c r="K35" s="597"/>
      <c r="L35" s="597"/>
      <c r="M35" s="597"/>
      <c r="N35" s="597"/>
      <c r="O35" s="623"/>
      <c r="P35" s="623"/>
      <c r="Q35" s="623"/>
      <c r="R35" s="623"/>
      <c r="S35" s="623"/>
      <c r="T35" s="623"/>
      <c r="U35" s="623"/>
      <c r="V35" s="623"/>
      <c r="W35" s="623"/>
      <c r="X35" s="623"/>
      <c r="Y35" s="623"/>
      <c r="Z35" s="623"/>
      <c r="AA35" s="623"/>
      <c r="AB35" s="623"/>
      <c r="AC35" s="623"/>
      <c r="AD35" s="623"/>
      <c r="AE35" s="623"/>
      <c r="AF35" s="599">
        <f t="shared" si="6"/>
        <v>0</v>
      </c>
    </row>
    <row r="36">
      <c r="A36" s="271" t="s">
        <v>261</v>
      </c>
      <c r="B36" s="317">
        <f t="shared" ref="B36:AE36" si="7">SUM(B32:B33)</f>
        <v>0</v>
      </c>
      <c r="C36" s="317">
        <f t="shared" si="7"/>
        <v>0</v>
      </c>
      <c r="D36" s="317">
        <f t="shared" si="7"/>
        <v>0</v>
      </c>
      <c r="E36" s="317">
        <f t="shared" si="7"/>
        <v>0</v>
      </c>
      <c r="F36" s="317">
        <f t="shared" si="7"/>
        <v>0</v>
      </c>
      <c r="G36" s="317">
        <f t="shared" si="7"/>
        <v>0</v>
      </c>
      <c r="H36" s="317">
        <f t="shared" si="7"/>
        <v>0</v>
      </c>
      <c r="I36" s="317">
        <f t="shared" si="7"/>
        <v>0</v>
      </c>
      <c r="J36" s="317">
        <f t="shared" si="7"/>
        <v>0</v>
      </c>
      <c r="K36" s="317">
        <f t="shared" si="7"/>
        <v>0</v>
      </c>
      <c r="L36" s="317">
        <f t="shared" si="7"/>
        <v>0</v>
      </c>
      <c r="M36" s="317">
        <f t="shared" si="7"/>
        <v>0</v>
      </c>
      <c r="N36" s="317">
        <f t="shared" si="7"/>
        <v>0</v>
      </c>
      <c r="O36" s="317">
        <f t="shared" si="7"/>
        <v>0</v>
      </c>
      <c r="P36" s="317">
        <f t="shared" si="7"/>
        <v>0</v>
      </c>
      <c r="Q36" s="317">
        <f t="shared" si="7"/>
        <v>0</v>
      </c>
      <c r="R36" s="317">
        <f t="shared" si="7"/>
        <v>0</v>
      </c>
      <c r="S36" s="317">
        <f t="shared" si="7"/>
        <v>0</v>
      </c>
      <c r="T36" s="317">
        <f t="shared" si="7"/>
        <v>0</v>
      </c>
      <c r="U36" s="317">
        <f t="shared" si="7"/>
        <v>0</v>
      </c>
      <c r="V36" s="317">
        <f t="shared" si="7"/>
        <v>0</v>
      </c>
      <c r="W36" s="317">
        <f t="shared" si="7"/>
        <v>0</v>
      </c>
      <c r="X36" s="317">
        <f t="shared" si="7"/>
        <v>0</v>
      </c>
      <c r="Y36" s="317">
        <f t="shared" si="7"/>
        <v>0</v>
      </c>
      <c r="Z36" s="317">
        <f t="shared" si="7"/>
        <v>0</v>
      </c>
      <c r="AA36" s="317">
        <f t="shared" si="7"/>
        <v>0</v>
      </c>
      <c r="AB36" s="317">
        <f t="shared" si="7"/>
        <v>0</v>
      </c>
      <c r="AC36" s="317">
        <f t="shared" si="7"/>
        <v>0</v>
      </c>
      <c r="AD36" s="317">
        <f t="shared" si="7"/>
        <v>0</v>
      </c>
      <c r="AE36" s="317">
        <f t="shared" si="7"/>
        <v>0</v>
      </c>
      <c r="AF36" s="599">
        <f t="shared" si="6"/>
        <v>0</v>
      </c>
    </row>
    <row r="37">
      <c r="A37" s="271" t="s">
        <v>263</v>
      </c>
      <c r="B37" s="317">
        <f t="shared" ref="B37:AE37" si="8">SUM(B34:B35)</f>
        <v>0</v>
      </c>
      <c r="C37" s="317">
        <f t="shared" si="8"/>
        <v>0</v>
      </c>
      <c r="D37" s="317">
        <f t="shared" si="8"/>
        <v>0</v>
      </c>
      <c r="E37" s="317">
        <f t="shared" si="8"/>
        <v>0</v>
      </c>
      <c r="F37" s="317">
        <f t="shared" si="8"/>
        <v>0</v>
      </c>
      <c r="G37" s="317">
        <f t="shared" si="8"/>
        <v>0</v>
      </c>
      <c r="H37" s="317">
        <f t="shared" si="8"/>
        <v>0</v>
      </c>
      <c r="I37" s="317">
        <f t="shared" si="8"/>
        <v>0</v>
      </c>
      <c r="J37" s="317">
        <f t="shared" si="8"/>
        <v>0</v>
      </c>
      <c r="K37" s="317">
        <f t="shared" si="8"/>
        <v>0</v>
      </c>
      <c r="L37" s="317">
        <f t="shared" si="8"/>
        <v>0</v>
      </c>
      <c r="M37" s="317">
        <f t="shared" si="8"/>
        <v>0</v>
      </c>
      <c r="N37" s="317">
        <f t="shared" si="8"/>
        <v>0</v>
      </c>
      <c r="O37" s="317">
        <f t="shared" si="8"/>
        <v>0</v>
      </c>
      <c r="P37" s="317">
        <f t="shared" si="8"/>
        <v>0</v>
      </c>
      <c r="Q37" s="317">
        <f t="shared" si="8"/>
        <v>0</v>
      </c>
      <c r="R37" s="317">
        <f t="shared" si="8"/>
        <v>0</v>
      </c>
      <c r="S37" s="317">
        <f t="shared" si="8"/>
        <v>0</v>
      </c>
      <c r="T37" s="317">
        <f t="shared" si="8"/>
        <v>0</v>
      </c>
      <c r="U37" s="317">
        <f t="shared" si="8"/>
        <v>0</v>
      </c>
      <c r="V37" s="317">
        <f t="shared" si="8"/>
        <v>0</v>
      </c>
      <c r="W37" s="317">
        <f t="shared" si="8"/>
        <v>0</v>
      </c>
      <c r="X37" s="317">
        <f t="shared" si="8"/>
        <v>0</v>
      </c>
      <c r="Y37" s="317">
        <f t="shared" si="8"/>
        <v>0</v>
      </c>
      <c r="Z37" s="317">
        <f t="shared" si="8"/>
        <v>0</v>
      </c>
      <c r="AA37" s="317">
        <f t="shared" si="8"/>
        <v>0</v>
      </c>
      <c r="AB37" s="317">
        <f t="shared" si="8"/>
        <v>0</v>
      </c>
      <c r="AC37" s="317">
        <f t="shared" si="8"/>
        <v>0</v>
      </c>
      <c r="AD37" s="317">
        <f t="shared" si="8"/>
        <v>0</v>
      </c>
      <c r="AE37" s="317">
        <f t="shared" si="8"/>
        <v>0</v>
      </c>
      <c r="AF37" s="599">
        <f t="shared" si="6"/>
        <v>0</v>
      </c>
    </row>
    <row r="38">
      <c r="A38" s="20"/>
      <c r="B38" s="626"/>
      <c r="C38" s="626"/>
      <c r="D38" s="626"/>
      <c r="E38" s="626"/>
      <c r="F38" s="626"/>
      <c r="G38" s="626"/>
      <c r="H38" s="626"/>
      <c r="I38" s="597"/>
      <c r="J38" s="597"/>
      <c r="K38" s="597"/>
      <c r="L38" s="597"/>
      <c r="M38" s="597"/>
      <c r="N38" s="597"/>
      <c r="O38" s="597"/>
      <c r="P38" s="597"/>
      <c r="Q38" s="597"/>
      <c r="R38" s="597"/>
      <c r="S38" s="597"/>
      <c r="T38" s="597"/>
      <c r="U38" s="597"/>
      <c r="V38" s="597"/>
      <c r="W38" s="597"/>
      <c r="X38" s="597"/>
      <c r="Y38" s="597"/>
      <c r="Z38" s="597"/>
      <c r="AA38" s="597"/>
      <c r="AB38" s="597"/>
      <c r="AC38" s="597"/>
      <c r="AD38" s="597"/>
      <c r="AE38" s="627"/>
      <c r="AF38" s="590"/>
    </row>
    <row r="39">
      <c r="A39" s="116" t="s">
        <v>266</v>
      </c>
      <c r="B39" s="623"/>
      <c r="C39" s="623"/>
      <c r="D39" s="623"/>
      <c r="E39" s="623"/>
      <c r="F39" s="623"/>
      <c r="G39" s="623"/>
      <c r="H39" s="623"/>
      <c r="I39" s="623"/>
      <c r="J39" s="623"/>
      <c r="K39" s="623"/>
      <c r="L39" s="623"/>
      <c r="M39" s="623"/>
      <c r="N39" s="623"/>
      <c r="O39" s="623"/>
      <c r="P39" s="623"/>
      <c r="Q39" s="623"/>
      <c r="R39" s="623"/>
      <c r="S39" s="623"/>
      <c r="T39" s="623"/>
      <c r="U39" s="623"/>
      <c r="V39" s="623"/>
      <c r="W39" s="623"/>
      <c r="X39" s="623"/>
      <c r="Y39" s="623"/>
      <c r="Z39" s="623"/>
      <c r="AA39" s="623"/>
      <c r="AB39" s="623"/>
      <c r="AC39" s="623"/>
      <c r="AD39" s="623"/>
      <c r="AE39" s="623"/>
      <c r="AF39" s="599">
        <f t="shared" ref="AF39:AF47" si="9">SUM(B39:AE39)</f>
        <v>0</v>
      </c>
    </row>
    <row r="40">
      <c r="A40" s="116" t="s">
        <v>267</v>
      </c>
      <c r="B40" s="623"/>
      <c r="C40" s="623"/>
      <c r="D40" s="623"/>
      <c r="E40" s="623"/>
      <c r="F40" s="623"/>
      <c r="G40" s="623"/>
      <c r="H40" s="623"/>
      <c r="I40" s="623"/>
      <c r="J40" s="623"/>
      <c r="K40" s="623"/>
      <c r="L40" s="623"/>
      <c r="M40" s="623"/>
      <c r="N40" s="623"/>
      <c r="O40" s="623"/>
      <c r="P40" s="623"/>
      <c r="Q40" s="623"/>
      <c r="R40" s="623"/>
      <c r="S40" s="623"/>
      <c r="T40" s="623"/>
      <c r="U40" s="623"/>
      <c r="V40" s="623"/>
      <c r="W40" s="623"/>
      <c r="X40" s="623"/>
      <c r="Y40" s="623"/>
      <c r="Z40" s="623"/>
      <c r="AA40" s="623"/>
      <c r="AB40" s="623"/>
      <c r="AC40" s="623"/>
      <c r="AD40" s="623"/>
      <c r="AE40" s="623"/>
      <c r="AF40" s="599">
        <f t="shared" si="9"/>
        <v>0</v>
      </c>
    </row>
    <row r="41">
      <c r="A41" s="116" t="s">
        <v>569</v>
      </c>
      <c r="B41" s="623"/>
      <c r="C41" s="623"/>
      <c r="D41" s="623"/>
      <c r="E41" s="623"/>
      <c r="F41" s="623"/>
      <c r="G41" s="623"/>
      <c r="H41" s="623"/>
      <c r="I41" s="623"/>
      <c r="J41" s="623"/>
      <c r="K41" s="623"/>
      <c r="L41" s="623"/>
      <c r="M41" s="623"/>
      <c r="N41" s="623"/>
      <c r="O41" s="623"/>
      <c r="P41" s="623"/>
      <c r="Q41" s="623"/>
      <c r="R41" s="623"/>
      <c r="S41" s="623"/>
      <c r="T41" s="623"/>
      <c r="U41" s="623"/>
      <c r="V41" s="623"/>
      <c r="W41" s="623"/>
      <c r="X41" s="623"/>
      <c r="Y41" s="623"/>
      <c r="Z41" s="623"/>
      <c r="AA41" s="623"/>
      <c r="AB41" s="623"/>
      <c r="AC41" s="623"/>
      <c r="AD41" s="623"/>
      <c r="AE41" s="623"/>
      <c r="AF41" s="599">
        <f t="shared" si="9"/>
        <v>0</v>
      </c>
    </row>
    <row r="42">
      <c r="A42" s="116" t="s">
        <v>571</v>
      </c>
      <c r="B42" s="623"/>
      <c r="C42" s="623"/>
      <c r="D42" s="623"/>
      <c r="E42" s="623"/>
      <c r="F42" s="623"/>
      <c r="G42" s="623"/>
      <c r="H42" s="623"/>
      <c r="I42" s="623"/>
      <c r="J42" s="623"/>
      <c r="K42" s="623"/>
      <c r="L42" s="623"/>
      <c r="M42" s="623"/>
      <c r="N42" s="623"/>
      <c r="O42" s="623"/>
      <c r="P42" s="623"/>
      <c r="Q42" s="623"/>
      <c r="R42" s="623"/>
      <c r="S42" s="623"/>
      <c r="T42" s="623"/>
      <c r="U42" s="623"/>
      <c r="V42" s="623"/>
      <c r="W42" s="623"/>
      <c r="X42" s="623"/>
      <c r="Y42" s="623"/>
      <c r="Z42" s="623"/>
      <c r="AA42" s="623"/>
      <c r="AB42" s="623"/>
      <c r="AC42" s="623"/>
      <c r="AD42" s="623"/>
      <c r="AE42" s="623"/>
      <c r="AF42" s="599">
        <f t="shared" si="9"/>
        <v>0</v>
      </c>
    </row>
    <row r="43">
      <c r="A43" s="116" t="s">
        <v>572</v>
      </c>
      <c r="B43" s="623"/>
      <c r="C43" s="623"/>
      <c r="D43" s="623"/>
      <c r="E43" s="623"/>
      <c r="F43" s="623"/>
      <c r="G43" s="623"/>
      <c r="H43" s="623"/>
      <c r="I43" s="623"/>
      <c r="J43" s="623"/>
      <c r="K43" s="623"/>
      <c r="L43" s="623"/>
      <c r="M43" s="623"/>
      <c r="N43" s="623"/>
      <c r="O43" s="623"/>
      <c r="P43" s="623"/>
      <c r="Q43" s="623"/>
      <c r="R43" s="623"/>
      <c r="S43" s="623"/>
      <c r="T43" s="623"/>
      <c r="U43" s="623"/>
      <c r="V43" s="623"/>
      <c r="W43" s="623"/>
      <c r="X43" s="623"/>
      <c r="Y43" s="623"/>
      <c r="Z43" s="623"/>
      <c r="AA43" s="623"/>
      <c r="AB43" s="623"/>
      <c r="AC43" s="623"/>
      <c r="AD43" s="623"/>
      <c r="AE43" s="623"/>
      <c r="AF43" s="599">
        <f t="shared" si="9"/>
        <v>0</v>
      </c>
    </row>
    <row r="44">
      <c r="A44" s="116" t="s">
        <v>573</v>
      </c>
      <c r="B44" s="623"/>
      <c r="C44" s="623"/>
      <c r="D44" s="623"/>
      <c r="E44" s="623"/>
      <c r="F44" s="623"/>
      <c r="G44" s="623"/>
      <c r="H44" s="623"/>
      <c r="I44" s="623"/>
      <c r="J44" s="623"/>
      <c r="K44" s="623"/>
      <c r="L44" s="623"/>
      <c r="M44" s="623"/>
      <c r="N44" s="623"/>
      <c r="O44" s="623"/>
      <c r="P44" s="623"/>
      <c r="Q44" s="623"/>
      <c r="R44" s="623"/>
      <c r="S44" s="623"/>
      <c r="T44" s="623"/>
      <c r="U44" s="623"/>
      <c r="V44" s="623"/>
      <c r="W44" s="623"/>
      <c r="X44" s="623"/>
      <c r="Y44" s="623"/>
      <c r="Z44" s="623"/>
      <c r="AA44" s="623"/>
      <c r="AB44" s="623"/>
      <c r="AC44" s="623"/>
      <c r="AD44" s="623"/>
      <c r="AE44" s="623"/>
      <c r="AF44" s="599">
        <f t="shared" si="9"/>
        <v>0</v>
      </c>
    </row>
    <row r="45">
      <c r="A45" s="116" t="s">
        <v>574</v>
      </c>
      <c r="B45" s="623"/>
      <c r="C45" s="623"/>
      <c r="D45" s="623"/>
      <c r="E45" s="623"/>
      <c r="F45" s="623"/>
      <c r="G45" s="623"/>
      <c r="H45" s="623"/>
      <c r="I45" s="623"/>
      <c r="J45" s="623"/>
      <c r="K45" s="623"/>
      <c r="L45" s="623"/>
      <c r="M45" s="623"/>
      <c r="N45" s="623"/>
      <c r="O45" s="623"/>
      <c r="P45" s="623"/>
      <c r="Q45" s="623"/>
      <c r="R45" s="623"/>
      <c r="S45" s="623"/>
      <c r="T45" s="623"/>
      <c r="U45" s="623"/>
      <c r="V45" s="623"/>
      <c r="W45" s="623"/>
      <c r="X45" s="623"/>
      <c r="Y45" s="623"/>
      <c r="Z45" s="623"/>
      <c r="AA45" s="623"/>
      <c r="AB45" s="623"/>
      <c r="AC45" s="623"/>
      <c r="AD45" s="623"/>
      <c r="AE45" s="623"/>
      <c r="AF45" s="599">
        <f t="shared" si="9"/>
        <v>0</v>
      </c>
    </row>
    <row r="46">
      <c r="A46" s="116" t="s">
        <v>575</v>
      </c>
      <c r="B46" s="623"/>
      <c r="C46" s="623"/>
      <c r="D46" s="623"/>
      <c r="E46" s="623"/>
      <c r="F46" s="623"/>
      <c r="G46" s="623"/>
      <c r="H46" s="623"/>
      <c r="I46" s="623"/>
      <c r="J46" s="623"/>
      <c r="K46" s="623"/>
      <c r="L46" s="623"/>
      <c r="M46" s="623"/>
      <c r="N46" s="623"/>
      <c r="O46" s="623"/>
      <c r="P46" s="623"/>
      <c r="Q46" s="623"/>
      <c r="R46" s="623"/>
      <c r="S46" s="623"/>
      <c r="T46" s="623"/>
      <c r="U46" s="623"/>
      <c r="V46" s="623"/>
      <c r="W46" s="623"/>
      <c r="X46" s="623"/>
      <c r="Y46" s="623"/>
      <c r="Z46" s="623"/>
      <c r="AA46" s="623"/>
      <c r="AB46" s="623"/>
      <c r="AC46" s="623"/>
      <c r="AD46" s="623"/>
      <c r="AE46" s="623"/>
      <c r="AF46" s="599">
        <f t="shared" si="9"/>
        <v>0</v>
      </c>
    </row>
    <row r="47">
      <c r="A47" s="271" t="s">
        <v>159</v>
      </c>
      <c r="B47" s="317">
        <f t="shared" ref="B47:AE47" si="10">SUM(B39:B46)</f>
        <v>0</v>
      </c>
      <c r="C47" s="317">
        <f t="shared" si="10"/>
        <v>0</v>
      </c>
      <c r="D47" s="317">
        <f t="shared" si="10"/>
        <v>0</v>
      </c>
      <c r="E47" s="317">
        <f t="shared" si="10"/>
        <v>0</v>
      </c>
      <c r="F47" s="317">
        <f t="shared" si="10"/>
        <v>0</v>
      </c>
      <c r="G47" s="317">
        <f t="shared" si="10"/>
        <v>0</v>
      </c>
      <c r="H47" s="317">
        <f t="shared" si="10"/>
        <v>0</v>
      </c>
      <c r="I47" s="317">
        <f t="shared" si="10"/>
        <v>0</v>
      </c>
      <c r="J47" s="317">
        <f t="shared" si="10"/>
        <v>0</v>
      </c>
      <c r="K47" s="317">
        <f t="shared" si="10"/>
        <v>0</v>
      </c>
      <c r="L47" s="317">
        <f t="shared" si="10"/>
        <v>0</v>
      </c>
      <c r="M47" s="317">
        <f t="shared" si="10"/>
        <v>0</v>
      </c>
      <c r="N47" s="317">
        <f t="shared" si="10"/>
        <v>0</v>
      </c>
      <c r="O47" s="317">
        <f t="shared" si="10"/>
        <v>0</v>
      </c>
      <c r="P47" s="317">
        <f t="shared" si="10"/>
        <v>0</v>
      </c>
      <c r="Q47" s="317">
        <f t="shared" si="10"/>
        <v>0</v>
      </c>
      <c r="R47" s="317">
        <f t="shared" si="10"/>
        <v>0</v>
      </c>
      <c r="S47" s="317">
        <f t="shared" si="10"/>
        <v>0</v>
      </c>
      <c r="T47" s="317">
        <f t="shared" si="10"/>
        <v>0</v>
      </c>
      <c r="U47" s="317">
        <f t="shared" si="10"/>
        <v>0</v>
      </c>
      <c r="V47" s="317">
        <f t="shared" si="10"/>
        <v>0</v>
      </c>
      <c r="W47" s="317">
        <f t="shared" si="10"/>
        <v>0</v>
      </c>
      <c r="X47" s="317">
        <f t="shared" si="10"/>
        <v>0</v>
      </c>
      <c r="Y47" s="317">
        <f t="shared" si="10"/>
        <v>0</v>
      </c>
      <c r="Z47" s="317">
        <f t="shared" si="10"/>
        <v>0</v>
      </c>
      <c r="AA47" s="317">
        <f t="shared" si="10"/>
        <v>0</v>
      </c>
      <c r="AB47" s="317">
        <f t="shared" si="10"/>
        <v>0</v>
      </c>
      <c r="AC47" s="317">
        <f t="shared" si="10"/>
        <v>0</v>
      </c>
      <c r="AD47" s="317">
        <f t="shared" si="10"/>
        <v>0</v>
      </c>
      <c r="AE47" s="317">
        <f t="shared" si="10"/>
        <v>0</v>
      </c>
      <c r="AF47" s="599">
        <f t="shared" si="9"/>
        <v>0</v>
      </c>
    </row>
    <row r="48">
      <c r="A48" s="20"/>
      <c r="B48" s="651"/>
      <c r="C48" s="651"/>
      <c r="D48" s="651"/>
      <c r="E48" s="651"/>
      <c r="F48" s="651"/>
      <c r="G48" s="651"/>
      <c r="H48" s="651"/>
      <c r="I48" s="582"/>
      <c r="J48" s="582"/>
      <c r="K48" s="582"/>
      <c r="L48" s="582"/>
      <c r="M48" s="582"/>
      <c r="N48" s="582"/>
      <c r="O48" s="582"/>
      <c r="P48" s="582"/>
      <c r="Q48" s="582"/>
      <c r="R48" s="582"/>
      <c r="S48" s="582"/>
      <c r="T48" s="582"/>
      <c r="U48" s="582"/>
      <c r="V48" s="582"/>
      <c r="W48" s="582"/>
      <c r="X48" s="582"/>
      <c r="Y48" s="582"/>
      <c r="Z48" s="582"/>
      <c r="AA48" s="582"/>
      <c r="AB48" s="582"/>
      <c r="AC48" s="582"/>
      <c r="AD48" s="582"/>
      <c r="AE48" s="167"/>
      <c r="AF48" s="590"/>
    </row>
    <row r="49">
      <c r="A49" s="73" t="s">
        <v>578</v>
      </c>
      <c r="B49" s="651"/>
      <c r="C49" s="651"/>
      <c r="D49" s="651"/>
      <c r="E49" s="651"/>
      <c r="F49" s="651"/>
      <c r="G49" s="580"/>
      <c r="H49" s="651"/>
      <c r="I49" s="582"/>
      <c r="J49" s="582"/>
      <c r="K49" s="582"/>
      <c r="L49" s="582"/>
      <c r="M49" s="582"/>
      <c r="N49" s="582"/>
      <c r="O49" s="582"/>
      <c r="P49" s="582"/>
      <c r="Q49" s="582"/>
      <c r="R49" s="582"/>
      <c r="S49" s="582"/>
      <c r="T49" s="582"/>
      <c r="U49" s="582"/>
      <c r="V49" s="582"/>
      <c r="W49" s="582"/>
      <c r="X49" s="582"/>
      <c r="Y49" s="582"/>
      <c r="Z49" s="582"/>
      <c r="AA49" s="582"/>
      <c r="AB49" s="582"/>
      <c r="AC49" s="582"/>
      <c r="AD49" s="582"/>
      <c r="AE49" s="582"/>
      <c r="AF49" s="585"/>
    </row>
    <row r="50">
      <c r="A50" s="116" t="s">
        <v>579</v>
      </c>
      <c r="B50" s="665"/>
      <c r="C50" s="665"/>
      <c r="D50" s="665"/>
      <c r="E50" s="665"/>
      <c r="F50" s="665"/>
      <c r="G50" s="665"/>
      <c r="H50" s="665"/>
      <c r="I50" s="665"/>
      <c r="J50" s="665"/>
      <c r="K50" s="665"/>
      <c r="L50" s="665"/>
      <c r="M50" s="665"/>
      <c r="N50" s="665"/>
      <c r="O50" s="665"/>
      <c r="P50" s="665"/>
      <c r="Q50" s="665"/>
      <c r="R50" s="665"/>
      <c r="S50" s="665"/>
      <c r="T50" s="665"/>
      <c r="U50" s="665"/>
      <c r="V50" s="665"/>
      <c r="W50" s="665"/>
      <c r="X50" s="665"/>
      <c r="Y50" s="623"/>
      <c r="Z50" s="665"/>
      <c r="AA50" s="665"/>
      <c r="AB50" s="665"/>
      <c r="AC50" s="665"/>
      <c r="AD50" s="665"/>
      <c r="AE50" s="665"/>
      <c r="AF50" s="591">
        <f t="shared" ref="AF50:AF53" si="11">SUM(B50:AE50)</f>
        <v>0</v>
      </c>
    </row>
    <row r="51">
      <c r="A51" s="116" t="s">
        <v>129</v>
      </c>
      <c r="B51" s="681"/>
      <c r="C51" s="681"/>
      <c r="D51" s="681"/>
      <c r="E51" s="681"/>
      <c r="F51" s="681"/>
      <c r="G51" s="681"/>
      <c r="H51" s="681"/>
      <c r="I51" s="681"/>
      <c r="J51" s="681"/>
      <c r="K51" s="681"/>
      <c r="L51" s="681"/>
      <c r="M51" s="681"/>
      <c r="N51" s="681"/>
      <c r="O51" s="681"/>
      <c r="P51" s="681"/>
      <c r="Q51" s="681"/>
      <c r="R51" s="681"/>
      <c r="S51" s="681"/>
      <c r="T51" s="681"/>
      <c r="U51" s="681"/>
      <c r="V51" s="681"/>
      <c r="W51" s="681"/>
      <c r="X51" s="681"/>
      <c r="Y51" s="681"/>
      <c r="Z51" s="681"/>
      <c r="AA51" s="681"/>
      <c r="AB51" s="681"/>
      <c r="AC51" s="681"/>
      <c r="AD51" s="681"/>
      <c r="AE51" s="681"/>
      <c r="AF51" s="591">
        <f t="shared" si="11"/>
        <v>0</v>
      </c>
    </row>
    <row r="52">
      <c r="A52" s="116" t="s">
        <v>580</v>
      </c>
      <c r="B52" s="681"/>
      <c r="C52" s="681"/>
      <c r="D52" s="681"/>
      <c r="E52" s="681"/>
      <c r="F52" s="681"/>
      <c r="G52" s="681"/>
      <c r="H52" s="681"/>
      <c r="I52" s="681"/>
      <c r="J52" s="681"/>
      <c r="K52" s="681"/>
      <c r="L52" s="681"/>
      <c r="M52" s="681"/>
      <c r="N52" s="681"/>
      <c r="O52" s="681"/>
      <c r="P52" s="681"/>
      <c r="Q52" s="681"/>
      <c r="R52" s="681"/>
      <c r="S52" s="681"/>
      <c r="T52" s="681"/>
      <c r="U52" s="681"/>
      <c r="V52" s="681"/>
      <c r="W52" s="681"/>
      <c r="X52" s="681"/>
      <c r="Y52" s="681"/>
      <c r="Z52" s="681"/>
      <c r="AA52" s="681"/>
      <c r="AB52" s="681"/>
      <c r="AC52" s="681"/>
      <c r="AD52" s="681"/>
      <c r="AE52" s="681"/>
      <c r="AF52" s="591">
        <f t="shared" si="11"/>
        <v>0</v>
      </c>
    </row>
    <row r="53">
      <c r="A53" s="410" t="s">
        <v>581</v>
      </c>
      <c r="B53" s="411">
        <f t="shared" ref="B53:AE53" si="12">SUM(B50:B52)</f>
        <v>0</v>
      </c>
      <c r="C53" s="411">
        <f t="shared" si="12"/>
        <v>0</v>
      </c>
      <c r="D53" s="411">
        <f t="shared" si="12"/>
        <v>0</v>
      </c>
      <c r="E53" s="411">
        <f t="shared" si="12"/>
        <v>0</v>
      </c>
      <c r="F53" s="411">
        <f t="shared" si="12"/>
        <v>0</v>
      </c>
      <c r="G53" s="411">
        <f t="shared" si="12"/>
        <v>0</v>
      </c>
      <c r="H53" s="411">
        <f t="shared" si="12"/>
        <v>0</v>
      </c>
      <c r="I53" s="411">
        <f t="shared" si="12"/>
        <v>0</v>
      </c>
      <c r="J53" s="411">
        <f t="shared" si="12"/>
        <v>0</v>
      </c>
      <c r="K53" s="411">
        <f t="shared" si="12"/>
        <v>0</v>
      </c>
      <c r="L53" s="411">
        <f t="shared" si="12"/>
        <v>0</v>
      </c>
      <c r="M53" s="411">
        <f t="shared" si="12"/>
        <v>0</v>
      </c>
      <c r="N53" s="411">
        <f t="shared" si="12"/>
        <v>0</v>
      </c>
      <c r="O53" s="411">
        <f t="shared" si="12"/>
        <v>0</v>
      </c>
      <c r="P53" s="411">
        <f t="shared" si="12"/>
        <v>0</v>
      </c>
      <c r="Q53" s="411">
        <f t="shared" si="12"/>
        <v>0</v>
      </c>
      <c r="R53" s="411">
        <f t="shared" si="12"/>
        <v>0</v>
      </c>
      <c r="S53" s="411">
        <f t="shared" si="12"/>
        <v>0</v>
      </c>
      <c r="T53" s="411">
        <f t="shared" si="12"/>
        <v>0</v>
      </c>
      <c r="U53" s="411">
        <f t="shared" si="12"/>
        <v>0</v>
      </c>
      <c r="V53" s="411">
        <f t="shared" si="12"/>
        <v>0</v>
      </c>
      <c r="W53" s="411">
        <f t="shared" si="12"/>
        <v>0</v>
      </c>
      <c r="X53" s="411">
        <f t="shared" si="12"/>
        <v>0</v>
      </c>
      <c r="Y53" s="411">
        <f t="shared" si="12"/>
        <v>0</v>
      </c>
      <c r="Z53" s="411">
        <f t="shared" si="12"/>
        <v>0</v>
      </c>
      <c r="AA53" s="411">
        <f t="shared" si="12"/>
        <v>0</v>
      </c>
      <c r="AB53" s="411">
        <f t="shared" si="12"/>
        <v>0</v>
      </c>
      <c r="AC53" s="411">
        <f t="shared" si="12"/>
        <v>0</v>
      </c>
      <c r="AD53" s="411">
        <f t="shared" si="12"/>
        <v>0</v>
      </c>
      <c r="AE53" s="411">
        <f t="shared" si="12"/>
        <v>0</v>
      </c>
      <c r="AF53" s="591">
        <f t="shared" si="11"/>
        <v>0</v>
      </c>
    </row>
    <row r="54">
      <c r="A54" s="682"/>
      <c r="B54" s="683"/>
      <c r="C54" s="683"/>
      <c r="D54" s="683"/>
      <c r="E54" s="683"/>
      <c r="F54" s="683"/>
      <c r="G54" s="683"/>
      <c r="H54" s="683"/>
      <c r="I54" s="601"/>
      <c r="J54" s="601"/>
      <c r="K54" s="601"/>
      <c r="L54" s="601"/>
      <c r="M54" s="601"/>
      <c r="N54" s="601"/>
      <c r="O54" s="601"/>
      <c r="P54" s="601"/>
      <c r="Q54" s="601"/>
      <c r="R54" s="601"/>
      <c r="S54" s="601"/>
      <c r="T54" s="601"/>
      <c r="U54" s="601"/>
      <c r="V54" s="601"/>
      <c r="W54" s="601"/>
      <c r="X54" s="601"/>
      <c r="Y54" s="601"/>
      <c r="Z54" s="601"/>
      <c r="AA54" s="601"/>
      <c r="AB54" s="601"/>
      <c r="AC54" s="601"/>
      <c r="AD54" s="601"/>
      <c r="AE54" s="684"/>
      <c r="AF54" s="685"/>
    </row>
    <row r="55">
      <c r="A55" s="116" t="s">
        <v>468</v>
      </c>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1">
        <f t="shared" ref="AF55:AF57" si="13">SUM(B55:AE55)</f>
        <v>0</v>
      </c>
    </row>
    <row r="56">
      <c r="A56" s="686" t="s">
        <v>470</v>
      </c>
      <c r="B56" s="687"/>
      <c r="C56" s="687"/>
      <c r="D56" s="687"/>
      <c r="E56" s="687"/>
      <c r="F56" s="687"/>
      <c r="G56" s="687"/>
      <c r="H56" s="687"/>
      <c r="I56" s="687"/>
      <c r="J56" s="687"/>
      <c r="K56" s="687"/>
      <c r="L56" s="687"/>
      <c r="M56" s="687"/>
      <c r="N56" s="687"/>
      <c r="O56" s="687"/>
      <c r="P56" s="687"/>
      <c r="Q56" s="687"/>
      <c r="R56" s="687"/>
      <c r="S56" s="687"/>
      <c r="T56" s="687"/>
      <c r="U56" s="687"/>
      <c r="V56" s="687"/>
      <c r="W56" s="687"/>
      <c r="X56" s="687"/>
      <c r="Y56" s="687"/>
      <c r="Z56" s="687"/>
      <c r="AA56" s="687"/>
      <c r="AB56" s="687"/>
      <c r="AC56" s="687"/>
      <c r="AD56" s="687"/>
      <c r="AE56" s="687"/>
      <c r="AF56" s="591">
        <f t="shared" si="13"/>
        <v>0</v>
      </c>
    </row>
    <row r="57">
      <c r="A57" s="688" t="s">
        <v>583</v>
      </c>
      <c r="B57" s="689">
        <f t="shared" ref="B57:AE57" si="14">sum(B55:B56)</f>
        <v>0</v>
      </c>
      <c r="C57" s="689">
        <f t="shared" si="14"/>
        <v>0</v>
      </c>
      <c r="D57" s="689">
        <f t="shared" si="14"/>
        <v>0</v>
      </c>
      <c r="E57" s="689">
        <f t="shared" si="14"/>
        <v>0</v>
      </c>
      <c r="F57" s="689">
        <f t="shared" si="14"/>
        <v>0</v>
      </c>
      <c r="G57" s="689">
        <f t="shared" si="14"/>
        <v>0</v>
      </c>
      <c r="H57" s="689">
        <f t="shared" si="14"/>
        <v>0</v>
      </c>
      <c r="I57" s="689">
        <f t="shared" si="14"/>
        <v>0</v>
      </c>
      <c r="J57" s="689">
        <f t="shared" si="14"/>
        <v>0</v>
      </c>
      <c r="K57" s="689">
        <f t="shared" si="14"/>
        <v>0</v>
      </c>
      <c r="L57" s="689">
        <f t="shared" si="14"/>
        <v>0</v>
      </c>
      <c r="M57" s="689">
        <f t="shared" si="14"/>
        <v>0</v>
      </c>
      <c r="N57" s="689">
        <f t="shared" si="14"/>
        <v>0</v>
      </c>
      <c r="O57" s="689">
        <f t="shared" si="14"/>
        <v>0</v>
      </c>
      <c r="P57" s="689">
        <f t="shared" si="14"/>
        <v>0</v>
      </c>
      <c r="Q57" s="689">
        <f t="shared" si="14"/>
        <v>0</v>
      </c>
      <c r="R57" s="689">
        <f t="shared" si="14"/>
        <v>0</v>
      </c>
      <c r="S57" s="689">
        <f t="shared" si="14"/>
        <v>0</v>
      </c>
      <c r="T57" s="689">
        <f t="shared" si="14"/>
        <v>0</v>
      </c>
      <c r="U57" s="689">
        <f t="shared" si="14"/>
        <v>0</v>
      </c>
      <c r="V57" s="689">
        <f t="shared" si="14"/>
        <v>0</v>
      </c>
      <c r="W57" s="689">
        <f t="shared" si="14"/>
        <v>0</v>
      </c>
      <c r="X57" s="689">
        <f t="shared" si="14"/>
        <v>0</v>
      </c>
      <c r="Y57" s="689">
        <f t="shared" si="14"/>
        <v>0</v>
      </c>
      <c r="Z57" s="689">
        <f t="shared" si="14"/>
        <v>0</v>
      </c>
      <c r="AA57" s="689">
        <f t="shared" si="14"/>
        <v>0</v>
      </c>
      <c r="AB57" s="689">
        <f t="shared" si="14"/>
        <v>0</v>
      </c>
      <c r="AC57" s="689">
        <f t="shared" si="14"/>
        <v>0</v>
      </c>
      <c r="AD57" s="689">
        <f t="shared" si="14"/>
        <v>0</v>
      </c>
      <c r="AE57" s="689">
        <f t="shared" si="14"/>
        <v>0</v>
      </c>
      <c r="AF57" s="591">
        <f t="shared" si="13"/>
        <v>0</v>
      </c>
    </row>
    <row r="58">
      <c r="A58" s="20"/>
      <c r="B58" s="651"/>
      <c r="C58" s="651"/>
      <c r="D58" s="651"/>
      <c r="E58" s="651"/>
      <c r="F58" s="651"/>
      <c r="G58" s="651"/>
      <c r="H58" s="651"/>
      <c r="I58" s="582"/>
      <c r="J58" s="582"/>
      <c r="K58" s="582"/>
      <c r="L58" s="582"/>
      <c r="M58" s="582"/>
      <c r="N58" s="582"/>
      <c r="O58" s="582"/>
      <c r="P58" s="582"/>
      <c r="Q58" s="582"/>
      <c r="R58" s="582"/>
      <c r="S58" s="582"/>
      <c r="T58" s="582"/>
      <c r="U58" s="582"/>
      <c r="V58" s="582"/>
      <c r="W58" s="582"/>
      <c r="X58" s="582"/>
      <c r="Y58" s="582"/>
      <c r="Z58" s="582"/>
      <c r="AA58" s="582"/>
      <c r="AB58" s="582"/>
      <c r="AC58" s="582"/>
      <c r="AD58" s="582"/>
      <c r="AE58" s="167"/>
      <c r="AF58" s="590"/>
    </row>
    <row r="59">
      <c r="A59" s="73" t="s">
        <v>584</v>
      </c>
      <c r="B59" s="588"/>
      <c r="C59" s="588"/>
      <c r="D59" s="588"/>
      <c r="E59" s="588"/>
      <c r="F59" s="588"/>
      <c r="G59" s="588"/>
      <c r="H59" s="588"/>
      <c r="I59" s="588"/>
      <c r="J59" s="588"/>
      <c r="K59" s="588"/>
      <c r="L59" s="588"/>
      <c r="M59" s="588"/>
      <c r="N59" s="588"/>
      <c r="O59" s="588"/>
      <c r="P59" s="588"/>
      <c r="Q59" s="588"/>
      <c r="R59" s="588"/>
      <c r="S59" s="588"/>
      <c r="T59" s="588"/>
      <c r="U59" s="588"/>
      <c r="V59" s="588"/>
      <c r="W59" s="588"/>
      <c r="X59" s="588"/>
      <c r="Y59" s="588"/>
      <c r="Z59" s="588"/>
      <c r="AA59" s="588"/>
      <c r="AB59" s="588"/>
      <c r="AC59" s="588"/>
      <c r="AD59" s="690"/>
      <c r="AE59" s="588"/>
      <c r="AF59" s="590"/>
    </row>
    <row r="60">
      <c r="A60" s="116" t="s">
        <v>585</v>
      </c>
      <c r="B60" s="623"/>
      <c r="C60" s="623"/>
      <c r="D60" s="623"/>
      <c r="E60" s="623"/>
      <c r="F60" s="623"/>
      <c r="G60" s="623"/>
      <c r="H60" s="623"/>
      <c r="I60" s="623"/>
      <c r="J60" s="623"/>
      <c r="K60" s="623"/>
      <c r="L60" s="623"/>
      <c r="M60" s="623"/>
      <c r="N60" s="623"/>
      <c r="O60" s="623"/>
      <c r="P60" s="623"/>
      <c r="Q60" s="623"/>
      <c r="R60" s="623"/>
      <c r="S60" s="623"/>
      <c r="T60" s="623"/>
      <c r="U60" s="623"/>
      <c r="V60" s="623"/>
      <c r="W60" s="623"/>
      <c r="X60" s="623"/>
      <c r="Y60" s="623"/>
      <c r="Z60" s="623"/>
      <c r="AA60" s="623"/>
      <c r="AB60" s="623"/>
      <c r="AC60" s="623"/>
      <c r="AD60" s="623"/>
      <c r="AE60" s="623"/>
      <c r="AF60" s="599">
        <f t="shared" ref="AF60:AF65" si="15">SUM(B60:AE60)</f>
        <v>0</v>
      </c>
    </row>
    <row r="61">
      <c r="A61" s="116" t="s">
        <v>586</v>
      </c>
      <c r="B61" s="623"/>
      <c r="C61" s="623"/>
      <c r="D61" s="623"/>
      <c r="E61" s="623"/>
      <c r="F61" s="623"/>
      <c r="G61" s="623"/>
      <c r="H61" s="623"/>
      <c r="I61" s="623"/>
      <c r="J61" s="623"/>
      <c r="K61" s="623"/>
      <c r="L61" s="623"/>
      <c r="M61" s="623"/>
      <c r="N61" s="623"/>
      <c r="O61" s="623"/>
      <c r="P61" s="623"/>
      <c r="Q61" s="623"/>
      <c r="R61" s="623"/>
      <c r="S61" s="623"/>
      <c r="T61" s="623"/>
      <c r="U61" s="623"/>
      <c r="V61" s="623"/>
      <c r="W61" s="623"/>
      <c r="X61" s="623"/>
      <c r="Y61" s="623"/>
      <c r="Z61" s="623"/>
      <c r="AA61" s="623"/>
      <c r="AB61" s="623"/>
      <c r="AC61" s="623"/>
      <c r="AD61" s="623"/>
      <c r="AE61" s="623"/>
      <c r="AF61" s="599">
        <f t="shared" si="15"/>
        <v>0</v>
      </c>
    </row>
    <row r="62">
      <c r="A62" s="116" t="s">
        <v>587</v>
      </c>
      <c r="B62" s="623"/>
      <c r="C62" s="623"/>
      <c r="D62" s="623"/>
      <c r="E62" s="623"/>
      <c r="F62" s="623"/>
      <c r="G62" s="623"/>
      <c r="H62" s="623"/>
      <c r="I62" s="623"/>
      <c r="J62" s="623"/>
      <c r="K62" s="623"/>
      <c r="L62" s="623"/>
      <c r="M62" s="623"/>
      <c r="N62" s="623"/>
      <c r="O62" s="623"/>
      <c r="P62" s="623"/>
      <c r="Q62" s="623"/>
      <c r="R62" s="623"/>
      <c r="S62" s="623"/>
      <c r="T62" s="623"/>
      <c r="U62" s="623"/>
      <c r="V62" s="623"/>
      <c r="W62" s="623"/>
      <c r="X62" s="623"/>
      <c r="Y62" s="623"/>
      <c r="Z62" s="623"/>
      <c r="AA62" s="623"/>
      <c r="AB62" s="623"/>
      <c r="AC62" s="623"/>
      <c r="AD62" s="623"/>
      <c r="AE62" s="623"/>
      <c r="AF62" s="599">
        <f t="shared" si="15"/>
        <v>0</v>
      </c>
    </row>
    <row r="63">
      <c r="A63" s="116" t="s">
        <v>589</v>
      </c>
      <c r="B63" s="623"/>
      <c r="C63" s="623"/>
      <c r="D63" s="623"/>
      <c r="E63" s="623"/>
      <c r="F63" s="623"/>
      <c r="G63" s="623"/>
      <c r="H63" s="623"/>
      <c r="I63" s="623"/>
      <c r="J63" s="623"/>
      <c r="K63" s="623"/>
      <c r="L63" s="623"/>
      <c r="M63" s="623"/>
      <c r="N63" s="623"/>
      <c r="O63" s="623"/>
      <c r="P63" s="623"/>
      <c r="Q63" s="623"/>
      <c r="R63" s="623"/>
      <c r="S63" s="623"/>
      <c r="T63" s="623"/>
      <c r="U63" s="623"/>
      <c r="V63" s="623"/>
      <c r="W63" s="623"/>
      <c r="X63" s="623"/>
      <c r="Y63" s="623"/>
      <c r="Z63" s="623"/>
      <c r="AA63" s="623"/>
      <c r="AB63" s="623"/>
      <c r="AC63" s="623"/>
      <c r="AD63" s="623"/>
      <c r="AE63" s="623"/>
      <c r="AF63" s="599">
        <f t="shared" si="15"/>
        <v>0</v>
      </c>
    </row>
    <row r="64">
      <c r="A64" s="271" t="s">
        <v>261</v>
      </c>
      <c r="B64" s="317">
        <f t="shared" ref="B64:AE64" si="16">SUM(B60:B61)</f>
        <v>0</v>
      </c>
      <c r="C64" s="317">
        <f t="shared" si="16"/>
        <v>0</v>
      </c>
      <c r="D64" s="317">
        <f t="shared" si="16"/>
        <v>0</v>
      </c>
      <c r="E64" s="317">
        <f t="shared" si="16"/>
        <v>0</v>
      </c>
      <c r="F64" s="317">
        <f t="shared" si="16"/>
        <v>0</v>
      </c>
      <c r="G64" s="317">
        <f t="shared" si="16"/>
        <v>0</v>
      </c>
      <c r="H64" s="317">
        <f t="shared" si="16"/>
        <v>0</v>
      </c>
      <c r="I64" s="317">
        <f t="shared" si="16"/>
        <v>0</v>
      </c>
      <c r="J64" s="317">
        <f t="shared" si="16"/>
        <v>0</v>
      </c>
      <c r="K64" s="317">
        <f t="shared" si="16"/>
        <v>0</v>
      </c>
      <c r="L64" s="317">
        <f t="shared" si="16"/>
        <v>0</v>
      </c>
      <c r="M64" s="317">
        <f t="shared" si="16"/>
        <v>0</v>
      </c>
      <c r="N64" s="317">
        <f t="shared" si="16"/>
        <v>0</v>
      </c>
      <c r="O64" s="317">
        <f t="shared" si="16"/>
        <v>0</v>
      </c>
      <c r="P64" s="317">
        <f t="shared" si="16"/>
        <v>0</v>
      </c>
      <c r="Q64" s="317">
        <f t="shared" si="16"/>
        <v>0</v>
      </c>
      <c r="R64" s="317">
        <f t="shared" si="16"/>
        <v>0</v>
      </c>
      <c r="S64" s="317">
        <f t="shared" si="16"/>
        <v>0</v>
      </c>
      <c r="T64" s="317">
        <f t="shared" si="16"/>
        <v>0</v>
      </c>
      <c r="U64" s="317">
        <f t="shared" si="16"/>
        <v>0</v>
      </c>
      <c r="V64" s="317">
        <f t="shared" si="16"/>
        <v>0</v>
      </c>
      <c r="W64" s="317">
        <f t="shared" si="16"/>
        <v>0</v>
      </c>
      <c r="X64" s="317">
        <f t="shared" si="16"/>
        <v>0</v>
      </c>
      <c r="Y64" s="317">
        <f t="shared" si="16"/>
        <v>0</v>
      </c>
      <c r="Z64" s="317">
        <f t="shared" si="16"/>
        <v>0</v>
      </c>
      <c r="AA64" s="317">
        <f t="shared" si="16"/>
        <v>0</v>
      </c>
      <c r="AB64" s="317">
        <f t="shared" si="16"/>
        <v>0</v>
      </c>
      <c r="AC64" s="317">
        <f t="shared" si="16"/>
        <v>0</v>
      </c>
      <c r="AD64" s="317">
        <f t="shared" si="16"/>
        <v>0</v>
      </c>
      <c r="AE64" s="317">
        <f t="shared" si="16"/>
        <v>0</v>
      </c>
      <c r="AF64" s="599">
        <f t="shared" si="15"/>
        <v>0</v>
      </c>
    </row>
    <row r="65">
      <c r="A65" s="271" t="s">
        <v>263</v>
      </c>
      <c r="B65" s="317">
        <f t="shared" ref="B65:AE65" si="17">SUM(B62:B63)</f>
        <v>0</v>
      </c>
      <c r="C65" s="317">
        <f t="shared" si="17"/>
        <v>0</v>
      </c>
      <c r="D65" s="317">
        <f t="shared" si="17"/>
        <v>0</v>
      </c>
      <c r="E65" s="317">
        <f t="shared" si="17"/>
        <v>0</v>
      </c>
      <c r="F65" s="317">
        <f t="shared" si="17"/>
        <v>0</v>
      </c>
      <c r="G65" s="317">
        <f t="shared" si="17"/>
        <v>0</v>
      </c>
      <c r="H65" s="317">
        <f t="shared" si="17"/>
        <v>0</v>
      </c>
      <c r="I65" s="317">
        <f t="shared" si="17"/>
        <v>0</v>
      </c>
      <c r="J65" s="317">
        <f t="shared" si="17"/>
        <v>0</v>
      </c>
      <c r="K65" s="317">
        <f t="shared" si="17"/>
        <v>0</v>
      </c>
      <c r="L65" s="317">
        <f t="shared" si="17"/>
        <v>0</v>
      </c>
      <c r="M65" s="317">
        <f t="shared" si="17"/>
        <v>0</v>
      </c>
      <c r="N65" s="317">
        <f t="shared" si="17"/>
        <v>0</v>
      </c>
      <c r="O65" s="317">
        <f t="shared" si="17"/>
        <v>0</v>
      </c>
      <c r="P65" s="317">
        <f t="shared" si="17"/>
        <v>0</v>
      </c>
      <c r="Q65" s="317">
        <f t="shared" si="17"/>
        <v>0</v>
      </c>
      <c r="R65" s="317">
        <f t="shared" si="17"/>
        <v>0</v>
      </c>
      <c r="S65" s="317">
        <f t="shared" si="17"/>
        <v>0</v>
      </c>
      <c r="T65" s="317">
        <f t="shared" si="17"/>
        <v>0</v>
      </c>
      <c r="U65" s="317">
        <f t="shared" si="17"/>
        <v>0</v>
      </c>
      <c r="V65" s="317">
        <f t="shared" si="17"/>
        <v>0</v>
      </c>
      <c r="W65" s="317">
        <f t="shared" si="17"/>
        <v>0</v>
      </c>
      <c r="X65" s="317">
        <f t="shared" si="17"/>
        <v>0</v>
      </c>
      <c r="Y65" s="317">
        <f t="shared" si="17"/>
        <v>0</v>
      </c>
      <c r="Z65" s="317">
        <f t="shared" si="17"/>
        <v>0</v>
      </c>
      <c r="AA65" s="317">
        <f t="shared" si="17"/>
        <v>0</v>
      </c>
      <c r="AB65" s="317">
        <f t="shared" si="17"/>
        <v>0</v>
      </c>
      <c r="AC65" s="317">
        <f t="shared" si="17"/>
        <v>0</v>
      </c>
      <c r="AD65" s="317">
        <f t="shared" si="17"/>
        <v>0</v>
      </c>
      <c r="AE65" s="317">
        <f t="shared" si="17"/>
        <v>0</v>
      </c>
      <c r="AF65" s="599">
        <f t="shared" si="15"/>
        <v>0</v>
      </c>
    </row>
    <row r="66">
      <c r="A66" s="20"/>
      <c r="B66" s="582"/>
      <c r="C66" s="582"/>
      <c r="D66" s="582"/>
      <c r="E66" s="582"/>
      <c r="F66" s="582"/>
      <c r="G66" s="582"/>
      <c r="H66" s="582"/>
      <c r="I66" s="582"/>
      <c r="J66" s="582"/>
      <c r="K66" s="582"/>
      <c r="L66" s="582"/>
      <c r="M66" s="582"/>
      <c r="N66" s="582"/>
      <c r="O66" s="582"/>
      <c r="P66" s="582"/>
      <c r="Q66" s="582"/>
      <c r="R66" s="582"/>
      <c r="S66" s="582"/>
      <c r="T66" s="582"/>
      <c r="U66" s="582"/>
      <c r="V66" s="582"/>
      <c r="W66" s="582"/>
      <c r="X66" s="582"/>
      <c r="Y66" s="582"/>
      <c r="Z66" s="582"/>
      <c r="AA66" s="582"/>
      <c r="AB66" s="582"/>
      <c r="AC66" s="582"/>
      <c r="AD66" s="582"/>
      <c r="AE66" s="582"/>
      <c r="AF66" s="590"/>
    </row>
    <row r="67">
      <c r="A67" s="116" t="s">
        <v>266</v>
      </c>
      <c r="B67" s="623"/>
      <c r="C67" s="623"/>
      <c r="D67" s="623"/>
      <c r="E67" s="623"/>
      <c r="F67" s="623"/>
      <c r="G67" s="623"/>
      <c r="H67" s="623"/>
      <c r="I67" s="623"/>
      <c r="J67" s="623"/>
      <c r="K67" s="623"/>
      <c r="L67" s="623"/>
      <c r="M67" s="623"/>
      <c r="N67" s="623"/>
      <c r="O67" s="623"/>
      <c r="P67" s="623"/>
      <c r="Q67" s="623"/>
      <c r="R67" s="623"/>
      <c r="S67" s="623"/>
      <c r="T67" s="623"/>
      <c r="U67" s="623"/>
      <c r="V67" s="623"/>
      <c r="W67" s="623"/>
      <c r="X67" s="623"/>
      <c r="Y67" s="623"/>
      <c r="Z67" s="623"/>
      <c r="AA67" s="623"/>
      <c r="AB67" s="623"/>
      <c r="AC67" s="623"/>
      <c r="AD67" s="623"/>
      <c r="AE67" s="623"/>
      <c r="AF67" s="599">
        <f t="shared" ref="AF67:AF75" si="18">SUM(B67:AE67)</f>
        <v>0</v>
      </c>
    </row>
    <row r="68">
      <c r="A68" s="116" t="s">
        <v>267</v>
      </c>
      <c r="B68" s="623"/>
      <c r="C68" s="623"/>
      <c r="D68" s="623"/>
      <c r="E68" s="623"/>
      <c r="F68" s="623"/>
      <c r="G68" s="623"/>
      <c r="H68" s="623"/>
      <c r="I68" s="623"/>
      <c r="J68" s="623"/>
      <c r="K68" s="623"/>
      <c r="L68" s="623"/>
      <c r="M68" s="623"/>
      <c r="N68" s="623"/>
      <c r="O68" s="623"/>
      <c r="P68" s="623"/>
      <c r="Q68" s="623"/>
      <c r="R68" s="623"/>
      <c r="S68" s="623"/>
      <c r="T68" s="623"/>
      <c r="U68" s="623"/>
      <c r="V68" s="623"/>
      <c r="W68" s="623"/>
      <c r="X68" s="623"/>
      <c r="Y68" s="623"/>
      <c r="Z68" s="623"/>
      <c r="AA68" s="623"/>
      <c r="AB68" s="623"/>
      <c r="AC68" s="623"/>
      <c r="AD68" s="623"/>
      <c r="AE68" s="623"/>
      <c r="AF68" s="599">
        <f t="shared" si="18"/>
        <v>0</v>
      </c>
    </row>
    <row r="69">
      <c r="A69" s="116" t="s">
        <v>590</v>
      </c>
      <c r="B69" s="623"/>
      <c r="C69" s="623"/>
      <c r="D69" s="623"/>
      <c r="E69" s="623"/>
      <c r="F69" s="623"/>
      <c r="G69" s="623"/>
      <c r="H69" s="623"/>
      <c r="I69" s="623"/>
      <c r="J69" s="623"/>
      <c r="K69" s="623"/>
      <c r="L69" s="623"/>
      <c r="M69" s="623"/>
      <c r="N69" s="623"/>
      <c r="O69" s="623"/>
      <c r="P69" s="623"/>
      <c r="Q69" s="623"/>
      <c r="R69" s="623"/>
      <c r="S69" s="623"/>
      <c r="T69" s="623"/>
      <c r="U69" s="623"/>
      <c r="V69" s="623"/>
      <c r="W69" s="623"/>
      <c r="X69" s="623"/>
      <c r="Y69" s="623"/>
      <c r="Z69" s="623"/>
      <c r="AA69" s="623"/>
      <c r="AB69" s="623"/>
      <c r="AC69" s="623"/>
      <c r="AD69" s="623"/>
      <c r="AE69" s="623"/>
      <c r="AF69" s="599">
        <f t="shared" si="18"/>
        <v>0</v>
      </c>
    </row>
    <row r="70">
      <c r="A70" s="116" t="s">
        <v>592</v>
      </c>
      <c r="B70" s="623"/>
      <c r="C70" s="623"/>
      <c r="D70" s="623"/>
      <c r="E70" s="623"/>
      <c r="F70" s="623"/>
      <c r="G70" s="623"/>
      <c r="H70" s="623"/>
      <c r="I70" s="623"/>
      <c r="J70" s="623"/>
      <c r="K70" s="623"/>
      <c r="L70" s="623"/>
      <c r="M70" s="623"/>
      <c r="N70" s="623"/>
      <c r="O70" s="623"/>
      <c r="P70" s="623"/>
      <c r="Q70" s="623"/>
      <c r="R70" s="623"/>
      <c r="S70" s="623"/>
      <c r="T70" s="623"/>
      <c r="U70" s="623"/>
      <c r="V70" s="623"/>
      <c r="W70" s="623"/>
      <c r="X70" s="623"/>
      <c r="Y70" s="623"/>
      <c r="Z70" s="623"/>
      <c r="AA70" s="623"/>
      <c r="AB70" s="623"/>
      <c r="AC70" s="623"/>
      <c r="AD70" s="623"/>
      <c r="AE70" s="623"/>
      <c r="AF70" s="599">
        <f t="shared" si="18"/>
        <v>0</v>
      </c>
    </row>
    <row r="71">
      <c r="A71" s="116" t="s">
        <v>593</v>
      </c>
      <c r="B71" s="623"/>
      <c r="C71" s="623"/>
      <c r="D71" s="623"/>
      <c r="E71" s="623"/>
      <c r="F71" s="623"/>
      <c r="G71" s="623"/>
      <c r="H71" s="623"/>
      <c r="I71" s="623"/>
      <c r="J71" s="623"/>
      <c r="K71" s="623"/>
      <c r="L71" s="623"/>
      <c r="M71" s="623"/>
      <c r="N71" s="623"/>
      <c r="O71" s="623"/>
      <c r="P71" s="623"/>
      <c r="Q71" s="623"/>
      <c r="R71" s="623"/>
      <c r="S71" s="623"/>
      <c r="T71" s="623"/>
      <c r="U71" s="623"/>
      <c r="V71" s="623"/>
      <c r="W71" s="623"/>
      <c r="X71" s="623"/>
      <c r="Y71" s="623"/>
      <c r="Z71" s="623"/>
      <c r="AA71" s="623"/>
      <c r="AB71" s="623"/>
      <c r="AC71" s="623"/>
      <c r="AD71" s="623"/>
      <c r="AE71" s="623"/>
      <c r="AF71" s="599">
        <f t="shared" si="18"/>
        <v>0</v>
      </c>
    </row>
    <row r="72">
      <c r="A72" s="116" t="s">
        <v>594</v>
      </c>
      <c r="B72" s="623"/>
      <c r="C72" s="623"/>
      <c r="D72" s="623"/>
      <c r="E72" s="623"/>
      <c r="F72" s="623"/>
      <c r="G72" s="623"/>
      <c r="H72" s="623"/>
      <c r="I72" s="623"/>
      <c r="J72" s="623"/>
      <c r="K72" s="623"/>
      <c r="L72" s="623"/>
      <c r="M72" s="623"/>
      <c r="N72" s="623"/>
      <c r="O72" s="623"/>
      <c r="P72" s="623"/>
      <c r="Q72" s="623"/>
      <c r="R72" s="623"/>
      <c r="S72" s="623"/>
      <c r="T72" s="623"/>
      <c r="U72" s="623"/>
      <c r="V72" s="623"/>
      <c r="W72" s="623"/>
      <c r="X72" s="623"/>
      <c r="Y72" s="623"/>
      <c r="Z72" s="623"/>
      <c r="AA72" s="623"/>
      <c r="AB72" s="623"/>
      <c r="AC72" s="623"/>
      <c r="AD72" s="623"/>
      <c r="AE72" s="623"/>
      <c r="AF72" s="599">
        <f t="shared" si="18"/>
        <v>0</v>
      </c>
    </row>
    <row r="73">
      <c r="A73" s="116" t="s">
        <v>595</v>
      </c>
      <c r="B73" s="623"/>
      <c r="C73" s="623"/>
      <c r="D73" s="623"/>
      <c r="E73" s="623"/>
      <c r="F73" s="623"/>
      <c r="G73" s="623"/>
      <c r="H73" s="623"/>
      <c r="I73" s="623"/>
      <c r="J73" s="623"/>
      <c r="K73" s="623"/>
      <c r="L73" s="623"/>
      <c r="M73" s="623"/>
      <c r="N73" s="623"/>
      <c r="O73" s="623"/>
      <c r="P73" s="623"/>
      <c r="Q73" s="623"/>
      <c r="R73" s="623"/>
      <c r="S73" s="623"/>
      <c r="T73" s="623"/>
      <c r="U73" s="623"/>
      <c r="V73" s="623"/>
      <c r="W73" s="623"/>
      <c r="X73" s="623"/>
      <c r="Y73" s="623"/>
      <c r="Z73" s="623"/>
      <c r="AA73" s="623"/>
      <c r="AB73" s="623"/>
      <c r="AC73" s="623"/>
      <c r="AD73" s="623"/>
      <c r="AE73" s="623"/>
      <c r="AF73" s="599">
        <f t="shared" si="18"/>
        <v>0</v>
      </c>
    </row>
    <row r="74">
      <c r="A74" s="116" t="s">
        <v>596</v>
      </c>
      <c r="B74" s="623"/>
      <c r="C74" s="623"/>
      <c r="D74" s="623"/>
      <c r="E74" s="623"/>
      <c r="F74" s="623"/>
      <c r="G74" s="623"/>
      <c r="H74" s="623"/>
      <c r="I74" s="623"/>
      <c r="J74" s="623"/>
      <c r="K74" s="623"/>
      <c r="L74" s="623"/>
      <c r="M74" s="623"/>
      <c r="N74" s="623"/>
      <c r="O74" s="623"/>
      <c r="P74" s="623"/>
      <c r="Q74" s="623"/>
      <c r="R74" s="623"/>
      <c r="S74" s="623"/>
      <c r="T74" s="623"/>
      <c r="U74" s="623"/>
      <c r="V74" s="623"/>
      <c r="W74" s="623"/>
      <c r="X74" s="623"/>
      <c r="Y74" s="623"/>
      <c r="Z74" s="623"/>
      <c r="AA74" s="623"/>
      <c r="AB74" s="623"/>
      <c r="AC74" s="623"/>
      <c r="AD74" s="623"/>
      <c r="AE74" s="623"/>
      <c r="AF74" s="599">
        <f t="shared" si="18"/>
        <v>0</v>
      </c>
    </row>
    <row r="75">
      <c r="A75" s="271" t="s">
        <v>159</v>
      </c>
      <c r="B75" s="317">
        <f t="shared" ref="B75:AE75" si="19">SUM(B67:B74)</f>
        <v>0</v>
      </c>
      <c r="C75" s="317">
        <f t="shared" si="19"/>
        <v>0</v>
      </c>
      <c r="D75" s="317">
        <f t="shared" si="19"/>
        <v>0</v>
      </c>
      <c r="E75" s="317">
        <f t="shared" si="19"/>
        <v>0</v>
      </c>
      <c r="F75" s="317">
        <f t="shared" si="19"/>
        <v>0</v>
      </c>
      <c r="G75" s="317">
        <f t="shared" si="19"/>
        <v>0</v>
      </c>
      <c r="H75" s="317">
        <f t="shared" si="19"/>
        <v>0</v>
      </c>
      <c r="I75" s="317">
        <f t="shared" si="19"/>
        <v>0</v>
      </c>
      <c r="J75" s="317">
        <f t="shared" si="19"/>
        <v>0</v>
      </c>
      <c r="K75" s="317">
        <f t="shared" si="19"/>
        <v>0</v>
      </c>
      <c r="L75" s="317">
        <f t="shared" si="19"/>
        <v>0</v>
      </c>
      <c r="M75" s="317">
        <f t="shared" si="19"/>
        <v>0</v>
      </c>
      <c r="N75" s="317">
        <f t="shared" si="19"/>
        <v>0</v>
      </c>
      <c r="O75" s="317">
        <f t="shared" si="19"/>
        <v>0</v>
      </c>
      <c r="P75" s="317">
        <f t="shared" si="19"/>
        <v>0</v>
      </c>
      <c r="Q75" s="317">
        <f t="shared" si="19"/>
        <v>0</v>
      </c>
      <c r="R75" s="317">
        <f t="shared" si="19"/>
        <v>0</v>
      </c>
      <c r="S75" s="317">
        <f t="shared" si="19"/>
        <v>0</v>
      </c>
      <c r="T75" s="317">
        <f t="shared" si="19"/>
        <v>0</v>
      </c>
      <c r="U75" s="317">
        <f t="shared" si="19"/>
        <v>0</v>
      </c>
      <c r="V75" s="317">
        <f t="shared" si="19"/>
        <v>0</v>
      </c>
      <c r="W75" s="317">
        <f t="shared" si="19"/>
        <v>0</v>
      </c>
      <c r="X75" s="317">
        <f t="shared" si="19"/>
        <v>0</v>
      </c>
      <c r="Y75" s="317">
        <f t="shared" si="19"/>
        <v>0</v>
      </c>
      <c r="Z75" s="317">
        <f t="shared" si="19"/>
        <v>0</v>
      </c>
      <c r="AA75" s="317">
        <f t="shared" si="19"/>
        <v>0</v>
      </c>
      <c r="AB75" s="317">
        <f t="shared" si="19"/>
        <v>0</v>
      </c>
      <c r="AC75" s="317">
        <f t="shared" si="19"/>
        <v>0</v>
      </c>
      <c r="AD75" s="317">
        <f t="shared" si="19"/>
        <v>0</v>
      </c>
      <c r="AE75" s="317">
        <f t="shared" si="19"/>
        <v>0</v>
      </c>
      <c r="AF75" s="599">
        <f t="shared" si="18"/>
        <v>0</v>
      </c>
    </row>
    <row r="76">
      <c r="A76" s="20"/>
      <c r="B76" s="651"/>
      <c r="C76" s="651"/>
      <c r="D76" s="651"/>
      <c r="E76" s="651"/>
      <c r="F76" s="651"/>
      <c r="G76" s="651"/>
      <c r="H76" s="651"/>
      <c r="I76" s="609"/>
      <c r="J76" s="609"/>
      <c r="K76" s="609"/>
      <c r="L76" s="609"/>
      <c r="M76" s="609"/>
      <c r="N76" s="609"/>
      <c r="O76" s="609"/>
      <c r="P76" s="609"/>
      <c r="Q76" s="609"/>
      <c r="R76" s="609"/>
      <c r="S76" s="609"/>
      <c r="T76" s="609"/>
      <c r="U76" s="609"/>
      <c r="V76" s="609"/>
      <c r="W76" s="609"/>
      <c r="X76" s="609"/>
      <c r="Y76" s="609"/>
      <c r="Z76" s="609"/>
      <c r="AA76" s="609"/>
      <c r="AB76" s="609"/>
      <c r="AC76" s="609"/>
      <c r="AD76" s="609"/>
      <c r="AE76" s="167"/>
      <c r="AF76" s="590"/>
    </row>
    <row r="77">
      <c r="A77" s="116" t="s">
        <v>597</v>
      </c>
      <c r="B77" s="583"/>
      <c r="C77" s="583"/>
      <c r="D77" s="583"/>
      <c r="E77" s="583"/>
      <c r="F77" s="583"/>
      <c r="G77" s="583"/>
      <c r="H77" s="583"/>
      <c r="I77" s="583"/>
      <c r="J77" s="583"/>
      <c r="K77" s="583"/>
      <c r="L77" s="583"/>
      <c r="M77" s="583"/>
      <c r="N77" s="583"/>
      <c r="O77" s="583"/>
      <c r="P77" s="583"/>
      <c r="Q77" s="583"/>
      <c r="R77" s="583"/>
      <c r="S77" s="583"/>
      <c r="T77" s="583"/>
      <c r="U77" s="583"/>
      <c r="V77" s="583"/>
      <c r="W77" s="583"/>
      <c r="X77" s="583"/>
      <c r="Y77" s="583"/>
      <c r="Z77" s="583"/>
      <c r="AA77" s="583"/>
      <c r="AB77" s="583"/>
      <c r="AC77" s="583"/>
      <c r="AD77" s="583"/>
      <c r="AE77" s="693"/>
      <c r="AF77" s="685"/>
    </row>
    <row r="78">
      <c r="A78" s="20"/>
      <c r="B78" s="651"/>
      <c r="C78" s="651"/>
      <c r="D78" s="651"/>
      <c r="E78" s="651"/>
      <c r="F78" s="651"/>
      <c r="G78" s="651"/>
      <c r="H78" s="651"/>
      <c r="I78" s="609"/>
      <c r="J78" s="609"/>
      <c r="K78" s="609"/>
      <c r="L78" s="609"/>
      <c r="M78" s="609"/>
      <c r="N78" s="609"/>
      <c r="O78" s="609"/>
      <c r="P78" s="609"/>
      <c r="Q78" s="609"/>
      <c r="R78" s="609"/>
      <c r="S78" s="609"/>
      <c r="T78" s="609"/>
      <c r="U78" s="609"/>
      <c r="V78" s="609"/>
      <c r="W78" s="609"/>
      <c r="X78" s="609"/>
      <c r="Y78" s="609"/>
      <c r="Z78" s="609"/>
      <c r="AA78" s="609"/>
      <c r="AB78" s="609"/>
      <c r="AC78" s="609"/>
      <c r="AD78" s="609"/>
      <c r="AE78" s="167"/>
      <c r="AF78" s="590"/>
    </row>
    <row r="79">
      <c r="A79" s="73" t="s">
        <v>598</v>
      </c>
      <c r="B79" s="582"/>
      <c r="C79" s="582"/>
      <c r="D79" s="582"/>
      <c r="E79" s="582"/>
      <c r="F79" s="582"/>
      <c r="G79" s="582"/>
      <c r="H79" s="582"/>
      <c r="I79" s="582"/>
      <c r="J79" s="582"/>
      <c r="K79" s="582"/>
      <c r="L79" s="582"/>
      <c r="M79" s="582"/>
      <c r="N79" s="582"/>
      <c r="O79" s="582"/>
      <c r="P79" s="582"/>
      <c r="Q79" s="582"/>
      <c r="R79" s="582"/>
      <c r="S79" s="582"/>
      <c r="T79" s="582"/>
      <c r="U79" s="582"/>
      <c r="V79" s="582"/>
      <c r="W79" s="582"/>
      <c r="X79" s="582"/>
      <c r="Y79" s="582"/>
      <c r="Z79" s="582"/>
      <c r="AA79" s="582"/>
      <c r="AB79" s="582"/>
      <c r="AC79" s="582"/>
      <c r="AD79" s="582"/>
      <c r="AE79" s="582"/>
      <c r="AF79" s="590"/>
    </row>
    <row r="80">
      <c r="A80" s="116" t="s">
        <v>579</v>
      </c>
      <c r="B80" s="122">
        <v>0.0</v>
      </c>
      <c r="C80" s="122">
        <v>0.0</v>
      </c>
      <c r="D80" s="122">
        <v>0.0</v>
      </c>
      <c r="E80" s="122">
        <v>0.0</v>
      </c>
      <c r="F80" s="122">
        <v>0.0</v>
      </c>
      <c r="G80" s="122">
        <v>0.0</v>
      </c>
      <c r="H80" s="122">
        <v>0.0</v>
      </c>
      <c r="I80" s="122">
        <v>0.0</v>
      </c>
      <c r="J80" s="122">
        <v>0.0</v>
      </c>
      <c r="K80" s="122">
        <v>0.0</v>
      </c>
      <c r="L80" s="122">
        <v>0.0</v>
      </c>
      <c r="M80" s="122">
        <v>0.0</v>
      </c>
      <c r="N80" s="122">
        <v>0.0</v>
      </c>
      <c r="O80" s="122">
        <v>0.0</v>
      </c>
      <c r="P80" s="122">
        <v>0.0</v>
      </c>
      <c r="Q80" s="122">
        <v>0.0</v>
      </c>
      <c r="R80" s="122">
        <v>0.0</v>
      </c>
      <c r="S80" s="122">
        <v>0.0</v>
      </c>
      <c r="T80" s="122">
        <v>0.0</v>
      </c>
      <c r="U80" s="122">
        <v>0.0</v>
      </c>
      <c r="V80" s="122">
        <v>0.0</v>
      </c>
      <c r="W80" s="122">
        <v>0.0</v>
      </c>
      <c r="X80" s="122">
        <v>0.0</v>
      </c>
      <c r="Y80" s="122">
        <v>0.0</v>
      </c>
      <c r="Z80" s="122">
        <v>0.0</v>
      </c>
      <c r="AA80" s="122">
        <v>0.0</v>
      </c>
      <c r="AB80" s="122">
        <v>0.0</v>
      </c>
      <c r="AC80" s="122">
        <v>0.0</v>
      </c>
      <c r="AD80" s="122">
        <v>0.0</v>
      </c>
      <c r="AE80" s="122">
        <v>0.0</v>
      </c>
      <c r="AF80" s="591">
        <f t="shared" ref="AF80:AF83" si="20">SUM(B80:AE80)</f>
        <v>0</v>
      </c>
    </row>
    <row r="81">
      <c r="A81" s="116" t="s">
        <v>129</v>
      </c>
      <c r="B81" s="694"/>
      <c r="C81" s="694"/>
      <c r="D81" s="694"/>
      <c r="E81" s="694"/>
      <c r="F81" s="694"/>
      <c r="G81" s="694"/>
      <c r="H81" s="694"/>
      <c r="I81" s="694"/>
      <c r="J81" s="694"/>
      <c r="K81" s="694"/>
      <c r="L81" s="694"/>
      <c r="M81" s="681"/>
      <c r="N81" s="694"/>
      <c r="O81" s="694"/>
      <c r="P81" s="694"/>
      <c r="Q81" s="694"/>
      <c r="R81" s="694"/>
      <c r="S81" s="694"/>
      <c r="T81" s="694"/>
      <c r="U81" s="694"/>
      <c r="V81" s="694"/>
      <c r="W81" s="694"/>
      <c r="X81" s="694"/>
      <c r="Y81" s="694"/>
      <c r="Z81" s="694"/>
      <c r="AA81" s="694"/>
      <c r="AB81" s="694"/>
      <c r="AC81" s="694"/>
      <c r="AD81" s="694"/>
      <c r="AE81" s="694"/>
      <c r="AF81" s="591">
        <f t="shared" si="20"/>
        <v>0</v>
      </c>
    </row>
    <row r="82">
      <c r="A82" s="116" t="s">
        <v>580</v>
      </c>
      <c r="B82" s="694"/>
      <c r="C82" s="694"/>
      <c r="D82" s="694"/>
      <c r="E82" s="694"/>
      <c r="F82" s="694"/>
      <c r="G82" s="694"/>
      <c r="H82" s="694"/>
      <c r="I82" s="694"/>
      <c r="J82" s="694"/>
      <c r="K82" s="694"/>
      <c r="L82" s="694"/>
      <c r="M82" s="694"/>
      <c r="N82" s="694"/>
      <c r="O82" s="694"/>
      <c r="P82" s="694"/>
      <c r="Q82" s="694"/>
      <c r="R82" s="694"/>
      <c r="S82" s="694"/>
      <c r="T82" s="694"/>
      <c r="U82" s="694"/>
      <c r="V82" s="694"/>
      <c r="W82" s="694"/>
      <c r="X82" s="694"/>
      <c r="Y82" s="694"/>
      <c r="Z82" s="694"/>
      <c r="AA82" s="694"/>
      <c r="AB82" s="694"/>
      <c r="AC82" s="694"/>
      <c r="AD82" s="694"/>
      <c r="AE82" s="694"/>
      <c r="AF82" s="591">
        <f t="shared" si="20"/>
        <v>0</v>
      </c>
    </row>
    <row r="83">
      <c r="A83" s="410" t="s">
        <v>581</v>
      </c>
      <c r="B83" s="411">
        <f t="shared" ref="B83:AE83" si="21">sum(B80:B82)</f>
        <v>0</v>
      </c>
      <c r="C83" s="411">
        <f t="shared" si="21"/>
        <v>0</v>
      </c>
      <c r="D83" s="411">
        <f t="shared" si="21"/>
        <v>0</v>
      </c>
      <c r="E83" s="411">
        <f t="shared" si="21"/>
        <v>0</v>
      </c>
      <c r="F83" s="411">
        <f t="shared" si="21"/>
        <v>0</v>
      </c>
      <c r="G83" s="411">
        <f t="shared" si="21"/>
        <v>0</v>
      </c>
      <c r="H83" s="411">
        <f t="shared" si="21"/>
        <v>0</v>
      </c>
      <c r="I83" s="411">
        <f t="shared" si="21"/>
        <v>0</v>
      </c>
      <c r="J83" s="411">
        <f t="shared" si="21"/>
        <v>0</v>
      </c>
      <c r="K83" s="411">
        <f t="shared" si="21"/>
        <v>0</v>
      </c>
      <c r="L83" s="411">
        <f t="shared" si="21"/>
        <v>0</v>
      </c>
      <c r="M83" s="411">
        <f t="shared" si="21"/>
        <v>0</v>
      </c>
      <c r="N83" s="411">
        <f t="shared" si="21"/>
        <v>0</v>
      </c>
      <c r="O83" s="411">
        <f t="shared" si="21"/>
        <v>0</v>
      </c>
      <c r="P83" s="411">
        <f t="shared" si="21"/>
        <v>0</v>
      </c>
      <c r="Q83" s="411">
        <f t="shared" si="21"/>
        <v>0</v>
      </c>
      <c r="R83" s="411">
        <f t="shared" si="21"/>
        <v>0</v>
      </c>
      <c r="S83" s="411">
        <f t="shared" si="21"/>
        <v>0</v>
      </c>
      <c r="T83" s="411">
        <f t="shared" si="21"/>
        <v>0</v>
      </c>
      <c r="U83" s="411">
        <f t="shared" si="21"/>
        <v>0</v>
      </c>
      <c r="V83" s="411">
        <f t="shared" si="21"/>
        <v>0</v>
      </c>
      <c r="W83" s="411">
        <f t="shared" si="21"/>
        <v>0</v>
      </c>
      <c r="X83" s="411">
        <f t="shared" si="21"/>
        <v>0</v>
      </c>
      <c r="Y83" s="411">
        <f t="shared" si="21"/>
        <v>0</v>
      </c>
      <c r="Z83" s="411">
        <f t="shared" si="21"/>
        <v>0</v>
      </c>
      <c r="AA83" s="411">
        <f t="shared" si="21"/>
        <v>0</v>
      </c>
      <c r="AB83" s="411">
        <f t="shared" si="21"/>
        <v>0</v>
      </c>
      <c r="AC83" s="411">
        <f t="shared" si="21"/>
        <v>0</v>
      </c>
      <c r="AD83" s="411">
        <f t="shared" si="21"/>
        <v>0</v>
      </c>
      <c r="AE83" s="411">
        <f t="shared" si="21"/>
        <v>0</v>
      </c>
      <c r="AF83" s="591">
        <f t="shared" si="20"/>
        <v>0</v>
      </c>
    </row>
    <row r="84">
      <c r="A84" s="20"/>
      <c r="B84" s="582"/>
      <c r="C84" s="582"/>
      <c r="D84" s="582"/>
      <c r="E84" s="582"/>
      <c r="F84" s="582"/>
      <c r="G84" s="582"/>
      <c r="H84" s="582"/>
      <c r="I84" s="582"/>
      <c r="J84" s="582"/>
      <c r="K84" s="582"/>
      <c r="L84" s="582"/>
      <c r="M84" s="582"/>
      <c r="N84" s="582"/>
      <c r="O84" s="582"/>
      <c r="P84" s="582"/>
      <c r="Q84" s="582"/>
      <c r="R84" s="582"/>
      <c r="S84" s="582"/>
      <c r="T84" s="582"/>
      <c r="U84" s="582"/>
      <c r="V84" s="582"/>
      <c r="W84" s="582"/>
      <c r="X84" s="582"/>
      <c r="Y84" s="582"/>
      <c r="Z84" s="582"/>
      <c r="AA84" s="582"/>
      <c r="AB84" s="582"/>
      <c r="AC84" s="582"/>
      <c r="AD84" s="582"/>
      <c r="AE84" s="582"/>
      <c r="AF84" s="591"/>
    </row>
    <row r="85">
      <c r="A85" s="695" t="s">
        <v>468</v>
      </c>
      <c r="B85" s="665"/>
      <c r="C85" s="665"/>
      <c r="D85" s="665"/>
      <c r="E85" s="665"/>
      <c r="F85" s="665"/>
      <c r="G85" s="665"/>
      <c r="H85" s="665"/>
      <c r="I85" s="665"/>
      <c r="J85" s="665"/>
      <c r="K85" s="665"/>
      <c r="L85" s="665"/>
      <c r="M85" s="665"/>
      <c r="N85" s="665"/>
      <c r="O85" s="665"/>
      <c r="P85" s="665"/>
      <c r="Q85" s="665"/>
      <c r="R85" s="665"/>
      <c r="S85" s="665"/>
      <c r="T85" s="665"/>
      <c r="U85" s="665"/>
      <c r="V85" s="665"/>
      <c r="W85" s="665"/>
      <c r="X85" s="665"/>
      <c r="Y85" s="665"/>
      <c r="Z85" s="665"/>
      <c r="AA85" s="665"/>
      <c r="AB85" s="665"/>
      <c r="AC85" s="665"/>
      <c r="AD85" s="665"/>
      <c r="AE85" s="665"/>
      <c r="AF85" s="591">
        <f t="shared" ref="AF85:AF87" si="22">SUM(B85:AE85)</f>
        <v>0</v>
      </c>
    </row>
    <row r="86">
      <c r="A86" s="696" t="s">
        <v>470</v>
      </c>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94"/>
      <c r="AD86" s="694"/>
      <c r="AE86" s="694"/>
      <c r="AF86" s="591">
        <f t="shared" si="22"/>
        <v>0</v>
      </c>
    </row>
    <row r="87">
      <c r="A87" s="410" t="s">
        <v>583</v>
      </c>
      <c r="B87" s="411">
        <f t="shared" ref="B87:AE87" si="23">sum(B85:B86)</f>
        <v>0</v>
      </c>
      <c r="C87" s="411">
        <f t="shared" si="23"/>
        <v>0</v>
      </c>
      <c r="D87" s="411">
        <f t="shared" si="23"/>
        <v>0</v>
      </c>
      <c r="E87" s="411">
        <f t="shared" si="23"/>
        <v>0</v>
      </c>
      <c r="F87" s="411">
        <f t="shared" si="23"/>
        <v>0</v>
      </c>
      <c r="G87" s="411">
        <f t="shared" si="23"/>
        <v>0</v>
      </c>
      <c r="H87" s="411">
        <f t="shared" si="23"/>
        <v>0</v>
      </c>
      <c r="I87" s="411">
        <f t="shared" si="23"/>
        <v>0</v>
      </c>
      <c r="J87" s="411">
        <f t="shared" si="23"/>
        <v>0</v>
      </c>
      <c r="K87" s="411">
        <f t="shared" si="23"/>
        <v>0</v>
      </c>
      <c r="L87" s="411">
        <f t="shared" si="23"/>
        <v>0</v>
      </c>
      <c r="M87" s="411">
        <f t="shared" si="23"/>
        <v>0</v>
      </c>
      <c r="N87" s="411">
        <f t="shared" si="23"/>
        <v>0</v>
      </c>
      <c r="O87" s="411">
        <f t="shared" si="23"/>
        <v>0</v>
      </c>
      <c r="P87" s="411">
        <f t="shared" si="23"/>
        <v>0</v>
      </c>
      <c r="Q87" s="411">
        <f t="shared" si="23"/>
        <v>0</v>
      </c>
      <c r="R87" s="411">
        <f t="shared" si="23"/>
        <v>0</v>
      </c>
      <c r="S87" s="411">
        <f t="shared" si="23"/>
        <v>0</v>
      </c>
      <c r="T87" s="411">
        <f t="shared" si="23"/>
        <v>0</v>
      </c>
      <c r="U87" s="411">
        <f t="shared" si="23"/>
        <v>0</v>
      </c>
      <c r="V87" s="411">
        <f t="shared" si="23"/>
        <v>0</v>
      </c>
      <c r="W87" s="411">
        <f t="shared" si="23"/>
        <v>0</v>
      </c>
      <c r="X87" s="411">
        <f t="shared" si="23"/>
        <v>0</v>
      </c>
      <c r="Y87" s="411">
        <f t="shared" si="23"/>
        <v>0</v>
      </c>
      <c r="Z87" s="411">
        <f t="shared" si="23"/>
        <v>0</v>
      </c>
      <c r="AA87" s="411">
        <f t="shared" si="23"/>
        <v>0</v>
      </c>
      <c r="AB87" s="411">
        <f t="shared" si="23"/>
        <v>0</v>
      </c>
      <c r="AC87" s="411">
        <f t="shared" si="23"/>
        <v>0</v>
      </c>
      <c r="AD87" s="411">
        <f t="shared" si="23"/>
        <v>0</v>
      </c>
      <c r="AE87" s="411">
        <f t="shared" si="23"/>
        <v>0</v>
      </c>
      <c r="AF87" s="591">
        <f t="shared" si="22"/>
        <v>0</v>
      </c>
    </row>
    <row r="88">
      <c r="A88" s="20"/>
      <c r="B88" s="580"/>
      <c r="C88" s="580"/>
      <c r="D88" s="580"/>
      <c r="E88" s="580"/>
      <c r="F88" s="580"/>
      <c r="G88" s="580"/>
      <c r="H88" s="580"/>
      <c r="I88" s="580"/>
      <c r="J88" s="580"/>
      <c r="K88" s="580"/>
      <c r="L88" s="580"/>
      <c r="M88" s="580"/>
      <c r="N88" s="580"/>
      <c r="O88" s="580"/>
      <c r="P88" s="580"/>
      <c r="Q88" s="580"/>
      <c r="R88" s="580"/>
      <c r="S88" s="580"/>
      <c r="T88" s="580"/>
      <c r="U88" s="580"/>
      <c r="V88" s="580"/>
      <c r="W88" s="580"/>
      <c r="X88" s="580"/>
      <c r="Y88" s="580"/>
      <c r="Z88" s="580"/>
      <c r="AA88" s="580"/>
      <c r="AB88" s="580"/>
      <c r="AC88" s="580"/>
      <c r="AD88" s="580"/>
      <c r="AE88" s="580"/>
      <c r="AF88" s="591"/>
    </row>
    <row r="89">
      <c r="A89" s="620" t="s">
        <v>600</v>
      </c>
      <c r="B89" s="697"/>
      <c r="C89" s="697"/>
      <c r="D89" s="697"/>
      <c r="E89" s="697"/>
      <c r="F89" s="697"/>
      <c r="G89" s="697"/>
      <c r="H89" s="697"/>
      <c r="I89" s="697"/>
      <c r="J89" s="697"/>
      <c r="K89" s="697"/>
      <c r="L89" s="697"/>
      <c r="M89" s="698"/>
      <c r="N89" s="697"/>
      <c r="O89" s="697"/>
      <c r="P89" s="697"/>
      <c r="Q89" s="697"/>
      <c r="R89" s="697"/>
      <c r="S89" s="697"/>
      <c r="T89" s="697"/>
      <c r="U89" s="697"/>
      <c r="V89" s="697"/>
      <c r="W89" s="697"/>
      <c r="X89" s="697"/>
      <c r="Y89" s="697"/>
      <c r="Z89" s="697"/>
      <c r="AA89" s="697"/>
      <c r="AB89" s="697"/>
      <c r="AC89" s="697"/>
      <c r="AD89" s="697"/>
      <c r="AE89" s="697"/>
      <c r="AF89" s="591"/>
    </row>
    <row r="90" outlineLevel="1">
      <c r="A90" s="116" t="s">
        <v>601</v>
      </c>
      <c r="B90" s="286">
        <v>0.0</v>
      </c>
      <c r="C90" s="286">
        <v>0.0</v>
      </c>
      <c r="D90" s="286">
        <v>0.0</v>
      </c>
      <c r="E90" s="286">
        <v>0.0</v>
      </c>
      <c r="F90" s="286">
        <v>0.0</v>
      </c>
      <c r="G90" s="286">
        <v>0.0</v>
      </c>
      <c r="H90" s="286">
        <v>0.0</v>
      </c>
      <c r="I90" s="286">
        <v>0.0</v>
      </c>
      <c r="J90" s="286">
        <v>0.0</v>
      </c>
      <c r="K90" s="286">
        <v>0.0</v>
      </c>
      <c r="L90" s="286">
        <v>0.0</v>
      </c>
      <c r="M90" s="286">
        <v>0.0</v>
      </c>
      <c r="N90" s="286">
        <v>0.0</v>
      </c>
      <c r="O90" s="286">
        <v>0.0</v>
      </c>
      <c r="P90" s="286">
        <v>0.0</v>
      </c>
      <c r="Q90" s="286">
        <v>0.0</v>
      </c>
      <c r="R90" s="286">
        <v>0.0</v>
      </c>
      <c r="S90" s="286">
        <v>0.0</v>
      </c>
      <c r="T90" s="286">
        <v>0.0</v>
      </c>
      <c r="U90" s="286">
        <v>0.0</v>
      </c>
      <c r="V90" s="286">
        <v>0.0</v>
      </c>
      <c r="W90" s="286">
        <v>0.0</v>
      </c>
      <c r="X90" s="286">
        <v>0.0</v>
      </c>
      <c r="Y90" s="286">
        <v>0.0</v>
      </c>
      <c r="Z90" s="286">
        <v>0.0</v>
      </c>
      <c r="AA90" s="286">
        <v>0.0</v>
      </c>
      <c r="AB90" s="286">
        <v>0.0</v>
      </c>
      <c r="AC90" s="286">
        <v>0.0</v>
      </c>
      <c r="AD90" s="286">
        <v>0.0</v>
      </c>
      <c r="AE90" s="286">
        <v>0.0</v>
      </c>
      <c r="AF90" s="599">
        <f t="shared" ref="AF90:AF112" si="24">SUM(B90:AE90)</f>
        <v>0</v>
      </c>
    </row>
    <row r="91" outlineLevel="1">
      <c r="A91" s="699" t="s">
        <v>602</v>
      </c>
      <c r="B91" s="286">
        <v>0.0</v>
      </c>
      <c r="C91" s="286">
        <v>0.0</v>
      </c>
      <c r="D91" s="286">
        <v>0.0</v>
      </c>
      <c r="E91" s="286">
        <v>0.0</v>
      </c>
      <c r="F91" s="286">
        <v>0.0</v>
      </c>
      <c r="G91" s="286">
        <v>0.0</v>
      </c>
      <c r="H91" s="286">
        <v>0.0</v>
      </c>
      <c r="I91" s="286">
        <v>0.0</v>
      </c>
      <c r="J91" s="286">
        <v>0.0</v>
      </c>
      <c r="K91" s="286">
        <v>0.0</v>
      </c>
      <c r="L91" s="286">
        <v>0.0</v>
      </c>
      <c r="M91" s="286">
        <v>0.0</v>
      </c>
      <c r="N91" s="286">
        <v>0.0</v>
      </c>
      <c r="O91" s="286">
        <v>0.0</v>
      </c>
      <c r="P91" s="286">
        <v>0.0</v>
      </c>
      <c r="Q91" s="286">
        <v>0.0</v>
      </c>
      <c r="R91" s="286">
        <v>0.0</v>
      </c>
      <c r="S91" s="286">
        <v>0.0</v>
      </c>
      <c r="T91" s="286">
        <v>0.0</v>
      </c>
      <c r="U91" s="286">
        <v>0.0</v>
      </c>
      <c r="V91" s="286">
        <v>0.0</v>
      </c>
      <c r="W91" s="286">
        <v>0.0</v>
      </c>
      <c r="X91" s="286">
        <v>0.0</v>
      </c>
      <c r="Y91" s="286">
        <v>0.0</v>
      </c>
      <c r="Z91" s="286">
        <v>0.0</v>
      </c>
      <c r="AA91" s="286">
        <v>0.0</v>
      </c>
      <c r="AB91" s="286">
        <v>0.0</v>
      </c>
      <c r="AC91" s="286">
        <v>0.0</v>
      </c>
      <c r="AD91" s="286">
        <v>0.0</v>
      </c>
      <c r="AE91" s="286">
        <v>0.0</v>
      </c>
      <c r="AF91" s="599">
        <f t="shared" si="24"/>
        <v>0</v>
      </c>
    </row>
    <row r="92" outlineLevel="1">
      <c r="A92" s="116" t="s">
        <v>603</v>
      </c>
      <c r="B92" s="286">
        <v>0.0</v>
      </c>
      <c r="C92" s="286">
        <v>0.0</v>
      </c>
      <c r="D92" s="286">
        <v>0.0</v>
      </c>
      <c r="E92" s="286">
        <v>0.0</v>
      </c>
      <c r="F92" s="286">
        <v>0.0</v>
      </c>
      <c r="G92" s="286">
        <v>0.0</v>
      </c>
      <c r="H92" s="286">
        <v>0.0</v>
      </c>
      <c r="I92" s="286">
        <v>0.0</v>
      </c>
      <c r="J92" s="286">
        <v>0.0</v>
      </c>
      <c r="K92" s="286">
        <v>0.0</v>
      </c>
      <c r="L92" s="286">
        <v>0.0</v>
      </c>
      <c r="M92" s="286">
        <v>0.0</v>
      </c>
      <c r="N92" s="286">
        <v>0.0</v>
      </c>
      <c r="O92" s="286">
        <v>0.0</v>
      </c>
      <c r="P92" s="286">
        <v>0.0</v>
      </c>
      <c r="Q92" s="286">
        <v>0.0</v>
      </c>
      <c r="R92" s="286">
        <v>0.0</v>
      </c>
      <c r="S92" s="286">
        <v>0.0</v>
      </c>
      <c r="T92" s="286">
        <v>0.0</v>
      </c>
      <c r="U92" s="286">
        <v>0.0</v>
      </c>
      <c r="V92" s="286">
        <v>0.0</v>
      </c>
      <c r="W92" s="286">
        <v>0.0</v>
      </c>
      <c r="X92" s="286">
        <v>0.0</v>
      </c>
      <c r="Y92" s="286">
        <v>0.0</v>
      </c>
      <c r="Z92" s="286">
        <v>0.0</v>
      </c>
      <c r="AA92" s="286">
        <v>0.0</v>
      </c>
      <c r="AB92" s="286">
        <v>0.0</v>
      </c>
      <c r="AC92" s="286">
        <v>0.0</v>
      </c>
      <c r="AD92" s="286">
        <v>0.0</v>
      </c>
      <c r="AE92" s="286">
        <v>0.0</v>
      </c>
      <c r="AF92" s="599">
        <f t="shared" si="24"/>
        <v>0</v>
      </c>
    </row>
    <row r="93" outlineLevel="1">
      <c r="A93" s="116" t="s">
        <v>604</v>
      </c>
      <c r="B93" s="286">
        <v>0.0</v>
      </c>
      <c r="C93" s="286">
        <v>0.0</v>
      </c>
      <c r="D93" s="286">
        <v>0.0</v>
      </c>
      <c r="E93" s="286">
        <v>0.0</v>
      </c>
      <c r="F93" s="286">
        <v>0.0</v>
      </c>
      <c r="G93" s="286">
        <v>0.0</v>
      </c>
      <c r="H93" s="286">
        <v>0.0</v>
      </c>
      <c r="I93" s="286">
        <v>0.0</v>
      </c>
      <c r="J93" s="286">
        <v>0.0</v>
      </c>
      <c r="K93" s="286">
        <v>0.0</v>
      </c>
      <c r="L93" s="286">
        <v>0.0</v>
      </c>
      <c r="M93" s="286">
        <v>0.0</v>
      </c>
      <c r="N93" s="286">
        <v>0.0</v>
      </c>
      <c r="O93" s="286">
        <v>0.0</v>
      </c>
      <c r="P93" s="286">
        <v>0.0</v>
      </c>
      <c r="Q93" s="286">
        <v>0.0</v>
      </c>
      <c r="R93" s="286">
        <v>0.0</v>
      </c>
      <c r="S93" s="286">
        <v>0.0</v>
      </c>
      <c r="T93" s="286">
        <v>0.0</v>
      </c>
      <c r="U93" s="286">
        <v>0.0</v>
      </c>
      <c r="V93" s="286">
        <v>0.0</v>
      </c>
      <c r="W93" s="286">
        <v>0.0</v>
      </c>
      <c r="X93" s="286">
        <v>0.0</v>
      </c>
      <c r="Y93" s="286">
        <v>0.0</v>
      </c>
      <c r="Z93" s="286">
        <v>0.0</v>
      </c>
      <c r="AA93" s="286">
        <v>0.0</v>
      </c>
      <c r="AB93" s="286">
        <v>0.0</v>
      </c>
      <c r="AC93" s="286">
        <v>0.0</v>
      </c>
      <c r="AD93" s="286">
        <v>0.0</v>
      </c>
      <c r="AE93" s="286">
        <v>0.0</v>
      </c>
      <c r="AF93" s="599">
        <f t="shared" si="24"/>
        <v>0</v>
      </c>
    </row>
    <row r="94" outlineLevel="1">
      <c r="A94" s="271" t="s">
        <v>261</v>
      </c>
      <c r="B94" s="317">
        <f t="shared" ref="B94:AE94" si="25">B90+B91</f>
        <v>0</v>
      </c>
      <c r="C94" s="317">
        <f t="shared" si="25"/>
        <v>0</v>
      </c>
      <c r="D94" s="317">
        <f t="shared" si="25"/>
        <v>0</v>
      </c>
      <c r="E94" s="317">
        <f t="shared" si="25"/>
        <v>0</v>
      </c>
      <c r="F94" s="317">
        <f t="shared" si="25"/>
        <v>0</v>
      </c>
      <c r="G94" s="317">
        <f t="shared" si="25"/>
        <v>0</v>
      </c>
      <c r="H94" s="317">
        <f t="shared" si="25"/>
        <v>0</v>
      </c>
      <c r="I94" s="317">
        <f t="shared" si="25"/>
        <v>0</v>
      </c>
      <c r="J94" s="317">
        <f t="shared" si="25"/>
        <v>0</v>
      </c>
      <c r="K94" s="317">
        <f t="shared" si="25"/>
        <v>0</v>
      </c>
      <c r="L94" s="317">
        <f t="shared" si="25"/>
        <v>0</v>
      </c>
      <c r="M94" s="317">
        <f t="shared" si="25"/>
        <v>0</v>
      </c>
      <c r="N94" s="317">
        <f t="shared" si="25"/>
        <v>0</v>
      </c>
      <c r="O94" s="317">
        <f t="shared" si="25"/>
        <v>0</v>
      </c>
      <c r="P94" s="317">
        <f t="shared" si="25"/>
        <v>0</v>
      </c>
      <c r="Q94" s="317">
        <f t="shared" si="25"/>
        <v>0</v>
      </c>
      <c r="R94" s="317">
        <f t="shared" si="25"/>
        <v>0</v>
      </c>
      <c r="S94" s="317">
        <f t="shared" si="25"/>
        <v>0</v>
      </c>
      <c r="T94" s="317">
        <f t="shared" si="25"/>
        <v>0</v>
      </c>
      <c r="U94" s="317">
        <f t="shared" si="25"/>
        <v>0</v>
      </c>
      <c r="V94" s="317">
        <f t="shared" si="25"/>
        <v>0</v>
      </c>
      <c r="W94" s="317">
        <f t="shared" si="25"/>
        <v>0</v>
      </c>
      <c r="X94" s="317">
        <f t="shared" si="25"/>
        <v>0</v>
      </c>
      <c r="Y94" s="317">
        <f t="shared" si="25"/>
        <v>0</v>
      </c>
      <c r="Z94" s="317">
        <f t="shared" si="25"/>
        <v>0</v>
      </c>
      <c r="AA94" s="317">
        <f t="shared" si="25"/>
        <v>0</v>
      </c>
      <c r="AB94" s="317">
        <f t="shared" si="25"/>
        <v>0</v>
      </c>
      <c r="AC94" s="317">
        <f t="shared" si="25"/>
        <v>0</v>
      </c>
      <c r="AD94" s="317">
        <f t="shared" si="25"/>
        <v>0</v>
      </c>
      <c r="AE94" s="317">
        <f t="shared" si="25"/>
        <v>0</v>
      </c>
      <c r="AF94" s="599">
        <f t="shared" si="24"/>
        <v>0</v>
      </c>
    </row>
    <row r="95" outlineLevel="1">
      <c r="A95" s="126" t="s">
        <v>263</v>
      </c>
      <c r="B95" s="317">
        <f t="shared" ref="B95:AE95" si="26">B92+B93</f>
        <v>0</v>
      </c>
      <c r="C95" s="317">
        <f t="shared" si="26"/>
        <v>0</v>
      </c>
      <c r="D95" s="317">
        <f t="shared" si="26"/>
        <v>0</v>
      </c>
      <c r="E95" s="317">
        <f t="shared" si="26"/>
        <v>0</v>
      </c>
      <c r="F95" s="317">
        <f t="shared" si="26"/>
        <v>0</v>
      </c>
      <c r="G95" s="317">
        <f t="shared" si="26"/>
        <v>0</v>
      </c>
      <c r="H95" s="317">
        <f t="shared" si="26"/>
        <v>0</v>
      </c>
      <c r="I95" s="317">
        <f t="shared" si="26"/>
        <v>0</v>
      </c>
      <c r="J95" s="317">
        <f t="shared" si="26"/>
        <v>0</v>
      </c>
      <c r="K95" s="317">
        <f t="shared" si="26"/>
        <v>0</v>
      </c>
      <c r="L95" s="317">
        <f t="shared" si="26"/>
        <v>0</v>
      </c>
      <c r="M95" s="317">
        <f t="shared" si="26"/>
        <v>0</v>
      </c>
      <c r="N95" s="317">
        <f t="shared" si="26"/>
        <v>0</v>
      </c>
      <c r="O95" s="317">
        <f t="shared" si="26"/>
        <v>0</v>
      </c>
      <c r="P95" s="317">
        <f t="shared" si="26"/>
        <v>0</v>
      </c>
      <c r="Q95" s="317">
        <f t="shared" si="26"/>
        <v>0</v>
      </c>
      <c r="R95" s="317">
        <f t="shared" si="26"/>
        <v>0</v>
      </c>
      <c r="S95" s="317">
        <f t="shared" si="26"/>
        <v>0</v>
      </c>
      <c r="T95" s="317">
        <f t="shared" si="26"/>
        <v>0</v>
      </c>
      <c r="U95" s="317">
        <f t="shared" si="26"/>
        <v>0</v>
      </c>
      <c r="V95" s="317">
        <f t="shared" si="26"/>
        <v>0</v>
      </c>
      <c r="W95" s="317">
        <f t="shared" si="26"/>
        <v>0</v>
      </c>
      <c r="X95" s="317">
        <f t="shared" si="26"/>
        <v>0</v>
      </c>
      <c r="Y95" s="317">
        <f t="shared" si="26"/>
        <v>0</v>
      </c>
      <c r="Z95" s="317">
        <f t="shared" si="26"/>
        <v>0</v>
      </c>
      <c r="AA95" s="317">
        <f t="shared" si="26"/>
        <v>0</v>
      </c>
      <c r="AB95" s="317">
        <f t="shared" si="26"/>
        <v>0</v>
      </c>
      <c r="AC95" s="317">
        <f t="shared" si="26"/>
        <v>0</v>
      </c>
      <c r="AD95" s="317">
        <f t="shared" si="26"/>
        <v>0</v>
      </c>
      <c r="AE95" s="317">
        <f t="shared" si="26"/>
        <v>0</v>
      </c>
      <c r="AF95" s="599">
        <f t="shared" si="24"/>
        <v>0</v>
      </c>
    </row>
    <row r="96" outlineLevel="1">
      <c r="A96" s="20"/>
      <c r="B96" s="582"/>
      <c r="C96" s="582"/>
      <c r="D96" s="582"/>
      <c r="E96" s="582"/>
      <c r="F96" s="582"/>
      <c r="G96" s="582"/>
      <c r="H96" s="582"/>
      <c r="I96" s="582"/>
      <c r="J96" s="582"/>
      <c r="K96" s="582"/>
      <c r="L96" s="582"/>
      <c r="M96" s="582"/>
      <c r="N96" s="582"/>
      <c r="O96" s="582"/>
      <c r="P96" s="582"/>
      <c r="Q96" s="582"/>
      <c r="R96" s="582"/>
      <c r="S96" s="582"/>
      <c r="T96" s="582"/>
      <c r="U96" s="582"/>
      <c r="V96" s="582"/>
      <c r="W96" s="582"/>
      <c r="X96" s="582"/>
      <c r="Y96" s="582"/>
      <c r="Z96" s="582"/>
      <c r="AA96" s="582"/>
      <c r="AB96" s="582"/>
      <c r="AC96" s="582"/>
      <c r="AD96" s="582"/>
      <c r="AE96" s="580"/>
      <c r="AF96" s="599">
        <f t="shared" si="24"/>
        <v>0</v>
      </c>
    </row>
    <row r="97" outlineLevel="1">
      <c r="A97" s="116" t="s">
        <v>266</v>
      </c>
      <c r="B97" s="100">
        <v>0.0</v>
      </c>
      <c r="C97" s="100">
        <v>0.0</v>
      </c>
      <c r="D97" s="100">
        <v>0.0</v>
      </c>
      <c r="E97" s="100">
        <v>0.0</v>
      </c>
      <c r="F97" s="100">
        <v>0.0</v>
      </c>
      <c r="G97" s="100">
        <v>0.0</v>
      </c>
      <c r="H97" s="100">
        <v>0.0</v>
      </c>
      <c r="I97" s="100">
        <v>0.0</v>
      </c>
      <c r="J97" s="100">
        <v>0.0</v>
      </c>
      <c r="K97" s="100">
        <v>0.0</v>
      </c>
      <c r="L97" s="100">
        <v>0.0</v>
      </c>
      <c r="M97" s="100">
        <v>0.0</v>
      </c>
      <c r="N97" s="100">
        <v>0.0</v>
      </c>
      <c r="O97" s="100">
        <v>0.0</v>
      </c>
      <c r="P97" s="100">
        <v>0.0</v>
      </c>
      <c r="Q97" s="100">
        <v>0.0</v>
      </c>
      <c r="R97" s="100">
        <v>0.0</v>
      </c>
      <c r="S97" s="100">
        <v>0.0</v>
      </c>
      <c r="T97" s="100">
        <v>0.0</v>
      </c>
      <c r="U97" s="100">
        <v>0.0</v>
      </c>
      <c r="V97" s="100">
        <v>0.0</v>
      </c>
      <c r="W97" s="100">
        <v>0.0</v>
      </c>
      <c r="X97" s="286">
        <v>0.0</v>
      </c>
      <c r="Y97" s="286">
        <v>0.0</v>
      </c>
      <c r="Z97" s="286">
        <v>0.0</v>
      </c>
      <c r="AA97" s="286">
        <v>0.0</v>
      </c>
      <c r="AB97" s="286">
        <v>0.0</v>
      </c>
      <c r="AC97" s="286">
        <v>0.0</v>
      </c>
      <c r="AD97" s="286">
        <v>0.0</v>
      </c>
      <c r="AE97" s="286">
        <v>0.0</v>
      </c>
      <c r="AF97" s="599">
        <f t="shared" si="24"/>
        <v>0</v>
      </c>
    </row>
    <row r="98" outlineLevel="1">
      <c r="A98" s="116" t="s">
        <v>267</v>
      </c>
      <c r="B98" s="286">
        <v>0.0</v>
      </c>
      <c r="C98" s="286">
        <v>0.0</v>
      </c>
      <c r="D98" s="286">
        <v>0.0</v>
      </c>
      <c r="E98" s="286">
        <v>0.0</v>
      </c>
      <c r="F98" s="286">
        <v>0.0</v>
      </c>
      <c r="G98" s="286">
        <v>0.0</v>
      </c>
      <c r="H98" s="286">
        <v>0.0</v>
      </c>
      <c r="I98" s="286">
        <v>0.0</v>
      </c>
      <c r="J98" s="286">
        <v>0.0</v>
      </c>
      <c r="K98" s="286">
        <v>0.0</v>
      </c>
      <c r="L98" s="286">
        <v>0.0</v>
      </c>
      <c r="M98" s="286">
        <v>0.0</v>
      </c>
      <c r="N98" s="286">
        <v>0.0</v>
      </c>
      <c r="O98" s="286">
        <v>0.0</v>
      </c>
      <c r="P98" s="286">
        <v>0.0</v>
      </c>
      <c r="Q98" s="286">
        <v>0.0</v>
      </c>
      <c r="R98" s="286">
        <v>0.0</v>
      </c>
      <c r="S98" s="286">
        <v>0.0</v>
      </c>
      <c r="T98" s="286">
        <v>0.0</v>
      </c>
      <c r="U98" s="286">
        <v>0.0</v>
      </c>
      <c r="V98" s="286">
        <v>0.0</v>
      </c>
      <c r="W98" s="286">
        <v>0.0</v>
      </c>
      <c r="X98" s="286">
        <v>0.0</v>
      </c>
      <c r="Y98" s="286">
        <v>0.0</v>
      </c>
      <c r="Z98" s="286">
        <v>0.0</v>
      </c>
      <c r="AA98" s="286">
        <v>0.0</v>
      </c>
      <c r="AB98" s="286">
        <v>0.0</v>
      </c>
      <c r="AC98" s="286">
        <v>0.0</v>
      </c>
      <c r="AD98" s="286">
        <v>0.0</v>
      </c>
      <c r="AE98" s="286">
        <v>0.0</v>
      </c>
      <c r="AF98" s="599">
        <f t="shared" si="24"/>
        <v>0</v>
      </c>
    </row>
    <row r="99" outlineLevel="1">
      <c r="A99" s="116" t="s">
        <v>606</v>
      </c>
      <c r="B99" s="286">
        <v>0.0</v>
      </c>
      <c r="C99" s="286">
        <v>0.0</v>
      </c>
      <c r="D99" s="286">
        <v>0.0</v>
      </c>
      <c r="E99" s="286">
        <v>0.0</v>
      </c>
      <c r="F99" s="286">
        <v>0.0</v>
      </c>
      <c r="G99" s="286">
        <v>0.0</v>
      </c>
      <c r="H99" s="286">
        <v>0.0</v>
      </c>
      <c r="I99" s="286">
        <v>0.0</v>
      </c>
      <c r="J99" s="286">
        <v>0.0</v>
      </c>
      <c r="K99" s="286">
        <v>0.0</v>
      </c>
      <c r="L99" s="286">
        <v>0.0</v>
      </c>
      <c r="M99" s="286">
        <v>0.0</v>
      </c>
      <c r="N99" s="286">
        <v>0.0</v>
      </c>
      <c r="O99" s="286">
        <v>0.0</v>
      </c>
      <c r="P99" s="286">
        <v>0.0</v>
      </c>
      <c r="Q99" s="286">
        <v>0.0</v>
      </c>
      <c r="R99" s="286">
        <v>0.0</v>
      </c>
      <c r="S99" s="286">
        <v>0.0</v>
      </c>
      <c r="T99" s="286">
        <v>0.0</v>
      </c>
      <c r="U99" s="286">
        <v>0.0</v>
      </c>
      <c r="V99" s="286">
        <v>0.0</v>
      </c>
      <c r="W99" s="286">
        <v>0.0</v>
      </c>
      <c r="X99" s="286">
        <v>0.0</v>
      </c>
      <c r="Y99" s="286">
        <v>0.0</v>
      </c>
      <c r="Z99" s="286">
        <v>0.0</v>
      </c>
      <c r="AA99" s="286">
        <v>0.0</v>
      </c>
      <c r="AB99" s="286">
        <v>0.0</v>
      </c>
      <c r="AC99" s="286">
        <v>0.0</v>
      </c>
      <c r="AD99" s="286">
        <v>0.0</v>
      </c>
      <c r="AE99" s="286">
        <v>0.0</v>
      </c>
      <c r="AF99" s="599">
        <f t="shared" si="24"/>
        <v>0</v>
      </c>
    </row>
    <row r="100" outlineLevel="1">
      <c r="A100" s="116" t="s">
        <v>607</v>
      </c>
      <c r="B100" s="286">
        <v>0.0</v>
      </c>
      <c r="C100" s="286">
        <v>0.0</v>
      </c>
      <c r="D100" s="286">
        <v>0.0</v>
      </c>
      <c r="E100" s="286">
        <v>0.0</v>
      </c>
      <c r="F100" s="286">
        <v>0.0</v>
      </c>
      <c r="G100" s="286">
        <v>0.0</v>
      </c>
      <c r="H100" s="286">
        <v>0.0</v>
      </c>
      <c r="I100" s="286">
        <v>0.0</v>
      </c>
      <c r="J100" s="286">
        <v>0.0</v>
      </c>
      <c r="K100" s="286">
        <v>0.0</v>
      </c>
      <c r="L100" s="286">
        <v>0.0</v>
      </c>
      <c r="M100" s="286">
        <v>0.0</v>
      </c>
      <c r="N100" s="286">
        <v>0.0</v>
      </c>
      <c r="O100" s="286">
        <v>0.0</v>
      </c>
      <c r="P100" s="286">
        <v>0.0</v>
      </c>
      <c r="Q100" s="286">
        <v>0.0</v>
      </c>
      <c r="R100" s="286">
        <v>0.0</v>
      </c>
      <c r="S100" s="286">
        <v>0.0</v>
      </c>
      <c r="T100" s="286">
        <v>0.0</v>
      </c>
      <c r="U100" s="286">
        <v>0.0</v>
      </c>
      <c r="V100" s="286">
        <v>0.0</v>
      </c>
      <c r="W100" s="286">
        <v>0.0</v>
      </c>
      <c r="X100" s="286">
        <v>0.0</v>
      </c>
      <c r="Y100" s="286">
        <v>0.0</v>
      </c>
      <c r="Z100" s="286">
        <v>0.0</v>
      </c>
      <c r="AA100" s="286">
        <v>0.0</v>
      </c>
      <c r="AB100" s="286">
        <v>0.0</v>
      </c>
      <c r="AC100" s="286">
        <v>0.0</v>
      </c>
      <c r="AD100" s="286">
        <v>0.0</v>
      </c>
      <c r="AE100" s="286">
        <v>0.0</v>
      </c>
      <c r="AF100" s="599">
        <f t="shared" si="24"/>
        <v>0</v>
      </c>
    </row>
    <row r="101" outlineLevel="1">
      <c r="A101" s="116" t="s">
        <v>608</v>
      </c>
      <c r="B101" s="286">
        <v>0.0</v>
      </c>
      <c r="C101" s="286">
        <v>0.0</v>
      </c>
      <c r="D101" s="286">
        <v>0.0</v>
      </c>
      <c r="E101" s="286">
        <v>0.0</v>
      </c>
      <c r="F101" s="286">
        <v>0.0</v>
      </c>
      <c r="G101" s="286">
        <v>0.0</v>
      </c>
      <c r="H101" s="286">
        <v>0.0</v>
      </c>
      <c r="I101" s="286">
        <v>0.0</v>
      </c>
      <c r="J101" s="286">
        <v>0.0</v>
      </c>
      <c r="K101" s="286">
        <v>0.0</v>
      </c>
      <c r="L101" s="286">
        <v>0.0</v>
      </c>
      <c r="M101" s="286">
        <v>0.0</v>
      </c>
      <c r="N101" s="286">
        <v>0.0</v>
      </c>
      <c r="O101" s="286">
        <v>0.0</v>
      </c>
      <c r="P101" s="286">
        <v>0.0</v>
      </c>
      <c r="Q101" s="286">
        <v>0.0</v>
      </c>
      <c r="R101" s="286">
        <v>0.0</v>
      </c>
      <c r="S101" s="286">
        <v>0.0</v>
      </c>
      <c r="T101" s="286">
        <v>0.0</v>
      </c>
      <c r="U101" s="286">
        <v>0.0</v>
      </c>
      <c r="V101" s="286">
        <v>0.0</v>
      </c>
      <c r="W101" s="286">
        <v>0.0</v>
      </c>
      <c r="X101" s="286">
        <v>0.0</v>
      </c>
      <c r="Y101" s="286">
        <v>0.0</v>
      </c>
      <c r="Z101" s="286">
        <v>0.0</v>
      </c>
      <c r="AA101" s="286">
        <v>0.0</v>
      </c>
      <c r="AB101" s="286">
        <v>0.0</v>
      </c>
      <c r="AC101" s="286">
        <v>0.0</v>
      </c>
      <c r="AD101" s="286">
        <v>0.0</v>
      </c>
      <c r="AE101" s="286">
        <v>0.0</v>
      </c>
      <c r="AF101" s="599">
        <f t="shared" si="24"/>
        <v>0</v>
      </c>
    </row>
    <row r="102" outlineLevel="1">
      <c r="A102" s="116" t="s">
        <v>609</v>
      </c>
      <c r="B102" s="286">
        <v>0.0</v>
      </c>
      <c r="C102" s="286">
        <v>0.0</v>
      </c>
      <c r="D102" s="286">
        <v>0.0</v>
      </c>
      <c r="E102" s="286">
        <v>0.0</v>
      </c>
      <c r="F102" s="286">
        <v>0.0</v>
      </c>
      <c r="G102" s="286">
        <v>0.0</v>
      </c>
      <c r="H102" s="286">
        <v>0.0</v>
      </c>
      <c r="I102" s="286">
        <v>0.0</v>
      </c>
      <c r="J102" s="286">
        <v>0.0</v>
      </c>
      <c r="K102" s="286">
        <v>0.0</v>
      </c>
      <c r="L102" s="286">
        <v>0.0</v>
      </c>
      <c r="M102" s="286">
        <v>0.0</v>
      </c>
      <c r="N102" s="286">
        <v>0.0</v>
      </c>
      <c r="O102" s="286">
        <v>0.0</v>
      </c>
      <c r="P102" s="286">
        <v>0.0</v>
      </c>
      <c r="Q102" s="286">
        <v>0.0</v>
      </c>
      <c r="R102" s="286">
        <v>0.0</v>
      </c>
      <c r="S102" s="286">
        <v>0.0</v>
      </c>
      <c r="T102" s="286">
        <v>0.0</v>
      </c>
      <c r="U102" s="286">
        <v>0.0</v>
      </c>
      <c r="V102" s="286">
        <v>0.0</v>
      </c>
      <c r="W102" s="286">
        <v>0.0</v>
      </c>
      <c r="X102" s="286">
        <v>0.0</v>
      </c>
      <c r="Y102" s="286">
        <v>0.0</v>
      </c>
      <c r="Z102" s="286">
        <v>0.0</v>
      </c>
      <c r="AA102" s="286">
        <v>0.0</v>
      </c>
      <c r="AB102" s="286">
        <v>0.0</v>
      </c>
      <c r="AC102" s="286">
        <v>0.0</v>
      </c>
      <c r="AD102" s="286">
        <v>0.0</v>
      </c>
      <c r="AE102" s="286">
        <v>0.0</v>
      </c>
      <c r="AF102" s="599">
        <f t="shared" si="24"/>
        <v>0</v>
      </c>
    </row>
    <row r="103" outlineLevel="1">
      <c r="A103" s="116" t="s">
        <v>611</v>
      </c>
      <c r="B103" s="286">
        <v>0.0</v>
      </c>
      <c r="C103" s="286">
        <v>0.0</v>
      </c>
      <c r="D103" s="286">
        <v>0.0</v>
      </c>
      <c r="E103" s="286">
        <v>0.0</v>
      </c>
      <c r="F103" s="286">
        <v>0.0</v>
      </c>
      <c r="G103" s="286">
        <v>0.0</v>
      </c>
      <c r="H103" s="286">
        <v>0.0</v>
      </c>
      <c r="I103" s="286">
        <v>0.0</v>
      </c>
      <c r="J103" s="286">
        <v>0.0</v>
      </c>
      <c r="K103" s="286">
        <v>0.0</v>
      </c>
      <c r="L103" s="286">
        <v>0.0</v>
      </c>
      <c r="M103" s="286">
        <v>0.0</v>
      </c>
      <c r="N103" s="286">
        <v>0.0</v>
      </c>
      <c r="O103" s="286">
        <v>0.0</v>
      </c>
      <c r="P103" s="286">
        <v>0.0</v>
      </c>
      <c r="Q103" s="286">
        <v>0.0</v>
      </c>
      <c r="R103" s="286">
        <v>0.0</v>
      </c>
      <c r="S103" s="286">
        <v>0.0</v>
      </c>
      <c r="T103" s="286">
        <v>0.0</v>
      </c>
      <c r="U103" s="286">
        <v>0.0</v>
      </c>
      <c r="V103" s="286">
        <v>0.0</v>
      </c>
      <c r="W103" s="286">
        <v>0.0</v>
      </c>
      <c r="X103" s="286">
        <v>0.0</v>
      </c>
      <c r="Y103" s="286">
        <v>0.0</v>
      </c>
      <c r="Z103" s="286">
        <v>0.0</v>
      </c>
      <c r="AA103" s="286">
        <v>0.0</v>
      </c>
      <c r="AB103" s="286">
        <v>0.0</v>
      </c>
      <c r="AC103" s="286">
        <v>0.0</v>
      </c>
      <c r="AD103" s="286">
        <v>0.0</v>
      </c>
      <c r="AE103" s="286">
        <v>0.0</v>
      </c>
      <c r="AF103" s="599">
        <f t="shared" si="24"/>
        <v>0</v>
      </c>
    </row>
    <row r="104" outlineLevel="1">
      <c r="A104" s="116" t="s">
        <v>612</v>
      </c>
      <c r="B104" s="100">
        <v>0.0</v>
      </c>
      <c r="C104" s="100">
        <v>0.0</v>
      </c>
      <c r="D104" s="100">
        <v>0.0</v>
      </c>
      <c r="E104" s="100">
        <v>0.0</v>
      </c>
      <c r="F104" s="100">
        <v>0.0</v>
      </c>
      <c r="G104" s="100">
        <v>0.0</v>
      </c>
      <c r="H104" s="100">
        <v>0.0</v>
      </c>
      <c r="I104" s="100">
        <v>0.0</v>
      </c>
      <c r="J104" s="100">
        <v>0.0</v>
      </c>
      <c r="K104" s="100">
        <v>0.0</v>
      </c>
      <c r="L104" s="100">
        <v>0.0</v>
      </c>
      <c r="M104" s="100">
        <v>0.0</v>
      </c>
      <c r="N104" s="100">
        <v>0.0</v>
      </c>
      <c r="O104" s="100">
        <v>0.0</v>
      </c>
      <c r="P104" s="100">
        <v>0.0</v>
      </c>
      <c r="Q104" s="100">
        <v>0.0</v>
      </c>
      <c r="R104" s="100">
        <v>0.0</v>
      </c>
      <c r="S104" s="100">
        <v>0.0</v>
      </c>
      <c r="T104" s="100">
        <v>0.0</v>
      </c>
      <c r="U104" s="100">
        <v>0.0</v>
      </c>
      <c r="V104" s="100">
        <v>0.0</v>
      </c>
      <c r="W104" s="100">
        <v>0.0</v>
      </c>
      <c r="X104" s="286">
        <v>0.0</v>
      </c>
      <c r="Y104" s="286">
        <v>0.0</v>
      </c>
      <c r="Z104" s="286">
        <v>0.0</v>
      </c>
      <c r="AA104" s="286">
        <v>0.0</v>
      </c>
      <c r="AB104" s="286">
        <v>0.0</v>
      </c>
      <c r="AC104" s="286">
        <v>0.0</v>
      </c>
      <c r="AD104" s="286">
        <v>0.0</v>
      </c>
      <c r="AE104" s="286">
        <v>0.0</v>
      </c>
      <c r="AF104" s="599">
        <f t="shared" si="24"/>
        <v>0</v>
      </c>
    </row>
    <row r="105" outlineLevel="1">
      <c r="A105" s="271" t="s">
        <v>159</v>
      </c>
      <c r="B105" s="317">
        <f>SUM(B97:B104)</f>
        <v>0</v>
      </c>
      <c r="C105" s="317">
        <f t="shared" ref="C105:AE105" si="27">SUM(C97:C101)</f>
        <v>0</v>
      </c>
      <c r="D105" s="317">
        <f t="shared" si="27"/>
        <v>0</v>
      </c>
      <c r="E105" s="317">
        <f t="shared" si="27"/>
        <v>0</v>
      </c>
      <c r="F105" s="317">
        <f t="shared" si="27"/>
        <v>0</v>
      </c>
      <c r="G105" s="317">
        <f t="shared" si="27"/>
        <v>0</v>
      </c>
      <c r="H105" s="317">
        <f t="shared" si="27"/>
        <v>0</v>
      </c>
      <c r="I105" s="317">
        <f t="shared" si="27"/>
        <v>0</v>
      </c>
      <c r="J105" s="317">
        <f t="shared" si="27"/>
        <v>0</v>
      </c>
      <c r="K105" s="317">
        <f t="shared" si="27"/>
        <v>0</v>
      </c>
      <c r="L105" s="317">
        <f t="shared" si="27"/>
        <v>0</v>
      </c>
      <c r="M105" s="317">
        <f t="shared" si="27"/>
        <v>0</v>
      </c>
      <c r="N105" s="317">
        <f t="shared" si="27"/>
        <v>0</v>
      </c>
      <c r="O105" s="317">
        <f t="shared" si="27"/>
        <v>0</v>
      </c>
      <c r="P105" s="317">
        <f t="shared" si="27"/>
        <v>0</v>
      </c>
      <c r="Q105" s="317">
        <f t="shared" si="27"/>
        <v>0</v>
      </c>
      <c r="R105" s="317">
        <f t="shared" si="27"/>
        <v>0</v>
      </c>
      <c r="S105" s="317">
        <f t="shared" si="27"/>
        <v>0</v>
      </c>
      <c r="T105" s="317">
        <f t="shared" si="27"/>
        <v>0</v>
      </c>
      <c r="U105" s="317">
        <f t="shared" si="27"/>
        <v>0</v>
      </c>
      <c r="V105" s="317">
        <f t="shared" si="27"/>
        <v>0</v>
      </c>
      <c r="W105" s="317">
        <f t="shared" si="27"/>
        <v>0</v>
      </c>
      <c r="X105" s="317">
        <f t="shared" si="27"/>
        <v>0</v>
      </c>
      <c r="Y105" s="317">
        <f t="shared" si="27"/>
        <v>0</v>
      </c>
      <c r="Z105" s="317">
        <f t="shared" si="27"/>
        <v>0</v>
      </c>
      <c r="AA105" s="317">
        <f t="shared" si="27"/>
        <v>0</v>
      </c>
      <c r="AB105" s="317">
        <f t="shared" si="27"/>
        <v>0</v>
      </c>
      <c r="AC105" s="317">
        <f t="shared" si="27"/>
        <v>0</v>
      </c>
      <c r="AD105" s="317">
        <f t="shared" si="27"/>
        <v>0</v>
      </c>
      <c r="AE105" s="317">
        <f t="shared" si="27"/>
        <v>0</v>
      </c>
      <c r="AF105" s="599">
        <f t="shared" si="24"/>
        <v>0</v>
      </c>
    </row>
    <row r="106" outlineLevel="1">
      <c r="A106" s="20"/>
      <c r="B106" s="609"/>
      <c r="C106" s="609"/>
      <c r="D106" s="609"/>
      <c r="E106" s="609"/>
      <c r="F106" s="609"/>
      <c r="G106" s="609"/>
      <c r="H106" s="609"/>
      <c r="I106" s="609"/>
      <c r="J106" s="609"/>
      <c r="K106" s="609"/>
      <c r="L106" s="609"/>
      <c r="M106" s="609"/>
      <c r="N106" s="609"/>
      <c r="O106" s="609"/>
      <c r="P106" s="609"/>
      <c r="Q106" s="609"/>
      <c r="R106" s="609"/>
      <c r="S106" s="609"/>
      <c r="T106" s="609"/>
      <c r="U106" s="609"/>
      <c r="V106" s="609"/>
      <c r="W106" s="609"/>
      <c r="X106" s="609"/>
      <c r="Y106" s="609"/>
      <c r="Z106" s="609"/>
      <c r="AA106" s="609"/>
      <c r="AB106" s="609"/>
      <c r="AC106" s="609"/>
      <c r="AD106" s="609"/>
      <c r="AE106" s="609"/>
      <c r="AF106" s="599">
        <f t="shared" si="24"/>
        <v>0</v>
      </c>
    </row>
    <row r="107" outlineLevel="1">
      <c r="A107" s="271" t="s">
        <v>363</v>
      </c>
      <c r="B107" s="701"/>
      <c r="C107" s="701"/>
      <c r="D107" s="701"/>
      <c r="E107" s="701"/>
      <c r="F107" s="701"/>
      <c r="G107" s="701"/>
      <c r="H107" s="701"/>
      <c r="I107" s="701"/>
      <c r="J107" s="701"/>
      <c r="K107" s="701"/>
      <c r="L107" s="701"/>
      <c r="M107" s="701"/>
      <c r="N107" s="701"/>
      <c r="O107" s="701"/>
      <c r="P107" s="701"/>
      <c r="Q107" s="701"/>
      <c r="R107" s="701"/>
      <c r="S107" s="701"/>
      <c r="T107" s="701"/>
      <c r="U107" s="701"/>
      <c r="V107" s="701"/>
      <c r="W107" s="701"/>
      <c r="X107" s="701"/>
      <c r="Y107" s="701"/>
      <c r="Z107" s="701"/>
      <c r="AA107" s="701"/>
      <c r="AB107" s="701"/>
      <c r="AC107" s="701"/>
      <c r="AD107" s="701"/>
      <c r="AE107" s="701"/>
      <c r="AF107" s="599">
        <f t="shared" si="24"/>
        <v>0</v>
      </c>
    </row>
    <row r="108" outlineLevel="1">
      <c r="A108" s="116" t="s">
        <v>364</v>
      </c>
      <c r="B108" s="100">
        <v>0.0</v>
      </c>
      <c r="C108" s="286">
        <v>0.0</v>
      </c>
      <c r="D108" s="286">
        <v>0.0</v>
      </c>
      <c r="E108" s="286">
        <v>0.0</v>
      </c>
      <c r="F108" s="286">
        <v>0.0</v>
      </c>
      <c r="G108" s="286">
        <v>0.0</v>
      </c>
      <c r="H108" s="100">
        <v>0.0</v>
      </c>
      <c r="I108" s="100">
        <v>0.0</v>
      </c>
      <c r="J108" s="100">
        <v>0.0</v>
      </c>
      <c r="K108" s="100">
        <v>0.0</v>
      </c>
      <c r="L108" s="100">
        <v>0.0</v>
      </c>
      <c r="M108" s="100">
        <v>0.0</v>
      </c>
      <c r="N108" s="100">
        <v>0.0</v>
      </c>
      <c r="O108" s="100">
        <v>0.0</v>
      </c>
      <c r="P108" s="100">
        <v>0.0</v>
      </c>
      <c r="Q108" s="100">
        <v>0.0</v>
      </c>
      <c r="R108" s="100">
        <v>0.0</v>
      </c>
      <c r="S108" s="100">
        <v>0.0</v>
      </c>
      <c r="T108" s="100">
        <v>0.0</v>
      </c>
      <c r="U108" s="100">
        <v>0.0</v>
      </c>
      <c r="V108" s="100">
        <v>0.0</v>
      </c>
      <c r="W108" s="100">
        <v>0.0</v>
      </c>
      <c r="X108" s="286">
        <v>0.0</v>
      </c>
      <c r="Y108" s="286">
        <v>0.0</v>
      </c>
      <c r="Z108" s="286">
        <v>0.0</v>
      </c>
      <c r="AA108" s="286">
        <v>0.0</v>
      </c>
      <c r="AB108" s="286">
        <v>0.0</v>
      </c>
      <c r="AC108" s="286">
        <v>0.0</v>
      </c>
      <c r="AD108" s="286">
        <v>0.0</v>
      </c>
      <c r="AE108" s="286">
        <v>0.0</v>
      </c>
      <c r="AF108" s="599">
        <f t="shared" si="24"/>
        <v>0</v>
      </c>
    </row>
    <row r="109" outlineLevel="1">
      <c r="A109" s="116" t="s">
        <v>365</v>
      </c>
      <c r="B109" s="100">
        <v>0.0</v>
      </c>
      <c r="C109" s="286">
        <v>0.0</v>
      </c>
      <c r="D109" s="286">
        <v>0.0</v>
      </c>
      <c r="E109" s="286">
        <v>0.0</v>
      </c>
      <c r="F109" s="286">
        <v>0.0</v>
      </c>
      <c r="G109" s="286">
        <v>0.0</v>
      </c>
      <c r="H109" s="100">
        <v>0.0</v>
      </c>
      <c r="I109" s="100">
        <v>0.0</v>
      </c>
      <c r="J109" s="100">
        <v>0.0</v>
      </c>
      <c r="K109" s="100">
        <v>0.0</v>
      </c>
      <c r="L109" s="100">
        <v>0.0</v>
      </c>
      <c r="M109" s="100">
        <v>0.0</v>
      </c>
      <c r="N109" s="100">
        <v>0.0</v>
      </c>
      <c r="O109" s="100">
        <v>0.0</v>
      </c>
      <c r="P109" s="100">
        <v>0.0</v>
      </c>
      <c r="Q109" s="100">
        <v>0.0</v>
      </c>
      <c r="R109" s="100">
        <v>0.0</v>
      </c>
      <c r="S109" s="100">
        <v>0.0</v>
      </c>
      <c r="T109" s="100">
        <v>0.0</v>
      </c>
      <c r="U109" s="100">
        <v>0.0</v>
      </c>
      <c r="V109" s="100">
        <v>0.0</v>
      </c>
      <c r="W109" s="100">
        <v>0.0</v>
      </c>
      <c r="X109" s="286">
        <v>0.0</v>
      </c>
      <c r="Y109" s="286">
        <v>0.0</v>
      </c>
      <c r="Z109" s="286">
        <v>0.0</v>
      </c>
      <c r="AA109" s="286">
        <v>0.0</v>
      </c>
      <c r="AB109" s="286">
        <v>0.0</v>
      </c>
      <c r="AC109" s="286">
        <v>0.0</v>
      </c>
      <c r="AD109" s="286">
        <v>0.0</v>
      </c>
      <c r="AE109" s="286">
        <v>0.0</v>
      </c>
      <c r="AF109" s="599">
        <f t="shared" si="24"/>
        <v>0</v>
      </c>
    </row>
    <row r="110" outlineLevel="1">
      <c r="A110" s="116" t="s">
        <v>367</v>
      </c>
      <c r="B110" s="100">
        <v>0.0</v>
      </c>
      <c r="C110" s="286">
        <v>0.0</v>
      </c>
      <c r="D110" s="286">
        <v>0.0</v>
      </c>
      <c r="E110" s="286">
        <v>0.0</v>
      </c>
      <c r="F110" s="286">
        <v>0.0</v>
      </c>
      <c r="G110" s="286">
        <v>0.0</v>
      </c>
      <c r="H110" s="100">
        <v>0.0</v>
      </c>
      <c r="I110" s="100">
        <v>0.0</v>
      </c>
      <c r="J110" s="100">
        <v>0.0</v>
      </c>
      <c r="K110" s="100">
        <v>0.0</v>
      </c>
      <c r="L110" s="100">
        <v>0.0</v>
      </c>
      <c r="M110" s="100">
        <v>0.0</v>
      </c>
      <c r="N110" s="100">
        <v>0.0</v>
      </c>
      <c r="O110" s="100">
        <v>0.0</v>
      </c>
      <c r="P110" s="100">
        <v>0.0</v>
      </c>
      <c r="Q110" s="100">
        <v>0.0</v>
      </c>
      <c r="R110" s="100">
        <v>0.0</v>
      </c>
      <c r="S110" s="100">
        <v>0.0</v>
      </c>
      <c r="T110" s="100">
        <v>0.0</v>
      </c>
      <c r="U110" s="100">
        <v>0.0</v>
      </c>
      <c r="V110" s="100">
        <v>0.0</v>
      </c>
      <c r="W110" s="100">
        <v>0.0</v>
      </c>
      <c r="X110" s="286">
        <v>0.0</v>
      </c>
      <c r="Y110" s="286">
        <v>0.0</v>
      </c>
      <c r="Z110" s="286">
        <v>0.0</v>
      </c>
      <c r="AA110" s="286">
        <v>0.0</v>
      </c>
      <c r="AB110" s="286">
        <v>0.0</v>
      </c>
      <c r="AC110" s="286">
        <v>0.0</v>
      </c>
      <c r="AD110" s="286">
        <v>0.0</v>
      </c>
      <c r="AE110" s="262">
        <v>0.0</v>
      </c>
      <c r="AF110" s="599">
        <f t="shared" si="24"/>
        <v>0</v>
      </c>
    </row>
    <row r="111" outlineLevel="1">
      <c r="A111" s="20"/>
      <c r="B111" s="609"/>
      <c r="C111" s="609"/>
      <c r="D111" s="609"/>
      <c r="E111" s="609"/>
      <c r="F111" s="609"/>
      <c r="G111" s="609"/>
      <c r="H111" s="609"/>
      <c r="I111" s="609"/>
      <c r="J111" s="609"/>
      <c r="K111" s="609"/>
      <c r="L111" s="609"/>
      <c r="M111" s="609"/>
      <c r="N111" s="609"/>
      <c r="O111" s="609"/>
      <c r="P111" s="609"/>
      <c r="Q111" s="609"/>
      <c r="R111" s="609"/>
      <c r="S111" s="609"/>
      <c r="T111" s="609"/>
      <c r="U111" s="609"/>
      <c r="V111" s="609"/>
      <c r="W111" s="609"/>
      <c r="X111" s="609"/>
      <c r="Y111" s="609"/>
      <c r="Z111" s="609"/>
      <c r="AA111" s="609"/>
      <c r="AB111" s="609"/>
      <c r="AC111" s="609"/>
      <c r="AD111" s="609"/>
      <c r="AE111" s="609"/>
      <c r="AF111" s="599">
        <f t="shared" si="24"/>
        <v>0</v>
      </c>
    </row>
    <row r="112" outlineLevel="1">
      <c r="A112" s="410" t="s">
        <v>368</v>
      </c>
      <c r="B112" s="317">
        <v>0.0</v>
      </c>
      <c r="C112" s="317">
        <v>0.0</v>
      </c>
      <c r="D112" s="317">
        <v>0.0</v>
      </c>
      <c r="E112" s="317">
        <v>0.0</v>
      </c>
      <c r="F112" s="317">
        <v>0.0</v>
      </c>
      <c r="G112" s="317">
        <v>0.0</v>
      </c>
      <c r="H112" s="317">
        <v>0.0</v>
      </c>
      <c r="I112" s="317">
        <v>0.0</v>
      </c>
      <c r="J112" s="317">
        <v>0.0</v>
      </c>
      <c r="K112" s="317">
        <v>0.0</v>
      </c>
      <c r="L112" s="317">
        <v>0.0</v>
      </c>
      <c r="M112" s="317">
        <v>0.0</v>
      </c>
      <c r="N112" s="317">
        <v>0.0</v>
      </c>
      <c r="O112" s="317">
        <v>0.0</v>
      </c>
      <c r="P112" s="317">
        <v>0.0</v>
      </c>
      <c r="Q112" s="317">
        <v>0.0</v>
      </c>
      <c r="R112" s="317">
        <v>0.0</v>
      </c>
      <c r="S112" s="317">
        <v>0.0</v>
      </c>
      <c r="T112" s="317">
        <v>0.0</v>
      </c>
      <c r="U112" s="317">
        <v>0.0</v>
      </c>
      <c r="V112" s="317">
        <v>0.0</v>
      </c>
      <c r="W112" s="317">
        <v>0.0</v>
      </c>
      <c r="X112" s="317">
        <v>0.0</v>
      </c>
      <c r="Y112" s="317">
        <v>0.0</v>
      </c>
      <c r="Z112" s="317">
        <v>0.0</v>
      </c>
      <c r="AA112" s="317">
        <v>0.0</v>
      </c>
      <c r="AB112" s="317">
        <v>0.0</v>
      </c>
      <c r="AC112" s="317">
        <v>0.0</v>
      </c>
      <c r="AD112" s="317">
        <v>0.0</v>
      </c>
      <c r="AE112" s="425">
        <v>0.0</v>
      </c>
      <c r="AF112" s="599">
        <f t="shared" si="24"/>
        <v>0</v>
      </c>
    </row>
    <row r="113">
      <c r="A113" s="20"/>
      <c r="B113" s="609"/>
      <c r="C113" s="609"/>
      <c r="D113" s="609"/>
      <c r="E113" s="609"/>
      <c r="F113" s="609"/>
      <c r="G113" s="609"/>
      <c r="H113" s="609"/>
      <c r="I113" s="609"/>
      <c r="J113" s="609"/>
      <c r="K113" s="609"/>
      <c r="L113" s="609"/>
      <c r="M113" s="609"/>
      <c r="N113" s="609"/>
      <c r="O113" s="609"/>
      <c r="P113" s="609"/>
      <c r="Q113" s="609"/>
      <c r="R113" s="609"/>
      <c r="S113" s="609"/>
      <c r="T113" s="609"/>
      <c r="U113" s="609"/>
      <c r="V113" s="609"/>
      <c r="W113" s="609"/>
      <c r="X113" s="609"/>
      <c r="Y113" s="609"/>
      <c r="Z113" s="609"/>
      <c r="AA113" s="609"/>
      <c r="AB113" s="609"/>
      <c r="AC113" s="609"/>
      <c r="AD113" s="609"/>
      <c r="AE113" s="580"/>
      <c r="AF113" s="714"/>
    </row>
    <row r="114">
      <c r="A114" s="20"/>
      <c r="B114" s="609"/>
      <c r="C114" s="609"/>
      <c r="D114" s="609"/>
      <c r="E114" s="609"/>
      <c r="F114" s="609"/>
      <c r="G114" s="609"/>
      <c r="H114" s="609"/>
      <c r="I114" s="609"/>
      <c r="J114" s="609"/>
      <c r="K114" s="609"/>
      <c r="L114" s="609"/>
      <c r="M114" s="609"/>
      <c r="N114" s="609"/>
      <c r="O114" s="609"/>
      <c r="P114" s="609"/>
      <c r="Q114" s="609"/>
      <c r="R114" s="609"/>
      <c r="S114" s="609"/>
      <c r="T114" s="609"/>
      <c r="U114" s="609"/>
      <c r="V114" s="609"/>
      <c r="W114" s="609"/>
      <c r="X114" s="609"/>
      <c r="Y114" s="609"/>
      <c r="Z114" s="609"/>
      <c r="AA114" s="609"/>
      <c r="AB114" s="609"/>
      <c r="AC114" s="609"/>
      <c r="AD114" s="609"/>
      <c r="AE114" s="580"/>
      <c r="AF114" s="714"/>
    </row>
    <row r="115" ht="34.5" customHeight="1">
      <c r="A115" s="716" t="s">
        <v>624</v>
      </c>
      <c r="B115" s="717"/>
      <c r="C115" s="717"/>
      <c r="D115" s="717"/>
      <c r="E115" s="717"/>
      <c r="F115" s="717"/>
      <c r="G115" s="717"/>
      <c r="H115" s="717"/>
      <c r="I115" s="717"/>
      <c r="J115" s="717"/>
      <c r="K115" s="717"/>
      <c r="L115" s="717"/>
      <c r="M115" s="717"/>
      <c r="N115" s="717"/>
      <c r="O115" s="717"/>
      <c r="P115" s="717"/>
      <c r="Q115" s="717"/>
      <c r="R115" s="717"/>
      <c r="S115" s="717"/>
      <c r="T115" s="717"/>
      <c r="U115" s="717"/>
      <c r="V115" s="717"/>
      <c r="W115" s="717"/>
      <c r="X115" s="717"/>
      <c r="Y115" s="717"/>
      <c r="Z115" s="717"/>
      <c r="AA115" s="717"/>
      <c r="AB115" s="717"/>
      <c r="AC115" s="717"/>
      <c r="AD115" s="717"/>
      <c r="AE115" s="718"/>
      <c r="AF115" s="590"/>
    </row>
    <row r="116">
      <c r="A116" s="147" t="s">
        <v>98</v>
      </c>
      <c r="B116" s="593"/>
      <c r="C116" s="593"/>
      <c r="D116" s="593"/>
      <c r="E116" s="593"/>
      <c r="F116" s="593"/>
      <c r="G116" s="593"/>
      <c r="H116" s="593"/>
      <c r="I116" s="593"/>
      <c r="J116" s="593"/>
      <c r="K116" s="593"/>
      <c r="L116" s="593"/>
      <c r="M116" s="593"/>
      <c r="N116" s="593"/>
      <c r="O116" s="593"/>
      <c r="P116" s="593"/>
      <c r="Q116" s="593"/>
      <c r="R116" s="593"/>
      <c r="S116" s="593"/>
      <c r="T116" s="593"/>
      <c r="U116" s="593"/>
      <c r="V116" s="593"/>
      <c r="W116" s="593"/>
      <c r="X116" s="593"/>
      <c r="Y116" s="593"/>
      <c r="Z116" s="593"/>
      <c r="AA116" s="593"/>
      <c r="AB116" s="593"/>
      <c r="AC116" s="593"/>
      <c r="AD116" s="593"/>
      <c r="AE116" s="593"/>
      <c r="AF116" s="599">
        <f>SUM(B116:AE116)</f>
        <v>0</v>
      </c>
    </row>
    <row r="117" outlineLevel="1">
      <c r="A117" s="592" t="s">
        <v>177</v>
      </c>
      <c r="B117" s="593"/>
      <c r="C117" s="593"/>
      <c r="D117" s="593"/>
      <c r="E117" s="593"/>
      <c r="F117" s="593"/>
      <c r="G117" s="593"/>
      <c r="H117" s="593"/>
      <c r="I117" s="593"/>
      <c r="J117" s="593"/>
      <c r="K117" s="593"/>
      <c r="L117" s="593"/>
      <c r="M117" s="593"/>
      <c r="N117" s="593"/>
      <c r="O117" s="593"/>
      <c r="P117" s="593"/>
      <c r="Q117" s="593"/>
      <c r="R117" s="593"/>
      <c r="S117" s="593"/>
      <c r="T117" s="593"/>
      <c r="U117" s="593"/>
      <c r="V117" s="593"/>
      <c r="W117" s="593"/>
      <c r="X117" s="593"/>
      <c r="Y117" s="593"/>
      <c r="Z117" s="593"/>
      <c r="AA117" s="593"/>
      <c r="AB117" s="593"/>
      <c r="AC117" s="593"/>
      <c r="AD117" s="593"/>
      <c r="AE117" s="593"/>
      <c r="AF117" s="590"/>
    </row>
    <row r="118" outlineLevel="1">
      <c r="A118" s="114" t="s">
        <v>139</v>
      </c>
      <c r="B118" s="593"/>
      <c r="C118" s="593"/>
      <c r="D118" s="593"/>
      <c r="E118" s="593"/>
      <c r="F118" s="593"/>
      <c r="G118" s="593"/>
      <c r="H118" s="593"/>
      <c r="I118" s="593"/>
      <c r="J118" s="593"/>
      <c r="K118" s="593"/>
      <c r="L118" s="593"/>
      <c r="M118" s="593"/>
      <c r="N118" s="593"/>
      <c r="O118" s="593"/>
      <c r="P118" s="593"/>
      <c r="Q118" s="593"/>
      <c r="R118" s="593"/>
      <c r="S118" s="593"/>
      <c r="T118" s="593"/>
      <c r="U118" s="593"/>
      <c r="V118" s="593"/>
      <c r="W118" s="593"/>
      <c r="X118" s="593"/>
      <c r="Y118" s="593"/>
      <c r="Z118" s="593"/>
      <c r="AA118" s="593"/>
      <c r="AB118" s="593"/>
      <c r="AC118" s="593"/>
      <c r="AD118" s="593"/>
      <c r="AE118" s="593"/>
      <c r="AF118" s="599">
        <f t="shared" ref="AF118:AF119" si="28">SUM(B118:AE118)</f>
        <v>0</v>
      </c>
    </row>
    <row r="119" outlineLevel="1">
      <c r="A119" s="114" t="s">
        <v>536</v>
      </c>
      <c r="B119" s="593"/>
      <c r="C119" s="593"/>
      <c r="D119" s="593"/>
      <c r="E119" s="593"/>
      <c r="F119" s="593"/>
      <c r="G119" s="593"/>
      <c r="H119" s="593"/>
      <c r="I119" s="593"/>
      <c r="J119" s="593"/>
      <c r="K119" s="593"/>
      <c r="L119" s="593"/>
      <c r="M119" s="593"/>
      <c r="N119" s="593"/>
      <c r="O119" s="593"/>
      <c r="P119" s="593"/>
      <c r="Q119" s="593"/>
      <c r="R119" s="593"/>
      <c r="S119" s="593"/>
      <c r="T119" s="593"/>
      <c r="U119" s="593"/>
      <c r="V119" s="593"/>
      <c r="W119" s="593"/>
      <c r="X119" s="593"/>
      <c r="Y119" s="593"/>
      <c r="Z119" s="593"/>
      <c r="AA119" s="593"/>
      <c r="AB119" s="593"/>
      <c r="AC119" s="593"/>
      <c r="AD119" s="593"/>
      <c r="AE119" s="593"/>
      <c r="AF119" s="599">
        <f t="shared" si="28"/>
        <v>0</v>
      </c>
    </row>
    <row r="120">
      <c r="A120" s="727" t="s">
        <v>69</v>
      </c>
      <c r="B120" s="623"/>
      <c r="C120" s="623"/>
      <c r="D120" s="623"/>
      <c r="E120" s="623"/>
      <c r="F120" s="623"/>
      <c r="G120" s="623"/>
      <c r="H120" s="623"/>
      <c r="I120" s="623"/>
      <c r="J120" s="623"/>
      <c r="K120" s="623"/>
      <c r="L120" s="623"/>
      <c r="M120" s="623"/>
      <c r="N120" s="623"/>
      <c r="O120" s="623"/>
      <c r="P120" s="623"/>
      <c r="Q120" s="623"/>
      <c r="R120" s="623"/>
      <c r="S120" s="623"/>
      <c r="T120" s="623"/>
      <c r="U120" s="623"/>
      <c r="V120" s="623"/>
      <c r="W120" s="623"/>
      <c r="X120" s="623"/>
      <c r="Y120" s="623"/>
      <c r="Z120" s="623"/>
      <c r="AA120" s="623"/>
      <c r="AB120" s="623"/>
      <c r="AC120" s="623"/>
      <c r="AD120" s="623"/>
      <c r="AE120" s="665"/>
      <c r="AF120" s="599">
        <f>sum(B120:AE120)</f>
        <v>0</v>
      </c>
    </row>
    <row r="121">
      <c r="A121" s="20"/>
      <c r="B121" s="597"/>
      <c r="C121" s="597"/>
      <c r="D121" s="597"/>
      <c r="E121" s="597"/>
      <c r="F121" s="597"/>
      <c r="G121" s="597"/>
      <c r="H121" s="597"/>
      <c r="I121" s="597"/>
      <c r="J121" s="597"/>
      <c r="K121" s="597"/>
      <c r="L121" s="597"/>
      <c r="M121" s="597"/>
      <c r="N121" s="597"/>
      <c r="O121" s="597"/>
      <c r="P121" s="597"/>
      <c r="Q121" s="597"/>
      <c r="R121" s="597"/>
      <c r="S121" s="597"/>
      <c r="T121" s="597"/>
      <c r="U121" s="597"/>
      <c r="V121" s="597"/>
      <c r="W121" s="597"/>
      <c r="X121" s="597"/>
      <c r="Y121" s="597"/>
      <c r="Z121" s="597"/>
      <c r="AA121" s="597"/>
      <c r="AB121" s="597"/>
      <c r="AC121" s="597"/>
      <c r="AD121" s="597"/>
      <c r="AE121" s="665"/>
      <c r="AF121" s="714"/>
    </row>
    <row r="122">
      <c r="A122" s="116" t="s">
        <v>641</v>
      </c>
      <c r="B122" s="665"/>
      <c r="C122" s="665"/>
      <c r="D122" s="665"/>
      <c r="E122" s="665"/>
      <c r="F122" s="665"/>
      <c r="G122" s="665"/>
      <c r="H122" s="665"/>
      <c r="I122" s="665"/>
      <c r="J122" s="665"/>
      <c r="K122" s="665"/>
      <c r="L122" s="665"/>
      <c r="M122" s="665"/>
      <c r="N122" s="665"/>
      <c r="O122" s="665"/>
      <c r="P122" s="665"/>
      <c r="Q122" s="665"/>
      <c r="R122" s="665"/>
      <c r="S122" s="665"/>
      <c r="T122" s="665"/>
      <c r="U122" s="665"/>
      <c r="V122" s="665"/>
      <c r="W122" s="665"/>
      <c r="X122" s="665"/>
      <c r="Y122" s="665"/>
      <c r="Z122" s="665"/>
      <c r="AA122" s="665"/>
      <c r="AB122" s="665"/>
      <c r="AC122" s="665"/>
      <c r="AD122" s="665"/>
      <c r="AE122" s="665"/>
      <c r="AF122" s="599">
        <f>sum(B122:AE122)</f>
        <v>0</v>
      </c>
    </row>
    <row r="123">
      <c r="A123" s="20"/>
      <c r="B123" s="597"/>
      <c r="C123" s="597"/>
      <c r="D123" s="597"/>
      <c r="E123" s="597"/>
      <c r="F123" s="597"/>
      <c r="G123" s="597"/>
      <c r="H123" s="597"/>
      <c r="I123" s="597"/>
      <c r="J123" s="597"/>
      <c r="K123" s="597"/>
      <c r="L123" s="597"/>
      <c r="M123" s="597"/>
      <c r="N123" s="597"/>
      <c r="O123" s="597"/>
      <c r="P123" s="597"/>
      <c r="Q123" s="597"/>
      <c r="R123" s="597"/>
      <c r="S123" s="597"/>
      <c r="T123" s="597"/>
      <c r="U123" s="597"/>
      <c r="V123" s="597"/>
      <c r="W123" s="597"/>
      <c r="X123" s="597"/>
      <c r="Y123" s="597"/>
      <c r="Z123" s="597"/>
      <c r="AA123" s="597"/>
      <c r="AB123" s="597"/>
      <c r="AC123" s="597"/>
      <c r="AD123" s="597"/>
      <c r="AE123" s="627"/>
      <c r="AF123" s="590"/>
    </row>
    <row r="124">
      <c r="A124" s="73" t="s">
        <v>648</v>
      </c>
      <c r="B124" s="623"/>
      <c r="C124" s="593"/>
      <c r="D124" s="593"/>
      <c r="E124" s="593"/>
      <c r="F124" s="593"/>
      <c r="G124" s="593"/>
      <c r="H124" s="593"/>
      <c r="I124" s="593"/>
      <c r="J124" s="593"/>
      <c r="K124" s="593"/>
      <c r="L124" s="593"/>
      <c r="M124" s="593"/>
      <c r="N124" s="593"/>
      <c r="O124" s="593"/>
      <c r="P124" s="593"/>
      <c r="Q124" s="593"/>
      <c r="R124" s="593"/>
      <c r="S124" s="593"/>
      <c r="T124" s="593"/>
      <c r="U124" s="593"/>
      <c r="V124" s="593"/>
      <c r="W124" s="593"/>
      <c r="X124" s="593"/>
      <c r="Y124" s="593"/>
      <c r="Z124" s="593"/>
      <c r="AA124" s="593"/>
      <c r="AB124" s="593"/>
      <c r="AC124" s="593"/>
      <c r="AD124" s="593"/>
      <c r="AE124" s="627"/>
      <c r="AF124" s="590"/>
    </row>
    <row r="125">
      <c r="A125" s="78" t="s">
        <v>652</v>
      </c>
      <c r="B125" s="623"/>
      <c r="C125" s="623"/>
      <c r="D125" s="623"/>
      <c r="E125" s="623"/>
      <c r="F125" s="623"/>
      <c r="G125" s="623"/>
      <c r="H125" s="623"/>
      <c r="I125" s="623"/>
      <c r="J125" s="623"/>
      <c r="K125" s="623"/>
      <c r="L125" s="623"/>
      <c r="M125" s="623"/>
      <c r="N125" s="623"/>
      <c r="O125" s="623"/>
      <c r="P125" s="623"/>
      <c r="Q125" s="623"/>
      <c r="R125" s="623"/>
      <c r="S125" s="623"/>
      <c r="T125" s="623"/>
      <c r="U125" s="623"/>
      <c r="V125" s="623"/>
      <c r="W125" s="623"/>
      <c r="X125" s="623"/>
      <c r="Y125" s="623"/>
      <c r="Z125" s="623"/>
      <c r="AA125" s="623"/>
      <c r="AB125" s="623"/>
      <c r="AC125" s="623"/>
      <c r="AD125" s="627"/>
      <c r="AE125" s="627"/>
      <c r="AF125" s="599">
        <f t="shared" ref="AF125:AF129" si="29">sum(B125:AE125)</f>
        <v>0</v>
      </c>
    </row>
    <row r="126">
      <c r="A126" s="78" t="s">
        <v>656</v>
      </c>
      <c r="B126" s="623"/>
      <c r="C126" s="623"/>
      <c r="D126" s="623"/>
      <c r="E126" s="623"/>
      <c r="F126" s="623"/>
      <c r="G126" s="623"/>
      <c r="H126" s="623"/>
      <c r="I126" s="623"/>
      <c r="J126" s="623"/>
      <c r="K126" s="623"/>
      <c r="L126" s="623"/>
      <c r="M126" s="623"/>
      <c r="N126" s="623"/>
      <c r="O126" s="623"/>
      <c r="P126" s="623"/>
      <c r="Q126" s="623"/>
      <c r="R126" s="623"/>
      <c r="S126" s="623"/>
      <c r="T126" s="623"/>
      <c r="U126" s="623"/>
      <c r="V126" s="623"/>
      <c r="W126" s="623"/>
      <c r="X126" s="623"/>
      <c r="Y126" s="623"/>
      <c r="Z126" s="623"/>
      <c r="AA126" s="623"/>
      <c r="AB126" s="623"/>
      <c r="AC126" s="623"/>
      <c r="AD126" s="627"/>
      <c r="AE126" s="627"/>
      <c r="AF126" s="599">
        <f t="shared" si="29"/>
        <v>0</v>
      </c>
    </row>
    <row r="127">
      <c r="A127" s="78" t="s">
        <v>660</v>
      </c>
      <c r="B127" s="623"/>
      <c r="C127" s="623"/>
      <c r="D127" s="623"/>
      <c r="E127" s="623"/>
      <c r="F127" s="623"/>
      <c r="G127" s="623"/>
      <c r="H127" s="623"/>
      <c r="I127" s="623"/>
      <c r="J127" s="623"/>
      <c r="K127" s="623"/>
      <c r="L127" s="623"/>
      <c r="M127" s="623"/>
      <c r="N127" s="623"/>
      <c r="O127" s="623"/>
      <c r="P127" s="623"/>
      <c r="Q127" s="623"/>
      <c r="R127" s="623"/>
      <c r="S127" s="623"/>
      <c r="T127" s="623"/>
      <c r="U127" s="623"/>
      <c r="V127" s="623"/>
      <c r="W127" s="623"/>
      <c r="X127" s="623"/>
      <c r="Y127" s="623"/>
      <c r="Z127" s="623"/>
      <c r="AA127" s="623"/>
      <c r="AB127" s="623"/>
      <c r="AC127" s="623"/>
      <c r="AD127" s="593"/>
      <c r="AE127" s="627"/>
      <c r="AF127" s="599">
        <f t="shared" si="29"/>
        <v>0</v>
      </c>
    </row>
    <row r="128">
      <c r="A128" s="78" t="s">
        <v>664</v>
      </c>
      <c r="B128" s="623"/>
      <c r="C128" s="623"/>
      <c r="D128" s="623"/>
      <c r="E128" s="623"/>
      <c r="F128" s="623"/>
      <c r="G128" s="623"/>
      <c r="H128" s="623"/>
      <c r="I128" s="623"/>
      <c r="J128" s="623"/>
      <c r="K128" s="623"/>
      <c r="L128" s="623"/>
      <c r="M128" s="623"/>
      <c r="N128" s="623"/>
      <c r="O128" s="623"/>
      <c r="P128" s="623"/>
      <c r="Q128" s="623"/>
      <c r="R128" s="623"/>
      <c r="S128" s="623"/>
      <c r="T128" s="623"/>
      <c r="U128" s="623"/>
      <c r="V128" s="623"/>
      <c r="W128" s="623"/>
      <c r="X128" s="623"/>
      <c r="Y128" s="623"/>
      <c r="Z128" s="623"/>
      <c r="AA128" s="623"/>
      <c r="AB128" s="623"/>
      <c r="AC128" s="623"/>
      <c r="AD128" s="597"/>
      <c r="AE128" s="627"/>
      <c r="AF128" s="599">
        <f t="shared" si="29"/>
        <v>0</v>
      </c>
    </row>
    <row r="129">
      <c r="A129" s="91" t="s">
        <v>145</v>
      </c>
      <c r="B129" s="743"/>
      <c r="C129" s="743"/>
      <c r="D129" s="743"/>
      <c r="E129" s="743"/>
      <c r="F129" s="743"/>
      <c r="G129" s="743"/>
      <c r="H129" s="743"/>
      <c r="I129" s="743"/>
      <c r="J129" s="743"/>
      <c r="K129" s="743"/>
      <c r="L129" s="743"/>
      <c r="M129" s="743"/>
      <c r="N129" s="743"/>
      <c r="O129" s="743"/>
      <c r="P129" s="743"/>
      <c r="Q129" s="743"/>
      <c r="R129" s="743"/>
      <c r="S129" s="743"/>
      <c r="T129" s="743"/>
      <c r="U129" s="743"/>
      <c r="V129" s="743"/>
      <c r="W129" s="743"/>
      <c r="X129" s="743"/>
      <c r="Y129" s="743"/>
      <c r="Z129" s="743"/>
      <c r="AA129" s="743"/>
      <c r="AB129" s="743"/>
      <c r="AC129" s="743"/>
      <c r="AD129" s="743"/>
      <c r="AE129" s="743"/>
      <c r="AF129" s="599">
        <f t="shared" si="29"/>
        <v>0</v>
      </c>
    </row>
    <row r="130">
      <c r="A130" s="20"/>
      <c r="B130" s="623"/>
      <c r="C130" s="623"/>
      <c r="D130" s="623"/>
      <c r="E130" s="623"/>
      <c r="F130" s="623"/>
      <c r="G130" s="623"/>
      <c r="H130" s="623"/>
      <c r="I130" s="623"/>
      <c r="J130" s="665"/>
      <c r="K130" s="665"/>
      <c r="L130" s="665"/>
      <c r="M130" s="665"/>
      <c r="N130" s="665"/>
      <c r="O130" s="665"/>
      <c r="P130" s="665"/>
      <c r="Q130" s="665"/>
      <c r="R130" s="665"/>
      <c r="S130" s="665"/>
      <c r="T130" s="665"/>
      <c r="U130" s="665"/>
      <c r="V130" s="665"/>
      <c r="W130" s="665"/>
      <c r="X130" s="665"/>
      <c r="Y130" s="665"/>
      <c r="Z130" s="665"/>
      <c r="AA130" s="665"/>
      <c r="AB130" s="665"/>
      <c r="AC130" s="665"/>
      <c r="AD130" s="665"/>
      <c r="AE130" s="597"/>
      <c r="AF130" s="585"/>
    </row>
    <row r="131">
      <c r="A131" s="78" t="s">
        <v>147</v>
      </c>
      <c r="B131" s="623"/>
      <c r="C131" s="623"/>
      <c r="D131" s="623"/>
      <c r="E131" s="623"/>
      <c r="F131" s="623"/>
      <c r="G131" s="623"/>
      <c r="H131" s="623"/>
      <c r="I131" s="623"/>
      <c r="J131" s="623"/>
      <c r="K131" s="623"/>
      <c r="L131" s="623"/>
      <c r="M131" s="623"/>
      <c r="N131" s="623"/>
      <c r="O131" s="623"/>
      <c r="P131" s="623"/>
      <c r="Q131" s="623"/>
      <c r="R131" s="623"/>
      <c r="S131" s="623"/>
      <c r="T131" s="623"/>
      <c r="U131" s="623"/>
      <c r="V131" s="623"/>
      <c r="W131" s="623"/>
      <c r="X131" s="623"/>
      <c r="Y131" s="623"/>
      <c r="Z131" s="623"/>
      <c r="AA131" s="623"/>
      <c r="AB131" s="623"/>
      <c r="AC131" s="623"/>
      <c r="AD131" s="597"/>
      <c r="AE131" s="597"/>
      <c r="AF131" s="599">
        <f t="shared" ref="AF131:AF139" si="30">sum(B131:AE131)</f>
        <v>0</v>
      </c>
    </row>
    <row r="132">
      <c r="A132" s="78" t="s">
        <v>150</v>
      </c>
      <c r="B132" s="623"/>
      <c r="C132" s="623"/>
      <c r="D132" s="623"/>
      <c r="E132" s="623"/>
      <c r="F132" s="623"/>
      <c r="G132" s="623"/>
      <c r="H132" s="623"/>
      <c r="I132" s="623"/>
      <c r="J132" s="623"/>
      <c r="K132" s="623"/>
      <c r="L132" s="623"/>
      <c r="M132" s="623"/>
      <c r="N132" s="623"/>
      <c r="O132" s="623"/>
      <c r="P132" s="623"/>
      <c r="Q132" s="623"/>
      <c r="R132" s="623"/>
      <c r="S132" s="623"/>
      <c r="T132" s="623"/>
      <c r="U132" s="623"/>
      <c r="V132" s="623"/>
      <c r="W132" s="623"/>
      <c r="X132" s="623"/>
      <c r="Y132" s="623"/>
      <c r="Z132" s="623"/>
      <c r="AA132" s="623"/>
      <c r="AB132" s="623"/>
      <c r="AC132" s="623"/>
      <c r="AD132" s="627"/>
      <c r="AE132" s="627"/>
      <c r="AF132" s="599">
        <f t="shared" si="30"/>
        <v>0</v>
      </c>
    </row>
    <row r="133">
      <c r="A133" s="78" t="s">
        <v>676</v>
      </c>
      <c r="B133" s="623"/>
      <c r="C133" s="623"/>
      <c r="D133" s="623"/>
      <c r="E133" s="623"/>
      <c r="F133" s="623"/>
      <c r="G133" s="623"/>
      <c r="H133" s="623"/>
      <c r="I133" s="623"/>
      <c r="J133" s="623"/>
      <c r="K133" s="623"/>
      <c r="L133" s="623"/>
      <c r="M133" s="623"/>
      <c r="N133" s="623"/>
      <c r="O133" s="623"/>
      <c r="P133" s="623"/>
      <c r="Q133" s="623"/>
      <c r="R133" s="623"/>
      <c r="S133" s="623"/>
      <c r="T133" s="623"/>
      <c r="U133" s="623"/>
      <c r="V133" s="623"/>
      <c r="W133" s="623"/>
      <c r="X133" s="623"/>
      <c r="Y133" s="623"/>
      <c r="Z133" s="623"/>
      <c r="AA133" s="623"/>
      <c r="AB133" s="623"/>
      <c r="AC133" s="623"/>
      <c r="AD133" s="623"/>
      <c r="AE133" s="623"/>
      <c r="AF133" s="599">
        <f t="shared" si="30"/>
        <v>0</v>
      </c>
    </row>
    <row r="134">
      <c r="A134" s="78" t="s">
        <v>683</v>
      </c>
      <c r="B134" s="623"/>
      <c r="C134" s="623"/>
      <c r="D134" s="623"/>
      <c r="E134" s="623"/>
      <c r="F134" s="623"/>
      <c r="G134" s="623"/>
      <c r="H134" s="623"/>
      <c r="I134" s="623"/>
      <c r="J134" s="623"/>
      <c r="K134" s="623"/>
      <c r="L134" s="623"/>
      <c r="M134" s="623"/>
      <c r="N134" s="623"/>
      <c r="O134" s="623"/>
      <c r="P134" s="623"/>
      <c r="Q134" s="623"/>
      <c r="R134" s="623"/>
      <c r="S134" s="623"/>
      <c r="T134" s="623"/>
      <c r="U134" s="623"/>
      <c r="V134" s="623"/>
      <c r="W134" s="623"/>
      <c r="X134" s="623"/>
      <c r="Y134" s="623"/>
      <c r="Z134" s="623"/>
      <c r="AA134" s="623"/>
      <c r="AB134" s="623"/>
      <c r="AC134" s="623"/>
      <c r="AD134" s="623"/>
      <c r="AE134" s="623"/>
      <c r="AF134" s="599">
        <f t="shared" si="30"/>
        <v>0</v>
      </c>
    </row>
    <row r="135">
      <c r="A135" s="78" t="s">
        <v>687</v>
      </c>
      <c r="B135" s="623"/>
      <c r="C135" s="623"/>
      <c r="D135" s="623"/>
      <c r="E135" s="623"/>
      <c r="F135" s="623"/>
      <c r="G135" s="623"/>
      <c r="H135" s="623"/>
      <c r="I135" s="623"/>
      <c r="J135" s="623"/>
      <c r="K135" s="623"/>
      <c r="L135" s="623"/>
      <c r="M135" s="623"/>
      <c r="N135" s="623"/>
      <c r="O135" s="623"/>
      <c r="P135" s="623"/>
      <c r="Q135" s="623"/>
      <c r="R135" s="623"/>
      <c r="S135" s="623"/>
      <c r="T135" s="623"/>
      <c r="U135" s="623"/>
      <c r="V135" s="623"/>
      <c r="W135" s="623"/>
      <c r="X135" s="623"/>
      <c r="Y135" s="623"/>
      <c r="Z135" s="623"/>
      <c r="AA135" s="623"/>
      <c r="AB135" s="623"/>
      <c r="AC135" s="623"/>
      <c r="AD135" s="623"/>
      <c r="AE135" s="623"/>
      <c r="AF135" s="599">
        <f t="shared" si="30"/>
        <v>0</v>
      </c>
    </row>
    <row r="136">
      <c r="A136" s="78" t="s">
        <v>690</v>
      </c>
      <c r="B136" s="623"/>
      <c r="C136" s="623"/>
      <c r="D136" s="623"/>
      <c r="E136" s="623"/>
      <c r="F136" s="623"/>
      <c r="G136" s="623"/>
      <c r="H136" s="623"/>
      <c r="I136" s="623"/>
      <c r="J136" s="623"/>
      <c r="K136" s="623"/>
      <c r="L136" s="623"/>
      <c r="M136" s="623"/>
      <c r="N136" s="623"/>
      <c r="O136" s="623"/>
      <c r="P136" s="623"/>
      <c r="Q136" s="623"/>
      <c r="R136" s="623"/>
      <c r="S136" s="623"/>
      <c r="T136" s="623"/>
      <c r="U136" s="623"/>
      <c r="V136" s="623"/>
      <c r="W136" s="623"/>
      <c r="X136" s="623"/>
      <c r="Y136" s="623"/>
      <c r="Z136" s="623"/>
      <c r="AA136" s="623"/>
      <c r="AB136" s="623"/>
      <c r="AC136" s="623"/>
      <c r="AD136" s="623"/>
      <c r="AE136" s="623"/>
      <c r="AF136" s="599">
        <f t="shared" si="30"/>
        <v>0</v>
      </c>
    </row>
    <row r="137">
      <c r="A137" s="78" t="s">
        <v>692</v>
      </c>
      <c r="B137" s="623"/>
      <c r="C137" s="623"/>
      <c r="D137" s="623"/>
      <c r="E137" s="623"/>
      <c r="F137" s="623"/>
      <c r="G137" s="623"/>
      <c r="H137" s="623"/>
      <c r="I137" s="623"/>
      <c r="J137" s="623"/>
      <c r="K137" s="623"/>
      <c r="L137" s="623"/>
      <c r="M137" s="623"/>
      <c r="N137" s="623"/>
      <c r="O137" s="623"/>
      <c r="P137" s="623"/>
      <c r="Q137" s="623"/>
      <c r="R137" s="623"/>
      <c r="S137" s="623"/>
      <c r="T137" s="623"/>
      <c r="U137" s="623"/>
      <c r="V137" s="623"/>
      <c r="W137" s="623"/>
      <c r="X137" s="623"/>
      <c r="Y137" s="623"/>
      <c r="Z137" s="623"/>
      <c r="AA137" s="623"/>
      <c r="AB137" s="623"/>
      <c r="AC137" s="623"/>
      <c r="AD137" s="623"/>
      <c r="AE137" s="623"/>
      <c r="AF137" s="599">
        <f t="shared" si="30"/>
        <v>0</v>
      </c>
    </row>
    <row r="138">
      <c r="A138" s="78" t="s">
        <v>694</v>
      </c>
      <c r="B138" s="623"/>
      <c r="C138" s="623"/>
      <c r="D138" s="623"/>
      <c r="E138" s="623"/>
      <c r="F138" s="623"/>
      <c r="G138" s="623"/>
      <c r="H138" s="623"/>
      <c r="I138" s="623"/>
      <c r="J138" s="623"/>
      <c r="K138" s="623"/>
      <c r="L138" s="623"/>
      <c r="M138" s="623"/>
      <c r="N138" s="623"/>
      <c r="O138" s="623"/>
      <c r="P138" s="623"/>
      <c r="Q138" s="623"/>
      <c r="R138" s="623"/>
      <c r="S138" s="623"/>
      <c r="T138" s="623"/>
      <c r="U138" s="623"/>
      <c r="V138" s="623"/>
      <c r="W138" s="623"/>
      <c r="X138" s="623"/>
      <c r="Y138" s="623"/>
      <c r="Z138" s="623"/>
      <c r="AA138" s="623"/>
      <c r="AB138" s="623"/>
      <c r="AC138" s="623"/>
      <c r="AD138" s="623"/>
      <c r="AE138" s="623"/>
      <c r="AF138" s="599">
        <f t="shared" si="30"/>
        <v>0</v>
      </c>
    </row>
    <row r="139">
      <c r="A139" s="619" t="s">
        <v>159</v>
      </c>
      <c r="B139" s="752"/>
      <c r="C139" s="743"/>
      <c r="D139" s="743"/>
      <c r="E139" s="743"/>
      <c r="F139" s="743"/>
      <c r="G139" s="743"/>
      <c r="H139" s="743"/>
      <c r="I139" s="743"/>
      <c r="J139" s="743"/>
      <c r="K139" s="743"/>
      <c r="L139" s="743"/>
      <c r="M139" s="743"/>
      <c r="N139" s="743"/>
      <c r="O139" s="743"/>
      <c r="P139" s="743"/>
      <c r="Q139" s="743"/>
      <c r="R139" s="743"/>
      <c r="S139" s="743"/>
      <c r="T139" s="743"/>
      <c r="U139" s="743"/>
      <c r="V139" s="743"/>
      <c r="W139" s="743"/>
      <c r="X139" s="743"/>
      <c r="Y139" s="743"/>
      <c r="Z139" s="743"/>
      <c r="AA139" s="743"/>
      <c r="AB139" s="743"/>
      <c r="AC139" s="743"/>
      <c r="AD139" s="743"/>
      <c r="AE139" s="743"/>
      <c r="AF139" s="599">
        <f t="shared" si="30"/>
        <v>0</v>
      </c>
    </row>
    <row r="140">
      <c r="A140" s="20"/>
      <c r="B140" s="651"/>
      <c r="C140" s="651"/>
      <c r="D140" s="651"/>
      <c r="E140" s="651"/>
      <c r="F140" s="651"/>
      <c r="G140" s="651"/>
      <c r="H140" s="651"/>
      <c r="I140" s="609"/>
      <c r="J140" s="609"/>
      <c r="K140" s="609"/>
      <c r="L140" s="609"/>
      <c r="M140" s="609"/>
      <c r="N140" s="609"/>
      <c r="O140" s="609"/>
      <c r="P140" s="609"/>
      <c r="Q140" s="609"/>
      <c r="R140" s="609"/>
      <c r="S140" s="609"/>
      <c r="T140" s="609"/>
      <c r="U140" s="609"/>
      <c r="V140" s="609"/>
      <c r="W140" s="609"/>
      <c r="X140" s="609"/>
      <c r="Y140" s="609"/>
      <c r="Z140" s="609"/>
      <c r="AA140" s="609"/>
      <c r="AB140" s="609"/>
      <c r="AC140" s="609"/>
      <c r="AD140" s="167"/>
      <c r="AE140" s="167"/>
      <c r="AF140" s="590"/>
    </row>
    <row r="141">
      <c r="A141" s="620" t="s">
        <v>701</v>
      </c>
      <c r="B141" s="697"/>
      <c r="C141" s="697"/>
      <c r="D141" s="697"/>
      <c r="E141" s="697"/>
      <c r="F141" s="697"/>
      <c r="G141" s="697"/>
      <c r="H141" s="697"/>
      <c r="I141" s="697"/>
      <c r="J141" s="697"/>
      <c r="K141" s="697"/>
      <c r="L141" s="697"/>
      <c r="M141" s="697"/>
      <c r="N141" s="697"/>
      <c r="O141" s="697"/>
      <c r="P141" s="697"/>
      <c r="Q141" s="697"/>
      <c r="R141" s="697"/>
      <c r="S141" s="697"/>
      <c r="T141" s="697"/>
      <c r="U141" s="697"/>
      <c r="V141" s="697"/>
      <c r="W141" s="697"/>
      <c r="X141" s="697"/>
      <c r="Y141" s="697"/>
      <c r="Z141" s="697"/>
      <c r="AA141" s="697"/>
      <c r="AB141" s="697"/>
      <c r="AC141" s="697"/>
      <c r="AD141" s="697"/>
      <c r="AE141" s="754"/>
      <c r="AF141" s="599">
        <f>SUM(B141:AE141)</f>
        <v>0</v>
      </c>
    </row>
    <row r="142">
      <c r="A142" s="28"/>
      <c r="B142" s="756"/>
      <c r="C142" s="756"/>
      <c r="D142" s="756"/>
      <c r="E142" s="756"/>
      <c r="F142" s="756"/>
      <c r="G142" s="756"/>
      <c r="H142" s="756"/>
      <c r="I142" s="756"/>
      <c r="J142" s="756"/>
      <c r="K142" s="756"/>
      <c r="L142" s="756"/>
      <c r="M142" s="756"/>
      <c r="N142" s="756"/>
      <c r="O142" s="756"/>
      <c r="P142" s="756"/>
      <c r="Q142" s="756"/>
      <c r="R142" s="756"/>
      <c r="S142" s="756"/>
      <c r="T142" s="756"/>
      <c r="U142" s="756"/>
      <c r="V142" s="756"/>
      <c r="W142" s="756"/>
      <c r="X142" s="756"/>
      <c r="Y142" s="756"/>
      <c r="Z142" s="756"/>
      <c r="AA142" s="756"/>
      <c r="AB142" s="756"/>
      <c r="AC142" s="756"/>
      <c r="AD142" s="757"/>
      <c r="AE142" s="758"/>
      <c r="AF142" s="590"/>
    </row>
    <row r="143">
      <c r="A143" s="73" t="s">
        <v>705</v>
      </c>
      <c r="B143" s="622"/>
      <c r="C143" s="622"/>
      <c r="D143" s="622"/>
      <c r="E143" s="622"/>
      <c r="F143" s="622"/>
      <c r="G143" s="622"/>
      <c r="H143" s="622"/>
      <c r="I143" s="717"/>
      <c r="J143" s="717"/>
      <c r="K143" s="717"/>
      <c r="L143" s="717"/>
      <c r="M143" s="717"/>
      <c r="N143" s="717"/>
      <c r="O143" s="717"/>
      <c r="P143" s="717"/>
      <c r="Q143" s="717"/>
      <c r="R143" s="717"/>
      <c r="S143" s="717"/>
      <c r="T143" s="717"/>
      <c r="U143" s="717"/>
      <c r="V143" s="717"/>
      <c r="W143" s="717"/>
      <c r="X143" s="717"/>
      <c r="Y143" s="717"/>
      <c r="Z143" s="717"/>
      <c r="AA143" s="717"/>
      <c r="AB143" s="717"/>
      <c r="AC143" s="717"/>
      <c r="AD143" s="717"/>
      <c r="AE143" s="589"/>
      <c r="AF143" s="590"/>
    </row>
    <row r="144">
      <c r="A144" s="116" t="s">
        <v>707</v>
      </c>
      <c r="B144" s="623"/>
      <c r="C144" s="623"/>
      <c r="D144" s="623"/>
      <c r="E144" s="623"/>
      <c r="F144" s="623"/>
      <c r="G144" s="623"/>
      <c r="H144" s="623"/>
      <c r="I144" s="623"/>
      <c r="J144" s="623"/>
      <c r="K144" s="623"/>
      <c r="L144" s="623"/>
      <c r="M144" s="623"/>
      <c r="N144" s="623"/>
      <c r="O144" s="623"/>
      <c r="P144" s="623"/>
      <c r="Q144" s="623"/>
      <c r="R144" s="623"/>
      <c r="S144" s="623"/>
      <c r="T144" s="623"/>
      <c r="U144" s="623"/>
      <c r="V144" s="623"/>
      <c r="W144" s="623"/>
      <c r="X144" s="623"/>
      <c r="Y144" s="623"/>
      <c r="Z144" s="623"/>
      <c r="AA144" s="623"/>
      <c r="AB144" s="623"/>
      <c r="AC144" s="623"/>
      <c r="AD144" s="623"/>
      <c r="AE144" s="623"/>
      <c r="AF144" s="599">
        <f t="shared" ref="AF144:AF149" si="31">SUM(B144:AE144)</f>
        <v>0</v>
      </c>
    </row>
    <row r="145">
      <c r="A145" s="116" t="s">
        <v>708</v>
      </c>
      <c r="B145" s="623"/>
      <c r="C145" s="623"/>
      <c r="D145" s="623"/>
      <c r="E145" s="623"/>
      <c r="F145" s="623"/>
      <c r="G145" s="623"/>
      <c r="H145" s="623"/>
      <c r="I145" s="623"/>
      <c r="J145" s="623"/>
      <c r="K145" s="623"/>
      <c r="L145" s="623"/>
      <c r="M145" s="623"/>
      <c r="N145" s="623"/>
      <c r="O145" s="623"/>
      <c r="P145" s="623"/>
      <c r="Q145" s="623"/>
      <c r="R145" s="623"/>
      <c r="S145" s="623"/>
      <c r="T145" s="623"/>
      <c r="U145" s="623"/>
      <c r="V145" s="623"/>
      <c r="W145" s="623"/>
      <c r="X145" s="623"/>
      <c r="Y145" s="623"/>
      <c r="Z145" s="623"/>
      <c r="AA145" s="623"/>
      <c r="AB145" s="623"/>
      <c r="AC145" s="623"/>
      <c r="AD145" s="623"/>
      <c r="AE145" s="623"/>
      <c r="AF145" s="599">
        <f t="shared" si="31"/>
        <v>0</v>
      </c>
    </row>
    <row r="146">
      <c r="A146" s="116" t="s">
        <v>709</v>
      </c>
      <c r="B146" s="623"/>
      <c r="C146" s="623"/>
      <c r="D146" s="623"/>
      <c r="E146" s="623"/>
      <c r="F146" s="623"/>
      <c r="G146" s="623"/>
      <c r="H146" s="623"/>
      <c r="I146" s="623"/>
      <c r="J146" s="623"/>
      <c r="K146" s="623"/>
      <c r="L146" s="623"/>
      <c r="M146" s="623"/>
      <c r="N146" s="623"/>
      <c r="O146" s="623"/>
      <c r="P146" s="623"/>
      <c r="Q146" s="623"/>
      <c r="R146" s="623"/>
      <c r="S146" s="623"/>
      <c r="T146" s="623"/>
      <c r="U146" s="623"/>
      <c r="V146" s="623"/>
      <c r="W146" s="623"/>
      <c r="X146" s="623"/>
      <c r="Y146" s="623"/>
      <c r="Z146" s="623"/>
      <c r="AA146" s="623"/>
      <c r="AB146" s="623"/>
      <c r="AC146" s="623"/>
      <c r="AD146" s="623"/>
      <c r="AE146" s="623"/>
      <c r="AF146" s="599">
        <f t="shared" si="31"/>
        <v>0</v>
      </c>
    </row>
    <row r="147">
      <c r="A147" s="116" t="s">
        <v>711</v>
      </c>
      <c r="B147" s="623"/>
      <c r="C147" s="623"/>
      <c r="D147" s="623"/>
      <c r="E147" s="623"/>
      <c r="F147" s="623"/>
      <c r="G147" s="623"/>
      <c r="H147" s="623"/>
      <c r="I147" s="623"/>
      <c r="J147" s="623"/>
      <c r="K147" s="623"/>
      <c r="L147" s="623"/>
      <c r="M147" s="623"/>
      <c r="N147" s="623"/>
      <c r="O147" s="623"/>
      <c r="P147" s="623"/>
      <c r="Q147" s="623"/>
      <c r="R147" s="623"/>
      <c r="S147" s="623"/>
      <c r="T147" s="623"/>
      <c r="U147" s="623"/>
      <c r="V147" s="623"/>
      <c r="W147" s="623"/>
      <c r="X147" s="623"/>
      <c r="Y147" s="623"/>
      <c r="Z147" s="623"/>
      <c r="AA147" s="623"/>
      <c r="AB147" s="623"/>
      <c r="AC147" s="623"/>
      <c r="AD147" s="623"/>
      <c r="AE147" s="623"/>
      <c r="AF147" s="599">
        <f t="shared" si="31"/>
        <v>0</v>
      </c>
    </row>
    <row r="148">
      <c r="A148" s="271" t="s">
        <v>261</v>
      </c>
      <c r="B148" s="317">
        <f t="shared" ref="B148:AE148" si="32">SUM(B144:B145)</f>
        <v>0</v>
      </c>
      <c r="C148" s="317">
        <f t="shared" si="32"/>
        <v>0</v>
      </c>
      <c r="D148" s="317">
        <f t="shared" si="32"/>
        <v>0</v>
      </c>
      <c r="E148" s="317">
        <f t="shared" si="32"/>
        <v>0</v>
      </c>
      <c r="F148" s="317">
        <f t="shared" si="32"/>
        <v>0</v>
      </c>
      <c r="G148" s="317">
        <f t="shared" si="32"/>
        <v>0</v>
      </c>
      <c r="H148" s="317">
        <f t="shared" si="32"/>
        <v>0</v>
      </c>
      <c r="I148" s="317">
        <f t="shared" si="32"/>
        <v>0</v>
      </c>
      <c r="J148" s="317">
        <f t="shared" si="32"/>
        <v>0</v>
      </c>
      <c r="K148" s="317">
        <f t="shared" si="32"/>
        <v>0</v>
      </c>
      <c r="L148" s="317">
        <f t="shared" si="32"/>
        <v>0</v>
      </c>
      <c r="M148" s="317">
        <f t="shared" si="32"/>
        <v>0</v>
      </c>
      <c r="N148" s="317">
        <f t="shared" si="32"/>
        <v>0</v>
      </c>
      <c r="O148" s="317">
        <f t="shared" si="32"/>
        <v>0</v>
      </c>
      <c r="P148" s="317">
        <f t="shared" si="32"/>
        <v>0</v>
      </c>
      <c r="Q148" s="317">
        <f t="shared" si="32"/>
        <v>0</v>
      </c>
      <c r="R148" s="317">
        <f t="shared" si="32"/>
        <v>0</v>
      </c>
      <c r="S148" s="317">
        <f t="shared" si="32"/>
        <v>0</v>
      </c>
      <c r="T148" s="317">
        <f t="shared" si="32"/>
        <v>0</v>
      </c>
      <c r="U148" s="317">
        <f t="shared" si="32"/>
        <v>0</v>
      </c>
      <c r="V148" s="317">
        <f t="shared" si="32"/>
        <v>0</v>
      </c>
      <c r="W148" s="317">
        <f t="shared" si="32"/>
        <v>0</v>
      </c>
      <c r="X148" s="317">
        <f t="shared" si="32"/>
        <v>0</v>
      </c>
      <c r="Y148" s="317">
        <f t="shared" si="32"/>
        <v>0</v>
      </c>
      <c r="Z148" s="317">
        <f t="shared" si="32"/>
        <v>0</v>
      </c>
      <c r="AA148" s="317">
        <f t="shared" si="32"/>
        <v>0</v>
      </c>
      <c r="AB148" s="317">
        <f t="shared" si="32"/>
        <v>0</v>
      </c>
      <c r="AC148" s="317">
        <f t="shared" si="32"/>
        <v>0</v>
      </c>
      <c r="AD148" s="317">
        <f t="shared" si="32"/>
        <v>0</v>
      </c>
      <c r="AE148" s="317">
        <f t="shared" si="32"/>
        <v>0</v>
      </c>
      <c r="AF148" s="599">
        <f t="shared" si="31"/>
        <v>0</v>
      </c>
    </row>
    <row r="149">
      <c r="A149" s="271" t="s">
        <v>263</v>
      </c>
      <c r="B149" s="317">
        <f t="shared" ref="B149:AE149" si="33">SUM(B146:B147)</f>
        <v>0</v>
      </c>
      <c r="C149" s="317">
        <f t="shared" si="33"/>
        <v>0</v>
      </c>
      <c r="D149" s="317">
        <f t="shared" si="33"/>
        <v>0</v>
      </c>
      <c r="E149" s="317">
        <f t="shared" si="33"/>
        <v>0</v>
      </c>
      <c r="F149" s="317">
        <f t="shared" si="33"/>
        <v>0</v>
      </c>
      <c r="G149" s="317">
        <f t="shared" si="33"/>
        <v>0</v>
      </c>
      <c r="H149" s="317">
        <f t="shared" si="33"/>
        <v>0</v>
      </c>
      <c r="I149" s="317">
        <f t="shared" si="33"/>
        <v>0</v>
      </c>
      <c r="J149" s="317">
        <f t="shared" si="33"/>
        <v>0</v>
      </c>
      <c r="K149" s="317">
        <f t="shared" si="33"/>
        <v>0</v>
      </c>
      <c r="L149" s="317">
        <f t="shared" si="33"/>
        <v>0</v>
      </c>
      <c r="M149" s="317">
        <f t="shared" si="33"/>
        <v>0</v>
      </c>
      <c r="N149" s="317">
        <f t="shared" si="33"/>
        <v>0</v>
      </c>
      <c r="O149" s="317">
        <f t="shared" si="33"/>
        <v>0</v>
      </c>
      <c r="P149" s="317">
        <f t="shared" si="33"/>
        <v>0</v>
      </c>
      <c r="Q149" s="317">
        <f t="shared" si="33"/>
        <v>0</v>
      </c>
      <c r="R149" s="317">
        <f t="shared" si="33"/>
        <v>0</v>
      </c>
      <c r="S149" s="317">
        <f t="shared" si="33"/>
        <v>0</v>
      </c>
      <c r="T149" s="317">
        <f t="shared" si="33"/>
        <v>0</v>
      </c>
      <c r="U149" s="317">
        <f t="shared" si="33"/>
        <v>0</v>
      </c>
      <c r="V149" s="317">
        <f t="shared" si="33"/>
        <v>0</v>
      </c>
      <c r="W149" s="317">
        <f t="shared" si="33"/>
        <v>0</v>
      </c>
      <c r="X149" s="317">
        <f t="shared" si="33"/>
        <v>0</v>
      </c>
      <c r="Y149" s="317">
        <f t="shared" si="33"/>
        <v>0</v>
      </c>
      <c r="Z149" s="317">
        <f t="shared" si="33"/>
        <v>0</v>
      </c>
      <c r="AA149" s="317">
        <f t="shared" si="33"/>
        <v>0</v>
      </c>
      <c r="AB149" s="317">
        <f t="shared" si="33"/>
        <v>0</v>
      </c>
      <c r="AC149" s="317">
        <f t="shared" si="33"/>
        <v>0</v>
      </c>
      <c r="AD149" s="317">
        <f t="shared" si="33"/>
        <v>0</v>
      </c>
      <c r="AE149" s="317">
        <f t="shared" si="33"/>
        <v>0</v>
      </c>
      <c r="AF149" s="599">
        <f t="shared" si="31"/>
        <v>0</v>
      </c>
    </row>
    <row r="150">
      <c r="A150" s="20"/>
      <c r="B150" s="626"/>
      <c r="C150" s="626"/>
      <c r="D150" s="626"/>
      <c r="E150" s="626"/>
      <c r="F150" s="626"/>
      <c r="G150" s="626"/>
      <c r="H150" s="626"/>
      <c r="I150" s="597"/>
      <c r="J150" s="597"/>
      <c r="K150" s="597"/>
      <c r="L150" s="597"/>
      <c r="M150" s="597"/>
      <c r="N150" s="597"/>
      <c r="O150" s="597"/>
      <c r="P150" s="597"/>
      <c r="Q150" s="597"/>
      <c r="R150" s="597"/>
      <c r="S150" s="597"/>
      <c r="T150" s="597"/>
      <c r="U150" s="597"/>
      <c r="V150" s="597"/>
      <c r="W150" s="597"/>
      <c r="X150" s="597"/>
      <c r="Y150" s="597"/>
      <c r="Z150" s="597"/>
      <c r="AA150" s="597"/>
      <c r="AB150" s="597"/>
      <c r="AC150" s="597"/>
      <c r="AD150" s="597"/>
      <c r="AE150" s="597"/>
      <c r="AF150" s="590"/>
    </row>
    <row r="151">
      <c r="A151" s="116" t="s">
        <v>266</v>
      </c>
      <c r="B151" s="623"/>
      <c r="C151" s="623"/>
      <c r="D151" s="623"/>
      <c r="E151" s="623"/>
      <c r="F151" s="623"/>
      <c r="G151" s="623"/>
      <c r="H151" s="623"/>
      <c r="I151" s="623"/>
      <c r="J151" s="623"/>
      <c r="K151" s="623"/>
      <c r="L151" s="623"/>
      <c r="M151" s="623"/>
      <c r="N151" s="623"/>
      <c r="O151" s="623"/>
      <c r="P151" s="623"/>
      <c r="Q151" s="623"/>
      <c r="R151" s="623"/>
      <c r="S151" s="623"/>
      <c r="T151" s="623"/>
      <c r="U151" s="623"/>
      <c r="V151" s="623"/>
      <c r="W151" s="623"/>
      <c r="X151" s="623"/>
      <c r="Y151" s="623"/>
      <c r="Z151" s="623"/>
      <c r="AA151" s="623"/>
      <c r="AB151" s="623"/>
      <c r="AC151" s="623"/>
      <c r="AD151" s="623"/>
      <c r="AE151" s="623"/>
      <c r="AF151" s="599">
        <f t="shared" ref="AF151:AF159" si="34">SUM(B151:AE151)</f>
        <v>0</v>
      </c>
    </row>
    <row r="152">
      <c r="A152" s="116" t="s">
        <v>267</v>
      </c>
      <c r="B152" s="623"/>
      <c r="C152" s="623"/>
      <c r="D152" s="623"/>
      <c r="E152" s="623"/>
      <c r="F152" s="623"/>
      <c r="G152" s="623"/>
      <c r="H152" s="623"/>
      <c r="I152" s="623"/>
      <c r="J152" s="623"/>
      <c r="K152" s="623"/>
      <c r="L152" s="623"/>
      <c r="M152" s="623"/>
      <c r="N152" s="623"/>
      <c r="O152" s="623"/>
      <c r="P152" s="623"/>
      <c r="Q152" s="623"/>
      <c r="R152" s="623"/>
      <c r="S152" s="623"/>
      <c r="T152" s="623"/>
      <c r="U152" s="623"/>
      <c r="V152" s="623"/>
      <c r="W152" s="623"/>
      <c r="X152" s="623"/>
      <c r="Y152" s="623"/>
      <c r="Z152" s="623"/>
      <c r="AA152" s="623"/>
      <c r="AB152" s="623"/>
      <c r="AC152" s="623"/>
      <c r="AD152" s="623"/>
      <c r="AE152" s="623"/>
      <c r="AF152" s="599">
        <f t="shared" si="34"/>
        <v>0</v>
      </c>
    </row>
    <row r="153">
      <c r="A153" s="116" t="s">
        <v>722</v>
      </c>
      <c r="B153" s="623"/>
      <c r="C153" s="623"/>
      <c r="D153" s="623"/>
      <c r="E153" s="623"/>
      <c r="F153" s="623"/>
      <c r="G153" s="623"/>
      <c r="H153" s="623"/>
      <c r="I153" s="623"/>
      <c r="J153" s="623"/>
      <c r="K153" s="623"/>
      <c r="L153" s="623"/>
      <c r="M153" s="623"/>
      <c r="N153" s="623"/>
      <c r="O153" s="623"/>
      <c r="P153" s="623"/>
      <c r="Q153" s="623"/>
      <c r="R153" s="623"/>
      <c r="S153" s="623"/>
      <c r="T153" s="623"/>
      <c r="U153" s="623"/>
      <c r="V153" s="623"/>
      <c r="W153" s="623"/>
      <c r="X153" s="623"/>
      <c r="Y153" s="623"/>
      <c r="Z153" s="623"/>
      <c r="AA153" s="623"/>
      <c r="AB153" s="623"/>
      <c r="AC153" s="623"/>
      <c r="AD153" s="623"/>
      <c r="AE153" s="623"/>
      <c r="AF153" s="599">
        <f t="shared" si="34"/>
        <v>0</v>
      </c>
    </row>
    <row r="154">
      <c r="A154" s="116" t="s">
        <v>724</v>
      </c>
      <c r="B154" s="623"/>
      <c r="C154" s="623"/>
      <c r="D154" s="623"/>
      <c r="E154" s="623"/>
      <c r="F154" s="623"/>
      <c r="G154" s="623"/>
      <c r="H154" s="623"/>
      <c r="I154" s="623"/>
      <c r="J154" s="623"/>
      <c r="K154" s="623"/>
      <c r="L154" s="623"/>
      <c r="M154" s="623"/>
      <c r="N154" s="623"/>
      <c r="O154" s="623"/>
      <c r="P154" s="623"/>
      <c r="Q154" s="623"/>
      <c r="R154" s="623"/>
      <c r="S154" s="623"/>
      <c r="T154" s="623"/>
      <c r="U154" s="623"/>
      <c r="V154" s="623"/>
      <c r="W154" s="623"/>
      <c r="X154" s="623"/>
      <c r="Y154" s="623"/>
      <c r="Z154" s="623"/>
      <c r="AA154" s="623"/>
      <c r="AB154" s="623"/>
      <c r="AC154" s="623"/>
      <c r="AD154" s="623"/>
      <c r="AE154" s="623"/>
      <c r="AF154" s="599">
        <f t="shared" si="34"/>
        <v>0</v>
      </c>
    </row>
    <row r="155">
      <c r="A155" s="116" t="s">
        <v>725</v>
      </c>
      <c r="B155" s="623"/>
      <c r="C155" s="623"/>
      <c r="D155" s="623"/>
      <c r="E155" s="623"/>
      <c r="F155" s="623"/>
      <c r="G155" s="623"/>
      <c r="H155" s="623"/>
      <c r="I155" s="623"/>
      <c r="J155" s="623"/>
      <c r="K155" s="623"/>
      <c r="L155" s="623"/>
      <c r="M155" s="623"/>
      <c r="N155" s="623"/>
      <c r="O155" s="623"/>
      <c r="P155" s="623"/>
      <c r="Q155" s="623"/>
      <c r="R155" s="623"/>
      <c r="S155" s="623"/>
      <c r="T155" s="623"/>
      <c r="U155" s="623"/>
      <c r="V155" s="623"/>
      <c r="W155" s="623"/>
      <c r="X155" s="623"/>
      <c r="Y155" s="623"/>
      <c r="Z155" s="623"/>
      <c r="AA155" s="623"/>
      <c r="AB155" s="623"/>
      <c r="AC155" s="623"/>
      <c r="AD155" s="623"/>
      <c r="AE155" s="623"/>
      <c r="AF155" s="599">
        <f t="shared" si="34"/>
        <v>0</v>
      </c>
    </row>
    <row r="156">
      <c r="A156" s="116" t="s">
        <v>727</v>
      </c>
      <c r="B156" s="623"/>
      <c r="C156" s="623"/>
      <c r="D156" s="623"/>
      <c r="E156" s="623"/>
      <c r="F156" s="623"/>
      <c r="G156" s="623"/>
      <c r="H156" s="623"/>
      <c r="I156" s="623"/>
      <c r="J156" s="623"/>
      <c r="K156" s="623"/>
      <c r="L156" s="623"/>
      <c r="M156" s="623"/>
      <c r="N156" s="623"/>
      <c r="O156" s="623"/>
      <c r="P156" s="623"/>
      <c r="Q156" s="623"/>
      <c r="R156" s="623"/>
      <c r="S156" s="623"/>
      <c r="T156" s="623"/>
      <c r="U156" s="623"/>
      <c r="V156" s="623"/>
      <c r="W156" s="623"/>
      <c r="X156" s="623"/>
      <c r="Y156" s="623"/>
      <c r="Z156" s="623"/>
      <c r="AA156" s="623"/>
      <c r="AB156" s="623"/>
      <c r="AC156" s="623"/>
      <c r="AD156" s="623"/>
      <c r="AE156" s="623"/>
      <c r="AF156" s="599">
        <f t="shared" si="34"/>
        <v>0</v>
      </c>
    </row>
    <row r="157">
      <c r="A157" s="116" t="s">
        <v>728</v>
      </c>
      <c r="B157" s="623"/>
      <c r="C157" s="623"/>
      <c r="D157" s="623"/>
      <c r="E157" s="623"/>
      <c r="F157" s="623"/>
      <c r="G157" s="623"/>
      <c r="H157" s="623"/>
      <c r="I157" s="623"/>
      <c r="J157" s="623"/>
      <c r="K157" s="623"/>
      <c r="L157" s="623"/>
      <c r="M157" s="623"/>
      <c r="N157" s="623"/>
      <c r="O157" s="623"/>
      <c r="P157" s="623"/>
      <c r="Q157" s="623"/>
      <c r="R157" s="623"/>
      <c r="S157" s="623"/>
      <c r="T157" s="623"/>
      <c r="U157" s="623"/>
      <c r="V157" s="623"/>
      <c r="W157" s="623"/>
      <c r="X157" s="623"/>
      <c r="Y157" s="623"/>
      <c r="Z157" s="623"/>
      <c r="AA157" s="623"/>
      <c r="AB157" s="623"/>
      <c r="AC157" s="623"/>
      <c r="AD157" s="623"/>
      <c r="AE157" s="623"/>
      <c r="AF157" s="599">
        <f t="shared" si="34"/>
        <v>0</v>
      </c>
    </row>
    <row r="158">
      <c r="A158" s="116" t="s">
        <v>730</v>
      </c>
      <c r="B158" s="623"/>
      <c r="C158" s="623"/>
      <c r="D158" s="623"/>
      <c r="E158" s="623"/>
      <c r="F158" s="623"/>
      <c r="G158" s="623"/>
      <c r="H158" s="623"/>
      <c r="I158" s="623"/>
      <c r="J158" s="623"/>
      <c r="K158" s="623"/>
      <c r="L158" s="623"/>
      <c r="M158" s="623"/>
      <c r="N158" s="623"/>
      <c r="O158" s="623"/>
      <c r="P158" s="623"/>
      <c r="Q158" s="623"/>
      <c r="R158" s="623"/>
      <c r="S158" s="623"/>
      <c r="T158" s="623"/>
      <c r="U158" s="623"/>
      <c r="V158" s="623"/>
      <c r="W158" s="623"/>
      <c r="X158" s="623"/>
      <c r="Y158" s="623"/>
      <c r="Z158" s="623"/>
      <c r="AA158" s="623"/>
      <c r="AB158" s="623"/>
      <c r="AC158" s="623"/>
      <c r="AD158" s="623"/>
      <c r="AE158" s="623"/>
      <c r="AF158" s="599">
        <f t="shared" si="34"/>
        <v>0</v>
      </c>
    </row>
    <row r="159">
      <c r="A159" s="271" t="s">
        <v>159</v>
      </c>
      <c r="B159" s="317">
        <f t="shared" ref="B159:AE159" si="35">SUM(B151:B158)</f>
        <v>0</v>
      </c>
      <c r="C159" s="317">
        <f t="shared" si="35"/>
        <v>0</v>
      </c>
      <c r="D159" s="317">
        <f t="shared" si="35"/>
        <v>0</v>
      </c>
      <c r="E159" s="317">
        <f t="shared" si="35"/>
        <v>0</v>
      </c>
      <c r="F159" s="317">
        <f t="shared" si="35"/>
        <v>0</v>
      </c>
      <c r="G159" s="317">
        <f t="shared" si="35"/>
        <v>0</v>
      </c>
      <c r="H159" s="317">
        <f t="shared" si="35"/>
        <v>0</v>
      </c>
      <c r="I159" s="317">
        <f t="shared" si="35"/>
        <v>0</v>
      </c>
      <c r="J159" s="317">
        <f t="shared" si="35"/>
        <v>0</v>
      </c>
      <c r="K159" s="317">
        <f t="shared" si="35"/>
        <v>0</v>
      </c>
      <c r="L159" s="317">
        <f t="shared" si="35"/>
        <v>0</v>
      </c>
      <c r="M159" s="317">
        <f t="shared" si="35"/>
        <v>0</v>
      </c>
      <c r="N159" s="317">
        <f t="shared" si="35"/>
        <v>0</v>
      </c>
      <c r="O159" s="317">
        <f t="shared" si="35"/>
        <v>0</v>
      </c>
      <c r="P159" s="317">
        <f t="shared" si="35"/>
        <v>0</v>
      </c>
      <c r="Q159" s="317">
        <f t="shared" si="35"/>
        <v>0</v>
      </c>
      <c r="R159" s="317">
        <f t="shared" si="35"/>
        <v>0</v>
      </c>
      <c r="S159" s="317">
        <f t="shared" si="35"/>
        <v>0</v>
      </c>
      <c r="T159" s="317">
        <f t="shared" si="35"/>
        <v>0</v>
      </c>
      <c r="U159" s="317">
        <f t="shared" si="35"/>
        <v>0</v>
      </c>
      <c r="V159" s="317">
        <f t="shared" si="35"/>
        <v>0</v>
      </c>
      <c r="W159" s="317">
        <f t="shared" si="35"/>
        <v>0</v>
      </c>
      <c r="X159" s="317">
        <f t="shared" si="35"/>
        <v>0</v>
      </c>
      <c r="Y159" s="317">
        <f t="shared" si="35"/>
        <v>0</v>
      </c>
      <c r="Z159" s="317">
        <f t="shared" si="35"/>
        <v>0</v>
      </c>
      <c r="AA159" s="317">
        <f t="shared" si="35"/>
        <v>0</v>
      </c>
      <c r="AB159" s="317">
        <f t="shared" si="35"/>
        <v>0</v>
      </c>
      <c r="AC159" s="317">
        <f t="shared" si="35"/>
        <v>0</v>
      </c>
      <c r="AD159" s="317">
        <f t="shared" si="35"/>
        <v>0</v>
      </c>
      <c r="AE159" s="317">
        <f t="shared" si="35"/>
        <v>0</v>
      </c>
      <c r="AF159" s="599">
        <f t="shared" si="34"/>
        <v>0</v>
      </c>
    </row>
    <row r="160">
      <c r="A160" s="20"/>
      <c r="B160" s="651"/>
      <c r="C160" s="651"/>
      <c r="D160" s="651"/>
      <c r="E160" s="651"/>
      <c r="F160" s="651"/>
      <c r="G160" s="651"/>
      <c r="H160" s="651"/>
      <c r="I160" s="609"/>
      <c r="J160" s="609"/>
      <c r="K160" s="609"/>
      <c r="L160" s="609"/>
      <c r="M160" s="609"/>
      <c r="N160" s="609"/>
      <c r="O160" s="609"/>
      <c r="P160" s="609"/>
      <c r="Q160" s="609"/>
      <c r="R160" s="609"/>
      <c r="S160" s="609"/>
      <c r="T160" s="609"/>
      <c r="U160" s="609"/>
      <c r="V160" s="609"/>
      <c r="W160" s="609"/>
      <c r="X160" s="609"/>
      <c r="Y160" s="609"/>
      <c r="Z160" s="609"/>
      <c r="AA160" s="609"/>
      <c r="AB160" s="609"/>
      <c r="AC160" s="609"/>
      <c r="AD160" s="609"/>
      <c r="AE160" s="167"/>
      <c r="AF160" s="599"/>
    </row>
    <row r="161">
      <c r="A161" s="73" t="s">
        <v>734</v>
      </c>
      <c r="B161" s="651"/>
      <c r="C161" s="651"/>
      <c r="D161" s="651"/>
      <c r="E161" s="651"/>
      <c r="F161" s="651"/>
      <c r="G161" s="580"/>
      <c r="H161" s="651"/>
      <c r="I161" s="609"/>
      <c r="J161" s="609"/>
      <c r="K161" s="609"/>
      <c r="L161" s="609"/>
      <c r="M161" s="609"/>
      <c r="N161" s="609"/>
      <c r="O161" s="609"/>
      <c r="P161" s="609"/>
      <c r="Q161" s="609"/>
      <c r="R161" s="609"/>
      <c r="S161" s="609"/>
      <c r="T161" s="609"/>
      <c r="U161" s="609"/>
      <c r="V161" s="609"/>
      <c r="W161" s="609"/>
      <c r="X161" s="609"/>
      <c r="Y161" s="609"/>
      <c r="Z161" s="609"/>
      <c r="AA161" s="609"/>
      <c r="AB161" s="609"/>
      <c r="AC161" s="609"/>
      <c r="AD161" s="609"/>
      <c r="AE161" s="167"/>
      <c r="AF161" s="599"/>
    </row>
    <row r="162">
      <c r="A162" s="116" t="s">
        <v>579</v>
      </c>
      <c r="B162" s="580"/>
      <c r="C162" s="580"/>
      <c r="D162" s="580"/>
      <c r="E162" s="580"/>
      <c r="F162" s="580"/>
      <c r="G162" s="580"/>
      <c r="H162" s="580"/>
      <c r="I162" s="580"/>
      <c r="J162" s="580"/>
      <c r="K162" s="580"/>
      <c r="L162" s="580"/>
      <c r="M162" s="580"/>
      <c r="N162" s="580"/>
      <c r="O162" s="580"/>
      <c r="P162" s="580"/>
      <c r="Q162" s="580"/>
      <c r="R162" s="580"/>
      <c r="S162" s="580"/>
      <c r="T162" s="580"/>
      <c r="U162" s="580"/>
      <c r="V162" s="580"/>
      <c r="W162" s="580"/>
      <c r="X162" s="580"/>
      <c r="Y162" s="580"/>
      <c r="Z162" s="580"/>
      <c r="AA162" s="580"/>
      <c r="AB162" s="580"/>
      <c r="AC162" s="580"/>
      <c r="AD162" s="580"/>
      <c r="AE162" s="580"/>
      <c r="AF162" s="591">
        <f t="shared" ref="AF162:AF165" si="36">SUM(B162:AE162)</f>
        <v>0</v>
      </c>
    </row>
    <row r="163">
      <c r="A163" s="116" t="s">
        <v>129</v>
      </c>
      <c r="B163" s="681"/>
      <c r="C163" s="681"/>
      <c r="D163" s="681"/>
      <c r="E163" s="681"/>
      <c r="F163" s="681"/>
      <c r="G163" s="681"/>
      <c r="H163" s="681"/>
      <c r="I163" s="681"/>
      <c r="J163" s="681"/>
      <c r="K163" s="681"/>
      <c r="L163" s="681"/>
      <c r="M163" s="681"/>
      <c r="N163" s="681"/>
      <c r="O163" s="681"/>
      <c r="P163" s="681"/>
      <c r="Q163" s="681"/>
      <c r="R163" s="681"/>
      <c r="S163" s="681"/>
      <c r="T163" s="681"/>
      <c r="U163" s="681"/>
      <c r="V163" s="681"/>
      <c r="W163" s="681"/>
      <c r="X163" s="681"/>
      <c r="Y163" s="681"/>
      <c r="Z163" s="681"/>
      <c r="AA163" s="681"/>
      <c r="AB163" s="681"/>
      <c r="AC163" s="681"/>
      <c r="AD163" s="681"/>
      <c r="AE163" s="681"/>
      <c r="AF163" s="591">
        <f t="shared" si="36"/>
        <v>0</v>
      </c>
    </row>
    <row r="164">
      <c r="A164" s="116" t="s">
        <v>580</v>
      </c>
      <c r="B164" s="681"/>
      <c r="C164" s="681"/>
      <c r="D164" s="681"/>
      <c r="E164" s="681"/>
      <c r="F164" s="681"/>
      <c r="G164" s="681"/>
      <c r="H164" s="681"/>
      <c r="I164" s="681"/>
      <c r="J164" s="681"/>
      <c r="K164" s="681"/>
      <c r="L164" s="681"/>
      <c r="M164" s="681"/>
      <c r="N164" s="681"/>
      <c r="O164" s="681"/>
      <c r="P164" s="681"/>
      <c r="Q164" s="681"/>
      <c r="R164" s="681"/>
      <c r="S164" s="681"/>
      <c r="T164" s="681"/>
      <c r="U164" s="681"/>
      <c r="V164" s="681"/>
      <c r="W164" s="681"/>
      <c r="X164" s="681"/>
      <c r="Y164" s="681"/>
      <c r="Z164" s="681"/>
      <c r="AA164" s="681"/>
      <c r="AB164" s="681"/>
      <c r="AC164" s="681"/>
      <c r="AD164" s="681"/>
      <c r="AE164" s="681"/>
      <c r="AF164" s="591">
        <f t="shared" si="36"/>
        <v>0</v>
      </c>
    </row>
    <row r="165">
      <c r="A165" s="410" t="s">
        <v>581</v>
      </c>
      <c r="B165" s="411">
        <f t="shared" ref="B165:AE165" si="37">SUM(B162:B164)</f>
        <v>0</v>
      </c>
      <c r="C165" s="411">
        <f t="shared" si="37"/>
        <v>0</v>
      </c>
      <c r="D165" s="411">
        <f t="shared" si="37"/>
        <v>0</v>
      </c>
      <c r="E165" s="411">
        <f t="shared" si="37"/>
        <v>0</v>
      </c>
      <c r="F165" s="411">
        <f t="shared" si="37"/>
        <v>0</v>
      </c>
      <c r="G165" s="411">
        <f t="shared" si="37"/>
        <v>0</v>
      </c>
      <c r="H165" s="411">
        <f t="shared" si="37"/>
        <v>0</v>
      </c>
      <c r="I165" s="411">
        <f t="shared" si="37"/>
        <v>0</v>
      </c>
      <c r="J165" s="411">
        <f t="shared" si="37"/>
        <v>0</v>
      </c>
      <c r="K165" s="411">
        <f t="shared" si="37"/>
        <v>0</v>
      </c>
      <c r="L165" s="411">
        <f t="shared" si="37"/>
        <v>0</v>
      </c>
      <c r="M165" s="411">
        <f t="shared" si="37"/>
        <v>0</v>
      </c>
      <c r="N165" s="411">
        <f t="shared" si="37"/>
        <v>0</v>
      </c>
      <c r="O165" s="411">
        <f t="shared" si="37"/>
        <v>0</v>
      </c>
      <c r="P165" s="411">
        <f t="shared" si="37"/>
        <v>0</v>
      </c>
      <c r="Q165" s="411">
        <f t="shared" si="37"/>
        <v>0</v>
      </c>
      <c r="R165" s="411">
        <f t="shared" si="37"/>
        <v>0</v>
      </c>
      <c r="S165" s="411">
        <f t="shared" si="37"/>
        <v>0</v>
      </c>
      <c r="T165" s="411">
        <f t="shared" si="37"/>
        <v>0</v>
      </c>
      <c r="U165" s="411">
        <f t="shared" si="37"/>
        <v>0</v>
      </c>
      <c r="V165" s="411">
        <f t="shared" si="37"/>
        <v>0</v>
      </c>
      <c r="W165" s="411">
        <f t="shared" si="37"/>
        <v>0</v>
      </c>
      <c r="X165" s="411">
        <f t="shared" si="37"/>
        <v>0</v>
      </c>
      <c r="Y165" s="411">
        <f t="shared" si="37"/>
        <v>0</v>
      </c>
      <c r="Z165" s="411">
        <f t="shared" si="37"/>
        <v>0</v>
      </c>
      <c r="AA165" s="411">
        <f t="shared" si="37"/>
        <v>0</v>
      </c>
      <c r="AB165" s="411">
        <f t="shared" si="37"/>
        <v>0</v>
      </c>
      <c r="AC165" s="411">
        <f t="shared" si="37"/>
        <v>0</v>
      </c>
      <c r="AD165" s="411">
        <f t="shared" si="37"/>
        <v>0</v>
      </c>
      <c r="AE165" s="411">
        <f t="shared" si="37"/>
        <v>0</v>
      </c>
      <c r="AF165" s="591">
        <f t="shared" si="36"/>
        <v>0</v>
      </c>
    </row>
    <row r="166">
      <c r="A166" s="28"/>
      <c r="B166" s="778"/>
      <c r="C166" s="778"/>
      <c r="D166" s="778"/>
      <c r="E166" s="778"/>
      <c r="F166" s="778"/>
      <c r="G166" s="778"/>
      <c r="H166" s="778"/>
      <c r="I166" s="757"/>
      <c r="J166" s="757"/>
      <c r="K166" s="757"/>
      <c r="L166" s="757"/>
      <c r="M166" s="757"/>
      <c r="N166" s="757"/>
      <c r="O166" s="757"/>
      <c r="P166" s="757"/>
      <c r="Q166" s="757"/>
      <c r="R166" s="757"/>
      <c r="S166" s="757"/>
      <c r="T166" s="757"/>
      <c r="U166" s="757"/>
      <c r="V166" s="757"/>
      <c r="W166" s="757"/>
      <c r="X166" s="757"/>
      <c r="Y166" s="757"/>
      <c r="Z166" s="757"/>
      <c r="AA166" s="757"/>
      <c r="AB166" s="757"/>
      <c r="AC166" s="757"/>
      <c r="AD166" s="757"/>
      <c r="AE166" s="758"/>
      <c r="AF166" s="590"/>
    </row>
    <row r="167">
      <c r="A167" s="780" t="s">
        <v>468</v>
      </c>
      <c r="B167" s="781"/>
      <c r="C167" s="781"/>
      <c r="D167" s="781"/>
      <c r="E167" s="781"/>
      <c r="F167" s="781"/>
      <c r="G167" s="781"/>
      <c r="H167" s="781"/>
      <c r="I167" s="781"/>
      <c r="J167" s="781"/>
      <c r="K167" s="781"/>
      <c r="L167" s="781"/>
      <c r="M167" s="781"/>
      <c r="N167" s="781"/>
      <c r="O167" s="781"/>
      <c r="P167" s="781"/>
      <c r="Q167" s="781"/>
      <c r="R167" s="781"/>
      <c r="S167" s="781"/>
      <c r="T167" s="781"/>
      <c r="U167" s="781"/>
      <c r="V167" s="781"/>
      <c r="W167" s="781"/>
      <c r="X167" s="781"/>
      <c r="Y167" s="781"/>
      <c r="Z167" s="781"/>
      <c r="AA167" s="781"/>
      <c r="AB167" s="781"/>
      <c r="AC167" s="781"/>
      <c r="AD167" s="781"/>
      <c r="AE167" s="781"/>
      <c r="AF167" s="591">
        <f t="shared" ref="AF167:AF169" si="38">SUM(B167:AE167)</f>
        <v>0</v>
      </c>
    </row>
    <row r="168">
      <c r="A168" s="686" t="s">
        <v>470</v>
      </c>
      <c r="B168" s="687"/>
      <c r="C168" s="687"/>
      <c r="D168" s="687"/>
      <c r="E168" s="687"/>
      <c r="F168" s="687"/>
      <c r="G168" s="687"/>
      <c r="H168" s="687"/>
      <c r="I168" s="687"/>
      <c r="J168" s="687"/>
      <c r="K168" s="687"/>
      <c r="L168" s="687"/>
      <c r="M168" s="687"/>
      <c r="N168" s="687"/>
      <c r="O168" s="687"/>
      <c r="P168" s="687"/>
      <c r="Q168" s="687"/>
      <c r="R168" s="687"/>
      <c r="S168" s="687"/>
      <c r="T168" s="687"/>
      <c r="U168" s="687"/>
      <c r="V168" s="687"/>
      <c r="W168" s="687"/>
      <c r="X168" s="687"/>
      <c r="Y168" s="687"/>
      <c r="Z168" s="687"/>
      <c r="AA168" s="687"/>
      <c r="AB168" s="687"/>
      <c r="AC168" s="687"/>
      <c r="AD168" s="687"/>
      <c r="AE168" s="687"/>
      <c r="AF168" s="591">
        <f t="shared" si="38"/>
        <v>0</v>
      </c>
    </row>
    <row r="169">
      <c r="A169" s="688" t="s">
        <v>583</v>
      </c>
      <c r="B169" s="689">
        <f t="shared" ref="B169:AE169" si="39">sum(B167:B168)</f>
        <v>0</v>
      </c>
      <c r="C169" s="689">
        <f t="shared" si="39"/>
        <v>0</v>
      </c>
      <c r="D169" s="689">
        <f t="shared" si="39"/>
        <v>0</v>
      </c>
      <c r="E169" s="689">
        <f t="shared" si="39"/>
        <v>0</v>
      </c>
      <c r="F169" s="689">
        <f t="shared" si="39"/>
        <v>0</v>
      </c>
      <c r="G169" s="689">
        <f t="shared" si="39"/>
        <v>0</v>
      </c>
      <c r="H169" s="689">
        <f t="shared" si="39"/>
        <v>0</v>
      </c>
      <c r="I169" s="689">
        <f t="shared" si="39"/>
        <v>0</v>
      </c>
      <c r="J169" s="689">
        <f t="shared" si="39"/>
        <v>0</v>
      </c>
      <c r="K169" s="689">
        <f t="shared" si="39"/>
        <v>0</v>
      </c>
      <c r="L169" s="689">
        <f t="shared" si="39"/>
        <v>0</v>
      </c>
      <c r="M169" s="689">
        <f t="shared" si="39"/>
        <v>0</v>
      </c>
      <c r="N169" s="689">
        <f t="shared" si="39"/>
        <v>0</v>
      </c>
      <c r="O169" s="689">
        <f t="shared" si="39"/>
        <v>0</v>
      </c>
      <c r="P169" s="689">
        <f t="shared" si="39"/>
        <v>0</v>
      </c>
      <c r="Q169" s="689">
        <f t="shared" si="39"/>
        <v>0</v>
      </c>
      <c r="R169" s="689">
        <f t="shared" si="39"/>
        <v>0</v>
      </c>
      <c r="S169" s="689">
        <f t="shared" si="39"/>
        <v>0</v>
      </c>
      <c r="T169" s="689">
        <f t="shared" si="39"/>
        <v>0</v>
      </c>
      <c r="U169" s="689">
        <f t="shared" si="39"/>
        <v>0</v>
      </c>
      <c r="V169" s="689">
        <f t="shared" si="39"/>
        <v>0</v>
      </c>
      <c r="W169" s="689">
        <f t="shared" si="39"/>
        <v>0</v>
      </c>
      <c r="X169" s="689">
        <f t="shared" si="39"/>
        <v>0</v>
      </c>
      <c r="Y169" s="689">
        <f t="shared" si="39"/>
        <v>0</v>
      </c>
      <c r="Z169" s="689">
        <f t="shared" si="39"/>
        <v>0</v>
      </c>
      <c r="AA169" s="689">
        <f t="shared" si="39"/>
        <v>0</v>
      </c>
      <c r="AB169" s="689">
        <f t="shared" si="39"/>
        <v>0</v>
      </c>
      <c r="AC169" s="689">
        <f t="shared" si="39"/>
        <v>0</v>
      </c>
      <c r="AD169" s="689">
        <f t="shared" si="39"/>
        <v>0</v>
      </c>
      <c r="AE169" s="689">
        <f t="shared" si="39"/>
        <v>0</v>
      </c>
      <c r="AF169" s="591">
        <f t="shared" si="38"/>
        <v>0</v>
      </c>
    </row>
    <row r="170">
      <c r="A170" s="20"/>
      <c r="B170" s="651"/>
      <c r="C170" s="651"/>
      <c r="D170" s="651"/>
      <c r="E170" s="651"/>
      <c r="F170" s="651"/>
      <c r="G170" s="651"/>
      <c r="H170" s="651"/>
      <c r="I170" s="609"/>
      <c r="J170" s="609"/>
      <c r="K170" s="609"/>
      <c r="L170" s="609"/>
      <c r="M170" s="609"/>
      <c r="N170" s="609"/>
      <c r="O170" s="609"/>
      <c r="P170" s="609"/>
      <c r="Q170" s="609"/>
      <c r="R170" s="609"/>
      <c r="S170" s="609"/>
      <c r="T170" s="609"/>
      <c r="U170" s="609"/>
      <c r="V170" s="609"/>
      <c r="W170" s="609"/>
      <c r="X170" s="609"/>
      <c r="Y170" s="609"/>
      <c r="Z170" s="609"/>
      <c r="AA170" s="609"/>
      <c r="AB170" s="609"/>
      <c r="AC170" s="609"/>
      <c r="AD170" s="609"/>
      <c r="AE170" s="167"/>
      <c r="AF170" s="590"/>
    </row>
    <row r="171">
      <c r="A171" s="73" t="s">
        <v>745</v>
      </c>
      <c r="B171" s="717"/>
      <c r="C171" s="717"/>
      <c r="D171" s="717"/>
      <c r="E171" s="717"/>
      <c r="F171" s="717"/>
      <c r="G171" s="717"/>
      <c r="H171" s="717"/>
      <c r="I171" s="717"/>
      <c r="J171" s="717"/>
      <c r="K171" s="717"/>
      <c r="L171" s="717"/>
      <c r="M171" s="717"/>
      <c r="N171" s="717"/>
      <c r="O171" s="717"/>
      <c r="P171" s="717"/>
      <c r="Q171" s="717"/>
      <c r="R171" s="717"/>
      <c r="S171" s="717"/>
      <c r="T171" s="717"/>
      <c r="U171" s="717"/>
      <c r="V171" s="717"/>
      <c r="W171" s="717"/>
      <c r="X171" s="717"/>
      <c r="Y171" s="717"/>
      <c r="Z171" s="717"/>
      <c r="AA171" s="717"/>
      <c r="AB171" s="717"/>
      <c r="AC171" s="717"/>
      <c r="AD171" s="717"/>
      <c r="AE171" s="589"/>
      <c r="AF171" s="590"/>
    </row>
    <row r="172">
      <c r="A172" s="116" t="s">
        <v>748</v>
      </c>
      <c r="B172" s="790"/>
      <c r="C172" s="790"/>
      <c r="D172" s="790"/>
      <c r="E172" s="790"/>
      <c r="F172" s="790"/>
      <c r="G172" s="790"/>
      <c r="H172" s="790"/>
      <c r="I172" s="790"/>
      <c r="J172" s="790"/>
      <c r="K172" s="790"/>
      <c r="L172" s="790"/>
      <c r="M172" s="790"/>
      <c r="N172" s="790"/>
      <c r="O172" s="790"/>
      <c r="P172" s="790"/>
      <c r="Q172" s="790"/>
      <c r="R172" s="790"/>
      <c r="S172" s="790"/>
      <c r="T172" s="790"/>
      <c r="U172" s="790"/>
      <c r="V172" s="790"/>
      <c r="W172" s="790"/>
      <c r="X172" s="790"/>
      <c r="Y172" s="790"/>
      <c r="Z172" s="790"/>
      <c r="AA172" s="790"/>
      <c r="AB172" s="790"/>
      <c r="AC172" s="790"/>
      <c r="AD172" s="790"/>
      <c r="AE172" s="790"/>
      <c r="AF172" s="599">
        <f t="shared" ref="AF172:AF177" si="40">SUM(B172:AE172)</f>
        <v>0</v>
      </c>
    </row>
    <row r="173">
      <c r="A173" s="116" t="s">
        <v>752</v>
      </c>
      <c r="B173" s="790"/>
      <c r="C173" s="790"/>
      <c r="D173" s="790"/>
      <c r="E173" s="790"/>
      <c r="F173" s="790"/>
      <c r="G173" s="790"/>
      <c r="H173" s="790"/>
      <c r="I173" s="790"/>
      <c r="J173" s="790"/>
      <c r="K173" s="790"/>
      <c r="L173" s="790"/>
      <c r="M173" s="790"/>
      <c r="N173" s="790"/>
      <c r="O173" s="790"/>
      <c r="P173" s="790"/>
      <c r="Q173" s="790"/>
      <c r="R173" s="790"/>
      <c r="S173" s="790"/>
      <c r="T173" s="790"/>
      <c r="U173" s="790"/>
      <c r="V173" s="790"/>
      <c r="W173" s="790"/>
      <c r="X173" s="790"/>
      <c r="Y173" s="790"/>
      <c r="Z173" s="790"/>
      <c r="AA173" s="790"/>
      <c r="AB173" s="790"/>
      <c r="AC173" s="790"/>
      <c r="AD173" s="790"/>
      <c r="AE173" s="790"/>
      <c r="AF173" s="599">
        <f t="shared" si="40"/>
        <v>0</v>
      </c>
    </row>
    <row r="174">
      <c r="A174" s="116" t="s">
        <v>755</v>
      </c>
      <c r="B174" s="790"/>
      <c r="C174" s="790"/>
      <c r="D174" s="790"/>
      <c r="E174" s="790"/>
      <c r="F174" s="790"/>
      <c r="G174" s="790"/>
      <c r="H174" s="790"/>
      <c r="I174" s="790"/>
      <c r="J174" s="790"/>
      <c r="K174" s="790"/>
      <c r="L174" s="790"/>
      <c r="M174" s="790"/>
      <c r="N174" s="790"/>
      <c r="O174" s="790"/>
      <c r="P174" s="790"/>
      <c r="Q174" s="790"/>
      <c r="R174" s="790"/>
      <c r="S174" s="790"/>
      <c r="T174" s="790"/>
      <c r="U174" s="790"/>
      <c r="V174" s="790"/>
      <c r="W174" s="790"/>
      <c r="X174" s="790"/>
      <c r="Y174" s="790"/>
      <c r="Z174" s="790"/>
      <c r="AA174" s="790"/>
      <c r="AB174" s="790"/>
      <c r="AC174" s="790"/>
      <c r="AD174" s="790"/>
      <c r="AE174" s="790"/>
      <c r="AF174" s="599">
        <f t="shared" si="40"/>
        <v>0</v>
      </c>
    </row>
    <row r="175">
      <c r="A175" s="116" t="s">
        <v>757</v>
      </c>
      <c r="B175" s="790"/>
      <c r="C175" s="790"/>
      <c r="D175" s="790"/>
      <c r="E175" s="790"/>
      <c r="F175" s="790"/>
      <c r="G175" s="790"/>
      <c r="H175" s="790"/>
      <c r="I175" s="790"/>
      <c r="J175" s="790"/>
      <c r="K175" s="790"/>
      <c r="L175" s="790"/>
      <c r="M175" s="790"/>
      <c r="N175" s="790"/>
      <c r="O175" s="790"/>
      <c r="P175" s="790"/>
      <c r="Q175" s="790"/>
      <c r="R175" s="790"/>
      <c r="S175" s="790"/>
      <c r="T175" s="790"/>
      <c r="U175" s="790"/>
      <c r="V175" s="790"/>
      <c r="W175" s="790"/>
      <c r="X175" s="790"/>
      <c r="Y175" s="790"/>
      <c r="Z175" s="790"/>
      <c r="AA175" s="790"/>
      <c r="AB175" s="790"/>
      <c r="AC175" s="790"/>
      <c r="AD175" s="790"/>
      <c r="AE175" s="790"/>
      <c r="AF175" s="599">
        <f t="shared" si="40"/>
        <v>0</v>
      </c>
    </row>
    <row r="176">
      <c r="A176" s="271" t="s">
        <v>261</v>
      </c>
      <c r="B176" s="317">
        <f t="shared" ref="B176:AE176" si="41">SUM(B172:B173)</f>
        <v>0</v>
      </c>
      <c r="C176" s="317">
        <f t="shared" si="41"/>
        <v>0</v>
      </c>
      <c r="D176" s="317">
        <f t="shared" si="41"/>
        <v>0</v>
      </c>
      <c r="E176" s="317">
        <f t="shared" si="41"/>
        <v>0</v>
      </c>
      <c r="F176" s="317">
        <f t="shared" si="41"/>
        <v>0</v>
      </c>
      <c r="G176" s="317">
        <f t="shared" si="41"/>
        <v>0</v>
      </c>
      <c r="H176" s="317">
        <f t="shared" si="41"/>
        <v>0</v>
      </c>
      <c r="I176" s="317">
        <f t="shared" si="41"/>
        <v>0</v>
      </c>
      <c r="J176" s="317">
        <f t="shared" si="41"/>
        <v>0</v>
      </c>
      <c r="K176" s="317">
        <f t="shared" si="41"/>
        <v>0</v>
      </c>
      <c r="L176" s="317">
        <f t="shared" si="41"/>
        <v>0</v>
      </c>
      <c r="M176" s="317">
        <f t="shared" si="41"/>
        <v>0</v>
      </c>
      <c r="N176" s="317">
        <f t="shared" si="41"/>
        <v>0</v>
      </c>
      <c r="O176" s="317">
        <f t="shared" si="41"/>
        <v>0</v>
      </c>
      <c r="P176" s="317">
        <f t="shared" si="41"/>
        <v>0</v>
      </c>
      <c r="Q176" s="317">
        <f t="shared" si="41"/>
        <v>0</v>
      </c>
      <c r="R176" s="317">
        <f t="shared" si="41"/>
        <v>0</v>
      </c>
      <c r="S176" s="317">
        <f t="shared" si="41"/>
        <v>0</v>
      </c>
      <c r="T176" s="317">
        <f t="shared" si="41"/>
        <v>0</v>
      </c>
      <c r="U176" s="317">
        <f t="shared" si="41"/>
        <v>0</v>
      </c>
      <c r="V176" s="317">
        <f t="shared" si="41"/>
        <v>0</v>
      </c>
      <c r="W176" s="317">
        <f t="shared" si="41"/>
        <v>0</v>
      </c>
      <c r="X176" s="317">
        <f t="shared" si="41"/>
        <v>0</v>
      </c>
      <c r="Y176" s="317">
        <f t="shared" si="41"/>
        <v>0</v>
      </c>
      <c r="Z176" s="317">
        <f t="shared" si="41"/>
        <v>0</v>
      </c>
      <c r="AA176" s="317">
        <f t="shared" si="41"/>
        <v>0</v>
      </c>
      <c r="AB176" s="317">
        <f t="shared" si="41"/>
        <v>0</v>
      </c>
      <c r="AC176" s="317">
        <f t="shared" si="41"/>
        <v>0</v>
      </c>
      <c r="AD176" s="317">
        <f t="shared" si="41"/>
        <v>0</v>
      </c>
      <c r="AE176" s="317">
        <f t="shared" si="41"/>
        <v>0</v>
      </c>
      <c r="AF176" s="599">
        <f t="shared" si="40"/>
        <v>0</v>
      </c>
    </row>
    <row r="177">
      <c r="A177" s="126" t="s">
        <v>263</v>
      </c>
      <c r="B177" s="317">
        <f t="shared" ref="B177:AE177" si="42">SUM(B174:B175)</f>
        <v>0</v>
      </c>
      <c r="C177" s="317">
        <f t="shared" si="42"/>
        <v>0</v>
      </c>
      <c r="D177" s="317">
        <f t="shared" si="42"/>
        <v>0</v>
      </c>
      <c r="E177" s="317">
        <f t="shared" si="42"/>
        <v>0</v>
      </c>
      <c r="F177" s="317">
        <f t="shared" si="42"/>
        <v>0</v>
      </c>
      <c r="G177" s="317">
        <f t="shared" si="42"/>
        <v>0</v>
      </c>
      <c r="H177" s="317">
        <f t="shared" si="42"/>
        <v>0</v>
      </c>
      <c r="I177" s="317">
        <f t="shared" si="42"/>
        <v>0</v>
      </c>
      <c r="J177" s="317">
        <f t="shared" si="42"/>
        <v>0</v>
      </c>
      <c r="K177" s="317">
        <f t="shared" si="42"/>
        <v>0</v>
      </c>
      <c r="L177" s="317">
        <f t="shared" si="42"/>
        <v>0</v>
      </c>
      <c r="M177" s="317">
        <f t="shared" si="42"/>
        <v>0</v>
      </c>
      <c r="N177" s="317">
        <f t="shared" si="42"/>
        <v>0</v>
      </c>
      <c r="O177" s="317">
        <f t="shared" si="42"/>
        <v>0</v>
      </c>
      <c r="P177" s="317">
        <f t="shared" si="42"/>
        <v>0</v>
      </c>
      <c r="Q177" s="317">
        <f t="shared" si="42"/>
        <v>0</v>
      </c>
      <c r="R177" s="317">
        <f t="shared" si="42"/>
        <v>0</v>
      </c>
      <c r="S177" s="317">
        <f t="shared" si="42"/>
        <v>0</v>
      </c>
      <c r="T177" s="317">
        <f t="shared" si="42"/>
        <v>0</v>
      </c>
      <c r="U177" s="317">
        <f t="shared" si="42"/>
        <v>0</v>
      </c>
      <c r="V177" s="317">
        <f t="shared" si="42"/>
        <v>0</v>
      </c>
      <c r="W177" s="317">
        <f t="shared" si="42"/>
        <v>0</v>
      </c>
      <c r="X177" s="317">
        <f t="shared" si="42"/>
        <v>0</v>
      </c>
      <c r="Y177" s="317">
        <f t="shared" si="42"/>
        <v>0</v>
      </c>
      <c r="Z177" s="317">
        <f t="shared" si="42"/>
        <v>0</v>
      </c>
      <c r="AA177" s="317">
        <f t="shared" si="42"/>
        <v>0</v>
      </c>
      <c r="AB177" s="317">
        <f t="shared" si="42"/>
        <v>0</v>
      </c>
      <c r="AC177" s="317">
        <f t="shared" si="42"/>
        <v>0</v>
      </c>
      <c r="AD177" s="317">
        <f t="shared" si="42"/>
        <v>0</v>
      </c>
      <c r="AE177" s="317">
        <f t="shared" si="42"/>
        <v>0</v>
      </c>
      <c r="AF177" s="599">
        <f t="shared" si="40"/>
        <v>0</v>
      </c>
    </row>
    <row r="178">
      <c r="A178" s="20"/>
      <c r="B178" s="651"/>
      <c r="C178" s="651"/>
      <c r="D178" s="651"/>
      <c r="E178" s="651"/>
      <c r="F178" s="651"/>
      <c r="G178" s="651"/>
      <c r="H178" s="651"/>
      <c r="I178" s="582"/>
      <c r="J178" s="582"/>
      <c r="K178" s="582"/>
      <c r="L178" s="582"/>
      <c r="M178" s="582"/>
      <c r="N178" s="582"/>
      <c r="O178" s="582"/>
      <c r="P178" s="582"/>
      <c r="Q178" s="582"/>
      <c r="R178" s="582"/>
      <c r="S178" s="582"/>
      <c r="T178" s="582"/>
      <c r="U178" s="582"/>
      <c r="V178" s="582"/>
      <c r="W178" s="582"/>
      <c r="X178" s="582"/>
      <c r="Y178" s="582"/>
      <c r="Z178" s="582"/>
      <c r="AA178" s="582"/>
      <c r="AB178" s="582"/>
      <c r="AC178" s="582"/>
      <c r="AD178" s="582"/>
      <c r="AE178" s="167"/>
      <c r="AF178" s="590"/>
    </row>
    <row r="179">
      <c r="A179" s="116" t="s">
        <v>266</v>
      </c>
      <c r="B179" s="790"/>
      <c r="C179" s="790"/>
      <c r="D179" s="790"/>
      <c r="E179" s="790"/>
      <c r="F179" s="790"/>
      <c r="G179" s="790"/>
      <c r="H179" s="790"/>
      <c r="I179" s="790"/>
      <c r="J179" s="790"/>
      <c r="K179" s="790"/>
      <c r="L179" s="790"/>
      <c r="M179" s="790"/>
      <c r="N179" s="790"/>
      <c r="O179" s="790"/>
      <c r="P179" s="790"/>
      <c r="Q179" s="790"/>
      <c r="R179" s="790"/>
      <c r="S179" s="790"/>
      <c r="T179" s="790"/>
      <c r="U179" s="790"/>
      <c r="V179" s="790"/>
      <c r="W179" s="790"/>
      <c r="X179" s="790"/>
      <c r="Y179" s="790"/>
      <c r="Z179" s="790"/>
      <c r="AA179" s="790"/>
      <c r="AB179" s="790"/>
      <c r="AC179" s="790"/>
      <c r="AD179" s="790"/>
      <c r="AE179" s="790"/>
      <c r="AF179" s="599">
        <f t="shared" ref="AF179:AF187" si="43">SUM(B179:AE179)</f>
        <v>0</v>
      </c>
    </row>
    <row r="180">
      <c r="A180" s="116" t="s">
        <v>267</v>
      </c>
      <c r="B180" s="790"/>
      <c r="C180" s="790"/>
      <c r="D180" s="790"/>
      <c r="E180" s="790"/>
      <c r="F180" s="790"/>
      <c r="G180" s="790"/>
      <c r="H180" s="790"/>
      <c r="I180" s="790"/>
      <c r="J180" s="790"/>
      <c r="K180" s="790"/>
      <c r="L180" s="790"/>
      <c r="M180" s="790"/>
      <c r="N180" s="790"/>
      <c r="O180" s="790"/>
      <c r="P180" s="790"/>
      <c r="Q180" s="790"/>
      <c r="R180" s="790"/>
      <c r="S180" s="790"/>
      <c r="T180" s="790"/>
      <c r="U180" s="790"/>
      <c r="V180" s="790"/>
      <c r="W180" s="790"/>
      <c r="X180" s="790"/>
      <c r="Y180" s="790"/>
      <c r="Z180" s="790"/>
      <c r="AA180" s="790"/>
      <c r="AB180" s="790"/>
      <c r="AC180" s="790"/>
      <c r="AD180" s="790"/>
      <c r="AE180" s="790"/>
      <c r="AF180" s="599">
        <f t="shared" si="43"/>
        <v>0</v>
      </c>
    </row>
    <row r="181">
      <c r="A181" s="699" t="s">
        <v>763</v>
      </c>
      <c r="B181" s="790"/>
      <c r="C181" s="790"/>
      <c r="D181" s="790"/>
      <c r="E181" s="790"/>
      <c r="F181" s="790"/>
      <c r="G181" s="790"/>
      <c r="H181" s="790"/>
      <c r="I181" s="790"/>
      <c r="J181" s="790"/>
      <c r="K181" s="790"/>
      <c r="L181" s="790"/>
      <c r="M181" s="790"/>
      <c r="N181" s="790"/>
      <c r="O181" s="790"/>
      <c r="P181" s="790"/>
      <c r="Q181" s="790"/>
      <c r="R181" s="790"/>
      <c r="S181" s="790"/>
      <c r="T181" s="790"/>
      <c r="U181" s="790"/>
      <c r="V181" s="790"/>
      <c r="W181" s="790"/>
      <c r="X181" s="790"/>
      <c r="Y181" s="790"/>
      <c r="Z181" s="790"/>
      <c r="AA181" s="790"/>
      <c r="AB181" s="790"/>
      <c r="AC181" s="790"/>
      <c r="AD181" s="790"/>
      <c r="AE181" s="790"/>
      <c r="AF181" s="599">
        <f t="shared" si="43"/>
        <v>0</v>
      </c>
    </row>
    <row r="182">
      <c r="A182" s="116" t="s">
        <v>764</v>
      </c>
      <c r="B182" s="790"/>
      <c r="C182" s="790"/>
      <c r="D182" s="790"/>
      <c r="E182" s="790"/>
      <c r="F182" s="790"/>
      <c r="G182" s="790"/>
      <c r="H182" s="790"/>
      <c r="I182" s="790"/>
      <c r="J182" s="790"/>
      <c r="K182" s="790"/>
      <c r="L182" s="790"/>
      <c r="M182" s="790"/>
      <c r="N182" s="790"/>
      <c r="O182" s="790"/>
      <c r="P182" s="790"/>
      <c r="Q182" s="790"/>
      <c r="R182" s="790"/>
      <c r="S182" s="790"/>
      <c r="T182" s="790"/>
      <c r="U182" s="790"/>
      <c r="V182" s="790"/>
      <c r="W182" s="790"/>
      <c r="X182" s="790"/>
      <c r="Y182" s="790"/>
      <c r="Z182" s="790"/>
      <c r="AA182" s="790"/>
      <c r="AB182" s="790"/>
      <c r="AC182" s="790"/>
      <c r="AD182" s="790"/>
      <c r="AE182" s="790"/>
      <c r="AF182" s="599">
        <f t="shared" si="43"/>
        <v>0</v>
      </c>
    </row>
    <row r="183">
      <c r="A183" s="116" t="s">
        <v>765</v>
      </c>
      <c r="B183" s="790"/>
      <c r="C183" s="790"/>
      <c r="D183" s="790"/>
      <c r="E183" s="790"/>
      <c r="F183" s="790"/>
      <c r="G183" s="790"/>
      <c r="H183" s="790"/>
      <c r="I183" s="790"/>
      <c r="J183" s="790"/>
      <c r="K183" s="790"/>
      <c r="L183" s="790"/>
      <c r="M183" s="790"/>
      <c r="N183" s="790"/>
      <c r="O183" s="790"/>
      <c r="P183" s="790"/>
      <c r="Q183" s="790"/>
      <c r="R183" s="790"/>
      <c r="S183" s="790"/>
      <c r="T183" s="790"/>
      <c r="U183" s="790"/>
      <c r="V183" s="790"/>
      <c r="W183" s="790"/>
      <c r="X183" s="790"/>
      <c r="Y183" s="790"/>
      <c r="Z183" s="790"/>
      <c r="AA183" s="790"/>
      <c r="AB183" s="790"/>
      <c r="AC183" s="790"/>
      <c r="AD183" s="790"/>
      <c r="AE183" s="790"/>
      <c r="AF183" s="599">
        <f t="shared" si="43"/>
        <v>0</v>
      </c>
    </row>
    <row r="184">
      <c r="A184" s="116" t="s">
        <v>766</v>
      </c>
      <c r="B184" s="790"/>
      <c r="C184" s="790"/>
      <c r="D184" s="790"/>
      <c r="E184" s="790"/>
      <c r="F184" s="790"/>
      <c r="G184" s="790"/>
      <c r="H184" s="790"/>
      <c r="I184" s="790"/>
      <c r="J184" s="790"/>
      <c r="K184" s="790"/>
      <c r="L184" s="790"/>
      <c r="M184" s="790"/>
      <c r="N184" s="790"/>
      <c r="O184" s="790"/>
      <c r="P184" s="790"/>
      <c r="Q184" s="790"/>
      <c r="R184" s="790"/>
      <c r="S184" s="790"/>
      <c r="T184" s="790"/>
      <c r="U184" s="790"/>
      <c r="V184" s="790"/>
      <c r="W184" s="790"/>
      <c r="X184" s="790"/>
      <c r="Y184" s="790"/>
      <c r="Z184" s="790"/>
      <c r="AA184" s="790"/>
      <c r="AB184" s="790"/>
      <c r="AC184" s="790"/>
      <c r="AD184" s="790"/>
      <c r="AE184" s="790"/>
      <c r="AF184" s="599">
        <f t="shared" si="43"/>
        <v>0</v>
      </c>
    </row>
    <row r="185">
      <c r="A185" s="116" t="s">
        <v>767</v>
      </c>
      <c r="B185" s="790"/>
      <c r="C185" s="790"/>
      <c r="D185" s="790"/>
      <c r="E185" s="790"/>
      <c r="F185" s="790"/>
      <c r="G185" s="790"/>
      <c r="H185" s="790"/>
      <c r="I185" s="790"/>
      <c r="J185" s="790"/>
      <c r="K185" s="790"/>
      <c r="L185" s="790"/>
      <c r="M185" s="790"/>
      <c r="N185" s="790"/>
      <c r="O185" s="790"/>
      <c r="P185" s="790"/>
      <c r="Q185" s="790"/>
      <c r="R185" s="790"/>
      <c r="S185" s="790"/>
      <c r="T185" s="790"/>
      <c r="U185" s="790"/>
      <c r="V185" s="790"/>
      <c r="W185" s="790"/>
      <c r="X185" s="790"/>
      <c r="Y185" s="790"/>
      <c r="Z185" s="790"/>
      <c r="AA185" s="790"/>
      <c r="AB185" s="790"/>
      <c r="AC185" s="790"/>
      <c r="AD185" s="790"/>
      <c r="AE185" s="790"/>
      <c r="AF185" s="599">
        <f t="shared" si="43"/>
        <v>0</v>
      </c>
    </row>
    <row r="186">
      <c r="A186" s="116" t="s">
        <v>768</v>
      </c>
      <c r="B186" s="790"/>
      <c r="C186" s="790"/>
      <c r="D186" s="790"/>
      <c r="E186" s="790"/>
      <c r="F186" s="790"/>
      <c r="G186" s="790"/>
      <c r="H186" s="790"/>
      <c r="I186" s="790"/>
      <c r="J186" s="790"/>
      <c r="K186" s="790"/>
      <c r="L186" s="790"/>
      <c r="M186" s="790"/>
      <c r="N186" s="790"/>
      <c r="O186" s="790"/>
      <c r="P186" s="790"/>
      <c r="Q186" s="790"/>
      <c r="R186" s="790"/>
      <c r="S186" s="790"/>
      <c r="T186" s="790"/>
      <c r="U186" s="790"/>
      <c r="V186" s="790"/>
      <c r="W186" s="790"/>
      <c r="X186" s="790"/>
      <c r="Y186" s="790"/>
      <c r="Z186" s="790"/>
      <c r="AA186" s="790"/>
      <c r="AB186" s="790"/>
      <c r="AC186" s="790"/>
      <c r="AD186" s="790"/>
      <c r="AE186" s="790"/>
      <c r="AF186" s="599">
        <f t="shared" si="43"/>
        <v>0</v>
      </c>
    </row>
    <row r="187">
      <c r="A187" s="271" t="s">
        <v>159</v>
      </c>
      <c r="B187" s="317">
        <f t="shared" ref="B187:AE187" si="44">SUM(B179:B186)</f>
        <v>0</v>
      </c>
      <c r="C187" s="317">
        <f t="shared" si="44"/>
        <v>0</v>
      </c>
      <c r="D187" s="317">
        <f t="shared" si="44"/>
        <v>0</v>
      </c>
      <c r="E187" s="317">
        <f t="shared" si="44"/>
        <v>0</v>
      </c>
      <c r="F187" s="317">
        <f t="shared" si="44"/>
        <v>0</v>
      </c>
      <c r="G187" s="317">
        <f t="shared" si="44"/>
        <v>0</v>
      </c>
      <c r="H187" s="317">
        <f t="shared" si="44"/>
        <v>0</v>
      </c>
      <c r="I187" s="317">
        <f t="shared" si="44"/>
        <v>0</v>
      </c>
      <c r="J187" s="317">
        <f t="shared" si="44"/>
        <v>0</v>
      </c>
      <c r="K187" s="317">
        <f t="shared" si="44"/>
        <v>0</v>
      </c>
      <c r="L187" s="317">
        <f t="shared" si="44"/>
        <v>0</v>
      </c>
      <c r="M187" s="317">
        <f t="shared" si="44"/>
        <v>0</v>
      </c>
      <c r="N187" s="317">
        <f t="shared" si="44"/>
        <v>0</v>
      </c>
      <c r="O187" s="317">
        <f t="shared" si="44"/>
        <v>0</v>
      </c>
      <c r="P187" s="317">
        <f t="shared" si="44"/>
        <v>0</v>
      </c>
      <c r="Q187" s="317">
        <f t="shared" si="44"/>
        <v>0</v>
      </c>
      <c r="R187" s="317">
        <f t="shared" si="44"/>
        <v>0</v>
      </c>
      <c r="S187" s="317">
        <f t="shared" si="44"/>
        <v>0</v>
      </c>
      <c r="T187" s="317">
        <f t="shared" si="44"/>
        <v>0</v>
      </c>
      <c r="U187" s="317">
        <f t="shared" si="44"/>
        <v>0</v>
      </c>
      <c r="V187" s="317">
        <f t="shared" si="44"/>
        <v>0</v>
      </c>
      <c r="W187" s="317">
        <f t="shared" si="44"/>
        <v>0</v>
      </c>
      <c r="X187" s="317">
        <f t="shared" si="44"/>
        <v>0</v>
      </c>
      <c r="Y187" s="317">
        <f t="shared" si="44"/>
        <v>0</v>
      </c>
      <c r="Z187" s="317">
        <f t="shared" si="44"/>
        <v>0</v>
      </c>
      <c r="AA187" s="317">
        <f t="shared" si="44"/>
        <v>0</v>
      </c>
      <c r="AB187" s="317">
        <f t="shared" si="44"/>
        <v>0</v>
      </c>
      <c r="AC187" s="317">
        <f t="shared" si="44"/>
        <v>0</v>
      </c>
      <c r="AD187" s="317">
        <f t="shared" si="44"/>
        <v>0</v>
      </c>
      <c r="AE187" s="317">
        <f t="shared" si="44"/>
        <v>0</v>
      </c>
      <c r="AF187" s="599">
        <f t="shared" si="43"/>
        <v>0</v>
      </c>
    </row>
    <row r="188">
      <c r="A188" s="20"/>
      <c r="B188" s="609"/>
      <c r="C188" s="609"/>
      <c r="D188" s="609"/>
      <c r="E188" s="609"/>
      <c r="F188" s="609"/>
      <c r="G188" s="609"/>
      <c r="H188" s="609"/>
      <c r="I188" s="609"/>
      <c r="J188" s="609"/>
      <c r="K188" s="609"/>
      <c r="L188" s="609"/>
      <c r="M188" s="609"/>
      <c r="N188" s="609"/>
      <c r="O188" s="609"/>
      <c r="P188" s="609"/>
      <c r="Q188" s="609"/>
      <c r="R188" s="609"/>
      <c r="S188" s="609"/>
      <c r="T188" s="609"/>
      <c r="U188" s="609"/>
      <c r="V188" s="609"/>
      <c r="W188" s="609"/>
      <c r="X188" s="609"/>
      <c r="Y188" s="609"/>
      <c r="Z188" s="609"/>
      <c r="AA188" s="609"/>
      <c r="AB188" s="609"/>
      <c r="AC188" s="609"/>
      <c r="AD188" s="609"/>
      <c r="AE188" s="167"/>
      <c r="AF188" s="590"/>
    </row>
    <row r="189">
      <c r="A189" s="73" t="s">
        <v>769</v>
      </c>
      <c r="B189" s="609"/>
      <c r="C189" s="609"/>
      <c r="D189" s="609"/>
      <c r="E189" s="609"/>
      <c r="F189" s="609"/>
      <c r="G189" s="609"/>
      <c r="H189" s="609"/>
      <c r="I189" s="609"/>
      <c r="J189" s="609"/>
      <c r="K189" s="609"/>
      <c r="L189" s="609"/>
      <c r="M189" s="609"/>
      <c r="N189" s="609"/>
      <c r="O189" s="609"/>
      <c r="P189" s="609"/>
      <c r="Q189" s="609"/>
      <c r="R189" s="609"/>
      <c r="S189" s="609"/>
      <c r="T189" s="609"/>
      <c r="U189" s="609"/>
      <c r="V189" s="609"/>
      <c r="W189" s="609"/>
      <c r="X189" s="609"/>
      <c r="Y189" s="609"/>
      <c r="Z189" s="609"/>
      <c r="AA189" s="609"/>
      <c r="AB189" s="609"/>
      <c r="AC189" s="609"/>
      <c r="AD189" s="609"/>
      <c r="AE189" s="167"/>
      <c r="AF189" s="590"/>
    </row>
    <row r="190">
      <c r="A190" s="116" t="s">
        <v>579</v>
      </c>
      <c r="B190" s="580"/>
      <c r="C190" s="580"/>
      <c r="D190" s="580"/>
      <c r="E190" s="580"/>
      <c r="F190" s="580"/>
      <c r="G190" s="580"/>
      <c r="H190" s="580"/>
      <c r="I190" s="580"/>
      <c r="J190" s="580"/>
      <c r="K190" s="580"/>
      <c r="L190" s="580"/>
      <c r="M190" s="580"/>
      <c r="N190" s="580"/>
      <c r="O190" s="580"/>
      <c r="P190" s="580"/>
      <c r="Q190" s="580"/>
      <c r="R190" s="580"/>
      <c r="S190" s="580"/>
      <c r="T190" s="580"/>
      <c r="U190" s="580"/>
      <c r="V190" s="580"/>
      <c r="W190" s="580"/>
      <c r="X190" s="580"/>
      <c r="Y190" s="580"/>
      <c r="Z190" s="580"/>
      <c r="AA190" s="580"/>
      <c r="AB190" s="580"/>
      <c r="AC190" s="580"/>
      <c r="AD190" s="580"/>
      <c r="AE190" s="580"/>
      <c r="AF190" s="591">
        <f t="shared" ref="AF190:AF193" si="45">SUM(B190:AE190)</f>
        <v>0</v>
      </c>
    </row>
    <row r="191">
      <c r="A191" s="116" t="s">
        <v>129</v>
      </c>
      <c r="B191" s="694"/>
      <c r="C191" s="694"/>
      <c r="D191" s="694"/>
      <c r="E191" s="694"/>
      <c r="F191" s="694"/>
      <c r="G191" s="694"/>
      <c r="H191" s="694"/>
      <c r="I191" s="694"/>
      <c r="J191" s="694"/>
      <c r="K191" s="694"/>
      <c r="L191" s="694"/>
      <c r="M191" s="694"/>
      <c r="N191" s="694"/>
      <c r="O191" s="694"/>
      <c r="P191" s="694"/>
      <c r="Q191" s="694"/>
      <c r="R191" s="694"/>
      <c r="S191" s="694"/>
      <c r="T191" s="694"/>
      <c r="U191" s="694"/>
      <c r="V191" s="694"/>
      <c r="W191" s="694"/>
      <c r="X191" s="694"/>
      <c r="Y191" s="694"/>
      <c r="Z191" s="694"/>
      <c r="AA191" s="694"/>
      <c r="AB191" s="694"/>
      <c r="AC191" s="694"/>
      <c r="AD191" s="694"/>
      <c r="AE191" s="694"/>
      <c r="AF191" s="591">
        <f t="shared" si="45"/>
        <v>0</v>
      </c>
    </row>
    <row r="192">
      <c r="A192" s="116" t="s">
        <v>580</v>
      </c>
      <c r="B192" s="694"/>
      <c r="C192" s="694"/>
      <c r="D192" s="694"/>
      <c r="E192" s="694"/>
      <c r="F192" s="694"/>
      <c r="G192" s="694"/>
      <c r="H192" s="694"/>
      <c r="I192" s="694"/>
      <c r="J192" s="694"/>
      <c r="K192" s="694"/>
      <c r="L192" s="694"/>
      <c r="M192" s="694"/>
      <c r="N192" s="694"/>
      <c r="O192" s="694"/>
      <c r="P192" s="694"/>
      <c r="Q192" s="694"/>
      <c r="R192" s="694"/>
      <c r="S192" s="694"/>
      <c r="T192" s="694"/>
      <c r="U192" s="694"/>
      <c r="V192" s="694"/>
      <c r="W192" s="694"/>
      <c r="X192" s="694"/>
      <c r="Y192" s="694"/>
      <c r="Z192" s="694"/>
      <c r="AA192" s="694"/>
      <c r="AB192" s="694"/>
      <c r="AC192" s="694"/>
      <c r="AD192" s="694"/>
      <c r="AE192" s="694"/>
      <c r="AF192" s="591">
        <f t="shared" si="45"/>
        <v>0</v>
      </c>
    </row>
    <row r="193">
      <c r="A193" s="410" t="s">
        <v>581</v>
      </c>
      <c r="B193" s="411">
        <f t="shared" ref="B193:AE193" si="46">sum(B190:B192)</f>
        <v>0</v>
      </c>
      <c r="C193" s="411">
        <f t="shared" si="46"/>
        <v>0</v>
      </c>
      <c r="D193" s="411">
        <f t="shared" si="46"/>
        <v>0</v>
      </c>
      <c r="E193" s="411">
        <f t="shared" si="46"/>
        <v>0</v>
      </c>
      <c r="F193" s="411">
        <f t="shared" si="46"/>
        <v>0</v>
      </c>
      <c r="G193" s="411">
        <f t="shared" si="46"/>
        <v>0</v>
      </c>
      <c r="H193" s="411">
        <f t="shared" si="46"/>
        <v>0</v>
      </c>
      <c r="I193" s="411">
        <f t="shared" si="46"/>
        <v>0</v>
      </c>
      <c r="J193" s="411">
        <f t="shared" si="46"/>
        <v>0</v>
      </c>
      <c r="K193" s="411">
        <f t="shared" si="46"/>
        <v>0</v>
      </c>
      <c r="L193" s="411">
        <f t="shared" si="46"/>
        <v>0</v>
      </c>
      <c r="M193" s="411">
        <f t="shared" si="46"/>
        <v>0</v>
      </c>
      <c r="N193" s="411">
        <f t="shared" si="46"/>
        <v>0</v>
      </c>
      <c r="O193" s="411">
        <f t="shared" si="46"/>
        <v>0</v>
      </c>
      <c r="P193" s="411">
        <f t="shared" si="46"/>
        <v>0</v>
      </c>
      <c r="Q193" s="411">
        <f t="shared" si="46"/>
        <v>0</v>
      </c>
      <c r="R193" s="411">
        <f t="shared" si="46"/>
        <v>0</v>
      </c>
      <c r="S193" s="411">
        <f t="shared" si="46"/>
        <v>0</v>
      </c>
      <c r="T193" s="411">
        <f t="shared" si="46"/>
        <v>0</v>
      </c>
      <c r="U193" s="411">
        <f t="shared" si="46"/>
        <v>0</v>
      </c>
      <c r="V193" s="411">
        <f t="shared" si="46"/>
        <v>0</v>
      </c>
      <c r="W193" s="411">
        <f t="shared" si="46"/>
        <v>0</v>
      </c>
      <c r="X193" s="411">
        <f t="shared" si="46"/>
        <v>0</v>
      </c>
      <c r="Y193" s="411">
        <f t="shared" si="46"/>
        <v>0</v>
      </c>
      <c r="Z193" s="411">
        <f t="shared" si="46"/>
        <v>0</v>
      </c>
      <c r="AA193" s="411">
        <f t="shared" si="46"/>
        <v>0</v>
      </c>
      <c r="AB193" s="411">
        <f t="shared" si="46"/>
        <v>0</v>
      </c>
      <c r="AC193" s="411">
        <f t="shared" si="46"/>
        <v>0</v>
      </c>
      <c r="AD193" s="411">
        <f t="shared" si="46"/>
        <v>0</v>
      </c>
      <c r="AE193" s="411">
        <f t="shared" si="46"/>
        <v>0</v>
      </c>
      <c r="AF193" s="591">
        <f t="shared" si="45"/>
        <v>0</v>
      </c>
    </row>
    <row r="194">
      <c r="A194" s="682"/>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72"/>
      <c r="AF194" s="685"/>
    </row>
    <row r="195">
      <c r="A195" s="686" t="s">
        <v>468</v>
      </c>
      <c r="B195" s="839"/>
      <c r="C195" s="839"/>
      <c r="D195" s="839"/>
      <c r="E195" s="839"/>
      <c r="F195" s="839"/>
      <c r="G195" s="839"/>
      <c r="H195" s="839"/>
      <c r="I195" s="839"/>
      <c r="J195" s="839"/>
      <c r="K195" s="839"/>
      <c r="L195" s="839"/>
      <c r="M195" s="839"/>
      <c r="N195" s="839"/>
      <c r="O195" s="839"/>
      <c r="P195" s="839"/>
      <c r="Q195" s="839"/>
      <c r="R195" s="839"/>
      <c r="S195" s="839"/>
      <c r="T195" s="839"/>
      <c r="U195" s="839"/>
      <c r="V195" s="839"/>
      <c r="W195" s="839"/>
      <c r="X195" s="839"/>
      <c r="Y195" s="839"/>
      <c r="Z195" s="839"/>
      <c r="AA195" s="839"/>
      <c r="AB195" s="839"/>
      <c r="AC195" s="839"/>
      <c r="AD195" s="839"/>
      <c r="AE195" s="839"/>
      <c r="AF195" s="591">
        <f t="shared" ref="AF195:AF197" si="47">SUM(B195:AE195)</f>
        <v>0</v>
      </c>
    </row>
    <row r="196">
      <c r="A196" s="686" t="s">
        <v>470</v>
      </c>
      <c r="B196" s="687"/>
      <c r="C196" s="687"/>
      <c r="D196" s="687"/>
      <c r="E196" s="687"/>
      <c r="F196" s="687"/>
      <c r="G196" s="687"/>
      <c r="H196" s="687"/>
      <c r="I196" s="687"/>
      <c r="J196" s="687"/>
      <c r="K196" s="687"/>
      <c r="L196" s="687"/>
      <c r="M196" s="687"/>
      <c r="N196" s="687"/>
      <c r="O196" s="687"/>
      <c r="P196" s="687"/>
      <c r="Q196" s="687"/>
      <c r="R196" s="687"/>
      <c r="S196" s="687"/>
      <c r="T196" s="687"/>
      <c r="U196" s="687"/>
      <c r="V196" s="687"/>
      <c r="W196" s="687"/>
      <c r="X196" s="687"/>
      <c r="Y196" s="687"/>
      <c r="Z196" s="687"/>
      <c r="AA196" s="687"/>
      <c r="AB196" s="687"/>
      <c r="AC196" s="687"/>
      <c r="AD196" s="687"/>
      <c r="AE196" s="687"/>
      <c r="AF196" s="591">
        <f t="shared" si="47"/>
        <v>0</v>
      </c>
    </row>
    <row r="197">
      <c r="A197" s="688" t="s">
        <v>583</v>
      </c>
      <c r="B197" s="689">
        <f t="shared" ref="B197:AE197" si="48">sum(B195:B196)</f>
        <v>0</v>
      </c>
      <c r="C197" s="689">
        <f t="shared" si="48"/>
        <v>0</v>
      </c>
      <c r="D197" s="689">
        <f t="shared" si="48"/>
        <v>0</v>
      </c>
      <c r="E197" s="689">
        <f t="shared" si="48"/>
        <v>0</v>
      </c>
      <c r="F197" s="689">
        <f t="shared" si="48"/>
        <v>0</v>
      </c>
      <c r="G197" s="689">
        <f t="shared" si="48"/>
        <v>0</v>
      </c>
      <c r="H197" s="689">
        <f t="shared" si="48"/>
        <v>0</v>
      </c>
      <c r="I197" s="689">
        <f t="shared" si="48"/>
        <v>0</v>
      </c>
      <c r="J197" s="689">
        <f t="shared" si="48"/>
        <v>0</v>
      </c>
      <c r="K197" s="689">
        <f t="shared" si="48"/>
        <v>0</v>
      </c>
      <c r="L197" s="689">
        <f t="shared" si="48"/>
        <v>0</v>
      </c>
      <c r="M197" s="689">
        <f t="shared" si="48"/>
        <v>0</v>
      </c>
      <c r="N197" s="689">
        <f t="shared" si="48"/>
        <v>0</v>
      </c>
      <c r="O197" s="689">
        <f t="shared" si="48"/>
        <v>0</v>
      </c>
      <c r="P197" s="689">
        <f t="shared" si="48"/>
        <v>0</v>
      </c>
      <c r="Q197" s="689">
        <f t="shared" si="48"/>
        <v>0</v>
      </c>
      <c r="R197" s="689">
        <f t="shared" si="48"/>
        <v>0</v>
      </c>
      <c r="S197" s="689">
        <f t="shared" si="48"/>
        <v>0</v>
      </c>
      <c r="T197" s="689">
        <f t="shared" si="48"/>
        <v>0</v>
      </c>
      <c r="U197" s="689">
        <f t="shared" si="48"/>
        <v>0</v>
      </c>
      <c r="V197" s="689">
        <f t="shared" si="48"/>
        <v>0</v>
      </c>
      <c r="W197" s="689">
        <f t="shared" si="48"/>
        <v>0</v>
      </c>
      <c r="X197" s="689">
        <f t="shared" si="48"/>
        <v>0</v>
      </c>
      <c r="Y197" s="689">
        <f t="shared" si="48"/>
        <v>0</v>
      </c>
      <c r="Z197" s="689">
        <f t="shared" si="48"/>
        <v>0</v>
      </c>
      <c r="AA197" s="689">
        <f t="shared" si="48"/>
        <v>0</v>
      </c>
      <c r="AB197" s="689">
        <f t="shared" si="48"/>
        <v>0</v>
      </c>
      <c r="AC197" s="689">
        <f t="shared" si="48"/>
        <v>0</v>
      </c>
      <c r="AD197" s="689">
        <f t="shared" si="48"/>
        <v>0</v>
      </c>
      <c r="AE197" s="689">
        <f t="shared" si="48"/>
        <v>0</v>
      </c>
      <c r="AF197" s="591">
        <f t="shared" si="47"/>
        <v>0</v>
      </c>
    </row>
    <row r="198">
      <c r="A198" s="20"/>
      <c r="B198" s="609"/>
      <c r="C198" s="609"/>
      <c r="D198" s="609"/>
      <c r="E198" s="609"/>
      <c r="F198" s="609"/>
      <c r="G198" s="609"/>
      <c r="H198" s="609"/>
      <c r="I198" s="609"/>
      <c r="J198" s="609"/>
      <c r="K198" s="609"/>
      <c r="L198" s="609"/>
      <c r="M198" s="609"/>
      <c r="N198" s="609"/>
      <c r="O198" s="609"/>
      <c r="P198" s="609"/>
      <c r="Q198" s="609"/>
      <c r="R198" s="609"/>
      <c r="S198" s="609"/>
      <c r="T198" s="609"/>
      <c r="U198" s="609"/>
      <c r="V198" s="609"/>
      <c r="W198" s="609"/>
      <c r="X198" s="609"/>
      <c r="Y198" s="609"/>
      <c r="Z198" s="609"/>
      <c r="AA198" s="609"/>
      <c r="AB198" s="609"/>
      <c r="AC198" s="609"/>
      <c r="AD198" s="609"/>
      <c r="AE198" s="167"/>
      <c r="AF198" s="590"/>
    </row>
    <row r="199">
      <c r="A199" s="620" t="s">
        <v>772</v>
      </c>
      <c r="B199" s="697"/>
      <c r="C199" s="697"/>
      <c r="D199" s="697"/>
      <c r="E199" s="697"/>
      <c r="F199" s="697"/>
      <c r="G199" s="697"/>
      <c r="H199" s="697"/>
      <c r="I199" s="697"/>
      <c r="J199" s="697"/>
      <c r="K199" s="697"/>
      <c r="L199" s="697"/>
      <c r="M199" s="697"/>
      <c r="N199" s="697"/>
      <c r="O199" s="697"/>
      <c r="P199" s="697"/>
      <c r="Q199" s="697"/>
      <c r="R199" s="697"/>
      <c r="S199" s="697"/>
      <c r="T199" s="697"/>
      <c r="U199" s="697"/>
      <c r="V199" s="697"/>
      <c r="W199" s="697"/>
      <c r="X199" s="697"/>
      <c r="Y199" s="697"/>
      <c r="Z199" s="697"/>
      <c r="AA199" s="697"/>
      <c r="AB199" s="697"/>
      <c r="AC199" s="697"/>
      <c r="AD199" s="697"/>
      <c r="AE199" s="754"/>
      <c r="AF199" s="590"/>
    </row>
    <row r="200" outlineLevel="1">
      <c r="A200" s="116" t="s">
        <v>773</v>
      </c>
      <c r="B200" s="286">
        <v>0.0</v>
      </c>
      <c r="C200" s="286">
        <v>0.0</v>
      </c>
      <c r="D200" s="286">
        <v>0.0</v>
      </c>
      <c r="E200" s="286">
        <v>0.0</v>
      </c>
      <c r="F200" s="286">
        <v>0.0</v>
      </c>
      <c r="G200" s="286">
        <v>0.0</v>
      </c>
      <c r="H200" s="286">
        <v>0.0</v>
      </c>
      <c r="I200" s="286">
        <v>0.0</v>
      </c>
      <c r="J200" s="286">
        <v>0.0</v>
      </c>
      <c r="K200" s="286">
        <v>0.0</v>
      </c>
      <c r="L200" s="286">
        <v>0.0</v>
      </c>
      <c r="M200" s="286">
        <v>0.0</v>
      </c>
      <c r="N200" s="286">
        <v>0.0</v>
      </c>
      <c r="O200" s="286">
        <v>0.0</v>
      </c>
      <c r="P200" s="286">
        <v>0.0</v>
      </c>
      <c r="Q200" s="286">
        <v>0.0</v>
      </c>
      <c r="R200" s="286">
        <v>0.0</v>
      </c>
      <c r="S200" s="286">
        <v>0.0</v>
      </c>
      <c r="T200" s="286">
        <v>0.0</v>
      </c>
      <c r="U200" s="286">
        <v>0.0</v>
      </c>
      <c r="V200" s="286">
        <v>0.0</v>
      </c>
      <c r="W200" s="286">
        <v>0.0</v>
      </c>
      <c r="X200" s="286">
        <v>0.0</v>
      </c>
      <c r="Y200" s="286">
        <v>0.0</v>
      </c>
      <c r="Z200" s="286">
        <v>0.0</v>
      </c>
      <c r="AA200" s="286">
        <v>0.0</v>
      </c>
      <c r="AB200" s="286">
        <v>0.0</v>
      </c>
      <c r="AC200" s="286">
        <v>0.0</v>
      </c>
      <c r="AD200" s="286">
        <v>0.0</v>
      </c>
      <c r="AE200" s="286">
        <v>0.0</v>
      </c>
      <c r="AF200" s="599">
        <f t="shared" ref="AF200:AF215" si="49">SUM(B200:AE200)</f>
        <v>0</v>
      </c>
    </row>
    <row r="201" outlineLevel="1">
      <c r="A201" s="116" t="s">
        <v>774</v>
      </c>
      <c r="B201" s="286">
        <v>0.0</v>
      </c>
      <c r="C201" s="286">
        <v>0.0</v>
      </c>
      <c r="D201" s="286">
        <v>0.0</v>
      </c>
      <c r="E201" s="286">
        <v>0.0</v>
      </c>
      <c r="F201" s="286">
        <v>0.0</v>
      </c>
      <c r="G201" s="286">
        <v>0.0</v>
      </c>
      <c r="H201" s="286">
        <v>0.0</v>
      </c>
      <c r="I201" s="286">
        <v>0.0</v>
      </c>
      <c r="J201" s="286">
        <v>0.0</v>
      </c>
      <c r="K201" s="286">
        <v>0.0</v>
      </c>
      <c r="L201" s="286">
        <v>0.0</v>
      </c>
      <c r="M201" s="286">
        <v>0.0</v>
      </c>
      <c r="N201" s="286">
        <v>0.0</v>
      </c>
      <c r="O201" s="286">
        <v>0.0</v>
      </c>
      <c r="P201" s="286">
        <v>0.0</v>
      </c>
      <c r="Q201" s="286">
        <v>0.0</v>
      </c>
      <c r="R201" s="286">
        <v>0.0</v>
      </c>
      <c r="S201" s="286">
        <v>0.0</v>
      </c>
      <c r="T201" s="286">
        <v>0.0</v>
      </c>
      <c r="U201" s="286">
        <v>0.0</v>
      </c>
      <c r="V201" s="286">
        <v>0.0</v>
      </c>
      <c r="W201" s="286">
        <v>0.0</v>
      </c>
      <c r="X201" s="286">
        <v>0.0</v>
      </c>
      <c r="Y201" s="286">
        <v>0.0</v>
      </c>
      <c r="Z201" s="286">
        <v>0.0</v>
      </c>
      <c r="AA201" s="286">
        <v>0.0</v>
      </c>
      <c r="AB201" s="286">
        <v>0.0</v>
      </c>
      <c r="AC201" s="286">
        <v>0.0</v>
      </c>
      <c r="AD201" s="286">
        <v>0.0</v>
      </c>
      <c r="AE201" s="286">
        <v>0.0</v>
      </c>
      <c r="AF201" s="599">
        <f t="shared" si="49"/>
        <v>0</v>
      </c>
    </row>
    <row r="202" outlineLevel="1">
      <c r="A202" s="116" t="s">
        <v>775</v>
      </c>
      <c r="B202" s="286">
        <v>0.0</v>
      </c>
      <c r="C202" s="286">
        <v>0.0</v>
      </c>
      <c r="D202" s="286">
        <v>0.0</v>
      </c>
      <c r="E202" s="286">
        <v>0.0</v>
      </c>
      <c r="F202" s="286">
        <v>0.0</v>
      </c>
      <c r="G202" s="286">
        <v>0.0</v>
      </c>
      <c r="H202" s="286">
        <v>0.0</v>
      </c>
      <c r="I202" s="286">
        <v>0.0</v>
      </c>
      <c r="J202" s="286">
        <v>0.0</v>
      </c>
      <c r="K202" s="286">
        <v>0.0</v>
      </c>
      <c r="L202" s="286">
        <v>0.0</v>
      </c>
      <c r="M202" s="286">
        <v>0.0</v>
      </c>
      <c r="N202" s="286">
        <v>0.0</v>
      </c>
      <c r="O202" s="286">
        <v>0.0</v>
      </c>
      <c r="P202" s="286">
        <v>0.0</v>
      </c>
      <c r="Q202" s="286">
        <v>0.0</v>
      </c>
      <c r="R202" s="286">
        <v>0.0</v>
      </c>
      <c r="S202" s="286">
        <v>0.0</v>
      </c>
      <c r="T202" s="286">
        <v>0.0</v>
      </c>
      <c r="U202" s="286">
        <v>0.0</v>
      </c>
      <c r="V202" s="286">
        <v>0.0</v>
      </c>
      <c r="W202" s="286">
        <v>0.0</v>
      </c>
      <c r="X202" s="286">
        <v>0.0</v>
      </c>
      <c r="Y202" s="286">
        <v>0.0</v>
      </c>
      <c r="Z202" s="286">
        <v>0.0</v>
      </c>
      <c r="AA202" s="286">
        <v>0.0</v>
      </c>
      <c r="AB202" s="286">
        <v>0.0</v>
      </c>
      <c r="AC202" s="286">
        <v>0.0</v>
      </c>
      <c r="AD202" s="286">
        <v>0.0</v>
      </c>
      <c r="AE202" s="286">
        <v>0.0</v>
      </c>
      <c r="AF202" s="599">
        <f t="shared" si="49"/>
        <v>0</v>
      </c>
    </row>
    <row r="203" outlineLevel="1">
      <c r="A203" s="116" t="s">
        <v>776</v>
      </c>
      <c r="B203" s="286">
        <v>0.0</v>
      </c>
      <c r="C203" s="286">
        <v>0.0</v>
      </c>
      <c r="D203" s="286">
        <v>0.0</v>
      </c>
      <c r="E203" s="286">
        <v>0.0</v>
      </c>
      <c r="F203" s="286">
        <v>0.0</v>
      </c>
      <c r="G203" s="286">
        <v>0.0</v>
      </c>
      <c r="H203" s="286">
        <v>0.0</v>
      </c>
      <c r="I203" s="286">
        <v>0.0</v>
      </c>
      <c r="J203" s="286">
        <v>0.0</v>
      </c>
      <c r="K203" s="286">
        <v>0.0</v>
      </c>
      <c r="L203" s="286">
        <v>0.0</v>
      </c>
      <c r="M203" s="286">
        <v>0.0</v>
      </c>
      <c r="N203" s="286">
        <v>0.0</v>
      </c>
      <c r="O203" s="286">
        <v>0.0</v>
      </c>
      <c r="P203" s="286">
        <v>0.0</v>
      </c>
      <c r="Q203" s="286">
        <v>0.0</v>
      </c>
      <c r="R203" s="286">
        <v>0.0</v>
      </c>
      <c r="S203" s="286">
        <v>0.0</v>
      </c>
      <c r="T203" s="286">
        <v>0.0</v>
      </c>
      <c r="U203" s="286">
        <v>0.0</v>
      </c>
      <c r="V203" s="286">
        <v>0.0</v>
      </c>
      <c r="W203" s="286">
        <v>0.0</v>
      </c>
      <c r="X203" s="286">
        <v>0.0</v>
      </c>
      <c r="Y203" s="286">
        <v>0.0</v>
      </c>
      <c r="Z203" s="286">
        <v>0.0</v>
      </c>
      <c r="AA203" s="286">
        <v>0.0</v>
      </c>
      <c r="AB203" s="286">
        <v>0.0</v>
      </c>
      <c r="AC203" s="286">
        <v>0.0</v>
      </c>
      <c r="AD203" s="286">
        <v>0.0</v>
      </c>
      <c r="AE203" s="286">
        <v>0.0</v>
      </c>
      <c r="AF203" s="599">
        <f t="shared" si="49"/>
        <v>0</v>
      </c>
    </row>
    <row r="204" outlineLevel="1">
      <c r="A204" s="271" t="s">
        <v>261</v>
      </c>
      <c r="B204" s="317">
        <f t="shared" ref="B204:AE204" si="50">B200+B201</f>
        <v>0</v>
      </c>
      <c r="C204" s="317">
        <f t="shared" si="50"/>
        <v>0</v>
      </c>
      <c r="D204" s="317">
        <f t="shared" si="50"/>
        <v>0</v>
      </c>
      <c r="E204" s="317">
        <f t="shared" si="50"/>
        <v>0</v>
      </c>
      <c r="F204" s="317">
        <f t="shared" si="50"/>
        <v>0</v>
      </c>
      <c r="G204" s="317">
        <f t="shared" si="50"/>
        <v>0</v>
      </c>
      <c r="H204" s="317">
        <f t="shared" si="50"/>
        <v>0</v>
      </c>
      <c r="I204" s="317">
        <f t="shared" si="50"/>
        <v>0</v>
      </c>
      <c r="J204" s="317">
        <f t="shared" si="50"/>
        <v>0</v>
      </c>
      <c r="K204" s="317">
        <f t="shared" si="50"/>
        <v>0</v>
      </c>
      <c r="L204" s="317">
        <f t="shared" si="50"/>
        <v>0</v>
      </c>
      <c r="M204" s="317">
        <f t="shared" si="50"/>
        <v>0</v>
      </c>
      <c r="N204" s="317">
        <f t="shared" si="50"/>
        <v>0</v>
      </c>
      <c r="O204" s="317">
        <f t="shared" si="50"/>
        <v>0</v>
      </c>
      <c r="P204" s="317">
        <f t="shared" si="50"/>
        <v>0</v>
      </c>
      <c r="Q204" s="317">
        <f t="shared" si="50"/>
        <v>0</v>
      </c>
      <c r="R204" s="317">
        <f t="shared" si="50"/>
        <v>0</v>
      </c>
      <c r="S204" s="317">
        <f t="shared" si="50"/>
        <v>0</v>
      </c>
      <c r="T204" s="317">
        <f t="shared" si="50"/>
        <v>0</v>
      </c>
      <c r="U204" s="317">
        <f t="shared" si="50"/>
        <v>0</v>
      </c>
      <c r="V204" s="317">
        <f t="shared" si="50"/>
        <v>0</v>
      </c>
      <c r="W204" s="317">
        <f t="shared" si="50"/>
        <v>0</v>
      </c>
      <c r="X204" s="317">
        <f t="shared" si="50"/>
        <v>0</v>
      </c>
      <c r="Y204" s="317">
        <f t="shared" si="50"/>
        <v>0</v>
      </c>
      <c r="Z204" s="317">
        <f t="shared" si="50"/>
        <v>0</v>
      </c>
      <c r="AA204" s="317">
        <f t="shared" si="50"/>
        <v>0</v>
      </c>
      <c r="AB204" s="317">
        <f t="shared" si="50"/>
        <v>0</v>
      </c>
      <c r="AC204" s="317">
        <f t="shared" si="50"/>
        <v>0</v>
      </c>
      <c r="AD204" s="317">
        <f t="shared" si="50"/>
        <v>0</v>
      </c>
      <c r="AE204" s="317">
        <f t="shared" si="50"/>
        <v>0</v>
      </c>
      <c r="AF204" s="599">
        <f t="shared" si="49"/>
        <v>0</v>
      </c>
    </row>
    <row r="205" outlineLevel="1">
      <c r="A205" s="271" t="s">
        <v>263</v>
      </c>
      <c r="B205" s="317">
        <f t="shared" ref="B205:AE205" si="51">B202+B203</f>
        <v>0</v>
      </c>
      <c r="C205" s="317">
        <f t="shared" si="51"/>
        <v>0</v>
      </c>
      <c r="D205" s="317">
        <f t="shared" si="51"/>
        <v>0</v>
      </c>
      <c r="E205" s="317">
        <f t="shared" si="51"/>
        <v>0</v>
      </c>
      <c r="F205" s="317">
        <f t="shared" si="51"/>
        <v>0</v>
      </c>
      <c r="G205" s="317">
        <f t="shared" si="51"/>
        <v>0</v>
      </c>
      <c r="H205" s="317">
        <f t="shared" si="51"/>
        <v>0</v>
      </c>
      <c r="I205" s="317">
        <f t="shared" si="51"/>
        <v>0</v>
      </c>
      <c r="J205" s="317">
        <f t="shared" si="51"/>
        <v>0</v>
      </c>
      <c r="K205" s="317">
        <f t="shared" si="51"/>
        <v>0</v>
      </c>
      <c r="L205" s="317">
        <f t="shared" si="51"/>
        <v>0</v>
      </c>
      <c r="M205" s="317">
        <f t="shared" si="51"/>
        <v>0</v>
      </c>
      <c r="N205" s="317">
        <f t="shared" si="51"/>
        <v>0</v>
      </c>
      <c r="O205" s="317">
        <f t="shared" si="51"/>
        <v>0</v>
      </c>
      <c r="P205" s="317">
        <f t="shared" si="51"/>
        <v>0</v>
      </c>
      <c r="Q205" s="317">
        <f t="shared" si="51"/>
        <v>0</v>
      </c>
      <c r="R205" s="317">
        <f t="shared" si="51"/>
        <v>0</v>
      </c>
      <c r="S205" s="317">
        <f t="shared" si="51"/>
        <v>0</v>
      </c>
      <c r="T205" s="317">
        <f t="shared" si="51"/>
        <v>0</v>
      </c>
      <c r="U205" s="317">
        <f t="shared" si="51"/>
        <v>0</v>
      </c>
      <c r="V205" s="317">
        <f t="shared" si="51"/>
        <v>0</v>
      </c>
      <c r="W205" s="317">
        <f t="shared" si="51"/>
        <v>0</v>
      </c>
      <c r="X205" s="317">
        <f t="shared" si="51"/>
        <v>0</v>
      </c>
      <c r="Y205" s="317">
        <f t="shared" si="51"/>
        <v>0</v>
      </c>
      <c r="Z205" s="317">
        <f t="shared" si="51"/>
        <v>0</v>
      </c>
      <c r="AA205" s="317">
        <f t="shared" si="51"/>
        <v>0</v>
      </c>
      <c r="AB205" s="317">
        <f t="shared" si="51"/>
        <v>0</v>
      </c>
      <c r="AC205" s="317">
        <f t="shared" si="51"/>
        <v>0</v>
      </c>
      <c r="AD205" s="317">
        <f t="shared" si="51"/>
        <v>0</v>
      </c>
      <c r="AE205" s="317">
        <f t="shared" si="51"/>
        <v>0</v>
      </c>
      <c r="AF205" s="599">
        <f t="shared" si="49"/>
        <v>0</v>
      </c>
    </row>
    <row r="206" outlineLevel="1">
      <c r="A206" s="20"/>
      <c r="B206" s="580"/>
      <c r="C206" s="580"/>
      <c r="D206" s="580"/>
      <c r="E206" s="580"/>
      <c r="F206" s="580"/>
      <c r="G206" s="580"/>
      <c r="H206" s="580"/>
      <c r="I206" s="580"/>
      <c r="J206" s="580"/>
      <c r="K206" s="580"/>
      <c r="L206" s="580"/>
      <c r="M206" s="580"/>
      <c r="N206" s="580"/>
      <c r="O206" s="580"/>
      <c r="P206" s="580"/>
      <c r="Q206" s="580"/>
      <c r="R206" s="580"/>
      <c r="S206" s="580"/>
      <c r="T206" s="580"/>
      <c r="U206" s="580"/>
      <c r="V206" s="580"/>
      <c r="W206" s="580"/>
      <c r="X206" s="580"/>
      <c r="Y206" s="580"/>
      <c r="Z206" s="580"/>
      <c r="AA206" s="580"/>
      <c r="AB206" s="580"/>
      <c r="AC206" s="580"/>
      <c r="AD206" s="580"/>
      <c r="AE206" s="167"/>
      <c r="AF206" s="599">
        <f t="shared" si="49"/>
        <v>0</v>
      </c>
    </row>
    <row r="207" outlineLevel="1">
      <c r="A207" s="116" t="s">
        <v>266</v>
      </c>
      <c r="B207" s="286">
        <v>0.0</v>
      </c>
      <c r="C207" s="286">
        <v>0.0</v>
      </c>
      <c r="D207" s="286">
        <v>0.0</v>
      </c>
      <c r="E207" s="286">
        <v>0.0</v>
      </c>
      <c r="F207" s="286">
        <v>0.0</v>
      </c>
      <c r="G207" s="286">
        <v>0.0</v>
      </c>
      <c r="H207" s="286">
        <v>0.0</v>
      </c>
      <c r="I207" s="286">
        <v>0.0</v>
      </c>
      <c r="J207" s="286">
        <v>0.0</v>
      </c>
      <c r="K207" s="286">
        <v>0.0</v>
      </c>
      <c r="L207" s="286">
        <v>0.0</v>
      </c>
      <c r="M207" s="286">
        <v>0.0</v>
      </c>
      <c r="N207" s="286">
        <v>0.0</v>
      </c>
      <c r="O207" s="286">
        <v>0.0</v>
      </c>
      <c r="P207" s="286">
        <v>0.0</v>
      </c>
      <c r="Q207" s="286">
        <v>0.0</v>
      </c>
      <c r="R207" s="286">
        <v>0.0</v>
      </c>
      <c r="S207" s="286">
        <v>0.0</v>
      </c>
      <c r="T207" s="286">
        <v>0.0</v>
      </c>
      <c r="U207" s="286">
        <v>0.0</v>
      </c>
      <c r="V207" s="286">
        <v>0.0</v>
      </c>
      <c r="W207" s="286">
        <v>0.0</v>
      </c>
      <c r="X207" s="286">
        <v>0.0</v>
      </c>
      <c r="Y207" s="286">
        <v>0.0</v>
      </c>
      <c r="Z207" s="286">
        <v>0.0</v>
      </c>
      <c r="AA207" s="286">
        <v>0.0</v>
      </c>
      <c r="AB207" s="286">
        <v>0.0</v>
      </c>
      <c r="AC207" s="286">
        <v>0.0</v>
      </c>
      <c r="AD207" s="286">
        <v>0.0</v>
      </c>
      <c r="AE207" s="286">
        <v>0.0</v>
      </c>
      <c r="AF207" s="599">
        <f t="shared" si="49"/>
        <v>0</v>
      </c>
    </row>
    <row r="208" outlineLevel="1">
      <c r="A208" s="116" t="s">
        <v>267</v>
      </c>
      <c r="B208" s="286">
        <v>0.0</v>
      </c>
      <c r="C208" s="286">
        <v>0.0</v>
      </c>
      <c r="D208" s="286">
        <v>0.0</v>
      </c>
      <c r="E208" s="286">
        <v>0.0</v>
      </c>
      <c r="F208" s="286">
        <v>0.0</v>
      </c>
      <c r="G208" s="286">
        <v>0.0</v>
      </c>
      <c r="H208" s="286">
        <v>0.0</v>
      </c>
      <c r="I208" s="286">
        <v>0.0</v>
      </c>
      <c r="J208" s="286">
        <v>0.0</v>
      </c>
      <c r="K208" s="286">
        <v>0.0</v>
      </c>
      <c r="L208" s="286">
        <v>0.0</v>
      </c>
      <c r="M208" s="286">
        <v>0.0</v>
      </c>
      <c r="N208" s="286">
        <v>0.0</v>
      </c>
      <c r="O208" s="286">
        <v>0.0</v>
      </c>
      <c r="P208" s="286">
        <v>0.0</v>
      </c>
      <c r="Q208" s="286">
        <v>0.0</v>
      </c>
      <c r="R208" s="286">
        <v>0.0</v>
      </c>
      <c r="S208" s="286">
        <v>0.0</v>
      </c>
      <c r="T208" s="286">
        <v>0.0</v>
      </c>
      <c r="U208" s="286">
        <v>0.0</v>
      </c>
      <c r="V208" s="286">
        <v>0.0</v>
      </c>
      <c r="W208" s="286">
        <v>0.0</v>
      </c>
      <c r="X208" s="286">
        <v>0.0</v>
      </c>
      <c r="Y208" s="286">
        <v>0.0</v>
      </c>
      <c r="Z208" s="286">
        <v>0.0</v>
      </c>
      <c r="AA208" s="286">
        <v>0.0</v>
      </c>
      <c r="AB208" s="286">
        <v>0.0</v>
      </c>
      <c r="AC208" s="286">
        <v>0.0</v>
      </c>
      <c r="AD208" s="286">
        <v>0.0</v>
      </c>
      <c r="AE208" s="286">
        <v>0.0</v>
      </c>
      <c r="AF208" s="599">
        <f t="shared" si="49"/>
        <v>0</v>
      </c>
    </row>
    <row r="209" outlineLevel="1">
      <c r="A209" s="699" t="s">
        <v>777</v>
      </c>
      <c r="B209" s="286">
        <v>0.0</v>
      </c>
      <c r="C209" s="286">
        <v>0.0</v>
      </c>
      <c r="D209" s="286">
        <v>0.0</v>
      </c>
      <c r="E209" s="286">
        <v>0.0</v>
      </c>
      <c r="F209" s="286">
        <v>0.0</v>
      </c>
      <c r="G209" s="286">
        <v>0.0</v>
      </c>
      <c r="H209" s="286">
        <v>0.0</v>
      </c>
      <c r="I209" s="286">
        <v>0.0</v>
      </c>
      <c r="J209" s="286">
        <v>0.0</v>
      </c>
      <c r="K209" s="286">
        <v>0.0</v>
      </c>
      <c r="L209" s="286">
        <v>0.0</v>
      </c>
      <c r="M209" s="286">
        <v>0.0</v>
      </c>
      <c r="N209" s="286">
        <v>0.0</v>
      </c>
      <c r="O209" s="286">
        <v>0.0</v>
      </c>
      <c r="P209" s="286">
        <v>0.0</v>
      </c>
      <c r="Q209" s="286">
        <v>0.0</v>
      </c>
      <c r="R209" s="286">
        <v>0.0</v>
      </c>
      <c r="S209" s="286">
        <v>0.0</v>
      </c>
      <c r="T209" s="286">
        <v>0.0</v>
      </c>
      <c r="U209" s="286">
        <v>0.0</v>
      </c>
      <c r="V209" s="286">
        <v>0.0</v>
      </c>
      <c r="W209" s="286">
        <v>0.0</v>
      </c>
      <c r="X209" s="286">
        <v>0.0</v>
      </c>
      <c r="Y209" s="286">
        <v>0.0</v>
      </c>
      <c r="Z209" s="286">
        <v>0.0</v>
      </c>
      <c r="AA209" s="286">
        <v>0.0</v>
      </c>
      <c r="AB209" s="286">
        <v>0.0</v>
      </c>
      <c r="AC209" s="286">
        <v>0.0</v>
      </c>
      <c r="AD209" s="286">
        <v>0.0</v>
      </c>
      <c r="AE209" s="286">
        <v>0.0</v>
      </c>
      <c r="AF209" s="599">
        <f t="shared" si="49"/>
        <v>0</v>
      </c>
    </row>
    <row r="210" outlineLevel="1">
      <c r="A210" s="116" t="s">
        <v>778</v>
      </c>
      <c r="B210" s="286">
        <v>0.0</v>
      </c>
      <c r="C210" s="286">
        <v>0.0</v>
      </c>
      <c r="D210" s="286">
        <v>0.0</v>
      </c>
      <c r="E210" s="286">
        <v>0.0</v>
      </c>
      <c r="F210" s="286">
        <v>0.0</v>
      </c>
      <c r="G210" s="286">
        <v>0.0</v>
      </c>
      <c r="H210" s="286">
        <v>0.0</v>
      </c>
      <c r="I210" s="286">
        <v>0.0</v>
      </c>
      <c r="J210" s="286">
        <v>0.0</v>
      </c>
      <c r="K210" s="286">
        <v>0.0</v>
      </c>
      <c r="L210" s="286">
        <v>0.0</v>
      </c>
      <c r="M210" s="286">
        <v>0.0</v>
      </c>
      <c r="N210" s="286">
        <v>0.0</v>
      </c>
      <c r="O210" s="286">
        <v>0.0</v>
      </c>
      <c r="P210" s="286">
        <v>0.0</v>
      </c>
      <c r="Q210" s="286">
        <v>0.0</v>
      </c>
      <c r="R210" s="286">
        <v>0.0</v>
      </c>
      <c r="S210" s="286">
        <v>0.0</v>
      </c>
      <c r="T210" s="286">
        <v>0.0</v>
      </c>
      <c r="U210" s="286">
        <v>0.0</v>
      </c>
      <c r="V210" s="286">
        <v>0.0</v>
      </c>
      <c r="W210" s="286">
        <v>0.0</v>
      </c>
      <c r="X210" s="286">
        <v>0.0</v>
      </c>
      <c r="Y210" s="286">
        <v>0.0</v>
      </c>
      <c r="Z210" s="286">
        <v>0.0</v>
      </c>
      <c r="AA210" s="286">
        <v>0.0</v>
      </c>
      <c r="AB210" s="286">
        <v>0.0</v>
      </c>
      <c r="AC210" s="286">
        <v>0.0</v>
      </c>
      <c r="AD210" s="286">
        <v>0.0</v>
      </c>
      <c r="AE210" s="286">
        <v>0.0</v>
      </c>
      <c r="AF210" s="599">
        <f t="shared" si="49"/>
        <v>0</v>
      </c>
    </row>
    <row r="211" outlineLevel="1">
      <c r="A211" s="116" t="s">
        <v>779</v>
      </c>
      <c r="B211" s="286">
        <v>0.0</v>
      </c>
      <c r="C211" s="286">
        <v>0.0</v>
      </c>
      <c r="D211" s="286">
        <v>0.0</v>
      </c>
      <c r="E211" s="286">
        <v>0.0</v>
      </c>
      <c r="F211" s="286">
        <v>0.0</v>
      </c>
      <c r="G211" s="286">
        <v>0.0</v>
      </c>
      <c r="H211" s="286">
        <v>0.0</v>
      </c>
      <c r="I211" s="286">
        <v>0.0</v>
      </c>
      <c r="J211" s="286">
        <v>0.0</v>
      </c>
      <c r="K211" s="286">
        <v>0.0</v>
      </c>
      <c r="L211" s="286">
        <v>0.0</v>
      </c>
      <c r="M211" s="286">
        <v>0.0</v>
      </c>
      <c r="N211" s="286">
        <v>0.0</v>
      </c>
      <c r="O211" s="286">
        <v>0.0</v>
      </c>
      <c r="P211" s="286">
        <v>0.0</v>
      </c>
      <c r="Q211" s="286">
        <v>0.0</v>
      </c>
      <c r="R211" s="286">
        <v>0.0</v>
      </c>
      <c r="S211" s="286">
        <v>0.0</v>
      </c>
      <c r="T211" s="286">
        <v>0.0</v>
      </c>
      <c r="U211" s="286">
        <v>0.0</v>
      </c>
      <c r="V211" s="286">
        <v>0.0</v>
      </c>
      <c r="W211" s="286">
        <v>0.0</v>
      </c>
      <c r="X211" s="286">
        <v>0.0</v>
      </c>
      <c r="Y211" s="286">
        <v>0.0</v>
      </c>
      <c r="Z211" s="286">
        <v>0.0</v>
      </c>
      <c r="AA211" s="286">
        <v>0.0</v>
      </c>
      <c r="AB211" s="286">
        <v>0.0</v>
      </c>
      <c r="AC211" s="286">
        <v>0.0</v>
      </c>
      <c r="AD211" s="286">
        <v>0.0</v>
      </c>
      <c r="AE211" s="286">
        <v>0.0</v>
      </c>
      <c r="AF211" s="599">
        <f t="shared" si="49"/>
        <v>0</v>
      </c>
    </row>
    <row r="212" outlineLevel="1">
      <c r="A212" s="116" t="s">
        <v>780</v>
      </c>
      <c r="B212" s="286">
        <v>0.0</v>
      </c>
      <c r="C212" s="286">
        <v>0.0</v>
      </c>
      <c r="D212" s="286">
        <v>0.0</v>
      </c>
      <c r="E212" s="286">
        <v>0.0</v>
      </c>
      <c r="F212" s="286">
        <v>0.0</v>
      </c>
      <c r="G212" s="286">
        <v>0.0</v>
      </c>
      <c r="H212" s="286">
        <v>0.0</v>
      </c>
      <c r="I212" s="286">
        <v>0.0</v>
      </c>
      <c r="J212" s="286">
        <v>0.0</v>
      </c>
      <c r="K212" s="286">
        <v>0.0</v>
      </c>
      <c r="L212" s="286">
        <v>0.0</v>
      </c>
      <c r="M212" s="286">
        <v>0.0</v>
      </c>
      <c r="N212" s="286">
        <v>0.0</v>
      </c>
      <c r="O212" s="286">
        <v>0.0</v>
      </c>
      <c r="P212" s="286">
        <v>0.0</v>
      </c>
      <c r="Q212" s="286">
        <v>0.0</v>
      </c>
      <c r="R212" s="286">
        <v>0.0</v>
      </c>
      <c r="S212" s="286">
        <v>0.0</v>
      </c>
      <c r="T212" s="286">
        <v>0.0</v>
      </c>
      <c r="U212" s="286">
        <v>0.0</v>
      </c>
      <c r="V212" s="286">
        <v>0.0</v>
      </c>
      <c r="W212" s="286">
        <v>0.0</v>
      </c>
      <c r="X212" s="286">
        <v>0.0</v>
      </c>
      <c r="Y212" s="286">
        <v>0.0</v>
      </c>
      <c r="Z212" s="286">
        <v>0.0</v>
      </c>
      <c r="AA212" s="286">
        <v>0.0</v>
      </c>
      <c r="AB212" s="286">
        <v>0.0</v>
      </c>
      <c r="AC212" s="286">
        <v>0.0</v>
      </c>
      <c r="AD212" s="286">
        <v>0.0</v>
      </c>
      <c r="AE212" s="286">
        <v>0.0</v>
      </c>
      <c r="AF212" s="599">
        <f t="shared" si="49"/>
        <v>0</v>
      </c>
    </row>
    <row r="213" outlineLevel="1">
      <c r="A213" s="699" t="s">
        <v>781</v>
      </c>
      <c r="B213" s="286">
        <v>0.0</v>
      </c>
      <c r="C213" s="286">
        <v>0.0</v>
      </c>
      <c r="D213" s="286">
        <v>0.0</v>
      </c>
      <c r="E213" s="286">
        <v>0.0</v>
      </c>
      <c r="F213" s="286">
        <v>0.0</v>
      </c>
      <c r="G213" s="286">
        <v>0.0</v>
      </c>
      <c r="H213" s="286">
        <v>0.0</v>
      </c>
      <c r="I213" s="286">
        <v>0.0</v>
      </c>
      <c r="J213" s="286">
        <v>0.0</v>
      </c>
      <c r="K213" s="286">
        <v>0.0</v>
      </c>
      <c r="L213" s="286">
        <v>0.0</v>
      </c>
      <c r="M213" s="286">
        <v>0.0</v>
      </c>
      <c r="N213" s="286">
        <v>0.0</v>
      </c>
      <c r="O213" s="286">
        <v>0.0</v>
      </c>
      <c r="P213" s="286">
        <v>0.0</v>
      </c>
      <c r="Q213" s="286">
        <v>0.0</v>
      </c>
      <c r="R213" s="286">
        <v>0.0</v>
      </c>
      <c r="S213" s="286">
        <v>0.0</v>
      </c>
      <c r="T213" s="286">
        <v>0.0</v>
      </c>
      <c r="U213" s="286">
        <v>0.0</v>
      </c>
      <c r="V213" s="286">
        <v>0.0</v>
      </c>
      <c r="W213" s="286">
        <v>0.0</v>
      </c>
      <c r="X213" s="286">
        <v>0.0</v>
      </c>
      <c r="Y213" s="286">
        <v>0.0</v>
      </c>
      <c r="Z213" s="286">
        <v>0.0</v>
      </c>
      <c r="AA213" s="286">
        <v>0.0</v>
      </c>
      <c r="AB213" s="286">
        <v>0.0</v>
      </c>
      <c r="AC213" s="286">
        <v>0.0</v>
      </c>
      <c r="AD213" s="286">
        <v>0.0</v>
      </c>
      <c r="AE213" s="286">
        <v>0.0</v>
      </c>
      <c r="AF213" s="599">
        <f t="shared" si="49"/>
        <v>0</v>
      </c>
    </row>
    <row r="214" outlineLevel="1">
      <c r="A214" s="116" t="s">
        <v>782</v>
      </c>
      <c r="B214" s="286">
        <v>0.0</v>
      </c>
      <c r="C214" s="286">
        <v>0.0</v>
      </c>
      <c r="D214" s="286">
        <v>0.0</v>
      </c>
      <c r="E214" s="286">
        <v>0.0</v>
      </c>
      <c r="F214" s="286">
        <v>0.0</v>
      </c>
      <c r="G214" s="286">
        <v>0.0</v>
      </c>
      <c r="H214" s="286">
        <v>0.0</v>
      </c>
      <c r="I214" s="286">
        <v>0.0</v>
      </c>
      <c r="J214" s="286">
        <v>0.0</v>
      </c>
      <c r="K214" s="286">
        <v>0.0</v>
      </c>
      <c r="L214" s="286">
        <v>0.0</v>
      </c>
      <c r="M214" s="286">
        <v>0.0</v>
      </c>
      <c r="N214" s="286">
        <v>0.0</v>
      </c>
      <c r="O214" s="286">
        <v>0.0</v>
      </c>
      <c r="P214" s="286">
        <v>0.0</v>
      </c>
      <c r="Q214" s="286">
        <v>0.0</v>
      </c>
      <c r="R214" s="286">
        <v>0.0</v>
      </c>
      <c r="S214" s="286">
        <v>0.0</v>
      </c>
      <c r="T214" s="286">
        <v>0.0</v>
      </c>
      <c r="U214" s="286">
        <v>0.0</v>
      </c>
      <c r="V214" s="286">
        <v>0.0</v>
      </c>
      <c r="W214" s="286">
        <v>0.0</v>
      </c>
      <c r="X214" s="286">
        <v>0.0</v>
      </c>
      <c r="Y214" s="286">
        <v>0.0</v>
      </c>
      <c r="Z214" s="286">
        <v>0.0</v>
      </c>
      <c r="AA214" s="286">
        <v>0.0</v>
      </c>
      <c r="AB214" s="286">
        <v>0.0</v>
      </c>
      <c r="AC214" s="286">
        <v>0.0</v>
      </c>
      <c r="AD214" s="286">
        <v>0.0</v>
      </c>
      <c r="AE214" s="286">
        <v>0.0</v>
      </c>
      <c r="AF214" s="599">
        <f t="shared" si="49"/>
        <v>0</v>
      </c>
    </row>
    <row r="215" outlineLevel="1">
      <c r="A215" s="271" t="s">
        <v>159</v>
      </c>
      <c r="B215" s="317">
        <f>SUM(B207:B214)</f>
        <v>0</v>
      </c>
      <c r="C215" s="317">
        <f t="shared" ref="C215:AE215" si="52">SUM(C207:C211)</f>
        <v>0</v>
      </c>
      <c r="D215" s="317">
        <f t="shared" si="52"/>
        <v>0</v>
      </c>
      <c r="E215" s="317">
        <f t="shared" si="52"/>
        <v>0</v>
      </c>
      <c r="F215" s="317">
        <f t="shared" si="52"/>
        <v>0</v>
      </c>
      <c r="G215" s="317">
        <f t="shared" si="52"/>
        <v>0</v>
      </c>
      <c r="H215" s="317">
        <f t="shared" si="52"/>
        <v>0</v>
      </c>
      <c r="I215" s="317">
        <f t="shared" si="52"/>
        <v>0</v>
      </c>
      <c r="J215" s="317">
        <f t="shared" si="52"/>
        <v>0</v>
      </c>
      <c r="K215" s="317">
        <f t="shared" si="52"/>
        <v>0</v>
      </c>
      <c r="L215" s="317">
        <f t="shared" si="52"/>
        <v>0</v>
      </c>
      <c r="M215" s="317">
        <f t="shared" si="52"/>
        <v>0</v>
      </c>
      <c r="N215" s="317">
        <f t="shared" si="52"/>
        <v>0</v>
      </c>
      <c r="O215" s="317">
        <f t="shared" si="52"/>
        <v>0</v>
      </c>
      <c r="P215" s="317">
        <f t="shared" si="52"/>
        <v>0</v>
      </c>
      <c r="Q215" s="317">
        <f t="shared" si="52"/>
        <v>0</v>
      </c>
      <c r="R215" s="317">
        <f t="shared" si="52"/>
        <v>0</v>
      </c>
      <c r="S215" s="317">
        <f t="shared" si="52"/>
        <v>0</v>
      </c>
      <c r="T215" s="317">
        <f t="shared" si="52"/>
        <v>0</v>
      </c>
      <c r="U215" s="317">
        <f t="shared" si="52"/>
        <v>0</v>
      </c>
      <c r="V215" s="317">
        <f t="shared" si="52"/>
        <v>0</v>
      </c>
      <c r="W215" s="317">
        <f t="shared" si="52"/>
        <v>0</v>
      </c>
      <c r="X215" s="317">
        <f t="shared" si="52"/>
        <v>0</v>
      </c>
      <c r="Y215" s="317">
        <f t="shared" si="52"/>
        <v>0</v>
      </c>
      <c r="Z215" s="317">
        <f t="shared" si="52"/>
        <v>0</v>
      </c>
      <c r="AA215" s="317">
        <f t="shared" si="52"/>
        <v>0</v>
      </c>
      <c r="AB215" s="317">
        <f t="shared" si="52"/>
        <v>0</v>
      </c>
      <c r="AC215" s="317">
        <f t="shared" si="52"/>
        <v>0</v>
      </c>
      <c r="AD215" s="317">
        <f t="shared" si="52"/>
        <v>0</v>
      </c>
      <c r="AE215" s="317">
        <f t="shared" si="52"/>
        <v>0</v>
      </c>
      <c r="AF215" s="599">
        <f t="shared" si="49"/>
        <v>0</v>
      </c>
    </row>
    <row r="216" outlineLevel="1">
      <c r="A216" s="20"/>
      <c r="B216" s="609"/>
      <c r="C216" s="609"/>
      <c r="D216" s="609"/>
      <c r="E216" s="609"/>
      <c r="F216" s="609"/>
      <c r="G216" s="609"/>
      <c r="H216" s="609"/>
      <c r="I216" s="609"/>
      <c r="J216" s="609"/>
      <c r="K216" s="609"/>
      <c r="L216" s="609"/>
      <c r="M216" s="609"/>
      <c r="N216" s="609"/>
      <c r="O216" s="609"/>
      <c r="P216" s="609"/>
      <c r="Q216" s="609"/>
      <c r="R216" s="609"/>
      <c r="S216" s="609"/>
      <c r="T216" s="609"/>
      <c r="U216" s="609"/>
      <c r="V216" s="609"/>
      <c r="W216" s="609"/>
      <c r="X216" s="609"/>
      <c r="Y216" s="609"/>
      <c r="Z216" s="609"/>
      <c r="AA216" s="609"/>
      <c r="AB216" s="609"/>
      <c r="AC216" s="609"/>
      <c r="AD216" s="609"/>
      <c r="AE216" s="609"/>
      <c r="AF216" s="590"/>
    </row>
    <row r="217" outlineLevel="1">
      <c r="A217" s="271" t="s">
        <v>363</v>
      </c>
      <c r="B217" s="701"/>
      <c r="C217" s="701"/>
      <c r="D217" s="701"/>
      <c r="E217" s="701"/>
      <c r="F217" s="701"/>
      <c r="G217" s="701"/>
      <c r="H217" s="701"/>
      <c r="I217" s="701"/>
      <c r="J217" s="701"/>
      <c r="K217" s="701"/>
      <c r="L217" s="701"/>
      <c r="M217" s="701"/>
      <c r="N217" s="701"/>
      <c r="O217" s="701"/>
      <c r="P217" s="701"/>
      <c r="Q217" s="701"/>
      <c r="R217" s="701"/>
      <c r="S217" s="701"/>
      <c r="T217" s="701"/>
      <c r="U217" s="701"/>
      <c r="V217" s="701"/>
      <c r="W217" s="701"/>
      <c r="X217" s="701"/>
      <c r="Y217" s="701"/>
      <c r="Z217" s="701"/>
      <c r="AA217" s="701"/>
      <c r="AB217" s="701"/>
      <c r="AC217" s="701"/>
      <c r="AD217" s="701"/>
      <c r="AE217" s="701"/>
      <c r="AF217" s="590"/>
    </row>
    <row r="218" outlineLevel="1">
      <c r="A218" s="116" t="s">
        <v>364</v>
      </c>
      <c r="B218" s="286">
        <v>0.0</v>
      </c>
      <c r="C218" s="286">
        <v>0.0</v>
      </c>
      <c r="D218" s="286">
        <v>0.0</v>
      </c>
      <c r="E218" s="286">
        <v>0.0</v>
      </c>
      <c r="F218" s="286">
        <v>0.0</v>
      </c>
      <c r="G218" s="286">
        <v>0.0</v>
      </c>
      <c r="H218" s="286">
        <v>0.0</v>
      </c>
      <c r="I218" s="286">
        <v>0.0</v>
      </c>
      <c r="J218" s="286">
        <v>0.0</v>
      </c>
      <c r="K218" s="286">
        <v>0.0</v>
      </c>
      <c r="L218" s="286">
        <v>0.0</v>
      </c>
      <c r="M218" s="286">
        <v>0.0</v>
      </c>
      <c r="N218" s="286">
        <v>0.0</v>
      </c>
      <c r="O218" s="286">
        <v>0.0</v>
      </c>
      <c r="P218" s="286">
        <v>0.0</v>
      </c>
      <c r="Q218" s="286">
        <v>0.0</v>
      </c>
      <c r="R218" s="286">
        <v>0.0</v>
      </c>
      <c r="S218" s="286">
        <v>0.0</v>
      </c>
      <c r="T218" s="286">
        <v>0.0</v>
      </c>
      <c r="U218" s="286">
        <v>0.0</v>
      </c>
      <c r="V218" s="286">
        <v>0.0</v>
      </c>
      <c r="W218" s="286">
        <v>0.0</v>
      </c>
      <c r="X218" s="286">
        <v>0.0</v>
      </c>
      <c r="Y218" s="286">
        <v>0.0</v>
      </c>
      <c r="Z218" s="286">
        <v>0.0</v>
      </c>
      <c r="AA218" s="286">
        <v>0.0</v>
      </c>
      <c r="AB218" s="286">
        <v>0.0</v>
      </c>
      <c r="AC218" s="286">
        <v>0.0</v>
      </c>
      <c r="AD218" s="286">
        <v>0.0</v>
      </c>
      <c r="AE218" s="286">
        <v>0.0</v>
      </c>
      <c r="AF218" s="599">
        <f t="shared" ref="AF218:AF220" si="53">SUM(B218:AE218)</f>
        <v>0</v>
      </c>
    </row>
    <row r="219" outlineLevel="1">
      <c r="A219" s="116" t="s">
        <v>365</v>
      </c>
      <c r="B219" s="286">
        <v>0.0</v>
      </c>
      <c r="C219" s="286">
        <v>0.0</v>
      </c>
      <c r="D219" s="286">
        <v>0.0</v>
      </c>
      <c r="E219" s="286">
        <v>0.0</v>
      </c>
      <c r="F219" s="286">
        <v>0.0</v>
      </c>
      <c r="G219" s="286">
        <v>0.0</v>
      </c>
      <c r="H219" s="286">
        <v>0.0</v>
      </c>
      <c r="I219" s="286">
        <v>0.0</v>
      </c>
      <c r="J219" s="286">
        <v>0.0</v>
      </c>
      <c r="K219" s="286">
        <v>0.0</v>
      </c>
      <c r="L219" s="286">
        <v>0.0</v>
      </c>
      <c r="M219" s="286">
        <v>0.0</v>
      </c>
      <c r="N219" s="286">
        <v>0.0</v>
      </c>
      <c r="O219" s="286">
        <v>0.0</v>
      </c>
      <c r="P219" s="286">
        <v>0.0</v>
      </c>
      <c r="Q219" s="286">
        <v>0.0</v>
      </c>
      <c r="R219" s="286">
        <v>0.0</v>
      </c>
      <c r="S219" s="286">
        <v>0.0</v>
      </c>
      <c r="T219" s="286">
        <v>0.0</v>
      </c>
      <c r="U219" s="286">
        <v>0.0</v>
      </c>
      <c r="V219" s="286">
        <v>0.0</v>
      </c>
      <c r="W219" s="286">
        <v>0.0</v>
      </c>
      <c r="X219" s="286">
        <v>0.0</v>
      </c>
      <c r="Y219" s="286">
        <v>0.0</v>
      </c>
      <c r="Z219" s="286">
        <v>0.0</v>
      </c>
      <c r="AA219" s="286">
        <v>0.0</v>
      </c>
      <c r="AB219" s="286">
        <v>0.0</v>
      </c>
      <c r="AC219" s="286">
        <v>0.0</v>
      </c>
      <c r="AD219" s="286">
        <v>0.0</v>
      </c>
      <c r="AE219" s="286">
        <v>0.0</v>
      </c>
      <c r="AF219" s="599">
        <f t="shared" si="53"/>
        <v>0</v>
      </c>
    </row>
    <row r="220" outlineLevel="1">
      <c r="A220" s="116" t="s">
        <v>367</v>
      </c>
      <c r="B220" s="286">
        <v>0.0</v>
      </c>
      <c r="C220" s="286">
        <v>0.0</v>
      </c>
      <c r="D220" s="286">
        <v>0.0</v>
      </c>
      <c r="E220" s="286">
        <v>0.0</v>
      </c>
      <c r="F220" s="286">
        <v>0.0</v>
      </c>
      <c r="G220" s="286">
        <v>0.0</v>
      </c>
      <c r="H220" s="286">
        <v>0.0</v>
      </c>
      <c r="I220" s="286">
        <v>0.0</v>
      </c>
      <c r="J220" s="286">
        <v>0.0</v>
      </c>
      <c r="K220" s="286">
        <v>0.0</v>
      </c>
      <c r="L220" s="286">
        <v>0.0</v>
      </c>
      <c r="M220" s="286">
        <v>0.0</v>
      </c>
      <c r="N220" s="286">
        <v>0.0</v>
      </c>
      <c r="O220" s="286">
        <v>0.0</v>
      </c>
      <c r="P220" s="286">
        <v>0.0</v>
      </c>
      <c r="Q220" s="286">
        <v>0.0</v>
      </c>
      <c r="R220" s="286">
        <v>0.0</v>
      </c>
      <c r="S220" s="286">
        <v>0.0</v>
      </c>
      <c r="T220" s="286">
        <v>0.0</v>
      </c>
      <c r="U220" s="286">
        <v>0.0</v>
      </c>
      <c r="V220" s="286">
        <v>0.0</v>
      </c>
      <c r="W220" s="286">
        <v>0.0</v>
      </c>
      <c r="X220" s="286">
        <v>0.0</v>
      </c>
      <c r="Y220" s="286">
        <v>0.0</v>
      </c>
      <c r="Z220" s="286">
        <v>0.0</v>
      </c>
      <c r="AA220" s="286">
        <v>0.0</v>
      </c>
      <c r="AB220" s="286">
        <v>0.0</v>
      </c>
      <c r="AC220" s="286">
        <v>0.0</v>
      </c>
      <c r="AD220" s="286">
        <v>0.0</v>
      </c>
      <c r="AE220" s="286">
        <v>0.0</v>
      </c>
      <c r="AF220" s="599">
        <f t="shared" si="53"/>
        <v>0</v>
      </c>
    </row>
    <row r="221" outlineLevel="1">
      <c r="A221" s="20"/>
      <c r="B221" s="609"/>
      <c r="C221" s="609"/>
      <c r="D221" s="609"/>
      <c r="E221" s="609"/>
      <c r="F221" s="609"/>
      <c r="G221" s="609"/>
      <c r="H221" s="609"/>
      <c r="I221" s="609"/>
      <c r="J221" s="609"/>
      <c r="K221" s="609"/>
      <c r="L221" s="609"/>
      <c r="M221" s="609"/>
      <c r="N221" s="609"/>
      <c r="O221" s="609"/>
      <c r="P221" s="609"/>
      <c r="Q221" s="609"/>
      <c r="R221" s="609"/>
      <c r="S221" s="609"/>
      <c r="T221" s="609"/>
      <c r="U221" s="609"/>
      <c r="V221" s="609"/>
      <c r="W221" s="609"/>
      <c r="X221" s="609"/>
      <c r="Y221" s="609"/>
      <c r="Z221" s="609"/>
      <c r="AA221" s="609"/>
      <c r="AB221" s="609"/>
      <c r="AC221" s="609"/>
      <c r="AD221" s="609"/>
      <c r="AE221" s="609"/>
      <c r="AF221" s="590"/>
    </row>
    <row r="222" outlineLevel="1">
      <c r="A222" s="126" t="s">
        <v>534</v>
      </c>
      <c r="B222" s="317">
        <v>0.0</v>
      </c>
      <c r="C222" s="317">
        <v>0.0</v>
      </c>
      <c r="D222" s="317">
        <v>0.0</v>
      </c>
      <c r="E222" s="317">
        <v>0.0</v>
      </c>
      <c r="F222" s="317">
        <v>0.0</v>
      </c>
      <c r="G222" s="317">
        <v>0.0</v>
      </c>
      <c r="H222" s="317">
        <v>0.0</v>
      </c>
      <c r="I222" s="317">
        <v>0.0</v>
      </c>
      <c r="J222" s="317">
        <v>0.0</v>
      </c>
      <c r="K222" s="317">
        <v>0.0</v>
      </c>
      <c r="L222" s="317">
        <v>0.0</v>
      </c>
      <c r="M222" s="317">
        <v>0.0</v>
      </c>
      <c r="N222" s="317">
        <v>0.0</v>
      </c>
      <c r="O222" s="317">
        <v>0.0</v>
      </c>
      <c r="P222" s="317">
        <v>0.0</v>
      </c>
      <c r="Q222" s="317">
        <v>0.0</v>
      </c>
      <c r="R222" s="317">
        <v>0.0</v>
      </c>
      <c r="S222" s="317">
        <v>0.0</v>
      </c>
      <c r="T222" s="317">
        <v>0.0</v>
      </c>
      <c r="U222" s="317">
        <v>0.0</v>
      </c>
      <c r="V222" s="317">
        <v>0.0</v>
      </c>
      <c r="W222" s="317">
        <v>0.0</v>
      </c>
      <c r="X222" s="317">
        <v>0.0</v>
      </c>
      <c r="Y222" s="317">
        <v>0.0</v>
      </c>
      <c r="Z222" s="317">
        <v>0.0</v>
      </c>
      <c r="AA222" s="317">
        <v>0.0</v>
      </c>
      <c r="AB222" s="317">
        <v>0.0</v>
      </c>
      <c r="AC222" s="317">
        <v>0.0</v>
      </c>
      <c r="AD222" s="317">
        <v>0.0</v>
      </c>
      <c r="AE222" s="594">
        <v>0.0</v>
      </c>
      <c r="AF222" s="599">
        <f>SUM(B222:AE222)</f>
        <v>0</v>
      </c>
    </row>
    <row r="223" outlineLevel="1">
      <c r="A223" s="126" t="s">
        <v>538</v>
      </c>
      <c r="B223" s="651"/>
      <c r="C223" s="651"/>
      <c r="D223" s="651"/>
      <c r="E223" s="651"/>
      <c r="F223" s="651"/>
      <c r="G223" s="651"/>
      <c r="H223" s="651"/>
      <c r="I223" s="582"/>
      <c r="J223" s="582"/>
      <c r="K223" s="582"/>
      <c r="L223" s="582"/>
      <c r="M223" s="582"/>
      <c r="N223" s="582"/>
      <c r="O223" s="582"/>
      <c r="P223" s="582"/>
      <c r="Q223" s="582"/>
      <c r="R223" s="582"/>
      <c r="S223" s="582"/>
      <c r="T223" s="582"/>
      <c r="U223" s="582"/>
      <c r="V223" s="582"/>
      <c r="W223" s="582"/>
      <c r="X223" s="609"/>
      <c r="Y223" s="609"/>
      <c r="Z223" s="609"/>
      <c r="AA223" s="609"/>
      <c r="AB223" s="609"/>
      <c r="AC223" s="609"/>
      <c r="AD223" s="609"/>
      <c r="AE223" s="167"/>
      <c r="AF223" s="590"/>
    </row>
    <row r="224" outlineLevel="1">
      <c r="A224" s="592"/>
      <c r="B224" s="597"/>
      <c r="C224" s="623"/>
      <c r="D224" s="623"/>
      <c r="E224" s="623"/>
      <c r="F224" s="623"/>
      <c r="G224" s="623"/>
      <c r="H224" s="597"/>
      <c r="I224" s="597"/>
      <c r="J224" s="597"/>
      <c r="K224" s="597"/>
      <c r="L224" s="597"/>
      <c r="M224" s="597"/>
      <c r="N224" s="597"/>
      <c r="O224" s="597"/>
      <c r="P224" s="597"/>
      <c r="Q224" s="597"/>
      <c r="R224" s="597"/>
      <c r="S224" s="597"/>
      <c r="T224" s="597"/>
      <c r="U224" s="597"/>
      <c r="V224" s="597"/>
      <c r="W224" s="597"/>
      <c r="X224" s="623"/>
      <c r="Y224" s="623"/>
      <c r="Z224" s="623"/>
      <c r="AA224" s="623"/>
      <c r="AB224" s="623"/>
      <c r="AC224" s="623"/>
      <c r="AD224" s="623"/>
      <c r="AE224" s="627"/>
      <c r="AF224" s="590"/>
    </row>
    <row r="225">
      <c r="A225" s="28"/>
      <c r="B225" s="756"/>
      <c r="C225" s="757"/>
      <c r="D225" s="757"/>
      <c r="E225" s="757"/>
      <c r="F225" s="757"/>
      <c r="G225" s="757"/>
      <c r="H225" s="756"/>
      <c r="I225" s="756"/>
      <c r="J225" s="756"/>
      <c r="K225" s="756"/>
      <c r="L225" s="756"/>
      <c r="M225" s="756"/>
      <c r="N225" s="756"/>
      <c r="O225" s="756"/>
      <c r="P225" s="756"/>
      <c r="Q225" s="756"/>
      <c r="R225" s="756"/>
      <c r="S225" s="756"/>
      <c r="T225" s="756"/>
      <c r="U225" s="756"/>
      <c r="V225" s="756"/>
      <c r="W225" s="756"/>
      <c r="X225" s="757"/>
      <c r="Y225" s="757"/>
      <c r="Z225" s="757"/>
      <c r="AA225" s="757"/>
      <c r="AB225" s="757"/>
      <c r="AC225" s="757"/>
      <c r="AD225" s="757"/>
      <c r="AE225" s="758"/>
      <c r="AF225" s="590"/>
    </row>
    <row r="226">
      <c r="A226" s="841"/>
      <c r="B226" s="842"/>
      <c r="C226" s="843"/>
      <c r="D226" s="843"/>
      <c r="E226" s="843"/>
      <c r="F226" s="843"/>
      <c r="G226" s="843"/>
      <c r="H226" s="842"/>
      <c r="I226" s="842"/>
      <c r="J226" s="842"/>
      <c r="K226" s="842"/>
      <c r="L226" s="842"/>
      <c r="M226" s="842"/>
      <c r="N226" s="842"/>
      <c r="O226" s="842"/>
      <c r="P226" s="842"/>
      <c r="Q226" s="842"/>
      <c r="R226" s="842"/>
      <c r="S226" s="842"/>
      <c r="T226" s="842"/>
      <c r="U226" s="842"/>
      <c r="V226" s="842"/>
      <c r="W226" s="842"/>
      <c r="X226" s="843"/>
      <c r="Y226" s="843"/>
      <c r="Z226" s="843"/>
      <c r="AA226" s="843"/>
      <c r="AB226" s="843"/>
      <c r="AC226" s="843"/>
      <c r="AD226" s="843"/>
      <c r="AE226" s="844"/>
      <c r="AF226" s="590"/>
    </row>
    <row r="227">
      <c r="A227" s="20"/>
      <c r="B227" s="582"/>
      <c r="C227" s="609"/>
      <c r="D227" s="609"/>
      <c r="E227" s="609"/>
      <c r="F227" s="609"/>
      <c r="G227" s="609"/>
      <c r="H227" s="582"/>
      <c r="I227" s="582"/>
      <c r="J227" s="582"/>
      <c r="K227" s="582"/>
      <c r="L227" s="582"/>
      <c r="M227" s="582"/>
      <c r="N227" s="582"/>
      <c r="O227" s="582"/>
      <c r="P227" s="582"/>
      <c r="Q227" s="582"/>
      <c r="R227" s="582"/>
      <c r="S227" s="582"/>
      <c r="T227" s="582"/>
      <c r="U227" s="582"/>
      <c r="V227" s="582"/>
      <c r="W227" s="582"/>
      <c r="X227" s="609"/>
      <c r="Y227" s="609"/>
      <c r="Z227" s="609"/>
      <c r="AA227" s="609"/>
      <c r="AB227" s="609"/>
      <c r="AC227" s="609"/>
      <c r="AD227" s="609"/>
      <c r="AE227" s="167"/>
      <c r="AF227" s="590"/>
    </row>
    <row r="228" collapsed="1">
      <c r="A228" s="73" t="s">
        <v>783</v>
      </c>
      <c r="B228" s="609"/>
      <c r="C228" s="609"/>
      <c r="D228" s="609"/>
      <c r="E228" s="609"/>
      <c r="F228" s="609"/>
      <c r="G228" s="609"/>
      <c r="H228" s="582"/>
      <c r="I228" s="582"/>
      <c r="J228" s="582"/>
      <c r="K228" s="582"/>
      <c r="L228" s="582"/>
      <c r="M228" s="582"/>
      <c r="N228" s="582"/>
      <c r="O228" s="582"/>
      <c r="P228" s="582"/>
      <c r="Q228" s="582"/>
      <c r="R228" s="582"/>
      <c r="S228" s="582"/>
      <c r="T228" s="582"/>
      <c r="U228" s="582"/>
      <c r="V228" s="582"/>
      <c r="W228" s="582"/>
      <c r="X228" s="609"/>
      <c r="Y228" s="609"/>
      <c r="Z228" s="609"/>
      <c r="AA228" s="609"/>
      <c r="AB228" s="609"/>
      <c r="AC228" s="609"/>
      <c r="AD228" s="609"/>
      <c r="AE228" s="167"/>
      <c r="AF228" s="590"/>
    </row>
    <row r="229" hidden="1" outlineLevel="1">
      <c r="A229" s="169" t="s">
        <v>784</v>
      </c>
      <c r="B229" s="100">
        <v>0.0</v>
      </c>
      <c r="C229" s="286">
        <v>0.0</v>
      </c>
      <c r="D229" s="286">
        <v>0.0</v>
      </c>
      <c r="E229" s="286">
        <v>0.0</v>
      </c>
      <c r="F229" s="286">
        <v>0.0</v>
      </c>
      <c r="G229" s="286">
        <v>0.0</v>
      </c>
      <c r="H229" s="100">
        <v>0.0</v>
      </c>
      <c r="I229" s="100">
        <v>0.0</v>
      </c>
      <c r="J229" s="100">
        <v>0.0</v>
      </c>
      <c r="K229" s="100">
        <v>0.0</v>
      </c>
      <c r="L229" s="100">
        <v>0.0</v>
      </c>
      <c r="M229" s="100">
        <v>0.0</v>
      </c>
      <c r="N229" s="582"/>
      <c r="O229" s="582"/>
      <c r="P229" s="582"/>
      <c r="Q229" s="582"/>
      <c r="R229" s="582"/>
      <c r="S229" s="582"/>
      <c r="T229" s="582"/>
      <c r="U229" s="582"/>
      <c r="V229" s="582"/>
      <c r="W229" s="582"/>
      <c r="X229" s="609"/>
      <c r="Y229" s="609"/>
      <c r="Z229" s="167"/>
      <c r="AA229" s="609"/>
      <c r="AB229" s="609"/>
      <c r="AC229" s="167"/>
      <c r="AD229" s="167"/>
      <c r="AE229" s="167"/>
      <c r="AF229" s="599">
        <f t="shared" ref="AF229:AF233" si="54">sum(B229:AE229)</f>
        <v>0</v>
      </c>
    </row>
    <row r="230" hidden="1" outlineLevel="1">
      <c r="A230" s="169" t="s">
        <v>785</v>
      </c>
      <c r="B230" s="100">
        <v>0.0</v>
      </c>
      <c r="C230" s="286">
        <v>0.0</v>
      </c>
      <c r="D230" s="286">
        <v>0.0</v>
      </c>
      <c r="E230" s="286">
        <v>0.0</v>
      </c>
      <c r="F230" s="286">
        <v>0.0</v>
      </c>
      <c r="G230" s="286">
        <v>0.0</v>
      </c>
      <c r="H230" s="100">
        <v>0.0</v>
      </c>
      <c r="I230" s="100">
        <v>0.0</v>
      </c>
      <c r="J230" s="100">
        <v>0.0</v>
      </c>
      <c r="K230" s="100">
        <v>0.0</v>
      </c>
      <c r="L230" s="100">
        <v>0.0</v>
      </c>
      <c r="M230" s="100">
        <v>0.0</v>
      </c>
      <c r="N230" s="582"/>
      <c r="O230" s="582"/>
      <c r="P230" s="582"/>
      <c r="Q230" s="582"/>
      <c r="R230" s="582"/>
      <c r="S230" s="582"/>
      <c r="T230" s="582"/>
      <c r="U230" s="582"/>
      <c r="V230" s="582"/>
      <c r="W230" s="582"/>
      <c r="X230" s="609"/>
      <c r="Y230" s="609"/>
      <c r="Z230" s="167"/>
      <c r="AA230" s="609"/>
      <c r="AB230" s="609"/>
      <c r="AC230" s="167"/>
      <c r="AD230" s="167"/>
      <c r="AE230" s="167"/>
      <c r="AF230" s="599">
        <f t="shared" si="54"/>
        <v>0</v>
      </c>
    </row>
    <row r="231" hidden="1" outlineLevel="1">
      <c r="A231" s="169" t="s">
        <v>786</v>
      </c>
      <c r="B231" s="286">
        <v>0.0</v>
      </c>
      <c r="C231" s="286">
        <v>0.0</v>
      </c>
      <c r="D231" s="286">
        <v>0.0</v>
      </c>
      <c r="E231" s="286">
        <v>0.0</v>
      </c>
      <c r="F231" s="286">
        <v>0.0</v>
      </c>
      <c r="G231" s="286">
        <v>0.0</v>
      </c>
      <c r="H231" s="286">
        <v>0.0</v>
      </c>
      <c r="I231" s="286">
        <v>0.0</v>
      </c>
      <c r="J231" s="286">
        <v>0.0</v>
      </c>
      <c r="K231" s="286">
        <v>0.0</v>
      </c>
      <c r="L231" s="286">
        <v>0.0</v>
      </c>
      <c r="M231" s="286">
        <v>0.0</v>
      </c>
      <c r="N231" s="609"/>
      <c r="O231" s="609"/>
      <c r="P231" s="609"/>
      <c r="Q231" s="609"/>
      <c r="R231" s="609"/>
      <c r="S231" s="609"/>
      <c r="T231" s="609"/>
      <c r="U231" s="609"/>
      <c r="V231" s="609"/>
      <c r="W231" s="609"/>
      <c r="X231" s="609"/>
      <c r="Y231" s="609"/>
      <c r="Z231" s="609"/>
      <c r="AA231" s="609"/>
      <c r="AB231" s="609"/>
      <c r="AC231" s="609"/>
      <c r="AD231" s="609"/>
      <c r="AE231" s="167"/>
      <c r="AF231" s="599">
        <f t="shared" si="54"/>
        <v>0</v>
      </c>
    </row>
    <row r="232" hidden="1" outlineLevel="1">
      <c r="A232" s="169" t="s">
        <v>787</v>
      </c>
      <c r="B232" s="286">
        <v>0.0</v>
      </c>
      <c r="C232" s="286">
        <v>0.0</v>
      </c>
      <c r="D232" s="286">
        <v>0.0</v>
      </c>
      <c r="E232" s="286">
        <v>0.0</v>
      </c>
      <c r="F232" s="286">
        <v>0.0</v>
      </c>
      <c r="G232" s="286">
        <v>0.0</v>
      </c>
      <c r="H232" s="286">
        <v>0.0</v>
      </c>
      <c r="I232" s="286">
        <v>0.0</v>
      </c>
      <c r="J232" s="286">
        <v>0.0</v>
      </c>
      <c r="K232" s="286">
        <v>0.0</v>
      </c>
      <c r="L232" s="286">
        <v>0.0</v>
      </c>
      <c r="M232" s="286">
        <v>0.0</v>
      </c>
      <c r="N232" s="609"/>
      <c r="O232" s="609"/>
      <c r="P232" s="609"/>
      <c r="Q232" s="609"/>
      <c r="R232" s="609"/>
      <c r="S232" s="609"/>
      <c r="T232" s="609"/>
      <c r="U232" s="609"/>
      <c r="V232" s="609"/>
      <c r="W232" s="609"/>
      <c r="X232" s="609"/>
      <c r="Y232" s="609"/>
      <c r="Z232" s="609"/>
      <c r="AA232" s="609"/>
      <c r="AB232" s="609"/>
      <c r="AC232" s="609"/>
      <c r="AD232" s="609"/>
      <c r="AE232" s="167"/>
      <c r="AF232" s="599">
        <f t="shared" si="54"/>
        <v>0</v>
      </c>
    </row>
    <row r="233" hidden="1" outlineLevel="1">
      <c r="A233" s="845" t="s">
        <v>179</v>
      </c>
      <c r="B233" s="846">
        <f t="shared" ref="B233:AE233" si="55">SUM(B229:B232)</f>
        <v>0</v>
      </c>
      <c r="C233" s="846">
        <f t="shared" si="55"/>
        <v>0</v>
      </c>
      <c r="D233" s="846">
        <f t="shared" si="55"/>
        <v>0</v>
      </c>
      <c r="E233" s="846">
        <f t="shared" si="55"/>
        <v>0</v>
      </c>
      <c r="F233" s="846">
        <f t="shared" si="55"/>
        <v>0</v>
      </c>
      <c r="G233" s="846">
        <f t="shared" si="55"/>
        <v>0</v>
      </c>
      <c r="H233" s="846">
        <f t="shared" si="55"/>
        <v>0</v>
      </c>
      <c r="I233" s="846">
        <f t="shared" si="55"/>
        <v>0</v>
      </c>
      <c r="J233" s="846">
        <f t="shared" si="55"/>
        <v>0</v>
      </c>
      <c r="K233" s="846">
        <f t="shared" si="55"/>
        <v>0</v>
      </c>
      <c r="L233" s="846">
        <f t="shared" si="55"/>
        <v>0</v>
      </c>
      <c r="M233" s="846">
        <f t="shared" si="55"/>
        <v>0</v>
      </c>
      <c r="N233" s="846">
        <f t="shared" si="55"/>
        <v>0</v>
      </c>
      <c r="O233" s="846">
        <f t="shared" si="55"/>
        <v>0</v>
      </c>
      <c r="P233" s="846">
        <f t="shared" si="55"/>
        <v>0</v>
      </c>
      <c r="Q233" s="846">
        <f t="shared" si="55"/>
        <v>0</v>
      </c>
      <c r="R233" s="846">
        <f t="shared" si="55"/>
        <v>0</v>
      </c>
      <c r="S233" s="846">
        <f t="shared" si="55"/>
        <v>0</v>
      </c>
      <c r="T233" s="846">
        <f t="shared" si="55"/>
        <v>0</v>
      </c>
      <c r="U233" s="846">
        <f t="shared" si="55"/>
        <v>0</v>
      </c>
      <c r="V233" s="846">
        <f t="shared" si="55"/>
        <v>0</v>
      </c>
      <c r="W233" s="846">
        <f t="shared" si="55"/>
        <v>0</v>
      </c>
      <c r="X233" s="846">
        <f t="shared" si="55"/>
        <v>0</v>
      </c>
      <c r="Y233" s="846">
        <f t="shared" si="55"/>
        <v>0</v>
      </c>
      <c r="Z233" s="846">
        <f t="shared" si="55"/>
        <v>0</v>
      </c>
      <c r="AA233" s="846">
        <f t="shared" si="55"/>
        <v>0</v>
      </c>
      <c r="AB233" s="846">
        <f t="shared" si="55"/>
        <v>0</v>
      </c>
      <c r="AC233" s="846">
        <f t="shared" si="55"/>
        <v>0</v>
      </c>
      <c r="AD233" s="846">
        <f t="shared" si="55"/>
        <v>0</v>
      </c>
      <c r="AE233" s="846">
        <f t="shared" si="55"/>
        <v>0</v>
      </c>
      <c r="AF233" s="599">
        <f t="shared" si="54"/>
        <v>0</v>
      </c>
    </row>
    <row r="234" hidden="1" outlineLevel="1">
      <c r="A234" s="20"/>
      <c r="B234" s="609"/>
      <c r="C234" s="609"/>
      <c r="D234" s="609"/>
      <c r="E234" s="609"/>
      <c r="F234" s="609"/>
      <c r="G234" s="609"/>
      <c r="H234" s="609"/>
      <c r="I234" s="609"/>
      <c r="J234" s="582"/>
      <c r="K234" s="582"/>
      <c r="L234" s="582"/>
      <c r="M234" s="582"/>
      <c r="N234" s="582"/>
      <c r="O234" s="582"/>
      <c r="P234" s="582"/>
      <c r="Q234" s="582"/>
      <c r="R234" s="582"/>
      <c r="S234" s="582"/>
      <c r="T234" s="582"/>
      <c r="U234" s="582"/>
      <c r="V234" s="582"/>
      <c r="W234" s="582"/>
      <c r="X234" s="609"/>
      <c r="Y234" s="609"/>
      <c r="Z234" s="609"/>
      <c r="AA234" s="609"/>
      <c r="AB234" s="609"/>
      <c r="AC234" s="609"/>
      <c r="AD234" s="609"/>
      <c r="AE234" s="167"/>
      <c r="AF234" s="590"/>
    </row>
    <row r="235" hidden="1" outlineLevel="1">
      <c r="A235" s="169" t="s">
        <v>147</v>
      </c>
      <c r="B235" s="286">
        <v>0.0</v>
      </c>
      <c r="C235" s="286">
        <v>0.0</v>
      </c>
      <c r="D235" s="286">
        <v>0.0</v>
      </c>
      <c r="E235" s="286">
        <v>0.0</v>
      </c>
      <c r="F235" s="286">
        <v>0.0</v>
      </c>
      <c r="G235" s="286">
        <v>0.0</v>
      </c>
      <c r="H235" s="286">
        <v>0.0</v>
      </c>
      <c r="I235" s="286">
        <v>0.0</v>
      </c>
      <c r="J235" s="286">
        <v>0.0</v>
      </c>
      <c r="K235" s="286">
        <v>0.0</v>
      </c>
      <c r="L235" s="286">
        <v>0.0</v>
      </c>
      <c r="M235" s="286">
        <v>0.0</v>
      </c>
      <c r="N235" s="609"/>
      <c r="O235" s="609"/>
      <c r="P235" s="609"/>
      <c r="Q235" s="609"/>
      <c r="R235" s="609"/>
      <c r="S235" s="609"/>
      <c r="T235" s="609"/>
      <c r="U235" s="609"/>
      <c r="V235" s="582"/>
      <c r="W235" s="582"/>
      <c r="X235" s="609"/>
      <c r="Y235" s="609"/>
      <c r="Z235" s="609"/>
      <c r="AA235" s="609"/>
      <c r="AB235" s="609"/>
      <c r="AC235" s="609"/>
      <c r="AD235" s="609"/>
      <c r="AE235" s="167"/>
      <c r="AF235" s="599">
        <f t="shared" ref="AF235:AF243" si="56">sum(B235:AE235)</f>
        <v>0</v>
      </c>
    </row>
    <row r="236" hidden="1" outlineLevel="1">
      <c r="A236" s="169" t="s">
        <v>150</v>
      </c>
      <c r="B236" s="286">
        <v>0.0</v>
      </c>
      <c r="C236" s="286">
        <v>0.0</v>
      </c>
      <c r="D236" s="286">
        <v>0.0</v>
      </c>
      <c r="E236" s="286">
        <v>0.0</v>
      </c>
      <c r="F236" s="286">
        <v>0.0</v>
      </c>
      <c r="G236" s="286">
        <v>0.0</v>
      </c>
      <c r="H236" s="286">
        <v>0.0</v>
      </c>
      <c r="I236" s="286">
        <v>0.0</v>
      </c>
      <c r="J236" s="286">
        <v>0.0</v>
      </c>
      <c r="K236" s="286">
        <v>0.0</v>
      </c>
      <c r="L236" s="286">
        <v>0.0</v>
      </c>
      <c r="M236" s="286">
        <v>0.0</v>
      </c>
      <c r="N236" s="609"/>
      <c r="O236" s="609"/>
      <c r="P236" s="609"/>
      <c r="Q236" s="609"/>
      <c r="R236" s="609"/>
      <c r="S236" s="609"/>
      <c r="T236" s="609"/>
      <c r="U236" s="609"/>
      <c r="V236" s="582"/>
      <c r="W236" s="582"/>
      <c r="X236" s="609"/>
      <c r="Y236" s="609"/>
      <c r="Z236" s="167"/>
      <c r="AA236" s="167"/>
      <c r="AB236" s="609"/>
      <c r="AC236" s="167"/>
      <c r="AD236" s="167"/>
      <c r="AE236" s="167"/>
      <c r="AF236" s="599">
        <f t="shared" si="56"/>
        <v>0</v>
      </c>
    </row>
    <row r="237" hidden="1" outlineLevel="1">
      <c r="A237" s="169" t="s">
        <v>788</v>
      </c>
      <c r="B237" s="286">
        <v>0.0</v>
      </c>
      <c r="C237" s="286">
        <v>0.0</v>
      </c>
      <c r="D237" s="286">
        <v>0.0</v>
      </c>
      <c r="E237" s="286">
        <v>0.0</v>
      </c>
      <c r="F237" s="286">
        <v>0.0</v>
      </c>
      <c r="G237" s="286">
        <v>0.0</v>
      </c>
      <c r="H237" s="286">
        <v>0.0</v>
      </c>
      <c r="I237" s="286">
        <v>0.0</v>
      </c>
      <c r="J237" s="286">
        <v>0.0</v>
      </c>
      <c r="K237" s="286">
        <v>0.0</v>
      </c>
      <c r="L237" s="286">
        <v>0.0</v>
      </c>
      <c r="M237" s="286">
        <v>0.0</v>
      </c>
      <c r="N237" s="609"/>
      <c r="O237" s="609"/>
      <c r="P237" s="609"/>
      <c r="Q237" s="609"/>
      <c r="R237" s="609"/>
      <c r="S237" s="609"/>
      <c r="T237" s="609"/>
      <c r="U237" s="609"/>
      <c r="V237" s="609"/>
      <c r="W237" s="609"/>
      <c r="X237" s="609"/>
      <c r="Y237" s="609"/>
      <c r="Z237" s="609"/>
      <c r="AA237" s="609"/>
      <c r="AB237" s="609"/>
      <c r="AC237" s="609"/>
      <c r="AD237" s="609"/>
      <c r="AE237" s="609"/>
      <c r="AF237" s="599">
        <f t="shared" si="56"/>
        <v>0</v>
      </c>
    </row>
    <row r="238" hidden="1" outlineLevel="1">
      <c r="A238" s="847" t="s">
        <v>789</v>
      </c>
      <c r="B238" s="286">
        <v>0.0</v>
      </c>
      <c r="C238" s="286">
        <v>0.0</v>
      </c>
      <c r="D238" s="286">
        <v>0.0</v>
      </c>
      <c r="E238" s="286">
        <v>0.0</v>
      </c>
      <c r="F238" s="286">
        <v>0.0</v>
      </c>
      <c r="G238" s="286">
        <v>0.0</v>
      </c>
      <c r="H238" s="286">
        <v>0.0</v>
      </c>
      <c r="I238" s="286">
        <v>0.0</v>
      </c>
      <c r="J238" s="286">
        <v>0.0</v>
      </c>
      <c r="K238" s="286">
        <v>0.0</v>
      </c>
      <c r="L238" s="286">
        <v>0.0</v>
      </c>
      <c r="M238" s="286">
        <v>0.0</v>
      </c>
      <c r="N238" s="609"/>
      <c r="O238" s="609"/>
      <c r="P238" s="609"/>
      <c r="Q238" s="609"/>
      <c r="R238" s="609"/>
      <c r="S238" s="609"/>
      <c r="T238" s="609"/>
      <c r="U238" s="609"/>
      <c r="V238" s="609"/>
      <c r="W238" s="609"/>
      <c r="X238" s="609"/>
      <c r="Y238" s="609"/>
      <c r="Z238" s="609"/>
      <c r="AA238" s="609"/>
      <c r="AB238" s="609"/>
      <c r="AC238" s="609"/>
      <c r="AD238" s="609"/>
      <c r="AE238" s="609"/>
      <c r="AF238" s="599">
        <f t="shared" si="56"/>
        <v>0</v>
      </c>
    </row>
    <row r="239" hidden="1" outlineLevel="1">
      <c r="A239" s="169" t="s">
        <v>790</v>
      </c>
      <c r="B239" s="286">
        <v>0.0</v>
      </c>
      <c r="C239" s="286">
        <v>0.0</v>
      </c>
      <c r="D239" s="286">
        <v>0.0</v>
      </c>
      <c r="E239" s="286">
        <v>0.0</v>
      </c>
      <c r="F239" s="286">
        <v>0.0</v>
      </c>
      <c r="G239" s="286">
        <v>0.0</v>
      </c>
      <c r="H239" s="286">
        <v>0.0</v>
      </c>
      <c r="I239" s="286">
        <v>0.0</v>
      </c>
      <c r="J239" s="286">
        <v>0.0</v>
      </c>
      <c r="K239" s="286">
        <v>0.0</v>
      </c>
      <c r="L239" s="286">
        <v>0.0</v>
      </c>
      <c r="M239" s="286">
        <v>0.0</v>
      </c>
      <c r="N239" s="609"/>
      <c r="O239" s="609"/>
      <c r="P239" s="609"/>
      <c r="Q239" s="609"/>
      <c r="R239" s="609"/>
      <c r="S239" s="609"/>
      <c r="T239" s="609"/>
      <c r="U239" s="609"/>
      <c r="V239" s="609"/>
      <c r="W239" s="609"/>
      <c r="X239" s="609"/>
      <c r="Y239" s="609"/>
      <c r="Z239" s="609"/>
      <c r="AA239" s="582"/>
      <c r="AB239" s="609"/>
      <c r="AC239" s="609"/>
      <c r="AD239" s="609"/>
      <c r="AE239" s="609"/>
      <c r="AF239" s="599">
        <f t="shared" si="56"/>
        <v>0</v>
      </c>
    </row>
    <row r="240" hidden="1" outlineLevel="1">
      <c r="A240" s="169" t="s">
        <v>791</v>
      </c>
      <c r="B240" s="100">
        <v>0.0</v>
      </c>
      <c r="C240" s="100">
        <v>0.0</v>
      </c>
      <c r="D240" s="100">
        <v>0.0</v>
      </c>
      <c r="E240" s="100">
        <v>0.0</v>
      </c>
      <c r="F240" s="100">
        <v>0.0</v>
      </c>
      <c r="G240" s="100">
        <v>0.0</v>
      </c>
      <c r="H240" s="100">
        <v>0.0</v>
      </c>
      <c r="I240" s="100">
        <v>0.0</v>
      </c>
      <c r="J240" s="100">
        <v>0.0</v>
      </c>
      <c r="K240" s="100">
        <v>0.0</v>
      </c>
      <c r="L240" s="100">
        <v>0.0</v>
      </c>
      <c r="M240" s="100">
        <v>0.0</v>
      </c>
      <c r="N240" s="582"/>
      <c r="O240" s="582"/>
      <c r="P240" s="582"/>
      <c r="Q240" s="582"/>
      <c r="R240" s="582"/>
      <c r="S240" s="582"/>
      <c r="T240" s="582"/>
      <c r="U240" s="582"/>
      <c r="V240" s="609"/>
      <c r="W240" s="609"/>
      <c r="X240" s="609"/>
      <c r="Y240" s="609"/>
      <c r="Z240" s="609"/>
      <c r="AA240" s="582"/>
      <c r="AB240" s="609"/>
      <c r="AC240" s="609"/>
      <c r="AD240" s="609"/>
      <c r="AE240" s="609"/>
      <c r="AF240" s="599">
        <f t="shared" si="56"/>
        <v>0</v>
      </c>
    </row>
    <row r="241" hidden="1" outlineLevel="1">
      <c r="A241" s="169" t="s">
        <v>792</v>
      </c>
      <c r="B241" s="286">
        <v>0.0</v>
      </c>
      <c r="C241" s="286">
        <v>0.0</v>
      </c>
      <c r="D241" s="286">
        <v>0.0</v>
      </c>
      <c r="E241" s="286">
        <v>0.0</v>
      </c>
      <c r="F241" s="286">
        <v>0.0</v>
      </c>
      <c r="G241" s="286">
        <v>0.0</v>
      </c>
      <c r="H241" s="286">
        <v>0.0</v>
      </c>
      <c r="I241" s="286">
        <v>0.0</v>
      </c>
      <c r="J241" s="286">
        <v>0.0</v>
      </c>
      <c r="K241" s="286">
        <v>0.0</v>
      </c>
      <c r="L241" s="286">
        <v>0.0</v>
      </c>
      <c r="M241" s="286">
        <v>0.0</v>
      </c>
      <c r="N241" s="609"/>
      <c r="O241" s="609"/>
      <c r="P241" s="609"/>
      <c r="Q241" s="609"/>
      <c r="R241" s="609"/>
      <c r="S241" s="609"/>
      <c r="T241" s="609"/>
      <c r="U241" s="609"/>
      <c r="V241" s="609"/>
      <c r="W241" s="609"/>
      <c r="X241" s="609"/>
      <c r="Y241" s="609"/>
      <c r="Z241" s="609"/>
      <c r="AA241" s="582"/>
      <c r="AB241" s="609"/>
      <c r="AC241" s="609"/>
      <c r="AD241" s="609"/>
      <c r="AE241" s="609"/>
      <c r="AF241" s="599">
        <f t="shared" si="56"/>
        <v>0</v>
      </c>
    </row>
    <row r="242" hidden="1" outlineLevel="1">
      <c r="A242" s="169" t="s">
        <v>793</v>
      </c>
      <c r="B242" s="286">
        <v>0.0</v>
      </c>
      <c r="C242" s="286">
        <v>0.0</v>
      </c>
      <c r="D242" s="286">
        <v>0.0</v>
      </c>
      <c r="E242" s="286">
        <v>0.0</v>
      </c>
      <c r="F242" s="286">
        <v>0.0</v>
      </c>
      <c r="G242" s="286">
        <v>0.0</v>
      </c>
      <c r="H242" s="286">
        <v>0.0</v>
      </c>
      <c r="I242" s="286">
        <v>0.0</v>
      </c>
      <c r="J242" s="286">
        <v>0.0</v>
      </c>
      <c r="K242" s="286">
        <v>0.0</v>
      </c>
      <c r="L242" s="286">
        <v>0.0</v>
      </c>
      <c r="M242" s="286">
        <v>0.0</v>
      </c>
      <c r="N242" s="609"/>
      <c r="O242" s="609"/>
      <c r="P242" s="609"/>
      <c r="Q242" s="609"/>
      <c r="R242" s="609"/>
      <c r="S242" s="609"/>
      <c r="T242" s="609"/>
      <c r="U242" s="609"/>
      <c r="V242" s="609"/>
      <c r="W242" s="609"/>
      <c r="X242" s="609"/>
      <c r="Y242" s="609"/>
      <c r="Z242" s="609"/>
      <c r="AA242" s="582"/>
      <c r="AB242" s="609"/>
      <c r="AC242" s="609"/>
      <c r="AD242" s="609"/>
      <c r="AE242" s="609"/>
      <c r="AF242" s="599">
        <f t="shared" si="56"/>
        <v>0</v>
      </c>
    </row>
    <row r="243" hidden="1" outlineLevel="1">
      <c r="A243" s="845" t="s">
        <v>95</v>
      </c>
      <c r="B243" s="846">
        <f t="shared" ref="B243:AE243" si="57">SUM(B235:B242)</f>
        <v>0</v>
      </c>
      <c r="C243" s="846">
        <f t="shared" si="57"/>
        <v>0</v>
      </c>
      <c r="D243" s="846">
        <f t="shared" si="57"/>
        <v>0</v>
      </c>
      <c r="E243" s="846">
        <f t="shared" si="57"/>
        <v>0</v>
      </c>
      <c r="F243" s="846">
        <f t="shared" si="57"/>
        <v>0</v>
      </c>
      <c r="G243" s="846">
        <f t="shared" si="57"/>
        <v>0</v>
      </c>
      <c r="H243" s="846">
        <f t="shared" si="57"/>
        <v>0</v>
      </c>
      <c r="I243" s="846">
        <f t="shared" si="57"/>
        <v>0</v>
      </c>
      <c r="J243" s="846">
        <f t="shared" si="57"/>
        <v>0</v>
      </c>
      <c r="K243" s="846">
        <f t="shared" si="57"/>
        <v>0</v>
      </c>
      <c r="L243" s="846">
        <f t="shared" si="57"/>
        <v>0</v>
      </c>
      <c r="M243" s="846">
        <f t="shared" si="57"/>
        <v>0</v>
      </c>
      <c r="N243" s="846">
        <f t="shared" si="57"/>
        <v>0</v>
      </c>
      <c r="O243" s="846">
        <f t="shared" si="57"/>
        <v>0</v>
      </c>
      <c r="P243" s="846">
        <f t="shared" si="57"/>
        <v>0</v>
      </c>
      <c r="Q243" s="846">
        <f t="shared" si="57"/>
        <v>0</v>
      </c>
      <c r="R243" s="846">
        <f t="shared" si="57"/>
        <v>0</v>
      </c>
      <c r="S243" s="846">
        <f t="shared" si="57"/>
        <v>0</v>
      </c>
      <c r="T243" s="846">
        <f t="shared" si="57"/>
        <v>0</v>
      </c>
      <c r="U243" s="846">
        <f t="shared" si="57"/>
        <v>0</v>
      </c>
      <c r="V243" s="846">
        <f t="shared" si="57"/>
        <v>0</v>
      </c>
      <c r="W243" s="846">
        <f t="shared" si="57"/>
        <v>0</v>
      </c>
      <c r="X243" s="846">
        <f t="shared" si="57"/>
        <v>0</v>
      </c>
      <c r="Y243" s="846">
        <f t="shared" si="57"/>
        <v>0</v>
      </c>
      <c r="Z243" s="846">
        <f t="shared" si="57"/>
        <v>0</v>
      </c>
      <c r="AA243" s="846">
        <f t="shared" si="57"/>
        <v>0</v>
      </c>
      <c r="AB243" s="846">
        <f t="shared" si="57"/>
        <v>0</v>
      </c>
      <c r="AC243" s="846">
        <f t="shared" si="57"/>
        <v>0</v>
      </c>
      <c r="AD243" s="846">
        <f t="shared" si="57"/>
        <v>0</v>
      </c>
      <c r="AE243" s="846">
        <f t="shared" si="57"/>
        <v>0</v>
      </c>
      <c r="AF243" s="599">
        <f t="shared" si="56"/>
        <v>0</v>
      </c>
    </row>
    <row r="244">
      <c r="A244" s="28"/>
      <c r="B244" s="757"/>
      <c r="C244" s="756"/>
      <c r="D244" s="756"/>
      <c r="E244" s="756"/>
      <c r="F244" s="756"/>
      <c r="G244" s="756"/>
      <c r="H244" s="756"/>
      <c r="I244" s="756"/>
      <c r="J244" s="756"/>
      <c r="K244" s="756"/>
      <c r="L244" s="756"/>
      <c r="M244" s="756"/>
      <c r="N244" s="756"/>
      <c r="O244" s="756"/>
      <c r="P244" s="756"/>
      <c r="Q244" s="756"/>
      <c r="R244" s="756"/>
      <c r="S244" s="756"/>
      <c r="T244" s="756"/>
      <c r="U244" s="756"/>
      <c r="V244" s="756"/>
      <c r="W244" s="756"/>
      <c r="X244" s="756"/>
      <c r="Y244" s="756"/>
      <c r="Z244" s="756"/>
      <c r="AA244" s="756"/>
      <c r="AB244" s="756"/>
      <c r="AC244" s="756"/>
      <c r="AD244" s="756"/>
      <c r="AE244" s="758"/>
      <c r="AF244" s="848"/>
    </row>
    <row r="245">
      <c r="A245" s="849" t="s">
        <v>372</v>
      </c>
      <c r="B245" s="582"/>
      <c r="C245" s="582"/>
      <c r="D245" s="582"/>
      <c r="E245" s="582"/>
      <c r="F245" s="582"/>
      <c r="G245" s="582"/>
      <c r="H245" s="582"/>
      <c r="I245" s="582"/>
      <c r="J245" s="582"/>
      <c r="K245" s="582"/>
      <c r="L245" s="582"/>
      <c r="M245" s="582"/>
      <c r="N245" s="582"/>
      <c r="O245" s="582"/>
      <c r="P245" s="582"/>
      <c r="Q245" s="582"/>
      <c r="R245" s="582"/>
      <c r="S245" s="582"/>
      <c r="T245" s="582"/>
      <c r="U245" s="582"/>
      <c r="V245" s="582"/>
      <c r="W245" s="582"/>
      <c r="X245" s="582"/>
      <c r="Y245" s="582"/>
      <c r="Z245" s="167"/>
      <c r="AA245" s="582"/>
      <c r="AB245" s="582"/>
      <c r="AC245" s="167"/>
      <c r="AD245" s="167"/>
      <c r="AE245" s="167"/>
      <c r="AF245" s="590"/>
    </row>
    <row r="246">
      <c r="A246" s="850" t="s">
        <v>374</v>
      </c>
      <c r="B246" s="429">
        <v>0.0</v>
      </c>
      <c r="C246" s="429">
        <v>0.0</v>
      </c>
      <c r="D246" s="429">
        <v>0.0</v>
      </c>
      <c r="E246" s="429">
        <v>0.0</v>
      </c>
      <c r="F246" s="429">
        <v>0.0</v>
      </c>
      <c r="G246" s="429">
        <v>0.0</v>
      </c>
      <c r="H246" s="429">
        <v>0.0</v>
      </c>
      <c r="I246" s="429">
        <v>0.0</v>
      </c>
      <c r="J246" s="429">
        <v>0.0</v>
      </c>
      <c r="K246" s="429">
        <v>0.0</v>
      </c>
      <c r="L246" s="429">
        <v>0.0</v>
      </c>
      <c r="M246" s="429">
        <v>0.0</v>
      </c>
      <c r="N246" s="429">
        <v>0.0</v>
      </c>
      <c r="O246" s="429">
        <v>0.0</v>
      </c>
      <c r="P246" s="429">
        <v>0.0</v>
      </c>
      <c r="Q246" s="429">
        <v>0.0</v>
      </c>
      <c r="R246" s="429">
        <v>0.0</v>
      </c>
      <c r="S246" s="429">
        <v>0.0</v>
      </c>
      <c r="T246" s="429">
        <v>0.0</v>
      </c>
      <c r="U246" s="429">
        <v>0.0</v>
      </c>
      <c r="V246" s="429">
        <v>0.0</v>
      </c>
      <c r="W246" s="429">
        <v>0.0</v>
      </c>
      <c r="X246" s="429">
        <v>0.0</v>
      </c>
      <c r="Y246" s="429">
        <v>0.0</v>
      </c>
      <c r="Z246" s="429">
        <v>0.0</v>
      </c>
      <c r="AA246" s="429">
        <v>0.0</v>
      </c>
      <c r="AB246" s="429">
        <v>0.0</v>
      </c>
      <c r="AC246" s="429">
        <v>0.0</v>
      </c>
      <c r="AD246" s="429">
        <v>0.0</v>
      </c>
      <c r="AE246" s="429">
        <v>0.0</v>
      </c>
      <c r="AF246" s="851">
        <f t="shared" ref="AF246:AF260" si="59">SUM(B246:AE246)</f>
        <v>0</v>
      </c>
    </row>
    <row r="247">
      <c r="A247" s="852" t="s">
        <v>794</v>
      </c>
      <c r="B247" s="81">
        <f t="shared" ref="B247:AE247" si="58">B122+B10</f>
        <v>0</v>
      </c>
      <c r="C247" s="81">
        <f t="shared" si="58"/>
        <v>0</v>
      </c>
      <c r="D247" s="81">
        <f t="shared" si="58"/>
        <v>0</v>
      </c>
      <c r="E247" s="81">
        <f t="shared" si="58"/>
        <v>0</v>
      </c>
      <c r="F247" s="81">
        <f t="shared" si="58"/>
        <v>0</v>
      </c>
      <c r="G247" s="81">
        <f t="shared" si="58"/>
        <v>0</v>
      </c>
      <c r="H247" s="81">
        <f t="shared" si="58"/>
        <v>0</v>
      </c>
      <c r="I247" s="81">
        <f t="shared" si="58"/>
        <v>0</v>
      </c>
      <c r="J247" s="81">
        <f t="shared" si="58"/>
        <v>0</v>
      </c>
      <c r="K247" s="81">
        <f t="shared" si="58"/>
        <v>0</v>
      </c>
      <c r="L247" s="81">
        <f t="shared" si="58"/>
        <v>0</v>
      </c>
      <c r="M247" s="81">
        <f t="shared" si="58"/>
        <v>0</v>
      </c>
      <c r="N247" s="81">
        <f t="shared" si="58"/>
        <v>0</v>
      </c>
      <c r="O247" s="81">
        <f t="shared" si="58"/>
        <v>0</v>
      </c>
      <c r="P247" s="81">
        <f t="shared" si="58"/>
        <v>0</v>
      </c>
      <c r="Q247" s="81">
        <f t="shared" si="58"/>
        <v>0</v>
      </c>
      <c r="R247" s="81">
        <f t="shared" si="58"/>
        <v>0</v>
      </c>
      <c r="S247" s="81">
        <f t="shared" si="58"/>
        <v>0</v>
      </c>
      <c r="T247" s="81">
        <f t="shared" si="58"/>
        <v>0</v>
      </c>
      <c r="U247" s="81">
        <f t="shared" si="58"/>
        <v>0</v>
      </c>
      <c r="V247" s="81">
        <f t="shared" si="58"/>
        <v>0</v>
      </c>
      <c r="W247" s="81">
        <f t="shared" si="58"/>
        <v>0</v>
      </c>
      <c r="X247" s="81">
        <f t="shared" si="58"/>
        <v>0</v>
      </c>
      <c r="Y247" s="81">
        <f t="shared" si="58"/>
        <v>0</v>
      </c>
      <c r="Z247" s="81">
        <f t="shared" si="58"/>
        <v>0</v>
      </c>
      <c r="AA247" s="81">
        <f t="shared" si="58"/>
        <v>0</v>
      </c>
      <c r="AB247" s="81">
        <f t="shared" si="58"/>
        <v>0</v>
      </c>
      <c r="AC247" s="81">
        <f t="shared" si="58"/>
        <v>1637.648</v>
      </c>
      <c r="AD247" s="81">
        <f t="shared" si="58"/>
        <v>1161.218</v>
      </c>
      <c r="AE247" s="81">
        <f t="shared" si="58"/>
        <v>207.8</v>
      </c>
      <c r="AF247" s="853">
        <f t="shared" si="59"/>
        <v>3006.666</v>
      </c>
    </row>
    <row r="248">
      <c r="A248" s="603" t="s">
        <v>795</v>
      </c>
      <c r="B248" s="70">
        <f>(B13+B14+B125+B126)*'DATA - P&amp;L'!$C$3</f>
        <v>0</v>
      </c>
      <c r="C248" s="70">
        <f>(C13+C14+C125+C126)*'DATA - P&amp;L'!$C$3</f>
        <v>0</v>
      </c>
      <c r="D248" s="70">
        <f>(D13+D14+D125+D126)*'DATA - P&amp;L'!$C$3</f>
        <v>0</v>
      </c>
      <c r="E248" s="70">
        <f>(E13+E14+E125+E126)*'DATA - P&amp;L'!$C$3</f>
        <v>0</v>
      </c>
      <c r="F248" s="70">
        <f>(F13+F14+F125+F126)*'DATA - P&amp;L'!$C$3</f>
        <v>0</v>
      </c>
      <c r="G248" s="70">
        <f>(G13+G14+G125+G126)*'DATA - P&amp;L'!$C$3</f>
        <v>0</v>
      </c>
      <c r="H248" s="70">
        <f>(H13+H14+H125+H126)*'DATA - P&amp;L'!$C$3</f>
        <v>0</v>
      </c>
      <c r="I248" s="70">
        <f>(I13+I14+I125+I126)*'DATA - P&amp;L'!$C$3</f>
        <v>0</v>
      </c>
      <c r="J248" s="70">
        <f>(J13+J14+J125+J126)*'DATA - P&amp;L'!$C$3</f>
        <v>0</v>
      </c>
      <c r="K248" s="70">
        <f>(K13+K14+K125+K126)*'DATA - P&amp;L'!$C$3</f>
        <v>0</v>
      </c>
      <c r="L248" s="70">
        <f>(L13+L14+L125+L126)*'DATA - P&amp;L'!$C$3</f>
        <v>0</v>
      </c>
      <c r="M248" s="70">
        <f>(M13+M14+M125+M126)*'DATA - P&amp;L'!$C$3</f>
        <v>0</v>
      </c>
      <c r="N248" s="70">
        <f>(N13+N14+N125+N126)*'DATA - P&amp;L'!$C$3</f>
        <v>0</v>
      </c>
      <c r="O248" s="70">
        <f>(O13+O14+O125+O126)*'DATA - P&amp;L'!$C$3</f>
        <v>0</v>
      </c>
      <c r="P248" s="70">
        <f>(P13+P14+P125+P126)*'DATA - P&amp;L'!$C$3</f>
        <v>0</v>
      </c>
      <c r="Q248" s="70">
        <f>(Q13+Q14+Q125+Q126)*'DATA - P&amp;L'!$C$3</f>
        <v>0</v>
      </c>
      <c r="R248" s="70">
        <f>(R13+R14+R125+R126)*'DATA - P&amp;L'!$C$3</f>
        <v>0</v>
      </c>
      <c r="S248" s="70">
        <f>(S13+S14+S125+S126)*'DATA - P&amp;L'!$C$3</f>
        <v>0</v>
      </c>
      <c r="T248" s="70">
        <f>(T13+T14+T125+T126)*'DATA - P&amp;L'!$C$3</f>
        <v>0</v>
      </c>
      <c r="U248" s="70">
        <f>(U13+U14+U125+U126)*'DATA - P&amp;L'!$C$3</f>
        <v>0</v>
      </c>
      <c r="V248" s="70">
        <f>(V13+V14+V125+V126)*'DATA - P&amp;L'!$C$3</f>
        <v>0</v>
      </c>
      <c r="W248" s="70">
        <f>(W13+W14+W125+W126)*'DATA - P&amp;L'!$C$3</f>
        <v>0</v>
      </c>
      <c r="X248" s="70">
        <f>(X13+X14+X125+X126)*'DATA - P&amp;L'!$C$3</f>
        <v>0</v>
      </c>
      <c r="Y248" s="70">
        <f>(Y13+Y14+Y125+Y126)*'DATA - P&amp;L'!$C$3</f>
        <v>0</v>
      </c>
      <c r="Z248" s="70">
        <f>(Z13+Z14+Z125+Z126)*'DATA - P&amp;L'!$C$3</f>
        <v>0</v>
      </c>
      <c r="AA248" s="70">
        <f>(AA13+AA14+AA125+AA126)*'DATA - P&amp;L'!$C$3</f>
        <v>0</v>
      </c>
      <c r="AB248" s="70">
        <f>(AB13+AB14+AB125+AB126)*'DATA - P&amp;L'!$C$3</f>
        <v>0</v>
      </c>
      <c r="AC248" s="70">
        <f>(AC13+AC14+AC125+AC126)*'DATA - P&amp;L'!$C$3</f>
        <v>955.9</v>
      </c>
      <c r="AD248" s="70">
        <f>(AD13+AD14+AD125+AD126)*'DATA - P&amp;L'!$C$3</f>
        <v>1042.8</v>
      </c>
      <c r="AE248" s="70">
        <f>(AE13+AE14+AE125+AE126)*'DATA - P&amp;L'!$C$3</f>
        <v>86.9</v>
      </c>
      <c r="AF248" s="851">
        <f t="shared" si="59"/>
        <v>2085.6</v>
      </c>
    </row>
    <row r="249">
      <c r="A249" s="603" t="s">
        <v>796</v>
      </c>
      <c r="B249" s="70">
        <f>(B15+B16+B127+B128)*'DATA - P&amp;L'!$C$4</f>
        <v>0</v>
      </c>
      <c r="C249" s="70">
        <f>(C15+C16+C127+C128)*'DATA - P&amp;L'!$C$4</f>
        <v>0</v>
      </c>
      <c r="D249" s="70">
        <f>(D15+D16+D127+D128)*'DATA - P&amp;L'!$C$4</f>
        <v>0</v>
      </c>
      <c r="E249" s="70">
        <f>(E15+E16+E127+E128)*'DATA - P&amp;L'!$C$4</f>
        <v>0</v>
      </c>
      <c r="F249" s="70">
        <f>(F15+F16+F127+F128)*'DATA - P&amp;L'!$C$4</f>
        <v>0</v>
      </c>
      <c r="G249" s="70">
        <f>(G15+G16+G127+G128)*'DATA - P&amp;L'!$C$4</f>
        <v>0</v>
      </c>
      <c r="H249" s="70">
        <f>(H15+H16+H127+H128)*'DATA - P&amp;L'!$C$4</f>
        <v>0</v>
      </c>
      <c r="I249" s="70">
        <f>(I15+I16+I127+I128)*'DATA - P&amp;L'!$C$4</f>
        <v>0</v>
      </c>
      <c r="J249" s="70">
        <f>(J15+J16+J127+J128)*'DATA - P&amp;L'!$C$4</f>
        <v>0</v>
      </c>
      <c r="K249" s="70">
        <f>(K15+K16+K127+K128)*'DATA - P&amp;L'!$C$4</f>
        <v>0</v>
      </c>
      <c r="L249" s="70">
        <f>(L15+L16+L127+L128)*'DATA - P&amp;L'!$C$4</f>
        <v>0</v>
      </c>
      <c r="M249" s="70">
        <f>(M15+M16+M127+M128)*'DATA - P&amp;L'!$C$4</f>
        <v>0</v>
      </c>
      <c r="N249" s="70">
        <f>(N15+N16+N127+N128)*'DATA - P&amp;L'!$C$4</f>
        <v>0</v>
      </c>
      <c r="O249" s="70">
        <f>(O15+O16+O127+O128)*'DATA - P&amp;L'!$C$4</f>
        <v>0</v>
      </c>
      <c r="P249" s="70">
        <f>(P15+P16+P127+P128)*'DATA - P&amp;L'!$C$4</f>
        <v>0</v>
      </c>
      <c r="Q249" s="70">
        <f>(Q15+Q16+Q127+Q128)*'DATA - P&amp;L'!$C$4</f>
        <v>0</v>
      </c>
      <c r="R249" s="70">
        <f>(R15+R16+R127+R128)*'DATA - P&amp;L'!$C$4</f>
        <v>0</v>
      </c>
      <c r="S249" s="70">
        <f>(S15+S16+S127+S128)*'DATA - P&amp;L'!$C$4</f>
        <v>0</v>
      </c>
      <c r="T249" s="70">
        <f>(T15+T16+T127+T128)*'DATA - P&amp;L'!$C$4</f>
        <v>0</v>
      </c>
      <c r="U249" s="70">
        <f>(U15+U16+U127+U128)*'DATA - P&amp;L'!$C$4</f>
        <v>0</v>
      </c>
      <c r="V249" s="70">
        <f>(V15+V16+V127+V128)*'DATA - P&amp;L'!$C$4</f>
        <v>0</v>
      </c>
      <c r="W249" s="70">
        <f>(W15+W16+W127+W128)*'DATA - P&amp;L'!$C$4</f>
        <v>0</v>
      </c>
      <c r="X249" s="70">
        <f>(X15+X16+X127+X128)*'DATA - P&amp;L'!$C$4</f>
        <v>0</v>
      </c>
      <c r="Y249" s="70">
        <f>(Y15+Y16+Y127+Y128)*'DATA - P&amp;L'!$C$4</f>
        <v>0</v>
      </c>
      <c r="Z249" s="70">
        <f>(Z15+Z16+Z127+Z128)*'DATA - P&amp;L'!$C$4</f>
        <v>0</v>
      </c>
      <c r="AA249" s="70">
        <f>(AA15+AA16+AA127+AA128)*'DATA - P&amp;L'!$C$4</f>
        <v>0</v>
      </c>
      <c r="AB249" s="70">
        <f>(AB15+AB16+AB127+AB128)*'DATA - P&amp;L'!$C$4</f>
        <v>0</v>
      </c>
      <c r="AC249" s="70">
        <f>(AC15+AC16+AC127+AC128)*'DATA - P&amp;L'!$C$4</f>
        <v>2342.64</v>
      </c>
      <c r="AD249" s="70">
        <f>(AD15+AD16+AD127+AD128)*'DATA - P&amp;L'!$C$4</f>
        <v>1464.15</v>
      </c>
      <c r="AE249" s="70">
        <f>(AE15+AE16+AE127+AE128)*'DATA - P&amp;L'!$C$4</f>
        <v>390.44</v>
      </c>
      <c r="AF249" s="851">
        <f t="shared" si="59"/>
        <v>4197.23</v>
      </c>
    </row>
    <row r="250">
      <c r="A250" s="603" t="s">
        <v>797</v>
      </c>
      <c r="B250" s="70">
        <f>(B19+B131)*'DATA - P&amp;L'!$C$6</f>
        <v>0</v>
      </c>
      <c r="C250" s="70">
        <f>(C19+C131)*'DATA - P&amp;L'!$C$6</f>
        <v>0</v>
      </c>
      <c r="D250" s="70">
        <f>(D19+D131)*'DATA - P&amp;L'!$C$6</f>
        <v>0</v>
      </c>
      <c r="E250" s="70">
        <f>(E19+E131)*'DATA - P&amp;L'!$C$6</f>
        <v>0</v>
      </c>
      <c r="F250" s="70">
        <f>(F19+F131)*'DATA - P&amp;L'!$C$6</f>
        <v>0</v>
      </c>
      <c r="G250" s="70">
        <f>(G19+G131)*'DATA - P&amp;L'!$C$6</f>
        <v>0</v>
      </c>
      <c r="H250" s="70">
        <f>(H19+H131)*'DATA - P&amp;L'!$C$6</f>
        <v>0</v>
      </c>
      <c r="I250" s="70">
        <f>(I19+I131)*'DATA - P&amp;L'!$C$6</f>
        <v>0</v>
      </c>
      <c r="J250" s="70">
        <f>(J19+J131)*'DATA - P&amp;L'!$C$6</f>
        <v>0</v>
      </c>
      <c r="K250" s="70">
        <f>(K19+K131)*'DATA - P&amp;L'!$C$6</f>
        <v>0</v>
      </c>
      <c r="L250" s="70">
        <f>(L19+L131)*'DATA - P&amp;L'!$C$6</f>
        <v>0</v>
      </c>
      <c r="M250" s="70">
        <f>(M19+M131)*'DATA - P&amp;L'!$C$6</f>
        <v>0</v>
      </c>
      <c r="N250" s="70">
        <f>(N19+N131)*'DATA - P&amp;L'!$C$6</f>
        <v>0</v>
      </c>
      <c r="O250" s="70">
        <f>(O19+O131)*'DATA - P&amp;L'!$C$6</f>
        <v>0</v>
      </c>
      <c r="P250" s="70">
        <f>(P19+P131)*'DATA - P&amp;L'!$C$6</f>
        <v>0</v>
      </c>
      <c r="Q250" s="70">
        <f>(Q19+Q131)*'DATA - P&amp;L'!$C$6</f>
        <v>0</v>
      </c>
      <c r="R250" s="70">
        <f>(R19+R131)*'DATA - P&amp;L'!$C$6</f>
        <v>0</v>
      </c>
      <c r="S250" s="70">
        <f>(S19+S131)*'DATA - P&amp;L'!$C$6</f>
        <v>0</v>
      </c>
      <c r="T250" s="70">
        <f>(T19+T131)*'DATA - P&amp;L'!$C$6</f>
        <v>0</v>
      </c>
      <c r="U250" s="70">
        <f>(U19+U131)*'DATA - P&amp;L'!$C$6</f>
        <v>0</v>
      </c>
      <c r="V250" s="70">
        <f>(V19+V131)*'DATA - P&amp;L'!$C$6</f>
        <v>0</v>
      </c>
      <c r="W250" s="70">
        <f>(W19+W131)*'DATA - P&amp;L'!$C$6</f>
        <v>0</v>
      </c>
      <c r="X250" s="70">
        <f>(X19+X131)*'DATA - P&amp;L'!$C$6</f>
        <v>0</v>
      </c>
      <c r="Y250" s="70">
        <f>(Y19+Y131)*'DATA - P&amp;L'!$C$6</f>
        <v>0</v>
      </c>
      <c r="Z250" s="70">
        <f>(Z19+Z131)*'DATA - P&amp;L'!$C$6</f>
        <v>0</v>
      </c>
      <c r="AA250" s="70">
        <f>(AA19+AA131)*'DATA - P&amp;L'!$C$6</f>
        <v>0</v>
      </c>
      <c r="AB250" s="70">
        <f>(AB19+AB131)*'DATA - P&amp;L'!$C$6</f>
        <v>0</v>
      </c>
      <c r="AC250" s="70">
        <f>(AC19+AC131)*'DATA - P&amp;L'!$C$6</f>
        <v>0</v>
      </c>
      <c r="AD250" s="70">
        <f>(AD19+AD131)*'DATA - P&amp;L'!$C$6</f>
        <v>0</v>
      </c>
      <c r="AE250" s="70">
        <f>(AE19+AE131)*'DATA - P&amp;L'!$C$6</f>
        <v>0</v>
      </c>
      <c r="AF250" s="851">
        <f t="shared" si="59"/>
        <v>0</v>
      </c>
    </row>
    <row r="251">
      <c r="A251" s="603" t="s">
        <v>798</v>
      </c>
      <c r="B251" s="70">
        <f>(B20+B132)*'DATA - P&amp;L'!$C$8</f>
        <v>0</v>
      </c>
      <c r="C251" s="70">
        <f>(C20+C132)*'DATA - P&amp;L'!$C$8</f>
        <v>0</v>
      </c>
      <c r="D251" s="70">
        <f>(D20+D132)*'DATA - P&amp;L'!$C$8</f>
        <v>0</v>
      </c>
      <c r="E251" s="70">
        <f>(E20+E132)*'DATA - P&amp;L'!$C$8</f>
        <v>0</v>
      </c>
      <c r="F251" s="70">
        <f>(F20+F132)*'DATA - P&amp;L'!$C$8</f>
        <v>0</v>
      </c>
      <c r="G251" s="70">
        <f>(G20+G132)*'DATA - P&amp;L'!$C$8</f>
        <v>0</v>
      </c>
      <c r="H251" s="70">
        <f>(H20+H132)*'DATA - P&amp;L'!$C$8</f>
        <v>0</v>
      </c>
      <c r="I251" s="70">
        <f>(I20+I132)*'DATA - P&amp;L'!$C$8</f>
        <v>0</v>
      </c>
      <c r="J251" s="70">
        <f>(J20+J132)*'DATA - P&amp;L'!$C$8</f>
        <v>0</v>
      </c>
      <c r="K251" s="70">
        <f>(K20+K132)*'DATA - P&amp;L'!$C$8</f>
        <v>0</v>
      </c>
      <c r="L251" s="70">
        <f>(L20+L132)*'DATA - P&amp;L'!$C$8</f>
        <v>0</v>
      </c>
      <c r="M251" s="70">
        <f>(M20+M132)*'DATA - P&amp;L'!$C$8</f>
        <v>0</v>
      </c>
      <c r="N251" s="70">
        <f>(N20+N132)*'DATA - P&amp;L'!$C$8</f>
        <v>0</v>
      </c>
      <c r="O251" s="70">
        <f>(O20+O132)*'DATA - P&amp;L'!$C$8</f>
        <v>0</v>
      </c>
      <c r="P251" s="70">
        <f>(P20+P132)*'DATA - P&amp;L'!$C$8</f>
        <v>0</v>
      </c>
      <c r="Q251" s="70">
        <f>(Q20+Q132)*'DATA - P&amp;L'!$C$8</f>
        <v>0</v>
      </c>
      <c r="R251" s="70">
        <f>(R20+R132)*'DATA - P&amp;L'!$C$8</f>
        <v>0</v>
      </c>
      <c r="S251" s="70">
        <f>(S20+S132)*'DATA - P&amp;L'!$C$8</f>
        <v>0</v>
      </c>
      <c r="T251" s="70">
        <f>(T20+T132)*'DATA - P&amp;L'!$C$8</f>
        <v>0</v>
      </c>
      <c r="U251" s="70">
        <f>(U20+U132)*'DATA - P&amp;L'!$C$8</f>
        <v>0</v>
      </c>
      <c r="V251" s="70">
        <f>(V20+V132)*'DATA - P&amp;L'!$C$8</f>
        <v>0</v>
      </c>
      <c r="W251" s="70">
        <f>(W20+W132)*'DATA - P&amp;L'!$C$8</f>
        <v>0</v>
      </c>
      <c r="X251" s="70">
        <f>(X20+X132)*'DATA - P&amp;L'!$C$8</f>
        <v>0</v>
      </c>
      <c r="Y251" s="70">
        <f>(Y20+Y132)*'DATA - P&amp;L'!$C$8</f>
        <v>0</v>
      </c>
      <c r="Z251" s="70">
        <f>(Z20+Z132)*'DATA - P&amp;L'!$C$8</f>
        <v>0</v>
      </c>
      <c r="AA251" s="70">
        <f>(AA20+AA132)*'DATA - P&amp;L'!$C$8</f>
        <v>0</v>
      </c>
      <c r="AB251" s="70">
        <f>(AB20+AB132)*'DATA - P&amp;L'!$C$8</f>
        <v>0</v>
      </c>
      <c r="AC251" s="70">
        <f>(AC20+AC132)*'DATA - P&amp;L'!$C$8</f>
        <v>0</v>
      </c>
      <c r="AD251" s="70">
        <f>(AD20+AD132)*'DATA - P&amp;L'!$C$8</f>
        <v>0</v>
      </c>
      <c r="AE251" s="70">
        <f>(AE20+AE132)*'DATA - P&amp;L'!$C$8</f>
        <v>0</v>
      </c>
      <c r="AF251" s="851">
        <f t="shared" si="59"/>
        <v>0</v>
      </c>
    </row>
    <row r="252">
      <c r="A252" s="603" t="s">
        <v>799</v>
      </c>
      <c r="B252" s="70">
        <f>(B21+B22+B133+B134)*'DATA - P&amp;L'!$C$9</f>
        <v>0</v>
      </c>
      <c r="C252" s="70">
        <f>(C21+C22+C133+C134)*'DATA - P&amp;L'!$C$9</f>
        <v>0</v>
      </c>
      <c r="D252" s="70">
        <f>(D21+D22+D133+D134)*'DATA - P&amp;L'!$C$9</f>
        <v>0</v>
      </c>
      <c r="E252" s="70">
        <f>(E21+E22+E133+E134)*'DATA - P&amp;L'!$C$9</f>
        <v>0</v>
      </c>
      <c r="F252" s="70">
        <f>(F21+F22+F133+F134)*'DATA - P&amp;L'!$C$9</f>
        <v>0</v>
      </c>
      <c r="G252" s="70">
        <f>(G21+G22+G133+G134)*'DATA - P&amp;L'!$C$9</f>
        <v>0</v>
      </c>
      <c r="H252" s="70">
        <f>(H21+H22+H133+H134)*'DATA - P&amp;L'!$C$9</f>
        <v>0</v>
      </c>
      <c r="I252" s="70">
        <f>(I21+I22+I133+I134)*'DATA - P&amp;L'!$C$9</f>
        <v>0</v>
      </c>
      <c r="J252" s="70">
        <f>(J21+J22+J133+J134)*'DATA - P&amp;L'!$C$9</f>
        <v>0</v>
      </c>
      <c r="K252" s="70">
        <f>(K21+K22+K133+K134)*'DATA - P&amp;L'!$C$9</f>
        <v>0</v>
      </c>
      <c r="L252" s="70">
        <f>(L21+L22+L133+L134)*'DATA - P&amp;L'!$C$9</f>
        <v>0</v>
      </c>
      <c r="M252" s="70">
        <f>(M21+M22+M133+M134)*'DATA - P&amp;L'!$C$9</f>
        <v>0</v>
      </c>
      <c r="N252" s="70">
        <f>(N21+N22+N133+N134)*'DATA - P&amp;L'!$C$9</f>
        <v>0</v>
      </c>
      <c r="O252" s="70">
        <f>(O21+O22+O133+O134)*'DATA - P&amp;L'!$C$9</f>
        <v>0</v>
      </c>
      <c r="P252" s="70">
        <f>(P21+P22+P133+P134)*'DATA - P&amp;L'!$C$9</f>
        <v>0</v>
      </c>
      <c r="Q252" s="70">
        <f>(Q21+Q22+Q133+Q134)*'DATA - P&amp;L'!$C$9</f>
        <v>0</v>
      </c>
      <c r="R252" s="70">
        <f>(R21+R22+R133+R134)*'DATA - P&amp;L'!$C$9</f>
        <v>0</v>
      </c>
      <c r="S252" s="70">
        <f>(S21+S22+S133+S134)*'DATA - P&amp;L'!$C$9</f>
        <v>0</v>
      </c>
      <c r="T252" s="70">
        <f>(T21+T22+T133+T134)*'DATA - P&amp;L'!$C$9</f>
        <v>0</v>
      </c>
      <c r="U252" s="70">
        <f>(U21+U22+U133+U134)*'DATA - P&amp;L'!$C$9</f>
        <v>0</v>
      </c>
      <c r="V252" s="70">
        <f>(V21+V22+V133+V134)*'DATA - P&amp;L'!$C$9</f>
        <v>0</v>
      </c>
      <c r="W252" s="70">
        <f>(W21+W22+W133+W134)*'DATA - P&amp;L'!$C$9</f>
        <v>0</v>
      </c>
      <c r="X252" s="70">
        <f>(X21+X22+X133+X134)*'DATA - P&amp;L'!$C$9</f>
        <v>0</v>
      </c>
      <c r="Y252" s="70">
        <f>(Y21+Y22+Y133+Y134)*'DATA - P&amp;L'!$C$9</f>
        <v>0</v>
      </c>
      <c r="Z252" s="70">
        <f>(Z21+Z22+Z133+Z134)*'DATA - P&amp;L'!$C$9</f>
        <v>0</v>
      </c>
      <c r="AA252" s="70">
        <f>(AA21+AA22+AA133+AA134)*'DATA - P&amp;L'!$C$9</f>
        <v>0</v>
      </c>
      <c r="AB252" s="70">
        <f>(AB21+AB22+AB133+AB134)*'DATA - P&amp;L'!$C$9</f>
        <v>0</v>
      </c>
      <c r="AC252" s="70">
        <f>(AC21+AC22+AC133+AC134)*'DATA - P&amp;L'!$C$9</f>
        <v>0</v>
      </c>
      <c r="AD252" s="70">
        <f>(AD21+AD22+AD133+AD134)*'DATA - P&amp;L'!$C$9</f>
        <v>0</v>
      </c>
      <c r="AE252" s="70">
        <f>(AE21+AE22+AE133+AE134)*'DATA - P&amp;L'!$C$9</f>
        <v>0</v>
      </c>
      <c r="AF252" s="851">
        <f t="shared" si="59"/>
        <v>0</v>
      </c>
    </row>
    <row r="253">
      <c r="A253" s="603" t="s">
        <v>801</v>
      </c>
      <c r="B253" s="70">
        <f>(B23+B24+B135+B136)*'DATA - P&amp;L'!$C$5</f>
        <v>0</v>
      </c>
      <c r="C253" s="70">
        <f>(C23+C24+C135+C136)*'DATA - P&amp;L'!$C$5</f>
        <v>0</v>
      </c>
      <c r="D253" s="70">
        <f>(D23+D24+D135+D136)*'DATA - P&amp;L'!$C$5</f>
        <v>0</v>
      </c>
      <c r="E253" s="70">
        <f>(E23+E24+E135+E136)*'DATA - P&amp;L'!$C$5</f>
        <v>0</v>
      </c>
      <c r="F253" s="70">
        <f>(F23+F24+F135+F136)*'DATA - P&amp;L'!$C$5</f>
        <v>0</v>
      </c>
      <c r="G253" s="70">
        <f>(G23+G24+G135+G136)*'DATA - P&amp;L'!$C$5</f>
        <v>0</v>
      </c>
      <c r="H253" s="70">
        <f>(H23+H24+H135+H136)*'DATA - P&amp;L'!$C$5</f>
        <v>0</v>
      </c>
      <c r="I253" s="70">
        <f>(I23+I24+I135+I136)*'DATA - P&amp;L'!$C$5</f>
        <v>0</v>
      </c>
      <c r="J253" s="70">
        <f>(J23+J24+J135+J136)*'DATA - P&amp;L'!$C$5</f>
        <v>0</v>
      </c>
      <c r="K253" s="70">
        <f>(K23+K24+K135+K136)*'DATA - P&amp;L'!$C$5</f>
        <v>0</v>
      </c>
      <c r="L253" s="70">
        <f>(L23+L24+L135+L136)*'DATA - P&amp;L'!$C$5</f>
        <v>0</v>
      </c>
      <c r="M253" s="70">
        <f>(M23+M24+M135+M136)*'DATA - P&amp;L'!$C$5</f>
        <v>0</v>
      </c>
      <c r="N253" s="70">
        <f>(N23+N24+N135+N136)*'DATA - P&amp;L'!$C$5</f>
        <v>0</v>
      </c>
      <c r="O253" s="70">
        <f>(O23+O24+O135+O136)*'DATA - P&amp;L'!$C$5</f>
        <v>0</v>
      </c>
      <c r="P253" s="70">
        <f>(P23+P24+P135+P136)*'DATA - P&amp;L'!$C$5</f>
        <v>0</v>
      </c>
      <c r="Q253" s="70">
        <f>(Q23+Q24+Q135+Q136)*'DATA - P&amp;L'!$C$5</f>
        <v>0</v>
      </c>
      <c r="R253" s="70">
        <f>(R23+R24+R135+R136)*'DATA - P&amp;L'!$C$5</f>
        <v>0</v>
      </c>
      <c r="S253" s="70">
        <f>(S23+S24+S135+S136)*'DATA - P&amp;L'!$C$5</f>
        <v>0</v>
      </c>
      <c r="T253" s="70">
        <f>(T23+T24+T135+T136)*'DATA - P&amp;L'!$C$5</f>
        <v>0</v>
      </c>
      <c r="U253" s="70">
        <f>(U23+U24+U135+U136)*'DATA - P&amp;L'!$C$5</f>
        <v>0</v>
      </c>
      <c r="V253" s="70">
        <f>(V23+V24+V135+V136)*'DATA - P&amp;L'!$C$5</f>
        <v>0</v>
      </c>
      <c r="W253" s="70">
        <f>(W23+W24+W135+W136)*'DATA - P&amp;L'!$C$5</f>
        <v>0</v>
      </c>
      <c r="X253" s="70">
        <f>(X23+X24+X135+X136)*'DATA - P&amp;L'!$C$5</f>
        <v>0</v>
      </c>
      <c r="Y253" s="70">
        <f>(Y23+Y24+Y135+Y136)*'DATA - P&amp;L'!$C$5</f>
        <v>0</v>
      </c>
      <c r="Z253" s="70">
        <f>(Z23+Z24+Z135+Z136)*'DATA - P&amp;L'!$C$5</f>
        <v>0</v>
      </c>
      <c r="AA253" s="70">
        <f>(AA23+AA24+AA135+AA136)*'DATA - P&amp;L'!$C$5</f>
        <v>0</v>
      </c>
      <c r="AB253" s="70">
        <f>(AB23+AB24+AB135+AB136)*'DATA - P&amp;L'!$C$5</f>
        <v>0</v>
      </c>
      <c r="AC253" s="70">
        <f>(AC23+AC24+AC135+AC136)*'DATA - P&amp;L'!$C$5</f>
        <v>0</v>
      </c>
      <c r="AD253" s="70">
        <f>(AD23+AD24+AD135+AD136)*'DATA - P&amp;L'!$C$5</f>
        <v>0</v>
      </c>
      <c r="AE253" s="70">
        <f>(AE23+AE24+AE135+AE136)*'DATA - P&amp;L'!$C$5</f>
        <v>0</v>
      </c>
      <c r="AF253" s="851">
        <f t="shared" si="59"/>
        <v>0</v>
      </c>
    </row>
    <row r="254">
      <c r="A254" s="617" t="s">
        <v>802</v>
      </c>
      <c r="B254" s="81">
        <f>(B25+B26+B137+B138)*'DATA - P&amp;L'!$C$10</f>
        <v>0</v>
      </c>
      <c r="C254" s="81">
        <f>(C25+C26+C137+C138)*'DATA - P&amp;L'!$C$10</f>
        <v>0</v>
      </c>
      <c r="D254" s="81">
        <f>(D25+D26+D137+D138)*'DATA - P&amp;L'!$C$10</f>
        <v>0</v>
      </c>
      <c r="E254" s="81">
        <f>(E25+E26+E137+E138)*'DATA - P&amp;L'!$C$10</f>
        <v>0</v>
      </c>
      <c r="F254" s="81">
        <f>(F25+F26+F137+F138)*'DATA - P&amp;L'!$C$10</f>
        <v>0</v>
      </c>
      <c r="G254" s="81">
        <f>(G25+G26+G137+G138)*'DATA - P&amp;L'!$C$10</f>
        <v>0</v>
      </c>
      <c r="H254" s="81">
        <f>(H25+H26+H137+H138)*'DATA - P&amp;L'!$C$10</f>
        <v>0</v>
      </c>
      <c r="I254" s="81">
        <f>(I25+I26+I137+I138)*'DATA - P&amp;L'!$C$10</f>
        <v>0</v>
      </c>
      <c r="J254" s="81">
        <f>(J25+J26+J137+J138)*'DATA - P&amp;L'!$C$10</f>
        <v>0</v>
      </c>
      <c r="K254" s="81">
        <f>(K25+K26+K137+K138)*'DATA - P&amp;L'!$C$10</f>
        <v>0</v>
      </c>
      <c r="L254" s="81">
        <f>(L25+L26+L137+L138)*'DATA - P&amp;L'!$C$10</f>
        <v>0</v>
      </c>
      <c r="M254" s="81">
        <f>(M25+M26+M137+M138)*'DATA - P&amp;L'!$C$10</f>
        <v>0</v>
      </c>
      <c r="N254" s="81">
        <f>(N25+N26+N137+N138)*'DATA - P&amp;L'!$C$10</f>
        <v>0</v>
      </c>
      <c r="O254" s="81">
        <f>(O25+O26+O137+O138)*'DATA - P&amp;L'!$C$10</f>
        <v>0</v>
      </c>
      <c r="P254" s="81">
        <f>(P25+P26+P137+P138)*'DATA - P&amp;L'!$C$10</f>
        <v>0</v>
      </c>
      <c r="Q254" s="81">
        <f>(Q25+Q26+Q137+Q138)*'DATA - P&amp;L'!$C$10</f>
        <v>0</v>
      </c>
      <c r="R254" s="81">
        <f>(R25+R26+R137+R138)*'DATA - P&amp;L'!$C$10</f>
        <v>0</v>
      </c>
      <c r="S254" s="81">
        <f>(S25+S26+S137+S138)*'DATA - P&amp;L'!$C$10</f>
        <v>0</v>
      </c>
      <c r="T254" s="81">
        <f>(T25+T26+T137+T138)*'DATA - P&amp;L'!$C$10</f>
        <v>0</v>
      </c>
      <c r="U254" s="81">
        <f>(U25+U26+U137+U138)*'DATA - P&amp;L'!$C$10</f>
        <v>0</v>
      </c>
      <c r="V254" s="81">
        <f>(V25+V26+V137+V138)*'DATA - P&amp;L'!$C$10</f>
        <v>0</v>
      </c>
      <c r="W254" s="81">
        <f>(W25+W26+W137+W138)*'DATA - P&amp;L'!$C$10</f>
        <v>0</v>
      </c>
      <c r="X254" s="81">
        <f>(X25+X26+X137+X138)*'DATA - P&amp;L'!$C$10</f>
        <v>0</v>
      </c>
      <c r="Y254" s="81">
        <f>(Y25+Y26+Y137+Y138)*'DATA - P&amp;L'!$C$10</f>
        <v>0</v>
      </c>
      <c r="Z254" s="81">
        <f>(Z25+Z26+Z137+Z138)*'DATA - P&amp;L'!$C$10</f>
        <v>0</v>
      </c>
      <c r="AA254" s="81">
        <f>(AA25+AA26+AA137+AA138)*'DATA - P&amp;L'!$C$10</f>
        <v>0</v>
      </c>
      <c r="AB254" s="81">
        <f>(AB25+AB26+AB137+AB138)*'DATA - P&amp;L'!$C$10</f>
        <v>0</v>
      </c>
      <c r="AC254" s="81">
        <f>(AC25+AC26+AC137+AC138)*'DATA - P&amp;L'!$C$10</f>
        <v>0</v>
      </c>
      <c r="AD254" s="81">
        <f>(AD25+AD26+AD137+AD138)*'DATA - P&amp;L'!$C$10</f>
        <v>0</v>
      </c>
      <c r="AE254" s="81">
        <f>(AE25+AE26+AE137+AE138)*'DATA - P&amp;L'!$C$10</f>
        <v>0</v>
      </c>
      <c r="AF254" s="853">
        <f t="shared" si="59"/>
        <v>0</v>
      </c>
    </row>
    <row r="255">
      <c r="A255" s="603" t="s">
        <v>803</v>
      </c>
      <c r="B255" s="70">
        <f>(B17*'DATA - P&amp;L'!$C$38)+(B129*'DATA - P&amp;L'!$C$39)</f>
        <v>0</v>
      </c>
      <c r="C255" s="70">
        <f>(C17*'DATA - P&amp;L'!$C$38)+(C129*'DATA - P&amp;L'!$C$39)</f>
        <v>0</v>
      </c>
      <c r="D255" s="70">
        <f>(D17*'DATA - P&amp;L'!$C$38)+(D129*'DATA - P&amp;L'!$C$39)</f>
        <v>0</v>
      </c>
      <c r="E255" s="70">
        <f>(E17*'DATA - P&amp;L'!$C$38)+(E129*'DATA - P&amp;L'!$C$39)</f>
        <v>0</v>
      </c>
      <c r="F255" s="70">
        <f>(F17*'DATA - P&amp;L'!$C$38)+(F129*'DATA - P&amp;L'!$C$39)</f>
        <v>0</v>
      </c>
      <c r="G255" s="70">
        <f>(G17*'DATA - P&amp;L'!$C$38)+(G129*'DATA - P&amp;L'!$C$39)</f>
        <v>0</v>
      </c>
      <c r="H255" s="70">
        <f>(H17*'DATA - P&amp;L'!$C$38)+(H129*'DATA - P&amp;L'!$C$39)</f>
        <v>0</v>
      </c>
      <c r="I255" s="70">
        <f>(I17*'DATA - P&amp;L'!$C$38)+(I129*'DATA - P&amp;L'!$C$39)</f>
        <v>0</v>
      </c>
      <c r="J255" s="70">
        <f>(J17*'DATA - P&amp;L'!$C$38)+(J129*'DATA - P&amp;L'!$C$39)</f>
        <v>0</v>
      </c>
      <c r="K255" s="70">
        <f>(K17*'DATA - P&amp;L'!$C$38)+(K129*'DATA - P&amp;L'!$C$39)</f>
        <v>0</v>
      </c>
      <c r="L255" s="70">
        <f>(L17*'DATA - P&amp;L'!$C$38)+(L129*'DATA - P&amp;L'!$C$39)</f>
        <v>0</v>
      </c>
      <c r="M255" s="70">
        <f>(M17*'DATA - P&amp;L'!$C$38)+(M129*'DATA - P&amp;L'!$C$39)</f>
        <v>0</v>
      </c>
      <c r="N255" s="70">
        <f>(N17*'DATA - P&amp;L'!$C$38)+(N129*'DATA - P&amp;L'!$C$39)</f>
        <v>0</v>
      </c>
      <c r="O255" s="70">
        <f>(O17*'DATA - P&amp;L'!$C$38)+(O129*'DATA - P&amp;L'!$C$39)</f>
        <v>0</v>
      </c>
      <c r="P255" s="70">
        <f>(P17*'DATA - P&amp;L'!$C$38)+(P129*'DATA - P&amp;L'!$C$39)</f>
        <v>0</v>
      </c>
      <c r="Q255" s="70">
        <f>(Q17*'DATA - P&amp;L'!$C$38)+(Q129*'DATA - P&amp;L'!$C$39)</f>
        <v>0</v>
      </c>
      <c r="R255" s="70">
        <f>(R17*'DATA - P&amp;L'!$C$38)+(R129*'DATA - P&amp;L'!$C$39)</f>
        <v>0</v>
      </c>
      <c r="S255" s="70">
        <f>(S17*'DATA - P&amp;L'!$C$38)+(S129*'DATA - P&amp;L'!$C$39)</f>
        <v>0</v>
      </c>
      <c r="T255" s="70">
        <f>(T17*'DATA - P&amp;L'!$C$38)+(T129*'DATA - P&amp;L'!$C$39)</f>
        <v>0</v>
      </c>
      <c r="U255" s="70">
        <f>(U17*'DATA - P&amp;L'!$C$38)+(U129*'DATA - P&amp;L'!$C$39)</f>
        <v>0</v>
      </c>
      <c r="V255" s="70">
        <f>(V17*'DATA - P&amp;L'!$C$38)+(V129*'DATA - P&amp;L'!$C$39)</f>
        <v>0</v>
      </c>
      <c r="W255" s="70">
        <f>(W17*'DATA - P&amp;L'!$C$38)+(W129*'DATA - P&amp;L'!$C$39)</f>
        <v>0</v>
      </c>
      <c r="X255" s="70">
        <f>(X17*'DATA - P&amp;L'!$C$38)+(X129*'DATA - P&amp;L'!$C$39)</f>
        <v>0</v>
      </c>
      <c r="Y255" s="70">
        <f>(Y17*'DATA - P&amp;L'!$C$38)+(Y129*'DATA - P&amp;L'!$C$39)</f>
        <v>0</v>
      </c>
      <c r="Z255" s="70">
        <f>(Z17*'DATA - P&amp;L'!$C$38)+(Z129*'DATA - P&amp;L'!$C$39)</f>
        <v>0</v>
      </c>
      <c r="AA255" s="70">
        <f>(AA17*'DATA - P&amp;L'!$C$38)+(AA129*'DATA - P&amp;L'!$C$39)</f>
        <v>0</v>
      </c>
      <c r="AB255" s="70">
        <f>(AB17*'DATA - P&amp;L'!$C$38)+(AB129*'DATA - P&amp;L'!$C$39)</f>
        <v>0</v>
      </c>
      <c r="AC255" s="70">
        <f>(AC17*'DATA - P&amp;L'!$C$38)+(AC129*'DATA - P&amp;L'!$C$39)</f>
        <v>417.9</v>
      </c>
      <c r="AD255" s="70">
        <f>(AD17*'DATA - P&amp;L'!$C$38)+(AD129*'DATA - P&amp;L'!$C$39)</f>
        <v>322.38</v>
      </c>
      <c r="AE255" s="70">
        <f>(AE17*'DATA - P&amp;L'!$C$38)+(AE129*'DATA - P&amp;L'!$C$39)</f>
        <v>59.7</v>
      </c>
      <c r="AF255" s="851">
        <f t="shared" si="59"/>
        <v>799.98</v>
      </c>
    </row>
    <row r="256">
      <c r="A256" s="603" t="s">
        <v>805</v>
      </c>
      <c r="B256" s="70">
        <f>(B17*'DATA - P&amp;L'!$C$34)+(B129*'DATA - P&amp;L'!$C$35)</f>
        <v>0</v>
      </c>
      <c r="C256" s="70">
        <f>(C17*'DATA - P&amp;L'!$C$34)+(C129*'DATA - P&amp;L'!$C$35)</f>
        <v>0</v>
      </c>
      <c r="D256" s="70">
        <f>(D17*'DATA - P&amp;L'!$C$34)+(D129*'DATA - P&amp;L'!$C$35)</f>
        <v>0</v>
      </c>
      <c r="E256" s="70">
        <f>(E17*'DATA - P&amp;L'!$C$34)+(E129*'DATA - P&amp;L'!$C$35)</f>
        <v>0</v>
      </c>
      <c r="F256" s="70">
        <f>(F17*'DATA - P&amp;L'!$C$34)+(F129*'DATA - P&amp;L'!$C$35)</f>
        <v>0</v>
      </c>
      <c r="G256" s="70">
        <f>(G17*'DATA - P&amp;L'!$C$34)+(G129*'DATA - P&amp;L'!$C$35)</f>
        <v>0</v>
      </c>
      <c r="H256" s="70">
        <f>(H17*'DATA - P&amp;L'!$C$34)+(H129*'DATA - P&amp;L'!$C$35)</f>
        <v>0</v>
      </c>
      <c r="I256" s="70">
        <f>(I17*'DATA - P&amp;L'!$C$34)+(I129*'DATA - P&amp;L'!$C$35)</f>
        <v>0</v>
      </c>
      <c r="J256" s="70">
        <f>(J17*'DATA - P&amp;L'!$C$34)+(J129*'DATA - P&amp;L'!$C$35)</f>
        <v>0</v>
      </c>
      <c r="K256" s="70">
        <f>(K17*'DATA - P&amp;L'!$C$34)+(K129*'DATA - P&amp;L'!$C$35)</f>
        <v>0</v>
      </c>
      <c r="L256" s="70">
        <f>(L17*'DATA - P&amp;L'!$C$34)+(L129*'DATA - P&amp;L'!$C$35)</f>
        <v>0</v>
      </c>
      <c r="M256" s="70">
        <f>(M17*'DATA - P&amp;L'!$C$34)+(M129*'DATA - P&amp;L'!$C$35)</f>
        <v>0</v>
      </c>
      <c r="N256" s="70">
        <f>(N17*'DATA - P&amp;L'!$C$34)+(N129*'DATA - P&amp;L'!$C$35)</f>
        <v>0</v>
      </c>
      <c r="O256" s="70">
        <f>(O17*'DATA - P&amp;L'!$C$34)+(O129*'DATA - P&amp;L'!$C$35)</f>
        <v>0</v>
      </c>
      <c r="P256" s="70">
        <f>(P17*'DATA - P&amp;L'!$C$34)+(P129*'DATA - P&amp;L'!$C$35)</f>
        <v>0</v>
      </c>
      <c r="Q256" s="70">
        <f>(Q17*'DATA - P&amp;L'!$C$34)+(Q129*'DATA - P&amp;L'!$C$35)</f>
        <v>0</v>
      </c>
      <c r="R256" s="70">
        <f>(R17*'DATA - P&amp;L'!$C$34)+(R129*'DATA - P&amp;L'!$C$35)</f>
        <v>0</v>
      </c>
      <c r="S256" s="70">
        <f>(S17*'DATA - P&amp;L'!$C$34)+(S129*'DATA - P&amp;L'!$C$35)</f>
        <v>0</v>
      </c>
      <c r="T256" s="70">
        <f>(T17*'DATA - P&amp;L'!$C$34)+(T129*'DATA - P&amp;L'!$C$35)</f>
        <v>0</v>
      </c>
      <c r="U256" s="70">
        <f>(U17*'DATA - P&amp;L'!$C$34)+(U129*'DATA - P&amp;L'!$C$35)</f>
        <v>0</v>
      </c>
      <c r="V256" s="70">
        <f>(V17*'DATA - P&amp;L'!$C$34)+(V129*'DATA - P&amp;L'!$C$35)</f>
        <v>0</v>
      </c>
      <c r="W256" s="70">
        <f>(W17*'DATA - P&amp;L'!$C$34)+(W129*'DATA - P&amp;L'!$C$35)</f>
        <v>0</v>
      </c>
      <c r="X256" s="70">
        <f>(X17*'DATA - P&amp;L'!$C$34)+(X129*'DATA - P&amp;L'!$C$35)</f>
        <v>0</v>
      </c>
      <c r="Y256" s="70">
        <f>(Y17*'DATA - P&amp;L'!$C$34)+(Y129*'DATA - P&amp;L'!$C$35)</f>
        <v>0</v>
      </c>
      <c r="Z256" s="70">
        <f>(Z17*'DATA - P&amp;L'!$C$34)+(Z129*'DATA - P&amp;L'!$C$35)</f>
        <v>0</v>
      </c>
      <c r="AA256" s="70">
        <f>(AA17*'DATA - P&amp;L'!$C$34)+(AA129*'DATA - P&amp;L'!$C$35)</f>
        <v>0</v>
      </c>
      <c r="AB256" s="70">
        <f>(AB17*'DATA - P&amp;L'!$C$34)+(AB129*'DATA - P&amp;L'!$C$35)</f>
        <v>0</v>
      </c>
      <c r="AC256" s="70">
        <f>(AC17*'DATA - P&amp;L'!$C$34)+(AC129*'DATA - P&amp;L'!$C$35)</f>
        <v>417.9</v>
      </c>
      <c r="AD256" s="70">
        <f>(AD17*'DATA - P&amp;L'!$C$34)+(AD129*'DATA - P&amp;L'!$C$35)</f>
        <v>322.38</v>
      </c>
      <c r="AE256" s="70">
        <f>(AE17*'DATA - P&amp;L'!$C$34)+(AE129*'DATA - P&amp;L'!$C$35)</f>
        <v>59.7</v>
      </c>
      <c r="AF256" s="851">
        <f t="shared" si="59"/>
        <v>799.98</v>
      </c>
    </row>
    <row r="257">
      <c r="A257" s="603" t="s">
        <v>806</v>
      </c>
      <c r="B257" s="70">
        <f>(B27*'DATA - P&amp;L'!$D$38)+(B139*'DATA - P&amp;L'!$D$39)</f>
        <v>0</v>
      </c>
      <c r="C257" s="70">
        <f>(C27*'DATA - P&amp;L'!$D$38)+(C139*'DATA - P&amp;L'!$D$39)</f>
        <v>0</v>
      </c>
      <c r="D257" s="70">
        <f>(D27*'DATA - P&amp;L'!$D$38)+(D139*'DATA - P&amp;L'!$D$39)</f>
        <v>0</v>
      </c>
      <c r="E257" s="70">
        <f>(E27*'DATA - P&amp;L'!$D$38)+(E139*'DATA - P&amp;L'!$D$39)</f>
        <v>0</v>
      </c>
      <c r="F257" s="70">
        <f>(F27*'DATA - P&amp;L'!$D$38)+(F139*'DATA - P&amp;L'!$D$39)</f>
        <v>0</v>
      </c>
      <c r="G257" s="70">
        <f>(G27*'DATA - P&amp;L'!$D$38)+(G139*'DATA - P&amp;L'!$D$39)</f>
        <v>0</v>
      </c>
      <c r="H257" s="70">
        <f>(H27*'DATA - P&amp;L'!$D$38)+(H139*'DATA - P&amp;L'!$D$39)</f>
        <v>0</v>
      </c>
      <c r="I257" s="70">
        <f>(I27*'DATA - P&amp;L'!$D$38)+(I139*'DATA - P&amp;L'!$D$39)</f>
        <v>0</v>
      </c>
      <c r="J257" s="70">
        <f>(J27*'DATA - P&amp;L'!$D$38)+(J139*'DATA - P&amp;L'!$D$39)</f>
        <v>0</v>
      </c>
      <c r="K257" s="70">
        <f>(K27*'DATA - P&amp;L'!$D$38)+(K139*'DATA - P&amp;L'!$D$39)</f>
        <v>0</v>
      </c>
      <c r="L257" s="70">
        <f>(L27*'DATA - P&amp;L'!$D$38)+(L139*'DATA - P&amp;L'!$D$39)</f>
        <v>0</v>
      </c>
      <c r="M257" s="70">
        <f>(M27*'DATA - P&amp;L'!$D$38)+(M139*'DATA - P&amp;L'!$D$39)</f>
        <v>0</v>
      </c>
      <c r="N257" s="70">
        <f>(N27*'DATA - P&amp;L'!$D$38)+(N139*'DATA - P&amp;L'!$D$39)</f>
        <v>0</v>
      </c>
      <c r="O257" s="70">
        <f>(O27*'DATA - P&amp;L'!$D$38)+(O139*'DATA - P&amp;L'!$D$39)</f>
        <v>0</v>
      </c>
      <c r="P257" s="70">
        <f>(P27*'DATA - P&amp;L'!$D$38)+(P139*'DATA - P&amp;L'!$D$39)</f>
        <v>0</v>
      </c>
      <c r="Q257" s="70">
        <f>(Q27*'DATA - P&amp;L'!$D$38)+(Q139*'DATA - P&amp;L'!$D$39)</f>
        <v>0</v>
      </c>
      <c r="R257" s="70">
        <f>(R27*'DATA - P&amp;L'!$D$38)+(R139*'DATA - P&amp;L'!$D$39)</f>
        <v>0</v>
      </c>
      <c r="S257" s="70">
        <f>(S27*'DATA - P&amp;L'!$D$38)+(S139*'DATA - P&amp;L'!$D$39)</f>
        <v>0</v>
      </c>
      <c r="T257" s="70">
        <f>(T27*'DATA - P&amp;L'!$D$38)+(T139*'DATA - P&amp;L'!$D$39)</f>
        <v>0</v>
      </c>
      <c r="U257" s="70">
        <f>(U27*'DATA - P&amp;L'!$D$38)+(U139*'DATA - P&amp;L'!$D$39)</f>
        <v>0</v>
      </c>
      <c r="V257" s="70">
        <f>(V27*'DATA - P&amp;L'!$D$38)+(V139*'DATA - P&amp;L'!$D$39)</f>
        <v>0</v>
      </c>
      <c r="W257" s="70">
        <f>(W27*'DATA - P&amp;L'!$D$38)+(W139*'DATA - P&amp;L'!$D$39)</f>
        <v>0</v>
      </c>
      <c r="X257" s="70">
        <f>(X27*'DATA - P&amp;L'!$D$38)+(X139*'DATA - P&amp;L'!$D$39)</f>
        <v>0</v>
      </c>
      <c r="Y257" s="70">
        <f>(Y27*'DATA - P&amp;L'!$D$38)+(Y139*'DATA - P&amp;L'!$D$39)</f>
        <v>0</v>
      </c>
      <c r="Z257" s="70">
        <f>(Z27*'DATA - P&amp;L'!$D$38)+(Z139*'DATA - P&amp;L'!$D$39)</f>
        <v>0</v>
      </c>
      <c r="AA257" s="70">
        <f>(AA27*'DATA - P&amp;L'!$D$38)+(AA139*'DATA - P&amp;L'!$D$39)</f>
        <v>0</v>
      </c>
      <c r="AB257" s="70">
        <f>(AB27*'DATA - P&amp;L'!$D$38)+(AB139*'DATA - P&amp;L'!$D$39)</f>
        <v>0</v>
      </c>
      <c r="AC257" s="70">
        <f>(AC27*'DATA - P&amp;L'!$D$38)+(AC139*'DATA - P&amp;L'!$D$39)</f>
        <v>0</v>
      </c>
      <c r="AD257" s="70">
        <f>(AD27*'DATA - P&amp;L'!$D$38)+(AD139*'DATA - P&amp;L'!$D$39)</f>
        <v>0</v>
      </c>
      <c r="AE257" s="70">
        <f>(AE27*'DATA - P&amp;L'!$D$38)+(AE139*'DATA - P&amp;L'!$D$39)</f>
        <v>0</v>
      </c>
      <c r="AF257" s="851">
        <f t="shared" si="59"/>
        <v>0</v>
      </c>
    </row>
    <row r="258">
      <c r="A258" s="617" t="s">
        <v>808</v>
      </c>
      <c r="B258" s="81">
        <f>(B27*'DATA - P&amp;L'!$D$34)+(B139*'DATA - P&amp;L'!$D$35)</f>
        <v>0</v>
      </c>
      <c r="C258" s="81">
        <f>(C27*'DATA - P&amp;L'!$D$34)+(C139*'DATA - P&amp;L'!$D$35)</f>
        <v>0</v>
      </c>
      <c r="D258" s="81">
        <f>(D27*'DATA - P&amp;L'!$D$34)+(D139*'DATA - P&amp;L'!$D$35)</f>
        <v>0</v>
      </c>
      <c r="E258" s="81">
        <f>(E27*'DATA - P&amp;L'!$D$34)+(E139*'DATA - P&amp;L'!$D$35)</f>
        <v>0</v>
      </c>
      <c r="F258" s="81">
        <f>(F27*'DATA - P&amp;L'!$D$34)+(F139*'DATA - P&amp;L'!$D$35)</f>
        <v>0</v>
      </c>
      <c r="G258" s="81">
        <f>(G27*'DATA - P&amp;L'!$D$34)+(G139*'DATA - P&amp;L'!$D$35)</f>
        <v>0</v>
      </c>
      <c r="H258" s="81">
        <f>(H27*'DATA - P&amp;L'!$D$34)+(H139*'DATA - P&amp;L'!$D$35)</f>
        <v>0</v>
      </c>
      <c r="I258" s="81">
        <f>(I27*'DATA - P&amp;L'!$D$34)+(I139*'DATA - P&amp;L'!$D$35)</f>
        <v>0</v>
      </c>
      <c r="J258" s="81">
        <f>(J27*'DATA - P&amp;L'!$D$34)+(J139*'DATA - P&amp;L'!$D$35)</f>
        <v>0</v>
      </c>
      <c r="K258" s="81">
        <f>(K27*'DATA - P&amp;L'!$D$34)+(K139*'DATA - P&amp;L'!$D$35)</f>
        <v>0</v>
      </c>
      <c r="L258" s="81">
        <f>(L27*'DATA - P&amp;L'!$D$34)+(L139*'DATA - P&amp;L'!$D$35)</f>
        <v>0</v>
      </c>
      <c r="M258" s="81">
        <f>(M27*'DATA - P&amp;L'!$D$34)+(M139*'DATA - P&amp;L'!$D$35)</f>
        <v>0</v>
      </c>
      <c r="N258" s="81">
        <f>(N27*'DATA - P&amp;L'!$D$34)+(N139*'DATA - P&amp;L'!$D$35)</f>
        <v>0</v>
      </c>
      <c r="O258" s="81">
        <f>(O27*'DATA - P&amp;L'!$D$34)+(O139*'DATA - P&amp;L'!$D$35)</f>
        <v>0</v>
      </c>
      <c r="P258" s="81">
        <f>(P27*'DATA - P&amp;L'!$D$34)+(P139*'DATA - P&amp;L'!$D$35)</f>
        <v>0</v>
      </c>
      <c r="Q258" s="81">
        <f>(Q27*'DATA - P&amp;L'!$D$34)+(Q139*'DATA - P&amp;L'!$D$35)</f>
        <v>0</v>
      </c>
      <c r="R258" s="81">
        <f>(R27*'DATA - P&amp;L'!$D$34)+(R139*'DATA - P&amp;L'!$D$35)</f>
        <v>0</v>
      </c>
      <c r="S258" s="81">
        <f>(S27*'DATA - P&amp;L'!$D$34)+(S139*'DATA - P&amp;L'!$D$35)</f>
        <v>0</v>
      </c>
      <c r="T258" s="81">
        <f>(T27*'DATA - P&amp;L'!$D$34)+(T139*'DATA - P&amp;L'!$D$35)</f>
        <v>0</v>
      </c>
      <c r="U258" s="81">
        <f>(U27*'DATA - P&amp;L'!$D$34)+(U139*'DATA - P&amp;L'!$D$35)</f>
        <v>0</v>
      </c>
      <c r="V258" s="81">
        <f>(V27*'DATA - P&amp;L'!$D$34)+(V139*'DATA - P&amp;L'!$D$35)</f>
        <v>0</v>
      </c>
      <c r="W258" s="81">
        <f>(W27*'DATA - P&amp;L'!$D$34)+(W139*'DATA - P&amp;L'!$D$35)</f>
        <v>0</v>
      </c>
      <c r="X258" s="81">
        <f>(X27*'DATA - P&amp;L'!$D$34)+(X139*'DATA - P&amp;L'!$D$35)</f>
        <v>0</v>
      </c>
      <c r="Y258" s="81">
        <f>(Y27*'DATA - P&amp;L'!$D$34)+(Y139*'DATA - P&amp;L'!$D$35)</f>
        <v>0</v>
      </c>
      <c r="Z258" s="81">
        <f>(Z27*'DATA - P&amp;L'!$D$34)+(Z139*'DATA - P&amp;L'!$D$35)</f>
        <v>0</v>
      </c>
      <c r="AA258" s="81">
        <f>(AA27*'DATA - P&amp;L'!$D$34)+(AA139*'DATA - P&amp;L'!$D$35)</f>
        <v>0</v>
      </c>
      <c r="AB258" s="81">
        <f>(AB27*'DATA - P&amp;L'!$D$34)+(AB139*'DATA - P&amp;L'!$D$35)</f>
        <v>0</v>
      </c>
      <c r="AC258" s="81">
        <f>(AC27*'DATA - P&amp;L'!$D$34)+(AC139*'DATA - P&amp;L'!$D$35)</f>
        <v>0</v>
      </c>
      <c r="AD258" s="81">
        <f>(AD27*'DATA - P&amp;L'!$D$34)+(AD139*'DATA - P&amp;L'!$D$35)</f>
        <v>0</v>
      </c>
      <c r="AE258" s="81">
        <f>(AE27*'DATA - P&amp;L'!$D$34)+(AE139*'DATA - P&amp;L'!$D$35)</f>
        <v>0</v>
      </c>
      <c r="AF258" s="853">
        <f t="shared" si="59"/>
        <v>0</v>
      </c>
    </row>
    <row r="259">
      <c r="A259" s="603" t="s">
        <v>809</v>
      </c>
      <c r="B259" s="70" t="str">
        <f t="shared" ref="B259:AE259" si="60">B6</f>
        <v/>
      </c>
      <c r="C259" s="70" t="str">
        <f t="shared" si="60"/>
        <v/>
      </c>
      <c r="D259" s="70" t="str">
        <f t="shared" si="60"/>
        <v/>
      </c>
      <c r="E259" s="70" t="str">
        <f t="shared" si="60"/>
        <v/>
      </c>
      <c r="F259" s="70" t="str">
        <f t="shared" si="60"/>
        <v/>
      </c>
      <c r="G259" s="70" t="str">
        <f t="shared" si="60"/>
        <v/>
      </c>
      <c r="H259" s="70" t="str">
        <f t="shared" si="60"/>
        <v/>
      </c>
      <c r="I259" s="70" t="str">
        <f t="shared" si="60"/>
        <v/>
      </c>
      <c r="J259" s="70" t="str">
        <f t="shared" si="60"/>
        <v/>
      </c>
      <c r="K259" s="70" t="str">
        <f t="shared" si="60"/>
        <v/>
      </c>
      <c r="L259" s="70" t="str">
        <f t="shared" si="60"/>
        <v/>
      </c>
      <c r="M259" s="70" t="str">
        <f t="shared" si="60"/>
        <v/>
      </c>
      <c r="N259" s="70" t="str">
        <f t="shared" si="60"/>
        <v/>
      </c>
      <c r="O259" s="70" t="str">
        <f t="shared" si="60"/>
        <v/>
      </c>
      <c r="P259" s="70" t="str">
        <f t="shared" si="60"/>
        <v/>
      </c>
      <c r="Q259" s="70" t="str">
        <f t="shared" si="60"/>
        <v/>
      </c>
      <c r="R259" s="70" t="str">
        <f t="shared" si="60"/>
        <v/>
      </c>
      <c r="S259" s="70" t="str">
        <f t="shared" si="60"/>
        <v/>
      </c>
      <c r="T259" s="70" t="str">
        <f t="shared" si="60"/>
        <v/>
      </c>
      <c r="U259" s="70" t="str">
        <f t="shared" si="60"/>
        <v/>
      </c>
      <c r="V259" s="70" t="str">
        <f t="shared" si="60"/>
        <v/>
      </c>
      <c r="W259" s="70" t="str">
        <f t="shared" si="60"/>
        <v/>
      </c>
      <c r="X259" s="70" t="str">
        <f t="shared" si="60"/>
        <v/>
      </c>
      <c r="Y259" s="70" t="str">
        <f t="shared" si="60"/>
        <v/>
      </c>
      <c r="Z259" s="70" t="str">
        <f t="shared" si="60"/>
        <v/>
      </c>
      <c r="AA259" s="70" t="str">
        <f t="shared" si="60"/>
        <v/>
      </c>
      <c r="AB259" s="70" t="str">
        <f t="shared" si="60"/>
        <v/>
      </c>
      <c r="AC259" s="70" t="str">
        <f t="shared" si="60"/>
        <v/>
      </c>
      <c r="AD259" s="70" t="str">
        <f t="shared" si="60"/>
        <v/>
      </c>
      <c r="AE259" s="70" t="str">
        <f t="shared" si="60"/>
        <v/>
      </c>
      <c r="AF259" s="851">
        <f t="shared" si="59"/>
        <v>0</v>
      </c>
    </row>
    <row r="260">
      <c r="A260" s="617" t="s">
        <v>810</v>
      </c>
      <c r="B260" s="855" t="str">
        <f t="shared" ref="B260:AE260" si="61">B118</f>
        <v/>
      </c>
      <c r="C260" s="855" t="str">
        <f t="shared" si="61"/>
        <v/>
      </c>
      <c r="D260" s="855" t="str">
        <f t="shared" si="61"/>
        <v/>
      </c>
      <c r="E260" s="855" t="str">
        <f t="shared" si="61"/>
        <v/>
      </c>
      <c r="F260" s="855" t="str">
        <f t="shared" si="61"/>
        <v/>
      </c>
      <c r="G260" s="855" t="str">
        <f t="shared" si="61"/>
        <v/>
      </c>
      <c r="H260" s="855" t="str">
        <f t="shared" si="61"/>
        <v/>
      </c>
      <c r="I260" s="855" t="str">
        <f t="shared" si="61"/>
        <v/>
      </c>
      <c r="J260" s="855" t="str">
        <f t="shared" si="61"/>
        <v/>
      </c>
      <c r="K260" s="855" t="str">
        <f t="shared" si="61"/>
        <v/>
      </c>
      <c r="L260" s="855" t="str">
        <f t="shared" si="61"/>
        <v/>
      </c>
      <c r="M260" s="855" t="str">
        <f t="shared" si="61"/>
        <v/>
      </c>
      <c r="N260" s="855" t="str">
        <f t="shared" si="61"/>
        <v/>
      </c>
      <c r="O260" s="855" t="str">
        <f t="shared" si="61"/>
        <v/>
      </c>
      <c r="P260" s="855" t="str">
        <f t="shared" si="61"/>
        <v/>
      </c>
      <c r="Q260" s="855" t="str">
        <f t="shared" si="61"/>
        <v/>
      </c>
      <c r="R260" s="855" t="str">
        <f t="shared" si="61"/>
        <v/>
      </c>
      <c r="S260" s="855" t="str">
        <f t="shared" si="61"/>
        <v/>
      </c>
      <c r="T260" s="855" t="str">
        <f t="shared" si="61"/>
        <v/>
      </c>
      <c r="U260" s="855" t="str">
        <f t="shared" si="61"/>
        <v/>
      </c>
      <c r="V260" s="855" t="str">
        <f t="shared" si="61"/>
        <v/>
      </c>
      <c r="W260" s="855" t="str">
        <f t="shared" si="61"/>
        <v/>
      </c>
      <c r="X260" s="855" t="str">
        <f t="shared" si="61"/>
        <v/>
      </c>
      <c r="Y260" s="855" t="str">
        <f t="shared" si="61"/>
        <v/>
      </c>
      <c r="Z260" s="855" t="str">
        <f t="shared" si="61"/>
        <v/>
      </c>
      <c r="AA260" s="855" t="str">
        <f t="shared" si="61"/>
        <v/>
      </c>
      <c r="AB260" s="855" t="str">
        <f t="shared" si="61"/>
        <v/>
      </c>
      <c r="AC260" s="855" t="str">
        <f t="shared" si="61"/>
        <v/>
      </c>
      <c r="AD260" s="855" t="str">
        <f t="shared" si="61"/>
        <v/>
      </c>
      <c r="AE260" s="855" t="str">
        <f t="shared" si="61"/>
        <v/>
      </c>
      <c r="AF260" s="853">
        <f t="shared" si="59"/>
        <v>0</v>
      </c>
    </row>
    <row r="261">
      <c r="A261" s="20"/>
      <c r="B261" s="582"/>
      <c r="C261" s="582"/>
      <c r="D261" s="582"/>
      <c r="E261" s="582"/>
      <c r="F261" s="582"/>
      <c r="G261" s="582"/>
      <c r="H261" s="582"/>
      <c r="I261" s="582"/>
      <c r="J261" s="582"/>
      <c r="K261" s="582"/>
      <c r="L261" s="582"/>
      <c r="M261" s="582"/>
      <c r="N261" s="582"/>
      <c r="O261" s="582"/>
      <c r="P261" s="582"/>
      <c r="Q261" s="582"/>
      <c r="R261" s="582"/>
      <c r="S261" s="582"/>
      <c r="T261" s="582"/>
      <c r="U261" s="582"/>
      <c r="V261" s="582"/>
      <c r="W261" s="582"/>
      <c r="X261" s="582"/>
      <c r="Y261" s="582"/>
      <c r="Z261" s="582"/>
      <c r="AA261" s="582"/>
      <c r="AB261" s="582"/>
      <c r="AC261" s="582"/>
      <c r="AD261" s="582"/>
      <c r="AE261" s="582"/>
      <c r="AF261" s="856"/>
    </row>
    <row r="262">
      <c r="A262" s="857" t="s">
        <v>567</v>
      </c>
      <c r="B262" s="858">
        <f t="shared" ref="B262:AE262" si="62">SUM(B246:B260)</f>
        <v>0</v>
      </c>
      <c r="C262" s="776">
        <f t="shared" si="62"/>
        <v>0</v>
      </c>
      <c r="D262" s="776">
        <f t="shared" si="62"/>
        <v>0</v>
      </c>
      <c r="E262" s="776">
        <f t="shared" si="62"/>
        <v>0</v>
      </c>
      <c r="F262" s="776">
        <f t="shared" si="62"/>
        <v>0</v>
      </c>
      <c r="G262" s="776">
        <f t="shared" si="62"/>
        <v>0</v>
      </c>
      <c r="H262" s="776">
        <f t="shared" si="62"/>
        <v>0</v>
      </c>
      <c r="I262" s="776">
        <f t="shared" si="62"/>
        <v>0</v>
      </c>
      <c r="J262" s="776">
        <f t="shared" si="62"/>
        <v>0</v>
      </c>
      <c r="K262" s="776">
        <f t="shared" si="62"/>
        <v>0</v>
      </c>
      <c r="L262" s="776">
        <f t="shared" si="62"/>
        <v>0</v>
      </c>
      <c r="M262" s="776">
        <f t="shared" si="62"/>
        <v>0</v>
      </c>
      <c r="N262" s="776">
        <f t="shared" si="62"/>
        <v>0</v>
      </c>
      <c r="O262" s="776">
        <f t="shared" si="62"/>
        <v>0</v>
      </c>
      <c r="P262" s="776">
        <f t="shared" si="62"/>
        <v>0</v>
      </c>
      <c r="Q262" s="776">
        <f t="shared" si="62"/>
        <v>0</v>
      </c>
      <c r="R262" s="776">
        <f t="shared" si="62"/>
        <v>0</v>
      </c>
      <c r="S262" s="776">
        <f t="shared" si="62"/>
        <v>0</v>
      </c>
      <c r="T262" s="776">
        <f t="shared" si="62"/>
        <v>0</v>
      </c>
      <c r="U262" s="776">
        <f t="shared" si="62"/>
        <v>0</v>
      </c>
      <c r="V262" s="776">
        <f t="shared" si="62"/>
        <v>0</v>
      </c>
      <c r="W262" s="776">
        <f t="shared" si="62"/>
        <v>0</v>
      </c>
      <c r="X262" s="776">
        <f t="shared" si="62"/>
        <v>0</v>
      </c>
      <c r="Y262" s="776">
        <f t="shared" si="62"/>
        <v>0</v>
      </c>
      <c r="Z262" s="776">
        <f t="shared" si="62"/>
        <v>0</v>
      </c>
      <c r="AA262" s="776">
        <f t="shared" si="62"/>
        <v>0</v>
      </c>
      <c r="AB262" s="776">
        <f t="shared" si="62"/>
        <v>0</v>
      </c>
      <c r="AC262" s="776">
        <f t="shared" si="62"/>
        <v>5771.988</v>
      </c>
      <c r="AD262" s="776">
        <f t="shared" si="62"/>
        <v>4312.928</v>
      </c>
      <c r="AE262" s="859">
        <f t="shared" si="62"/>
        <v>804.54</v>
      </c>
      <c r="AF262" s="65">
        <f>SUM(B262:AE262)</f>
        <v>10889.456</v>
      </c>
    </row>
    <row r="263">
      <c r="A263" s="28"/>
      <c r="B263" s="855"/>
      <c r="C263" s="855"/>
      <c r="D263" s="855"/>
      <c r="E263" s="855"/>
      <c r="F263" s="855"/>
      <c r="G263" s="855"/>
      <c r="H263" s="855"/>
      <c r="I263" s="855"/>
      <c r="J263" s="855"/>
      <c r="K263" s="855"/>
      <c r="L263" s="855"/>
      <c r="M263" s="855"/>
      <c r="N263" s="855"/>
      <c r="O263" s="855"/>
      <c r="P263" s="855"/>
      <c r="Q263" s="855"/>
      <c r="R263" s="855"/>
      <c r="S263" s="855"/>
      <c r="T263" s="855"/>
      <c r="U263" s="855"/>
      <c r="V263" s="855"/>
      <c r="W263" s="855"/>
      <c r="X263" s="855"/>
      <c r="Y263" s="855"/>
      <c r="Z263" s="855"/>
      <c r="AA263" s="855"/>
      <c r="AB263" s="855"/>
      <c r="AC263" s="855"/>
      <c r="AD263" s="855"/>
      <c r="AE263" s="855"/>
      <c r="AF263" s="860"/>
    </row>
    <row r="264">
      <c r="A264" s="861" t="s">
        <v>770</v>
      </c>
      <c r="B264" s="862"/>
      <c r="C264" s="862"/>
      <c r="D264" s="862"/>
      <c r="E264" s="862"/>
      <c r="F264" s="862"/>
      <c r="G264" s="862"/>
      <c r="H264" s="862"/>
      <c r="I264" s="862"/>
      <c r="J264" s="862"/>
      <c r="K264" s="862"/>
      <c r="L264" s="862"/>
      <c r="M264" s="862"/>
      <c r="N264" s="862"/>
      <c r="O264" s="862"/>
      <c r="P264" s="862"/>
      <c r="Q264" s="862"/>
      <c r="R264" s="862"/>
      <c r="S264" s="862"/>
      <c r="T264" s="862"/>
      <c r="U264" s="862"/>
      <c r="V264" s="862"/>
      <c r="W264" s="862"/>
      <c r="X264" s="862"/>
      <c r="Y264" s="862"/>
      <c r="Z264" s="862"/>
      <c r="AA264" s="862"/>
      <c r="AB264" s="862"/>
      <c r="AC264" s="862"/>
      <c r="AD264" s="862"/>
      <c r="AE264" s="862"/>
      <c r="AF264" s="863"/>
    </row>
    <row r="265">
      <c r="A265" s="603" t="s">
        <v>811</v>
      </c>
      <c r="B265" s="576">
        <f t="shared" ref="B265:AE265" si="63">SUM(B266:B272)-B275</f>
        <v>0</v>
      </c>
      <c r="C265" s="576">
        <f t="shared" si="63"/>
        <v>0</v>
      </c>
      <c r="D265" s="576">
        <f t="shared" si="63"/>
        <v>0</v>
      </c>
      <c r="E265" s="576">
        <f t="shared" si="63"/>
        <v>0</v>
      </c>
      <c r="F265" s="576">
        <f t="shared" si="63"/>
        <v>0</v>
      </c>
      <c r="G265" s="576">
        <f t="shared" si="63"/>
        <v>0</v>
      </c>
      <c r="H265" s="576">
        <f t="shared" si="63"/>
        <v>0</v>
      </c>
      <c r="I265" s="576">
        <f t="shared" si="63"/>
        <v>0</v>
      </c>
      <c r="J265" s="576">
        <f t="shared" si="63"/>
        <v>0</v>
      </c>
      <c r="K265" s="576">
        <f t="shared" si="63"/>
        <v>0</v>
      </c>
      <c r="L265" s="576">
        <f t="shared" si="63"/>
        <v>0</v>
      </c>
      <c r="M265" s="576">
        <f t="shared" si="63"/>
        <v>0</v>
      </c>
      <c r="N265" s="576">
        <f t="shared" si="63"/>
        <v>0</v>
      </c>
      <c r="O265" s="576">
        <f t="shared" si="63"/>
        <v>0</v>
      </c>
      <c r="P265" s="576">
        <f t="shared" si="63"/>
        <v>0</v>
      </c>
      <c r="Q265" s="576">
        <f t="shared" si="63"/>
        <v>0</v>
      </c>
      <c r="R265" s="576">
        <f t="shared" si="63"/>
        <v>0</v>
      </c>
      <c r="S265" s="576">
        <f t="shared" si="63"/>
        <v>0</v>
      </c>
      <c r="T265" s="576">
        <f t="shared" si="63"/>
        <v>0</v>
      </c>
      <c r="U265" s="576">
        <f t="shared" si="63"/>
        <v>0</v>
      </c>
      <c r="V265" s="576">
        <f t="shared" si="63"/>
        <v>0</v>
      </c>
      <c r="W265" s="576">
        <f t="shared" si="63"/>
        <v>0</v>
      </c>
      <c r="X265" s="576">
        <f t="shared" si="63"/>
        <v>0</v>
      </c>
      <c r="Y265" s="576">
        <f t="shared" si="63"/>
        <v>0</v>
      </c>
      <c r="Z265" s="576">
        <f t="shared" si="63"/>
        <v>0</v>
      </c>
      <c r="AA265" s="576">
        <f t="shared" si="63"/>
        <v>0</v>
      </c>
      <c r="AB265" s="576">
        <f t="shared" si="63"/>
        <v>0</v>
      </c>
      <c r="AC265" s="576">
        <f t="shared" si="63"/>
        <v>0</v>
      </c>
      <c r="AD265" s="576">
        <f t="shared" si="63"/>
        <v>0</v>
      </c>
      <c r="AE265" s="576">
        <f t="shared" si="63"/>
        <v>0</v>
      </c>
      <c r="AF265" s="851">
        <f t="shared" ref="AF265:AF276" si="64">SUM(B265:AE265)</f>
        <v>0</v>
      </c>
    </row>
    <row r="266" outlineLevel="1">
      <c r="A266" s="101" t="s">
        <v>812</v>
      </c>
      <c r="B266" s="70">
        <f>(B32+B33+B144+B145)*'DATA - P&amp;L'!$C$3</f>
        <v>0</v>
      </c>
      <c r="C266" s="70">
        <f>(C32+C33+C144+C145)*'DATA - P&amp;L'!$C$3</f>
        <v>0</v>
      </c>
      <c r="D266" s="70">
        <f>(D32+D33+D144+D145)*'DATA - P&amp;L'!$C$3</f>
        <v>0</v>
      </c>
      <c r="E266" s="70">
        <f>(E32+E33+E144+E145)*'DATA - P&amp;L'!$C$3</f>
        <v>0</v>
      </c>
      <c r="F266" s="70">
        <f>(F32+F33+F144+F145)*'DATA - P&amp;L'!$C$3</f>
        <v>0</v>
      </c>
      <c r="G266" s="70">
        <f>(G32+G33+G144+G145)*'DATA - P&amp;L'!$C$3</f>
        <v>0</v>
      </c>
      <c r="H266" s="70">
        <f>(H32+H33+H144+H145)*'DATA - P&amp;L'!$C$3</f>
        <v>0</v>
      </c>
      <c r="I266" s="70">
        <f>(I32+I33+I144+I145)*'DATA - P&amp;L'!$C$3</f>
        <v>0</v>
      </c>
      <c r="J266" s="70">
        <f>(J32+J33+J144+J145)*'DATA - P&amp;L'!$C$3</f>
        <v>0</v>
      </c>
      <c r="K266" s="70">
        <f>(K32+K33+K144+K145)*'DATA - P&amp;L'!$C$3</f>
        <v>0</v>
      </c>
      <c r="L266" s="70">
        <f>(L32+L33+L144+L145)*'DATA - P&amp;L'!$C$3</f>
        <v>0</v>
      </c>
      <c r="M266" s="70">
        <f>(M32+M33+M144+M145)*'DATA - P&amp;L'!$C$3</f>
        <v>0</v>
      </c>
      <c r="N266" s="70">
        <f>(N32+N33+N144+N145)*'DATA - P&amp;L'!$C$3</f>
        <v>0</v>
      </c>
      <c r="O266" s="70">
        <f>(O32+O33+O144+O145)*'DATA - P&amp;L'!$C$3</f>
        <v>0</v>
      </c>
      <c r="P266" s="70">
        <f>(P32+P33+P144+P145)*'DATA - P&amp;L'!$C$3</f>
        <v>0</v>
      </c>
      <c r="Q266" s="70">
        <f>(Q32+Q33+Q144+Q145)*'DATA - P&amp;L'!$C$3</f>
        <v>0</v>
      </c>
      <c r="R266" s="70">
        <f>(R32+R33+R144+R145)*'DATA - P&amp;L'!$C$3</f>
        <v>0</v>
      </c>
      <c r="S266" s="70">
        <f>(S32+S33+S144+S145)*'DATA - P&amp;L'!$C$3</f>
        <v>0</v>
      </c>
      <c r="T266" s="70">
        <f>(T32+T33+T144+T145)*'DATA - P&amp;L'!$C$3</f>
        <v>0</v>
      </c>
      <c r="U266" s="70">
        <f>(U32+U33+U144+U145)*'DATA - P&amp;L'!$C$3</f>
        <v>0</v>
      </c>
      <c r="V266" s="70">
        <f>(V32+V33+V144+V145)*'DATA - P&amp;L'!$C$3</f>
        <v>0</v>
      </c>
      <c r="W266" s="70">
        <f>(W32+W33+W144+W145)*'DATA - P&amp;L'!$C$3</f>
        <v>0</v>
      </c>
      <c r="X266" s="70">
        <f>(X32+X33+X144+X145)*'DATA - P&amp;L'!$C$3</f>
        <v>0</v>
      </c>
      <c r="Y266" s="70">
        <f>(Y32+Y33+Y144+Y145)*'DATA - P&amp;L'!$C$3</f>
        <v>0</v>
      </c>
      <c r="Z266" s="70">
        <f>(Z32+Z33+Z144+Z145)*'DATA - P&amp;L'!$C$3</f>
        <v>0</v>
      </c>
      <c r="AA266" s="70">
        <f>(AA32+AA33+AA144+AA145)*'DATA - P&amp;L'!$C$3</f>
        <v>0</v>
      </c>
      <c r="AB266" s="70">
        <f>(AB32+AB33+AB144+AB145)*'DATA - P&amp;L'!$C$3</f>
        <v>0</v>
      </c>
      <c r="AC266" s="70">
        <f>(AC32+AC33+AC144+AC145)*'DATA - P&amp;L'!$C$3</f>
        <v>0</v>
      </c>
      <c r="AD266" s="70">
        <f>(AD32+AD33+AD144+AD145)*'DATA - P&amp;L'!$C$3</f>
        <v>0</v>
      </c>
      <c r="AE266" s="70">
        <f>(AE32+AE33+AE144+AE145)*'DATA - P&amp;L'!$C$3</f>
        <v>0</v>
      </c>
      <c r="AF266" s="851">
        <f t="shared" si="64"/>
        <v>0</v>
      </c>
    </row>
    <row r="267" outlineLevel="1">
      <c r="A267" s="101" t="s">
        <v>813</v>
      </c>
      <c r="B267" s="70">
        <f>(B34+B35+B146+B147)*'DATA - P&amp;L'!$C$4</f>
        <v>0</v>
      </c>
      <c r="C267" s="70">
        <f>(C34+C35+C146+C147)*'DATA - P&amp;L'!$C$4</f>
        <v>0</v>
      </c>
      <c r="D267" s="70">
        <f>(D34+D35+D146+D147)*'DATA - P&amp;L'!$C$4</f>
        <v>0</v>
      </c>
      <c r="E267" s="70">
        <f>(E34+E35+E146+E147)*'DATA - P&amp;L'!$C$4</f>
        <v>0</v>
      </c>
      <c r="F267" s="70">
        <f>(F34+F35+F146+F147)*'DATA - P&amp;L'!$C$4</f>
        <v>0</v>
      </c>
      <c r="G267" s="70">
        <f>(G34+G35+G146+G147)*'DATA - P&amp;L'!$C$4</f>
        <v>0</v>
      </c>
      <c r="H267" s="70">
        <f>(H34+H35+H146+H147)*'DATA - P&amp;L'!$C$4</f>
        <v>0</v>
      </c>
      <c r="I267" s="70">
        <f>(I34+I35+I146+I147)*'DATA - P&amp;L'!$C$4</f>
        <v>0</v>
      </c>
      <c r="J267" s="70">
        <f>(J34+J35+J146+J147)*'DATA - P&amp;L'!$C$4</f>
        <v>0</v>
      </c>
      <c r="K267" s="70">
        <f>(K34+K35+K146+K147)*'DATA - P&amp;L'!$C$4</f>
        <v>0</v>
      </c>
      <c r="L267" s="70">
        <f>(L34+L35+L146+L147)*'DATA - P&amp;L'!$C$4</f>
        <v>0</v>
      </c>
      <c r="M267" s="70">
        <f>(M34+M35+M146+M147)*'DATA - P&amp;L'!$C$4</f>
        <v>0</v>
      </c>
      <c r="N267" s="70">
        <f>(N34+N35+N146+N147)*'DATA - P&amp;L'!$C$4</f>
        <v>0</v>
      </c>
      <c r="O267" s="70">
        <f>(O34+O35+O146+O147)*'DATA - P&amp;L'!$C$4</f>
        <v>0</v>
      </c>
      <c r="P267" s="70">
        <f>(P34+P35+P146+P147)*'DATA - P&amp;L'!$C$4</f>
        <v>0</v>
      </c>
      <c r="Q267" s="70">
        <f>(Q34+Q35+Q146+Q147)*'DATA - P&amp;L'!$C$4</f>
        <v>0</v>
      </c>
      <c r="R267" s="70">
        <f>(R34+R35+R146+R147)*'DATA - P&amp;L'!$C$4</f>
        <v>0</v>
      </c>
      <c r="S267" s="70">
        <f>(S34+S35+S146+S147)*'DATA - P&amp;L'!$C$4</f>
        <v>0</v>
      </c>
      <c r="T267" s="70">
        <f>(T34+T35+T146+T147)*'DATA - P&amp;L'!$C$4</f>
        <v>0</v>
      </c>
      <c r="U267" s="70">
        <f>(U34+U35+U146+U147)*'DATA - P&amp;L'!$C$4</f>
        <v>0</v>
      </c>
      <c r="V267" s="70">
        <f>(V34+V35+V146+V147)*'DATA - P&amp;L'!$C$4</f>
        <v>0</v>
      </c>
      <c r="W267" s="70">
        <f>(W34+W35+W146+W147)*'DATA - P&amp;L'!$C$4</f>
        <v>0</v>
      </c>
      <c r="X267" s="70">
        <f>(X34+X35+X146+X147)*'DATA - P&amp;L'!$C$4</f>
        <v>0</v>
      </c>
      <c r="Y267" s="70">
        <f>(Y34+Y35+Y146+Y147)*'DATA - P&amp;L'!$C$4</f>
        <v>0</v>
      </c>
      <c r="Z267" s="70">
        <f>(Z34+Z35+Z146+Z147)*'DATA - P&amp;L'!$C$4</f>
        <v>0</v>
      </c>
      <c r="AA267" s="70">
        <f>(AA34+AA35+AA146+AA147)*'DATA - P&amp;L'!$C$4</f>
        <v>0</v>
      </c>
      <c r="AB267" s="70">
        <f>(AB34+AB35+AB146+AB147)*'DATA - P&amp;L'!$C$4</f>
        <v>0</v>
      </c>
      <c r="AC267" s="70">
        <f>(AC34+AC35+AC146+AC147)*'DATA - P&amp;L'!$C$4</f>
        <v>0</v>
      </c>
      <c r="AD267" s="70">
        <f>(AD34+AD35+AD146+AD147)*'DATA - P&amp;L'!$C$4</f>
        <v>0</v>
      </c>
      <c r="AE267" s="70">
        <f>(AE34+AE35+AE146+AE147)*'DATA - P&amp;L'!$C$4</f>
        <v>0</v>
      </c>
      <c r="AF267" s="851">
        <f t="shared" si="64"/>
        <v>0</v>
      </c>
    </row>
    <row r="268" outlineLevel="1">
      <c r="A268" s="101" t="s">
        <v>814</v>
      </c>
      <c r="B268" s="70">
        <f>(B39+B151)*'DATA - P&amp;L'!$C$6</f>
        <v>0</v>
      </c>
      <c r="C268" s="70">
        <f>(C93+C104)*'DATA - P&amp;L'!$C$6</f>
        <v>0</v>
      </c>
      <c r="D268" s="70">
        <f>(D93+D104)*'DATA - P&amp;L'!$C$6</f>
        <v>0</v>
      </c>
      <c r="E268" s="70">
        <f>(E93+E104)*'DATA - P&amp;L'!$C$6</f>
        <v>0</v>
      </c>
      <c r="F268" s="70">
        <f>(F93+F104)*'DATA - P&amp;L'!$C$6</f>
        <v>0</v>
      </c>
      <c r="G268" s="70">
        <f>(G93+G104)*'DATA - P&amp;L'!$C$6</f>
        <v>0</v>
      </c>
      <c r="H268" s="70">
        <f>(H93+H104)*'DATA - P&amp;L'!$C$6</f>
        <v>0</v>
      </c>
      <c r="I268" s="70">
        <f>(I93+I104)*'DATA - P&amp;L'!$C$6</f>
        <v>0</v>
      </c>
      <c r="J268" s="70">
        <f>(J93+J104)*'DATA - P&amp;L'!$C$6</f>
        <v>0</v>
      </c>
      <c r="K268" s="70">
        <f>(K93+K104)*'DATA - P&amp;L'!$C$6</f>
        <v>0</v>
      </c>
      <c r="L268" s="70">
        <f>(L93+L104)*'DATA - P&amp;L'!$C$6</f>
        <v>0</v>
      </c>
      <c r="M268" s="70">
        <f>(M93+M104)*'DATA - P&amp;L'!$C$6</f>
        <v>0</v>
      </c>
      <c r="N268" s="70">
        <f>(N93+N104)*'DATA - P&amp;L'!$C$6</f>
        <v>0</v>
      </c>
      <c r="O268" s="70">
        <f>(O93+O104)*'DATA - P&amp;L'!$C$6</f>
        <v>0</v>
      </c>
      <c r="P268" s="70">
        <f>(P93+P104)*'DATA - P&amp;L'!$C$6</f>
        <v>0</v>
      </c>
      <c r="Q268" s="70">
        <f>(Q93+Q104)*'DATA - P&amp;L'!$C$6</f>
        <v>0</v>
      </c>
      <c r="R268" s="70">
        <f>(R93+R104)*'DATA - P&amp;L'!$C$6</f>
        <v>0</v>
      </c>
      <c r="S268" s="70">
        <f>(S93+S104)*'DATA - P&amp;L'!$C$6</f>
        <v>0</v>
      </c>
      <c r="T268" s="70">
        <f>(T93+T104)*'DATA - P&amp;L'!$C$6</f>
        <v>0</v>
      </c>
      <c r="U268" s="70">
        <f>(U93+U104)*'DATA - P&amp;L'!$C$6</f>
        <v>0</v>
      </c>
      <c r="V268" s="70">
        <f>(V93+V104)*'DATA - P&amp;L'!$C$6</f>
        <v>0</v>
      </c>
      <c r="W268" s="70">
        <f>(W93+W104)*'DATA - P&amp;L'!$C$6</f>
        <v>0</v>
      </c>
      <c r="X268" s="70">
        <f>(X93+X104)*'DATA - P&amp;L'!$C$6</f>
        <v>0</v>
      </c>
      <c r="Y268" s="70">
        <f>(Y93+Y104)*'DATA - P&amp;L'!$C$6</f>
        <v>0</v>
      </c>
      <c r="Z268" s="70">
        <f>(Z93+Z104)*'DATA - P&amp;L'!$C$6</f>
        <v>0</v>
      </c>
      <c r="AA268" s="70">
        <f>(AA93+AA104)*'DATA - P&amp;L'!$C$6</f>
        <v>0</v>
      </c>
      <c r="AB268" s="70">
        <f>(AB93+AB104)*'DATA - P&amp;L'!$C$6</f>
        <v>0</v>
      </c>
      <c r="AC268" s="70">
        <f>(AC93+AC104)*'DATA - P&amp;L'!$C$6</f>
        <v>0</v>
      </c>
      <c r="AD268" s="70">
        <f>(AD93+AD104)*'DATA - P&amp;L'!$C$6</f>
        <v>0</v>
      </c>
      <c r="AE268" s="70">
        <f>(AE93+AE104)*'DATA - P&amp;L'!$C$6</f>
        <v>0</v>
      </c>
      <c r="AF268" s="851">
        <f t="shared" si="64"/>
        <v>0</v>
      </c>
    </row>
    <row r="269" outlineLevel="1">
      <c r="A269" s="101" t="s">
        <v>815</v>
      </c>
      <c r="B269" s="70">
        <f>(B40+B152)*'DATA - P&amp;L'!$C$8</f>
        <v>0</v>
      </c>
      <c r="C269" s="70">
        <f>(C94+C105)*'DATA - P&amp;L'!$C$8</f>
        <v>0</v>
      </c>
      <c r="D269" s="70">
        <f>(D94+D105)*'DATA - P&amp;L'!$C$8</f>
        <v>0</v>
      </c>
      <c r="E269" s="70">
        <f>(E94+E105)*'DATA - P&amp;L'!$C$8</f>
        <v>0</v>
      </c>
      <c r="F269" s="70">
        <f>(F94+F105)*'DATA - P&amp;L'!$C$8</f>
        <v>0</v>
      </c>
      <c r="G269" s="70">
        <f>(G94+G105)*'DATA - P&amp;L'!$C$8</f>
        <v>0</v>
      </c>
      <c r="H269" s="70">
        <f>(H94+H105)*'DATA - P&amp;L'!$C$8</f>
        <v>0</v>
      </c>
      <c r="I269" s="70">
        <f>(I94+I105)*'DATA - P&amp;L'!$C$8</f>
        <v>0</v>
      </c>
      <c r="J269" s="70">
        <f>(J94+J105)*'DATA - P&amp;L'!$C$8</f>
        <v>0</v>
      </c>
      <c r="K269" s="70">
        <f>(K94+K105)*'DATA - P&amp;L'!$C$8</f>
        <v>0</v>
      </c>
      <c r="L269" s="70">
        <f>(L94+L105)*'DATA - P&amp;L'!$C$8</f>
        <v>0</v>
      </c>
      <c r="M269" s="70">
        <f>(M94+M105)*'DATA - P&amp;L'!$C$8</f>
        <v>0</v>
      </c>
      <c r="N269" s="70">
        <f>(N94+N105)*'DATA - P&amp;L'!$C$8</f>
        <v>0</v>
      </c>
      <c r="O269" s="70">
        <f>(O94+O105)*'DATA - P&amp;L'!$C$8</f>
        <v>0</v>
      </c>
      <c r="P269" s="70">
        <f>(P94+P105)*'DATA - P&amp;L'!$C$8</f>
        <v>0</v>
      </c>
      <c r="Q269" s="70">
        <f>(Q94+Q105)*'DATA - P&amp;L'!$C$8</f>
        <v>0</v>
      </c>
      <c r="R269" s="70">
        <f>(R94+R105)*'DATA - P&amp;L'!$C$8</f>
        <v>0</v>
      </c>
      <c r="S269" s="70">
        <f>(S94+S105)*'DATA - P&amp;L'!$C$8</f>
        <v>0</v>
      </c>
      <c r="T269" s="70">
        <f>(T94+T105)*'DATA - P&amp;L'!$C$8</f>
        <v>0</v>
      </c>
      <c r="U269" s="70">
        <f>(U94+U105)*'DATA - P&amp;L'!$C$8</f>
        <v>0</v>
      </c>
      <c r="V269" s="70">
        <f>(V94+V105)*'DATA - P&amp;L'!$C$8</f>
        <v>0</v>
      </c>
      <c r="W269" s="70">
        <f>(W94+W105)*'DATA - P&amp;L'!$C$8</f>
        <v>0</v>
      </c>
      <c r="X269" s="70">
        <f>(X94+X105)*'DATA - P&amp;L'!$C$8</f>
        <v>0</v>
      </c>
      <c r="Y269" s="70">
        <f>(Y94+Y105)*'DATA - P&amp;L'!$C$8</f>
        <v>0</v>
      </c>
      <c r="Z269" s="70">
        <f>(Z94+Z105)*'DATA - P&amp;L'!$C$8</f>
        <v>0</v>
      </c>
      <c r="AA269" s="70">
        <f>(AA94+AA105)*'DATA - P&amp;L'!$C$8</f>
        <v>0</v>
      </c>
      <c r="AB269" s="70">
        <f>(AB94+AB105)*'DATA - P&amp;L'!$C$8</f>
        <v>0</v>
      </c>
      <c r="AC269" s="70">
        <f>(AC94+AC105)*'DATA - P&amp;L'!$C$8</f>
        <v>0</v>
      </c>
      <c r="AD269" s="70">
        <f>(AD94+AD105)*'DATA - P&amp;L'!$C$8</f>
        <v>0</v>
      </c>
      <c r="AE269" s="70">
        <f>(AE94+AE105)*'DATA - P&amp;L'!$C$8</f>
        <v>0</v>
      </c>
      <c r="AF269" s="851">
        <f t="shared" si="64"/>
        <v>0</v>
      </c>
    </row>
    <row r="270" outlineLevel="1">
      <c r="A270" s="101" t="s">
        <v>816</v>
      </c>
      <c r="B270" s="70">
        <f>(B41+B42+B153+B154)*'DATA - P&amp;L'!$C$9</f>
        <v>0</v>
      </c>
      <c r="C270" s="70">
        <f>(C95+C96+C106+C107)*'DATA - P&amp;L'!$C$9</f>
        <v>0</v>
      </c>
      <c r="D270" s="70">
        <f>(D95+D96+D106+D107)*'DATA - P&amp;L'!$C$9</f>
        <v>0</v>
      </c>
      <c r="E270" s="70">
        <f>(E95+E96+E106+E107)*'DATA - P&amp;L'!$C$9</f>
        <v>0</v>
      </c>
      <c r="F270" s="70">
        <f>(F95+F96+F106+F107)*'DATA - P&amp;L'!$C$9</f>
        <v>0</v>
      </c>
      <c r="G270" s="70">
        <f>(G95+G96+G106+G107)*'DATA - P&amp;L'!$C$9</f>
        <v>0</v>
      </c>
      <c r="H270" s="70">
        <f>(H95+H96+H106+H107)*'DATA - P&amp;L'!$C$9</f>
        <v>0</v>
      </c>
      <c r="I270" s="70">
        <f>(I95+I96+I106+I107)*'DATA - P&amp;L'!$C$9</f>
        <v>0</v>
      </c>
      <c r="J270" s="70">
        <f>(J95+J96+J106+J107)*'DATA - P&amp;L'!$C$9</f>
        <v>0</v>
      </c>
      <c r="K270" s="70">
        <f>(K95+K96+K106+K107)*'DATA - P&amp;L'!$C$9</f>
        <v>0</v>
      </c>
      <c r="L270" s="70">
        <f>(L95+L96+L106+L107)*'DATA - P&amp;L'!$C$9</f>
        <v>0</v>
      </c>
      <c r="M270" s="70">
        <f>(M95+M96+M106+M107)*'DATA - P&amp;L'!$C$9</f>
        <v>0</v>
      </c>
      <c r="N270" s="70">
        <f>(N95+N96+N106+N107)*'DATA - P&amp;L'!$C$9</f>
        <v>0</v>
      </c>
      <c r="O270" s="70">
        <f>(O95+O96+O106+O107)*'DATA - P&amp;L'!$C$9</f>
        <v>0</v>
      </c>
      <c r="P270" s="70">
        <f>(P95+P96+P106+P107)*'DATA - P&amp;L'!$C$9</f>
        <v>0</v>
      </c>
      <c r="Q270" s="70">
        <f>(Q95+Q96+Q106+Q107)*'DATA - P&amp;L'!$C$9</f>
        <v>0</v>
      </c>
      <c r="R270" s="70">
        <f>(R95+R96+R106+R107)*'DATA - P&amp;L'!$C$9</f>
        <v>0</v>
      </c>
      <c r="S270" s="70">
        <f>(S95+S96+S106+S107)*'DATA - P&amp;L'!$C$9</f>
        <v>0</v>
      </c>
      <c r="T270" s="70">
        <f>(T95+T96+T106+T107)*'DATA - P&amp;L'!$C$9</f>
        <v>0</v>
      </c>
      <c r="U270" s="70">
        <f>(U95+U96+U106+U107)*'DATA - P&amp;L'!$C$9</f>
        <v>0</v>
      </c>
      <c r="V270" s="70">
        <f>(V95+V96+V106+V107)*'DATA - P&amp;L'!$C$9</f>
        <v>0</v>
      </c>
      <c r="W270" s="70">
        <f>(W95+W96+W106+W107)*'DATA - P&amp;L'!$C$9</f>
        <v>0</v>
      </c>
      <c r="X270" s="70">
        <f>(X95+X96+X106+X107)*'DATA - P&amp;L'!$C$9</f>
        <v>0</v>
      </c>
      <c r="Y270" s="70">
        <f>(Y95+Y96+Y106+Y107)*'DATA - P&amp;L'!$C$9</f>
        <v>0</v>
      </c>
      <c r="Z270" s="70">
        <f>(Z95+Z96+Z106+Z107)*'DATA - P&amp;L'!$C$9</f>
        <v>0</v>
      </c>
      <c r="AA270" s="70">
        <f>(AA95+AA96+AA106+AA107)*'DATA - P&amp;L'!$C$9</f>
        <v>0</v>
      </c>
      <c r="AB270" s="70">
        <f>(AB95+AB96+AB106+AB107)*'DATA - P&amp;L'!$C$9</f>
        <v>0</v>
      </c>
      <c r="AC270" s="70">
        <f>(AC95+AC96+AC106+AC107)*'DATA - P&amp;L'!$C$9</f>
        <v>0</v>
      </c>
      <c r="AD270" s="70">
        <f>(AD95+AD96+AD106+AD107)*'DATA - P&amp;L'!$C$9</f>
        <v>0</v>
      </c>
      <c r="AE270" s="70">
        <f>(AE95+AE96+AE106+AE107)*'DATA - P&amp;L'!$C$9</f>
        <v>0</v>
      </c>
      <c r="AF270" s="851">
        <f t="shared" si="64"/>
        <v>0</v>
      </c>
    </row>
    <row r="271" outlineLevel="1">
      <c r="A271" s="101" t="s">
        <v>817</v>
      </c>
      <c r="B271" s="70">
        <f>(B43+B44+B155+B156)*'DATA - P&amp;L'!$C$5</f>
        <v>0</v>
      </c>
      <c r="C271" s="70">
        <f>(C97+C98+C108+C109)*'DATA - P&amp;L'!$C$5</f>
        <v>0</v>
      </c>
      <c r="D271" s="70">
        <f>(D97+D98+D108+D109)*'DATA - P&amp;L'!$C$5</f>
        <v>0</v>
      </c>
      <c r="E271" s="70">
        <f>(E97+E98+E108+E109)*'DATA - P&amp;L'!$C$5</f>
        <v>0</v>
      </c>
      <c r="F271" s="70">
        <f>(F97+F98+F108+F109)*'DATA - P&amp;L'!$C$5</f>
        <v>0</v>
      </c>
      <c r="G271" s="70">
        <f>(G97+G98+G108+G109)*'DATA - P&amp;L'!$C$5</f>
        <v>0</v>
      </c>
      <c r="H271" s="70">
        <f>(H97+H98+H108+H109)*'DATA - P&amp;L'!$C$5</f>
        <v>0</v>
      </c>
      <c r="I271" s="70">
        <f>(I97+I98+I108+I109)*'DATA - P&amp;L'!$C$5</f>
        <v>0</v>
      </c>
      <c r="J271" s="70">
        <f>(J97+J98+J108+J109)*'DATA - P&amp;L'!$C$5</f>
        <v>0</v>
      </c>
      <c r="K271" s="70">
        <f>(K97+K98+K108+K109)*'DATA - P&amp;L'!$C$5</f>
        <v>0</v>
      </c>
      <c r="L271" s="70">
        <f>(L97+L98+L108+L109)*'DATA - P&amp;L'!$C$5</f>
        <v>0</v>
      </c>
      <c r="M271" s="70">
        <f>(M97+M98+M108+M109)*'DATA - P&amp;L'!$C$5</f>
        <v>0</v>
      </c>
      <c r="N271" s="70">
        <f>(N97+N98+N108+N109)*'DATA - P&amp;L'!$C$5</f>
        <v>0</v>
      </c>
      <c r="O271" s="70">
        <f>(O97+O98+O108+O109)*'DATA - P&amp;L'!$C$5</f>
        <v>0</v>
      </c>
      <c r="P271" s="70">
        <f>(P97+P98+P108+P109)*'DATA - P&amp;L'!$C$5</f>
        <v>0</v>
      </c>
      <c r="Q271" s="70">
        <f>(Q97+Q98+Q108+Q109)*'DATA - P&amp;L'!$C$5</f>
        <v>0</v>
      </c>
      <c r="R271" s="70">
        <f>(R97+R98+R108+R109)*'DATA - P&amp;L'!$C$5</f>
        <v>0</v>
      </c>
      <c r="S271" s="70">
        <f>(S97+S98+S108+S109)*'DATA - P&amp;L'!$C$5</f>
        <v>0</v>
      </c>
      <c r="T271" s="70">
        <f>(T97+T98+T108+T109)*'DATA - P&amp;L'!$C$5</f>
        <v>0</v>
      </c>
      <c r="U271" s="70">
        <f>(U97+U98+U108+U109)*'DATA - P&amp;L'!$C$5</f>
        <v>0</v>
      </c>
      <c r="V271" s="70">
        <f>(V97+V98+V108+V109)*'DATA - P&amp;L'!$C$5</f>
        <v>0</v>
      </c>
      <c r="W271" s="70">
        <f>(W97+W98+W108+W109)*'DATA - P&amp;L'!$C$5</f>
        <v>0</v>
      </c>
      <c r="X271" s="70">
        <f>(X97+X98+X108+X109)*'DATA - P&amp;L'!$C$5</f>
        <v>0</v>
      </c>
      <c r="Y271" s="70">
        <f>(Y97+Y98+Y108+Y109)*'DATA - P&amp;L'!$C$5</f>
        <v>0</v>
      </c>
      <c r="Z271" s="70">
        <f>(Z97+Z98+Z108+Z109)*'DATA - P&amp;L'!$C$5</f>
        <v>0</v>
      </c>
      <c r="AA271" s="70">
        <f>(AA97+AA98+AA108+AA109)*'DATA - P&amp;L'!$C$5</f>
        <v>0</v>
      </c>
      <c r="AB271" s="70">
        <f>(AB97+AB98+AB108+AB109)*'DATA - P&amp;L'!$C$5</f>
        <v>0</v>
      </c>
      <c r="AC271" s="70">
        <f>(AC97+AC98+AC108+AC109)*'DATA - P&amp;L'!$C$5</f>
        <v>0</v>
      </c>
      <c r="AD271" s="70">
        <f>(AD97+AD98+AD108+AD109)*'DATA - P&amp;L'!$C$5</f>
        <v>0</v>
      </c>
      <c r="AE271" s="70">
        <f>(AE97+AE98+AE108+AE109)*'DATA - P&amp;L'!$C$5</f>
        <v>0</v>
      </c>
      <c r="AF271" s="851">
        <f t="shared" si="64"/>
        <v>0</v>
      </c>
    </row>
    <row r="272" outlineLevel="1">
      <c r="A272" s="101" t="s">
        <v>818</v>
      </c>
      <c r="B272" s="70">
        <f>(B45+B46+B157+B158)*'DATA - P&amp;L'!$C$10</f>
        <v>0</v>
      </c>
      <c r="C272" s="70">
        <f>(C99+C100+C110+C111)*'DATA - P&amp;L'!$C$10</f>
        <v>0</v>
      </c>
      <c r="D272" s="70">
        <f>(D99+D100+D110+D111)*'DATA - P&amp;L'!$C$10</f>
        <v>0</v>
      </c>
      <c r="E272" s="70">
        <f>(E99+E100+E110+E111)*'DATA - P&amp;L'!$C$10</f>
        <v>0</v>
      </c>
      <c r="F272" s="70">
        <f>(F99+F100+F110+F111)*'DATA - P&amp;L'!$C$10</f>
        <v>0</v>
      </c>
      <c r="G272" s="70">
        <f>(G99+G100+G110+G111)*'DATA - P&amp;L'!$C$10</f>
        <v>0</v>
      </c>
      <c r="H272" s="70">
        <f>(H99+H100+H110+H111)*'DATA - P&amp;L'!$C$10</f>
        <v>0</v>
      </c>
      <c r="I272" s="70">
        <f>(I99+I100+I110+I111)*'DATA - P&amp;L'!$C$10</f>
        <v>0</v>
      </c>
      <c r="J272" s="70">
        <f>(J99+J100+J110+J111)*'DATA - P&amp;L'!$C$10</f>
        <v>0</v>
      </c>
      <c r="K272" s="70">
        <f>(K99+K100+K110+K111)*'DATA - P&amp;L'!$C$10</f>
        <v>0</v>
      </c>
      <c r="L272" s="70">
        <f>(L99+L100+L110+L111)*'DATA - P&amp;L'!$C$10</f>
        <v>0</v>
      </c>
      <c r="M272" s="70">
        <f>(M99+M100+M110+M111)*'DATA - P&amp;L'!$C$10</f>
        <v>0</v>
      </c>
      <c r="N272" s="70">
        <f>(N99+N100+N110+N111)*'DATA - P&amp;L'!$C$10</f>
        <v>0</v>
      </c>
      <c r="O272" s="70">
        <f>(O99+O100+O110+O111)*'DATA - P&amp;L'!$C$10</f>
        <v>0</v>
      </c>
      <c r="P272" s="70">
        <f>(P99+P100+P110+P111)*'DATA - P&amp;L'!$C$10</f>
        <v>0</v>
      </c>
      <c r="Q272" s="70">
        <f>(Q99+Q100+Q110+Q111)*'DATA - P&amp;L'!$C$10</f>
        <v>0</v>
      </c>
      <c r="R272" s="70">
        <f>(R99+R100+R110+R111)*'DATA - P&amp;L'!$C$10</f>
        <v>0</v>
      </c>
      <c r="S272" s="70">
        <f>(S99+S100+S110+S111)*'DATA - P&amp;L'!$C$10</f>
        <v>0</v>
      </c>
      <c r="T272" s="70">
        <f>(T99+T100+T110+T111)*'DATA - P&amp;L'!$C$10</f>
        <v>0</v>
      </c>
      <c r="U272" s="70">
        <f>(U99+U100+U110+U111)*'DATA - P&amp;L'!$C$10</f>
        <v>0</v>
      </c>
      <c r="V272" s="70">
        <f>(V99+V100+V110+V111)*'DATA - P&amp;L'!$C$10</f>
        <v>0</v>
      </c>
      <c r="W272" s="70">
        <f>(W99+W100+W110+W111)*'DATA - P&amp;L'!$C$10</f>
        <v>0</v>
      </c>
      <c r="X272" s="70">
        <f>(X99+X100+X110+X111)*'DATA - P&amp;L'!$C$10</f>
        <v>0</v>
      </c>
      <c r="Y272" s="70">
        <f>(Y99+Y100+Y110+Y111)*'DATA - P&amp;L'!$C$10</f>
        <v>0</v>
      </c>
      <c r="Z272" s="70">
        <f>(Z99+Z100+Z110+Z111)*'DATA - P&amp;L'!$C$10</f>
        <v>0</v>
      </c>
      <c r="AA272" s="70">
        <f>(AA99+AA100+AA110+AA111)*'DATA - P&amp;L'!$C$10</f>
        <v>0</v>
      </c>
      <c r="AB272" s="70">
        <f>(AB99+AB100+AB110+AB111)*'DATA - P&amp;L'!$C$10</f>
        <v>0</v>
      </c>
      <c r="AC272" s="70">
        <f>(AC99+AC100+AC110+AC111)*'DATA - P&amp;L'!$C$10</f>
        <v>0</v>
      </c>
      <c r="AD272" s="70">
        <f>(AD99+AD100+AD110+AD111)*'DATA - P&amp;L'!$C$10</f>
        <v>0</v>
      </c>
      <c r="AE272" s="70">
        <f>(AE99+AE100+AE110+AE111)*'DATA - P&amp;L'!$C$10</f>
        <v>0</v>
      </c>
      <c r="AF272" s="851">
        <f t="shared" si="64"/>
        <v>0</v>
      </c>
    </row>
    <row r="273" outlineLevel="1">
      <c r="A273" s="101" t="s">
        <v>819</v>
      </c>
      <c r="B273" s="70">
        <f>((B64+B65+B148+B149*'DATA - P&amp;L'!$C$38))*'DATA - P&amp;L'!$C$54</f>
        <v>0</v>
      </c>
      <c r="C273" s="70">
        <f>((SUM(C36:C37))*'DATA - P&amp;L'!$C$38)</f>
        <v>0</v>
      </c>
      <c r="D273" s="70">
        <f>((SUM(D36:D37))*'DATA - P&amp;L'!$C$38)</f>
        <v>0</v>
      </c>
      <c r="E273" s="70">
        <f>((SUM(E36:E37))*'DATA - P&amp;L'!$C$38)</f>
        <v>0</v>
      </c>
      <c r="F273" s="70">
        <f>((SUM(F36:F37))*'DATA - P&amp;L'!$C$38)</f>
        <v>0</v>
      </c>
      <c r="G273" s="70">
        <f>((SUM(G36:G37))*'DATA - P&amp;L'!$C$38)</f>
        <v>0</v>
      </c>
      <c r="H273" s="70">
        <f>((SUM(H36:H37))*'DATA - P&amp;L'!$C$38)</f>
        <v>0</v>
      </c>
      <c r="I273" s="70">
        <f>((SUM(I36:I37))*'DATA - P&amp;L'!$C$38)</f>
        <v>0</v>
      </c>
      <c r="J273" s="70">
        <f>((SUM(J36:J37))*'DATA - P&amp;L'!$C$38)</f>
        <v>0</v>
      </c>
      <c r="K273" s="70">
        <f>((SUM(K36:K37))*'DATA - P&amp;L'!$C$38)</f>
        <v>0</v>
      </c>
      <c r="L273" s="70">
        <f>((SUM(L36:L37))*'DATA - P&amp;L'!$C$38)</f>
        <v>0</v>
      </c>
      <c r="M273" s="70">
        <f>((SUM(M36:M37))*'DATA - P&amp;L'!$C$38)</f>
        <v>0</v>
      </c>
      <c r="N273" s="70">
        <f>((SUM(N36:N37))*'DATA - P&amp;L'!$C$38)</f>
        <v>0</v>
      </c>
      <c r="O273" s="70">
        <f>((SUM(O36:O37))*'DATA - P&amp;L'!$C$38)</f>
        <v>0</v>
      </c>
      <c r="P273" s="70">
        <f>((SUM(P36:P37))*'DATA - P&amp;L'!$C$38)</f>
        <v>0</v>
      </c>
      <c r="Q273" s="70">
        <f>((SUM(Q36:Q37))*'DATA - P&amp;L'!$C$38)</f>
        <v>0</v>
      </c>
      <c r="R273" s="70">
        <f>((SUM(R36:R37))*'DATA - P&amp;L'!$C$38)</f>
        <v>0</v>
      </c>
      <c r="S273" s="70">
        <f>((SUM(S36:S37))*'DATA - P&amp;L'!$C$38)</f>
        <v>0</v>
      </c>
      <c r="T273" s="70">
        <f>((SUM(T36:T37))*'DATA - P&amp;L'!$C$38)</f>
        <v>0</v>
      </c>
      <c r="U273" s="70">
        <f>((SUM(U36:U37))*'DATA - P&amp;L'!$C$38)</f>
        <v>0</v>
      </c>
      <c r="V273" s="70">
        <f>((SUM(V36:V37))*'DATA - P&amp;L'!$C$38)</f>
        <v>0</v>
      </c>
      <c r="W273" s="70">
        <f>((SUM(W36:W37))*'DATA - P&amp;L'!$C$38)</f>
        <v>0</v>
      </c>
      <c r="X273" s="70">
        <f>((SUM(X36:X37))*'DATA - P&amp;L'!$C$38)</f>
        <v>0</v>
      </c>
      <c r="Y273" s="70">
        <f>((SUM(Y36:Y37))*'DATA - P&amp;L'!$C$38)</f>
        <v>0</v>
      </c>
      <c r="Z273" s="70">
        <f>((SUM(Z36:Z37))*'DATA - P&amp;L'!$C$38)</f>
        <v>0</v>
      </c>
      <c r="AA273" s="70">
        <f>((SUM(AA36:AA37))*'DATA - P&amp;L'!$C$38)</f>
        <v>0</v>
      </c>
      <c r="AB273" s="70">
        <f>((SUM(AB36:AB37))*'DATA - P&amp;L'!$C$38)</f>
        <v>0</v>
      </c>
      <c r="AC273" s="70">
        <f>((SUM(AC36:AC37))*'DATA - P&amp;L'!$C$38)</f>
        <v>0</v>
      </c>
      <c r="AD273" s="70">
        <f>((SUM(AD36:AD37))*'DATA - P&amp;L'!$C$38)</f>
        <v>0</v>
      </c>
      <c r="AE273" s="70">
        <f>((SUM(AE36:AE37))*'DATA - P&amp;L'!$C$38)</f>
        <v>0</v>
      </c>
      <c r="AF273" s="851">
        <f t="shared" si="64"/>
        <v>0</v>
      </c>
    </row>
    <row r="274" outlineLevel="1">
      <c r="A274" s="101" t="s">
        <v>820</v>
      </c>
      <c r="B274" s="70">
        <f>((SUM(B64+B65+B148+B149))*'DATA - P&amp;L'!$C$34)</f>
        <v>0</v>
      </c>
      <c r="C274" s="70">
        <f>((SUM(C36:C37))*'DATA - P&amp;L'!$C$34)</f>
        <v>0</v>
      </c>
      <c r="D274" s="70">
        <f>((SUM(D36:D37))*'DATA - P&amp;L'!$C$34)</f>
        <v>0</v>
      </c>
      <c r="E274" s="70">
        <f>((SUM(E36:E37))*'DATA - P&amp;L'!$C$34)</f>
        <v>0</v>
      </c>
      <c r="F274" s="70">
        <f>((SUM(F36:F37))*'DATA - P&amp;L'!$C$34)</f>
        <v>0</v>
      </c>
      <c r="G274" s="70">
        <f>((SUM(G36:G37))*'DATA - P&amp;L'!$C$34)</f>
        <v>0</v>
      </c>
      <c r="H274" s="70">
        <f>((SUM(H36:H37))*'DATA - P&amp;L'!$C$34)</f>
        <v>0</v>
      </c>
      <c r="I274" s="70">
        <f>((SUM(I36:I37))*'DATA - P&amp;L'!$C$34)</f>
        <v>0</v>
      </c>
      <c r="J274" s="70">
        <f>((SUM(J36:J37))*'DATA - P&amp;L'!$C$34)</f>
        <v>0</v>
      </c>
      <c r="K274" s="70">
        <f>((SUM(K36:K37))*'DATA - P&amp;L'!$C$34)</f>
        <v>0</v>
      </c>
      <c r="L274" s="70">
        <f>((SUM(L36:L37))*'DATA - P&amp;L'!$C$34)</f>
        <v>0</v>
      </c>
      <c r="M274" s="70">
        <f>((SUM(M36:M37))*'DATA - P&amp;L'!$C$34)</f>
        <v>0</v>
      </c>
      <c r="N274" s="70">
        <f>((SUM(N36:N37))*'DATA - P&amp;L'!$C$34)</f>
        <v>0</v>
      </c>
      <c r="O274" s="70">
        <f>((SUM(O36:O37))*'DATA - P&amp;L'!$C$34)</f>
        <v>0</v>
      </c>
      <c r="P274" s="70">
        <f>((SUM(P36:P37))*'DATA - P&amp;L'!$C$34)</f>
        <v>0</v>
      </c>
      <c r="Q274" s="70">
        <f>((SUM(Q36:Q37))*'DATA - P&amp;L'!$C$34)</f>
        <v>0</v>
      </c>
      <c r="R274" s="70">
        <f>((SUM(R36:R37))*'DATA - P&amp;L'!$C$34)</f>
        <v>0</v>
      </c>
      <c r="S274" s="70">
        <f>((SUM(S36:S37))*'DATA - P&amp;L'!$C$34)</f>
        <v>0</v>
      </c>
      <c r="T274" s="70">
        <f>((SUM(T36:T37))*'DATA - P&amp;L'!$C$34)</f>
        <v>0</v>
      </c>
      <c r="U274" s="70">
        <f>((SUM(U36:U37))*'DATA - P&amp;L'!$C$34)</f>
        <v>0</v>
      </c>
      <c r="V274" s="70">
        <f>((SUM(V36:V37))*'DATA - P&amp;L'!$C$34)</f>
        <v>0</v>
      </c>
      <c r="W274" s="70">
        <f>((SUM(W36:W37))*'DATA - P&amp;L'!$C$34)</f>
        <v>0</v>
      </c>
      <c r="X274" s="70">
        <f>((SUM(X36:X37))*'DATA - P&amp;L'!$C$34)</f>
        <v>0</v>
      </c>
      <c r="Y274" s="70">
        <f>((SUM(Y36:Y37))*'DATA - P&amp;L'!$C$34)</f>
        <v>0</v>
      </c>
      <c r="Z274" s="70">
        <f>((SUM(Z36:Z37))*'DATA - P&amp;L'!$C$34)</f>
        <v>0</v>
      </c>
      <c r="AA274" s="70">
        <f>((SUM(AA36:AA37))*'DATA - P&amp;L'!$C$34)</f>
        <v>0</v>
      </c>
      <c r="AB274" s="70">
        <f>((SUM(AB36:AB37))*'DATA - P&amp;L'!$C$34)</f>
        <v>0</v>
      </c>
      <c r="AC274" s="70">
        <f>((SUM(AC36:AC37))*'DATA - P&amp;L'!$C$34)</f>
        <v>0</v>
      </c>
      <c r="AD274" s="70">
        <f>((SUM(AD36:AD37))*'DATA - P&amp;L'!$C$34)</f>
        <v>0</v>
      </c>
      <c r="AE274" s="70">
        <f>((SUM(AE36:AE37))*'DATA - P&amp;L'!$C$34)</f>
        <v>0</v>
      </c>
      <c r="AF274" s="851">
        <f t="shared" si="64"/>
        <v>0</v>
      </c>
    </row>
    <row r="275" outlineLevel="1">
      <c r="A275" s="864" t="s">
        <v>822</v>
      </c>
      <c r="B275" s="81">
        <f>B53+B57+B165+B169</f>
        <v>0</v>
      </c>
      <c r="C275" s="81">
        <f t="shared" ref="C275:AE275" si="65">C53+C57</f>
        <v>0</v>
      </c>
      <c r="D275" s="81">
        <f t="shared" si="65"/>
        <v>0</v>
      </c>
      <c r="E275" s="81">
        <f t="shared" si="65"/>
        <v>0</v>
      </c>
      <c r="F275" s="81">
        <f t="shared" si="65"/>
        <v>0</v>
      </c>
      <c r="G275" s="81">
        <f t="shared" si="65"/>
        <v>0</v>
      </c>
      <c r="H275" s="81">
        <f t="shared" si="65"/>
        <v>0</v>
      </c>
      <c r="I275" s="81">
        <f t="shared" si="65"/>
        <v>0</v>
      </c>
      <c r="J275" s="81">
        <f t="shared" si="65"/>
        <v>0</v>
      </c>
      <c r="K275" s="81">
        <f t="shared" si="65"/>
        <v>0</v>
      </c>
      <c r="L275" s="81">
        <f t="shared" si="65"/>
        <v>0</v>
      </c>
      <c r="M275" s="81">
        <f t="shared" si="65"/>
        <v>0</v>
      </c>
      <c r="N275" s="81">
        <f t="shared" si="65"/>
        <v>0</v>
      </c>
      <c r="O275" s="81">
        <f t="shared" si="65"/>
        <v>0</v>
      </c>
      <c r="P275" s="81">
        <f t="shared" si="65"/>
        <v>0</v>
      </c>
      <c r="Q275" s="81">
        <f t="shared" si="65"/>
        <v>0</v>
      </c>
      <c r="R275" s="81">
        <f t="shared" si="65"/>
        <v>0</v>
      </c>
      <c r="S275" s="81">
        <f t="shared" si="65"/>
        <v>0</v>
      </c>
      <c r="T275" s="81">
        <f t="shared" si="65"/>
        <v>0</v>
      </c>
      <c r="U275" s="81">
        <f t="shared" si="65"/>
        <v>0</v>
      </c>
      <c r="V275" s="81">
        <f t="shared" si="65"/>
        <v>0</v>
      </c>
      <c r="W275" s="81">
        <f t="shared" si="65"/>
        <v>0</v>
      </c>
      <c r="X275" s="81">
        <f t="shared" si="65"/>
        <v>0</v>
      </c>
      <c r="Y275" s="81">
        <f t="shared" si="65"/>
        <v>0</v>
      </c>
      <c r="Z275" s="81">
        <f t="shared" si="65"/>
        <v>0</v>
      </c>
      <c r="AA275" s="81">
        <f t="shared" si="65"/>
        <v>0</v>
      </c>
      <c r="AB275" s="81">
        <f t="shared" si="65"/>
        <v>0</v>
      </c>
      <c r="AC275" s="81">
        <f t="shared" si="65"/>
        <v>0</v>
      </c>
      <c r="AD275" s="81">
        <f t="shared" si="65"/>
        <v>0</v>
      </c>
      <c r="AE275" s="81">
        <f t="shared" si="65"/>
        <v>0</v>
      </c>
      <c r="AF275" s="851">
        <f t="shared" si="64"/>
        <v>0</v>
      </c>
    </row>
    <row r="276">
      <c r="A276" s="603" t="s">
        <v>823</v>
      </c>
      <c r="B276" s="576">
        <f t="shared" ref="B276:AE276" si="66">SUM(B277:B285)-B286-B287</f>
        <v>0</v>
      </c>
      <c r="C276" s="576">
        <f t="shared" si="66"/>
        <v>0</v>
      </c>
      <c r="D276" s="576">
        <f t="shared" si="66"/>
        <v>0</v>
      </c>
      <c r="E276" s="576">
        <f t="shared" si="66"/>
        <v>0</v>
      </c>
      <c r="F276" s="576">
        <f t="shared" si="66"/>
        <v>0</v>
      </c>
      <c r="G276" s="576">
        <f t="shared" si="66"/>
        <v>0</v>
      </c>
      <c r="H276" s="576">
        <f t="shared" si="66"/>
        <v>0</v>
      </c>
      <c r="I276" s="576">
        <f t="shared" si="66"/>
        <v>0</v>
      </c>
      <c r="J276" s="576">
        <f t="shared" si="66"/>
        <v>0</v>
      </c>
      <c r="K276" s="576">
        <f t="shared" si="66"/>
        <v>0</v>
      </c>
      <c r="L276" s="576">
        <f t="shared" si="66"/>
        <v>0</v>
      </c>
      <c r="M276" s="576">
        <f t="shared" si="66"/>
        <v>0</v>
      </c>
      <c r="N276" s="576">
        <f t="shared" si="66"/>
        <v>0</v>
      </c>
      <c r="O276" s="576">
        <f t="shared" si="66"/>
        <v>0</v>
      </c>
      <c r="P276" s="576">
        <f t="shared" si="66"/>
        <v>0</v>
      </c>
      <c r="Q276" s="576">
        <f t="shared" si="66"/>
        <v>0</v>
      </c>
      <c r="R276" s="576">
        <f t="shared" si="66"/>
        <v>0</v>
      </c>
      <c r="S276" s="576">
        <f t="shared" si="66"/>
        <v>0</v>
      </c>
      <c r="T276" s="576">
        <f t="shared" si="66"/>
        <v>0</v>
      </c>
      <c r="U276" s="576">
        <f t="shared" si="66"/>
        <v>0</v>
      </c>
      <c r="V276" s="576">
        <f t="shared" si="66"/>
        <v>0</v>
      </c>
      <c r="W276" s="576">
        <f t="shared" si="66"/>
        <v>0</v>
      </c>
      <c r="X276" s="576">
        <f t="shared" si="66"/>
        <v>0</v>
      </c>
      <c r="Y276" s="576">
        <f t="shared" si="66"/>
        <v>0</v>
      </c>
      <c r="Z276" s="576">
        <f t="shared" si="66"/>
        <v>0</v>
      </c>
      <c r="AA276" s="576">
        <f t="shared" si="66"/>
        <v>0</v>
      </c>
      <c r="AB276" s="576">
        <f t="shared" si="66"/>
        <v>0</v>
      </c>
      <c r="AC276" s="576">
        <f t="shared" si="66"/>
        <v>0</v>
      </c>
      <c r="AD276" s="576">
        <f t="shared" si="66"/>
        <v>0</v>
      </c>
      <c r="AE276" s="576">
        <f t="shared" si="66"/>
        <v>0</v>
      </c>
      <c r="AF276" s="851">
        <f t="shared" si="64"/>
        <v>0</v>
      </c>
    </row>
    <row r="277" outlineLevel="1">
      <c r="A277" s="101" t="s">
        <v>472</v>
      </c>
      <c r="B277" s="70">
        <f>((B60+B61+B172+B173)*'DATA - P&amp;L'!$C$3)*'DATA - P&amp;L'!$C$54</f>
        <v>0</v>
      </c>
      <c r="C277" s="70">
        <f>((C60+C61+C172+C173)*'DATA - P&amp;L'!$C$3)*'DATA - P&amp;L'!$C$54</f>
        <v>0</v>
      </c>
      <c r="D277" s="70">
        <f>((D60+D61+D172+D173)*'DATA - P&amp;L'!$C$3)*'DATA - P&amp;L'!$C$54</f>
        <v>0</v>
      </c>
      <c r="E277" s="70">
        <f>((E60+E61+E172+E173)*'DATA - P&amp;L'!$C$3)*'DATA - P&amp;L'!$C$54</f>
        <v>0</v>
      </c>
      <c r="F277" s="70">
        <f>((F60+F61+F172+F173)*'DATA - P&amp;L'!$C$3)*'DATA - P&amp;L'!$C$54</f>
        <v>0</v>
      </c>
      <c r="G277" s="70">
        <f>((G60+G61+G172+G173)*'DATA - P&amp;L'!$C$3)*'DATA - P&amp;L'!$C$54</f>
        <v>0</v>
      </c>
      <c r="H277" s="70">
        <f>((H60+H61+H172+H173)*'DATA - P&amp;L'!$C$3)*'DATA - P&amp;L'!$C$54</f>
        <v>0</v>
      </c>
      <c r="I277" s="70">
        <f>((I60+I61+I172+I173)*'DATA - P&amp;L'!$C$3)*'DATA - P&amp;L'!$C$54</f>
        <v>0</v>
      </c>
      <c r="J277" s="70">
        <f>((J60+J61+J172+J173)*'DATA - P&amp;L'!$C$3)*'DATA - P&amp;L'!$C$54</f>
        <v>0</v>
      </c>
      <c r="K277" s="70">
        <f>((K60+K61+K172+K173)*'DATA - P&amp;L'!$C$3)*'DATA - P&amp;L'!$C$54</f>
        <v>0</v>
      </c>
      <c r="L277" s="70">
        <f>((L60+L61+L172+L173)*'DATA - P&amp;L'!$C$3)*'DATA - P&amp;L'!$C$54</f>
        <v>0</v>
      </c>
      <c r="M277" s="70">
        <f>((M60+M61+M172+M173)*'DATA - P&amp;L'!$C$3)*'DATA - P&amp;L'!$C$54</f>
        <v>0</v>
      </c>
      <c r="N277" s="70">
        <f>((N60+N61+N172+N173)*'DATA - P&amp;L'!$C$3)*'DATA - P&amp;L'!$C$54</f>
        <v>0</v>
      </c>
      <c r="O277" s="70">
        <f>((O60+O61+O172+O173)*'DATA - P&amp;L'!$C$3)*'DATA - P&amp;L'!$C$54</f>
        <v>0</v>
      </c>
      <c r="P277" s="70">
        <f>((P60+P61+P172+P173)*'DATA - P&amp;L'!$C$3)*'DATA - P&amp;L'!$C$54</f>
        <v>0</v>
      </c>
      <c r="Q277" s="70">
        <f>((Q60+Q61+Q172+Q173)*'DATA - P&amp;L'!$C$3)*'DATA - P&amp;L'!$C$54</f>
        <v>0</v>
      </c>
      <c r="R277" s="70">
        <f>((R60+R61+R172+R173)*'DATA - P&amp;L'!$C$3)*'DATA - P&amp;L'!$C$54</f>
        <v>0</v>
      </c>
      <c r="S277" s="70">
        <f>((S60+S61+S172+S173)*'DATA - P&amp;L'!$C$3)*'DATA - P&amp;L'!$C$54</f>
        <v>0</v>
      </c>
      <c r="T277" s="70">
        <f>((T60+T61+T172+T173)*'DATA - P&amp;L'!$C$3)*'DATA - P&amp;L'!$C$54</f>
        <v>0</v>
      </c>
      <c r="U277" s="70">
        <f>((U60+U61+U172+U173)*'DATA - P&amp;L'!$C$3)*'DATA - P&amp;L'!$C$54</f>
        <v>0</v>
      </c>
      <c r="V277" s="70">
        <f>((V60+V61+V172+V173)*'DATA - P&amp;L'!$C$3)*'DATA - P&amp;L'!$C$54</f>
        <v>0</v>
      </c>
      <c r="W277" s="70">
        <f>((W60+W61+W172+W173)*'DATA - P&amp;L'!$C$3)*'DATA - P&amp;L'!$C$54</f>
        <v>0</v>
      </c>
      <c r="X277" s="70">
        <f>((X60+X61+X172+X173)*'DATA - P&amp;L'!$C$3)*'DATA - P&amp;L'!$C$54</f>
        <v>0</v>
      </c>
      <c r="Y277" s="70">
        <f>((Y60+Y61+Y172+Y173)*'DATA - P&amp;L'!$C$3)*'DATA - P&amp;L'!$C$54</f>
        <v>0</v>
      </c>
      <c r="Z277" s="70">
        <f>((Z60+Z61+Z172+Z173)*'DATA - P&amp;L'!$C$3)*'DATA - P&amp;L'!$C$54</f>
        <v>0</v>
      </c>
      <c r="AA277" s="70">
        <f>((AA60+AA61+AA172+AA173)*'DATA - P&amp;L'!$C$3)*'DATA - P&amp;L'!$C$54</f>
        <v>0</v>
      </c>
      <c r="AB277" s="70">
        <f>((AB60+AB61+AB172+AB173)*'DATA - P&amp;L'!$C$3)*'DATA - P&amp;L'!$C$54</f>
        <v>0</v>
      </c>
      <c r="AC277" s="70">
        <f>((AC60+AC61+AC172+AC173)*'DATA - P&amp;L'!$C$3)*'DATA - P&amp;L'!$C$54</f>
        <v>0</v>
      </c>
      <c r="AD277" s="70">
        <f>((AD60+AD61+AD172+AD173)*'DATA - P&amp;L'!$C$3)*'DATA - P&amp;L'!$C$54</f>
        <v>0</v>
      </c>
      <c r="AE277" s="70">
        <f>((AE60+AE61+AE172+AE173)*'DATA - P&amp;L'!$C$3)*'DATA - P&amp;L'!$C$54</f>
        <v>0</v>
      </c>
      <c r="AF277" s="865"/>
    </row>
    <row r="278" outlineLevel="1">
      <c r="A278" s="101" t="s">
        <v>475</v>
      </c>
      <c r="B278" s="70">
        <f>(B62+B63+B174+B175)*'DATA - P&amp;L'!$C$4*'DATA - P&amp;L'!$C$54</f>
        <v>0</v>
      </c>
      <c r="C278" s="70">
        <f>(C62+C63+C174+C175)*'DATA - P&amp;L'!$C$4*'DATA - P&amp;L'!$C$54</f>
        <v>0</v>
      </c>
      <c r="D278" s="70">
        <f>(D62+D63+D174+D175)*'DATA - P&amp;L'!$C$4*'DATA - P&amp;L'!$C$54</f>
        <v>0</v>
      </c>
      <c r="E278" s="70">
        <f>(E62+E63+E174+E175)*'DATA - P&amp;L'!$C$4*'DATA - P&amp;L'!$C$54</f>
        <v>0</v>
      </c>
      <c r="F278" s="70">
        <f>(F62+F63+F174+F175)*'DATA - P&amp;L'!$C$4*'DATA - P&amp;L'!$C$54</f>
        <v>0</v>
      </c>
      <c r="G278" s="70">
        <f>(G62+G63+G174+G175)*'DATA - P&amp;L'!$C$4*'DATA - P&amp;L'!$C$54</f>
        <v>0</v>
      </c>
      <c r="H278" s="70">
        <f>(H62+H63+H174+H175)*'DATA - P&amp;L'!$C$4*'DATA - P&amp;L'!$C$54</f>
        <v>0</v>
      </c>
      <c r="I278" s="70">
        <f>(I62+I63+I174+I175)*'DATA - P&amp;L'!$C$4*'DATA - P&amp;L'!$C$54</f>
        <v>0</v>
      </c>
      <c r="J278" s="70">
        <f>(J62+J63+J174+J175)*'DATA - P&amp;L'!$C$4*'DATA - P&amp;L'!$C$54</f>
        <v>0</v>
      </c>
      <c r="K278" s="70">
        <f>(K62+K63+K174+K175)*'DATA - P&amp;L'!$C$4*'DATA - P&amp;L'!$C$54</f>
        <v>0</v>
      </c>
      <c r="L278" s="70">
        <f>(L62+L63+L174+L175)*'DATA - P&amp;L'!$C$4*'DATA - P&amp;L'!$C$54</f>
        <v>0</v>
      </c>
      <c r="M278" s="70">
        <f>(M62+M63+M174+M175)*'DATA - P&amp;L'!$C$4*'DATA - P&amp;L'!$C$54</f>
        <v>0</v>
      </c>
      <c r="N278" s="70">
        <f>(N62+N63+N174+N175)*'DATA - P&amp;L'!$C$4*'DATA - P&amp;L'!$C$54</f>
        <v>0</v>
      </c>
      <c r="O278" s="70">
        <f>(O62+O63+O174+O175)*'DATA - P&amp;L'!$C$4*'DATA - P&amp;L'!$C$54</f>
        <v>0</v>
      </c>
      <c r="P278" s="70">
        <f>(P62+P63+P174+P175)*'DATA - P&amp;L'!$C$4*'DATA - P&amp;L'!$C$54</f>
        <v>0</v>
      </c>
      <c r="Q278" s="70">
        <f>(Q62+Q63+Q174+Q175)*'DATA - P&amp;L'!$C$4*'DATA - P&amp;L'!$C$54</f>
        <v>0</v>
      </c>
      <c r="R278" s="70">
        <f>(R62+R63+R174+R175)*'DATA - P&amp;L'!$C$4*'DATA - P&amp;L'!$C$54</f>
        <v>0</v>
      </c>
      <c r="S278" s="70">
        <f>(S62+S63+S174+S175)*'DATA - P&amp;L'!$C$4*'DATA - P&amp;L'!$C$54</f>
        <v>0</v>
      </c>
      <c r="T278" s="70">
        <f>(T62+T63+T174+T175)*'DATA - P&amp;L'!$C$4*'DATA - P&amp;L'!$C$54</f>
        <v>0</v>
      </c>
      <c r="U278" s="70">
        <f>(U62+U63+U174+U175)*'DATA - P&amp;L'!$C$4*'DATA - P&amp;L'!$C$54</f>
        <v>0</v>
      </c>
      <c r="V278" s="70">
        <f>(V62+V63+V174+V175)*'DATA - P&amp;L'!$C$4*'DATA - P&amp;L'!$C$54</f>
        <v>0</v>
      </c>
      <c r="W278" s="70">
        <f>(W62+W63+W174+W175)*'DATA - P&amp;L'!$C$4*'DATA - P&amp;L'!$C$54</f>
        <v>0</v>
      </c>
      <c r="X278" s="70">
        <f>(X62+X63+X174+X175)*'DATA - P&amp;L'!$C$4*'DATA - P&amp;L'!$C$54</f>
        <v>0</v>
      </c>
      <c r="Y278" s="70">
        <f>(Y62+Y63+Y174+Y175)*'DATA - P&amp;L'!$C$4*'DATA - P&amp;L'!$C$54</f>
        <v>0</v>
      </c>
      <c r="Z278" s="70">
        <f>(Z62+Z63+Z174+Z175)*'DATA - P&amp;L'!$C$4*'DATA - P&amp;L'!$C$54</f>
        <v>0</v>
      </c>
      <c r="AA278" s="70">
        <f>(AA62+AA63+AA174+AA175)*'DATA - P&amp;L'!$C$4*'DATA - P&amp;L'!$C$54</f>
        <v>0</v>
      </c>
      <c r="AB278" s="70">
        <f>(AB62+AB63+AB174+AB175)*'DATA - P&amp;L'!$C$4*'DATA - P&amp;L'!$C$54</f>
        <v>0</v>
      </c>
      <c r="AC278" s="70">
        <f>(AC62+AC63+AC174+AC175)*'DATA - P&amp;L'!$C$4*'DATA - P&amp;L'!$C$54</f>
        <v>0</v>
      </c>
      <c r="AD278" s="70">
        <f>(AD62+AD63+AD174+AD175)*'DATA - P&amp;L'!$C$4*'DATA - P&amp;L'!$C$54</f>
        <v>0</v>
      </c>
      <c r="AE278" s="70">
        <f>(AE62+AE63+AE174+AE175)*'DATA - P&amp;L'!$C$4*'DATA - P&amp;L'!$C$54</f>
        <v>0</v>
      </c>
      <c r="AF278" s="865"/>
    </row>
    <row r="279" outlineLevel="1">
      <c r="A279" s="101" t="s">
        <v>481</v>
      </c>
      <c r="B279" s="70">
        <f>(B67+B179)*'DATA - P&amp;L'!$C$6*'DATA - P&amp;L'!$C$54</f>
        <v>0</v>
      </c>
      <c r="C279" s="70">
        <f>(C67+C179)*'DATA - P&amp;L'!$C$6*'DATA - P&amp;L'!$C$54</f>
        <v>0</v>
      </c>
      <c r="D279" s="70">
        <f>(D67+D179)*'DATA - P&amp;L'!$C$6*'DATA - P&amp;L'!$C$54</f>
        <v>0</v>
      </c>
      <c r="E279" s="70">
        <f>(E67+E179)*'DATA - P&amp;L'!$C$6*'DATA - P&amp;L'!$C$54</f>
        <v>0</v>
      </c>
      <c r="F279" s="70">
        <f>(F67+F179)*'DATA - P&amp;L'!$C$6*'DATA - P&amp;L'!$C$54</f>
        <v>0</v>
      </c>
      <c r="G279" s="70">
        <f>(G67+G179)*'DATA - P&amp;L'!$C$6*'DATA - P&amp;L'!$C$54</f>
        <v>0</v>
      </c>
      <c r="H279" s="70">
        <f>(H67+H179)*'DATA - P&amp;L'!$C$6*'DATA - P&amp;L'!$C$54</f>
        <v>0</v>
      </c>
      <c r="I279" s="70">
        <f>(I67+I179)*'DATA - P&amp;L'!$C$6*'DATA - P&amp;L'!$C$54</f>
        <v>0</v>
      </c>
      <c r="J279" s="70">
        <f>(J67+J179)*'DATA - P&amp;L'!$C$6*'DATA - P&amp;L'!$C$54</f>
        <v>0</v>
      </c>
      <c r="K279" s="70">
        <f>(K67+K179)*'DATA - P&amp;L'!$C$6*'DATA - P&amp;L'!$C$54</f>
        <v>0</v>
      </c>
      <c r="L279" s="70">
        <f>(L67+L179)*'DATA - P&amp;L'!$C$6*'DATA - P&amp;L'!$C$54</f>
        <v>0</v>
      </c>
      <c r="M279" s="70">
        <f>(M67+M179)*'DATA - P&amp;L'!$C$6*'DATA - P&amp;L'!$C$54</f>
        <v>0</v>
      </c>
      <c r="N279" s="70">
        <f>(N67+N179)*'DATA - P&amp;L'!$C$6*'DATA - P&amp;L'!$C$54</f>
        <v>0</v>
      </c>
      <c r="O279" s="70">
        <f>(O67+O179)*'DATA - P&amp;L'!$C$6*'DATA - P&amp;L'!$C$54</f>
        <v>0</v>
      </c>
      <c r="P279" s="70">
        <f>(P67+P179)*'DATA - P&amp;L'!$C$6*'DATA - P&amp;L'!$C$54</f>
        <v>0</v>
      </c>
      <c r="Q279" s="70">
        <f>(Q67+Q179)*'DATA - P&amp;L'!$C$6*'DATA - P&amp;L'!$C$54</f>
        <v>0</v>
      </c>
      <c r="R279" s="70">
        <f>(R67+R179)*'DATA - P&amp;L'!$C$6*'DATA - P&amp;L'!$C$54</f>
        <v>0</v>
      </c>
      <c r="S279" s="70">
        <f>(S67+S179)*'DATA - P&amp;L'!$C$6*'DATA - P&amp;L'!$C$54</f>
        <v>0</v>
      </c>
      <c r="T279" s="70">
        <f>(T67+T179)*'DATA - P&amp;L'!$C$6*'DATA - P&amp;L'!$C$54</f>
        <v>0</v>
      </c>
      <c r="U279" s="70">
        <f>(U67+U179)*'DATA - P&amp;L'!$C$6*'DATA - P&amp;L'!$C$54</f>
        <v>0</v>
      </c>
      <c r="V279" s="70">
        <f>(V67+V179)*'DATA - P&amp;L'!$C$6*'DATA - P&amp;L'!$C$54</f>
        <v>0</v>
      </c>
      <c r="W279" s="70">
        <f>(W67+W179)*'DATA - P&amp;L'!$C$6*'DATA - P&amp;L'!$C$54</f>
        <v>0</v>
      </c>
      <c r="X279" s="70">
        <f>(X67+X179)*'DATA - P&amp;L'!$C$6*'DATA - P&amp;L'!$C$54</f>
        <v>0</v>
      </c>
      <c r="Y279" s="70">
        <f>(Y67+Y179)*'DATA - P&amp;L'!$C$6*'DATA - P&amp;L'!$C$54</f>
        <v>0</v>
      </c>
      <c r="Z279" s="70">
        <f>(Z67+Z179)*'DATA - P&amp;L'!$C$6*'DATA - P&amp;L'!$C$54</f>
        <v>0</v>
      </c>
      <c r="AA279" s="70">
        <f>(AA67+AA179)*'DATA - P&amp;L'!$C$6*'DATA - P&amp;L'!$C$54</f>
        <v>0</v>
      </c>
      <c r="AB279" s="70">
        <f>(AB67+AB179)*'DATA - P&amp;L'!$C$6*'DATA - P&amp;L'!$C$54</f>
        <v>0</v>
      </c>
      <c r="AC279" s="70">
        <f>(AC67+AC179)*'DATA - P&amp;L'!$C$6*'DATA - P&amp;L'!$C$54</f>
        <v>0</v>
      </c>
      <c r="AD279" s="70">
        <f>(AD67+AD179)*'DATA - P&amp;L'!$C$6*'DATA - P&amp;L'!$C$54</f>
        <v>0</v>
      </c>
      <c r="AE279" s="70">
        <f>(AE67+AE179)*'DATA - P&amp;L'!$C$6*'DATA - P&amp;L'!$C$54</f>
        <v>0</v>
      </c>
      <c r="AF279" s="851">
        <f>SUM(B279:AE279)</f>
        <v>0</v>
      </c>
    </row>
    <row r="280" outlineLevel="1">
      <c r="A280" s="101" t="s">
        <v>485</v>
      </c>
      <c r="B280" s="70">
        <f>(B68+B180)*'DATA - P&amp;L'!$C$8*'DATA - P&amp;L'!$C$54</f>
        <v>0</v>
      </c>
      <c r="C280" s="70">
        <f>(C68+C180)*'DATA - P&amp;L'!$C$8*'DATA - P&amp;L'!$C$54</f>
        <v>0</v>
      </c>
      <c r="D280" s="70">
        <f>(D68+D180)*'DATA - P&amp;L'!$C$8*'DATA - P&amp;L'!$C$54</f>
        <v>0</v>
      </c>
      <c r="E280" s="70">
        <f>(E68+E180)*'DATA - P&amp;L'!$C$8*'DATA - P&amp;L'!$C$54</f>
        <v>0</v>
      </c>
      <c r="F280" s="70">
        <f>(F68+F180)*'DATA - P&amp;L'!$C$8*'DATA - P&amp;L'!$C$54</f>
        <v>0</v>
      </c>
      <c r="G280" s="70">
        <f>(G68+G180)*'DATA - P&amp;L'!$C$8*'DATA - P&amp;L'!$C$54</f>
        <v>0</v>
      </c>
      <c r="H280" s="70">
        <f>(H68+H180)*'DATA - P&amp;L'!$C$8*'DATA - P&amp;L'!$C$54</f>
        <v>0</v>
      </c>
      <c r="I280" s="70">
        <f>(I68+I180)*'DATA - P&amp;L'!$C$8*'DATA - P&amp;L'!$C$54</f>
        <v>0</v>
      </c>
      <c r="J280" s="70">
        <f>(J68+J180)*'DATA - P&amp;L'!$C$8*'DATA - P&amp;L'!$C$54</f>
        <v>0</v>
      </c>
      <c r="K280" s="70">
        <f>(K68+K180)*'DATA - P&amp;L'!$C$8*'DATA - P&amp;L'!$C$54</f>
        <v>0</v>
      </c>
      <c r="L280" s="70">
        <f>(L68+L180)*'DATA - P&amp;L'!$C$8*'DATA - P&amp;L'!$C$54</f>
        <v>0</v>
      </c>
      <c r="M280" s="70">
        <f>(M68+M180)*'DATA - P&amp;L'!$C$8*'DATA - P&amp;L'!$C$54</f>
        <v>0</v>
      </c>
      <c r="N280" s="70">
        <f>(N68+N180)*'DATA - P&amp;L'!$C$8*'DATA - P&amp;L'!$C$54</f>
        <v>0</v>
      </c>
      <c r="O280" s="70">
        <f>(O68+O180)*'DATA - P&amp;L'!$C$8*'DATA - P&amp;L'!$C$54</f>
        <v>0</v>
      </c>
      <c r="P280" s="70">
        <f>(P68+P180)*'DATA - P&amp;L'!$C$8*'DATA - P&amp;L'!$C$54</f>
        <v>0</v>
      </c>
      <c r="Q280" s="70">
        <f>(Q68+Q180)*'DATA - P&amp;L'!$C$8*'DATA - P&amp;L'!$C$54</f>
        <v>0</v>
      </c>
      <c r="R280" s="70">
        <f>(R68+R180)*'DATA - P&amp;L'!$C$8*'DATA - P&amp;L'!$C$54</f>
        <v>0</v>
      </c>
      <c r="S280" s="70">
        <f>(S68+S180)*'DATA - P&amp;L'!$C$8*'DATA - P&amp;L'!$C$54</f>
        <v>0</v>
      </c>
      <c r="T280" s="70">
        <f>(T68+T180)*'DATA - P&amp;L'!$C$8*'DATA - P&amp;L'!$C$54</f>
        <v>0</v>
      </c>
      <c r="U280" s="70">
        <f>(U68+U180)*'DATA - P&amp;L'!$C$8*'DATA - P&amp;L'!$C$54</f>
        <v>0</v>
      </c>
      <c r="V280" s="70">
        <f>(V68+V180)*'DATA - P&amp;L'!$C$8*'DATA - P&amp;L'!$C$54</f>
        <v>0</v>
      </c>
      <c r="W280" s="70">
        <f>(W68+W180)*'DATA - P&amp;L'!$C$8*'DATA - P&amp;L'!$C$54</f>
        <v>0</v>
      </c>
      <c r="X280" s="70">
        <f>(X68+X180)*'DATA - P&amp;L'!$C$8*'DATA - P&amp;L'!$C$54</f>
        <v>0</v>
      </c>
      <c r="Y280" s="70">
        <f>(Y68+Y180)*'DATA - P&amp;L'!$C$8*'DATA - P&amp;L'!$C$54</f>
        <v>0</v>
      </c>
      <c r="Z280" s="70">
        <f>(Z68+Z180)*'DATA - P&amp;L'!$C$8*'DATA - P&amp;L'!$C$54</f>
        <v>0</v>
      </c>
      <c r="AA280" s="70">
        <f>(AA68+AA180)*'DATA - P&amp;L'!$C$8*'DATA - P&amp;L'!$C$54</f>
        <v>0</v>
      </c>
      <c r="AB280" s="70">
        <f>(AB68+AB180)*'DATA - P&amp;L'!$C$8*'DATA - P&amp;L'!$C$54</f>
        <v>0</v>
      </c>
      <c r="AC280" s="70">
        <f>(AC68+AC180)*'DATA - P&amp;L'!$C$8*'DATA - P&amp;L'!$C$54</f>
        <v>0</v>
      </c>
      <c r="AD280" s="70">
        <f>(AD68+AD180)*'DATA - P&amp;L'!$C$8*'DATA - P&amp;L'!$C$54</f>
        <v>0</v>
      </c>
      <c r="AE280" s="70">
        <f>(AE68+AE180)*'DATA - P&amp;L'!$C$8*'DATA - P&amp;L'!$C$54</f>
        <v>0</v>
      </c>
      <c r="AF280" s="851">
        <f>SUM(AF266:AF279)</f>
        <v>0</v>
      </c>
    </row>
    <row r="281" outlineLevel="1">
      <c r="A281" s="101" t="s">
        <v>393</v>
      </c>
      <c r="B281" s="70">
        <f>(B69+B70+B181+B182)*'DATA - P&amp;L'!$C$9*'DATA - P&amp;L'!$C$54</f>
        <v>0</v>
      </c>
      <c r="C281" s="70">
        <f>(C69+C70+C181+C182)*'DATA - P&amp;L'!$C$9*'DATA - P&amp;L'!$C$54</f>
        <v>0</v>
      </c>
      <c r="D281" s="70">
        <f>(D69+D70+D181+D182)*'DATA - P&amp;L'!$C$9*'DATA - P&amp;L'!$C$54</f>
        <v>0</v>
      </c>
      <c r="E281" s="70">
        <f>(E69+E70+E181+E182)*'DATA - P&amp;L'!$C$9*'DATA - P&amp;L'!$C$54</f>
        <v>0</v>
      </c>
      <c r="F281" s="70">
        <f>(F69+F70+F181+F182)*'DATA - P&amp;L'!$C$9*'DATA - P&amp;L'!$C$54</f>
        <v>0</v>
      </c>
      <c r="G281" s="70">
        <f>(G69+G70+G181+G182)*'DATA - P&amp;L'!$C$9*'DATA - P&amp;L'!$C$54</f>
        <v>0</v>
      </c>
      <c r="H281" s="70">
        <f>(H69+H70+H181+H182)*'DATA - P&amp;L'!$C$9*'DATA - P&amp;L'!$C$54</f>
        <v>0</v>
      </c>
      <c r="I281" s="70">
        <f>(I69+I70+I181+I182)*'DATA - P&amp;L'!$C$9*'DATA - P&amp;L'!$C$54</f>
        <v>0</v>
      </c>
      <c r="J281" s="70">
        <f>(J69+J70+J181+J182)*'DATA - P&amp;L'!$C$9*'DATA - P&amp;L'!$C$54</f>
        <v>0</v>
      </c>
      <c r="K281" s="70">
        <f>(K69+K70+K181+K182)*'DATA - P&amp;L'!$C$9*'DATA - P&amp;L'!$C$54</f>
        <v>0</v>
      </c>
      <c r="L281" s="70">
        <f>(L69+L70+L181+L182)*'DATA - P&amp;L'!$C$9*'DATA - P&amp;L'!$C$54</f>
        <v>0</v>
      </c>
      <c r="M281" s="70">
        <f>(M69+M70+M181+M182)*'DATA - P&amp;L'!$C$9*'DATA - P&amp;L'!$C$54</f>
        <v>0</v>
      </c>
      <c r="N281" s="70">
        <f>(N69+N70+N181+N182)*'DATA - P&amp;L'!$C$9*'DATA - P&amp;L'!$C$54</f>
        <v>0</v>
      </c>
      <c r="O281" s="70">
        <f>(O69+O70+O181+O182)*'DATA - P&amp;L'!$C$9*'DATA - P&amp;L'!$C$54</f>
        <v>0</v>
      </c>
      <c r="P281" s="70">
        <f>(P69+P70+P181+P182)*'DATA - P&amp;L'!$C$9*'DATA - P&amp;L'!$C$54</f>
        <v>0</v>
      </c>
      <c r="Q281" s="70">
        <f>(Q69+Q70+Q181+Q182)*'DATA - P&amp;L'!$C$9*'DATA - P&amp;L'!$C$54</f>
        <v>0</v>
      </c>
      <c r="R281" s="70">
        <f>(R69+R70+R181+R182)*'DATA - P&amp;L'!$C$9*'DATA - P&amp;L'!$C$54</f>
        <v>0</v>
      </c>
      <c r="S281" s="70">
        <f>(S69+S70+S181+S182)*'DATA - P&amp;L'!$C$9*'DATA - P&amp;L'!$C$54</f>
        <v>0</v>
      </c>
      <c r="T281" s="70">
        <f>(T69+T70+T181+T182)*'DATA - P&amp;L'!$C$9*'DATA - P&amp;L'!$C$54</f>
        <v>0</v>
      </c>
      <c r="U281" s="70">
        <f>(U69+U70+U181+U182)*'DATA - P&amp;L'!$C$9*'DATA - P&amp;L'!$C$54</f>
        <v>0</v>
      </c>
      <c r="V281" s="70">
        <f>(V69+V70+V181+V182)*'DATA - P&amp;L'!$C$9*'DATA - P&amp;L'!$C$54</f>
        <v>0</v>
      </c>
      <c r="W281" s="70">
        <f>(W69+W70+W181+W182)*'DATA - P&amp;L'!$C$9*'DATA - P&amp;L'!$C$54</f>
        <v>0</v>
      </c>
      <c r="X281" s="70">
        <f>(X69+X70+X181+X182)*'DATA - P&amp;L'!$C$9*'DATA - P&amp;L'!$C$54</f>
        <v>0</v>
      </c>
      <c r="Y281" s="70">
        <f>(Y69+Y70+Y181+Y182)*'DATA - P&amp;L'!$C$9*'DATA - P&amp;L'!$C$54</f>
        <v>0</v>
      </c>
      <c r="Z281" s="70">
        <f>(Z69+Z70+Z181+Z182)*'DATA - P&amp;L'!$C$9*'DATA - P&amp;L'!$C$54</f>
        <v>0</v>
      </c>
      <c r="AA281" s="70">
        <f>(AA69+AA70+AA181+AA182)*'DATA - P&amp;L'!$C$9*'DATA - P&amp;L'!$C$54</f>
        <v>0</v>
      </c>
      <c r="AB281" s="70">
        <f>(AB69+AB70+AB181+AB182)*'DATA - P&amp;L'!$C$9*'DATA - P&amp;L'!$C$54</f>
        <v>0</v>
      </c>
      <c r="AC281" s="70">
        <f>(AC69+AC70+AC181+AC182)*'DATA - P&amp;L'!$C$9*'DATA - P&amp;L'!$C$54</f>
        <v>0</v>
      </c>
      <c r="AD281" s="70">
        <f>(AD69+AD70+AD181+AD182)*'DATA - P&amp;L'!$C$9*'DATA - P&amp;L'!$C$54</f>
        <v>0</v>
      </c>
      <c r="AE281" s="70">
        <f>(AE69+AE70+AE181+AE182)*'DATA - P&amp;L'!$C$9*'DATA - P&amp;L'!$C$54</f>
        <v>0</v>
      </c>
      <c r="AF281" s="851">
        <f t="shared" ref="AF281:AF293" si="67">SUM(B281:AE281)</f>
        <v>0</v>
      </c>
    </row>
    <row r="282" outlineLevel="1">
      <c r="A282" s="101" t="s">
        <v>396</v>
      </c>
      <c r="B282" s="70">
        <f>(B71+B72+B183+B184)*'DATA - P&amp;L'!$C$5*'DATA - P&amp;L'!$C$54</f>
        <v>0</v>
      </c>
      <c r="C282" s="70">
        <f>(C71+C72+C183+C184)*'DATA - P&amp;L'!$C$5*'DATA - P&amp;L'!$C$54</f>
        <v>0</v>
      </c>
      <c r="D282" s="70">
        <f>(D71+D72+D183+D184)*'DATA - P&amp;L'!$C$5*'DATA - P&amp;L'!$C$54</f>
        <v>0</v>
      </c>
      <c r="E282" s="70">
        <f>(E71+E72+E183+E184)*'DATA - P&amp;L'!$C$5*'DATA - P&amp;L'!$C$54</f>
        <v>0</v>
      </c>
      <c r="F282" s="70">
        <f>(F71+F72+F183+F184)*'DATA - P&amp;L'!$C$5*'DATA - P&amp;L'!$C$54</f>
        <v>0</v>
      </c>
      <c r="G282" s="70">
        <f>(G71+G72+G183+G184)*'DATA - P&amp;L'!$C$5*'DATA - P&amp;L'!$C$54</f>
        <v>0</v>
      </c>
      <c r="H282" s="70">
        <f>(H71+H72+H183+H184)*'DATA - P&amp;L'!$C$5*'DATA - P&amp;L'!$C$54</f>
        <v>0</v>
      </c>
      <c r="I282" s="70">
        <f>(I71+I72+I183+I184)*'DATA - P&amp;L'!$C$5*'DATA - P&amp;L'!$C$54</f>
        <v>0</v>
      </c>
      <c r="J282" s="70">
        <f>(J71+J72+J183+J184)*'DATA - P&amp;L'!$C$5*'DATA - P&amp;L'!$C$54</f>
        <v>0</v>
      </c>
      <c r="K282" s="70">
        <f>(K71+K72+K183+K184)*'DATA - P&amp;L'!$C$5*'DATA - P&amp;L'!$C$54</f>
        <v>0</v>
      </c>
      <c r="L282" s="70">
        <f>(L71+L72+L183+L184)*'DATA - P&amp;L'!$C$5*'DATA - P&amp;L'!$C$54</f>
        <v>0</v>
      </c>
      <c r="M282" s="70">
        <f>(M71+M72+M183+M184)*'DATA - P&amp;L'!$C$5*'DATA - P&amp;L'!$C$54</f>
        <v>0</v>
      </c>
      <c r="N282" s="70">
        <f>(N71+N72+N183+N184)*'DATA - P&amp;L'!$C$5*'DATA - P&amp;L'!$C$54</f>
        <v>0</v>
      </c>
      <c r="O282" s="70">
        <f>(O71+O72+O183+O184)*'DATA - P&amp;L'!$C$5*'DATA - P&amp;L'!$C$54</f>
        <v>0</v>
      </c>
      <c r="P282" s="70">
        <f>(P71+P72+P183+P184)*'DATA - P&amp;L'!$C$5*'DATA - P&amp;L'!$C$54</f>
        <v>0</v>
      </c>
      <c r="Q282" s="70">
        <f>(Q71+Q72+Q183+Q184)*'DATA - P&amp;L'!$C$5*'DATA - P&amp;L'!$C$54</f>
        <v>0</v>
      </c>
      <c r="R282" s="70">
        <f>(R71+R72+R183+R184)*'DATA - P&amp;L'!$C$5*'DATA - P&amp;L'!$C$54</f>
        <v>0</v>
      </c>
      <c r="S282" s="70">
        <f>(S71+S72+S183+S184)*'DATA - P&amp;L'!$C$5*'DATA - P&amp;L'!$C$54</f>
        <v>0</v>
      </c>
      <c r="T282" s="70">
        <f>(T71+T72+T183+T184)*'DATA - P&amp;L'!$C$5*'DATA - P&amp;L'!$C$54</f>
        <v>0</v>
      </c>
      <c r="U282" s="70">
        <f>(U71+U72+U183+U184)*'DATA - P&amp;L'!$C$5*'DATA - P&amp;L'!$C$54</f>
        <v>0</v>
      </c>
      <c r="V282" s="70">
        <f>(V71+V72+V183+V184)*'DATA - P&amp;L'!$C$5*'DATA - P&amp;L'!$C$54</f>
        <v>0</v>
      </c>
      <c r="W282" s="70">
        <f>(W71+W72+W183+W184)*'DATA - P&amp;L'!$C$5*'DATA - P&amp;L'!$C$54</f>
        <v>0</v>
      </c>
      <c r="X282" s="70">
        <f>(X71+X72+X183+X184)*'DATA - P&amp;L'!$C$5*'DATA - P&amp;L'!$C$54</f>
        <v>0</v>
      </c>
      <c r="Y282" s="70">
        <f>(Y71+Y72+Y183+Y184)*'DATA - P&amp;L'!$C$5*'DATA - P&amp;L'!$C$54</f>
        <v>0</v>
      </c>
      <c r="Z282" s="70">
        <f>(Z71+Z72+Z183+Z184)*'DATA - P&amp;L'!$C$5*'DATA - P&amp;L'!$C$54</f>
        <v>0</v>
      </c>
      <c r="AA282" s="70">
        <f>(AA71+AA72+AA183+AA184)*'DATA - P&amp;L'!$C$5*'DATA - P&amp;L'!$C$54</f>
        <v>0</v>
      </c>
      <c r="AB282" s="70">
        <f>(AB71+AB72+AB183+AB184)*'DATA - P&amp;L'!$C$5*'DATA - P&amp;L'!$C$54</f>
        <v>0</v>
      </c>
      <c r="AC282" s="70">
        <f>(AC71+AC72+AC183+AC184)*'DATA - P&amp;L'!$C$5*'DATA - P&amp;L'!$C$54</f>
        <v>0</v>
      </c>
      <c r="AD282" s="70">
        <f>(AD71+AD72+AD183+AD184)*'DATA - P&amp;L'!$C$5*'DATA - P&amp;L'!$C$54</f>
        <v>0</v>
      </c>
      <c r="AE282" s="70">
        <f>(AE71+AE72+AE183+AE184)*'DATA - P&amp;L'!$C$5*'DATA - P&amp;L'!$C$54</f>
        <v>0</v>
      </c>
      <c r="AF282" s="851">
        <f t="shared" si="67"/>
        <v>0</v>
      </c>
    </row>
    <row r="283" outlineLevel="1">
      <c r="A283" s="101" t="s">
        <v>398</v>
      </c>
      <c r="B283" s="70">
        <f>(B73+B74+B185+B186)*'DATA - P&amp;L'!$C$10*'DATA - P&amp;L'!$C$54</f>
        <v>0</v>
      </c>
      <c r="C283" s="70">
        <f>(C73+C74+C185+C186)*'DATA - P&amp;L'!$C$10*'DATA - P&amp;L'!$C$54</f>
        <v>0</v>
      </c>
      <c r="D283" s="70">
        <f>(D73+D74+D185+D186)*'DATA - P&amp;L'!$C$10*'DATA - P&amp;L'!$C$54</f>
        <v>0</v>
      </c>
      <c r="E283" s="70">
        <f>(E73+E74+E185+E186)*'DATA - P&amp;L'!$C$10*'DATA - P&amp;L'!$C$54</f>
        <v>0</v>
      </c>
      <c r="F283" s="70">
        <f>(F73+F74+F185+F186)*'DATA - P&amp;L'!$C$10*'DATA - P&amp;L'!$C$54</f>
        <v>0</v>
      </c>
      <c r="G283" s="70">
        <f>(G73+G74+G185+G186)*'DATA - P&amp;L'!$C$10*'DATA - P&amp;L'!$C$54</f>
        <v>0</v>
      </c>
      <c r="H283" s="70">
        <f>(H73+H74+H185+H186)*'DATA - P&amp;L'!$C$10*'DATA - P&amp;L'!$C$54</f>
        <v>0</v>
      </c>
      <c r="I283" s="70">
        <f>(I73+I74+I185+I186)*'DATA - P&amp;L'!$C$10*'DATA - P&amp;L'!$C$54</f>
        <v>0</v>
      </c>
      <c r="J283" s="70">
        <f>(J73+J74+J185+J186)*'DATA - P&amp;L'!$C$10*'DATA - P&amp;L'!$C$54</f>
        <v>0</v>
      </c>
      <c r="K283" s="70">
        <f>(K73+K74+K185+K186)*'DATA - P&amp;L'!$C$10*'DATA - P&amp;L'!$C$54</f>
        <v>0</v>
      </c>
      <c r="L283" s="70">
        <f>(L73+L74+L185+L186)*'DATA - P&amp;L'!$C$10*'DATA - P&amp;L'!$C$54</f>
        <v>0</v>
      </c>
      <c r="M283" s="70">
        <f>(M73+M74+M185+M186)*'DATA - P&amp;L'!$C$10*'DATA - P&amp;L'!$C$54</f>
        <v>0</v>
      </c>
      <c r="N283" s="70">
        <f>(N73+N74+N185+N186)*'DATA - P&amp;L'!$C$10*'DATA - P&amp;L'!$C$54</f>
        <v>0</v>
      </c>
      <c r="O283" s="70">
        <f>(O73+O74+O185+O186)*'DATA - P&amp;L'!$C$10*'DATA - P&amp;L'!$C$54</f>
        <v>0</v>
      </c>
      <c r="P283" s="70">
        <f>(P73+P74+P185+P186)*'DATA - P&amp;L'!$C$10*'DATA - P&amp;L'!$C$54</f>
        <v>0</v>
      </c>
      <c r="Q283" s="70">
        <f>(Q73+Q74+Q185+Q186)*'DATA - P&amp;L'!$C$10*'DATA - P&amp;L'!$C$54</f>
        <v>0</v>
      </c>
      <c r="R283" s="70">
        <f>(R73+R74+R185+R186)*'DATA - P&amp;L'!$C$10*'DATA - P&amp;L'!$C$54</f>
        <v>0</v>
      </c>
      <c r="S283" s="70">
        <f>(S73+S74+S185+S186)*'DATA - P&amp;L'!$C$10*'DATA - P&amp;L'!$C$54</f>
        <v>0</v>
      </c>
      <c r="T283" s="70">
        <f>(T73+T74+T185+T186)*'DATA - P&amp;L'!$C$10*'DATA - P&amp;L'!$C$54</f>
        <v>0</v>
      </c>
      <c r="U283" s="70">
        <f>(U73+U74+U185+U186)*'DATA - P&amp;L'!$C$10*'DATA - P&amp;L'!$C$54</f>
        <v>0</v>
      </c>
      <c r="V283" s="70">
        <f>(V73+V74+V185+V186)*'DATA - P&amp;L'!$C$10*'DATA - P&amp;L'!$C$54</f>
        <v>0</v>
      </c>
      <c r="W283" s="70">
        <f>(W73+W74+W185+W186)*'DATA - P&amp;L'!$C$10*'DATA - P&amp;L'!$C$54</f>
        <v>0</v>
      </c>
      <c r="X283" s="70">
        <f>(X73+X74+X185+X186)*'DATA - P&amp;L'!$C$10*'DATA - P&amp;L'!$C$54</f>
        <v>0</v>
      </c>
      <c r="Y283" s="70">
        <f>(Y73+Y74+Y185+Y186)*'DATA - P&amp;L'!$C$10*'DATA - P&amp;L'!$C$54</f>
        <v>0</v>
      </c>
      <c r="Z283" s="70">
        <f>(Z73+Z74+Z185+Z186)*'DATA - P&amp;L'!$C$10*'DATA - P&amp;L'!$C$54</f>
        <v>0</v>
      </c>
      <c r="AA283" s="70">
        <f>(AA73+AA74+AA185+AA186)*'DATA - P&amp;L'!$C$10*'DATA - P&amp;L'!$C$54</f>
        <v>0</v>
      </c>
      <c r="AB283" s="70">
        <f>(AB73+AB74+AB185+AB186)*'DATA - P&amp;L'!$C$10*'DATA - P&amp;L'!$C$54</f>
        <v>0</v>
      </c>
      <c r="AC283" s="70">
        <f>(AC73+AC74+AC185+AC186)*'DATA - P&amp;L'!$C$10*'DATA - P&amp;L'!$C$54</f>
        <v>0</v>
      </c>
      <c r="AD283" s="70">
        <f>(AD73+AD74+AD185+AD186)*'DATA - P&amp;L'!$C$10*'DATA - P&amp;L'!$C$54</f>
        <v>0</v>
      </c>
      <c r="AE283" s="70">
        <f>(AE73+AE74+AE185+AE186)*'DATA - P&amp;L'!$C$10*'DATA - P&amp;L'!$C$54</f>
        <v>0</v>
      </c>
      <c r="AF283" s="851">
        <f t="shared" si="67"/>
        <v>0</v>
      </c>
    </row>
    <row r="284" outlineLevel="1">
      <c r="A284" s="101" t="s">
        <v>400</v>
      </c>
      <c r="B284" s="70">
        <f>((B64*'DATA - P&amp;L'!$C$38)+(B176*'DATA - P&amp;L'!$C$38))*'DATA - P&amp;L'!$C$54</f>
        <v>0</v>
      </c>
      <c r="C284" s="70">
        <f>((C64*'DATA - P&amp;L'!$C$38)+(C176*'DATA - P&amp;L'!$C$39))*'DATA - P&amp;L'!$C$54</f>
        <v>0</v>
      </c>
      <c r="D284" s="70">
        <f>((D64*'DATA - P&amp;L'!$C$38)+(D176*'DATA - P&amp;L'!$C$39))*'DATA - P&amp;L'!$C$54</f>
        <v>0</v>
      </c>
      <c r="E284" s="70">
        <f>((E64*'DATA - P&amp;L'!$C$38)+(E176*'DATA - P&amp;L'!$C$39))*'DATA - P&amp;L'!$C$54</f>
        <v>0</v>
      </c>
      <c r="F284" s="70">
        <f>((F64*'DATA - P&amp;L'!$C$38)+(F176*'DATA - P&amp;L'!$C$39))*'DATA - P&amp;L'!$C$54</f>
        <v>0</v>
      </c>
      <c r="G284" s="70">
        <f>((G64*'DATA - P&amp;L'!$C$38)+(G176*'DATA - P&amp;L'!$C$39))*'DATA - P&amp;L'!$C$54</f>
        <v>0</v>
      </c>
      <c r="H284" s="70">
        <f>((H64*'DATA - P&amp;L'!$C$38)+(H176*'DATA - P&amp;L'!$C$39))*'DATA - P&amp;L'!$C$54</f>
        <v>0</v>
      </c>
      <c r="I284" s="70">
        <f>((I64*'DATA - P&amp;L'!$C$38)+(I176*'DATA - P&amp;L'!$C$39))*'DATA - P&amp;L'!$C$54</f>
        <v>0</v>
      </c>
      <c r="J284" s="70">
        <f>((J64*'DATA - P&amp;L'!$C$38)+(J176*'DATA - P&amp;L'!$C$39))*'DATA - P&amp;L'!$C$54</f>
        <v>0</v>
      </c>
      <c r="K284" s="70">
        <f>((K64*'DATA - P&amp;L'!$C$38)+(K176*'DATA - P&amp;L'!$C$39))*'DATA - P&amp;L'!$C$54</f>
        <v>0</v>
      </c>
      <c r="L284" s="70">
        <f>((L64*'DATA - P&amp;L'!$C$38)+(L176*'DATA - P&amp;L'!$C$39))*'DATA - P&amp;L'!$C$54</f>
        <v>0</v>
      </c>
      <c r="M284" s="70">
        <f>((M64*'DATA - P&amp;L'!$C$38)+(M176*'DATA - P&amp;L'!$C$39))*'DATA - P&amp;L'!$C$54</f>
        <v>0</v>
      </c>
      <c r="N284" s="70">
        <f>((N64*'DATA - P&amp;L'!$C$38)+(N176*'DATA - P&amp;L'!$C$39))*'DATA - P&amp;L'!$C$54</f>
        <v>0</v>
      </c>
      <c r="O284" s="70">
        <f>((O64*'DATA - P&amp;L'!$C$38)+(O176*'DATA - P&amp;L'!$C$39))*'DATA - P&amp;L'!$C$54</f>
        <v>0</v>
      </c>
      <c r="P284" s="70">
        <f>((P64*'DATA - P&amp;L'!$C$38)+(P176*'DATA - P&amp;L'!$C$39))*'DATA - P&amp;L'!$C$54</f>
        <v>0</v>
      </c>
      <c r="Q284" s="70">
        <f>((Q64*'DATA - P&amp;L'!$C$38)+(Q176*'DATA - P&amp;L'!$C$39))*'DATA - P&amp;L'!$C$54</f>
        <v>0</v>
      </c>
      <c r="R284" s="70">
        <f>((R64*'DATA - P&amp;L'!$C$38)+(R176*'DATA - P&amp;L'!$C$39))*'DATA - P&amp;L'!$C$54</f>
        <v>0</v>
      </c>
      <c r="S284" s="70">
        <f>((S64*'DATA - P&amp;L'!$C$38)+(S176*'DATA - P&amp;L'!$C$39))*'DATA - P&amp;L'!$C$54</f>
        <v>0</v>
      </c>
      <c r="T284" s="70">
        <f>((T64*'DATA - P&amp;L'!$C$38)+(T176*'DATA - P&amp;L'!$C$39))*'DATA - P&amp;L'!$C$54</f>
        <v>0</v>
      </c>
      <c r="U284" s="70">
        <f>((U64*'DATA - P&amp;L'!$C$38)+(U176*'DATA - P&amp;L'!$C$39))*'DATA - P&amp;L'!$C$54</f>
        <v>0</v>
      </c>
      <c r="V284" s="70">
        <f>((V64*'DATA - P&amp;L'!$C$38)+(V176*'DATA - P&amp;L'!$C$39))*'DATA - P&amp;L'!$C$54</f>
        <v>0</v>
      </c>
      <c r="W284" s="70">
        <f>((W64*'DATA - P&amp;L'!$C$38)+(W176*'DATA - P&amp;L'!$C$39))*'DATA - P&amp;L'!$C$54</f>
        <v>0</v>
      </c>
      <c r="X284" s="70">
        <f>((X64*'DATA - P&amp;L'!$C$38)+(X176*'DATA - P&amp;L'!$C$39))*'DATA - P&amp;L'!$C$54</f>
        <v>0</v>
      </c>
      <c r="Y284" s="70">
        <f>((Y64*'DATA - P&amp;L'!$C$38)+(Y176*'DATA - P&amp;L'!$C$39))*'DATA - P&amp;L'!$C$54</f>
        <v>0</v>
      </c>
      <c r="Z284" s="70">
        <f>((Z64*'DATA - P&amp;L'!$C$38)+(Z176*'DATA - P&amp;L'!$C$39))*'DATA - P&amp;L'!$C$54</f>
        <v>0</v>
      </c>
      <c r="AA284" s="70">
        <f>((AA64*'DATA - P&amp;L'!$C$38)+(AA176*'DATA - P&amp;L'!$C$39))*'DATA - P&amp;L'!$C$54</f>
        <v>0</v>
      </c>
      <c r="AB284" s="70">
        <f>((AB64*'DATA - P&amp;L'!$C$38)+(AB176*'DATA - P&amp;L'!$C$39))*'DATA - P&amp;L'!$C$54</f>
        <v>0</v>
      </c>
      <c r="AC284" s="70">
        <f>((AC64*'DATA - P&amp;L'!$C$38)+(AC176*'DATA - P&amp;L'!$C$39))*'DATA - P&amp;L'!$C$54</f>
        <v>0</v>
      </c>
      <c r="AD284" s="70">
        <f>((AD64*'DATA - P&amp;L'!$C$38)+(AD176*'DATA - P&amp;L'!$C$39))*'DATA - P&amp;L'!$C$54</f>
        <v>0</v>
      </c>
      <c r="AE284" s="70">
        <f>((AE64*'DATA - P&amp;L'!$C$38)+(AE176*'DATA - P&amp;L'!$C$39))*'DATA - P&amp;L'!$C$54</f>
        <v>0</v>
      </c>
      <c r="AF284" s="851">
        <f t="shared" si="67"/>
        <v>0</v>
      </c>
    </row>
    <row r="285" outlineLevel="1">
      <c r="A285" s="101" t="s">
        <v>465</v>
      </c>
      <c r="B285" s="70">
        <f>((B75*'DATA - P&amp;L'!$D$38)+(B187*'DATA - P&amp;L'!$D$38))*'DATA - P&amp;L'!$C$54</f>
        <v>0</v>
      </c>
      <c r="C285" s="70">
        <f>((C75*'DATA - P&amp;L'!$D$38)+(C187*'DATA - P&amp;L'!$D$39))*'DATA - P&amp;L'!$C$54</f>
        <v>0</v>
      </c>
      <c r="D285" s="70">
        <f>((D75*'DATA - P&amp;L'!$D$38)+(D187*'DATA - P&amp;L'!$D$39))*'DATA - P&amp;L'!$C$54</f>
        <v>0</v>
      </c>
      <c r="E285" s="70">
        <f>((E75*'DATA - P&amp;L'!$D$38)+(E187*'DATA - P&amp;L'!$D$39))*'DATA - P&amp;L'!$C$54</f>
        <v>0</v>
      </c>
      <c r="F285" s="70">
        <f>((F75*'DATA - P&amp;L'!$D$38)+(F187*'DATA - P&amp;L'!$D$39))*'DATA - P&amp;L'!$C$54</f>
        <v>0</v>
      </c>
      <c r="G285" s="70">
        <f>((G75*'DATA - P&amp;L'!$D$38)+(G187*'DATA - P&amp;L'!$D$39))*'DATA - P&amp;L'!$C$54</f>
        <v>0</v>
      </c>
      <c r="H285" s="70">
        <f>((H75*'DATA - P&amp;L'!$D$38)+(H187*'DATA - P&amp;L'!$D$39))*'DATA - P&amp;L'!$C$54</f>
        <v>0</v>
      </c>
      <c r="I285" s="70">
        <f>((I75*'DATA - P&amp;L'!$D$38)+(I187*'DATA - P&amp;L'!$D$39))*'DATA - P&amp;L'!$C$54</f>
        <v>0</v>
      </c>
      <c r="J285" s="70">
        <f>((J75*'DATA - P&amp;L'!$D$38)+(J187*'DATA - P&amp;L'!$D$39))*'DATA - P&amp;L'!$C$54</f>
        <v>0</v>
      </c>
      <c r="K285" s="70">
        <f>((K75*'DATA - P&amp;L'!$D$38)+(K187*'DATA - P&amp;L'!$D$39))*'DATA - P&amp;L'!$C$54</f>
        <v>0</v>
      </c>
      <c r="L285" s="70">
        <f>((L75*'DATA - P&amp;L'!$D$38)+(L187*'DATA - P&amp;L'!$D$39))*'DATA - P&amp;L'!$C$54</f>
        <v>0</v>
      </c>
      <c r="M285" s="70">
        <f>((M75*'DATA - P&amp;L'!$D$38)+(M187*'DATA - P&amp;L'!$D$39))*'DATA - P&amp;L'!$C$54</f>
        <v>0</v>
      </c>
      <c r="N285" s="70">
        <f>((N75*'DATA - P&amp;L'!$D$38)+(N187*'DATA - P&amp;L'!$D$39))*'DATA - P&amp;L'!$C$54</f>
        <v>0</v>
      </c>
      <c r="O285" s="70">
        <f>((O75*'DATA - P&amp;L'!$D$38)+(O187*'DATA - P&amp;L'!$D$39))*'DATA - P&amp;L'!$C$54</f>
        <v>0</v>
      </c>
      <c r="P285" s="70">
        <f>((P75*'DATA - P&amp;L'!$D$38)+(P187*'DATA - P&amp;L'!$D$39))*'DATA - P&amp;L'!$C$54</f>
        <v>0</v>
      </c>
      <c r="Q285" s="70">
        <f>((Q75*'DATA - P&amp;L'!$D$38)+(Q187*'DATA - P&amp;L'!$D$39))*'DATA - P&amp;L'!$C$54</f>
        <v>0</v>
      </c>
      <c r="R285" s="70">
        <f>((R75*'DATA - P&amp;L'!$D$38)+(R187*'DATA - P&amp;L'!$D$39))*'DATA - P&amp;L'!$C$54</f>
        <v>0</v>
      </c>
      <c r="S285" s="70">
        <f>((S75*'DATA - P&amp;L'!$D$38)+(S187*'DATA - P&amp;L'!$D$39))*'DATA - P&amp;L'!$C$54</f>
        <v>0</v>
      </c>
      <c r="T285" s="70">
        <f>((T75*'DATA - P&amp;L'!$D$38)+(T187*'DATA - P&amp;L'!$D$39))*'DATA - P&amp;L'!$C$54</f>
        <v>0</v>
      </c>
      <c r="U285" s="70">
        <f>((U75*'DATA - P&amp;L'!$D$38)+(U187*'DATA - P&amp;L'!$D$39))*'DATA - P&amp;L'!$C$54</f>
        <v>0</v>
      </c>
      <c r="V285" s="70">
        <f>((V75*'DATA - P&amp;L'!$D$38)+(V187*'DATA - P&amp;L'!$D$39))*'DATA - P&amp;L'!$C$54</f>
        <v>0</v>
      </c>
      <c r="W285" s="70">
        <f>((W75*'DATA - P&amp;L'!$D$38)+(W187*'DATA - P&amp;L'!$D$39))*'DATA - P&amp;L'!$C$54</f>
        <v>0</v>
      </c>
      <c r="X285" s="70">
        <f>((X75*'DATA - P&amp;L'!$D$38)+(X187*'DATA - P&amp;L'!$D$39))*'DATA - P&amp;L'!$C$54</f>
        <v>0</v>
      </c>
      <c r="Y285" s="70">
        <f>((Y75*'DATA - P&amp;L'!$D$38)+(Y187*'DATA - P&amp;L'!$D$39))*'DATA - P&amp;L'!$C$54</f>
        <v>0</v>
      </c>
      <c r="Z285" s="70">
        <f>((Z75*'DATA - P&amp;L'!$D$38)+(Z187*'DATA - P&amp;L'!$D$39))*'DATA - P&amp;L'!$C$54</f>
        <v>0</v>
      </c>
      <c r="AA285" s="70">
        <f>((AA75*'DATA - P&amp;L'!$D$38)+(AA187*'DATA - P&amp;L'!$D$39))*'DATA - P&amp;L'!$C$54</f>
        <v>0</v>
      </c>
      <c r="AB285" s="70">
        <f>((AB75*'DATA - P&amp;L'!$D$38)+(AB187*'DATA - P&amp;L'!$D$39))*'DATA - P&amp;L'!$C$54</f>
        <v>0</v>
      </c>
      <c r="AC285" s="70">
        <f>((AC75*'DATA - P&amp;L'!$D$38)+(AC187*'DATA - P&amp;L'!$D$39))*'DATA - P&amp;L'!$C$54</f>
        <v>0</v>
      </c>
      <c r="AD285" s="70">
        <f>((AD75*'DATA - P&amp;L'!$D$38)+(AD187*'DATA - P&amp;L'!$D$39))*'DATA - P&amp;L'!$C$54</f>
        <v>0</v>
      </c>
      <c r="AE285" s="70">
        <f>((AE75*'DATA - P&amp;L'!$D$38)+(AE187*'DATA - P&amp;L'!$D$39))*'DATA - P&amp;L'!$C$54</f>
        <v>0</v>
      </c>
      <c r="AF285" s="851">
        <f t="shared" si="67"/>
        <v>0</v>
      </c>
    </row>
    <row r="286" outlineLevel="1">
      <c r="A286" s="101" t="s">
        <v>821</v>
      </c>
      <c r="B286" s="173">
        <f>B77*'DATA - P&amp;L'!$R$3</f>
        <v>0</v>
      </c>
      <c r="C286" s="173">
        <f>C77*'DATA - P&amp;L'!$R$3</f>
        <v>0</v>
      </c>
      <c r="D286" s="173">
        <f>D77*'DATA - P&amp;L'!$R$3</f>
        <v>0</v>
      </c>
      <c r="E286" s="173">
        <f>E77*'DATA - P&amp;L'!$R$3</f>
        <v>0</v>
      </c>
      <c r="F286" s="173">
        <f>F77*'DATA - P&amp;L'!$R$3</f>
        <v>0</v>
      </c>
      <c r="G286" s="173">
        <f>G77*'DATA - P&amp;L'!$R$3</f>
        <v>0</v>
      </c>
      <c r="H286" s="173">
        <f>H77*'DATA - P&amp;L'!$R$3</f>
        <v>0</v>
      </c>
      <c r="I286" s="173">
        <f>I77*'DATA - P&amp;L'!$R$3</f>
        <v>0</v>
      </c>
      <c r="J286" s="173">
        <f>J77*'DATA - P&amp;L'!$R$3</f>
        <v>0</v>
      </c>
      <c r="K286" s="173">
        <f>K77*'DATA - P&amp;L'!$R$3</f>
        <v>0</v>
      </c>
      <c r="L286" s="173">
        <f>L77*'DATA - P&amp;L'!$R$3</f>
        <v>0</v>
      </c>
      <c r="M286" s="173">
        <f>M77*'DATA - P&amp;L'!$R$3</f>
        <v>0</v>
      </c>
      <c r="N286" s="173">
        <f>N77*'DATA - P&amp;L'!$R$3</f>
        <v>0</v>
      </c>
      <c r="O286" s="173">
        <f>O77*'DATA - P&amp;L'!$R$3</f>
        <v>0</v>
      </c>
      <c r="P286" s="173">
        <f>P77*'DATA - P&amp;L'!$R$3</f>
        <v>0</v>
      </c>
      <c r="Q286" s="173">
        <f>Q77*'DATA - P&amp;L'!$R$3</f>
        <v>0</v>
      </c>
      <c r="R286" s="173">
        <f>R77*'DATA - P&amp;L'!$R$3</f>
        <v>0</v>
      </c>
      <c r="S286" s="173">
        <f>S77*'DATA - P&amp;L'!$R$3</f>
        <v>0</v>
      </c>
      <c r="T286" s="173">
        <f>T77*'DATA - P&amp;L'!$R$3</f>
        <v>0</v>
      </c>
      <c r="U286" s="173">
        <f>U77*'DATA - P&amp;L'!$R$3</f>
        <v>0</v>
      </c>
      <c r="V286" s="173">
        <f>V77*'DATA - P&amp;L'!$R$3</f>
        <v>0</v>
      </c>
      <c r="W286" s="173">
        <f>W77*'DATA - P&amp;L'!$R$3</f>
        <v>0</v>
      </c>
      <c r="X286" s="173">
        <f>X77*'DATA - P&amp;L'!$R$3</f>
        <v>0</v>
      </c>
      <c r="Y286" s="173">
        <f>Y77*'DATA - P&amp;L'!$R$3</f>
        <v>0</v>
      </c>
      <c r="Z286" s="173">
        <f>Z77*'DATA - P&amp;L'!$R$3</f>
        <v>0</v>
      </c>
      <c r="AA286" s="173">
        <f>AA77*'DATA - P&amp;L'!$R$3</f>
        <v>0</v>
      </c>
      <c r="AB286" s="173">
        <f>AB77*'DATA - P&amp;L'!$R$3</f>
        <v>0</v>
      </c>
      <c r="AC286" s="173">
        <f>AC77*'DATA - P&amp;L'!$R$3</f>
        <v>0</v>
      </c>
      <c r="AD286" s="173">
        <f>AD77*'DATA - P&amp;L'!$R$3</f>
        <v>0</v>
      </c>
      <c r="AE286" s="173">
        <f>AE77*'DATA - P&amp;L'!$R$3</f>
        <v>0</v>
      </c>
      <c r="AF286" s="851">
        <f t="shared" si="67"/>
        <v>0</v>
      </c>
    </row>
    <row r="287" outlineLevel="1">
      <c r="A287" s="864" t="s">
        <v>502</v>
      </c>
      <c r="B287" s="81">
        <f t="shared" ref="B287:AE287" si="68">B83+B193</f>
        <v>0</v>
      </c>
      <c r="C287" s="81">
        <f t="shared" si="68"/>
        <v>0</v>
      </c>
      <c r="D287" s="81">
        <f t="shared" si="68"/>
        <v>0</v>
      </c>
      <c r="E287" s="81">
        <f t="shared" si="68"/>
        <v>0</v>
      </c>
      <c r="F287" s="81">
        <f t="shared" si="68"/>
        <v>0</v>
      </c>
      <c r="G287" s="81">
        <f t="shared" si="68"/>
        <v>0</v>
      </c>
      <c r="H287" s="81">
        <f t="shared" si="68"/>
        <v>0</v>
      </c>
      <c r="I287" s="81">
        <f t="shared" si="68"/>
        <v>0</v>
      </c>
      <c r="J287" s="81">
        <f t="shared" si="68"/>
        <v>0</v>
      </c>
      <c r="K287" s="81">
        <f t="shared" si="68"/>
        <v>0</v>
      </c>
      <c r="L287" s="81">
        <f t="shared" si="68"/>
        <v>0</v>
      </c>
      <c r="M287" s="81">
        <f t="shared" si="68"/>
        <v>0</v>
      </c>
      <c r="N287" s="81">
        <f t="shared" si="68"/>
        <v>0</v>
      </c>
      <c r="O287" s="81">
        <f t="shared" si="68"/>
        <v>0</v>
      </c>
      <c r="P287" s="81">
        <f t="shared" si="68"/>
        <v>0</v>
      </c>
      <c r="Q287" s="81">
        <f t="shared" si="68"/>
        <v>0</v>
      </c>
      <c r="R287" s="81">
        <f t="shared" si="68"/>
        <v>0</v>
      </c>
      <c r="S287" s="81">
        <f t="shared" si="68"/>
        <v>0</v>
      </c>
      <c r="T287" s="81">
        <f t="shared" si="68"/>
        <v>0</v>
      </c>
      <c r="U287" s="81">
        <f t="shared" si="68"/>
        <v>0</v>
      </c>
      <c r="V287" s="81">
        <f t="shared" si="68"/>
        <v>0</v>
      </c>
      <c r="W287" s="81">
        <f t="shared" si="68"/>
        <v>0</v>
      </c>
      <c r="X287" s="81">
        <f t="shared" si="68"/>
        <v>0</v>
      </c>
      <c r="Y287" s="81">
        <f t="shared" si="68"/>
        <v>0</v>
      </c>
      <c r="Z287" s="81">
        <f t="shared" si="68"/>
        <v>0</v>
      </c>
      <c r="AA287" s="81">
        <f t="shared" si="68"/>
        <v>0</v>
      </c>
      <c r="AB287" s="81">
        <f t="shared" si="68"/>
        <v>0</v>
      </c>
      <c r="AC287" s="81">
        <f t="shared" si="68"/>
        <v>0</v>
      </c>
      <c r="AD287" s="81">
        <f t="shared" si="68"/>
        <v>0</v>
      </c>
      <c r="AE287" s="81">
        <f t="shared" si="68"/>
        <v>0</v>
      </c>
      <c r="AF287" s="851">
        <f t="shared" si="67"/>
        <v>0</v>
      </c>
    </row>
    <row r="288">
      <c r="A288" s="603" t="s">
        <v>831</v>
      </c>
      <c r="B288" s="576">
        <f t="shared" ref="B288:AE288" si="69">sum(B289:B299)-B302</f>
        <v>0</v>
      </c>
      <c r="C288" s="576">
        <f t="shared" si="69"/>
        <v>0</v>
      </c>
      <c r="D288" s="576">
        <f t="shared" si="69"/>
        <v>0</v>
      </c>
      <c r="E288" s="576">
        <f t="shared" si="69"/>
        <v>0</v>
      </c>
      <c r="F288" s="576">
        <f t="shared" si="69"/>
        <v>0</v>
      </c>
      <c r="G288" s="576">
        <f t="shared" si="69"/>
        <v>0</v>
      </c>
      <c r="H288" s="576">
        <f t="shared" si="69"/>
        <v>0</v>
      </c>
      <c r="I288" s="576">
        <f t="shared" si="69"/>
        <v>0</v>
      </c>
      <c r="J288" s="576">
        <f t="shared" si="69"/>
        <v>0</v>
      </c>
      <c r="K288" s="576">
        <f t="shared" si="69"/>
        <v>0</v>
      </c>
      <c r="L288" s="576">
        <f t="shared" si="69"/>
        <v>0</v>
      </c>
      <c r="M288" s="576">
        <f t="shared" si="69"/>
        <v>0</v>
      </c>
      <c r="N288" s="576">
        <f t="shared" si="69"/>
        <v>0</v>
      </c>
      <c r="O288" s="576">
        <f t="shared" si="69"/>
        <v>0</v>
      </c>
      <c r="P288" s="576">
        <f t="shared" si="69"/>
        <v>0</v>
      </c>
      <c r="Q288" s="576">
        <f t="shared" si="69"/>
        <v>0</v>
      </c>
      <c r="R288" s="576">
        <f t="shared" si="69"/>
        <v>0</v>
      </c>
      <c r="S288" s="576">
        <f t="shared" si="69"/>
        <v>0</v>
      </c>
      <c r="T288" s="576">
        <f t="shared" si="69"/>
        <v>0</v>
      </c>
      <c r="U288" s="576">
        <f t="shared" si="69"/>
        <v>0</v>
      </c>
      <c r="V288" s="576">
        <f t="shared" si="69"/>
        <v>0</v>
      </c>
      <c r="W288" s="576">
        <f t="shared" si="69"/>
        <v>0</v>
      </c>
      <c r="X288" s="576">
        <f t="shared" si="69"/>
        <v>0</v>
      </c>
      <c r="Y288" s="576">
        <f t="shared" si="69"/>
        <v>0</v>
      </c>
      <c r="Z288" s="576">
        <f t="shared" si="69"/>
        <v>0</v>
      </c>
      <c r="AA288" s="576">
        <f t="shared" si="69"/>
        <v>0</v>
      </c>
      <c r="AB288" s="576">
        <f t="shared" si="69"/>
        <v>0</v>
      </c>
      <c r="AC288" s="576">
        <f t="shared" si="69"/>
        <v>0</v>
      </c>
      <c r="AD288" s="576">
        <f t="shared" si="69"/>
        <v>0</v>
      </c>
      <c r="AE288" s="576">
        <f t="shared" si="69"/>
        <v>0</v>
      </c>
      <c r="AF288" s="851">
        <f t="shared" si="67"/>
        <v>0</v>
      </c>
    </row>
    <row r="289" outlineLevel="1">
      <c r="A289" s="101" t="s">
        <v>383</v>
      </c>
      <c r="B289" s="70">
        <f>(B94+B204)*'DATA - P&amp;L'!$C$3*'DATA - P&amp;L'!$C$55</f>
        <v>0</v>
      </c>
      <c r="C289" s="70">
        <f>C179*'DATA - P&amp;L'!$C$3*'DATA - P&amp;L'!$C$55</f>
        <v>0</v>
      </c>
      <c r="D289" s="70">
        <f>D179*'DATA - P&amp;L'!$C$3*'DATA - P&amp;L'!$C$55</f>
        <v>0</v>
      </c>
      <c r="E289" s="70">
        <f>E179*'DATA - P&amp;L'!$C$3*'DATA - P&amp;L'!$C$55</f>
        <v>0</v>
      </c>
      <c r="F289" s="70">
        <f>F179*'DATA - P&amp;L'!$C$3*'DATA - P&amp;L'!$C$55</f>
        <v>0</v>
      </c>
      <c r="G289" s="70">
        <f>G179*'DATA - P&amp;L'!$C$3*'DATA - P&amp;L'!$C$55</f>
        <v>0</v>
      </c>
      <c r="H289" s="70">
        <f>H179*'DATA - P&amp;L'!$C$3*'DATA - P&amp;L'!$C$55</f>
        <v>0</v>
      </c>
      <c r="I289" s="70">
        <f>I179*'DATA - P&amp;L'!$C$3*'DATA - P&amp;L'!$C$55</f>
        <v>0</v>
      </c>
      <c r="J289" s="70">
        <f>J179*'DATA - P&amp;L'!$C$3*'DATA - P&amp;L'!$C$55</f>
        <v>0</v>
      </c>
      <c r="K289" s="70">
        <f>K179*'DATA - P&amp;L'!$C$3*'DATA - P&amp;L'!$C$55</f>
        <v>0</v>
      </c>
      <c r="L289" s="70">
        <f>L179*'DATA - P&amp;L'!$C$3*'DATA - P&amp;L'!$C$55</f>
        <v>0</v>
      </c>
      <c r="M289" s="70">
        <f>M179*'DATA - P&amp;L'!$C$3*'DATA - P&amp;L'!$C$55</f>
        <v>0</v>
      </c>
      <c r="N289" s="70">
        <f>N179*'DATA - P&amp;L'!$C$3*'DATA - P&amp;L'!$C$55</f>
        <v>0</v>
      </c>
      <c r="O289" s="70">
        <f>O179*'DATA - P&amp;L'!$C$3*'DATA - P&amp;L'!$C$55</f>
        <v>0</v>
      </c>
      <c r="P289" s="70">
        <f>P179*'DATA - P&amp;L'!$C$3*'DATA - P&amp;L'!$C$55</f>
        <v>0</v>
      </c>
      <c r="Q289" s="70">
        <f>Q179*'DATA - P&amp;L'!$C$3*'DATA - P&amp;L'!$C$55</f>
        <v>0</v>
      </c>
      <c r="R289" s="70">
        <f>R179*'DATA - P&amp;L'!$C$3*'DATA - P&amp;L'!$C$55</f>
        <v>0</v>
      </c>
      <c r="S289" s="70">
        <f>S179*'DATA - P&amp;L'!$C$3*'DATA - P&amp;L'!$C$55</f>
        <v>0</v>
      </c>
      <c r="T289" s="70">
        <f>T179*'DATA - P&amp;L'!$C$3*'DATA - P&amp;L'!$C$55</f>
        <v>0</v>
      </c>
      <c r="U289" s="70">
        <f>U179*'DATA - P&amp;L'!$C$3*'DATA - P&amp;L'!$C$55</f>
        <v>0</v>
      </c>
      <c r="V289" s="70">
        <f>V179*'DATA - P&amp;L'!$C$3*'DATA - P&amp;L'!$C$55</f>
        <v>0</v>
      </c>
      <c r="W289" s="70">
        <f>W179*'DATA - P&amp;L'!$C$3*'DATA - P&amp;L'!$C$55</f>
        <v>0</v>
      </c>
      <c r="X289" s="70">
        <f>X179*'DATA - P&amp;L'!$C$3*'DATA - P&amp;L'!$C$55</f>
        <v>0</v>
      </c>
      <c r="Y289" s="70">
        <f>Y179*'DATA - P&amp;L'!$C$3*'DATA - P&amp;L'!$C$55</f>
        <v>0</v>
      </c>
      <c r="Z289" s="70">
        <f>Z179*'DATA - P&amp;L'!$C$3*'DATA - P&amp;L'!$C$55</f>
        <v>0</v>
      </c>
      <c r="AA289" s="70">
        <f>AA179*'DATA - P&amp;L'!$C$3*'DATA - P&amp;L'!$C$55</f>
        <v>0</v>
      </c>
      <c r="AB289" s="70">
        <f>AB179*'DATA - P&amp;L'!$C$3*'DATA - P&amp;L'!$C$55</f>
        <v>0</v>
      </c>
      <c r="AC289" s="70">
        <f>AC179*'DATA - P&amp;L'!$C$3*'DATA - P&amp;L'!$C$55</f>
        <v>0</v>
      </c>
      <c r="AD289" s="70">
        <f>AD179*'DATA - P&amp;L'!$C$3*'DATA - P&amp;L'!$C$55</f>
        <v>0</v>
      </c>
      <c r="AE289" s="70">
        <f>AE179*'DATA - P&amp;L'!$C$3*'DATA - P&amp;L'!$C$55</f>
        <v>0</v>
      </c>
      <c r="AF289" s="851">
        <f t="shared" si="67"/>
        <v>0</v>
      </c>
    </row>
    <row r="290" outlineLevel="1">
      <c r="A290" s="101" t="s">
        <v>386</v>
      </c>
      <c r="B290" s="70">
        <f>(B95+B205)*'DATA - P&amp;L'!$C$4*'DATA - P&amp;L'!$C$55</f>
        <v>0</v>
      </c>
      <c r="C290" s="70">
        <f>C180*'DATA - P&amp;L'!$C$4*'DATA - P&amp;L'!$C$55</f>
        <v>0</v>
      </c>
      <c r="D290" s="70">
        <f>D180*'DATA - P&amp;L'!$C$4*'DATA - P&amp;L'!$C$55</f>
        <v>0</v>
      </c>
      <c r="E290" s="70">
        <f>E180*'DATA - P&amp;L'!$C$4*'DATA - P&amp;L'!$C$55</f>
        <v>0</v>
      </c>
      <c r="F290" s="70">
        <f>F180*'DATA - P&amp;L'!$C$4*'DATA - P&amp;L'!$C$55</f>
        <v>0</v>
      </c>
      <c r="G290" s="70">
        <f>G180*'DATA - P&amp;L'!$C$4*'DATA - P&amp;L'!$C$55</f>
        <v>0</v>
      </c>
      <c r="H290" s="70">
        <f>H180*'DATA - P&amp;L'!$C$4*'DATA - P&amp;L'!$C$55</f>
        <v>0</v>
      </c>
      <c r="I290" s="70">
        <f>I180*'DATA - P&amp;L'!$C$4*'DATA - P&amp;L'!$C$55</f>
        <v>0</v>
      </c>
      <c r="J290" s="70">
        <f>J180*'DATA - P&amp;L'!$C$4*'DATA - P&amp;L'!$C$55</f>
        <v>0</v>
      </c>
      <c r="K290" s="70">
        <f>K180*'DATA - P&amp;L'!$C$4*'DATA - P&amp;L'!$C$55</f>
        <v>0</v>
      </c>
      <c r="L290" s="70">
        <f>L180*'DATA - P&amp;L'!$C$4*'DATA - P&amp;L'!$C$55</f>
        <v>0</v>
      </c>
      <c r="M290" s="70">
        <f>M180*'DATA - P&amp;L'!$C$4*'DATA - P&amp;L'!$C$55</f>
        <v>0</v>
      </c>
      <c r="N290" s="70">
        <f>N180*'DATA - P&amp;L'!$C$4*'DATA - P&amp;L'!$C$55</f>
        <v>0</v>
      </c>
      <c r="O290" s="70">
        <f>O180*'DATA - P&amp;L'!$C$4*'DATA - P&amp;L'!$C$55</f>
        <v>0</v>
      </c>
      <c r="P290" s="70">
        <f>P180*'DATA - P&amp;L'!$C$4*'DATA - P&amp;L'!$C$55</f>
        <v>0</v>
      </c>
      <c r="Q290" s="70">
        <f>Q180*'DATA - P&amp;L'!$C$4*'DATA - P&amp;L'!$C$55</f>
        <v>0</v>
      </c>
      <c r="R290" s="70">
        <f>R180*'DATA - P&amp;L'!$C$4*'DATA - P&amp;L'!$C$55</f>
        <v>0</v>
      </c>
      <c r="S290" s="70">
        <f>S180*'DATA - P&amp;L'!$C$4*'DATA - P&amp;L'!$C$55</f>
        <v>0</v>
      </c>
      <c r="T290" s="70">
        <f>T180*'DATA - P&amp;L'!$C$4*'DATA - P&amp;L'!$C$55</f>
        <v>0</v>
      </c>
      <c r="U290" s="70">
        <f>U180*'DATA - P&amp;L'!$C$4*'DATA - P&amp;L'!$C$55</f>
        <v>0</v>
      </c>
      <c r="V290" s="70">
        <f>V180*'DATA - P&amp;L'!$C$4*'DATA - P&amp;L'!$C$55</f>
        <v>0</v>
      </c>
      <c r="W290" s="70">
        <f>W180*'DATA - P&amp;L'!$C$4*'DATA - P&amp;L'!$C$55</f>
        <v>0</v>
      </c>
      <c r="X290" s="70">
        <f>X180*'DATA - P&amp;L'!$C$4*'DATA - P&amp;L'!$C$55</f>
        <v>0</v>
      </c>
      <c r="Y290" s="70">
        <f>Y180*'DATA - P&amp;L'!$C$4*'DATA - P&amp;L'!$C$55</f>
        <v>0</v>
      </c>
      <c r="Z290" s="70">
        <f>Z180*'DATA - P&amp;L'!$C$4*'DATA - P&amp;L'!$C$55</f>
        <v>0</v>
      </c>
      <c r="AA290" s="70">
        <f>AA180*'DATA - P&amp;L'!$C$4*'DATA - P&amp;L'!$C$55</f>
        <v>0</v>
      </c>
      <c r="AB290" s="70">
        <f>AB180*'DATA - P&amp;L'!$C$4*'DATA - P&amp;L'!$C$55</f>
        <v>0</v>
      </c>
      <c r="AC290" s="70">
        <f>AC180*'DATA - P&amp;L'!$C$4*'DATA - P&amp;L'!$C$55</f>
        <v>0</v>
      </c>
      <c r="AD290" s="70">
        <f>AD180*'DATA - P&amp;L'!$C$4*'DATA - P&amp;L'!$C$55</f>
        <v>0</v>
      </c>
      <c r="AE290" s="70">
        <f>AE180*'DATA - P&amp;L'!$C$4*'DATA - P&amp;L'!$C$55</f>
        <v>0</v>
      </c>
      <c r="AF290" s="851">
        <f t="shared" si="67"/>
        <v>0</v>
      </c>
    </row>
    <row r="291" outlineLevel="1">
      <c r="A291" s="101" t="s">
        <v>388</v>
      </c>
      <c r="B291" s="70">
        <f>(B97+B207)*'DATA - P&amp;L'!$C$6*'DATA - P&amp;L'!$C$55</f>
        <v>0</v>
      </c>
      <c r="C291" s="70">
        <f>(C183+C194)*'DATA - P&amp;L'!$C$6*'DATA - P&amp;L'!$C$55</f>
        <v>0</v>
      </c>
      <c r="D291" s="70">
        <f>(D183+D194)*'DATA - P&amp;L'!$C$6*'DATA - P&amp;L'!$C$55</f>
        <v>0</v>
      </c>
      <c r="E291" s="70">
        <f>(E183+E194)*'DATA - P&amp;L'!$C$6*'DATA - P&amp;L'!$C$55</f>
        <v>0</v>
      </c>
      <c r="F291" s="70">
        <f>(F183+F194)*'DATA - P&amp;L'!$C$6*'DATA - P&amp;L'!$C$55</f>
        <v>0</v>
      </c>
      <c r="G291" s="70">
        <f>(G183+G194)*'DATA - P&amp;L'!$C$6*'DATA - P&amp;L'!$C$55</f>
        <v>0</v>
      </c>
      <c r="H291" s="70">
        <f>(H183+H194)*'DATA - P&amp;L'!$C$6*'DATA - P&amp;L'!$C$55</f>
        <v>0</v>
      </c>
      <c r="I291" s="70">
        <f>(I183+I194)*'DATA - P&amp;L'!$C$6*'DATA - P&amp;L'!$C$55</f>
        <v>0</v>
      </c>
      <c r="J291" s="70">
        <f>(J183+J194)*'DATA - P&amp;L'!$C$6*'DATA - P&amp;L'!$C$55</f>
        <v>0</v>
      </c>
      <c r="K291" s="70">
        <f>(K183+K194)*'DATA - P&amp;L'!$C$6*'DATA - P&amp;L'!$C$55</f>
        <v>0</v>
      </c>
      <c r="L291" s="70">
        <f>(L183+L194)*'DATA - P&amp;L'!$C$6*'DATA - P&amp;L'!$C$55</f>
        <v>0</v>
      </c>
      <c r="M291" s="70">
        <f>(M183+M194)*'DATA - P&amp;L'!$C$6*'DATA - P&amp;L'!$C$55</f>
        <v>0</v>
      </c>
      <c r="N291" s="70">
        <f>(N183+N194)*'DATA - P&amp;L'!$C$6*'DATA - P&amp;L'!$C$55</f>
        <v>0</v>
      </c>
      <c r="O291" s="70">
        <f>(O183+O194)*'DATA - P&amp;L'!$C$6*'DATA - P&amp;L'!$C$55</f>
        <v>0</v>
      </c>
      <c r="P291" s="70">
        <f>(P183+P194)*'DATA - P&amp;L'!$C$6*'DATA - P&amp;L'!$C$55</f>
        <v>0</v>
      </c>
      <c r="Q291" s="70">
        <f>(Q183+Q194)*'DATA - P&amp;L'!$C$6*'DATA - P&amp;L'!$C$55</f>
        <v>0</v>
      </c>
      <c r="R291" s="70">
        <f>(R183+R194)*'DATA - P&amp;L'!$C$6*'DATA - P&amp;L'!$C$55</f>
        <v>0</v>
      </c>
      <c r="S291" s="70">
        <f>(S183+S194)*'DATA - P&amp;L'!$C$6*'DATA - P&amp;L'!$C$55</f>
        <v>0</v>
      </c>
      <c r="T291" s="70">
        <f>(T183+T194)*'DATA - P&amp;L'!$C$6*'DATA - P&amp;L'!$C$55</f>
        <v>0</v>
      </c>
      <c r="U291" s="70">
        <f>(U183+U194)*'DATA - P&amp;L'!$C$6*'DATA - P&amp;L'!$C$55</f>
        <v>0</v>
      </c>
      <c r="V291" s="70">
        <f>(V183+V194)*'DATA - P&amp;L'!$C$6*'DATA - P&amp;L'!$C$55</f>
        <v>0</v>
      </c>
      <c r="W291" s="70">
        <f>(W183+W194)*'DATA - P&amp;L'!$C$6*'DATA - P&amp;L'!$C$55</f>
        <v>0</v>
      </c>
      <c r="X291" s="70">
        <f>(X183+X194)*'DATA - P&amp;L'!$C$6*'DATA - P&amp;L'!$C$55</f>
        <v>0</v>
      </c>
      <c r="Y291" s="70">
        <f>(Y183+Y194)*'DATA - P&amp;L'!$C$6*'DATA - P&amp;L'!$C$55</f>
        <v>0</v>
      </c>
      <c r="Z291" s="70">
        <f>(Z183+Z194)*'DATA - P&amp;L'!$C$6*'DATA - P&amp;L'!$C$55</f>
        <v>0</v>
      </c>
      <c r="AA291" s="70">
        <f>(AA183+AA194)*'DATA - P&amp;L'!$C$6*'DATA - P&amp;L'!$C$55</f>
        <v>0</v>
      </c>
      <c r="AB291" s="70">
        <f>(AB183+AB194)*'DATA - P&amp;L'!$C$6*'DATA - P&amp;L'!$C$55</f>
        <v>0</v>
      </c>
      <c r="AC291" s="70">
        <f>(AC183+AC194)*'DATA - P&amp;L'!$C$6*'DATA - P&amp;L'!$C$55</f>
        <v>0</v>
      </c>
      <c r="AD291" s="70">
        <f>(AD183+AD194)*'DATA - P&amp;L'!$C$6*'DATA - P&amp;L'!$C$55</f>
        <v>0</v>
      </c>
      <c r="AE291" s="70">
        <f>(AE183+AE194)*'DATA - P&amp;L'!$C$6*'DATA - P&amp;L'!$C$55</f>
        <v>0</v>
      </c>
      <c r="AF291" s="851">
        <f t="shared" si="67"/>
        <v>0</v>
      </c>
    </row>
    <row r="292" outlineLevel="1">
      <c r="A292" s="101" t="s">
        <v>389</v>
      </c>
      <c r="B292" s="70">
        <f>(B98+B208)*'DATA - P&amp;L'!$C$8*'DATA - P&amp;L'!$C$55</f>
        <v>0</v>
      </c>
      <c r="C292" s="70">
        <f>(C184+C199)*'DATA - P&amp;L'!$C$8*'DATA - P&amp;L'!$C$55</f>
        <v>0</v>
      </c>
      <c r="D292" s="70">
        <f>(D184+D199)*'DATA - P&amp;L'!$C$8*'DATA - P&amp;L'!$C$55</f>
        <v>0</v>
      </c>
      <c r="E292" s="70">
        <f>(E184+E199)*'DATA - P&amp;L'!$C$8*'DATA - P&amp;L'!$C$55</f>
        <v>0</v>
      </c>
      <c r="F292" s="70">
        <f>(F184+F199)*'DATA - P&amp;L'!$C$8*'DATA - P&amp;L'!$C$55</f>
        <v>0</v>
      </c>
      <c r="G292" s="70">
        <f>(G184+G199)*'DATA - P&amp;L'!$C$8*'DATA - P&amp;L'!$C$55</f>
        <v>0</v>
      </c>
      <c r="H292" s="70">
        <f>(H184+H199)*'DATA - P&amp;L'!$C$8*'DATA - P&amp;L'!$C$55</f>
        <v>0</v>
      </c>
      <c r="I292" s="70">
        <f>(I184+I199)*'DATA - P&amp;L'!$C$8*'DATA - P&amp;L'!$C$55</f>
        <v>0</v>
      </c>
      <c r="J292" s="70">
        <f>(J184+J199)*'DATA - P&amp;L'!$C$8*'DATA - P&amp;L'!$C$55</f>
        <v>0</v>
      </c>
      <c r="K292" s="70">
        <f>(K184+K199)*'DATA - P&amp;L'!$C$8*'DATA - P&amp;L'!$C$55</f>
        <v>0</v>
      </c>
      <c r="L292" s="70">
        <f>(L184+L199)*'DATA - P&amp;L'!$C$8*'DATA - P&amp;L'!$C$55</f>
        <v>0</v>
      </c>
      <c r="M292" s="70">
        <f>(M184+M199)*'DATA - P&amp;L'!$C$8*'DATA - P&amp;L'!$C$55</f>
        <v>0</v>
      </c>
      <c r="N292" s="70">
        <f>(N184+N199)*'DATA - P&amp;L'!$C$8*'DATA - P&amp;L'!$C$55</f>
        <v>0</v>
      </c>
      <c r="O292" s="70">
        <f>(O184+O199)*'DATA - P&amp;L'!$C$8*'DATA - P&amp;L'!$C$55</f>
        <v>0</v>
      </c>
      <c r="P292" s="70">
        <f>(P184+P199)*'DATA - P&amp;L'!$C$8*'DATA - P&amp;L'!$C$55</f>
        <v>0</v>
      </c>
      <c r="Q292" s="70">
        <f>(Q184+Q199)*'DATA - P&amp;L'!$C$8*'DATA - P&amp;L'!$C$55</f>
        <v>0</v>
      </c>
      <c r="R292" s="70">
        <f>(R184+R199)*'DATA - P&amp;L'!$C$8*'DATA - P&amp;L'!$C$55</f>
        <v>0</v>
      </c>
      <c r="S292" s="70">
        <f>(S184+S199)*'DATA - P&amp;L'!$C$8*'DATA - P&amp;L'!$C$55</f>
        <v>0</v>
      </c>
      <c r="T292" s="70">
        <f>(T184+T199)*'DATA - P&amp;L'!$C$8*'DATA - P&amp;L'!$C$55</f>
        <v>0</v>
      </c>
      <c r="U292" s="70">
        <f>(U184+U199)*'DATA - P&amp;L'!$C$8*'DATA - P&amp;L'!$C$55</f>
        <v>0</v>
      </c>
      <c r="V292" s="70">
        <f>(V184+V199)*'DATA - P&amp;L'!$C$8*'DATA - P&amp;L'!$C$55</f>
        <v>0</v>
      </c>
      <c r="W292" s="70">
        <f>(W184+W199)*'DATA - P&amp;L'!$C$8*'DATA - P&amp;L'!$C$55</f>
        <v>0</v>
      </c>
      <c r="X292" s="70">
        <f>(X184+X199)*'DATA - P&amp;L'!$C$8*'DATA - P&amp;L'!$C$55</f>
        <v>0</v>
      </c>
      <c r="Y292" s="70">
        <f>(Y184+Y199)*'DATA - P&amp;L'!$C$8*'DATA - P&amp;L'!$C$55</f>
        <v>0</v>
      </c>
      <c r="Z292" s="70">
        <f>(Z184+Z199)*'DATA - P&amp;L'!$C$8*'DATA - P&amp;L'!$C$55</f>
        <v>0</v>
      </c>
      <c r="AA292" s="70">
        <f>(AA184+AA199)*'DATA - P&amp;L'!$C$8*'DATA - P&amp;L'!$C$55</f>
        <v>0</v>
      </c>
      <c r="AB292" s="70">
        <f>(AB184+AB199)*'DATA - P&amp;L'!$C$8*'DATA - P&amp;L'!$C$55</f>
        <v>0</v>
      </c>
      <c r="AC292" s="70">
        <f>(AC184+AC199)*'DATA - P&amp;L'!$C$8*'DATA - P&amp;L'!$C$55</f>
        <v>0</v>
      </c>
      <c r="AD292" s="70">
        <f>(AD184+AD199)*'DATA - P&amp;L'!$C$8*'DATA - P&amp;L'!$C$55</f>
        <v>0</v>
      </c>
      <c r="AE292" s="70">
        <f>(AE184+AE199)*'DATA - P&amp;L'!$C$8*'DATA - P&amp;L'!$C$55</f>
        <v>0</v>
      </c>
      <c r="AF292" s="851">
        <f t="shared" si="67"/>
        <v>0</v>
      </c>
    </row>
    <row r="293" outlineLevel="1">
      <c r="A293" s="101" t="s">
        <v>393</v>
      </c>
      <c r="B293" s="70">
        <f>(B99+B100+B209+B210)*'DATA - P&amp;L'!$C$9*'DATA - P&amp;L'!$C$55</f>
        <v>0</v>
      </c>
      <c r="C293" s="70">
        <f>(C185+C186+C200+C201)*'DATA - P&amp;L'!$C$9*'DATA - P&amp;L'!$C$55</f>
        <v>0</v>
      </c>
      <c r="D293" s="70">
        <f>(D185+D186+D200+D201)*'DATA - P&amp;L'!$C$9*'DATA - P&amp;L'!$C$55</f>
        <v>0</v>
      </c>
      <c r="E293" s="70">
        <f>(E185+E186+E200+E201)*'DATA - P&amp;L'!$C$9*'DATA - P&amp;L'!$C$55</f>
        <v>0</v>
      </c>
      <c r="F293" s="70">
        <f>(F185+F186+F200+F201)*'DATA - P&amp;L'!$C$9*'DATA - P&amp;L'!$C$55</f>
        <v>0</v>
      </c>
      <c r="G293" s="70">
        <f>(G185+G186+G200+G201)*'DATA - P&amp;L'!$C$9*'DATA - P&amp;L'!$C$55</f>
        <v>0</v>
      </c>
      <c r="H293" s="70">
        <f>(H185+H186+H200+H201)*'DATA - P&amp;L'!$C$9*'DATA - P&amp;L'!$C$55</f>
        <v>0</v>
      </c>
      <c r="I293" s="70">
        <f>(I185+I186+I200+I201)*'DATA - P&amp;L'!$C$9*'DATA - P&amp;L'!$C$55</f>
        <v>0</v>
      </c>
      <c r="J293" s="70">
        <f>(J185+J186+J200+J201)*'DATA - P&amp;L'!$C$9*'DATA - P&amp;L'!$C$55</f>
        <v>0</v>
      </c>
      <c r="K293" s="70">
        <f>(K185+K186+K200+K201)*'DATA - P&amp;L'!$C$9*'DATA - P&amp;L'!$C$55</f>
        <v>0</v>
      </c>
      <c r="L293" s="70">
        <f>(L185+L186+L200+L201)*'DATA - P&amp;L'!$C$9*'DATA - P&amp;L'!$C$55</f>
        <v>0</v>
      </c>
      <c r="M293" s="70">
        <f>(M185+M186+M200+M201)*'DATA - P&amp;L'!$C$9*'DATA - P&amp;L'!$C$55</f>
        <v>0</v>
      </c>
      <c r="N293" s="70">
        <f>(N185+N186+N200+N201)*'DATA - P&amp;L'!$C$9*'DATA - P&amp;L'!$C$55</f>
        <v>0</v>
      </c>
      <c r="O293" s="70">
        <f>(O185+O186+O200+O201)*'DATA - P&amp;L'!$C$9*'DATA - P&amp;L'!$C$55</f>
        <v>0</v>
      </c>
      <c r="P293" s="70">
        <f>(P185+P186+P200+P201)*'DATA - P&amp;L'!$C$9*'DATA - P&amp;L'!$C$55</f>
        <v>0</v>
      </c>
      <c r="Q293" s="70">
        <f>(Q185+Q186+Q200+Q201)*'DATA - P&amp;L'!$C$9*'DATA - P&amp;L'!$C$55</f>
        <v>0</v>
      </c>
      <c r="R293" s="70">
        <f>(R185+R186+R200+R201)*'DATA - P&amp;L'!$C$9*'DATA - P&amp;L'!$C$55</f>
        <v>0</v>
      </c>
      <c r="S293" s="70">
        <f>(S185+S186+S200+S201)*'DATA - P&amp;L'!$C$9*'DATA - P&amp;L'!$C$55</f>
        <v>0</v>
      </c>
      <c r="T293" s="70">
        <f>(T185+T186+T200+T201)*'DATA - P&amp;L'!$C$9*'DATA - P&amp;L'!$C$55</f>
        <v>0</v>
      </c>
      <c r="U293" s="70">
        <f>(U185+U186+U200+U201)*'DATA - P&amp;L'!$C$9*'DATA - P&amp;L'!$C$55</f>
        <v>0</v>
      </c>
      <c r="V293" s="70">
        <f>(V185+V186+V200+V201)*'DATA - P&amp;L'!$C$9*'DATA - P&amp;L'!$C$55</f>
        <v>0</v>
      </c>
      <c r="W293" s="70">
        <f>(W185+W186+W200+W201)*'DATA - P&amp;L'!$C$9*'DATA - P&amp;L'!$C$55</f>
        <v>0</v>
      </c>
      <c r="X293" s="70">
        <f>(X185+X186+X200+X201)*'DATA - P&amp;L'!$C$9*'DATA - P&amp;L'!$C$55</f>
        <v>0</v>
      </c>
      <c r="Y293" s="70">
        <f>(Y185+Y186+Y200+Y201)*'DATA - P&amp;L'!$C$9*'DATA - P&amp;L'!$C$55</f>
        <v>0</v>
      </c>
      <c r="Z293" s="70">
        <f>(Z185+Z186+Z200+Z201)*'DATA - P&amp;L'!$C$9*'DATA - P&amp;L'!$C$55</f>
        <v>0</v>
      </c>
      <c r="AA293" s="70">
        <f>(AA185+AA186+AA200+AA201)*'DATA - P&amp;L'!$C$9*'DATA - P&amp;L'!$C$55</f>
        <v>0</v>
      </c>
      <c r="AB293" s="70">
        <f>(AB185+AB186+AB200+AB201)*'DATA - P&amp;L'!$C$9*'DATA - P&amp;L'!$C$55</f>
        <v>0</v>
      </c>
      <c r="AC293" s="70">
        <f>(AC185+AC186+AC200+AC201)*'DATA - P&amp;L'!$C$9*'DATA - P&amp;L'!$C$55</f>
        <v>0</v>
      </c>
      <c r="AD293" s="70">
        <f>(AD185+AD186+AD200+AD201)*'DATA - P&amp;L'!$C$9*'DATA - P&amp;L'!$C$55</f>
        <v>0</v>
      </c>
      <c r="AE293" s="70">
        <f>(AE185+AE186+AE200+AE201)*'DATA - P&amp;L'!$C$9*'DATA - P&amp;L'!$C$55</f>
        <v>0</v>
      </c>
      <c r="AF293" s="851">
        <f t="shared" si="67"/>
        <v>0</v>
      </c>
    </row>
    <row r="294" outlineLevel="1">
      <c r="A294" s="101" t="s">
        <v>396</v>
      </c>
      <c r="B294" s="70">
        <f>(B101+B102+B211+B212)*'DATA - P&amp;L'!$C$5*'DATA - P&amp;L'!$C$55</f>
        <v>0</v>
      </c>
      <c r="C294" s="70">
        <f>(C187+C188+C202+C203)*'DATA - P&amp;L'!$C$5*'DATA - P&amp;L'!$C$55</f>
        <v>0</v>
      </c>
      <c r="D294" s="70">
        <f>(D187+D188+D202+D203)*'DATA - P&amp;L'!$C$5*'DATA - P&amp;L'!$C$55</f>
        <v>0</v>
      </c>
      <c r="E294" s="70">
        <f>(E187+E188+E202+E203)*'DATA - P&amp;L'!$C$5*'DATA - P&amp;L'!$C$55</f>
        <v>0</v>
      </c>
      <c r="F294" s="70">
        <f>(F187+F188+F202+F203)*'DATA - P&amp;L'!$C$5*'DATA - P&amp;L'!$C$55</f>
        <v>0</v>
      </c>
      <c r="G294" s="70">
        <f>(G187+G188+G202+G203)*'DATA - P&amp;L'!$C$5*'DATA - P&amp;L'!$C$55</f>
        <v>0</v>
      </c>
      <c r="H294" s="70">
        <f>(H187+H188+H202+H203)*'DATA - P&amp;L'!$C$5*'DATA - P&amp;L'!$C$55</f>
        <v>0</v>
      </c>
      <c r="I294" s="70">
        <f>(I187+I188+I202+I203)*'DATA - P&amp;L'!$C$5*'DATA - P&amp;L'!$C$55</f>
        <v>0</v>
      </c>
      <c r="J294" s="70">
        <f>(J187+J188+J202+J203)*'DATA - P&amp;L'!$C$5*'DATA - P&amp;L'!$C$55</f>
        <v>0</v>
      </c>
      <c r="K294" s="70">
        <f>(K187+K188+K202+K203)*'DATA - P&amp;L'!$C$5*'DATA - P&amp;L'!$C$55</f>
        <v>0</v>
      </c>
      <c r="L294" s="70">
        <f>(L187+L188+L202+L203)*'DATA - P&amp;L'!$C$5*'DATA - P&amp;L'!$C$55</f>
        <v>0</v>
      </c>
      <c r="M294" s="70">
        <f>(M187+M188+M202+M203)*'DATA - P&amp;L'!$C$5*'DATA - P&amp;L'!$C$55</f>
        <v>0</v>
      </c>
      <c r="N294" s="70">
        <f>(N187+N188+N202+N203)*'DATA - P&amp;L'!$C$5*'DATA - P&amp;L'!$C$55</f>
        <v>0</v>
      </c>
      <c r="O294" s="70">
        <f>(O187+O188+O202+O203)*'DATA - P&amp;L'!$C$5*'DATA - P&amp;L'!$C$55</f>
        <v>0</v>
      </c>
      <c r="P294" s="70">
        <f>(P187+P188+P202+P203)*'DATA - P&amp;L'!$C$5*'DATA - P&amp;L'!$C$55</f>
        <v>0</v>
      </c>
      <c r="Q294" s="70">
        <f>(Q187+Q188+Q202+Q203)*'DATA - P&amp;L'!$C$5*'DATA - P&amp;L'!$C$55</f>
        <v>0</v>
      </c>
      <c r="R294" s="70">
        <f>(R187+R188+R202+R203)*'DATA - P&amp;L'!$C$5*'DATA - P&amp;L'!$C$55</f>
        <v>0</v>
      </c>
      <c r="S294" s="70">
        <f>(S187+S188+S202+S203)*'DATA - P&amp;L'!$C$5*'DATA - P&amp;L'!$C$55</f>
        <v>0</v>
      </c>
      <c r="T294" s="70">
        <f>(T187+T188+T202+T203)*'DATA - P&amp;L'!$C$5*'DATA - P&amp;L'!$C$55</f>
        <v>0</v>
      </c>
      <c r="U294" s="70">
        <f>(U187+U188+U202+U203)*'DATA - P&amp;L'!$C$5*'DATA - P&amp;L'!$C$55</f>
        <v>0</v>
      </c>
      <c r="V294" s="70">
        <f>(V187+V188+V202+V203)*'DATA - P&amp;L'!$C$5*'DATA - P&amp;L'!$C$55</f>
        <v>0</v>
      </c>
      <c r="W294" s="70">
        <f>(W187+W188+W202+W203)*'DATA - P&amp;L'!$C$5*'DATA - P&amp;L'!$C$55</f>
        <v>0</v>
      </c>
      <c r="X294" s="70">
        <f>(X187+X188+X202+X203)*'DATA - P&amp;L'!$C$5*'DATA - P&amp;L'!$C$55</f>
        <v>0</v>
      </c>
      <c r="Y294" s="70">
        <f>(Y187+Y188+Y202+Y203)*'DATA - P&amp;L'!$C$5*'DATA - P&amp;L'!$C$55</f>
        <v>0</v>
      </c>
      <c r="Z294" s="70">
        <f>(Z187+Z188+Z202+Z203)*'DATA - P&amp;L'!$C$5*'DATA - P&amp;L'!$C$55</f>
        <v>0</v>
      </c>
      <c r="AA294" s="70">
        <f>(AA187+AA188+AA202+AA203)*'DATA - P&amp;L'!$C$5*'DATA - P&amp;L'!$C$55</f>
        <v>0</v>
      </c>
      <c r="AB294" s="70">
        <f>(AB187+AB188+AB202+AB203)*'DATA - P&amp;L'!$C$5*'DATA - P&amp;L'!$C$55</f>
        <v>0</v>
      </c>
      <c r="AC294" s="70">
        <f>(AC187+AC188+AC202+AC203)*'DATA - P&amp;L'!$C$5*'DATA - P&amp;L'!$C$55</f>
        <v>0</v>
      </c>
      <c r="AD294" s="70">
        <f>(AD187+AD188+AD202+AD203)*'DATA - P&amp;L'!$C$5*'DATA - P&amp;L'!$C$55</f>
        <v>0</v>
      </c>
      <c r="AE294" s="70">
        <f>(AE187+AE188+AE202+AE203)*'DATA - P&amp;L'!$C$5*'DATA - P&amp;L'!$C$55</f>
        <v>0</v>
      </c>
      <c r="AF294" s="865"/>
    </row>
    <row r="295" outlineLevel="1">
      <c r="A295" s="101" t="s">
        <v>398</v>
      </c>
      <c r="B295" s="70">
        <f>(B103+B104+B213+B214)*'DATA - P&amp;L'!$C$10*'DATA - P&amp;L'!$C$55</f>
        <v>0</v>
      </c>
      <c r="C295" s="70">
        <f>(C189+C190+C204+C205)*'DATA - P&amp;L'!$C$10*'DATA - P&amp;L'!$C$55</f>
        <v>0</v>
      </c>
      <c r="D295" s="70">
        <f>(D189+D190+D204+D205)*'DATA - P&amp;L'!$C$10*'DATA - P&amp;L'!$C$55</f>
        <v>0</v>
      </c>
      <c r="E295" s="70">
        <f>(E189+E190+E204+E205)*'DATA - P&amp;L'!$C$10*'DATA - P&amp;L'!$C$55</f>
        <v>0</v>
      </c>
      <c r="F295" s="70">
        <f>(F189+F190+F204+F205)*'DATA - P&amp;L'!$C$10*'DATA - P&amp;L'!$C$55</f>
        <v>0</v>
      </c>
      <c r="G295" s="70">
        <f>(G189+G190+G204+G205)*'DATA - P&amp;L'!$C$10*'DATA - P&amp;L'!$C$55</f>
        <v>0</v>
      </c>
      <c r="H295" s="70">
        <f>(H189+H190+H204+H205)*'DATA - P&amp;L'!$C$10*'DATA - P&amp;L'!$C$55</f>
        <v>0</v>
      </c>
      <c r="I295" s="70">
        <f>(I189+I190+I204+I205)*'DATA - P&amp;L'!$C$10*'DATA - P&amp;L'!$C$55</f>
        <v>0</v>
      </c>
      <c r="J295" s="70">
        <f>(J189+J190+J204+J205)*'DATA - P&amp;L'!$C$10*'DATA - P&amp;L'!$C$55</f>
        <v>0</v>
      </c>
      <c r="K295" s="70">
        <f>(K189+K190+K204+K205)*'DATA - P&amp;L'!$C$10*'DATA - P&amp;L'!$C$55</f>
        <v>0</v>
      </c>
      <c r="L295" s="70">
        <f>(L189+L190+L204+L205)*'DATA - P&amp;L'!$C$10*'DATA - P&amp;L'!$C$55</f>
        <v>0</v>
      </c>
      <c r="M295" s="70">
        <f>(M189+M190+M204+M205)*'DATA - P&amp;L'!$C$10*'DATA - P&amp;L'!$C$55</f>
        <v>0</v>
      </c>
      <c r="N295" s="70">
        <f>(N189+N190+N204+N205)*'DATA - P&amp;L'!$C$10*'DATA - P&amp;L'!$C$55</f>
        <v>0</v>
      </c>
      <c r="O295" s="70">
        <f>(O189+O190+O204+O205)*'DATA - P&amp;L'!$C$10*'DATA - P&amp;L'!$C$55</f>
        <v>0</v>
      </c>
      <c r="P295" s="70">
        <f>(P189+P190+P204+P205)*'DATA - P&amp;L'!$C$10*'DATA - P&amp;L'!$C$55</f>
        <v>0</v>
      </c>
      <c r="Q295" s="70">
        <f>(Q189+Q190+Q204+Q205)*'DATA - P&amp;L'!$C$10*'DATA - P&amp;L'!$C$55</f>
        <v>0</v>
      </c>
      <c r="R295" s="70">
        <f>(R189+R190+R204+R205)*'DATA - P&amp;L'!$C$10*'DATA - P&amp;L'!$C$55</f>
        <v>0</v>
      </c>
      <c r="S295" s="70">
        <f>(S189+S190+S204+S205)*'DATA - P&amp;L'!$C$10*'DATA - P&amp;L'!$C$55</f>
        <v>0</v>
      </c>
      <c r="T295" s="70">
        <f>(T189+T190+T204+T205)*'DATA - P&amp;L'!$C$10*'DATA - P&amp;L'!$C$55</f>
        <v>0</v>
      </c>
      <c r="U295" s="70">
        <f>(U189+U190+U204+U205)*'DATA - P&amp;L'!$C$10*'DATA - P&amp;L'!$C$55</f>
        <v>0</v>
      </c>
      <c r="V295" s="70">
        <f>(V189+V190+V204+V205)*'DATA - P&amp;L'!$C$10*'DATA - P&amp;L'!$C$55</f>
        <v>0</v>
      </c>
      <c r="W295" s="70">
        <f>(W189+W190+W204+W205)*'DATA - P&amp;L'!$C$10*'DATA - P&amp;L'!$C$55</f>
        <v>0</v>
      </c>
      <c r="X295" s="70">
        <f>(X189+X190+X204+X205)*'DATA - P&amp;L'!$C$10*'DATA - P&amp;L'!$C$55</f>
        <v>0</v>
      </c>
      <c r="Y295" s="70">
        <f>(Y189+Y190+Y204+Y205)*'DATA - P&amp;L'!$C$10*'DATA - P&amp;L'!$C$55</f>
        <v>0</v>
      </c>
      <c r="Z295" s="70">
        <f>(Z189+Z190+Z204+Z205)*'DATA - P&amp;L'!$C$10*'DATA - P&amp;L'!$C$55</f>
        <v>0</v>
      </c>
      <c r="AA295" s="70">
        <f>(AA189+AA190+AA204+AA205)*'DATA - P&amp;L'!$C$10*'DATA - P&amp;L'!$C$55</f>
        <v>0</v>
      </c>
      <c r="AB295" s="70">
        <f>(AB189+AB190+AB204+AB205)*'DATA - P&amp;L'!$C$10*'DATA - P&amp;L'!$C$55</f>
        <v>0</v>
      </c>
      <c r="AC295" s="70">
        <f>(AC189+AC190+AC204+AC205)*'DATA - P&amp;L'!$C$10*'DATA - P&amp;L'!$C$55</f>
        <v>0</v>
      </c>
      <c r="AD295" s="70">
        <f>(AD189+AD190+AD204+AD205)*'DATA - P&amp;L'!$C$10*'DATA - P&amp;L'!$C$55</f>
        <v>0</v>
      </c>
      <c r="AE295" s="70">
        <f>(AE189+AE190+AE204+AE205)*'DATA - P&amp;L'!$C$10*'DATA - P&amp;L'!$C$55</f>
        <v>0</v>
      </c>
      <c r="AF295" s="865"/>
    </row>
    <row r="296" outlineLevel="1">
      <c r="A296" s="101" t="s">
        <v>825</v>
      </c>
      <c r="B296" s="70">
        <f>((B108+B109+B218+B219)*'DATA - P&amp;L'!$C$13)*'DATA - P&amp;L'!$C$55</f>
        <v>0</v>
      </c>
      <c r="C296" s="70">
        <f>((C163+C164+C176+C177)*'DATA - P&amp;L'!$C$13)*'DATA - P&amp;L'!$C$55</f>
        <v>0</v>
      </c>
      <c r="D296" s="70">
        <f>((D163+D164+D176+D177)*'DATA - P&amp;L'!$C$13)*'DATA - P&amp;L'!$C$55</f>
        <v>0</v>
      </c>
      <c r="E296" s="70">
        <f>((E163+E164+E176+E177)*'DATA - P&amp;L'!$C$13)*'DATA - P&amp;L'!$C$55</f>
        <v>0</v>
      </c>
      <c r="F296" s="70">
        <f>((F163+F164+F176+F177)*'DATA - P&amp;L'!$C$13)*'DATA - P&amp;L'!$C$55</f>
        <v>0</v>
      </c>
      <c r="G296" s="70">
        <f>((G163+G164+G176+G177)*'DATA - P&amp;L'!$C$13)*'DATA - P&amp;L'!$C$55</f>
        <v>0</v>
      </c>
      <c r="H296" s="70">
        <f>((H163+H164+H176+H177)*'DATA - P&amp;L'!$C$13)*'DATA - P&amp;L'!$C$55</f>
        <v>0</v>
      </c>
      <c r="I296" s="70">
        <f>((I163+I164+I176+I177)*'DATA - P&amp;L'!$C$13)*'DATA - P&amp;L'!$C$55</f>
        <v>0</v>
      </c>
      <c r="J296" s="70">
        <f>((J163+J164+J176+J177)*'DATA - P&amp;L'!$C$13)*'DATA - P&amp;L'!$C$55</f>
        <v>0</v>
      </c>
      <c r="K296" s="70">
        <f>((K163+K164+K176+K177)*'DATA - P&amp;L'!$C$13)*'DATA - P&amp;L'!$C$55</f>
        <v>0</v>
      </c>
      <c r="L296" s="70">
        <f>((L163+L164+L176+L177)*'DATA - P&amp;L'!$C$13)*'DATA - P&amp;L'!$C$55</f>
        <v>0</v>
      </c>
      <c r="M296" s="70">
        <f>((M163+M164+M176+M177)*'DATA - P&amp;L'!$C$13)*'DATA - P&amp;L'!$C$55</f>
        <v>0</v>
      </c>
      <c r="N296" s="70">
        <f>((N163+N164+N176+N177)*'DATA - P&amp;L'!$C$13)*'DATA - P&amp;L'!$C$55</f>
        <v>0</v>
      </c>
      <c r="O296" s="70">
        <f>((O163+O164+O176+O177)*'DATA - P&amp;L'!$C$13)*'DATA - P&amp;L'!$C$55</f>
        <v>0</v>
      </c>
      <c r="P296" s="70">
        <f>((P163+P164+P176+P177)*'DATA - P&amp;L'!$C$13)*'DATA - P&amp;L'!$C$55</f>
        <v>0</v>
      </c>
      <c r="Q296" s="70">
        <f>((Q163+Q164+Q176+Q177)*'DATA - P&amp;L'!$C$13)*'DATA - P&amp;L'!$C$55</f>
        <v>0</v>
      </c>
      <c r="R296" s="70">
        <f>((R163+R164+R176+R177)*'DATA - P&amp;L'!$C$13)*'DATA - P&amp;L'!$C$55</f>
        <v>0</v>
      </c>
      <c r="S296" s="70">
        <f>((S163+S164+S176+S177)*'DATA - P&amp;L'!$C$13)*'DATA - P&amp;L'!$C$55</f>
        <v>0</v>
      </c>
      <c r="T296" s="70">
        <f>((T163+T164+T176+T177)*'DATA - P&amp;L'!$C$13)*'DATA - P&amp;L'!$C$55</f>
        <v>0</v>
      </c>
      <c r="U296" s="70">
        <f>((U163+U164+U176+U177)*'DATA - P&amp;L'!$C$13)*'DATA - P&amp;L'!$C$55</f>
        <v>0</v>
      </c>
      <c r="V296" s="70">
        <f>((V163+V164+V176+V177)*'DATA - P&amp;L'!$C$13)*'DATA - P&amp;L'!$C$55</f>
        <v>0</v>
      </c>
      <c r="W296" s="70">
        <f>((W163+W164+W176+W177)*'DATA - P&amp;L'!$C$13)*'DATA - P&amp;L'!$C$55</f>
        <v>0</v>
      </c>
      <c r="X296" s="70">
        <f>((X163+X164+X176+X177)*'DATA - P&amp;L'!$C$13)*'DATA - P&amp;L'!$C$55</f>
        <v>0</v>
      </c>
      <c r="Y296" s="70">
        <f>((Y163+Y164+Y176+Y177)*'DATA - P&amp;L'!$C$13)*'DATA - P&amp;L'!$C$55</f>
        <v>0</v>
      </c>
      <c r="Z296" s="70">
        <f>((Z163+Z164+Z176+Z177)*'DATA - P&amp;L'!$C$13)*'DATA - P&amp;L'!$C$55</f>
        <v>0</v>
      </c>
      <c r="AA296" s="70">
        <f>((AA163+AA164+AA176+AA177)*'DATA - P&amp;L'!$C$13)*'DATA - P&amp;L'!$C$55</f>
        <v>0</v>
      </c>
      <c r="AB296" s="70">
        <f>((AB163+AB164+AB176+AB177)*'DATA - P&amp;L'!$C$13)*'DATA - P&amp;L'!$C$55</f>
        <v>0</v>
      </c>
      <c r="AC296" s="70">
        <f>((AC163+AC164+AC176+AC177)*'DATA - P&amp;L'!$C$13)*'DATA - P&amp;L'!$C$55</f>
        <v>0</v>
      </c>
      <c r="AD296" s="70">
        <f>((AD163+AD164+AD176+AD177)*'DATA - P&amp;L'!$C$13)*'DATA - P&amp;L'!$C$55</f>
        <v>0</v>
      </c>
      <c r="AE296" s="70">
        <f>((AE163+AE164+AE176+AE177)*'DATA - P&amp;L'!$C$13)*'DATA - P&amp;L'!$C$55</f>
        <v>0</v>
      </c>
      <c r="AF296" s="865"/>
    </row>
    <row r="297" outlineLevel="1">
      <c r="A297" s="101" t="s">
        <v>826</v>
      </c>
      <c r="B297" s="70">
        <f>((B110+B220)*'DATA - P&amp;L'!$C$14)*'DATA - P&amp;L'!$C$55</f>
        <v>0</v>
      </c>
      <c r="C297" s="70">
        <f>((C110+C220)*'DATA - P&amp;L'!$C$14)*'DATA - P&amp;L'!$C$55</f>
        <v>0</v>
      </c>
      <c r="D297" s="70">
        <f>((D110+D220)*'DATA - P&amp;L'!$C$14)*'DATA - P&amp;L'!$C$55</f>
        <v>0</v>
      </c>
      <c r="E297" s="70">
        <f>((E110+E220)*'DATA - P&amp;L'!$C$14)*'DATA - P&amp;L'!$C$55</f>
        <v>0</v>
      </c>
      <c r="F297" s="70">
        <f>((F110+F220)*'DATA - P&amp;L'!$C$14)*'DATA - P&amp;L'!$C$55</f>
        <v>0</v>
      </c>
      <c r="G297" s="70">
        <f>((G110+G220)*'DATA - P&amp;L'!$C$14)*'DATA - P&amp;L'!$C$55</f>
        <v>0</v>
      </c>
      <c r="H297" s="70">
        <f>((H110+H220)*'DATA - P&amp;L'!$C$14)*'DATA - P&amp;L'!$C$55</f>
        <v>0</v>
      </c>
      <c r="I297" s="70">
        <f>((I110+I220)*'DATA - P&amp;L'!$C$14)*'DATA - P&amp;L'!$C$55</f>
        <v>0</v>
      </c>
      <c r="J297" s="70">
        <f>((J110+J220)*'DATA - P&amp;L'!$C$14)*'DATA - P&amp;L'!$C$55</f>
        <v>0</v>
      </c>
      <c r="K297" s="70">
        <f>((K110+K220)*'DATA - P&amp;L'!$C$14)*'DATA - P&amp;L'!$C$55</f>
        <v>0</v>
      </c>
      <c r="L297" s="70">
        <f>((L110+L220)*'DATA - P&amp;L'!$C$14)*'DATA - P&amp;L'!$C$55</f>
        <v>0</v>
      </c>
      <c r="M297" s="70">
        <f>((M110+M220)*'DATA - P&amp;L'!$C$14)*'DATA - P&amp;L'!$C$55</f>
        <v>0</v>
      </c>
      <c r="N297" s="70">
        <f>((N110+N220)*'DATA - P&amp;L'!$C$14)*'DATA - P&amp;L'!$C$55</f>
        <v>0</v>
      </c>
      <c r="O297" s="70">
        <f>((O110+O220)*'DATA - P&amp;L'!$C$14)*'DATA - P&amp;L'!$C$55</f>
        <v>0</v>
      </c>
      <c r="P297" s="70">
        <f>((P110+P220)*'DATA - P&amp;L'!$C$14)*'DATA - P&amp;L'!$C$55</f>
        <v>0</v>
      </c>
      <c r="Q297" s="70">
        <f>((Q110+Q220)*'DATA - P&amp;L'!$C$14)*'DATA - P&amp;L'!$C$55</f>
        <v>0</v>
      </c>
      <c r="R297" s="70">
        <f>((R110+R220)*'DATA - P&amp;L'!$C$14)*'DATA - P&amp;L'!$C$55</f>
        <v>0</v>
      </c>
      <c r="S297" s="70">
        <f>((S110+S220)*'DATA - P&amp;L'!$C$14)*'DATA - P&amp;L'!$C$55</f>
        <v>0</v>
      </c>
      <c r="T297" s="70">
        <f>((T110+T220)*'DATA - P&amp;L'!$C$14)*'DATA - P&amp;L'!$C$55</f>
        <v>0</v>
      </c>
      <c r="U297" s="70">
        <f>((U110+U220)*'DATA - P&amp;L'!$C$14)*'DATA - P&amp;L'!$C$55</f>
        <v>0</v>
      </c>
      <c r="V297" s="70">
        <f>((V110+V220)*'DATA - P&amp;L'!$C$14)*'DATA - P&amp;L'!$C$55</f>
        <v>0</v>
      </c>
      <c r="W297" s="70">
        <f>((W110+W220)*'DATA - P&amp;L'!$C$14)*'DATA - P&amp;L'!$C$55</f>
        <v>0</v>
      </c>
      <c r="X297" s="70">
        <f>((X110+X220)*'DATA - P&amp;L'!$C$14)*'DATA - P&amp;L'!$C$55</f>
        <v>0</v>
      </c>
      <c r="Y297" s="70">
        <f>((Y110+Y220)*'DATA - P&amp;L'!$C$14)*'DATA - P&amp;L'!$C$55</f>
        <v>0</v>
      </c>
      <c r="Z297" s="70">
        <f>((Z110+Z220)*'DATA - P&amp;L'!$C$14)*'DATA - P&amp;L'!$C$55</f>
        <v>0</v>
      </c>
      <c r="AA297" s="70">
        <f>((AA110+AA220)*'DATA - P&amp;L'!$C$14)*'DATA - P&amp;L'!$C$55</f>
        <v>0</v>
      </c>
      <c r="AB297" s="70">
        <f>((AB110+AB220)*'DATA - P&amp;L'!$C$14)*'DATA - P&amp;L'!$C$55</f>
        <v>0</v>
      </c>
      <c r="AC297" s="70">
        <f>((AC110+AC220)*'DATA - P&amp;L'!$C$14)*'DATA - P&amp;L'!$C$55</f>
        <v>0</v>
      </c>
      <c r="AD297" s="70">
        <f>((AD110+AD220)*'DATA - P&amp;L'!$C$14)*'DATA - P&amp;L'!$C$55</f>
        <v>0</v>
      </c>
      <c r="AE297" s="70">
        <f>((AE110+AE220)*'DATA - P&amp;L'!$C$14)*'DATA - P&amp;L'!$C$55</f>
        <v>0</v>
      </c>
      <c r="AF297" s="912"/>
    </row>
    <row r="298" outlineLevel="1">
      <c r="A298" s="101" t="s">
        <v>400</v>
      </c>
      <c r="B298" s="70">
        <f>(((B94+B204)*'DATA - P&amp;L'!$C$38)+((B95+B205)*'DATA - P&amp;L'!$C$38))*'DATA - P&amp;L'!$C$55</f>
        <v>0</v>
      </c>
      <c r="C298" s="70">
        <f>(((C94+C204)*'DATA - P&amp;L'!$C$38)+((C95+C205)*'DATA - P&amp;L'!$C$39))*'DATA - P&amp;L'!$C$55</f>
        <v>0</v>
      </c>
      <c r="D298" s="70">
        <f>(((D94+D204)*'DATA - P&amp;L'!$C$38)+((D95+D205)*'DATA - P&amp;L'!$C$39))*'DATA - P&amp;L'!$C$55</f>
        <v>0</v>
      </c>
      <c r="E298" s="70">
        <f>(((E94+E204)*'DATA - P&amp;L'!$C$38)+((E95+E205)*'DATA - P&amp;L'!$C$39))*'DATA - P&amp;L'!$C$55</f>
        <v>0</v>
      </c>
      <c r="F298" s="70">
        <f>(((F94+F204)*'DATA - P&amp;L'!$C$38)+((F95+F205)*'DATA - P&amp;L'!$C$39))*'DATA - P&amp;L'!$C$55</f>
        <v>0</v>
      </c>
      <c r="G298" s="70">
        <f>(((G94+G204)*'DATA - P&amp;L'!$C$38)+((G95+G205)*'DATA - P&amp;L'!$C$39))*'DATA - P&amp;L'!$C$55</f>
        <v>0</v>
      </c>
      <c r="H298" s="70">
        <f>(((H94+H204)*'DATA - P&amp;L'!$C$38)+((H95+H205)*'DATA - P&amp;L'!$C$39))*'DATA - P&amp;L'!$C$55</f>
        <v>0</v>
      </c>
      <c r="I298" s="70">
        <f>(((I94+I204)*'DATA - P&amp;L'!$C$38)+((I95+I205)*'DATA - P&amp;L'!$C$39))*'DATA - P&amp;L'!$C$55</f>
        <v>0</v>
      </c>
      <c r="J298" s="70">
        <f>(((J94+J204)*'DATA - P&amp;L'!$C$38)+((J95+J205)*'DATA - P&amp;L'!$C$39))*'DATA - P&amp;L'!$C$55</f>
        <v>0</v>
      </c>
      <c r="K298" s="70">
        <f>(((K94+K204)*'DATA - P&amp;L'!$C$38)+((K95+K205)*'DATA - P&amp;L'!$C$39))*'DATA - P&amp;L'!$C$55</f>
        <v>0</v>
      </c>
      <c r="L298" s="70">
        <f>(((L94+L204)*'DATA - P&amp;L'!$C$38)+((L95+L205)*'DATA - P&amp;L'!$C$39))*'DATA - P&amp;L'!$C$55</f>
        <v>0</v>
      </c>
      <c r="M298" s="70">
        <f>(((M94+M204)*'DATA - P&amp;L'!$C$38)+((M95+M205)*'DATA - P&amp;L'!$C$39))*'DATA - P&amp;L'!$C$55</f>
        <v>0</v>
      </c>
      <c r="N298" s="70">
        <f>(((N94+N204)*'DATA - P&amp;L'!$C$38)+((N95+N205)*'DATA - P&amp;L'!$C$39))*'DATA - P&amp;L'!$C$55</f>
        <v>0</v>
      </c>
      <c r="O298" s="70">
        <f>(((O94+O204)*'DATA - P&amp;L'!$C$38)+((O95+O205)*'DATA - P&amp;L'!$C$39))*'DATA - P&amp;L'!$C$55</f>
        <v>0</v>
      </c>
      <c r="P298" s="70">
        <f>(((P94+P204)*'DATA - P&amp;L'!$C$38)+((P95+P205)*'DATA - P&amp;L'!$C$39))*'DATA - P&amp;L'!$C$55</f>
        <v>0</v>
      </c>
      <c r="Q298" s="70">
        <f>(((Q94+Q204)*'DATA - P&amp;L'!$C$38)+((Q95+Q205)*'DATA - P&amp;L'!$C$39))*'DATA - P&amp;L'!$C$55</f>
        <v>0</v>
      </c>
      <c r="R298" s="70">
        <f>(((R94+R204)*'DATA - P&amp;L'!$C$38)+((R95+R205)*'DATA - P&amp;L'!$C$39))*'DATA - P&amp;L'!$C$55</f>
        <v>0</v>
      </c>
      <c r="S298" s="70">
        <f>(((S94+S204)*'DATA - P&amp;L'!$C$38)+((S95+S205)*'DATA - P&amp;L'!$C$39))*'DATA - P&amp;L'!$C$55</f>
        <v>0</v>
      </c>
      <c r="T298" s="70">
        <f>(((T94+T204)*'DATA - P&amp;L'!$C$38)+((T95+T205)*'DATA - P&amp;L'!$C$39))*'DATA - P&amp;L'!$C$55</f>
        <v>0</v>
      </c>
      <c r="U298" s="70">
        <f>(((U94+U204)*'DATA - P&amp;L'!$C$38)+((U95+U205)*'DATA - P&amp;L'!$C$39))*'DATA - P&amp;L'!$C$55</f>
        <v>0</v>
      </c>
      <c r="V298" s="70">
        <f>(((V94+V204)*'DATA - P&amp;L'!$C$38)+((V95+V205)*'DATA - P&amp;L'!$C$39))*'DATA - P&amp;L'!$C$55</f>
        <v>0</v>
      </c>
      <c r="W298" s="70">
        <f>(((W94+W204)*'DATA - P&amp;L'!$C$38)+((W95+W205)*'DATA - P&amp;L'!$C$39))*'DATA - P&amp;L'!$C$55</f>
        <v>0</v>
      </c>
      <c r="X298" s="70">
        <f>(((X94+X204)*'DATA - P&amp;L'!$C$38)+((X95+X205)*'DATA - P&amp;L'!$C$39))*'DATA - P&amp;L'!$C$55</f>
        <v>0</v>
      </c>
      <c r="Y298" s="70">
        <f>(((Y94+Y204)*'DATA - P&amp;L'!$C$38)+((Y95+Y205)*'DATA - P&amp;L'!$C$39))*'DATA - P&amp;L'!$C$55</f>
        <v>0</v>
      </c>
      <c r="Z298" s="70">
        <f>(((Z94+Z204)*'DATA - P&amp;L'!$C$38)+((Z95+Z205)*'DATA - P&amp;L'!$C$39))*'DATA - P&amp;L'!$C$55</f>
        <v>0</v>
      </c>
      <c r="AA298" s="70">
        <f>(((AA94+AA204)*'DATA - P&amp;L'!$C$38)+((AA95+AA205)*'DATA - P&amp;L'!$C$39))*'DATA - P&amp;L'!$C$55</f>
        <v>0</v>
      </c>
      <c r="AB298" s="70">
        <f>(((AB94+AB204)*'DATA - P&amp;L'!$C$38)+((AB95+AB205)*'DATA - P&amp;L'!$C$39))*'DATA - P&amp;L'!$C$55</f>
        <v>0</v>
      </c>
      <c r="AC298" s="70">
        <f>(((AC94+AC204)*'DATA - P&amp;L'!$C$38)+((AC95+AC205)*'DATA - P&amp;L'!$C$39))*'DATA - P&amp;L'!$C$55</f>
        <v>0</v>
      </c>
      <c r="AD298" s="70">
        <f>(((AD94+AD204)*'DATA - P&amp;L'!$C$38)+((AD95+AD205)*'DATA - P&amp;L'!$C$39))*'DATA - P&amp;L'!$C$55</f>
        <v>0</v>
      </c>
      <c r="AE298" s="70">
        <f>(((AE94+AE204)*'DATA - P&amp;L'!$C$38)+((AE95+AE205)*'DATA - P&amp;L'!$C$39))*'DATA - P&amp;L'!$C$55</f>
        <v>0</v>
      </c>
      <c r="AF298" s="865"/>
    </row>
    <row r="299" outlineLevel="1">
      <c r="A299" s="101" t="s">
        <v>465</v>
      </c>
      <c r="B299" s="70">
        <f>((B191*'DATA - P&amp;L'!$D$38)+(B206*'DATA - P&amp;L'!$D$39))*'DATA - P&amp;L'!$C$55</f>
        <v>0</v>
      </c>
      <c r="C299" s="70">
        <f>((C191*'DATA - P&amp;L'!$D$38)+(C206*'DATA - P&amp;L'!$D$39))*'DATA - P&amp;L'!$C$55</f>
        <v>0</v>
      </c>
      <c r="D299" s="70">
        <f>((D191*'DATA - P&amp;L'!$D$38)+(D206*'DATA - P&amp;L'!$D$39))*'DATA - P&amp;L'!$C$55</f>
        <v>0</v>
      </c>
      <c r="E299" s="70">
        <f>((E191*'DATA - P&amp;L'!$D$38)+(E206*'DATA - P&amp;L'!$D$39))*'DATA - P&amp;L'!$C$55</f>
        <v>0</v>
      </c>
      <c r="F299" s="70">
        <f>((F191*'DATA - P&amp;L'!$D$38)+(F206*'DATA - P&amp;L'!$D$39))*'DATA - P&amp;L'!$C$55</f>
        <v>0</v>
      </c>
      <c r="G299" s="70">
        <f>((G191*'DATA - P&amp;L'!$D$38)+(G206*'DATA - P&amp;L'!$D$39))*'DATA - P&amp;L'!$C$55</f>
        <v>0</v>
      </c>
      <c r="H299" s="70">
        <f>((H191*'DATA - P&amp;L'!$D$38)+(H206*'DATA - P&amp;L'!$D$39))*'DATA - P&amp;L'!$C$55</f>
        <v>0</v>
      </c>
      <c r="I299" s="70">
        <f>((I191*'DATA - P&amp;L'!$D$38)+(I206*'DATA - P&amp;L'!$D$39))*'DATA - P&amp;L'!$C$55</f>
        <v>0</v>
      </c>
      <c r="J299" s="70">
        <f>((J191*'DATA - P&amp;L'!$D$38)+(J206*'DATA - P&amp;L'!$D$39))*'DATA - P&amp;L'!$C$55</f>
        <v>0</v>
      </c>
      <c r="K299" s="70">
        <f>((K191*'DATA - P&amp;L'!$D$38)+(K206*'DATA - P&amp;L'!$D$39))*'DATA - P&amp;L'!$C$55</f>
        <v>0</v>
      </c>
      <c r="L299" s="70">
        <f>((L191*'DATA - P&amp;L'!$D$38)+(L206*'DATA - P&amp;L'!$D$39))*'DATA - P&amp;L'!$C$55</f>
        <v>0</v>
      </c>
      <c r="M299" s="70">
        <f>((M191*'DATA - P&amp;L'!$D$38)+(M206*'DATA - P&amp;L'!$D$39))*'DATA - P&amp;L'!$C$55</f>
        <v>0</v>
      </c>
      <c r="N299" s="70">
        <f>((N191*'DATA - P&amp;L'!$D$38)+(N206*'DATA - P&amp;L'!$D$39))*'DATA - P&amp;L'!$C$55</f>
        <v>0</v>
      </c>
      <c r="O299" s="70">
        <f>((O191*'DATA - P&amp;L'!$D$38)+(O206*'DATA - P&amp;L'!$D$39))*'DATA - P&amp;L'!$C$55</f>
        <v>0</v>
      </c>
      <c r="P299" s="70">
        <f>((P191*'DATA - P&amp;L'!$D$38)+(P206*'DATA - P&amp;L'!$D$39))*'DATA - P&amp;L'!$C$55</f>
        <v>0</v>
      </c>
      <c r="Q299" s="70">
        <f>((Q191*'DATA - P&amp;L'!$D$38)+(Q206*'DATA - P&amp;L'!$D$39))*'DATA - P&amp;L'!$C$55</f>
        <v>0</v>
      </c>
      <c r="R299" s="70">
        <f>((R191*'DATA - P&amp;L'!$D$38)+(R206*'DATA - P&amp;L'!$D$39))*'DATA - P&amp;L'!$C$55</f>
        <v>0</v>
      </c>
      <c r="S299" s="70">
        <f>((S191*'DATA - P&amp;L'!$D$38)+(S206*'DATA - P&amp;L'!$D$39))*'DATA - P&amp;L'!$C$55</f>
        <v>0</v>
      </c>
      <c r="T299" s="70">
        <f>((T191*'DATA - P&amp;L'!$D$38)+(T206*'DATA - P&amp;L'!$D$39))*'DATA - P&amp;L'!$C$55</f>
        <v>0</v>
      </c>
      <c r="U299" s="70">
        <f>((U191*'DATA - P&amp;L'!$D$38)+(U206*'DATA - P&amp;L'!$D$39))*'DATA - P&amp;L'!$C$55</f>
        <v>0</v>
      </c>
      <c r="V299" s="70">
        <f>((V191*'DATA - P&amp;L'!$D$38)+(V206*'DATA - P&amp;L'!$D$39))*'DATA - P&amp;L'!$C$55</f>
        <v>0</v>
      </c>
      <c r="W299" s="70">
        <f>((W191*'DATA - P&amp;L'!$D$38)+(W206*'DATA - P&amp;L'!$D$39))*'DATA - P&amp;L'!$C$55</f>
        <v>0</v>
      </c>
      <c r="X299" s="70">
        <f>((X191*'DATA - P&amp;L'!$D$38)+(X206*'DATA - P&amp;L'!$D$39))*'DATA - P&amp;L'!$C$55</f>
        <v>0</v>
      </c>
      <c r="Y299" s="70">
        <f>((Y191*'DATA - P&amp;L'!$D$38)+(Y206*'DATA - P&amp;L'!$D$39))*'DATA - P&amp;L'!$C$55</f>
        <v>0</v>
      </c>
      <c r="Z299" s="70">
        <f>((Z191*'DATA - P&amp;L'!$D$38)+(Z206*'DATA - P&amp;L'!$D$39))*'DATA - P&amp;L'!$C$55</f>
        <v>0</v>
      </c>
      <c r="AA299" s="70">
        <f>((AA191*'DATA - P&amp;L'!$D$38)+(AA206*'DATA - P&amp;L'!$D$39))*'DATA - P&amp;L'!$C$55</f>
        <v>0</v>
      </c>
      <c r="AB299" s="70">
        <f>((AB191*'DATA - P&amp;L'!$D$38)+(AB206*'DATA - P&amp;L'!$D$39))*'DATA - P&amp;L'!$C$55</f>
        <v>0</v>
      </c>
      <c r="AC299" s="70">
        <f>((AC191*'DATA - P&amp;L'!$D$38)+(AC206*'DATA - P&amp;L'!$D$39))*'DATA - P&amp;L'!$C$55</f>
        <v>0</v>
      </c>
      <c r="AD299" s="70">
        <f>((AD191*'DATA - P&amp;L'!$D$38)+(AD206*'DATA - P&amp;L'!$D$39))*'DATA - P&amp;L'!$C$55</f>
        <v>0</v>
      </c>
      <c r="AE299" s="70">
        <f>((AE191*'DATA - P&amp;L'!$D$38)+(AE206*'DATA - P&amp;L'!$D$39))*'DATA - P&amp;L'!$C$55</f>
        <v>0</v>
      </c>
      <c r="AF299" s="865"/>
    </row>
    <row r="300" outlineLevel="1">
      <c r="A300" s="101" t="s">
        <v>833</v>
      </c>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865"/>
    </row>
    <row r="301" outlineLevel="1">
      <c r="A301" s="101" t="s">
        <v>834</v>
      </c>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865"/>
    </row>
    <row r="302" outlineLevel="1">
      <c r="A302" s="864" t="s">
        <v>835</v>
      </c>
      <c r="B302" s="81">
        <f>(B208*'DATA - P&amp;L'!$R$3)+('DATA - P&amp;L'!$R$4*B209)</f>
        <v>0</v>
      </c>
      <c r="C302" s="81">
        <f>(C208*'DATA - P&amp;L'!$R$3)+('DATA - P&amp;L'!$R$4*C209)</f>
        <v>0</v>
      </c>
      <c r="D302" s="81">
        <f>(D208*'DATA - P&amp;L'!$R$3)+('DATA - P&amp;L'!$R$4*D209)</f>
        <v>0</v>
      </c>
      <c r="E302" s="81">
        <f>(E208*'DATA - P&amp;L'!$R$3)+('DATA - P&amp;L'!$R$4*E209)</f>
        <v>0</v>
      </c>
      <c r="F302" s="81">
        <f>(F208*'DATA - P&amp;L'!$R$3)+('DATA - P&amp;L'!$R$4*F209)</f>
        <v>0</v>
      </c>
      <c r="G302" s="81">
        <f>(G208*'DATA - P&amp;L'!$R$3)+('DATA - P&amp;L'!$R$4*G209)</f>
        <v>0</v>
      </c>
      <c r="H302" s="81">
        <f>(H208*'DATA - P&amp;L'!$R$3)+('DATA - P&amp;L'!$R$4*H209)</f>
        <v>0</v>
      </c>
      <c r="I302" s="81">
        <f>(I208*'DATA - P&amp;L'!$R$3)+('DATA - P&amp;L'!$R$4*I209)</f>
        <v>0</v>
      </c>
      <c r="J302" s="81">
        <f>(J208*'DATA - P&amp;L'!$R$3)+('DATA - P&amp;L'!$R$4*J209)</f>
        <v>0</v>
      </c>
      <c r="K302" s="81">
        <f>(K208*'DATA - P&amp;L'!$R$3)+('DATA - P&amp;L'!$R$4*K209)</f>
        <v>0</v>
      </c>
      <c r="L302" s="81">
        <f>(L208*'DATA - P&amp;L'!$R$3)+('DATA - P&amp;L'!$R$4*L209)</f>
        <v>0</v>
      </c>
      <c r="M302" s="81">
        <f>(M208*'DATA - P&amp;L'!$R$3)+('DATA - P&amp;L'!$R$4*M209)</f>
        <v>0</v>
      </c>
      <c r="N302" s="81">
        <f>(N208*'DATA - P&amp;L'!$R$3)+('DATA - P&amp;L'!$R$4*N209)</f>
        <v>0</v>
      </c>
      <c r="O302" s="81">
        <f>(O208*'DATA - P&amp;L'!$R$3)+('DATA - P&amp;L'!$R$4*O209)</f>
        <v>0</v>
      </c>
      <c r="P302" s="81">
        <f>(P208*'DATA - P&amp;L'!$R$3)+('DATA - P&amp;L'!$R$4*P209)</f>
        <v>0</v>
      </c>
      <c r="Q302" s="81">
        <f>(Q208*'DATA - P&amp;L'!$R$3)+('DATA - P&amp;L'!$R$4*Q209)</f>
        <v>0</v>
      </c>
      <c r="R302" s="81">
        <f>(R208*'DATA - P&amp;L'!$R$3)+('DATA - P&amp;L'!$R$4*R209)</f>
        <v>0</v>
      </c>
      <c r="S302" s="81">
        <f>(S208*'DATA - P&amp;L'!$R$3)+('DATA - P&amp;L'!$R$4*S209)</f>
        <v>0</v>
      </c>
      <c r="T302" s="81">
        <f>(T208*'DATA - P&amp;L'!$R$3)+('DATA - P&amp;L'!$R$4*T209)</f>
        <v>0</v>
      </c>
      <c r="U302" s="81">
        <f>(U208*'DATA - P&amp;L'!$R$3)+('DATA - P&amp;L'!$R$4*U209)</f>
        <v>0</v>
      </c>
      <c r="V302" s="81">
        <f>(V208*'DATA - P&amp;L'!$R$3)+('DATA - P&amp;L'!$R$4*V209)</f>
        <v>0</v>
      </c>
      <c r="W302" s="81">
        <f>(W208*'DATA - P&amp;L'!$R$3)+('DATA - P&amp;L'!$R$4*W209)</f>
        <v>0</v>
      </c>
      <c r="X302" s="81">
        <f>(X208*'DATA - P&amp;L'!$R$3)+('DATA - P&amp;L'!$R$4*X209)</f>
        <v>0</v>
      </c>
      <c r="Y302" s="81">
        <f>(Y208*'DATA - P&amp;L'!$R$3)+('DATA - P&amp;L'!$R$4*Y209)</f>
        <v>0</v>
      </c>
      <c r="Z302" s="81">
        <f>(Z208*'DATA - P&amp;L'!$R$3)+('DATA - P&amp;L'!$R$4*Z209)</f>
        <v>0</v>
      </c>
      <c r="AA302" s="81">
        <f>(AA208*'DATA - P&amp;L'!$R$3)+('DATA - P&amp;L'!$R$4*AA209)</f>
        <v>0</v>
      </c>
      <c r="AB302" s="81">
        <f>(AB208*'DATA - P&amp;L'!$R$3)+('DATA - P&amp;L'!$R$4*AB209)</f>
        <v>0</v>
      </c>
      <c r="AC302" s="81">
        <f>(AC208*'DATA - P&amp;L'!$R$3)+('DATA - P&amp;L'!$R$4*AC209)</f>
        <v>0</v>
      </c>
      <c r="AD302" s="81">
        <f>(AD208*'DATA - P&amp;L'!$R$3)+('DATA - P&amp;L'!$R$4*AD209)</f>
        <v>0</v>
      </c>
      <c r="AE302" s="81">
        <f>(AE208*'DATA - P&amp;L'!$R$3)+('DATA - P&amp;L'!$R$4*AE209)</f>
        <v>0</v>
      </c>
      <c r="AF302" s="865"/>
    </row>
    <row r="303" outlineLevel="1">
      <c r="A303" s="603" t="s">
        <v>840</v>
      </c>
      <c r="B303" s="576">
        <f t="shared" ref="B303:AE303" si="70">sum(B304:B316)</f>
        <v>0</v>
      </c>
      <c r="C303" s="576">
        <f t="shared" si="70"/>
        <v>0</v>
      </c>
      <c r="D303" s="576">
        <f t="shared" si="70"/>
        <v>0</v>
      </c>
      <c r="E303" s="576">
        <f t="shared" si="70"/>
        <v>0</v>
      </c>
      <c r="F303" s="576">
        <f t="shared" si="70"/>
        <v>0</v>
      </c>
      <c r="G303" s="576">
        <f t="shared" si="70"/>
        <v>0</v>
      </c>
      <c r="H303" s="576">
        <f t="shared" si="70"/>
        <v>0</v>
      </c>
      <c r="I303" s="576">
        <f t="shared" si="70"/>
        <v>0</v>
      </c>
      <c r="J303" s="576">
        <f t="shared" si="70"/>
        <v>0</v>
      </c>
      <c r="K303" s="576">
        <f t="shared" si="70"/>
        <v>0</v>
      </c>
      <c r="L303" s="576">
        <f t="shared" si="70"/>
        <v>0</v>
      </c>
      <c r="M303" s="576">
        <f t="shared" si="70"/>
        <v>0</v>
      </c>
      <c r="N303" s="576">
        <f t="shared" si="70"/>
        <v>0</v>
      </c>
      <c r="O303" s="576">
        <f t="shared" si="70"/>
        <v>0</v>
      </c>
      <c r="P303" s="576">
        <f t="shared" si="70"/>
        <v>0</v>
      </c>
      <c r="Q303" s="576">
        <f t="shared" si="70"/>
        <v>0</v>
      </c>
      <c r="R303" s="576">
        <f t="shared" si="70"/>
        <v>0</v>
      </c>
      <c r="S303" s="576">
        <f t="shared" si="70"/>
        <v>0</v>
      </c>
      <c r="T303" s="576">
        <f t="shared" si="70"/>
        <v>0</v>
      </c>
      <c r="U303" s="576">
        <f t="shared" si="70"/>
        <v>0</v>
      </c>
      <c r="V303" s="576">
        <f t="shared" si="70"/>
        <v>0</v>
      </c>
      <c r="W303" s="576">
        <f t="shared" si="70"/>
        <v>0</v>
      </c>
      <c r="X303" s="576">
        <f t="shared" si="70"/>
        <v>0</v>
      </c>
      <c r="Y303" s="576">
        <f t="shared" si="70"/>
        <v>0</v>
      </c>
      <c r="Z303" s="576">
        <f t="shared" si="70"/>
        <v>0</v>
      </c>
      <c r="AA303" s="576">
        <f t="shared" si="70"/>
        <v>0</v>
      </c>
      <c r="AB303" s="576">
        <f t="shared" si="70"/>
        <v>0</v>
      </c>
      <c r="AC303" s="576">
        <f t="shared" si="70"/>
        <v>0</v>
      </c>
      <c r="AD303" s="576">
        <f t="shared" si="70"/>
        <v>0</v>
      </c>
      <c r="AE303" s="576">
        <f t="shared" si="70"/>
        <v>0</v>
      </c>
      <c r="AF303" s="865"/>
    </row>
    <row r="304" outlineLevel="1">
      <c r="A304" s="101" t="s">
        <v>846</v>
      </c>
      <c r="B304" s="70">
        <f>(B94+B204)*'DATA - P&amp;L'!$C$3</f>
        <v>0</v>
      </c>
      <c r="C304" s="70">
        <f>(C94+C204)*'DATA - P&amp;L'!$C$3</f>
        <v>0</v>
      </c>
      <c r="D304" s="70">
        <f>(D94+D204)*'DATA - P&amp;L'!$C$3</f>
        <v>0</v>
      </c>
      <c r="E304" s="70">
        <f>(E94+E204)*'DATA - P&amp;L'!$C$3</f>
        <v>0</v>
      </c>
      <c r="F304" s="70">
        <f>(F94+F204)*'DATA - P&amp;L'!$C$3</f>
        <v>0</v>
      </c>
      <c r="G304" s="70">
        <f>(G94+G204)*'DATA - P&amp;L'!$C$3</f>
        <v>0</v>
      </c>
      <c r="H304" s="70">
        <f>(H94+H204)*'DATA - P&amp;L'!$C$3</f>
        <v>0</v>
      </c>
      <c r="I304" s="70">
        <f>(I94+I204)*'DATA - P&amp;L'!$C$3</f>
        <v>0</v>
      </c>
      <c r="J304" s="70">
        <f>(J94+J204)*'DATA - P&amp;L'!$C$3</f>
        <v>0</v>
      </c>
      <c r="K304" s="70">
        <f>(K94+K204)*'DATA - P&amp;L'!$C$3</f>
        <v>0</v>
      </c>
      <c r="L304" s="70">
        <f>(L94+L204)*'DATA - P&amp;L'!$C$3</f>
        <v>0</v>
      </c>
      <c r="M304" s="70">
        <f>(M94+M204)*'DATA - P&amp;L'!$C$3</f>
        <v>0</v>
      </c>
      <c r="N304" s="70">
        <f>(N94+N204)*'DATA - P&amp;L'!$C$3</f>
        <v>0</v>
      </c>
      <c r="O304" s="70">
        <f>(O94+O204)*'DATA - P&amp;L'!$C$3</f>
        <v>0</v>
      </c>
      <c r="P304" s="70">
        <f>(P94+P204)*'DATA - P&amp;L'!$C$3</f>
        <v>0</v>
      </c>
      <c r="Q304" s="70">
        <f>(Q94+Q204)*'DATA - P&amp;L'!$C$3</f>
        <v>0</v>
      </c>
      <c r="R304" s="70">
        <f>(R94+R204)*'DATA - P&amp;L'!$C$3</f>
        <v>0</v>
      </c>
      <c r="S304" s="70">
        <f>(S94+S204)*'DATA - P&amp;L'!$C$3</f>
        <v>0</v>
      </c>
      <c r="T304" s="70">
        <f>(T94+T204)*'DATA - P&amp;L'!$C$3</f>
        <v>0</v>
      </c>
      <c r="U304" s="70">
        <f>(U94+U204)*'DATA - P&amp;L'!$C$3</f>
        <v>0</v>
      </c>
      <c r="V304" s="70">
        <f>(V94+V204)*'DATA - P&amp;L'!$C$3</f>
        <v>0</v>
      </c>
      <c r="W304" s="70">
        <f>(W94+W204)*'DATA - P&amp;L'!$C$3</f>
        <v>0</v>
      </c>
      <c r="X304" s="70">
        <f>(X94+X204)*'DATA - P&amp;L'!$C$3</f>
        <v>0</v>
      </c>
      <c r="Y304" s="70">
        <f>(Y94+Y204)*'DATA - P&amp;L'!$C$3</f>
        <v>0</v>
      </c>
      <c r="Z304" s="70">
        <f>(Z94+Z204)*'DATA - P&amp;L'!$C$3</f>
        <v>0</v>
      </c>
      <c r="AA304" s="70">
        <f>(AA94+AA204)*'DATA - P&amp;L'!$C$3</f>
        <v>0</v>
      </c>
      <c r="AB304" s="70">
        <f>(AB94+AB204)*'DATA - P&amp;L'!$C$3</f>
        <v>0</v>
      </c>
      <c r="AC304" s="70">
        <f>(AC94+AC204)*'DATA - P&amp;L'!$C$3</f>
        <v>0</v>
      </c>
      <c r="AD304" s="70">
        <f>(AD94+AD204)*'DATA - P&amp;L'!$C$3</f>
        <v>0</v>
      </c>
      <c r="AE304" s="70">
        <f>(AE94+AE204)*'DATA - P&amp;L'!$C$3</f>
        <v>0</v>
      </c>
      <c r="AF304" s="865"/>
    </row>
    <row r="305" outlineLevel="1">
      <c r="A305" s="101" t="s">
        <v>848</v>
      </c>
      <c r="B305" s="70">
        <f>(B95+B205)*'DATA - P&amp;L'!$C$4</f>
        <v>0</v>
      </c>
      <c r="C305" s="70">
        <f>(C95+C205)*'DATA - P&amp;L'!$C$4</f>
        <v>0</v>
      </c>
      <c r="D305" s="70">
        <f>(D95+D205)*'DATA - P&amp;L'!$C$4</f>
        <v>0</v>
      </c>
      <c r="E305" s="70">
        <f>(E95+E205)*'DATA - P&amp;L'!$C$4</f>
        <v>0</v>
      </c>
      <c r="F305" s="70">
        <f>(F95+F205)*'DATA - P&amp;L'!$C$4</f>
        <v>0</v>
      </c>
      <c r="G305" s="70">
        <f>(G95+G205)*'DATA - P&amp;L'!$C$4</f>
        <v>0</v>
      </c>
      <c r="H305" s="70">
        <f>(H95+H205)*'DATA - P&amp;L'!$C$4</f>
        <v>0</v>
      </c>
      <c r="I305" s="70">
        <f>(I95+I205)*'DATA - P&amp;L'!$C$4</f>
        <v>0</v>
      </c>
      <c r="J305" s="70">
        <f>(J95+J205)*'DATA - P&amp;L'!$C$4</f>
        <v>0</v>
      </c>
      <c r="K305" s="70">
        <f>(K95+K205)*'DATA - P&amp;L'!$C$4</f>
        <v>0</v>
      </c>
      <c r="L305" s="70">
        <f>(L95+L205)*'DATA - P&amp;L'!$C$4</f>
        <v>0</v>
      </c>
      <c r="M305" s="70">
        <f>(M95+M205)*'DATA - P&amp;L'!$C$4</f>
        <v>0</v>
      </c>
      <c r="N305" s="70">
        <f>(N95+N205)*'DATA - P&amp;L'!$C$4</f>
        <v>0</v>
      </c>
      <c r="O305" s="70">
        <f>(O95+O205)*'DATA - P&amp;L'!$C$4</f>
        <v>0</v>
      </c>
      <c r="P305" s="70">
        <f>(P95+P205)*'DATA - P&amp;L'!$C$4</f>
        <v>0</v>
      </c>
      <c r="Q305" s="70">
        <f>(Q95+Q205)*'DATA - P&amp;L'!$C$4</f>
        <v>0</v>
      </c>
      <c r="R305" s="70">
        <f>(R95+R205)*'DATA - P&amp;L'!$C$4</f>
        <v>0</v>
      </c>
      <c r="S305" s="70">
        <f>(S95+S205)*'DATA - P&amp;L'!$C$4</f>
        <v>0</v>
      </c>
      <c r="T305" s="70">
        <f>(T95+T205)*'DATA - P&amp;L'!$C$4</f>
        <v>0</v>
      </c>
      <c r="U305" s="70">
        <f>(U95+U205)*'DATA - P&amp;L'!$C$4</f>
        <v>0</v>
      </c>
      <c r="V305" s="70">
        <f>(V95+V205)*'DATA - P&amp;L'!$C$4</f>
        <v>0</v>
      </c>
      <c r="W305" s="70">
        <f>(W95+W205)*'DATA - P&amp;L'!$C$4</f>
        <v>0</v>
      </c>
      <c r="X305" s="70">
        <f>(X95+X205)*'DATA - P&amp;L'!$C$4</f>
        <v>0</v>
      </c>
      <c r="Y305" s="70">
        <f>(Y95+Y205)*'DATA - P&amp;L'!$C$4</f>
        <v>0</v>
      </c>
      <c r="Z305" s="70">
        <f>(Z95+Z205)*'DATA - P&amp;L'!$C$4</f>
        <v>0</v>
      </c>
      <c r="AA305" s="70">
        <f>(AA95+AA205)*'DATA - P&amp;L'!$C$4</f>
        <v>0</v>
      </c>
      <c r="AB305" s="70">
        <f>(AB95+AB205)*'DATA - P&amp;L'!$C$4</f>
        <v>0</v>
      </c>
      <c r="AC305" s="70">
        <f>(AC95+AC205)*'DATA - P&amp;L'!$C$4</f>
        <v>0</v>
      </c>
      <c r="AD305" s="70">
        <f>(AD95+AD205)*'DATA - P&amp;L'!$C$4</f>
        <v>0</v>
      </c>
      <c r="AE305" s="70">
        <f>(AE95+AE205)*'DATA - P&amp;L'!$C$4</f>
        <v>0</v>
      </c>
      <c r="AF305" s="865"/>
    </row>
    <row r="306" outlineLevel="1">
      <c r="A306" s="101" t="s">
        <v>852</v>
      </c>
      <c r="B306" s="70">
        <f>(B97+B207)*'DATA - P&amp;L'!$C$6</f>
        <v>0</v>
      </c>
      <c r="C306" s="70">
        <f>(C97+C207)*'DATA - P&amp;L'!$C$6</f>
        <v>0</v>
      </c>
      <c r="D306" s="70">
        <f>(D97+D207)*'DATA - P&amp;L'!$C$6</f>
        <v>0</v>
      </c>
      <c r="E306" s="70">
        <f>(E97+E207)*'DATA - P&amp;L'!$C$6</f>
        <v>0</v>
      </c>
      <c r="F306" s="70">
        <f>(F97+F207)*'DATA - P&amp;L'!$C$6</f>
        <v>0</v>
      </c>
      <c r="G306" s="70">
        <f>(G97+G207)*'DATA - P&amp;L'!$C$6</f>
        <v>0</v>
      </c>
      <c r="H306" s="70">
        <f>(H97+H207)*'DATA - P&amp;L'!$C$6</f>
        <v>0</v>
      </c>
      <c r="I306" s="70">
        <f>(I97+I207)*'DATA - P&amp;L'!$C$6</f>
        <v>0</v>
      </c>
      <c r="J306" s="70">
        <f>(J97+J207)*'DATA - P&amp;L'!$C$6</f>
        <v>0</v>
      </c>
      <c r="K306" s="70">
        <f>(K97+K207)*'DATA - P&amp;L'!$C$6</f>
        <v>0</v>
      </c>
      <c r="L306" s="70">
        <f>(L97+L207)*'DATA - P&amp;L'!$C$6</f>
        <v>0</v>
      </c>
      <c r="M306" s="70">
        <f>(M97+M207)*'DATA - P&amp;L'!$C$6</f>
        <v>0</v>
      </c>
      <c r="N306" s="70">
        <f>(N97+N207)*'DATA - P&amp;L'!$C$6</f>
        <v>0</v>
      </c>
      <c r="O306" s="70">
        <f>(O97+O207)*'DATA - P&amp;L'!$C$6</f>
        <v>0</v>
      </c>
      <c r="P306" s="70">
        <f>(P97+P207)*'DATA - P&amp;L'!$C$6</f>
        <v>0</v>
      </c>
      <c r="Q306" s="70">
        <f>(Q97+Q207)*'DATA - P&amp;L'!$C$6</f>
        <v>0</v>
      </c>
      <c r="R306" s="70">
        <f>(R97+R207)*'DATA - P&amp;L'!$C$6</f>
        <v>0</v>
      </c>
      <c r="S306" s="70">
        <f>(S97+S207)*'DATA - P&amp;L'!$C$6</f>
        <v>0</v>
      </c>
      <c r="T306" s="70">
        <f>(T97+T207)*'DATA - P&amp;L'!$C$6</f>
        <v>0</v>
      </c>
      <c r="U306" s="70">
        <f>(U97+U207)*'DATA - P&amp;L'!$C$6</f>
        <v>0</v>
      </c>
      <c r="V306" s="70">
        <f>(V97+V207)*'DATA - P&amp;L'!$C$6</f>
        <v>0</v>
      </c>
      <c r="W306" s="70">
        <f>(W97+W207)*'DATA - P&amp;L'!$C$6</f>
        <v>0</v>
      </c>
      <c r="X306" s="70">
        <f>(X97+X207)*'DATA - P&amp;L'!$C$6</f>
        <v>0</v>
      </c>
      <c r="Y306" s="70">
        <f>(Y97+Y207)*'DATA - P&amp;L'!$C$6</f>
        <v>0</v>
      </c>
      <c r="Z306" s="70">
        <f>(Z97+Z207)*'DATA - P&amp;L'!$C$6</f>
        <v>0</v>
      </c>
      <c r="AA306" s="70">
        <f>(AA97+AA207)*'DATA - P&amp;L'!$C$6</f>
        <v>0</v>
      </c>
      <c r="AB306" s="70">
        <f>(AB97+AB207)*'DATA - P&amp;L'!$C$6</f>
        <v>0</v>
      </c>
      <c r="AC306" s="70">
        <f>(AC97+AC207)*'DATA - P&amp;L'!$C$6</f>
        <v>0</v>
      </c>
      <c r="AD306" s="70">
        <f>(AD97+AD207)*'DATA - P&amp;L'!$C$6</f>
        <v>0</v>
      </c>
      <c r="AE306" s="70">
        <f>(AE97+AE207)*'DATA - P&amp;L'!$C$6</f>
        <v>0</v>
      </c>
      <c r="AF306" s="865"/>
    </row>
    <row r="307" outlineLevel="1">
      <c r="A307" s="101" t="s">
        <v>854</v>
      </c>
      <c r="B307" s="70">
        <f>(B98+B208)*'DATA - P&amp;L'!$C$8</f>
        <v>0</v>
      </c>
      <c r="C307" s="70">
        <f>(C98+C208)*'DATA - P&amp;L'!$C$8</f>
        <v>0</v>
      </c>
      <c r="D307" s="70">
        <f>(D98+D208)*'DATA - P&amp;L'!$C$8</f>
        <v>0</v>
      </c>
      <c r="E307" s="70">
        <f>(E98+E208)*'DATA - P&amp;L'!$C$8</f>
        <v>0</v>
      </c>
      <c r="F307" s="70">
        <f>(F98+F208)*'DATA - P&amp;L'!$C$8</f>
        <v>0</v>
      </c>
      <c r="G307" s="70">
        <f>(G98+G208)*'DATA - P&amp;L'!$C$8</f>
        <v>0</v>
      </c>
      <c r="H307" s="70">
        <f>(H98+H208)*'DATA - P&amp;L'!$C$8</f>
        <v>0</v>
      </c>
      <c r="I307" s="70">
        <f>(I98+I208)*'DATA - P&amp;L'!$C$8</f>
        <v>0</v>
      </c>
      <c r="J307" s="70">
        <f>(J98+J208)*'DATA - P&amp;L'!$C$8</f>
        <v>0</v>
      </c>
      <c r="K307" s="70">
        <f>(K98+K208)*'DATA - P&amp;L'!$C$8</f>
        <v>0</v>
      </c>
      <c r="L307" s="70">
        <f>(L98+L208)*'DATA - P&amp;L'!$C$8</f>
        <v>0</v>
      </c>
      <c r="M307" s="70">
        <f>(M98+M208)*'DATA - P&amp;L'!$C$8</f>
        <v>0</v>
      </c>
      <c r="N307" s="70">
        <f>(N98+N208)*'DATA - P&amp;L'!$C$8</f>
        <v>0</v>
      </c>
      <c r="O307" s="70">
        <f>(O98+O208)*'DATA - P&amp;L'!$C$8</f>
        <v>0</v>
      </c>
      <c r="P307" s="70">
        <f>(P98+P208)*'DATA - P&amp;L'!$C$8</f>
        <v>0</v>
      </c>
      <c r="Q307" s="70">
        <f>(Q98+Q208)*'DATA - P&amp;L'!$C$8</f>
        <v>0</v>
      </c>
      <c r="R307" s="70">
        <f>(R98+R208)*'DATA - P&amp;L'!$C$8</f>
        <v>0</v>
      </c>
      <c r="S307" s="70">
        <f>(S98+S208)*'DATA - P&amp;L'!$C$8</f>
        <v>0</v>
      </c>
      <c r="T307" s="70">
        <f>(T98+T208)*'DATA - P&amp;L'!$C$8</f>
        <v>0</v>
      </c>
      <c r="U307" s="70">
        <f>(U98+U208)*'DATA - P&amp;L'!$C$8</f>
        <v>0</v>
      </c>
      <c r="V307" s="70">
        <f>(V98+V208)*'DATA - P&amp;L'!$C$8</f>
        <v>0</v>
      </c>
      <c r="W307" s="70">
        <f>(W98+W208)*'DATA - P&amp;L'!$C$8</f>
        <v>0</v>
      </c>
      <c r="X307" s="70">
        <f>(X98+X208)*'DATA - P&amp;L'!$C$8</f>
        <v>0</v>
      </c>
      <c r="Y307" s="70">
        <f>(Y98+Y208)*'DATA - P&amp;L'!$C$8</f>
        <v>0</v>
      </c>
      <c r="Z307" s="70">
        <f>(Z98+Z208)*'DATA - P&amp;L'!$C$8</f>
        <v>0</v>
      </c>
      <c r="AA307" s="70">
        <f>(AA98+AA208)*'DATA - P&amp;L'!$C$8</f>
        <v>0</v>
      </c>
      <c r="AB307" s="70">
        <f>(AB98+AB208)*'DATA - P&amp;L'!$C$8</f>
        <v>0</v>
      </c>
      <c r="AC307" s="70">
        <f>(AC98+AC208)*'DATA - P&amp;L'!$C$8</f>
        <v>0</v>
      </c>
      <c r="AD307" s="70">
        <f>(AD98+AD208)*'DATA - P&amp;L'!$C$8</f>
        <v>0</v>
      </c>
      <c r="AE307" s="70">
        <f>(AE98+AE208)*'DATA - P&amp;L'!$C$8</f>
        <v>0</v>
      </c>
      <c r="AF307" s="865"/>
    </row>
    <row r="308" outlineLevel="1">
      <c r="A308" s="101" t="s">
        <v>856</v>
      </c>
      <c r="B308" s="70">
        <f>(B99+B100+B209+B210)*'DATA - P&amp;L'!$C$9</f>
        <v>0</v>
      </c>
      <c r="C308" s="70">
        <f>(C99+C100+C209+C210)*'DATA - P&amp;L'!$C$9</f>
        <v>0</v>
      </c>
      <c r="D308" s="70">
        <f>(D99+D100+D209+D210)*'DATA - P&amp;L'!$C$9</f>
        <v>0</v>
      </c>
      <c r="E308" s="70">
        <f>(E99+E100+E209+E210)*'DATA - P&amp;L'!$C$9</f>
        <v>0</v>
      </c>
      <c r="F308" s="70">
        <f>(F99+F100+F209+F210)*'DATA - P&amp;L'!$C$9</f>
        <v>0</v>
      </c>
      <c r="G308" s="70">
        <f>(G99+G100+G209+G210)*'DATA - P&amp;L'!$C$9</f>
        <v>0</v>
      </c>
      <c r="H308" s="70">
        <f>(H99+H100+H209+H210)*'DATA - P&amp;L'!$C$9</f>
        <v>0</v>
      </c>
      <c r="I308" s="70">
        <f>(I99+I100+I209+I210)*'DATA - P&amp;L'!$C$9</f>
        <v>0</v>
      </c>
      <c r="J308" s="70">
        <f>(J99+J100+J209+J210)*'DATA - P&amp;L'!$C$9</f>
        <v>0</v>
      </c>
      <c r="K308" s="70">
        <f>(K99+K100+K209+K210)*'DATA - P&amp;L'!$C$9</f>
        <v>0</v>
      </c>
      <c r="L308" s="70">
        <f>(L99+L100+L209+L210)*'DATA - P&amp;L'!$C$9</f>
        <v>0</v>
      </c>
      <c r="M308" s="70">
        <f>(M99+M100+M209+M210)*'DATA - P&amp;L'!$C$9</f>
        <v>0</v>
      </c>
      <c r="N308" s="70">
        <f>(N99+N100+N209+N210)*'DATA - P&amp;L'!$C$9</f>
        <v>0</v>
      </c>
      <c r="O308" s="70">
        <f>(O99+O100+O209+O210)*'DATA - P&amp;L'!$C$9</f>
        <v>0</v>
      </c>
      <c r="P308" s="70">
        <f>(P99+P100+P209+P210)*'DATA - P&amp;L'!$C$9</f>
        <v>0</v>
      </c>
      <c r="Q308" s="70">
        <f>(Q99+Q100+Q209+Q210)*'DATA - P&amp;L'!$C$9</f>
        <v>0</v>
      </c>
      <c r="R308" s="70">
        <f>(R99+R100+R209+R210)*'DATA - P&amp;L'!$C$9</f>
        <v>0</v>
      </c>
      <c r="S308" s="70">
        <f>(S99+S100+S209+S210)*'DATA - P&amp;L'!$C$9</f>
        <v>0</v>
      </c>
      <c r="T308" s="70">
        <f>(T99+T100+T209+T210)*'DATA - P&amp;L'!$C$9</f>
        <v>0</v>
      </c>
      <c r="U308" s="70">
        <f>(U99+U100+U209+U210)*'DATA - P&amp;L'!$C$9</f>
        <v>0</v>
      </c>
      <c r="V308" s="70">
        <f>(V99+V100+V209+V210)*'DATA - P&amp;L'!$C$9</f>
        <v>0</v>
      </c>
      <c r="W308" s="70">
        <f>(W99+W100+W209+W210)*'DATA - P&amp;L'!$C$9</f>
        <v>0</v>
      </c>
      <c r="X308" s="70">
        <f>(X99+X100+X209+X210)*'DATA - P&amp;L'!$C$9</f>
        <v>0</v>
      </c>
      <c r="Y308" s="70">
        <f>(Y99+Y100+Y209+Y210)*'DATA - P&amp;L'!$C$9</f>
        <v>0</v>
      </c>
      <c r="Z308" s="70">
        <f>(Z99+Z100+Z209+Z210)*'DATA - P&amp;L'!$C$9</f>
        <v>0</v>
      </c>
      <c r="AA308" s="70">
        <f>(AA99+AA100+AA209+AA210)*'DATA - P&amp;L'!$C$9</f>
        <v>0</v>
      </c>
      <c r="AB308" s="70">
        <f>(AB99+AB100+AB209+AB210)*'DATA - P&amp;L'!$C$9</f>
        <v>0</v>
      </c>
      <c r="AC308" s="70">
        <f>(AC99+AC100+AC209+AC210)*'DATA - P&amp;L'!$C$9</f>
        <v>0</v>
      </c>
      <c r="AD308" s="70">
        <f>(AD99+AD100+AD209+AD210)*'DATA - P&amp;L'!$C$9</f>
        <v>0</v>
      </c>
      <c r="AE308" s="70">
        <f>(AE99+AE100+AE209+AE210)*'DATA - P&amp;L'!$C$9</f>
        <v>0</v>
      </c>
      <c r="AF308" s="865"/>
    </row>
    <row r="309" outlineLevel="1">
      <c r="A309" s="101" t="s">
        <v>857</v>
      </c>
      <c r="B309" s="70">
        <f>(B101+B102+B211+B212)*'DATA - P&amp;L'!$C$5</f>
        <v>0</v>
      </c>
      <c r="C309" s="70">
        <f>(C101+C102+C211+C212)*'DATA - P&amp;L'!$C$5</f>
        <v>0</v>
      </c>
      <c r="D309" s="70">
        <f>(D101+D102+D211+D212)*'DATA - P&amp;L'!$C$5</f>
        <v>0</v>
      </c>
      <c r="E309" s="70">
        <f>(E101+E102+E211+E212)*'DATA - P&amp;L'!$C$5</f>
        <v>0</v>
      </c>
      <c r="F309" s="70">
        <f>(F101+F102+F211+F212)*'DATA - P&amp;L'!$C$5</f>
        <v>0</v>
      </c>
      <c r="G309" s="70">
        <f>(G101+G102+G211+G212)*'DATA - P&amp;L'!$C$5</f>
        <v>0</v>
      </c>
      <c r="H309" s="70">
        <f>(H101+H102+H211+H212)*'DATA - P&amp;L'!$C$5</f>
        <v>0</v>
      </c>
      <c r="I309" s="70">
        <f>(I101+I102+I211+I212)*'DATA - P&amp;L'!$C$5</f>
        <v>0</v>
      </c>
      <c r="J309" s="70">
        <f>(J101+J102+J211+J212)*'DATA - P&amp;L'!$C$5</f>
        <v>0</v>
      </c>
      <c r="K309" s="70">
        <f>(K101+K102+K211+K212)*'DATA - P&amp;L'!$C$5</f>
        <v>0</v>
      </c>
      <c r="L309" s="70">
        <f>(L101+L102+L211+L212)*'DATA - P&amp;L'!$C$5</f>
        <v>0</v>
      </c>
      <c r="M309" s="70">
        <f>(M101+M102+M211+M212)*'DATA - P&amp;L'!$C$5</f>
        <v>0</v>
      </c>
      <c r="N309" s="70">
        <f>(N101+N102+N211+N212)*'DATA - P&amp;L'!$C$5</f>
        <v>0</v>
      </c>
      <c r="O309" s="70">
        <f>(O101+O102+O211+O212)*'DATA - P&amp;L'!$C$5</f>
        <v>0</v>
      </c>
      <c r="P309" s="70">
        <f>(P101+P102+P211+P212)*'DATA - P&amp;L'!$C$5</f>
        <v>0</v>
      </c>
      <c r="Q309" s="70">
        <f>(Q101+Q102+Q211+Q212)*'DATA - P&amp;L'!$C$5</f>
        <v>0</v>
      </c>
      <c r="R309" s="70">
        <f>(R101+R102+R211+R212)*'DATA - P&amp;L'!$C$5</f>
        <v>0</v>
      </c>
      <c r="S309" s="70">
        <f>(S101+S102+S211+S212)*'DATA - P&amp;L'!$C$5</f>
        <v>0</v>
      </c>
      <c r="T309" s="70">
        <f>(T101+T102+T211+T212)*'DATA - P&amp;L'!$C$5</f>
        <v>0</v>
      </c>
      <c r="U309" s="70">
        <f>(U101+U102+U211+U212)*'DATA - P&amp;L'!$C$5</f>
        <v>0</v>
      </c>
      <c r="V309" s="70">
        <f>(V101+V102+V211+V212)*'DATA - P&amp;L'!$C$5</f>
        <v>0</v>
      </c>
      <c r="W309" s="70">
        <f>(W101+W102+W211+W212)*'DATA - P&amp;L'!$C$5</f>
        <v>0</v>
      </c>
      <c r="X309" s="70">
        <f>(X101+X102+X211+X212)*'DATA - P&amp;L'!$C$5</f>
        <v>0</v>
      </c>
      <c r="Y309" s="70">
        <f>(Y101+Y102+Y211+Y212)*'DATA - P&amp;L'!$C$5</f>
        <v>0</v>
      </c>
      <c r="Z309" s="70">
        <f>(Z101+Z102+Z211+Z212)*'DATA - P&amp;L'!$C$5</f>
        <v>0</v>
      </c>
      <c r="AA309" s="70">
        <f>(AA101+AA102+AA211+AA212)*'DATA - P&amp;L'!$C$5</f>
        <v>0</v>
      </c>
      <c r="AB309" s="70">
        <f>(AB101+AB102+AB211+AB212)*'DATA - P&amp;L'!$C$5</f>
        <v>0</v>
      </c>
      <c r="AC309" s="70">
        <f>(AC101+AC102+AC211+AC212)*'DATA - P&amp;L'!$C$5</f>
        <v>0</v>
      </c>
      <c r="AD309" s="70">
        <f>(AD101+AD102+AD211+AD212)*'DATA - P&amp;L'!$C$5</f>
        <v>0</v>
      </c>
      <c r="AE309" s="70">
        <f>(AE101+AE102+AE211+AE212)*'DATA - P&amp;L'!$C$5</f>
        <v>0</v>
      </c>
      <c r="AF309" s="865"/>
    </row>
    <row r="310" outlineLevel="1">
      <c r="A310" s="101" t="s">
        <v>859</v>
      </c>
      <c r="B310" s="70">
        <f>(B103+B104+B213+B214)*'DATA - P&amp;L'!$C$10</f>
        <v>0</v>
      </c>
      <c r="C310" s="70">
        <f>(C103+C104+C213+C214)*'DATA - P&amp;L'!$C$10</f>
        <v>0</v>
      </c>
      <c r="D310" s="70">
        <f>(D103+D104+D213+D214)*'DATA - P&amp;L'!$C$10</f>
        <v>0</v>
      </c>
      <c r="E310" s="70">
        <f>(E103+E104+E213+E214)*'DATA - P&amp;L'!$C$10</f>
        <v>0</v>
      </c>
      <c r="F310" s="70">
        <f>(F103+F104+F213+F214)*'DATA - P&amp;L'!$C$10</f>
        <v>0</v>
      </c>
      <c r="G310" s="70">
        <f>(G103+G104+G213+G214)*'DATA - P&amp;L'!$C$10</f>
        <v>0</v>
      </c>
      <c r="H310" s="70">
        <f>(H103+H104+H213+H214)*'DATA - P&amp;L'!$C$10</f>
        <v>0</v>
      </c>
      <c r="I310" s="70">
        <f>(I103+I104+I213+I214)*'DATA - P&amp;L'!$C$10</f>
        <v>0</v>
      </c>
      <c r="J310" s="70">
        <f>(J103+J104+J213+J214)*'DATA - P&amp;L'!$C$10</f>
        <v>0</v>
      </c>
      <c r="K310" s="70">
        <f>(K103+K104+K213+K214)*'DATA - P&amp;L'!$C$10</f>
        <v>0</v>
      </c>
      <c r="L310" s="70">
        <f>(L103+L104+L213+L214)*'DATA - P&amp;L'!$C$10</f>
        <v>0</v>
      </c>
      <c r="M310" s="70">
        <f>(M103+M104+M213+M214)*'DATA - P&amp;L'!$C$10</f>
        <v>0</v>
      </c>
      <c r="N310" s="70">
        <f>(N103+N104+N213+N214)*'DATA - P&amp;L'!$C$10</f>
        <v>0</v>
      </c>
      <c r="O310" s="70">
        <f>(O103+O104+O213+O214)*'DATA - P&amp;L'!$C$10</f>
        <v>0</v>
      </c>
      <c r="P310" s="70">
        <f>(P103+P104+P213+P214)*'DATA - P&amp;L'!$C$10</f>
        <v>0</v>
      </c>
      <c r="Q310" s="70">
        <f>(Q103+Q104+Q213+Q214)*'DATA - P&amp;L'!$C$10</f>
        <v>0</v>
      </c>
      <c r="R310" s="70">
        <f>(R103+R104+R213+R214)*'DATA - P&amp;L'!$C$10</f>
        <v>0</v>
      </c>
      <c r="S310" s="70">
        <f>(S103+S104+S213+S214)*'DATA - P&amp;L'!$C$10</f>
        <v>0</v>
      </c>
      <c r="T310" s="70">
        <f>(T103+T104+T213+T214)*'DATA - P&amp;L'!$C$10</f>
        <v>0</v>
      </c>
      <c r="U310" s="70">
        <f>(U103+U104+U213+U214)*'DATA - P&amp;L'!$C$10</f>
        <v>0</v>
      </c>
      <c r="V310" s="70">
        <f>(V103+V104+V213+V214)*'DATA - P&amp;L'!$C$10</f>
        <v>0</v>
      </c>
      <c r="W310" s="70">
        <f>(W103+W104+W213+W214)*'DATA - P&amp;L'!$C$10</f>
        <v>0</v>
      </c>
      <c r="X310" s="70">
        <f>(X103+X104+X213+X214)*'DATA - P&amp;L'!$C$10</f>
        <v>0</v>
      </c>
      <c r="Y310" s="70">
        <f>(Y103+Y104+Y213+Y214)*'DATA - P&amp;L'!$C$10</f>
        <v>0</v>
      </c>
      <c r="Z310" s="70">
        <f>(Z103+Z104+Z213+Z214)*'DATA - P&amp;L'!$C$10</f>
        <v>0</v>
      </c>
      <c r="AA310" s="70">
        <f>(AA103+AA104+AA213+AA214)*'DATA - P&amp;L'!$C$10</f>
        <v>0</v>
      </c>
      <c r="AB310" s="70">
        <f>(AB103+AB104+AB213+AB214)*'DATA - P&amp;L'!$C$10</f>
        <v>0</v>
      </c>
      <c r="AC310" s="70">
        <f>(AC103+AC104+AC213+AC214)*'DATA - P&amp;L'!$C$10</f>
        <v>0</v>
      </c>
      <c r="AD310" s="70">
        <f>(AD103+AD104+AD213+AD214)*'DATA - P&amp;L'!$C$10</f>
        <v>0</v>
      </c>
      <c r="AE310" s="70">
        <f>(AE103+AE104+AE213+AE214)*'DATA - P&amp;L'!$C$10</f>
        <v>0</v>
      </c>
      <c r="AF310" s="865"/>
    </row>
    <row r="311" outlineLevel="1">
      <c r="A311" s="101" t="s">
        <v>862</v>
      </c>
      <c r="B311" s="70">
        <f>(B108+B109+B218+B219)*'DATA - P&amp;L'!$C$13</f>
        <v>0</v>
      </c>
      <c r="C311" s="70">
        <f>(C163+C164+C176+C177)*'DATA - P&amp;L'!$C$13</f>
        <v>0</v>
      </c>
      <c r="D311" s="70">
        <f>(D163+D164+D176+D177)*'DATA - P&amp;L'!$C$13</f>
        <v>0</v>
      </c>
      <c r="E311" s="70">
        <f>(E163+E164+E176+E177)*'DATA - P&amp;L'!$C$13</f>
        <v>0</v>
      </c>
      <c r="F311" s="70">
        <f>(F163+F164+F176+F177)*'DATA - P&amp;L'!$C$13</f>
        <v>0</v>
      </c>
      <c r="G311" s="70">
        <f>(G163+G164+G176+G177)*'DATA - P&amp;L'!$C$13</f>
        <v>0</v>
      </c>
      <c r="H311" s="70">
        <f>(H163+H164+H176+H177)*'DATA - P&amp;L'!$C$13</f>
        <v>0</v>
      </c>
      <c r="I311" s="70">
        <f>(I163+I164+I176+I177)*'DATA - P&amp;L'!$C$13</f>
        <v>0</v>
      </c>
      <c r="J311" s="70">
        <f>(J163+J164+J176+J177)*'DATA - P&amp;L'!$C$13</f>
        <v>0</v>
      </c>
      <c r="K311" s="70">
        <f>(K163+K164+K176+K177)*'DATA - P&amp;L'!$C$13</f>
        <v>0</v>
      </c>
      <c r="L311" s="70">
        <f>(L163+L164+L176+L177)*'DATA - P&amp;L'!$C$13</f>
        <v>0</v>
      </c>
      <c r="M311" s="70">
        <f>(M163+M164+M176+M177)*'DATA - P&amp;L'!$C$13</f>
        <v>0</v>
      </c>
      <c r="N311" s="70">
        <f>(N163+N164+N176+N177)*'DATA - P&amp;L'!$C$13</f>
        <v>0</v>
      </c>
      <c r="O311" s="70">
        <f>(O163+O164+O176+O177)*'DATA - P&amp;L'!$C$13</f>
        <v>0</v>
      </c>
      <c r="P311" s="70">
        <f>(P163+P164+P176+P177)*'DATA - P&amp;L'!$C$13</f>
        <v>0</v>
      </c>
      <c r="Q311" s="70">
        <f>(Q163+Q164+Q176+Q177)*'DATA - P&amp;L'!$C$13</f>
        <v>0</v>
      </c>
      <c r="R311" s="70">
        <f>(R163+R164+R176+R177)*'DATA - P&amp;L'!$C$13</f>
        <v>0</v>
      </c>
      <c r="S311" s="70">
        <f>(S163+S164+S176+S177)*'DATA - P&amp;L'!$C$13</f>
        <v>0</v>
      </c>
      <c r="T311" s="70">
        <f>(T163+T164+T176+T177)*'DATA - P&amp;L'!$C$13</f>
        <v>0</v>
      </c>
      <c r="U311" s="70">
        <f>(U163+U164+U176+U177)*'DATA - P&amp;L'!$C$13</f>
        <v>0</v>
      </c>
      <c r="V311" s="70">
        <f>(V163+V164+V176+V177)*'DATA - P&amp;L'!$C$13</f>
        <v>0</v>
      </c>
      <c r="W311" s="70">
        <f>(W163+W164+W176+W177)*'DATA - P&amp;L'!$C$13</f>
        <v>0</v>
      </c>
      <c r="X311" s="70">
        <f>(X163+X164+X176+X177)*'DATA - P&amp;L'!$C$13</f>
        <v>0</v>
      </c>
      <c r="Y311" s="70">
        <f>(Y163+Y164+Y176+Y177)*'DATA - P&amp;L'!$C$13</f>
        <v>0</v>
      </c>
      <c r="Z311" s="70">
        <f>(Z163+Z164+Z176+Z177)*'DATA - P&amp;L'!$C$13</f>
        <v>0</v>
      </c>
      <c r="AA311" s="70">
        <f>(AA163+AA164+AA176+AA177)*'DATA - P&amp;L'!$C$13</f>
        <v>0</v>
      </c>
      <c r="AB311" s="70">
        <f>(AB163+AB164+AB176+AB177)*'DATA - P&amp;L'!$C$13</f>
        <v>0</v>
      </c>
      <c r="AC311" s="70">
        <f>(AC163+AC164+AC176+AC177)*'DATA - P&amp;L'!$C$13</f>
        <v>0</v>
      </c>
      <c r="AD311" s="70">
        <f>(AD163+AD164+AD176+AD177)*'DATA - P&amp;L'!$C$13</f>
        <v>0</v>
      </c>
      <c r="AE311" s="70">
        <f>(AE163+AE164+AE176+AE177)*'DATA - P&amp;L'!$C$13</f>
        <v>0</v>
      </c>
      <c r="AF311" s="865"/>
    </row>
    <row r="312" outlineLevel="1">
      <c r="A312" s="101" t="s">
        <v>865</v>
      </c>
      <c r="B312" s="70">
        <f>(B110+B220)*'DATA - P&amp;L'!$C$14</f>
        <v>0</v>
      </c>
      <c r="C312" s="70">
        <f>(C165+C178)*'DATA - P&amp;L'!$C$14</f>
        <v>0</v>
      </c>
      <c r="D312" s="70">
        <f>(D165+D178)*'DATA - P&amp;L'!$C$14</f>
        <v>0</v>
      </c>
      <c r="E312" s="70">
        <f>(E165+E178)*'DATA - P&amp;L'!$C$14</f>
        <v>0</v>
      </c>
      <c r="F312" s="70">
        <f>(F165+F178)*'DATA - P&amp;L'!$C$14</f>
        <v>0</v>
      </c>
      <c r="G312" s="70">
        <f>(G165+G178)*'DATA - P&amp;L'!$C$14</f>
        <v>0</v>
      </c>
      <c r="H312" s="70">
        <f>(H165+H178)*'DATA - P&amp;L'!$C$14</f>
        <v>0</v>
      </c>
      <c r="I312" s="70">
        <f>(I165+I178)*'DATA - P&amp;L'!$C$14</f>
        <v>0</v>
      </c>
      <c r="J312" s="70">
        <f>(J165+J178)*'DATA - P&amp;L'!$C$14</f>
        <v>0</v>
      </c>
      <c r="K312" s="70">
        <f>(K165+K178)*'DATA - P&amp;L'!$C$14</f>
        <v>0</v>
      </c>
      <c r="L312" s="70">
        <f>(L165+L178)*'DATA - P&amp;L'!$C$14</f>
        <v>0</v>
      </c>
      <c r="M312" s="70">
        <f>(M165+M178)*'DATA - P&amp;L'!$C$14</f>
        <v>0</v>
      </c>
      <c r="N312" s="70">
        <f>(N165+N178)*'DATA - P&amp;L'!$C$14</f>
        <v>0</v>
      </c>
      <c r="O312" s="70">
        <f>(O165+O178)*'DATA - P&amp;L'!$C$14</f>
        <v>0</v>
      </c>
      <c r="P312" s="70">
        <f>(P165+P178)*'DATA - P&amp;L'!$C$14</f>
        <v>0</v>
      </c>
      <c r="Q312" s="70">
        <f>(Q165+Q178)*'DATA - P&amp;L'!$C$14</f>
        <v>0</v>
      </c>
      <c r="R312" s="70">
        <f>(R165+R178)*'DATA - P&amp;L'!$C$14</f>
        <v>0</v>
      </c>
      <c r="S312" s="70">
        <f>(S165+S178)*'DATA - P&amp;L'!$C$14</f>
        <v>0</v>
      </c>
      <c r="T312" s="70">
        <f>(T165+T178)*'DATA - P&amp;L'!$C$14</f>
        <v>0</v>
      </c>
      <c r="U312" s="70">
        <f>(U165+U178)*'DATA - P&amp;L'!$C$14</f>
        <v>0</v>
      </c>
      <c r="V312" s="70">
        <f>(V165+V178)*'DATA - P&amp;L'!$C$14</f>
        <v>0</v>
      </c>
      <c r="W312" s="70">
        <f>(W165+W178)*'DATA - P&amp;L'!$C$14</f>
        <v>0</v>
      </c>
      <c r="X312" s="70">
        <f>(X165+X178)*'DATA - P&amp;L'!$C$14</f>
        <v>0</v>
      </c>
      <c r="Y312" s="70">
        <f>(Y165+Y178)*'DATA - P&amp;L'!$C$14</f>
        <v>0</v>
      </c>
      <c r="Z312" s="70">
        <f>(Z165+Z178)*'DATA - P&amp;L'!$C$14</f>
        <v>0</v>
      </c>
      <c r="AA312" s="70">
        <f>(AA165+AA178)*'DATA - P&amp;L'!$C$14</f>
        <v>0</v>
      </c>
      <c r="AB312" s="70">
        <f>(AB165+AB178)*'DATA - P&amp;L'!$C$14</f>
        <v>0</v>
      </c>
      <c r="AC312" s="70">
        <f>(AC165+AC178)*'DATA - P&amp;L'!$C$14</f>
        <v>0</v>
      </c>
      <c r="AD312" s="70">
        <f>(AD165+AD178)*'DATA - P&amp;L'!$C$14</f>
        <v>0</v>
      </c>
      <c r="AE312" s="70">
        <f>(AE165+AE178)*'DATA - P&amp;L'!$C$14</f>
        <v>0</v>
      </c>
      <c r="AF312" s="865"/>
    </row>
    <row r="313" outlineLevel="1">
      <c r="A313" s="101" t="s">
        <v>867</v>
      </c>
      <c r="B313" s="70">
        <f>(((B94+B204)*'DATA - P&amp;L'!$C$38)+((B95+B205)*'DATA - P&amp;L'!$C$38))*'DATA - P&amp;L'!$C$55</f>
        <v>0</v>
      </c>
      <c r="C313" s="70">
        <f>(((C94+C204)*'DATA - P&amp;L'!$C$38)+((C95+C205)*'DATA - P&amp;L'!$C$38))*'DATA - P&amp;L'!$C$55</f>
        <v>0</v>
      </c>
      <c r="D313" s="70">
        <f>(((D94+D204)*'DATA - P&amp;L'!$C$38)+((D95+D205)*'DATA - P&amp;L'!$C$38))*'DATA - P&amp;L'!$C$55</f>
        <v>0</v>
      </c>
      <c r="E313" s="70">
        <f>(((E94+E204)*'DATA - P&amp;L'!$C$38)+((E95+E205)*'DATA - P&amp;L'!$C$38))*'DATA - P&amp;L'!$C$55</f>
        <v>0</v>
      </c>
      <c r="F313" s="70">
        <f>(((F94+F204)*'DATA - P&amp;L'!$C$38)+((F95+F205)*'DATA - P&amp;L'!$C$38))*'DATA - P&amp;L'!$C$55</f>
        <v>0</v>
      </c>
      <c r="G313" s="70">
        <f>(((G94+G204)*'DATA - P&amp;L'!$C$38)+((G95+G205)*'DATA - P&amp;L'!$C$38))*'DATA - P&amp;L'!$C$55</f>
        <v>0</v>
      </c>
      <c r="H313" s="70">
        <f>(((H94+H204)*'DATA - P&amp;L'!$C$38)+((H95+H205)*'DATA - P&amp;L'!$C$38))*'DATA - P&amp;L'!$C$55</f>
        <v>0</v>
      </c>
      <c r="I313" s="70">
        <f>(((I94+I204)*'DATA - P&amp;L'!$C$38)+((I95+I205)*'DATA - P&amp;L'!$C$38))*'DATA - P&amp;L'!$C$55</f>
        <v>0</v>
      </c>
      <c r="J313" s="70">
        <f>(((J94+J204)*'DATA - P&amp;L'!$C$38)+((J95+J205)*'DATA - P&amp;L'!$C$38))*'DATA - P&amp;L'!$C$55</f>
        <v>0</v>
      </c>
      <c r="K313" s="70">
        <f>(((K94+K204)*'DATA - P&amp;L'!$C$38)+((K95+K205)*'DATA - P&amp;L'!$C$38))*'DATA - P&amp;L'!$C$55</f>
        <v>0</v>
      </c>
      <c r="L313" s="70">
        <f>(((L94+L204)*'DATA - P&amp;L'!$C$38)+((L95+L205)*'DATA - P&amp;L'!$C$38))*'DATA - P&amp;L'!$C$55</f>
        <v>0</v>
      </c>
      <c r="M313" s="70">
        <f>(((M94+M204)*'DATA - P&amp;L'!$C$38)+((M95+M205)*'DATA - P&amp;L'!$C$38))*'DATA - P&amp;L'!$C$55</f>
        <v>0</v>
      </c>
      <c r="N313" s="70">
        <f>(((N94+N204)*'DATA - P&amp;L'!$C$38)+((N95+N205)*'DATA - P&amp;L'!$C$38))*'DATA - P&amp;L'!$C$55</f>
        <v>0</v>
      </c>
      <c r="O313" s="70">
        <f>(((O94+O204)*'DATA - P&amp;L'!$C$38)+((O95+O205)*'DATA - P&amp;L'!$C$38))*'DATA - P&amp;L'!$C$55</f>
        <v>0</v>
      </c>
      <c r="P313" s="70">
        <f>(((P94+P204)*'DATA - P&amp;L'!$C$38)+((P95+P205)*'DATA - P&amp;L'!$C$38))*'DATA - P&amp;L'!$C$55</f>
        <v>0</v>
      </c>
      <c r="Q313" s="70">
        <f>(((Q94+Q204)*'DATA - P&amp;L'!$C$38)+((Q95+Q205)*'DATA - P&amp;L'!$C$38))*'DATA - P&amp;L'!$C$55</f>
        <v>0</v>
      </c>
      <c r="R313" s="70">
        <f>(((R94+R204)*'DATA - P&amp;L'!$C$38)+((R95+R205)*'DATA - P&amp;L'!$C$38))*'DATA - P&amp;L'!$C$55</f>
        <v>0</v>
      </c>
      <c r="S313" s="70">
        <f>(((S94+S204)*'DATA - P&amp;L'!$C$38)+((S95+S205)*'DATA - P&amp;L'!$C$38))*'DATA - P&amp;L'!$C$55</f>
        <v>0</v>
      </c>
      <c r="T313" s="70">
        <f>(((T94+T204)*'DATA - P&amp;L'!$C$38)+((T95+T205)*'DATA - P&amp;L'!$C$38))*'DATA - P&amp;L'!$C$55</f>
        <v>0</v>
      </c>
      <c r="U313" s="70">
        <f>(((U94+U204)*'DATA - P&amp;L'!$C$38)+((U95+U205)*'DATA - P&amp;L'!$C$38))*'DATA - P&amp;L'!$C$55</f>
        <v>0</v>
      </c>
      <c r="V313" s="70">
        <f>(((V94+V204)*'DATA - P&amp;L'!$C$38)+((V95+V205)*'DATA - P&amp;L'!$C$38))*'DATA - P&amp;L'!$C$55</f>
        <v>0</v>
      </c>
      <c r="W313" s="70">
        <f>(((W94+W204)*'DATA - P&amp;L'!$C$38)+((W95+W205)*'DATA - P&amp;L'!$C$38))*'DATA - P&amp;L'!$C$55</f>
        <v>0</v>
      </c>
      <c r="X313" s="70">
        <f>(((X94+X204)*'DATA - P&amp;L'!$C$38)+((X95+X205)*'DATA - P&amp;L'!$C$38))*'DATA - P&amp;L'!$C$55</f>
        <v>0</v>
      </c>
      <c r="Y313" s="70">
        <f>(((Y94+Y204)*'DATA - P&amp;L'!$C$38)+((Y95+Y205)*'DATA - P&amp;L'!$C$38))*'DATA - P&amp;L'!$C$55</f>
        <v>0</v>
      </c>
      <c r="Z313" s="70">
        <f>(((Z94+Z204)*'DATA - P&amp;L'!$C$38)+((Z95+Z205)*'DATA - P&amp;L'!$C$38))*'DATA - P&amp;L'!$C$55</f>
        <v>0</v>
      </c>
      <c r="AA313" s="70">
        <f>(((AA94+AA204)*'DATA - P&amp;L'!$C$38)+((AA95+AA205)*'DATA - P&amp;L'!$C$38))*'DATA - P&amp;L'!$C$55</f>
        <v>0</v>
      </c>
      <c r="AB313" s="70">
        <f>(((AB94+AB204)*'DATA - P&amp;L'!$C$38)+((AB95+AB205)*'DATA - P&amp;L'!$C$38))*'DATA - P&amp;L'!$C$55</f>
        <v>0</v>
      </c>
      <c r="AC313" s="70">
        <f>(((AC94+AC204)*'DATA - P&amp;L'!$C$38)+((AC95+AC205)*'DATA - P&amp;L'!$C$38))*'DATA - P&amp;L'!$C$55</f>
        <v>0</v>
      </c>
      <c r="AD313" s="70">
        <f>(((AD94+AD204)*'DATA - P&amp;L'!$C$38)+((AD95+AD205)*'DATA - P&amp;L'!$C$38))*'DATA - P&amp;L'!$C$55</f>
        <v>0</v>
      </c>
      <c r="AE313" s="70">
        <f>(((AE94+AE204)*'DATA - P&amp;L'!$C$38)+((AE95+AE205)*'DATA - P&amp;L'!$C$38))*'DATA - P&amp;L'!$C$55</f>
        <v>0</v>
      </c>
      <c r="AF313" s="865"/>
    </row>
    <row r="314" outlineLevel="1">
      <c r="A314" s="101" t="s">
        <v>868</v>
      </c>
      <c r="B314" s="70">
        <f>((B90+B91+B92+B93)*'DATA - P&amp;L'!$C$34)+((B200+B201+B202+B203)*'DATA - P&amp;L'!$C$34)</f>
        <v>0</v>
      </c>
      <c r="C314" s="70">
        <f>((C90+C91+C92+C93)*'DATA - P&amp;L'!$C$34)+((C200+C201+C202+C203)*'DATA - P&amp;L'!$C$34)</f>
        <v>0</v>
      </c>
      <c r="D314" s="70">
        <f>((D90+D91+D92+D93)*'DATA - P&amp;L'!$C$34)+((D200+D201+D202+D203)*'DATA - P&amp;L'!$C$34)</f>
        <v>0</v>
      </c>
      <c r="E314" s="70">
        <f>((E90+E91+E92+E93)*'DATA - P&amp;L'!$C$34)+((E200+E201+E202+E203)*'DATA - P&amp;L'!$C$34)</f>
        <v>0</v>
      </c>
      <c r="F314" s="70">
        <f>((F90+F91+F92+F93)*'DATA - P&amp;L'!$C$34)+((F200+F201+F202+F203)*'DATA - P&amp;L'!$C$34)</f>
        <v>0</v>
      </c>
      <c r="G314" s="70">
        <f>((G90+G91+G92+G93)*'DATA - P&amp;L'!$C$34)+((G200+G201+G202+G203)*'DATA - P&amp;L'!$C$34)</f>
        <v>0</v>
      </c>
      <c r="H314" s="70">
        <f>((H90+H91+H92+H93)*'DATA - P&amp;L'!$C$34)+((H200+H201+H202+H203)*'DATA - P&amp;L'!$C$34)</f>
        <v>0</v>
      </c>
      <c r="I314" s="70">
        <f>((I90+I91+I92+I93)*'DATA - P&amp;L'!$C$34)+((I200+I201+I202+I203)*'DATA - P&amp;L'!$C$34)</f>
        <v>0</v>
      </c>
      <c r="J314" s="70">
        <f>((J90+J91+J92+J93)*'DATA - P&amp;L'!$C$34)+((J200+J201+J202+J203)*'DATA - P&amp;L'!$C$34)</f>
        <v>0</v>
      </c>
      <c r="K314" s="70">
        <f>((K90+K91+K92+K93)*'DATA - P&amp;L'!$C$34)+((K200+K201+K202+K203)*'DATA - P&amp;L'!$C$34)</f>
        <v>0</v>
      </c>
      <c r="L314" s="70">
        <f>((L90+L91+L92+L93)*'DATA - P&amp;L'!$C$34)+((L200+L201+L202+L203)*'DATA - P&amp;L'!$C$34)</f>
        <v>0</v>
      </c>
      <c r="M314" s="70">
        <f>((M90+M91+M92+M93)*'DATA - P&amp;L'!$C$34)+((M200+M201+M202+M203)*'DATA - P&amp;L'!$C$34)</f>
        <v>0</v>
      </c>
      <c r="N314" s="70">
        <f>((N90+N91+N92+N93)*'DATA - P&amp;L'!$C$34)+((N200+N201+N202+N203)*'DATA - P&amp;L'!$C$34)</f>
        <v>0</v>
      </c>
      <c r="O314" s="70">
        <f>((O90+O91+O92+O93)*'DATA - P&amp;L'!$C$34)+((O200+O201+O202+O203)*'DATA - P&amp;L'!$C$34)</f>
        <v>0</v>
      </c>
      <c r="P314" s="70">
        <f>((P90+P91+P92+P93)*'DATA - P&amp;L'!$C$34)+((P200+P201+P202+P203)*'DATA - P&amp;L'!$C$34)</f>
        <v>0</v>
      </c>
      <c r="Q314" s="70">
        <f>((Q90+Q91+Q92+Q93)*'DATA - P&amp;L'!$C$34)+((Q200+Q201+Q202+Q203)*'DATA - P&amp;L'!$C$34)</f>
        <v>0</v>
      </c>
      <c r="R314" s="70">
        <f>((R90+R91+R92+R93)*'DATA - P&amp;L'!$C$34)+((R200+R201+R202+R203)*'DATA - P&amp;L'!$C$34)</f>
        <v>0</v>
      </c>
      <c r="S314" s="70">
        <f>((S90+S91+S92+S93)*'DATA - P&amp;L'!$C$34)+((S200+S201+S202+S203)*'DATA - P&amp;L'!$C$34)</f>
        <v>0</v>
      </c>
      <c r="T314" s="70">
        <f>((T90+T91+T92+T93)*'DATA - P&amp;L'!$C$34)+((T200+T201+T202+T203)*'DATA - P&amp;L'!$C$34)</f>
        <v>0</v>
      </c>
      <c r="U314" s="70">
        <f>((U90+U91+U92+U93)*'DATA - P&amp;L'!$C$34)+((U200+U201+U202+U203)*'DATA - P&amp;L'!$C$34)</f>
        <v>0</v>
      </c>
      <c r="V314" s="70">
        <f>((V90+V91+V92+V93)*'DATA - P&amp;L'!$C$34)+((V200+V201+V202+V203)*'DATA - P&amp;L'!$C$34)</f>
        <v>0</v>
      </c>
      <c r="W314" s="70">
        <f>((W90+W91+W92+W93)*'DATA - P&amp;L'!$C$34)+((W200+W201+W202+W203)*'DATA - P&amp;L'!$C$34)</f>
        <v>0</v>
      </c>
      <c r="X314" s="70">
        <f>((X90+X91+X92+X93)*'DATA - P&amp;L'!$C$34)+((X200+X201+X202+X203)*'DATA - P&amp;L'!$C$34)</f>
        <v>0</v>
      </c>
      <c r="Y314" s="70">
        <f>((Y90+Y91+Y92+Y93)*'DATA - P&amp;L'!$C$34)+((Y200+Y201+Y202+Y203)*'DATA - P&amp;L'!$C$34)</f>
        <v>0</v>
      </c>
      <c r="Z314" s="70">
        <f>((Z90+Z91+Z92+Z93)*'DATA - P&amp;L'!$C$34)+((Z200+Z201+Z202+Z203)*'DATA - P&amp;L'!$C$34)</f>
        <v>0</v>
      </c>
      <c r="AA314" s="70">
        <f>((AA90+AA91+AA92+AA93)*'DATA - P&amp;L'!$C$34)+((AA200+AA201+AA202+AA203)*'DATA - P&amp;L'!$C$34)</f>
        <v>0</v>
      </c>
      <c r="AB314" s="70">
        <f>((AB90+AB91+AB92+AB93)*'DATA - P&amp;L'!$C$34)+((AB200+AB201+AB202+AB203)*'DATA - P&amp;L'!$C$34)</f>
        <v>0</v>
      </c>
      <c r="AC314" s="70">
        <f>((AC90+AC91+AC92+AC93)*'DATA - P&amp;L'!$C$34)+((AC200+AC201+AC202+AC203)*'DATA - P&amp;L'!$C$34)</f>
        <v>0</v>
      </c>
      <c r="AD314" s="70">
        <f>((AD90+AD91+AD92+AD93)*'DATA - P&amp;L'!$C$34)+((AD200+AD201+AD202+AD203)*'DATA - P&amp;L'!$C$34)</f>
        <v>0</v>
      </c>
      <c r="AE314" s="70">
        <f>((AE90+AE91+AE92+AE93)*'DATA - P&amp;L'!$C$34)+((AE200+AE201+AE202+AE203)*'DATA - P&amp;L'!$C$34)</f>
        <v>0</v>
      </c>
      <c r="AF314" s="865"/>
    </row>
    <row r="315" outlineLevel="1">
      <c r="A315" s="101" t="s">
        <v>870</v>
      </c>
      <c r="B315" s="70">
        <f>((B191*'DATA - P&amp;L'!$D$38)+(B206*'DATA - P&amp;L'!$D$39))*'DATA - P&amp;L'!$C$55</f>
        <v>0</v>
      </c>
      <c r="C315" s="70">
        <f>((C191*'DATA - P&amp;L'!$D$38)+(C206*'DATA - P&amp;L'!$D$39))*'DATA - P&amp;L'!$C$55</f>
        <v>0</v>
      </c>
      <c r="D315" s="70">
        <f>((D191*'DATA - P&amp;L'!$D$38)+(D206*'DATA - P&amp;L'!$D$39))*'DATA - P&amp;L'!$C$55</f>
        <v>0</v>
      </c>
      <c r="E315" s="70">
        <f>((E191*'DATA - P&amp;L'!$D$38)+(E206*'DATA - P&amp;L'!$D$39))*'DATA - P&amp;L'!$C$55</f>
        <v>0</v>
      </c>
      <c r="F315" s="70">
        <f>((F191*'DATA - P&amp;L'!$D$38)+(F206*'DATA - P&amp;L'!$D$39))*'DATA - P&amp;L'!$C$55</f>
        <v>0</v>
      </c>
      <c r="G315" s="70">
        <f>((G191*'DATA - P&amp;L'!$D$38)+(G206*'DATA - P&amp;L'!$D$39))*'DATA - P&amp;L'!$C$55</f>
        <v>0</v>
      </c>
      <c r="H315" s="70">
        <f>((H191*'DATA - P&amp;L'!$D$38)+(H206*'DATA - P&amp;L'!$D$39))*'DATA - P&amp;L'!$C$55</f>
        <v>0</v>
      </c>
      <c r="I315" s="70">
        <f>((I191*'DATA - P&amp;L'!$D$38)+(I206*'DATA - P&amp;L'!$D$39))*'DATA - P&amp;L'!$C$55</f>
        <v>0</v>
      </c>
      <c r="J315" s="70">
        <f>((J191*'DATA - P&amp;L'!$D$38)+(J206*'DATA - P&amp;L'!$D$39))*'DATA - P&amp;L'!$C$55</f>
        <v>0</v>
      </c>
      <c r="K315" s="70">
        <f>((K191*'DATA - P&amp;L'!$D$38)+(K206*'DATA - P&amp;L'!$D$39))*'DATA - P&amp;L'!$C$55</f>
        <v>0</v>
      </c>
      <c r="L315" s="70">
        <f>((L191*'DATA - P&amp;L'!$D$38)+(L206*'DATA - P&amp;L'!$D$39))*'DATA - P&amp;L'!$C$55</f>
        <v>0</v>
      </c>
      <c r="M315" s="70">
        <f>((M191*'DATA - P&amp;L'!$D$38)+(M206*'DATA - P&amp;L'!$D$39))*'DATA - P&amp;L'!$C$55</f>
        <v>0</v>
      </c>
      <c r="N315" s="70">
        <f>((N191*'DATA - P&amp;L'!$D$38)+(N206*'DATA - P&amp;L'!$D$39))*'DATA - P&amp;L'!$C$55</f>
        <v>0</v>
      </c>
      <c r="O315" s="70">
        <f>((O191*'DATA - P&amp;L'!$D$38)+(O206*'DATA - P&amp;L'!$D$39))*'DATA - P&amp;L'!$C$55</f>
        <v>0</v>
      </c>
      <c r="P315" s="70">
        <f>((P191*'DATA - P&amp;L'!$D$38)+(P206*'DATA - P&amp;L'!$D$39))*'DATA - P&amp;L'!$C$55</f>
        <v>0</v>
      </c>
      <c r="Q315" s="70">
        <f>((Q191*'DATA - P&amp;L'!$D$38)+(Q206*'DATA - P&amp;L'!$D$39))*'DATA - P&amp;L'!$C$55</f>
        <v>0</v>
      </c>
      <c r="R315" s="70">
        <f>((R191*'DATA - P&amp;L'!$D$38)+(R206*'DATA - P&amp;L'!$D$39))*'DATA - P&amp;L'!$C$55</f>
        <v>0</v>
      </c>
      <c r="S315" s="70">
        <f>((S191*'DATA - P&amp;L'!$D$38)+(S206*'DATA - P&amp;L'!$D$39))*'DATA - P&amp;L'!$C$55</f>
        <v>0</v>
      </c>
      <c r="T315" s="70">
        <f>((T191*'DATA - P&amp;L'!$D$38)+(T206*'DATA - P&amp;L'!$D$39))*'DATA - P&amp;L'!$C$55</f>
        <v>0</v>
      </c>
      <c r="U315" s="70">
        <f>((U191*'DATA - P&amp;L'!$D$38)+(U206*'DATA - P&amp;L'!$D$39))*'DATA - P&amp;L'!$C$55</f>
        <v>0</v>
      </c>
      <c r="V315" s="70">
        <f>((V191*'DATA - P&amp;L'!$D$38)+(V206*'DATA - P&amp;L'!$D$39))*'DATA - P&amp;L'!$C$55</f>
        <v>0</v>
      </c>
      <c r="W315" s="70">
        <f>((W191*'DATA - P&amp;L'!$D$38)+(W206*'DATA - P&amp;L'!$D$39))*'DATA - P&amp;L'!$C$55</f>
        <v>0</v>
      </c>
      <c r="X315" s="70">
        <f>((X191*'DATA - P&amp;L'!$D$38)+(X206*'DATA - P&amp;L'!$D$39))*'DATA - P&amp;L'!$C$55</f>
        <v>0</v>
      </c>
      <c r="Y315" s="70">
        <f>((Y191*'DATA - P&amp;L'!$D$38)+(Y206*'DATA - P&amp;L'!$D$39))*'DATA - P&amp;L'!$C$55</f>
        <v>0</v>
      </c>
      <c r="Z315" s="70">
        <f>((Z191*'DATA - P&amp;L'!$D$38)+(Z206*'DATA - P&amp;L'!$D$39))*'DATA - P&amp;L'!$C$55</f>
        <v>0</v>
      </c>
      <c r="AA315" s="70">
        <f>((AA191*'DATA - P&amp;L'!$D$38)+(AA206*'DATA - P&amp;L'!$D$39))*'DATA - P&amp;L'!$C$55</f>
        <v>0</v>
      </c>
      <c r="AB315" s="70">
        <f>((AB191*'DATA - P&amp;L'!$D$38)+(AB206*'DATA - P&amp;L'!$D$39))*'DATA - P&amp;L'!$C$55</f>
        <v>0</v>
      </c>
      <c r="AC315" s="70">
        <f>((AC191*'DATA - P&amp;L'!$D$38)+(AC206*'DATA - P&amp;L'!$D$39))*'DATA - P&amp;L'!$C$55</f>
        <v>0</v>
      </c>
      <c r="AD315" s="70">
        <f>((AD191*'DATA - P&amp;L'!$D$38)+(AD206*'DATA - P&amp;L'!$D$39))*'DATA - P&amp;L'!$C$55</f>
        <v>0</v>
      </c>
      <c r="AE315" s="70">
        <f>((AE191*'DATA - P&amp;L'!$D$38)+(AE206*'DATA - P&amp;L'!$D$39))*'DATA - P&amp;L'!$C$55</f>
        <v>0</v>
      </c>
      <c r="AF315" s="865"/>
    </row>
    <row r="316" outlineLevel="1">
      <c r="A316" s="864" t="s">
        <v>871</v>
      </c>
      <c r="B316" s="81">
        <f>(B105*'DATA - P&amp;L'!$D$34)+(B215*'DATA - P&amp;L'!$D$34)</f>
        <v>0</v>
      </c>
      <c r="C316" s="81">
        <f>(C105*'DATA - P&amp;L'!$D$34)+(C215*'DATA - P&amp;L'!$D$34)</f>
        <v>0</v>
      </c>
      <c r="D316" s="81">
        <f>(D105*'DATA - P&amp;L'!$D$34)+(D215*'DATA - P&amp;L'!$D$34)</f>
        <v>0</v>
      </c>
      <c r="E316" s="81">
        <f>(E105*'DATA - P&amp;L'!$D$34)+(E215*'DATA - P&amp;L'!$D$34)</f>
        <v>0</v>
      </c>
      <c r="F316" s="81">
        <f>(F105*'DATA - P&amp;L'!$D$34)+(F215*'DATA - P&amp;L'!$D$34)</f>
        <v>0</v>
      </c>
      <c r="G316" s="81">
        <f>(G105*'DATA - P&amp;L'!$D$34)+(G215*'DATA - P&amp;L'!$D$34)</f>
        <v>0</v>
      </c>
      <c r="H316" s="81">
        <f>(H105*'DATA - P&amp;L'!$D$34)+(H215*'DATA - P&amp;L'!$D$34)</f>
        <v>0</v>
      </c>
      <c r="I316" s="81">
        <f>(I105*'DATA - P&amp;L'!$D$34)+(I215*'DATA - P&amp;L'!$D$34)</f>
        <v>0</v>
      </c>
      <c r="J316" s="81">
        <f>(J105*'DATA - P&amp;L'!$D$34)+(J215*'DATA - P&amp;L'!$D$34)</f>
        <v>0</v>
      </c>
      <c r="K316" s="81">
        <f>(K105*'DATA - P&amp;L'!$D$34)+(K215*'DATA - P&amp;L'!$D$34)</f>
        <v>0</v>
      </c>
      <c r="L316" s="81">
        <f>(L105*'DATA - P&amp;L'!$D$34)+(L215*'DATA - P&amp;L'!$D$34)</f>
        <v>0</v>
      </c>
      <c r="M316" s="81">
        <f>(M105*'DATA - P&amp;L'!$D$34)+(M215*'DATA - P&amp;L'!$D$34)</f>
        <v>0</v>
      </c>
      <c r="N316" s="81">
        <f>(N105*'DATA - P&amp;L'!$D$34)+(N215*'DATA - P&amp;L'!$D$34)</f>
        <v>0</v>
      </c>
      <c r="O316" s="81">
        <f>(O105*'DATA - P&amp;L'!$D$34)+(O215*'DATA - P&amp;L'!$D$34)</f>
        <v>0</v>
      </c>
      <c r="P316" s="81">
        <f>(P105*'DATA - P&amp;L'!$D$34)+(P215*'DATA - P&amp;L'!$D$34)</f>
        <v>0</v>
      </c>
      <c r="Q316" s="81">
        <f>(Q105*'DATA - P&amp;L'!$D$34)+(Q215*'DATA - P&amp;L'!$D$34)</f>
        <v>0</v>
      </c>
      <c r="R316" s="81">
        <f>(R105*'DATA - P&amp;L'!$D$34)+(R215*'DATA - P&amp;L'!$D$34)</f>
        <v>0</v>
      </c>
      <c r="S316" s="81">
        <f>(S105*'DATA - P&amp;L'!$D$34)+(S215*'DATA - P&amp;L'!$D$34)</f>
        <v>0</v>
      </c>
      <c r="T316" s="81">
        <f>(T105*'DATA - P&amp;L'!$D$34)+(T215*'DATA - P&amp;L'!$D$34)</f>
        <v>0</v>
      </c>
      <c r="U316" s="81">
        <f>(U105*'DATA - P&amp;L'!$D$34)+(U215*'DATA - P&amp;L'!$D$34)</f>
        <v>0</v>
      </c>
      <c r="V316" s="81">
        <f>(V105*'DATA - P&amp;L'!$D$34)+(V215*'DATA - P&amp;L'!$D$34)</f>
        <v>0</v>
      </c>
      <c r="W316" s="81">
        <f>(W105*'DATA - P&amp;L'!$D$34)+(W215*'DATA - P&amp;L'!$D$34)</f>
        <v>0</v>
      </c>
      <c r="X316" s="81">
        <f>(X105*'DATA - P&amp;L'!$D$34)+(X215*'DATA - P&amp;L'!$D$34)</f>
        <v>0</v>
      </c>
      <c r="Y316" s="81">
        <f>(Y105*'DATA - P&amp;L'!$D$34)+(Y215*'DATA - P&amp;L'!$D$34)</f>
        <v>0</v>
      </c>
      <c r="Z316" s="81">
        <f>(Z105*'DATA - P&amp;L'!$D$34)+(Z215*'DATA - P&amp;L'!$D$34)</f>
        <v>0</v>
      </c>
      <c r="AA316" s="81">
        <f>(AA105*'DATA - P&amp;L'!$D$34)+(AA215*'DATA - P&amp;L'!$D$34)</f>
        <v>0</v>
      </c>
      <c r="AB316" s="81">
        <f>(AB105*'DATA - P&amp;L'!$D$34)+(AB215*'DATA - P&amp;L'!$D$34)</f>
        <v>0</v>
      </c>
      <c r="AC316" s="81">
        <f>(AC105*'DATA - P&amp;L'!$D$34)+(AC215*'DATA - P&amp;L'!$D$34)</f>
        <v>0</v>
      </c>
      <c r="AD316" s="81">
        <f>(AD105*'DATA - P&amp;L'!$D$34)+(AD215*'DATA - P&amp;L'!$D$34)</f>
        <v>0</v>
      </c>
      <c r="AE316" s="81">
        <f>(AE105*'DATA - P&amp;L'!$D$34)+(AE215*'DATA - P&amp;L'!$D$34)</f>
        <v>0</v>
      </c>
      <c r="AF316" s="865"/>
    </row>
    <row r="317" outlineLevel="1">
      <c r="A317" s="101" t="s">
        <v>873</v>
      </c>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865"/>
    </row>
    <row r="318" outlineLevel="1">
      <c r="A318" s="101" t="s">
        <v>874</v>
      </c>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865"/>
    </row>
    <row r="319" outlineLevel="1">
      <c r="A319" s="101" t="s">
        <v>875</v>
      </c>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865"/>
    </row>
    <row r="320" outlineLevel="1">
      <c r="A320" s="864" t="s">
        <v>877</v>
      </c>
      <c r="B320" s="1019"/>
      <c r="C320" s="1019"/>
      <c r="D320" s="1019"/>
      <c r="E320" s="1019"/>
      <c r="F320" s="1019"/>
      <c r="G320" s="1019"/>
      <c r="H320" s="1019"/>
      <c r="I320" s="1019"/>
      <c r="J320" s="1019"/>
      <c r="K320" s="1019"/>
      <c r="L320" s="1019"/>
      <c r="M320" s="1019"/>
      <c r="N320" s="1019"/>
      <c r="O320" s="1019"/>
      <c r="P320" s="1019"/>
      <c r="Q320" s="1019"/>
      <c r="R320" s="1019"/>
      <c r="S320" s="1019"/>
      <c r="T320" s="1019"/>
      <c r="U320" s="1019"/>
      <c r="V320" s="1019"/>
      <c r="W320" s="1019"/>
      <c r="X320" s="1019"/>
      <c r="Y320" s="1019"/>
      <c r="Z320" s="1019"/>
      <c r="AA320" s="1019"/>
      <c r="AB320" s="1019"/>
      <c r="AC320" s="1019"/>
      <c r="AD320" s="1019"/>
      <c r="AE320" s="1019"/>
      <c r="AF320" s="865"/>
    </row>
    <row r="321">
      <c r="A321" s="20"/>
      <c r="B321" s="595"/>
      <c r="C321" s="595"/>
      <c r="D321" s="595"/>
      <c r="E321" s="595"/>
      <c r="F321" s="595"/>
      <c r="G321" s="595"/>
      <c r="H321" s="595"/>
      <c r="I321" s="595"/>
      <c r="J321" s="595"/>
      <c r="K321" s="595"/>
      <c r="L321" s="595"/>
      <c r="M321" s="595"/>
      <c r="N321" s="595"/>
      <c r="O321" s="595"/>
      <c r="P321" s="595"/>
      <c r="Q321" s="595"/>
      <c r="R321" s="595"/>
      <c r="S321" s="595"/>
      <c r="T321" s="595"/>
      <c r="U321" s="595"/>
      <c r="V321" s="595"/>
      <c r="W321" s="595"/>
      <c r="X321" s="595"/>
      <c r="Y321" s="595"/>
      <c r="Z321" s="595"/>
      <c r="AA321" s="595"/>
      <c r="AB321" s="595"/>
      <c r="AC321" s="595"/>
      <c r="AD321" s="595"/>
      <c r="AE321" s="595"/>
      <c r="AF321" s="856"/>
    </row>
    <row r="322">
      <c r="A322" s="325" t="s">
        <v>888</v>
      </c>
      <c r="B322" s="1024">
        <f t="shared" ref="B322:AE322" si="71">B275+B287</f>
        <v>0</v>
      </c>
      <c r="C322" s="1024">
        <f t="shared" si="71"/>
        <v>0</v>
      </c>
      <c r="D322" s="1024">
        <f t="shared" si="71"/>
        <v>0</v>
      </c>
      <c r="E322" s="1024">
        <f t="shared" si="71"/>
        <v>0</v>
      </c>
      <c r="F322" s="1024">
        <f t="shared" si="71"/>
        <v>0</v>
      </c>
      <c r="G322" s="1024">
        <f t="shared" si="71"/>
        <v>0</v>
      </c>
      <c r="H322" s="1024">
        <f t="shared" si="71"/>
        <v>0</v>
      </c>
      <c r="I322" s="1024">
        <f t="shared" si="71"/>
        <v>0</v>
      </c>
      <c r="J322" s="1024">
        <f t="shared" si="71"/>
        <v>0</v>
      </c>
      <c r="K322" s="1024">
        <f t="shared" si="71"/>
        <v>0</v>
      </c>
      <c r="L322" s="1024">
        <f t="shared" si="71"/>
        <v>0</v>
      </c>
      <c r="M322" s="1024">
        <f t="shared" si="71"/>
        <v>0</v>
      </c>
      <c r="N322" s="1024">
        <f t="shared" si="71"/>
        <v>0</v>
      </c>
      <c r="O322" s="1024">
        <f t="shared" si="71"/>
        <v>0</v>
      </c>
      <c r="P322" s="1024">
        <f t="shared" si="71"/>
        <v>0</v>
      </c>
      <c r="Q322" s="1024">
        <f t="shared" si="71"/>
        <v>0</v>
      </c>
      <c r="R322" s="1024">
        <f t="shared" si="71"/>
        <v>0</v>
      </c>
      <c r="S322" s="1024">
        <f t="shared" si="71"/>
        <v>0</v>
      </c>
      <c r="T322" s="1024">
        <f t="shared" si="71"/>
        <v>0</v>
      </c>
      <c r="U322" s="1024">
        <f t="shared" si="71"/>
        <v>0</v>
      </c>
      <c r="V322" s="1024">
        <f t="shared" si="71"/>
        <v>0</v>
      </c>
      <c r="W322" s="1024">
        <f t="shared" si="71"/>
        <v>0</v>
      </c>
      <c r="X322" s="1024">
        <f t="shared" si="71"/>
        <v>0</v>
      </c>
      <c r="Y322" s="1024">
        <f t="shared" si="71"/>
        <v>0</v>
      </c>
      <c r="Z322" s="1024">
        <f t="shared" si="71"/>
        <v>0</v>
      </c>
      <c r="AA322" s="1024">
        <f t="shared" si="71"/>
        <v>0</v>
      </c>
      <c r="AB322" s="1024">
        <f t="shared" si="71"/>
        <v>0</v>
      </c>
      <c r="AC322" s="1024">
        <f t="shared" si="71"/>
        <v>0</v>
      </c>
      <c r="AD322" s="1024">
        <f t="shared" si="71"/>
        <v>0</v>
      </c>
      <c r="AE322" s="1029">
        <f t="shared" si="71"/>
        <v>0</v>
      </c>
      <c r="AF322" s="65">
        <f>SUM(B322:AE322)</f>
        <v>0</v>
      </c>
    </row>
    <row r="323">
      <c r="A323" s="20"/>
      <c r="B323" s="595"/>
      <c r="C323" s="595"/>
      <c r="D323" s="595"/>
      <c r="E323" s="595"/>
      <c r="F323" s="595"/>
      <c r="G323" s="595"/>
      <c r="H323" s="595"/>
      <c r="I323" s="595"/>
      <c r="J323" s="595"/>
      <c r="K323" s="595"/>
      <c r="L323" s="595"/>
      <c r="M323" s="595"/>
      <c r="N323" s="595"/>
      <c r="O323" s="595"/>
      <c r="P323" s="595"/>
      <c r="Q323" s="595"/>
      <c r="R323" s="595"/>
      <c r="S323" s="595"/>
      <c r="T323" s="595"/>
      <c r="U323" s="595"/>
      <c r="V323" s="595"/>
      <c r="W323" s="595"/>
      <c r="X323" s="595"/>
      <c r="Y323" s="595"/>
      <c r="Z323" s="595"/>
      <c r="AA323" s="595"/>
      <c r="AB323" s="595"/>
      <c r="AC323" s="595"/>
      <c r="AD323" s="595"/>
      <c r="AE323" s="595"/>
      <c r="AF323" s="856"/>
    </row>
    <row r="324">
      <c r="A324" s="271" t="s">
        <v>567</v>
      </c>
      <c r="B324" s="1032">
        <f t="shared" ref="B324:AE324" si="72">B265+B276+B288-B303</f>
        <v>0</v>
      </c>
      <c r="C324" s="1032">
        <f t="shared" si="72"/>
        <v>0</v>
      </c>
      <c r="D324" s="1032">
        <f t="shared" si="72"/>
        <v>0</v>
      </c>
      <c r="E324" s="1032">
        <f t="shared" si="72"/>
        <v>0</v>
      </c>
      <c r="F324" s="1032">
        <f t="shared" si="72"/>
        <v>0</v>
      </c>
      <c r="G324" s="1032">
        <f t="shared" si="72"/>
        <v>0</v>
      </c>
      <c r="H324" s="1032">
        <f t="shared" si="72"/>
        <v>0</v>
      </c>
      <c r="I324" s="1032">
        <f t="shared" si="72"/>
        <v>0</v>
      </c>
      <c r="J324" s="1032">
        <f t="shared" si="72"/>
        <v>0</v>
      </c>
      <c r="K324" s="1032">
        <f t="shared" si="72"/>
        <v>0</v>
      </c>
      <c r="L324" s="1032">
        <f t="shared" si="72"/>
        <v>0</v>
      </c>
      <c r="M324" s="1032">
        <f t="shared" si="72"/>
        <v>0</v>
      </c>
      <c r="N324" s="1032">
        <f t="shared" si="72"/>
        <v>0</v>
      </c>
      <c r="O324" s="1032">
        <f t="shared" si="72"/>
        <v>0</v>
      </c>
      <c r="P324" s="1032">
        <f t="shared" si="72"/>
        <v>0</v>
      </c>
      <c r="Q324" s="1032">
        <f t="shared" si="72"/>
        <v>0</v>
      </c>
      <c r="R324" s="1032">
        <f t="shared" si="72"/>
        <v>0</v>
      </c>
      <c r="S324" s="1032">
        <f t="shared" si="72"/>
        <v>0</v>
      </c>
      <c r="T324" s="1032">
        <f t="shared" si="72"/>
        <v>0</v>
      </c>
      <c r="U324" s="1032">
        <f t="shared" si="72"/>
        <v>0</v>
      </c>
      <c r="V324" s="1032">
        <f t="shared" si="72"/>
        <v>0</v>
      </c>
      <c r="W324" s="1032">
        <f t="shared" si="72"/>
        <v>0</v>
      </c>
      <c r="X324" s="1032">
        <f t="shared" si="72"/>
        <v>0</v>
      </c>
      <c r="Y324" s="1032">
        <f t="shared" si="72"/>
        <v>0</v>
      </c>
      <c r="Z324" s="1032">
        <f t="shared" si="72"/>
        <v>0</v>
      </c>
      <c r="AA324" s="1032">
        <f t="shared" si="72"/>
        <v>0</v>
      </c>
      <c r="AB324" s="1032">
        <f t="shared" si="72"/>
        <v>0</v>
      </c>
      <c r="AC324" s="1032">
        <f t="shared" si="72"/>
        <v>0</v>
      </c>
      <c r="AD324" s="1032">
        <f t="shared" si="72"/>
        <v>0</v>
      </c>
      <c r="AE324" s="1033">
        <f t="shared" si="72"/>
        <v>0</v>
      </c>
      <c r="AF324" s="65">
        <f>SUM(B324:AE324)</f>
        <v>0</v>
      </c>
    </row>
    <row r="325">
      <c r="A325" s="1035"/>
      <c r="B325" s="1036"/>
      <c r="C325" s="1036"/>
      <c r="D325" s="1036"/>
      <c r="E325" s="1036"/>
      <c r="F325" s="1036"/>
      <c r="G325" s="1036"/>
      <c r="H325" s="1036"/>
      <c r="I325" s="1036"/>
      <c r="J325" s="1036"/>
      <c r="K325" s="1036"/>
      <c r="L325" s="1036"/>
      <c r="M325" s="1036"/>
      <c r="N325" s="1036"/>
      <c r="O325" s="1036"/>
      <c r="P325" s="1036"/>
      <c r="Q325" s="1036"/>
      <c r="R325" s="1036"/>
      <c r="S325" s="1036"/>
      <c r="T325" s="1036"/>
      <c r="U325" s="1036"/>
      <c r="V325" s="1036"/>
      <c r="W325" s="1036"/>
      <c r="X325" s="1036"/>
      <c r="Y325" s="1036"/>
      <c r="Z325" s="1036"/>
      <c r="AA325" s="1036"/>
      <c r="AB325" s="1036"/>
      <c r="AC325" s="1036"/>
      <c r="AD325" s="1036"/>
      <c r="AE325" s="1036"/>
      <c r="AF325" s="1037"/>
    </row>
    <row r="326">
      <c r="A326" s="1038" t="s">
        <v>896</v>
      </c>
      <c r="B326" s="595"/>
      <c r="C326" s="595"/>
      <c r="D326" s="595"/>
      <c r="E326" s="595"/>
      <c r="F326" s="595"/>
      <c r="G326" s="595"/>
      <c r="H326" s="595"/>
      <c r="I326" s="595"/>
      <c r="J326" s="595"/>
      <c r="K326" s="595"/>
      <c r="L326" s="595"/>
      <c r="M326" s="595"/>
      <c r="N326" s="595"/>
      <c r="O326" s="595"/>
      <c r="P326" s="595"/>
      <c r="Q326" s="595"/>
      <c r="R326" s="595"/>
      <c r="S326" s="595"/>
      <c r="T326" s="595"/>
      <c r="U326" s="595"/>
      <c r="V326" s="595"/>
      <c r="W326" s="595"/>
      <c r="X326" s="595"/>
      <c r="Y326" s="595"/>
      <c r="Z326" s="595"/>
      <c r="AA326" s="595"/>
      <c r="AB326" s="595"/>
      <c r="AC326" s="595"/>
      <c r="AD326" s="595"/>
      <c r="AE326" s="595"/>
      <c r="AF326" s="856"/>
    </row>
    <row r="327">
      <c r="A327" s="1041">
        <f>SUM(AF4+AF116)</f>
        <v>15033.33</v>
      </c>
      <c r="B327" s="1036"/>
      <c r="C327" s="1036"/>
      <c r="D327" s="1036"/>
      <c r="E327" s="1036"/>
      <c r="F327" s="1036"/>
      <c r="G327" s="1036"/>
      <c r="H327" s="1036"/>
      <c r="I327" s="1036"/>
      <c r="J327" s="1036"/>
      <c r="K327" s="1036"/>
      <c r="L327" s="1036"/>
      <c r="M327" s="1036"/>
      <c r="N327" s="1036"/>
      <c r="O327" s="1036"/>
      <c r="P327" s="1036"/>
      <c r="Q327" s="1036"/>
      <c r="R327" s="1036"/>
      <c r="S327" s="1036"/>
      <c r="T327" s="1036"/>
      <c r="U327" s="1036"/>
      <c r="V327" s="1036"/>
      <c r="W327" s="1036"/>
      <c r="X327" s="1036"/>
      <c r="Y327" s="1036"/>
      <c r="Z327" s="1036"/>
      <c r="AA327" s="1036"/>
      <c r="AB327" s="1036"/>
      <c r="AC327" s="1036"/>
      <c r="AD327" s="1036"/>
      <c r="AE327" s="1036"/>
      <c r="AF327" s="1037"/>
    </row>
    <row r="328">
      <c r="A328" s="1038" t="s">
        <v>897</v>
      </c>
      <c r="B328" s="70">
        <f t="shared" ref="B328:AE328" si="73">(B4+B116)-B262</f>
        <v>0</v>
      </c>
      <c r="C328" s="70">
        <f t="shared" si="73"/>
        <v>0</v>
      </c>
      <c r="D328" s="70">
        <f t="shared" si="73"/>
        <v>0</v>
      </c>
      <c r="E328" s="70">
        <f t="shared" si="73"/>
        <v>0</v>
      </c>
      <c r="F328" s="70">
        <f t="shared" si="73"/>
        <v>0</v>
      </c>
      <c r="G328" s="70">
        <f t="shared" si="73"/>
        <v>0</v>
      </c>
      <c r="H328" s="70">
        <f t="shared" si="73"/>
        <v>0</v>
      </c>
      <c r="I328" s="70">
        <f t="shared" si="73"/>
        <v>0</v>
      </c>
      <c r="J328" s="70">
        <f t="shared" si="73"/>
        <v>0</v>
      </c>
      <c r="K328" s="70">
        <f t="shared" si="73"/>
        <v>0</v>
      </c>
      <c r="L328" s="70">
        <f t="shared" si="73"/>
        <v>0</v>
      </c>
      <c r="M328" s="70">
        <f t="shared" si="73"/>
        <v>0</v>
      </c>
      <c r="N328" s="70">
        <f t="shared" si="73"/>
        <v>0</v>
      </c>
      <c r="O328" s="70">
        <f t="shared" si="73"/>
        <v>0</v>
      </c>
      <c r="P328" s="70">
        <f t="shared" si="73"/>
        <v>0</v>
      </c>
      <c r="Q328" s="70">
        <f t="shared" si="73"/>
        <v>0</v>
      </c>
      <c r="R328" s="1042">
        <f t="shared" si="73"/>
        <v>0</v>
      </c>
      <c r="S328" s="70">
        <f t="shared" si="73"/>
        <v>0</v>
      </c>
      <c r="T328" s="1042">
        <f t="shared" si="73"/>
        <v>0</v>
      </c>
      <c r="U328" s="70">
        <f t="shared" si="73"/>
        <v>0</v>
      </c>
      <c r="V328" s="70">
        <f t="shared" si="73"/>
        <v>0</v>
      </c>
      <c r="W328" s="70">
        <f t="shared" si="73"/>
        <v>0</v>
      </c>
      <c r="X328" s="70">
        <f t="shared" si="73"/>
        <v>0</v>
      </c>
      <c r="Y328" s="70">
        <f t="shared" si="73"/>
        <v>0</v>
      </c>
      <c r="Z328" s="70">
        <f t="shared" si="73"/>
        <v>0</v>
      </c>
      <c r="AA328" s="70">
        <f t="shared" si="73"/>
        <v>0</v>
      </c>
      <c r="AB328" s="70">
        <f t="shared" si="73"/>
        <v>0</v>
      </c>
      <c r="AC328" s="70">
        <f t="shared" si="73"/>
        <v>2416.252</v>
      </c>
      <c r="AD328" s="70">
        <f t="shared" si="73"/>
        <v>1493.162</v>
      </c>
      <c r="AE328" s="1042">
        <f t="shared" si="73"/>
        <v>234.46</v>
      </c>
      <c r="AF328" s="851">
        <f>SUM(B328:AE328)</f>
        <v>4143.874</v>
      </c>
    </row>
    <row r="329">
      <c r="A329" s="1045">
        <f>SUM(B328:AE328)</f>
        <v>4143.874</v>
      </c>
      <c r="B329" s="1046"/>
      <c r="C329" s="1046"/>
      <c r="D329" s="1046"/>
      <c r="E329" s="1046"/>
      <c r="F329" s="1046"/>
      <c r="G329" s="1046"/>
      <c r="H329" s="1046"/>
      <c r="I329" s="1046"/>
      <c r="J329" s="1046"/>
      <c r="K329" s="1046"/>
      <c r="L329" s="1046"/>
      <c r="M329" s="1046"/>
      <c r="N329" s="1046"/>
      <c r="O329" s="1046"/>
      <c r="P329" s="1046"/>
      <c r="Q329" s="1046"/>
      <c r="R329" s="1046"/>
      <c r="S329" s="1046"/>
      <c r="T329" s="1046"/>
      <c r="U329" s="1046"/>
      <c r="V329" s="1046"/>
      <c r="W329" s="1046"/>
      <c r="X329" s="1046"/>
      <c r="Y329" s="1046"/>
      <c r="Z329" s="1046"/>
      <c r="AA329" s="1046"/>
      <c r="AB329" s="1046"/>
      <c r="AC329" s="1046"/>
      <c r="AD329" s="1046"/>
      <c r="AE329" s="1046"/>
      <c r="AF329" s="1037"/>
    </row>
    <row r="330">
      <c r="A330" s="1038" t="s">
        <v>902</v>
      </c>
      <c r="B330" s="595"/>
      <c r="C330" s="595"/>
      <c r="D330" s="595"/>
      <c r="E330" s="595"/>
      <c r="F330" s="595"/>
      <c r="G330" s="595"/>
      <c r="H330" s="595"/>
      <c r="I330" s="595"/>
      <c r="J330" s="595"/>
      <c r="K330" s="595"/>
      <c r="L330" s="595"/>
      <c r="M330" s="595"/>
      <c r="N330" s="595"/>
      <c r="O330" s="595"/>
      <c r="P330" s="595"/>
      <c r="Q330" s="595"/>
      <c r="R330" s="595"/>
      <c r="S330" s="595"/>
      <c r="T330" s="595"/>
      <c r="U330" s="595"/>
      <c r="V330" s="595"/>
      <c r="W330" s="595"/>
      <c r="X330" s="595"/>
      <c r="Y330" s="595"/>
      <c r="Z330" s="595"/>
      <c r="AA330" s="595"/>
      <c r="AB330" s="595"/>
      <c r="AC330" s="595"/>
      <c r="AD330" s="595"/>
      <c r="AE330" s="595"/>
      <c r="AF330" s="856"/>
    </row>
    <row r="331">
      <c r="A331" s="1049">
        <f>A329/A327</f>
        <v>0.2756457817</v>
      </c>
      <c r="B331" s="1050"/>
      <c r="C331" s="1050"/>
      <c r="D331" s="1050"/>
      <c r="E331" s="1050"/>
      <c r="F331" s="1050"/>
      <c r="G331" s="1050"/>
      <c r="H331" s="1050"/>
      <c r="I331" s="1050"/>
      <c r="J331" s="1050"/>
      <c r="K331" s="1050"/>
      <c r="L331" s="1050"/>
      <c r="M331" s="1050"/>
      <c r="N331" s="1050"/>
      <c r="O331" s="1050"/>
      <c r="P331" s="1050"/>
      <c r="Q331" s="1050"/>
      <c r="R331" s="1050"/>
      <c r="S331" s="1050"/>
      <c r="T331" s="1050"/>
      <c r="U331" s="1050"/>
      <c r="V331" s="1050"/>
      <c r="W331" s="1050"/>
      <c r="X331" s="1050"/>
      <c r="Y331" s="1050"/>
      <c r="Z331" s="1050"/>
      <c r="AA331" s="1050"/>
      <c r="AB331" s="1050"/>
      <c r="AC331" s="1050"/>
      <c r="AD331" s="1050"/>
      <c r="AE331" s="1050"/>
      <c r="AF331" s="1037"/>
    </row>
    <row r="332">
      <c r="A332" s="582"/>
      <c r="B332" s="595"/>
      <c r="C332" s="595"/>
      <c r="D332" s="595"/>
      <c r="E332" s="595"/>
      <c r="F332" s="595"/>
      <c r="G332" s="595"/>
      <c r="H332" s="595"/>
      <c r="I332" s="595"/>
      <c r="J332" s="595"/>
      <c r="K332" s="595"/>
      <c r="L332" s="595"/>
      <c r="M332" s="595"/>
      <c r="N332" s="595"/>
      <c r="O332" s="595"/>
      <c r="P332" s="595"/>
      <c r="Q332" s="595"/>
      <c r="R332" s="595"/>
      <c r="S332" s="595"/>
      <c r="T332" s="595"/>
      <c r="U332" s="595"/>
      <c r="V332" s="595"/>
      <c r="W332" s="595"/>
      <c r="X332" s="595"/>
      <c r="Y332" s="595"/>
      <c r="Z332" s="595"/>
      <c r="AA332" s="595"/>
      <c r="AB332" s="595"/>
      <c r="AC332" s="595"/>
      <c r="AD332" s="595"/>
      <c r="AE332" s="595"/>
      <c r="AF332" s="856"/>
    </row>
    <row r="333">
      <c r="A333" s="582"/>
      <c r="B333" s="595"/>
      <c r="C333" s="595"/>
      <c r="D333" s="595"/>
      <c r="E333" s="595"/>
      <c r="F333" s="595"/>
      <c r="G333" s="595"/>
      <c r="H333" s="595"/>
      <c r="I333" s="595"/>
      <c r="J333" s="595"/>
      <c r="K333" s="595"/>
      <c r="L333" s="595"/>
      <c r="M333" s="595"/>
      <c r="N333" s="595"/>
      <c r="O333" s="595"/>
      <c r="P333" s="595"/>
      <c r="Q333" s="595"/>
      <c r="R333" s="595"/>
      <c r="S333" s="595"/>
      <c r="T333" s="595"/>
      <c r="U333" s="595"/>
      <c r="V333" s="595"/>
      <c r="W333" s="595"/>
      <c r="X333" s="595"/>
      <c r="Y333" s="595"/>
      <c r="Z333" s="595"/>
      <c r="AA333" s="595"/>
      <c r="AB333" s="595"/>
      <c r="AC333" s="595"/>
      <c r="AD333" s="595"/>
      <c r="AE333" s="595"/>
      <c r="AF333" s="856"/>
    </row>
    <row r="334">
      <c r="A334" s="1056" t="s">
        <v>108</v>
      </c>
      <c r="B334" s="462"/>
      <c r="C334" s="595"/>
      <c r="D334" s="595"/>
      <c r="E334" s="595"/>
      <c r="F334" s="595"/>
      <c r="G334" s="595"/>
      <c r="H334" s="595"/>
      <c r="I334" s="595"/>
      <c r="J334" s="595"/>
      <c r="K334" s="595"/>
      <c r="L334" s="595"/>
      <c r="M334" s="595"/>
      <c r="N334" s="595"/>
      <c r="O334" s="595"/>
      <c r="P334" s="595"/>
      <c r="Q334" s="595"/>
      <c r="R334" s="595"/>
      <c r="S334" s="595"/>
      <c r="T334" s="595"/>
      <c r="U334" s="595"/>
      <c r="V334" s="595"/>
      <c r="W334" s="595"/>
      <c r="X334" s="595"/>
      <c r="Y334" s="595"/>
      <c r="Z334" s="595"/>
      <c r="AA334" s="595"/>
      <c r="AB334" s="595"/>
      <c r="AC334" s="595"/>
      <c r="AD334" s="595"/>
      <c r="AE334" s="595"/>
      <c r="AF334" s="856"/>
    </row>
    <row r="335">
      <c r="A335" s="1041">
        <f>A327</f>
        <v>15033.33</v>
      </c>
      <c r="B335" s="462"/>
      <c r="C335" s="595"/>
      <c r="D335" s="595"/>
      <c r="E335" s="595"/>
      <c r="F335" s="595"/>
      <c r="G335" s="595"/>
      <c r="H335" s="595"/>
      <c r="I335" s="595"/>
      <c r="J335" s="595"/>
      <c r="K335" s="595"/>
      <c r="L335" s="595"/>
      <c r="M335" s="595"/>
      <c r="N335" s="595"/>
      <c r="O335" s="595"/>
      <c r="P335" s="595"/>
      <c r="Q335" s="595"/>
      <c r="R335" s="595"/>
      <c r="S335" s="595"/>
      <c r="T335" s="595"/>
      <c r="U335" s="595"/>
      <c r="V335" s="595"/>
      <c r="W335" s="595"/>
      <c r="X335" s="595"/>
      <c r="Y335" s="595"/>
      <c r="Z335" s="595"/>
      <c r="AA335" s="595"/>
      <c r="AB335" s="595"/>
      <c r="AC335" s="595"/>
      <c r="AD335" s="595"/>
      <c r="AE335" s="595"/>
      <c r="AF335" s="856"/>
    </row>
    <row r="336">
      <c r="A336" s="1057" t="s">
        <v>570</v>
      </c>
      <c r="B336" s="70">
        <f t="shared" ref="B336:AE336" si="74">B328+B324</f>
        <v>0</v>
      </c>
      <c r="C336" s="70">
        <f t="shared" si="74"/>
        <v>0</v>
      </c>
      <c r="D336" s="70">
        <f t="shared" si="74"/>
        <v>0</v>
      </c>
      <c r="E336" s="70">
        <f t="shared" si="74"/>
        <v>0</v>
      </c>
      <c r="F336" s="70">
        <f t="shared" si="74"/>
        <v>0</v>
      </c>
      <c r="G336" s="70">
        <f t="shared" si="74"/>
        <v>0</v>
      </c>
      <c r="H336" s="70">
        <f t="shared" si="74"/>
        <v>0</v>
      </c>
      <c r="I336" s="70">
        <f t="shared" si="74"/>
        <v>0</v>
      </c>
      <c r="J336" s="70">
        <f t="shared" si="74"/>
        <v>0</v>
      </c>
      <c r="K336" s="70">
        <f t="shared" si="74"/>
        <v>0</v>
      </c>
      <c r="L336" s="70">
        <f t="shared" si="74"/>
        <v>0</v>
      </c>
      <c r="M336" s="70">
        <f t="shared" si="74"/>
        <v>0</v>
      </c>
      <c r="N336" s="70">
        <f t="shared" si="74"/>
        <v>0</v>
      </c>
      <c r="O336" s="70">
        <f t="shared" si="74"/>
        <v>0</v>
      </c>
      <c r="P336" s="70">
        <f t="shared" si="74"/>
        <v>0</v>
      </c>
      <c r="Q336" s="70">
        <f t="shared" si="74"/>
        <v>0</v>
      </c>
      <c r="R336" s="70">
        <f t="shared" si="74"/>
        <v>0</v>
      </c>
      <c r="S336" s="70">
        <f t="shared" si="74"/>
        <v>0</v>
      </c>
      <c r="T336" s="70">
        <f t="shared" si="74"/>
        <v>0</v>
      </c>
      <c r="U336" s="70">
        <f t="shared" si="74"/>
        <v>0</v>
      </c>
      <c r="V336" s="70">
        <f t="shared" si="74"/>
        <v>0</v>
      </c>
      <c r="W336" s="70">
        <f t="shared" si="74"/>
        <v>0</v>
      </c>
      <c r="X336" s="70">
        <f t="shared" si="74"/>
        <v>0</v>
      </c>
      <c r="Y336" s="70">
        <f t="shared" si="74"/>
        <v>0</v>
      </c>
      <c r="Z336" s="70">
        <f t="shared" si="74"/>
        <v>0</v>
      </c>
      <c r="AA336" s="70">
        <f t="shared" si="74"/>
        <v>0</v>
      </c>
      <c r="AB336" s="70">
        <f t="shared" si="74"/>
        <v>0</v>
      </c>
      <c r="AC336" s="70">
        <f t="shared" si="74"/>
        <v>2416.252</v>
      </c>
      <c r="AD336" s="70">
        <f t="shared" si="74"/>
        <v>1493.162</v>
      </c>
      <c r="AE336" s="70">
        <f t="shared" si="74"/>
        <v>234.46</v>
      </c>
      <c r="AF336" s="851">
        <f>SUM(B336:AE336)</f>
        <v>4143.874</v>
      </c>
    </row>
    <row r="337">
      <c r="A337" s="1045">
        <f>sum(B336:AE336)</f>
        <v>4143.874</v>
      </c>
      <c r="B337" s="462"/>
      <c r="C337" s="595"/>
      <c r="D337" s="595"/>
      <c r="E337" s="595"/>
      <c r="F337" s="595"/>
      <c r="G337" s="595"/>
      <c r="H337" s="595"/>
      <c r="I337" s="595"/>
      <c r="J337" s="595"/>
      <c r="K337" s="595"/>
      <c r="L337" s="595"/>
      <c r="M337" s="595"/>
      <c r="N337" s="595"/>
      <c r="O337" s="595"/>
      <c r="P337" s="595"/>
      <c r="Q337" s="595"/>
      <c r="R337" s="595"/>
      <c r="S337" s="595"/>
      <c r="T337" s="595"/>
      <c r="U337" s="595"/>
      <c r="V337" s="595"/>
      <c r="W337" s="595"/>
      <c r="X337" s="595"/>
      <c r="Y337" s="595"/>
      <c r="Z337" s="595"/>
      <c r="AA337" s="595"/>
      <c r="AB337" s="595"/>
      <c r="AC337" s="595"/>
      <c r="AD337" s="595"/>
      <c r="AE337" s="595"/>
      <c r="AF337" s="856"/>
    </row>
    <row r="338">
      <c r="A338" s="1059" t="s">
        <v>576</v>
      </c>
      <c r="B338" s="1060"/>
      <c r="C338" s="595"/>
      <c r="D338" s="595"/>
      <c r="E338" s="595"/>
      <c r="F338" s="595"/>
      <c r="G338" s="595"/>
      <c r="H338" s="595"/>
      <c r="I338" s="595"/>
      <c r="J338" s="595"/>
      <c r="K338" s="595"/>
      <c r="L338" s="595"/>
      <c r="M338" s="595"/>
      <c r="N338" s="595"/>
      <c r="O338" s="595"/>
      <c r="P338" s="595"/>
      <c r="Q338" s="595"/>
      <c r="R338" s="595"/>
      <c r="S338" s="595"/>
      <c r="T338" s="595"/>
      <c r="U338" s="595"/>
      <c r="V338" s="595"/>
      <c r="W338" s="595"/>
      <c r="X338" s="595"/>
      <c r="Y338" s="595"/>
      <c r="Z338" s="595"/>
      <c r="AA338" s="595"/>
      <c r="AB338" s="595"/>
      <c r="AC338" s="595"/>
      <c r="AD338" s="595"/>
      <c r="AE338" s="595"/>
      <c r="AF338" s="856"/>
    </row>
    <row r="339">
      <c r="A339" s="1049">
        <f>A337/A335</f>
        <v>0.2756457817</v>
      </c>
      <c r="B339" s="462"/>
      <c r="C339" s="595"/>
      <c r="D339" s="595"/>
      <c r="E339" s="595"/>
      <c r="F339" s="595"/>
      <c r="G339" s="595"/>
      <c r="H339" s="595"/>
      <c r="I339" s="595"/>
      <c r="J339" s="595"/>
      <c r="K339" s="595"/>
      <c r="L339" s="595"/>
      <c r="M339" s="595"/>
      <c r="N339" s="595"/>
      <c r="O339" s="595"/>
      <c r="P339" s="595"/>
      <c r="Q339" s="595"/>
      <c r="R339" s="595"/>
      <c r="S339" s="595"/>
      <c r="T339" s="595"/>
      <c r="U339" s="595"/>
      <c r="V339" s="595"/>
      <c r="W339" s="595"/>
      <c r="X339" s="595"/>
      <c r="Y339" s="595"/>
      <c r="Z339" s="595"/>
      <c r="AA339" s="595"/>
      <c r="AB339" s="595"/>
      <c r="AC339" s="595"/>
      <c r="AD339" s="595"/>
      <c r="AE339" s="595"/>
      <c r="AF339" s="856"/>
    </row>
    <row r="340">
      <c r="A340" s="582"/>
      <c r="B340" s="595"/>
      <c r="C340" s="595"/>
      <c r="D340" s="595"/>
      <c r="E340" s="595"/>
      <c r="F340" s="595"/>
      <c r="G340" s="595"/>
      <c r="H340" s="595"/>
      <c r="I340" s="595"/>
      <c r="J340" s="595"/>
      <c r="K340" s="595"/>
      <c r="L340" s="595"/>
      <c r="M340" s="595"/>
      <c r="N340" s="595"/>
      <c r="O340" s="595"/>
      <c r="P340" s="595"/>
      <c r="Q340" s="595"/>
      <c r="R340" s="595"/>
      <c r="S340" s="595"/>
      <c r="T340" s="595"/>
      <c r="U340" s="595"/>
      <c r="V340" s="595"/>
      <c r="W340" s="595"/>
      <c r="X340" s="595"/>
      <c r="Y340" s="595"/>
      <c r="Z340" s="595"/>
      <c r="AA340" s="595"/>
      <c r="AB340" s="595"/>
      <c r="AC340" s="595"/>
      <c r="AD340" s="595"/>
      <c r="AE340" s="595"/>
      <c r="AF340" s="856"/>
    </row>
    <row r="341">
      <c r="A341" s="582"/>
      <c r="B341" s="595"/>
      <c r="C341" s="595"/>
      <c r="D341" s="595"/>
      <c r="E341" s="595"/>
      <c r="F341" s="595"/>
      <c r="G341" s="595"/>
      <c r="H341" s="595"/>
      <c r="I341" s="595"/>
      <c r="J341" s="595"/>
      <c r="K341" s="595"/>
      <c r="L341" s="595"/>
      <c r="M341" s="595"/>
      <c r="N341" s="595"/>
      <c r="O341" s="595"/>
      <c r="P341" s="595"/>
      <c r="Q341" s="595"/>
      <c r="R341" s="595"/>
      <c r="S341" s="595"/>
      <c r="T341" s="595"/>
      <c r="U341" s="595"/>
      <c r="V341" s="595"/>
      <c r="W341" s="595"/>
      <c r="X341" s="595"/>
      <c r="Y341" s="595"/>
      <c r="Z341" s="595"/>
      <c r="AA341" s="595"/>
      <c r="AB341" s="595"/>
      <c r="AC341" s="595"/>
      <c r="AD341" s="595"/>
      <c r="AE341" s="595"/>
      <c r="AF341" s="856"/>
    </row>
    <row r="342">
      <c r="A342" s="582"/>
      <c r="B342" s="595"/>
      <c r="C342" s="595"/>
      <c r="D342" s="595"/>
      <c r="E342" s="595"/>
      <c r="F342" s="595"/>
      <c r="G342" s="595"/>
      <c r="H342" s="595"/>
      <c r="I342" s="595"/>
      <c r="J342" s="595"/>
      <c r="K342" s="595"/>
      <c r="L342" s="595"/>
      <c r="M342" s="595"/>
      <c r="N342" s="595"/>
      <c r="O342" s="595"/>
      <c r="P342" s="595"/>
      <c r="Q342" s="595"/>
      <c r="R342" s="595"/>
      <c r="S342" s="595"/>
      <c r="T342" s="595"/>
      <c r="U342" s="595"/>
      <c r="V342" s="595"/>
      <c r="W342" s="595"/>
      <c r="X342" s="595"/>
      <c r="Y342" s="595"/>
      <c r="Z342" s="595"/>
      <c r="AA342" s="595"/>
      <c r="AB342" s="595"/>
      <c r="AC342" s="595"/>
      <c r="AD342" s="595"/>
      <c r="AE342" s="595"/>
      <c r="AF342" s="856"/>
    </row>
    <row r="343">
      <c r="A343" s="580"/>
      <c r="B343" s="595"/>
      <c r="C343" s="595"/>
      <c r="D343" s="595"/>
      <c r="E343" s="595"/>
      <c r="F343" s="595"/>
      <c r="G343" s="595"/>
      <c r="H343" s="595"/>
      <c r="I343" s="595"/>
      <c r="J343" s="595"/>
      <c r="K343" s="595"/>
      <c r="L343" s="595"/>
      <c r="M343" s="595"/>
      <c r="N343" s="595"/>
      <c r="O343" s="595"/>
      <c r="P343" s="595"/>
      <c r="Q343" s="595"/>
      <c r="R343" s="595"/>
      <c r="S343" s="595"/>
      <c r="T343" s="595"/>
      <c r="U343" s="595"/>
      <c r="V343" s="595"/>
      <c r="W343" s="595"/>
      <c r="X343" s="595"/>
      <c r="Y343" s="595"/>
      <c r="Z343" s="595"/>
      <c r="AA343" s="595"/>
      <c r="AB343" s="595"/>
      <c r="AC343" s="595"/>
      <c r="AD343" s="595"/>
      <c r="AE343" s="595"/>
      <c r="AF343" s="856"/>
    </row>
    <row r="344">
      <c r="A344" s="582"/>
      <c r="B344" s="595"/>
      <c r="C344" s="595"/>
      <c r="D344" s="595"/>
      <c r="E344" s="595"/>
      <c r="F344" s="595"/>
      <c r="G344" s="595"/>
      <c r="H344" s="595"/>
      <c r="I344" s="595"/>
      <c r="J344" s="595"/>
      <c r="K344" s="595"/>
      <c r="L344" s="595"/>
      <c r="M344" s="595"/>
      <c r="N344" s="595"/>
      <c r="O344" s="595"/>
      <c r="P344" s="595"/>
      <c r="Q344" s="595"/>
      <c r="R344" s="595"/>
      <c r="S344" s="595"/>
      <c r="T344" s="595"/>
      <c r="U344" s="595"/>
      <c r="V344" s="595"/>
      <c r="W344" s="595"/>
      <c r="X344" s="595"/>
      <c r="Y344" s="595"/>
      <c r="Z344" s="595"/>
      <c r="AA344" s="595"/>
      <c r="AB344" s="595"/>
      <c r="AC344" s="595"/>
      <c r="AD344" s="595"/>
      <c r="AE344" s="595"/>
      <c r="AF344" s="856"/>
    </row>
    <row r="345">
      <c r="A345" s="580"/>
      <c r="B345" s="595"/>
      <c r="C345" s="595"/>
      <c r="D345" s="595"/>
      <c r="E345" s="595"/>
      <c r="F345" s="595"/>
      <c r="G345" s="595"/>
      <c r="H345" s="595"/>
      <c r="I345" s="595"/>
      <c r="J345" s="595"/>
      <c r="K345" s="595"/>
      <c r="L345" s="595"/>
      <c r="M345" s="595"/>
      <c r="N345" s="595"/>
      <c r="O345" s="595"/>
      <c r="P345" s="595"/>
      <c r="Q345" s="595"/>
      <c r="R345" s="595"/>
      <c r="S345" s="595"/>
      <c r="T345" s="595"/>
      <c r="U345" s="595"/>
      <c r="V345" s="595"/>
      <c r="W345" s="595"/>
      <c r="X345" s="595"/>
      <c r="Y345" s="595"/>
      <c r="Z345" s="595"/>
      <c r="AA345" s="595"/>
      <c r="AB345" s="595"/>
      <c r="AC345" s="595"/>
      <c r="AD345" s="595"/>
      <c r="AE345" s="595"/>
      <c r="AF345" s="856"/>
    </row>
    <row r="346">
      <c r="A346" s="582"/>
      <c r="B346" s="595"/>
      <c r="C346" s="595"/>
      <c r="D346" s="595"/>
      <c r="E346" s="595"/>
      <c r="F346" s="595"/>
      <c r="G346" s="595"/>
      <c r="H346" s="595"/>
      <c r="I346" s="595"/>
      <c r="J346" s="595"/>
      <c r="K346" s="595"/>
      <c r="L346" s="595"/>
      <c r="M346" s="595"/>
      <c r="N346" s="595"/>
      <c r="O346" s="595"/>
      <c r="P346" s="595"/>
      <c r="Q346" s="595"/>
      <c r="R346" s="595"/>
      <c r="S346" s="595"/>
      <c r="T346" s="595"/>
      <c r="U346" s="595"/>
      <c r="V346" s="595"/>
      <c r="W346" s="595"/>
      <c r="X346" s="595"/>
      <c r="Y346" s="595"/>
      <c r="Z346" s="595"/>
      <c r="AA346" s="595"/>
      <c r="AB346" s="595"/>
      <c r="AC346" s="595"/>
      <c r="AD346" s="595"/>
      <c r="AE346" s="595"/>
      <c r="AF346" s="856"/>
    </row>
    <row r="347">
      <c r="A347" s="580"/>
      <c r="B347" s="595"/>
      <c r="C347" s="595"/>
      <c r="D347" s="595"/>
      <c r="E347" s="595"/>
      <c r="F347" s="595"/>
      <c r="G347" s="595"/>
      <c r="H347" s="595"/>
      <c r="I347" s="595"/>
      <c r="J347" s="595"/>
      <c r="K347" s="595"/>
      <c r="L347" s="595"/>
      <c r="M347" s="595"/>
      <c r="N347" s="595"/>
      <c r="O347" s="595"/>
      <c r="P347" s="595"/>
      <c r="Q347" s="595"/>
      <c r="R347" s="595"/>
      <c r="S347" s="595"/>
      <c r="T347" s="595"/>
      <c r="U347" s="595"/>
      <c r="V347" s="595"/>
      <c r="W347" s="595"/>
      <c r="X347" s="595"/>
      <c r="Y347" s="595"/>
      <c r="Z347" s="595"/>
      <c r="AA347" s="595"/>
      <c r="AB347" s="595"/>
      <c r="AC347" s="595"/>
      <c r="AD347" s="595"/>
      <c r="AE347" s="595"/>
      <c r="AF347" s="856"/>
    </row>
    <row r="348">
      <c r="A348" s="582"/>
      <c r="B348" s="595"/>
      <c r="C348" s="595"/>
      <c r="D348" s="595"/>
      <c r="E348" s="595"/>
      <c r="F348" s="595"/>
      <c r="G348" s="595"/>
      <c r="H348" s="595"/>
      <c r="I348" s="595"/>
      <c r="J348" s="595"/>
      <c r="K348" s="595"/>
      <c r="L348" s="595"/>
      <c r="M348" s="595"/>
      <c r="N348" s="595"/>
      <c r="O348" s="595"/>
      <c r="P348" s="595"/>
      <c r="Q348" s="595"/>
      <c r="R348" s="595"/>
      <c r="S348" s="595"/>
      <c r="T348" s="595"/>
      <c r="U348" s="595"/>
      <c r="V348" s="595"/>
      <c r="W348" s="595"/>
      <c r="X348" s="595"/>
      <c r="Y348" s="595"/>
      <c r="Z348" s="595"/>
      <c r="AA348" s="595"/>
      <c r="AB348" s="595"/>
      <c r="AC348" s="595"/>
      <c r="AD348" s="595"/>
      <c r="AE348" s="595"/>
      <c r="AF348" s="1063"/>
    </row>
    <row r="349">
      <c r="A349" s="582"/>
      <c r="B349" s="595"/>
      <c r="C349" s="595"/>
      <c r="D349" s="595"/>
      <c r="E349" s="595"/>
      <c r="F349" s="595"/>
      <c r="G349" s="595"/>
      <c r="H349" s="595"/>
      <c r="I349" s="595"/>
      <c r="J349" s="595"/>
      <c r="K349" s="595"/>
      <c r="L349" s="595"/>
      <c r="M349" s="595"/>
      <c r="N349" s="595"/>
      <c r="O349" s="595"/>
      <c r="P349" s="595"/>
      <c r="Q349" s="595"/>
      <c r="R349" s="595"/>
      <c r="S349" s="595"/>
      <c r="T349" s="595"/>
      <c r="U349" s="595"/>
      <c r="V349" s="595"/>
      <c r="W349" s="595"/>
      <c r="X349" s="595"/>
      <c r="Y349" s="595"/>
      <c r="Z349" s="595"/>
      <c r="AA349" s="595"/>
      <c r="AB349" s="595"/>
      <c r="AC349" s="595"/>
      <c r="AD349" s="595"/>
      <c r="AE349" s="595"/>
      <c r="AF349" s="1063"/>
    </row>
    <row r="350">
      <c r="A350" s="582"/>
      <c r="B350" s="595"/>
      <c r="C350" s="595"/>
      <c r="D350" s="595"/>
      <c r="E350" s="595"/>
      <c r="F350" s="595"/>
      <c r="G350" s="595"/>
      <c r="H350" s="595"/>
      <c r="I350" s="595"/>
      <c r="J350" s="595"/>
      <c r="K350" s="595"/>
      <c r="L350" s="595"/>
      <c r="M350" s="595"/>
      <c r="N350" s="595"/>
      <c r="O350" s="595"/>
      <c r="P350" s="595"/>
      <c r="Q350" s="595"/>
      <c r="R350" s="595"/>
      <c r="S350" s="595"/>
      <c r="T350" s="595"/>
      <c r="U350" s="595"/>
      <c r="V350" s="595"/>
      <c r="W350" s="595"/>
      <c r="X350" s="595"/>
      <c r="Y350" s="595"/>
      <c r="Z350" s="595"/>
      <c r="AA350" s="595"/>
      <c r="AB350" s="595"/>
      <c r="AC350" s="595"/>
      <c r="AD350" s="595"/>
      <c r="AE350" s="595"/>
      <c r="AF350" s="1063"/>
    </row>
    <row r="351">
      <c r="A351" s="582"/>
      <c r="B351" s="595"/>
      <c r="C351" s="595"/>
      <c r="D351" s="595"/>
      <c r="E351" s="595"/>
      <c r="F351" s="595"/>
      <c r="G351" s="595"/>
      <c r="H351" s="595"/>
      <c r="I351" s="595"/>
      <c r="J351" s="595"/>
      <c r="K351" s="595"/>
      <c r="L351" s="595"/>
      <c r="M351" s="595"/>
      <c r="N351" s="595"/>
      <c r="O351" s="595"/>
      <c r="P351" s="595"/>
      <c r="Q351" s="595"/>
      <c r="R351" s="595"/>
      <c r="S351" s="595"/>
      <c r="T351" s="595"/>
      <c r="U351" s="595"/>
      <c r="V351" s="595"/>
      <c r="W351" s="595"/>
      <c r="X351" s="595"/>
      <c r="Y351" s="595"/>
      <c r="Z351" s="595"/>
      <c r="AA351" s="595"/>
      <c r="AB351" s="595"/>
      <c r="AC351" s="595"/>
      <c r="AD351" s="595"/>
      <c r="AE351" s="595"/>
      <c r="AF351" s="1063"/>
    </row>
    <row r="352">
      <c r="A352" s="582"/>
      <c r="B352" s="595"/>
      <c r="C352" s="595"/>
      <c r="D352" s="595"/>
      <c r="E352" s="595"/>
      <c r="F352" s="595"/>
      <c r="G352" s="595"/>
      <c r="H352" s="595"/>
      <c r="I352" s="595"/>
      <c r="J352" s="595"/>
      <c r="K352" s="595"/>
      <c r="L352" s="595"/>
      <c r="M352" s="595"/>
      <c r="N352" s="595"/>
      <c r="O352" s="595"/>
      <c r="P352" s="595"/>
      <c r="Q352" s="595"/>
      <c r="R352" s="595"/>
      <c r="S352" s="595"/>
      <c r="T352" s="595"/>
      <c r="U352" s="595"/>
      <c r="V352" s="595"/>
      <c r="W352" s="595"/>
      <c r="X352" s="595"/>
      <c r="Y352" s="595"/>
      <c r="Z352" s="595"/>
      <c r="AA352" s="595"/>
      <c r="AB352" s="595"/>
      <c r="AC352" s="595"/>
      <c r="AD352" s="595"/>
      <c r="AE352" s="595"/>
      <c r="AF352" s="1063"/>
    </row>
    <row r="353">
      <c r="A353" s="582"/>
      <c r="B353" s="595"/>
      <c r="C353" s="595"/>
      <c r="D353" s="595"/>
      <c r="E353" s="595"/>
      <c r="F353" s="595"/>
      <c r="G353" s="595"/>
      <c r="H353" s="595"/>
      <c r="I353" s="595"/>
      <c r="J353" s="595"/>
      <c r="K353" s="595"/>
      <c r="L353" s="595"/>
      <c r="M353" s="595"/>
      <c r="N353" s="595"/>
      <c r="O353" s="595"/>
      <c r="P353" s="595"/>
      <c r="Q353" s="595"/>
      <c r="R353" s="595"/>
      <c r="S353" s="595"/>
      <c r="T353" s="595"/>
      <c r="U353" s="595"/>
      <c r="V353" s="595"/>
      <c r="W353" s="595"/>
      <c r="X353" s="595"/>
      <c r="Y353" s="595"/>
      <c r="Z353" s="595"/>
      <c r="AA353" s="595"/>
      <c r="AB353" s="595"/>
      <c r="AC353" s="595"/>
      <c r="AD353" s="595"/>
      <c r="AE353" s="595"/>
      <c r="AF353" s="1063"/>
    </row>
    <row r="354">
      <c r="A354" s="582"/>
      <c r="B354" s="595"/>
      <c r="C354" s="595"/>
      <c r="D354" s="595"/>
      <c r="E354" s="595"/>
      <c r="F354" s="595"/>
      <c r="G354" s="595"/>
      <c r="H354" s="595"/>
      <c r="I354" s="595"/>
      <c r="J354" s="595"/>
      <c r="K354" s="595"/>
      <c r="L354" s="595"/>
      <c r="M354" s="595"/>
      <c r="N354" s="595"/>
      <c r="O354" s="595"/>
      <c r="P354" s="595"/>
      <c r="Q354" s="595"/>
      <c r="R354" s="595"/>
      <c r="S354" s="595"/>
      <c r="T354" s="595"/>
      <c r="U354" s="595"/>
      <c r="V354" s="595"/>
      <c r="W354" s="595"/>
      <c r="X354" s="595"/>
      <c r="Y354" s="595"/>
      <c r="Z354" s="595"/>
      <c r="AA354" s="595"/>
      <c r="AB354" s="595"/>
      <c r="AC354" s="595"/>
      <c r="AD354" s="595"/>
      <c r="AE354" s="595"/>
      <c r="AF354" s="1063"/>
    </row>
    <row r="355">
      <c r="A355" s="582"/>
      <c r="B355" s="595"/>
      <c r="C355" s="595"/>
      <c r="D355" s="595"/>
      <c r="E355" s="595"/>
      <c r="F355" s="595"/>
      <c r="G355" s="595"/>
      <c r="H355" s="595"/>
      <c r="I355" s="595"/>
      <c r="J355" s="595"/>
      <c r="K355" s="595"/>
      <c r="L355" s="595"/>
      <c r="M355" s="595"/>
      <c r="N355" s="595"/>
      <c r="O355" s="595"/>
      <c r="P355" s="595"/>
      <c r="Q355" s="595"/>
      <c r="R355" s="595"/>
      <c r="S355" s="595"/>
      <c r="T355" s="595"/>
      <c r="U355" s="595"/>
      <c r="V355" s="595"/>
      <c r="W355" s="595"/>
      <c r="X355" s="595"/>
      <c r="Y355" s="595"/>
      <c r="Z355" s="595"/>
      <c r="AA355" s="595"/>
      <c r="AB355" s="595"/>
      <c r="AC355" s="595"/>
      <c r="AD355" s="595"/>
      <c r="AE355" s="595"/>
      <c r="AF355" s="1063"/>
    </row>
    <row r="356">
      <c r="A356" s="582"/>
      <c r="B356" s="595"/>
      <c r="C356" s="595"/>
      <c r="D356" s="595"/>
      <c r="E356" s="595"/>
      <c r="F356" s="595"/>
      <c r="G356" s="595"/>
      <c r="H356" s="595"/>
      <c r="I356" s="595"/>
      <c r="J356" s="595"/>
      <c r="K356" s="595"/>
      <c r="L356" s="595"/>
      <c r="M356" s="595"/>
      <c r="N356" s="595"/>
      <c r="O356" s="595"/>
      <c r="P356" s="595"/>
      <c r="Q356" s="595"/>
      <c r="R356" s="595"/>
      <c r="S356" s="595"/>
      <c r="T356" s="595"/>
      <c r="U356" s="595"/>
      <c r="V356" s="595"/>
      <c r="W356" s="595"/>
      <c r="X356" s="595"/>
      <c r="Y356" s="595"/>
      <c r="Z356" s="595"/>
      <c r="AA356" s="595"/>
      <c r="AB356" s="595"/>
      <c r="AC356" s="595"/>
      <c r="AD356" s="595"/>
      <c r="AE356" s="595"/>
      <c r="AF356" s="1063"/>
    </row>
    <row r="357">
      <c r="A357" s="582"/>
      <c r="B357" s="595"/>
      <c r="C357" s="595"/>
      <c r="D357" s="595"/>
      <c r="E357" s="595"/>
      <c r="F357" s="595"/>
      <c r="G357" s="595"/>
      <c r="H357" s="595"/>
      <c r="I357" s="595"/>
      <c r="J357" s="595"/>
      <c r="K357" s="595"/>
      <c r="L357" s="595"/>
      <c r="M357" s="595"/>
      <c r="N357" s="595"/>
      <c r="O357" s="595"/>
      <c r="P357" s="595"/>
      <c r="Q357" s="595"/>
      <c r="R357" s="595"/>
      <c r="S357" s="595"/>
      <c r="T357" s="595"/>
      <c r="U357" s="595"/>
      <c r="V357" s="595"/>
      <c r="W357" s="595"/>
      <c r="X357" s="595"/>
      <c r="Y357" s="595"/>
      <c r="Z357" s="595"/>
      <c r="AA357" s="595"/>
      <c r="AB357" s="595"/>
      <c r="AC357" s="595"/>
      <c r="AD357" s="595"/>
      <c r="AE357" s="595"/>
      <c r="AF357" s="1063"/>
    </row>
    <row r="358">
      <c r="A358" s="582"/>
      <c r="B358" s="595"/>
      <c r="C358" s="595"/>
      <c r="D358" s="595"/>
      <c r="E358" s="595"/>
      <c r="F358" s="595"/>
      <c r="G358" s="595"/>
      <c r="H358" s="595"/>
      <c r="I358" s="595"/>
      <c r="J358" s="595"/>
      <c r="K358" s="595"/>
      <c r="L358" s="595"/>
      <c r="M358" s="595"/>
      <c r="N358" s="595"/>
      <c r="O358" s="595"/>
      <c r="P358" s="595"/>
      <c r="Q358" s="595"/>
      <c r="R358" s="595"/>
      <c r="S358" s="595"/>
      <c r="T358" s="595"/>
      <c r="U358" s="595"/>
      <c r="V358" s="595"/>
      <c r="W358" s="595"/>
      <c r="X358" s="595"/>
      <c r="Y358" s="595"/>
      <c r="Z358" s="595"/>
      <c r="AA358" s="595"/>
      <c r="AB358" s="595"/>
      <c r="AC358" s="595"/>
      <c r="AD358" s="595"/>
      <c r="AE358" s="595"/>
      <c r="AF358" s="1063"/>
    </row>
    <row r="359">
      <c r="A359" s="582"/>
      <c r="B359" s="595"/>
      <c r="C359" s="595"/>
      <c r="D359" s="595"/>
      <c r="E359" s="595"/>
      <c r="F359" s="595"/>
      <c r="G359" s="595"/>
      <c r="H359" s="595"/>
      <c r="I359" s="595"/>
      <c r="J359" s="595"/>
      <c r="K359" s="595"/>
      <c r="L359" s="595"/>
      <c r="M359" s="595"/>
      <c r="N359" s="595"/>
      <c r="O359" s="595"/>
      <c r="P359" s="595"/>
      <c r="Q359" s="595"/>
      <c r="R359" s="595"/>
      <c r="S359" s="595"/>
      <c r="T359" s="595"/>
      <c r="U359" s="595"/>
      <c r="V359" s="595"/>
      <c r="W359" s="595"/>
      <c r="X359" s="595"/>
      <c r="Y359" s="595"/>
      <c r="Z359" s="595"/>
      <c r="AA359" s="595"/>
      <c r="AB359" s="595"/>
      <c r="AC359" s="595"/>
      <c r="AD359" s="595"/>
      <c r="AE359" s="595"/>
      <c r="AF359" s="1063"/>
    </row>
    <row r="360">
      <c r="A360" s="582"/>
      <c r="B360" s="595"/>
      <c r="C360" s="595"/>
      <c r="D360" s="595"/>
      <c r="E360" s="595"/>
      <c r="F360" s="595"/>
      <c r="G360" s="595"/>
      <c r="H360" s="595"/>
      <c r="I360" s="595"/>
      <c r="J360" s="595"/>
      <c r="K360" s="595"/>
      <c r="L360" s="595"/>
      <c r="M360" s="595"/>
      <c r="N360" s="595"/>
      <c r="O360" s="595"/>
      <c r="P360" s="595"/>
      <c r="Q360" s="595"/>
      <c r="R360" s="595"/>
      <c r="S360" s="595"/>
      <c r="T360" s="595"/>
      <c r="U360" s="595"/>
      <c r="V360" s="595"/>
      <c r="W360" s="595"/>
      <c r="X360" s="595"/>
      <c r="Y360" s="595"/>
      <c r="Z360" s="595"/>
      <c r="AA360" s="595"/>
      <c r="AB360" s="595"/>
      <c r="AC360" s="595"/>
      <c r="AD360" s="595"/>
      <c r="AE360" s="595"/>
      <c r="AF360" s="1063"/>
    </row>
    <row r="361">
      <c r="A361" s="582"/>
      <c r="B361" s="595"/>
      <c r="C361" s="595"/>
      <c r="D361" s="595"/>
      <c r="E361" s="595"/>
      <c r="F361" s="595"/>
      <c r="G361" s="595"/>
      <c r="H361" s="595"/>
      <c r="I361" s="595"/>
      <c r="J361" s="595"/>
      <c r="K361" s="595"/>
      <c r="L361" s="595"/>
      <c r="M361" s="595"/>
      <c r="N361" s="595"/>
      <c r="O361" s="595"/>
      <c r="P361" s="595"/>
      <c r="Q361" s="595"/>
      <c r="R361" s="595"/>
      <c r="S361" s="595"/>
      <c r="T361" s="595"/>
      <c r="U361" s="595"/>
      <c r="V361" s="595"/>
      <c r="W361" s="595"/>
      <c r="X361" s="595"/>
      <c r="Y361" s="595"/>
      <c r="Z361" s="595"/>
      <c r="AA361" s="595"/>
      <c r="AB361" s="595"/>
      <c r="AC361" s="595"/>
      <c r="AD361" s="595"/>
      <c r="AE361" s="595"/>
      <c r="AF361" s="1063"/>
    </row>
    <row r="362">
      <c r="A362" s="582"/>
      <c r="B362" s="595"/>
      <c r="C362" s="595"/>
      <c r="D362" s="595"/>
      <c r="E362" s="595"/>
      <c r="F362" s="595"/>
      <c r="G362" s="595"/>
      <c r="H362" s="595"/>
      <c r="I362" s="595"/>
      <c r="J362" s="595"/>
      <c r="K362" s="595"/>
      <c r="L362" s="595"/>
      <c r="M362" s="595"/>
      <c r="N362" s="595"/>
      <c r="O362" s="595"/>
      <c r="P362" s="595"/>
      <c r="Q362" s="595"/>
      <c r="R362" s="595"/>
      <c r="S362" s="595"/>
      <c r="T362" s="595"/>
      <c r="U362" s="595"/>
      <c r="V362" s="595"/>
      <c r="W362" s="595"/>
      <c r="X362" s="595"/>
      <c r="Y362" s="595"/>
      <c r="Z362" s="595"/>
      <c r="AA362" s="595"/>
      <c r="AB362" s="595"/>
      <c r="AC362" s="595"/>
      <c r="AD362" s="595"/>
      <c r="AE362" s="595"/>
      <c r="AF362" s="1063"/>
    </row>
    <row r="363">
      <c r="A363" s="582"/>
      <c r="B363" s="595"/>
      <c r="C363" s="595"/>
      <c r="D363" s="595"/>
      <c r="E363" s="595"/>
      <c r="F363" s="595"/>
      <c r="G363" s="595"/>
      <c r="H363" s="595"/>
      <c r="I363" s="595"/>
      <c r="J363" s="595"/>
      <c r="K363" s="595"/>
      <c r="L363" s="595"/>
      <c r="M363" s="595"/>
      <c r="N363" s="595"/>
      <c r="O363" s="595"/>
      <c r="P363" s="595"/>
      <c r="Q363" s="595"/>
      <c r="R363" s="595"/>
      <c r="S363" s="595"/>
      <c r="T363" s="595"/>
      <c r="U363" s="595"/>
      <c r="V363" s="595"/>
      <c r="W363" s="595"/>
      <c r="X363" s="595"/>
      <c r="Y363" s="595"/>
      <c r="Z363" s="595"/>
      <c r="AA363" s="595"/>
      <c r="AB363" s="595"/>
      <c r="AC363" s="595"/>
      <c r="AD363" s="595"/>
      <c r="AE363" s="595"/>
      <c r="AF363" s="1063"/>
    </row>
    <row r="364">
      <c r="A364" s="582"/>
      <c r="B364" s="582"/>
      <c r="C364" s="582"/>
      <c r="D364" s="582"/>
      <c r="E364" s="582"/>
      <c r="F364" s="582"/>
      <c r="G364" s="582"/>
      <c r="H364" s="582"/>
      <c r="I364" s="582"/>
      <c r="J364" s="582"/>
      <c r="K364" s="582"/>
      <c r="L364" s="582"/>
      <c r="M364" s="582"/>
      <c r="N364" s="582"/>
      <c r="O364" s="582"/>
      <c r="P364" s="582"/>
      <c r="Q364" s="582"/>
      <c r="R364" s="582"/>
      <c r="S364" s="582"/>
      <c r="T364" s="582"/>
      <c r="U364" s="582"/>
      <c r="V364" s="582"/>
      <c r="W364" s="582"/>
      <c r="X364" s="582"/>
      <c r="Y364" s="582"/>
      <c r="Z364" s="582"/>
      <c r="AA364" s="582"/>
      <c r="AB364" s="582"/>
      <c r="AC364" s="582"/>
      <c r="AD364" s="582"/>
      <c r="AE364" s="582"/>
      <c r="AF364" s="1069"/>
    </row>
    <row r="365">
      <c r="A365" s="582"/>
      <c r="B365" s="582"/>
      <c r="C365" s="582"/>
      <c r="D365" s="582"/>
      <c r="E365" s="582"/>
      <c r="F365" s="582"/>
      <c r="G365" s="582"/>
      <c r="H365" s="582"/>
      <c r="I365" s="582"/>
      <c r="J365" s="582"/>
      <c r="K365" s="582"/>
      <c r="L365" s="582"/>
      <c r="M365" s="582"/>
      <c r="N365" s="582"/>
      <c r="O365" s="582"/>
      <c r="P365" s="582"/>
      <c r="Q365" s="582"/>
      <c r="R365" s="582"/>
      <c r="S365" s="582"/>
      <c r="T365" s="582"/>
      <c r="U365" s="582"/>
      <c r="V365" s="582"/>
      <c r="W365" s="582"/>
      <c r="X365" s="582"/>
      <c r="Y365" s="582"/>
      <c r="Z365" s="582"/>
      <c r="AA365" s="582"/>
      <c r="AB365" s="582"/>
      <c r="AC365" s="582"/>
      <c r="AD365" s="582"/>
      <c r="AE365" s="582"/>
      <c r="AF365" s="1069"/>
    </row>
    <row r="366">
      <c r="A366" s="582"/>
      <c r="B366" s="582"/>
      <c r="C366" s="582"/>
      <c r="D366" s="582"/>
      <c r="E366" s="582"/>
      <c r="F366" s="582"/>
      <c r="G366" s="582"/>
      <c r="H366" s="582"/>
      <c r="I366" s="582"/>
      <c r="J366" s="582"/>
      <c r="K366" s="582"/>
      <c r="L366" s="582"/>
      <c r="M366" s="582"/>
      <c r="N366" s="582"/>
      <c r="O366" s="582"/>
      <c r="P366" s="582"/>
      <c r="Q366" s="582"/>
      <c r="R366" s="582"/>
      <c r="S366" s="582"/>
      <c r="T366" s="582"/>
      <c r="U366" s="582"/>
      <c r="V366" s="582"/>
      <c r="W366" s="582"/>
      <c r="X366" s="582"/>
      <c r="Y366" s="582"/>
      <c r="Z366" s="582"/>
      <c r="AA366" s="582"/>
      <c r="AB366" s="582"/>
      <c r="AC366" s="582"/>
      <c r="AD366" s="582"/>
      <c r="AE366" s="582"/>
      <c r="AF366" s="1069"/>
    </row>
    <row r="367">
      <c r="A367" s="582"/>
      <c r="B367" s="582"/>
      <c r="C367" s="582"/>
      <c r="D367" s="582"/>
      <c r="E367" s="582"/>
      <c r="F367" s="582"/>
      <c r="G367" s="582"/>
      <c r="H367" s="582"/>
      <c r="I367" s="582"/>
      <c r="J367" s="582"/>
      <c r="K367" s="582"/>
      <c r="L367" s="582"/>
      <c r="M367" s="582"/>
      <c r="N367" s="582"/>
      <c r="O367" s="582"/>
      <c r="P367" s="582"/>
      <c r="Q367" s="582"/>
      <c r="R367" s="582"/>
      <c r="S367" s="582"/>
      <c r="T367" s="582"/>
      <c r="U367" s="582"/>
      <c r="V367" s="582"/>
      <c r="W367" s="582"/>
      <c r="X367" s="582"/>
      <c r="Y367" s="582"/>
      <c r="Z367" s="582"/>
      <c r="AA367" s="582"/>
      <c r="AB367" s="582"/>
      <c r="AC367" s="582"/>
      <c r="AD367" s="582"/>
      <c r="AE367" s="582"/>
      <c r="AF367" s="1069"/>
    </row>
    <row r="368">
      <c r="A368" s="582"/>
      <c r="B368" s="582"/>
      <c r="C368" s="582"/>
      <c r="D368" s="582"/>
      <c r="E368" s="582"/>
      <c r="F368" s="582"/>
      <c r="G368" s="582"/>
      <c r="H368" s="582"/>
      <c r="I368" s="582"/>
      <c r="J368" s="582"/>
      <c r="K368" s="582"/>
      <c r="L368" s="582"/>
      <c r="M368" s="582"/>
      <c r="N368" s="582"/>
      <c r="O368" s="582"/>
      <c r="P368" s="582"/>
      <c r="Q368" s="582"/>
      <c r="R368" s="582"/>
      <c r="S368" s="582"/>
      <c r="T368" s="582"/>
      <c r="U368" s="582"/>
      <c r="V368" s="582"/>
      <c r="W368" s="582"/>
      <c r="X368" s="582"/>
      <c r="Y368" s="582"/>
      <c r="Z368" s="582"/>
      <c r="AA368" s="582"/>
      <c r="AB368" s="582"/>
      <c r="AC368" s="582"/>
      <c r="AD368" s="582"/>
      <c r="AE368" s="582"/>
      <c r="AF368" s="1069"/>
    </row>
    <row r="369">
      <c r="A369" s="582"/>
      <c r="B369" s="582"/>
      <c r="C369" s="582"/>
      <c r="D369" s="582"/>
      <c r="E369" s="582"/>
      <c r="F369" s="582"/>
      <c r="G369" s="582"/>
      <c r="H369" s="582"/>
      <c r="I369" s="582"/>
      <c r="J369" s="582"/>
      <c r="K369" s="582"/>
      <c r="L369" s="582"/>
      <c r="M369" s="582"/>
      <c r="N369" s="582"/>
      <c r="O369" s="582"/>
      <c r="P369" s="582"/>
      <c r="Q369" s="582"/>
      <c r="R369" s="582"/>
      <c r="S369" s="582"/>
      <c r="T369" s="582"/>
      <c r="U369" s="582"/>
      <c r="V369" s="582"/>
      <c r="W369" s="582"/>
      <c r="X369" s="582"/>
      <c r="Y369" s="582"/>
      <c r="Z369" s="582"/>
      <c r="AA369" s="582"/>
      <c r="AB369" s="582"/>
      <c r="AC369" s="582"/>
      <c r="AD369" s="582"/>
      <c r="AE369" s="582"/>
      <c r="AF369" s="1069"/>
    </row>
    <row r="370">
      <c r="A370" s="582"/>
      <c r="B370" s="582"/>
      <c r="C370" s="582"/>
      <c r="D370" s="582"/>
      <c r="E370" s="582"/>
      <c r="F370" s="582"/>
      <c r="G370" s="582"/>
      <c r="H370" s="582"/>
      <c r="I370" s="582"/>
      <c r="J370" s="582"/>
      <c r="K370" s="582"/>
      <c r="L370" s="582"/>
      <c r="M370" s="582"/>
      <c r="N370" s="582"/>
      <c r="O370" s="582"/>
      <c r="P370" s="582"/>
      <c r="Q370" s="582"/>
      <c r="R370" s="582"/>
      <c r="S370" s="582"/>
      <c r="T370" s="582"/>
      <c r="U370" s="582"/>
      <c r="V370" s="582"/>
      <c r="W370" s="582"/>
      <c r="X370" s="582"/>
      <c r="Y370" s="582"/>
      <c r="Z370" s="582"/>
      <c r="AA370" s="582"/>
      <c r="AB370" s="582"/>
      <c r="AC370" s="582"/>
      <c r="AD370" s="582"/>
      <c r="AE370" s="582"/>
      <c r="AF370" s="1069"/>
    </row>
    <row r="371">
      <c r="A371" s="582"/>
      <c r="B371" s="582"/>
      <c r="C371" s="582"/>
      <c r="D371" s="582"/>
      <c r="E371" s="582"/>
      <c r="F371" s="582"/>
      <c r="G371" s="582"/>
      <c r="H371" s="582"/>
      <c r="I371" s="582"/>
      <c r="J371" s="582"/>
      <c r="K371" s="582"/>
      <c r="L371" s="582"/>
      <c r="M371" s="582"/>
      <c r="N371" s="582"/>
      <c r="O371" s="582"/>
      <c r="P371" s="582"/>
      <c r="Q371" s="582"/>
      <c r="R371" s="582"/>
      <c r="S371" s="582"/>
      <c r="T371" s="582"/>
      <c r="U371" s="582"/>
      <c r="V371" s="582"/>
      <c r="W371" s="582"/>
      <c r="X371" s="582"/>
      <c r="Y371" s="582"/>
      <c r="Z371" s="582"/>
      <c r="AA371" s="582"/>
      <c r="AB371" s="582"/>
      <c r="AC371" s="582"/>
      <c r="AD371" s="582"/>
      <c r="AE371" s="582"/>
      <c r="AF371" s="1069"/>
    </row>
    <row r="372">
      <c r="A372" s="582"/>
      <c r="B372" s="582"/>
      <c r="C372" s="582"/>
      <c r="D372" s="582"/>
      <c r="E372" s="582"/>
      <c r="F372" s="582"/>
      <c r="G372" s="582"/>
      <c r="H372" s="582"/>
      <c r="I372" s="582"/>
      <c r="J372" s="582"/>
      <c r="K372" s="582"/>
      <c r="L372" s="582"/>
      <c r="M372" s="582"/>
      <c r="N372" s="582"/>
      <c r="O372" s="582"/>
      <c r="P372" s="582"/>
      <c r="Q372" s="582"/>
      <c r="R372" s="582"/>
      <c r="S372" s="582"/>
      <c r="T372" s="582"/>
      <c r="U372" s="582"/>
      <c r="V372" s="582"/>
      <c r="W372" s="582"/>
      <c r="X372" s="582"/>
      <c r="Y372" s="582"/>
      <c r="Z372" s="582"/>
      <c r="AA372" s="582"/>
      <c r="AB372" s="582"/>
      <c r="AC372" s="582"/>
      <c r="AD372" s="582"/>
      <c r="AE372" s="582"/>
      <c r="AF372" s="1069"/>
    </row>
    <row r="373">
      <c r="A373" s="582"/>
      <c r="B373" s="582"/>
      <c r="C373" s="582"/>
      <c r="D373" s="582"/>
      <c r="E373" s="582"/>
      <c r="F373" s="582"/>
      <c r="G373" s="582"/>
      <c r="H373" s="582"/>
      <c r="I373" s="582"/>
      <c r="J373" s="582"/>
      <c r="K373" s="582"/>
      <c r="L373" s="582"/>
      <c r="M373" s="582"/>
      <c r="N373" s="582"/>
      <c r="O373" s="582"/>
      <c r="P373" s="582"/>
      <c r="Q373" s="582"/>
      <c r="R373" s="582"/>
      <c r="S373" s="582"/>
      <c r="T373" s="582"/>
      <c r="U373" s="582"/>
      <c r="V373" s="582"/>
      <c r="W373" s="582"/>
      <c r="X373" s="582"/>
      <c r="Y373" s="582"/>
      <c r="Z373" s="582"/>
      <c r="AA373" s="582"/>
      <c r="AB373" s="582"/>
      <c r="AC373" s="582"/>
      <c r="AD373" s="582"/>
      <c r="AE373" s="582"/>
      <c r="AF373" s="1069"/>
    </row>
    <row r="374">
      <c r="A374" s="582"/>
      <c r="B374" s="582"/>
      <c r="C374" s="582"/>
      <c r="D374" s="582"/>
      <c r="E374" s="582"/>
      <c r="F374" s="582"/>
      <c r="G374" s="582"/>
      <c r="H374" s="582"/>
      <c r="I374" s="582"/>
      <c r="J374" s="582"/>
      <c r="K374" s="582"/>
      <c r="L374" s="582"/>
      <c r="M374" s="582"/>
      <c r="N374" s="582"/>
      <c r="O374" s="582"/>
      <c r="P374" s="582"/>
      <c r="Q374" s="582"/>
      <c r="R374" s="582"/>
      <c r="S374" s="582"/>
      <c r="T374" s="582"/>
      <c r="U374" s="582"/>
      <c r="V374" s="582"/>
      <c r="W374" s="582"/>
      <c r="X374" s="582"/>
      <c r="Y374" s="582"/>
      <c r="Z374" s="582"/>
      <c r="AA374" s="582"/>
      <c r="AB374" s="582"/>
      <c r="AC374" s="582"/>
      <c r="AD374" s="582"/>
      <c r="AE374" s="582"/>
      <c r="AF374" s="1069"/>
    </row>
    <row r="375">
      <c r="A375" s="582"/>
      <c r="B375" s="582"/>
      <c r="C375" s="582"/>
      <c r="D375" s="582"/>
      <c r="E375" s="582"/>
      <c r="F375" s="582"/>
      <c r="G375" s="582"/>
      <c r="H375" s="582"/>
      <c r="I375" s="582"/>
      <c r="J375" s="582"/>
      <c r="K375" s="582"/>
      <c r="L375" s="582"/>
      <c r="M375" s="582"/>
      <c r="N375" s="582"/>
      <c r="O375" s="582"/>
      <c r="P375" s="582"/>
      <c r="Q375" s="582"/>
      <c r="R375" s="582"/>
      <c r="S375" s="582"/>
      <c r="T375" s="582"/>
      <c r="U375" s="582"/>
      <c r="V375" s="582"/>
      <c r="W375" s="582"/>
      <c r="X375" s="582"/>
      <c r="Y375" s="582"/>
      <c r="Z375" s="582"/>
      <c r="AA375" s="582"/>
      <c r="AB375" s="582"/>
      <c r="AC375" s="582"/>
      <c r="AD375" s="582"/>
      <c r="AE375" s="582"/>
      <c r="AF375" s="1069"/>
    </row>
    <row r="376">
      <c r="A376" s="582"/>
      <c r="B376" s="582"/>
      <c r="C376" s="582"/>
      <c r="D376" s="582"/>
      <c r="E376" s="582"/>
      <c r="F376" s="582"/>
      <c r="G376" s="582"/>
      <c r="H376" s="582"/>
      <c r="I376" s="582"/>
      <c r="J376" s="582"/>
      <c r="K376" s="582"/>
      <c r="L376" s="582"/>
      <c r="M376" s="582"/>
      <c r="N376" s="582"/>
      <c r="O376" s="582"/>
      <c r="P376" s="582"/>
      <c r="Q376" s="582"/>
      <c r="R376" s="582"/>
      <c r="S376" s="582"/>
      <c r="T376" s="582"/>
      <c r="U376" s="582"/>
      <c r="V376" s="582"/>
      <c r="W376" s="582"/>
      <c r="X376" s="582"/>
      <c r="Y376" s="582"/>
      <c r="Z376" s="582"/>
      <c r="AA376" s="582"/>
      <c r="AB376" s="582"/>
      <c r="AC376" s="582"/>
      <c r="AD376" s="582"/>
      <c r="AE376" s="582"/>
      <c r="AF376" s="1069"/>
    </row>
    <row r="377">
      <c r="A377" s="582"/>
      <c r="B377" s="582"/>
      <c r="C377" s="582"/>
      <c r="D377" s="582"/>
      <c r="E377" s="582"/>
      <c r="F377" s="582"/>
      <c r="G377" s="582"/>
      <c r="H377" s="582"/>
      <c r="I377" s="582"/>
      <c r="J377" s="582"/>
      <c r="K377" s="582"/>
      <c r="L377" s="582"/>
      <c r="M377" s="582"/>
      <c r="N377" s="582"/>
      <c r="O377" s="582"/>
      <c r="P377" s="582"/>
      <c r="Q377" s="582"/>
      <c r="R377" s="582"/>
      <c r="S377" s="582"/>
      <c r="T377" s="582"/>
      <c r="U377" s="582"/>
      <c r="V377" s="582"/>
      <c r="W377" s="582"/>
      <c r="X377" s="582"/>
      <c r="Y377" s="582"/>
      <c r="Z377" s="582"/>
      <c r="AA377" s="582"/>
      <c r="AB377" s="582"/>
      <c r="AC377" s="582"/>
      <c r="AD377" s="582"/>
      <c r="AE377" s="582"/>
      <c r="AF377" s="1069"/>
    </row>
    <row r="378">
      <c r="A378" s="582"/>
      <c r="B378" s="582"/>
      <c r="C378" s="582"/>
      <c r="D378" s="582"/>
      <c r="E378" s="582"/>
      <c r="F378" s="582"/>
      <c r="G378" s="582"/>
      <c r="H378" s="582"/>
      <c r="I378" s="582"/>
      <c r="J378" s="582"/>
      <c r="K378" s="582"/>
      <c r="L378" s="582"/>
      <c r="M378" s="582"/>
      <c r="N378" s="582"/>
      <c r="O378" s="582"/>
      <c r="P378" s="582"/>
      <c r="Q378" s="582"/>
      <c r="R378" s="582"/>
      <c r="S378" s="582"/>
      <c r="T378" s="582"/>
      <c r="U378" s="582"/>
      <c r="V378" s="582"/>
      <c r="W378" s="582"/>
      <c r="X378" s="582"/>
      <c r="Y378" s="582"/>
      <c r="Z378" s="582"/>
      <c r="AA378" s="582"/>
      <c r="AB378" s="582"/>
      <c r="AC378" s="582"/>
      <c r="AD378" s="582"/>
      <c r="AE378" s="582"/>
      <c r="AF378" s="1069"/>
    </row>
    <row r="379">
      <c r="A379" s="582"/>
      <c r="B379" s="582"/>
      <c r="C379" s="582"/>
      <c r="D379" s="582"/>
      <c r="E379" s="582"/>
      <c r="F379" s="582"/>
      <c r="G379" s="582"/>
      <c r="H379" s="582"/>
      <c r="I379" s="582"/>
      <c r="J379" s="582"/>
      <c r="K379" s="582"/>
      <c r="L379" s="582"/>
      <c r="M379" s="582"/>
      <c r="N379" s="582"/>
      <c r="O379" s="582"/>
      <c r="P379" s="582"/>
      <c r="Q379" s="582"/>
      <c r="R379" s="582"/>
      <c r="S379" s="582"/>
      <c r="T379" s="582"/>
      <c r="U379" s="582"/>
      <c r="V379" s="582"/>
      <c r="W379" s="582"/>
      <c r="X379" s="582"/>
      <c r="Y379" s="582"/>
      <c r="Z379" s="582"/>
      <c r="AA379" s="582"/>
      <c r="AB379" s="582"/>
      <c r="AC379" s="582"/>
      <c r="AD379" s="582"/>
      <c r="AE379" s="582"/>
      <c r="AF379" s="1069"/>
    </row>
    <row r="380">
      <c r="A380" s="582"/>
      <c r="B380" s="582"/>
      <c r="C380" s="582"/>
      <c r="D380" s="582"/>
      <c r="E380" s="582"/>
      <c r="F380" s="582"/>
      <c r="G380" s="582"/>
      <c r="H380" s="582"/>
      <c r="I380" s="582"/>
      <c r="J380" s="582"/>
      <c r="K380" s="582"/>
      <c r="L380" s="582"/>
      <c r="M380" s="582"/>
      <c r="N380" s="582"/>
      <c r="O380" s="582"/>
      <c r="P380" s="582"/>
      <c r="Q380" s="582"/>
      <c r="R380" s="582"/>
      <c r="S380" s="582"/>
      <c r="T380" s="582"/>
      <c r="U380" s="582"/>
      <c r="V380" s="582"/>
      <c r="W380" s="582"/>
      <c r="X380" s="582"/>
      <c r="Y380" s="582"/>
      <c r="Z380" s="582"/>
      <c r="AA380" s="582"/>
      <c r="AB380" s="582"/>
      <c r="AC380" s="582"/>
      <c r="AD380" s="582"/>
      <c r="AE380" s="582"/>
      <c r="AF380" s="1069"/>
    </row>
    <row r="381">
      <c r="A381" s="582"/>
      <c r="B381" s="582"/>
      <c r="C381" s="582"/>
      <c r="D381" s="582"/>
      <c r="E381" s="582"/>
      <c r="F381" s="582"/>
      <c r="G381" s="582"/>
      <c r="H381" s="582"/>
      <c r="I381" s="582"/>
      <c r="J381" s="582"/>
      <c r="K381" s="582"/>
      <c r="L381" s="582"/>
      <c r="M381" s="582"/>
      <c r="N381" s="582"/>
      <c r="O381" s="582"/>
      <c r="P381" s="582"/>
      <c r="Q381" s="582"/>
      <c r="R381" s="582"/>
      <c r="S381" s="582"/>
      <c r="T381" s="582"/>
      <c r="U381" s="582"/>
      <c r="V381" s="582"/>
      <c r="W381" s="582"/>
      <c r="X381" s="582"/>
      <c r="Y381" s="582"/>
      <c r="Z381" s="582"/>
      <c r="AA381" s="582"/>
      <c r="AB381" s="582"/>
      <c r="AC381" s="582"/>
      <c r="AD381" s="582"/>
      <c r="AE381" s="582"/>
      <c r="AF381" s="1069"/>
    </row>
    <row r="382">
      <c r="A382" s="582"/>
      <c r="B382" s="582"/>
      <c r="C382" s="582"/>
      <c r="D382" s="582"/>
      <c r="E382" s="582"/>
      <c r="F382" s="582"/>
      <c r="G382" s="582"/>
      <c r="H382" s="582"/>
      <c r="I382" s="582"/>
      <c r="J382" s="582"/>
      <c r="K382" s="582"/>
      <c r="L382" s="582"/>
      <c r="M382" s="582"/>
      <c r="N382" s="582"/>
      <c r="O382" s="582"/>
      <c r="P382" s="582"/>
      <c r="Q382" s="582"/>
      <c r="R382" s="582"/>
      <c r="S382" s="582"/>
      <c r="T382" s="582"/>
      <c r="U382" s="582"/>
      <c r="V382" s="582"/>
      <c r="W382" s="582"/>
      <c r="X382" s="582"/>
      <c r="Y382" s="582"/>
      <c r="Z382" s="582"/>
      <c r="AA382" s="582"/>
      <c r="AB382" s="582"/>
      <c r="AC382" s="582"/>
      <c r="AD382" s="582"/>
      <c r="AE382" s="582"/>
      <c r="AF382" s="1069"/>
    </row>
    <row r="383">
      <c r="A383" s="582"/>
      <c r="B383" s="582"/>
      <c r="C383" s="582"/>
      <c r="D383" s="582"/>
      <c r="E383" s="582"/>
      <c r="F383" s="582"/>
      <c r="G383" s="582"/>
      <c r="H383" s="582"/>
      <c r="I383" s="582"/>
      <c r="J383" s="582"/>
      <c r="K383" s="582"/>
      <c r="L383" s="582"/>
      <c r="M383" s="582"/>
      <c r="N383" s="582"/>
      <c r="O383" s="582"/>
      <c r="P383" s="582"/>
      <c r="Q383" s="582"/>
      <c r="R383" s="582"/>
      <c r="S383" s="582"/>
      <c r="T383" s="582"/>
      <c r="U383" s="582"/>
      <c r="V383" s="582"/>
      <c r="W383" s="582"/>
      <c r="X383" s="582"/>
      <c r="Y383" s="582"/>
      <c r="Z383" s="582"/>
      <c r="AA383" s="582"/>
      <c r="AB383" s="582"/>
      <c r="AC383" s="582"/>
      <c r="AD383" s="582"/>
      <c r="AE383" s="582"/>
      <c r="AF383" s="1069"/>
    </row>
    <row r="384">
      <c r="A384" s="582"/>
      <c r="B384" s="582"/>
      <c r="C384" s="582"/>
      <c r="D384" s="582"/>
      <c r="E384" s="582"/>
      <c r="F384" s="582"/>
      <c r="G384" s="582"/>
      <c r="H384" s="582"/>
      <c r="I384" s="582"/>
      <c r="J384" s="582"/>
      <c r="K384" s="582"/>
      <c r="L384" s="582"/>
      <c r="M384" s="582"/>
      <c r="N384" s="582"/>
      <c r="O384" s="582"/>
      <c r="P384" s="582"/>
      <c r="Q384" s="582"/>
      <c r="R384" s="582"/>
      <c r="S384" s="582"/>
      <c r="T384" s="582"/>
      <c r="U384" s="582"/>
      <c r="V384" s="582"/>
      <c r="W384" s="582"/>
      <c r="X384" s="582"/>
      <c r="Y384" s="582"/>
      <c r="Z384" s="582"/>
      <c r="AA384" s="582"/>
      <c r="AB384" s="582"/>
      <c r="AC384" s="582"/>
      <c r="AD384" s="582"/>
      <c r="AE384" s="582"/>
      <c r="AF384" s="1069"/>
    </row>
    <row r="385">
      <c r="A385" s="582"/>
      <c r="B385" s="582"/>
      <c r="C385" s="582"/>
      <c r="D385" s="582"/>
      <c r="E385" s="582"/>
      <c r="F385" s="582"/>
      <c r="G385" s="582"/>
      <c r="H385" s="582"/>
      <c r="I385" s="582"/>
      <c r="J385" s="582"/>
      <c r="K385" s="582"/>
      <c r="L385" s="582"/>
      <c r="M385" s="582"/>
      <c r="N385" s="582"/>
      <c r="O385" s="582"/>
      <c r="P385" s="582"/>
      <c r="Q385" s="582"/>
      <c r="R385" s="582"/>
      <c r="S385" s="582"/>
      <c r="T385" s="582"/>
      <c r="U385" s="582"/>
      <c r="V385" s="582"/>
      <c r="W385" s="582"/>
      <c r="X385" s="582"/>
      <c r="Y385" s="582"/>
      <c r="Z385" s="582"/>
      <c r="AA385" s="582"/>
      <c r="AB385" s="582"/>
      <c r="AC385" s="582"/>
      <c r="AD385" s="582"/>
      <c r="AE385" s="582"/>
      <c r="AF385" s="1069"/>
    </row>
    <row r="386">
      <c r="A386" s="582"/>
      <c r="B386" s="582"/>
      <c r="C386" s="582"/>
      <c r="D386" s="582"/>
      <c r="E386" s="582"/>
      <c r="F386" s="582"/>
      <c r="G386" s="582"/>
      <c r="H386" s="582"/>
      <c r="I386" s="582"/>
      <c r="J386" s="582"/>
      <c r="K386" s="582"/>
      <c r="L386" s="582"/>
      <c r="M386" s="582"/>
      <c r="N386" s="582"/>
      <c r="O386" s="582"/>
      <c r="P386" s="582"/>
      <c r="Q386" s="582"/>
      <c r="R386" s="582"/>
      <c r="S386" s="582"/>
      <c r="T386" s="582"/>
      <c r="U386" s="582"/>
      <c r="V386" s="582"/>
      <c r="W386" s="582"/>
      <c r="X386" s="582"/>
      <c r="Y386" s="582"/>
      <c r="Z386" s="582"/>
      <c r="AA386" s="582"/>
      <c r="AB386" s="582"/>
      <c r="AC386" s="582"/>
      <c r="AD386" s="582"/>
      <c r="AE386" s="582"/>
      <c r="AF386" s="1069"/>
    </row>
    <row r="387">
      <c r="A387" s="582"/>
      <c r="B387" s="582"/>
      <c r="C387" s="582"/>
      <c r="D387" s="582"/>
      <c r="E387" s="582"/>
      <c r="F387" s="582"/>
      <c r="G387" s="582"/>
      <c r="H387" s="582"/>
      <c r="I387" s="582"/>
      <c r="J387" s="582"/>
      <c r="K387" s="582"/>
      <c r="L387" s="582"/>
      <c r="M387" s="582"/>
      <c r="N387" s="582"/>
      <c r="O387" s="582"/>
      <c r="P387" s="582"/>
      <c r="Q387" s="582"/>
      <c r="R387" s="582"/>
      <c r="S387" s="582"/>
      <c r="T387" s="582"/>
      <c r="U387" s="582"/>
      <c r="V387" s="582"/>
      <c r="W387" s="582"/>
      <c r="X387" s="582"/>
      <c r="Y387" s="582"/>
      <c r="Z387" s="582"/>
      <c r="AA387" s="582"/>
      <c r="AB387" s="582"/>
      <c r="AC387" s="582"/>
      <c r="AD387" s="582"/>
      <c r="AE387" s="582"/>
      <c r="AF387" s="1069"/>
    </row>
    <row r="388">
      <c r="A388" s="582"/>
      <c r="B388" s="582"/>
      <c r="C388" s="582"/>
      <c r="D388" s="582"/>
      <c r="E388" s="582"/>
      <c r="F388" s="582"/>
      <c r="G388" s="582"/>
      <c r="H388" s="582"/>
      <c r="I388" s="582"/>
      <c r="J388" s="582"/>
      <c r="K388" s="582"/>
      <c r="L388" s="582"/>
      <c r="M388" s="582"/>
      <c r="N388" s="582"/>
      <c r="O388" s="582"/>
      <c r="P388" s="582"/>
      <c r="Q388" s="582"/>
      <c r="R388" s="582"/>
      <c r="S388" s="582"/>
      <c r="T388" s="582"/>
      <c r="U388" s="582"/>
      <c r="V388" s="582"/>
      <c r="W388" s="582"/>
      <c r="X388" s="582"/>
      <c r="Y388" s="582"/>
      <c r="Z388" s="582"/>
      <c r="AA388" s="582"/>
      <c r="AB388" s="582"/>
      <c r="AC388" s="582"/>
      <c r="AD388" s="582"/>
      <c r="AE388" s="582"/>
      <c r="AF388" s="1069"/>
    </row>
    <row r="389">
      <c r="A389" s="582"/>
      <c r="B389" s="582"/>
      <c r="C389" s="582"/>
      <c r="D389" s="582"/>
      <c r="E389" s="582"/>
      <c r="F389" s="582"/>
      <c r="G389" s="582"/>
      <c r="H389" s="582"/>
      <c r="I389" s="582"/>
      <c r="J389" s="582"/>
      <c r="K389" s="582"/>
      <c r="L389" s="582"/>
      <c r="M389" s="582"/>
      <c r="N389" s="582"/>
      <c r="O389" s="582"/>
      <c r="P389" s="582"/>
      <c r="Q389" s="582"/>
      <c r="R389" s="582"/>
      <c r="S389" s="582"/>
      <c r="T389" s="582"/>
      <c r="U389" s="582"/>
      <c r="V389" s="582"/>
      <c r="W389" s="582"/>
      <c r="X389" s="582"/>
      <c r="Y389" s="582"/>
      <c r="Z389" s="582"/>
      <c r="AA389" s="582"/>
      <c r="AB389" s="582"/>
      <c r="AC389" s="582"/>
      <c r="AD389" s="582"/>
      <c r="AE389" s="582"/>
      <c r="AF389" s="1069"/>
    </row>
    <row r="390">
      <c r="A390" s="582"/>
      <c r="B390" s="582"/>
      <c r="C390" s="582"/>
      <c r="D390" s="582"/>
      <c r="E390" s="582"/>
      <c r="F390" s="582"/>
      <c r="G390" s="582"/>
      <c r="H390" s="582"/>
      <c r="I390" s="582"/>
      <c r="J390" s="582"/>
      <c r="K390" s="582"/>
      <c r="L390" s="582"/>
      <c r="M390" s="582"/>
      <c r="N390" s="582"/>
      <c r="O390" s="582"/>
      <c r="P390" s="582"/>
      <c r="Q390" s="582"/>
      <c r="R390" s="582"/>
      <c r="S390" s="582"/>
      <c r="T390" s="582"/>
      <c r="U390" s="582"/>
      <c r="V390" s="582"/>
      <c r="W390" s="582"/>
      <c r="X390" s="582"/>
      <c r="Y390" s="582"/>
      <c r="Z390" s="582"/>
      <c r="AA390" s="582"/>
      <c r="AB390" s="582"/>
      <c r="AC390" s="582"/>
      <c r="AD390" s="582"/>
      <c r="AE390" s="582"/>
      <c r="AF390" s="1069"/>
    </row>
    <row r="391">
      <c r="A391" s="582"/>
      <c r="B391" s="582"/>
      <c r="C391" s="582"/>
      <c r="D391" s="582"/>
      <c r="E391" s="582"/>
      <c r="F391" s="582"/>
      <c r="G391" s="582"/>
      <c r="H391" s="582"/>
      <c r="I391" s="582"/>
      <c r="J391" s="582"/>
      <c r="K391" s="582"/>
      <c r="L391" s="582"/>
      <c r="M391" s="582"/>
      <c r="N391" s="582"/>
      <c r="O391" s="582"/>
      <c r="P391" s="582"/>
      <c r="Q391" s="582"/>
      <c r="R391" s="582"/>
      <c r="S391" s="582"/>
      <c r="T391" s="582"/>
      <c r="U391" s="582"/>
      <c r="V391" s="582"/>
      <c r="W391" s="582"/>
      <c r="X391" s="582"/>
      <c r="Y391" s="582"/>
      <c r="Z391" s="582"/>
      <c r="AA391" s="582"/>
      <c r="AB391" s="582"/>
      <c r="AC391" s="582"/>
      <c r="AD391" s="582"/>
      <c r="AE391" s="582"/>
      <c r="AF391" s="1069"/>
    </row>
    <row r="392">
      <c r="A392" s="582"/>
      <c r="B392" s="582"/>
      <c r="C392" s="582"/>
      <c r="D392" s="582"/>
      <c r="E392" s="582"/>
      <c r="F392" s="582"/>
      <c r="G392" s="582"/>
      <c r="H392" s="582"/>
      <c r="I392" s="582"/>
      <c r="J392" s="582"/>
      <c r="K392" s="582"/>
      <c r="L392" s="582"/>
      <c r="M392" s="582"/>
      <c r="N392" s="582"/>
      <c r="O392" s="582"/>
      <c r="P392" s="582"/>
      <c r="Q392" s="582"/>
      <c r="R392" s="582"/>
      <c r="S392" s="582"/>
      <c r="T392" s="582"/>
      <c r="U392" s="582"/>
      <c r="V392" s="582"/>
      <c r="W392" s="582"/>
      <c r="X392" s="582"/>
      <c r="Y392" s="582"/>
      <c r="Z392" s="582"/>
      <c r="AA392" s="582"/>
      <c r="AB392" s="582"/>
      <c r="AC392" s="582"/>
      <c r="AD392" s="582"/>
      <c r="AE392" s="582"/>
      <c r="AF392" s="1069"/>
    </row>
    <row r="393">
      <c r="A393" s="582"/>
      <c r="B393" s="582"/>
      <c r="C393" s="582"/>
      <c r="D393" s="582"/>
      <c r="E393" s="582"/>
      <c r="F393" s="582"/>
      <c r="G393" s="582"/>
      <c r="H393" s="582"/>
      <c r="I393" s="582"/>
      <c r="J393" s="582"/>
      <c r="K393" s="582"/>
      <c r="L393" s="582"/>
      <c r="M393" s="582"/>
      <c r="N393" s="582"/>
      <c r="O393" s="582"/>
      <c r="P393" s="582"/>
      <c r="Q393" s="582"/>
      <c r="R393" s="582"/>
      <c r="S393" s="582"/>
      <c r="T393" s="582"/>
      <c r="U393" s="582"/>
      <c r="V393" s="582"/>
      <c r="W393" s="582"/>
      <c r="X393" s="582"/>
      <c r="Y393" s="582"/>
      <c r="Z393" s="582"/>
      <c r="AA393" s="582"/>
      <c r="AB393" s="582"/>
      <c r="AC393" s="582"/>
      <c r="AD393" s="582"/>
      <c r="AE393" s="582"/>
      <c r="AF393" s="1069"/>
    </row>
    <row r="394">
      <c r="A394" s="582"/>
      <c r="B394" s="582"/>
      <c r="C394" s="582"/>
      <c r="D394" s="582"/>
      <c r="E394" s="582"/>
      <c r="F394" s="582"/>
      <c r="G394" s="582"/>
      <c r="H394" s="582"/>
      <c r="I394" s="582"/>
      <c r="J394" s="582"/>
      <c r="K394" s="582"/>
      <c r="L394" s="582"/>
      <c r="M394" s="582"/>
      <c r="N394" s="582"/>
      <c r="O394" s="582"/>
      <c r="P394" s="582"/>
      <c r="Q394" s="582"/>
      <c r="R394" s="582"/>
      <c r="S394" s="582"/>
      <c r="T394" s="582"/>
      <c r="U394" s="582"/>
      <c r="V394" s="582"/>
      <c r="W394" s="582"/>
      <c r="X394" s="582"/>
      <c r="Y394" s="582"/>
      <c r="Z394" s="582"/>
      <c r="AA394" s="582"/>
      <c r="AB394" s="582"/>
      <c r="AC394" s="582"/>
      <c r="AD394" s="582"/>
      <c r="AE394" s="582"/>
      <c r="AF394" s="1069"/>
    </row>
    <row r="395">
      <c r="A395" s="582"/>
      <c r="B395" s="582"/>
      <c r="C395" s="582"/>
      <c r="D395" s="582"/>
      <c r="E395" s="582"/>
      <c r="F395" s="582"/>
      <c r="G395" s="582"/>
      <c r="H395" s="582"/>
      <c r="I395" s="582"/>
      <c r="J395" s="582"/>
      <c r="K395" s="582"/>
      <c r="L395" s="582"/>
      <c r="M395" s="582"/>
      <c r="N395" s="582"/>
      <c r="O395" s="582"/>
      <c r="P395" s="582"/>
      <c r="Q395" s="582"/>
      <c r="R395" s="582"/>
      <c r="S395" s="582"/>
      <c r="T395" s="582"/>
      <c r="U395" s="582"/>
      <c r="V395" s="582"/>
      <c r="W395" s="582"/>
      <c r="X395" s="582"/>
      <c r="Y395" s="582"/>
      <c r="Z395" s="582"/>
      <c r="AA395" s="582"/>
      <c r="AB395" s="582"/>
      <c r="AC395" s="582"/>
      <c r="AD395" s="582"/>
      <c r="AE395" s="582"/>
      <c r="AF395" s="1069"/>
    </row>
    <row r="396">
      <c r="A396" s="582"/>
      <c r="B396" s="582"/>
      <c r="C396" s="582"/>
      <c r="D396" s="582"/>
      <c r="E396" s="582"/>
      <c r="F396" s="582"/>
      <c r="G396" s="582"/>
      <c r="H396" s="582"/>
      <c r="I396" s="582"/>
      <c r="J396" s="582"/>
      <c r="K396" s="582"/>
      <c r="L396" s="582"/>
      <c r="M396" s="582"/>
      <c r="N396" s="582"/>
      <c r="O396" s="582"/>
      <c r="P396" s="582"/>
      <c r="Q396" s="582"/>
      <c r="R396" s="582"/>
      <c r="S396" s="582"/>
      <c r="T396" s="582"/>
      <c r="U396" s="582"/>
      <c r="V396" s="582"/>
      <c r="W396" s="582"/>
      <c r="X396" s="582"/>
      <c r="Y396" s="582"/>
      <c r="Z396" s="582"/>
      <c r="AA396" s="582"/>
      <c r="AB396" s="582"/>
      <c r="AC396" s="582"/>
      <c r="AD396" s="582"/>
      <c r="AE396" s="582"/>
      <c r="AF396" s="1069"/>
    </row>
    <row r="397">
      <c r="A397" s="582"/>
      <c r="B397" s="582"/>
      <c r="C397" s="582"/>
      <c r="D397" s="582"/>
      <c r="E397" s="582"/>
      <c r="F397" s="582"/>
      <c r="G397" s="582"/>
      <c r="H397" s="582"/>
      <c r="I397" s="582"/>
      <c r="J397" s="582"/>
      <c r="K397" s="582"/>
      <c r="L397" s="582"/>
      <c r="M397" s="582"/>
      <c r="N397" s="582"/>
      <c r="O397" s="582"/>
      <c r="P397" s="582"/>
      <c r="Q397" s="582"/>
      <c r="R397" s="582"/>
      <c r="S397" s="582"/>
      <c r="T397" s="582"/>
      <c r="U397" s="582"/>
      <c r="V397" s="582"/>
      <c r="W397" s="582"/>
      <c r="X397" s="582"/>
      <c r="Y397" s="582"/>
      <c r="Z397" s="582"/>
      <c r="AA397" s="582"/>
      <c r="AB397" s="582"/>
      <c r="AC397" s="582"/>
      <c r="AD397" s="582"/>
      <c r="AE397" s="582"/>
      <c r="AF397" s="1069"/>
    </row>
    <row r="398">
      <c r="A398" s="582"/>
      <c r="B398" s="582"/>
      <c r="C398" s="582"/>
      <c r="D398" s="582"/>
      <c r="E398" s="582"/>
      <c r="F398" s="582"/>
      <c r="G398" s="582"/>
      <c r="H398" s="582"/>
      <c r="I398" s="582"/>
      <c r="J398" s="582"/>
      <c r="K398" s="582"/>
      <c r="L398" s="582"/>
      <c r="M398" s="582"/>
      <c r="N398" s="582"/>
      <c r="O398" s="582"/>
      <c r="P398" s="582"/>
      <c r="Q398" s="582"/>
      <c r="R398" s="582"/>
      <c r="S398" s="582"/>
      <c r="T398" s="582"/>
      <c r="U398" s="582"/>
      <c r="V398" s="582"/>
      <c r="W398" s="582"/>
      <c r="X398" s="582"/>
      <c r="Y398" s="582"/>
      <c r="Z398" s="582"/>
      <c r="AA398" s="582"/>
      <c r="AB398" s="582"/>
      <c r="AC398" s="582"/>
      <c r="AD398" s="582"/>
      <c r="AE398" s="582"/>
      <c r="AF398" s="1069"/>
    </row>
    <row r="399">
      <c r="A399" s="582"/>
      <c r="B399" s="582"/>
      <c r="C399" s="582"/>
      <c r="D399" s="582"/>
      <c r="E399" s="582"/>
      <c r="F399" s="582"/>
      <c r="G399" s="582"/>
      <c r="H399" s="582"/>
      <c r="I399" s="582"/>
      <c r="J399" s="582"/>
      <c r="K399" s="582"/>
      <c r="L399" s="582"/>
      <c r="M399" s="582"/>
      <c r="N399" s="582"/>
      <c r="O399" s="582"/>
      <c r="P399" s="582"/>
      <c r="Q399" s="582"/>
      <c r="R399" s="582"/>
      <c r="S399" s="582"/>
      <c r="T399" s="582"/>
      <c r="U399" s="582"/>
      <c r="V399" s="582"/>
      <c r="W399" s="582"/>
      <c r="X399" s="582"/>
      <c r="Y399" s="582"/>
      <c r="Z399" s="582"/>
      <c r="AA399" s="582"/>
      <c r="AB399" s="582"/>
      <c r="AC399" s="582"/>
      <c r="AD399" s="582"/>
      <c r="AE399" s="582"/>
      <c r="AF399" s="1069"/>
    </row>
    <row r="400">
      <c r="A400" s="582"/>
      <c r="B400" s="582"/>
      <c r="C400" s="582"/>
      <c r="D400" s="582"/>
      <c r="E400" s="582"/>
      <c r="F400" s="582"/>
      <c r="G400" s="582"/>
      <c r="H400" s="582"/>
      <c r="I400" s="582"/>
      <c r="J400" s="582"/>
      <c r="K400" s="582"/>
      <c r="L400" s="582"/>
      <c r="M400" s="582"/>
      <c r="N400" s="582"/>
      <c r="O400" s="582"/>
      <c r="P400" s="582"/>
      <c r="Q400" s="582"/>
      <c r="R400" s="582"/>
      <c r="S400" s="582"/>
      <c r="T400" s="582"/>
      <c r="U400" s="582"/>
      <c r="V400" s="582"/>
      <c r="W400" s="582"/>
      <c r="X400" s="582"/>
      <c r="Y400" s="582"/>
      <c r="Z400" s="582"/>
      <c r="AA400" s="582"/>
      <c r="AB400" s="582"/>
      <c r="AC400" s="582"/>
      <c r="AD400" s="582"/>
      <c r="AE400" s="582"/>
      <c r="AF400" s="1069"/>
    </row>
    <row r="401">
      <c r="A401" s="582"/>
      <c r="B401" s="582"/>
      <c r="C401" s="582"/>
      <c r="D401" s="582"/>
      <c r="E401" s="582"/>
      <c r="F401" s="582"/>
      <c r="G401" s="582"/>
      <c r="H401" s="582"/>
      <c r="I401" s="582"/>
      <c r="J401" s="582"/>
      <c r="K401" s="582"/>
      <c r="L401" s="582"/>
      <c r="M401" s="582"/>
      <c r="N401" s="582"/>
      <c r="O401" s="582"/>
      <c r="P401" s="582"/>
      <c r="Q401" s="582"/>
      <c r="R401" s="582"/>
      <c r="S401" s="582"/>
      <c r="T401" s="582"/>
      <c r="U401" s="582"/>
      <c r="V401" s="582"/>
      <c r="W401" s="582"/>
      <c r="X401" s="582"/>
      <c r="Y401" s="582"/>
      <c r="Z401" s="582"/>
      <c r="AA401" s="582"/>
      <c r="AB401" s="582"/>
      <c r="AC401" s="582"/>
      <c r="AD401" s="582"/>
      <c r="AE401" s="582"/>
      <c r="AF401" s="1069"/>
    </row>
    <row r="402">
      <c r="A402" s="582"/>
      <c r="B402" s="582"/>
      <c r="C402" s="582"/>
      <c r="D402" s="582"/>
      <c r="E402" s="582"/>
      <c r="F402" s="582"/>
      <c r="G402" s="582"/>
      <c r="H402" s="582"/>
      <c r="I402" s="582"/>
      <c r="J402" s="582"/>
      <c r="K402" s="582"/>
      <c r="L402" s="582"/>
      <c r="M402" s="582"/>
      <c r="N402" s="582"/>
      <c r="O402" s="582"/>
      <c r="P402" s="582"/>
      <c r="Q402" s="582"/>
      <c r="R402" s="582"/>
      <c r="S402" s="582"/>
      <c r="T402" s="582"/>
      <c r="U402" s="582"/>
      <c r="V402" s="582"/>
      <c r="W402" s="582"/>
      <c r="X402" s="582"/>
      <c r="Y402" s="582"/>
      <c r="Z402" s="582"/>
      <c r="AA402" s="582"/>
      <c r="AB402" s="582"/>
      <c r="AC402" s="582"/>
      <c r="AD402" s="582"/>
      <c r="AE402" s="582"/>
      <c r="AF402" s="1069"/>
    </row>
    <row r="403">
      <c r="A403" s="582"/>
      <c r="B403" s="582"/>
      <c r="C403" s="582"/>
      <c r="D403" s="582"/>
      <c r="E403" s="582"/>
      <c r="F403" s="582"/>
      <c r="G403" s="582"/>
      <c r="H403" s="582"/>
      <c r="I403" s="582"/>
      <c r="J403" s="582"/>
      <c r="K403" s="582"/>
      <c r="L403" s="582"/>
      <c r="M403" s="582"/>
      <c r="N403" s="582"/>
      <c r="O403" s="582"/>
      <c r="P403" s="582"/>
      <c r="Q403" s="582"/>
      <c r="R403" s="582"/>
      <c r="S403" s="582"/>
      <c r="T403" s="582"/>
      <c r="U403" s="582"/>
      <c r="V403" s="582"/>
      <c r="W403" s="582"/>
      <c r="X403" s="582"/>
      <c r="Y403" s="582"/>
      <c r="Z403" s="582"/>
      <c r="AA403" s="582"/>
      <c r="AB403" s="582"/>
      <c r="AC403" s="582"/>
      <c r="AD403" s="582"/>
      <c r="AE403" s="582"/>
      <c r="AF403" s="1069"/>
    </row>
    <row r="404">
      <c r="A404" s="582"/>
      <c r="B404" s="582"/>
      <c r="C404" s="582"/>
      <c r="D404" s="582"/>
      <c r="E404" s="582"/>
      <c r="F404" s="582"/>
      <c r="G404" s="582"/>
      <c r="H404" s="582"/>
      <c r="I404" s="582"/>
      <c r="J404" s="582"/>
      <c r="K404" s="582"/>
      <c r="L404" s="582"/>
      <c r="M404" s="582"/>
      <c r="N404" s="582"/>
      <c r="O404" s="582"/>
      <c r="P404" s="582"/>
      <c r="Q404" s="582"/>
      <c r="R404" s="582"/>
      <c r="S404" s="582"/>
      <c r="T404" s="582"/>
      <c r="U404" s="582"/>
      <c r="V404" s="582"/>
      <c r="W404" s="582"/>
      <c r="X404" s="582"/>
      <c r="Y404" s="582"/>
      <c r="Z404" s="582"/>
      <c r="AA404" s="582"/>
      <c r="AB404" s="582"/>
      <c r="AC404" s="582"/>
      <c r="AD404" s="582"/>
      <c r="AE404" s="582"/>
      <c r="AF404" s="1069"/>
    </row>
    <row r="405">
      <c r="A405" s="582"/>
      <c r="B405" s="582"/>
      <c r="C405" s="582"/>
      <c r="D405" s="582"/>
      <c r="E405" s="582"/>
      <c r="F405" s="582"/>
      <c r="G405" s="582"/>
      <c r="H405" s="582"/>
      <c r="I405" s="582"/>
      <c r="J405" s="582"/>
      <c r="K405" s="582"/>
      <c r="L405" s="582"/>
      <c r="M405" s="582"/>
      <c r="N405" s="582"/>
      <c r="O405" s="582"/>
      <c r="P405" s="582"/>
      <c r="Q405" s="582"/>
      <c r="R405" s="582"/>
      <c r="S405" s="582"/>
      <c r="T405" s="582"/>
      <c r="U405" s="582"/>
      <c r="V405" s="582"/>
      <c r="W405" s="582"/>
      <c r="X405" s="582"/>
      <c r="Y405" s="582"/>
      <c r="Z405" s="582"/>
      <c r="AA405" s="582"/>
      <c r="AB405" s="582"/>
      <c r="AC405" s="582"/>
      <c r="AD405" s="582"/>
      <c r="AE405" s="582"/>
      <c r="AF405" s="1069"/>
    </row>
    <row r="406">
      <c r="A406" s="582"/>
      <c r="B406" s="582"/>
      <c r="C406" s="582"/>
      <c r="D406" s="582"/>
      <c r="E406" s="582"/>
      <c r="F406" s="582"/>
      <c r="G406" s="582"/>
      <c r="H406" s="582"/>
      <c r="I406" s="582"/>
      <c r="J406" s="582"/>
      <c r="K406" s="582"/>
      <c r="L406" s="582"/>
      <c r="M406" s="582"/>
      <c r="N406" s="582"/>
      <c r="O406" s="582"/>
      <c r="P406" s="582"/>
      <c r="Q406" s="582"/>
      <c r="R406" s="582"/>
      <c r="S406" s="582"/>
      <c r="T406" s="582"/>
      <c r="U406" s="582"/>
      <c r="V406" s="582"/>
      <c r="W406" s="582"/>
      <c r="X406" s="582"/>
      <c r="Y406" s="582"/>
      <c r="Z406" s="582"/>
      <c r="AA406" s="582"/>
      <c r="AB406" s="582"/>
      <c r="AC406" s="582"/>
      <c r="AD406" s="582"/>
      <c r="AE406" s="582"/>
      <c r="AF406" s="1069"/>
    </row>
    <row r="407">
      <c r="A407" s="582"/>
      <c r="B407" s="582"/>
      <c r="C407" s="582"/>
      <c r="D407" s="582"/>
      <c r="E407" s="582"/>
      <c r="F407" s="582"/>
      <c r="G407" s="582"/>
      <c r="H407" s="582"/>
      <c r="I407" s="582"/>
      <c r="J407" s="582"/>
      <c r="K407" s="582"/>
      <c r="L407" s="582"/>
      <c r="M407" s="582"/>
      <c r="N407" s="582"/>
      <c r="O407" s="582"/>
      <c r="P407" s="582"/>
      <c r="Q407" s="582"/>
      <c r="R407" s="582"/>
      <c r="S407" s="582"/>
      <c r="T407" s="582"/>
      <c r="U407" s="582"/>
      <c r="V407" s="582"/>
      <c r="W407" s="582"/>
      <c r="X407" s="582"/>
      <c r="Y407" s="582"/>
      <c r="Z407" s="582"/>
      <c r="AA407" s="582"/>
      <c r="AB407" s="582"/>
      <c r="AC407" s="582"/>
      <c r="AD407" s="582"/>
      <c r="AE407" s="582"/>
      <c r="AF407" s="1069"/>
    </row>
    <row r="408">
      <c r="A408" s="582"/>
      <c r="B408" s="582"/>
      <c r="C408" s="582"/>
      <c r="D408" s="582"/>
      <c r="E408" s="582"/>
      <c r="F408" s="582"/>
      <c r="G408" s="582"/>
      <c r="H408" s="582"/>
      <c r="I408" s="582"/>
      <c r="J408" s="582"/>
      <c r="K408" s="582"/>
      <c r="L408" s="582"/>
      <c r="M408" s="582"/>
      <c r="N408" s="582"/>
      <c r="O408" s="582"/>
      <c r="P408" s="582"/>
      <c r="Q408" s="582"/>
      <c r="R408" s="582"/>
      <c r="S408" s="582"/>
      <c r="T408" s="582"/>
      <c r="U408" s="582"/>
      <c r="V408" s="582"/>
      <c r="W408" s="582"/>
      <c r="X408" s="582"/>
      <c r="Y408" s="582"/>
      <c r="Z408" s="582"/>
      <c r="AA408" s="582"/>
      <c r="AB408" s="582"/>
      <c r="AC408" s="582"/>
      <c r="AD408" s="582"/>
      <c r="AE408" s="582"/>
      <c r="AF408" s="1069"/>
    </row>
    <row r="409">
      <c r="A409" s="582"/>
      <c r="B409" s="582"/>
      <c r="C409" s="582"/>
      <c r="D409" s="582"/>
      <c r="E409" s="582"/>
      <c r="F409" s="582"/>
      <c r="G409" s="582"/>
      <c r="H409" s="582"/>
      <c r="I409" s="582"/>
      <c r="J409" s="582"/>
      <c r="K409" s="582"/>
      <c r="L409" s="582"/>
      <c r="M409" s="582"/>
      <c r="N409" s="582"/>
      <c r="O409" s="582"/>
      <c r="P409" s="582"/>
      <c r="Q409" s="582"/>
      <c r="R409" s="582"/>
      <c r="S409" s="582"/>
      <c r="T409" s="582"/>
      <c r="U409" s="582"/>
      <c r="V409" s="582"/>
      <c r="W409" s="582"/>
      <c r="X409" s="582"/>
      <c r="Y409" s="582"/>
      <c r="Z409" s="582"/>
      <c r="AA409" s="582"/>
      <c r="AB409" s="582"/>
      <c r="AC409" s="582"/>
      <c r="AD409" s="582"/>
      <c r="AE409" s="582"/>
      <c r="AF409" s="1069"/>
    </row>
    <row r="410">
      <c r="A410" s="582"/>
      <c r="B410" s="582"/>
      <c r="C410" s="582"/>
      <c r="D410" s="582"/>
      <c r="E410" s="582"/>
      <c r="F410" s="582"/>
      <c r="G410" s="582"/>
      <c r="H410" s="582"/>
      <c r="I410" s="582"/>
      <c r="J410" s="582"/>
      <c r="K410" s="582"/>
      <c r="L410" s="582"/>
      <c r="M410" s="582"/>
      <c r="N410" s="582"/>
      <c r="O410" s="582"/>
      <c r="P410" s="582"/>
      <c r="Q410" s="582"/>
      <c r="R410" s="582"/>
      <c r="S410" s="582"/>
      <c r="T410" s="582"/>
      <c r="U410" s="582"/>
      <c r="V410" s="582"/>
      <c r="W410" s="582"/>
      <c r="X410" s="582"/>
      <c r="Y410" s="582"/>
      <c r="Z410" s="582"/>
      <c r="AA410" s="582"/>
      <c r="AB410" s="582"/>
      <c r="AC410" s="582"/>
      <c r="AD410" s="582"/>
      <c r="AE410" s="582"/>
      <c r="AF410" s="1069"/>
    </row>
    <row r="411">
      <c r="A411" s="582"/>
      <c r="B411" s="582"/>
      <c r="C411" s="582"/>
      <c r="D411" s="582"/>
      <c r="E411" s="582"/>
      <c r="F411" s="582"/>
      <c r="G411" s="582"/>
      <c r="H411" s="582"/>
      <c r="I411" s="582"/>
      <c r="J411" s="582"/>
      <c r="K411" s="582"/>
      <c r="L411" s="582"/>
      <c r="M411" s="582"/>
      <c r="N411" s="582"/>
      <c r="O411" s="582"/>
      <c r="P411" s="582"/>
      <c r="Q411" s="582"/>
      <c r="R411" s="582"/>
      <c r="S411" s="582"/>
      <c r="T411" s="582"/>
      <c r="U411" s="582"/>
      <c r="V411" s="582"/>
      <c r="W411" s="582"/>
      <c r="X411" s="582"/>
      <c r="Y411" s="582"/>
      <c r="Z411" s="582"/>
      <c r="AA411" s="582"/>
      <c r="AB411" s="582"/>
      <c r="AC411" s="582"/>
      <c r="AD411" s="582"/>
      <c r="AE411" s="582"/>
      <c r="AF411" s="1069"/>
    </row>
    <row r="412">
      <c r="A412" s="582"/>
      <c r="B412" s="582"/>
      <c r="C412" s="582"/>
      <c r="D412" s="582"/>
      <c r="E412" s="582"/>
      <c r="F412" s="582"/>
      <c r="G412" s="582"/>
      <c r="H412" s="582"/>
      <c r="I412" s="582"/>
      <c r="J412" s="582"/>
      <c r="K412" s="582"/>
      <c r="L412" s="582"/>
      <c r="M412" s="582"/>
      <c r="N412" s="582"/>
      <c r="O412" s="582"/>
      <c r="P412" s="582"/>
      <c r="Q412" s="582"/>
      <c r="R412" s="582"/>
      <c r="S412" s="582"/>
      <c r="T412" s="582"/>
      <c r="U412" s="582"/>
      <c r="V412" s="582"/>
      <c r="W412" s="582"/>
      <c r="X412" s="582"/>
      <c r="Y412" s="582"/>
      <c r="Z412" s="582"/>
      <c r="AA412" s="582"/>
      <c r="AB412" s="582"/>
      <c r="AC412" s="582"/>
      <c r="AD412" s="582"/>
      <c r="AE412" s="582"/>
      <c r="AF412" s="1069"/>
    </row>
    <row r="413">
      <c r="A413" s="582"/>
      <c r="B413" s="582"/>
      <c r="C413" s="582"/>
      <c r="D413" s="582"/>
      <c r="E413" s="582"/>
      <c r="F413" s="582"/>
      <c r="G413" s="582"/>
      <c r="H413" s="582"/>
      <c r="I413" s="582"/>
      <c r="J413" s="582"/>
      <c r="K413" s="582"/>
      <c r="L413" s="582"/>
      <c r="M413" s="582"/>
      <c r="N413" s="582"/>
      <c r="O413" s="582"/>
      <c r="P413" s="582"/>
      <c r="Q413" s="582"/>
      <c r="R413" s="582"/>
      <c r="S413" s="582"/>
      <c r="T413" s="582"/>
      <c r="U413" s="582"/>
      <c r="V413" s="582"/>
      <c r="W413" s="582"/>
      <c r="X413" s="582"/>
      <c r="Y413" s="582"/>
      <c r="Z413" s="582"/>
      <c r="AA413" s="582"/>
      <c r="AB413" s="582"/>
      <c r="AC413" s="582"/>
      <c r="AD413" s="582"/>
      <c r="AE413" s="582"/>
      <c r="AF413" s="1069"/>
    </row>
    <row r="414">
      <c r="A414" s="582"/>
      <c r="B414" s="582"/>
      <c r="C414" s="582"/>
      <c r="D414" s="582"/>
      <c r="E414" s="582"/>
      <c r="F414" s="582"/>
      <c r="G414" s="582"/>
      <c r="H414" s="582"/>
      <c r="I414" s="582"/>
      <c r="J414" s="582"/>
      <c r="K414" s="582"/>
      <c r="L414" s="582"/>
      <c r="M414" s="582"/>
      <c r="N414" s="582"/>
      <c r="O414" s="582"/>
      <c r="P414" s="582"/>
      <c r="Q414" s="582"/>
      <c r="R414" s="582"/>
      <c r="S414" s="582"/>
      <c r="T414" s="582"/>
      <c r="U414" s="582"/>
      <c r="V414" s="582"/>
      <c r="W414" s="582"/>
      <c r="X414" s="582"/>
      <c r="Y414" s="582"/>
      <c r="Z414" s="582"/>
      <c r="AA414" s="582"/>
      <c r="AB414" s="582"/>
      <c r="AC414" s="582"/>
      <c r="AD414" s="582"/>
      <c r="AE414" s="582"/>
      <c r="AF414" s="1069"/>
    </row>
    <row r="415">
      <c r="A415" s="582"/>
      <c r="B415" s="582"/>
      <c r="C415" s="582"/>
      <c r="D415" s="582"/>
      <c r="E415" s="582"/>
      <c r="F415" s="582"/>
      <c r="G415" s="582"/>
      <c r="H415" s="582"/>
      <c r="I415" s="582"/>
      <c r="J415" s="582"/>
      <c r="K415" s="582"/>
      <c r="L415" s="582"/>
      <c r="M415" s="582"/>
      <c r="N415" s="582"/>
      <c r="O415" s="582"/>
      <c r="P415" s="582"/>
      <c r="Q415" s="582"/>
      <c r="R415" s="582"/>
      <c r="S415" s="582"/>
      <c r="T415" s="582"/>
      <c r="U415" s="582"/>
      <c r="V415" s="582"/>
      <c r="W415" s="582"/>
      <c r="X415" s="582"/>
      <c r="Y415" s="582"/>
      <c r="Z415" s="582"/>
      <c r="AA415" s="582"/>
      <c r="AB415" s="582"/>
      <c r="AC415" s="582"/>
      <c r="AD415" s="582"/>
      <c r="AE415" s="582"/>
      <c r="AF415" s="1069"/>
    </row>
    <row r="416">
      <c r="A416" s="582"/>
      <c r="B416" s="582"/>
      <c r="C416" s="582"/>
      <c r="D416" s="582"/>
      <c r="E416" s="582"/>
      <c r="F416" s="582"/>
      <c r="G416" s="582"/>
      <c r="H416" s="582"/>
      <c r="I416" s="582"/>
      <c r="J416" s="582"/>
      <c r="K416" s="582"/>
      <c r="L416" s="582"/>
      <c r="M416" s="582"/>
      <c r="N416" s="582"/>
      <c r="O416" s="582"/>
      <c r="P416" s="582"/>
      <c r="Q416" s="582"/>
      <c r="R416" s="582"/>
      <c r="S416" s="582"/>
      <c r="T416" s="582"/>
      <c r="U416" s="582"/>
      <c r="V416" s="582"/>
      <c r="W416" s="582"/>
      <c r="X416" s="582"/>
      <c r="Y416" s="582"/>
      <c r="Z416" s="582"/>
      <c r="AA416" s="582"/>
      <c r="AB416" s="582"/>
      <c r="AC416" s="582"/>
      <c r="AD416" s="582"/>
      <c r="AE416" s="582"/>
      <c r="AF416" s="1069"/>
    </row>
    <row r="417">
      <c r="A417" s="582"/>
      <c r="B417" s="582"/>
      <c r="C417" s="582"/>
      <c r="D417" s="582"/>
      <c r="E417" s="582"/>
      <c r="F417" s="582"/>
      <c r="G417" s="582"/>
      <c r="H417" s="582"/>
      <c r="I417" s="582"/>
      <c r="J417" s="582"/>
      <c r="K417" s="582"/>
      <c r="L417" s="582"/>
      <c r="M417" s="582"/>
      <c r="N417" s="582"/>
      <c r="O417" s="582"/>
      <c r="P417" s="582"/>
      <c r="Q417" s="582"/>
      <c r="R417" s="582"/>
      <c r="S417" s="582"/>
      <c r="T417" s="582"/>
      <c r="U417" s="582"/>
      <c r="V417" s="582"/>
      <c r="W417" s="582"/>
      <c r="X417" s="582"/>
      <c r="Y417" s="582"/>
      <c r="Z417" s="582"/>
      <c r="AA417" s="582"/>
      <c r="AB417" s="582"/>
      <c r="AC417" s="582"/>
      <c r="AD417" s="582"/>
      <c r="AE417" s="582"/>
      <c r="AF417" s="1069"/>
    </row>
    <row r="418">
      <c r="A418" s="582"/>
      <c r="B418" s="582"/>
      <c r="C418" s="582"/>
      <c r="D418" s="582"/>
      <c r="E418" s="582"/>
      <c r="F418" s="582"/>
      <c r="G418" s="582"/>
      <c r="H418" s="582"/>
      <c r="I418" s="582"/>
      <c r="J418" s="582"/>
      <c r="K418" s="582"/>
      <c r="L418" s="582"/>
      <c r="M418" s="582"/>
      <c r="N418" s="582"/>
      <c r="O418" s="582"/>
      <c r="P418" s="582"/>
      <c r="Q418" s="582"/>
      <c r="R418" s="582"/>
      <c r="S418" s="582"/>
      <c r="T418" s="582"/>
      <c r="U418" s="582"/>
      <c r="V418" s="582"/>
      <c r="W418" s="582"/>
      <c r="X418" s="582"/>
      <c r="Y418" s="582"/>
      <c r="Z418" s="582"/>
      <c r="AA418" s="582"/>
      <c r="AB418" s="582"/>
      <c r="AC418" s="582"/>
      <c r="AD418" s="582"/>
      <c r="AE418" s="582"/>
      <c r="AF418" s="1069"/>
    </row>
    <row r="419">
      <c r="A419" s="582"/>
      <c r="B419" s="582"/>
      <c r="C419" s="582"/>
      <c r="D419" s="582"/>
      <c r="E419" s="582"/>
      <c r="F419" s="582"/>
      <c r="G419" s="582"/>
      <c r="H419" s="582"/>
      <c r="I419" s="582"/>
      <c r="J419" s="582"/>
      <c r="K419" s="582"/>
      <c r="L419" s="582"/>
      <c r="M419" s="582"/>
      <c r="N419" s="582"/>
      <c r="O419" s="582"/>
      <c r="P419" s="582"/>
      <c r="Q419" s="582"/>
      <c r="R419" s="582"/>
      <c r="S419" s="582"/>
      <c r="T419" s="582"/>
      <c r="U419" s="582"/>
      <c r="V419" s="582"/>
      <c r="W419" s="582"/>
      <c r="X419" s="582"/>
      <c r="Y419" s="582"/>
      <c r="Z419" s="582"/>
      <c r="AA419" s="582"/>
      <c r="AB419" s="582"/>
      <c r="AC419" s="582"/>
      <c r="AD419" s="582"/>
      <c r="AE419" s="582"/>
      <c r="AF419" s="1069"/>
    </row>
    <row r="420">
      <c r="A420" s="582"/>
      <c r="B420" s="582"/>
      <c r="C420" s="582"/>
      <c r="D420" s="582"/>
      <c r="E420" s="582"/>
      <c r="F420" s="582"/>
      <c r="G420" s="582"/>
      <c r="H420" s="582"/>
      <c r="I420" s="582"/>
      <c r="J420" s="582"/>
      <c r="K420" s="582"/>
      <c r="L420" s="582"/>
      <c r="M420" s="582"/>
      <c r="N420" s="582"/>
      <c r="O420" s="582"/>
      <c r="P420" s="582"/>
      <c r="Q420" s="582"/>
      <c r="R420" s="582"/>
      <c r="S420" s="582"/>
      <c r="T420" s="582"/>
      <c r="U420" s="582"/>
      <c r="V420" s="582"/>
      <c r="W420" s="582"/>
      <c r="X420" s="582"/>
      <c r="Y420" s="582"/>
      <c r="Z420" s="582"/>
      <c r="AA420" s="582"/>
      <c r="AB420" s="582"/>
      <c r="AC420" s="582"/>
      <c r="AD420" s="582"/>
      <c r="AE420" s="582"/>
      <c r="AF420" s="1069"/>
    </row>
    <row r="421">
      <c r="A421" s="582"/>
      <c r="B421" s="582"/>
      <c r="C421" s="582"/>
      <c r="D421" s="582"/>
      <c r="E421" s="582"/>
      <c r="F421" s="582"/>
      <c r="G421" s="582"/>
      <c r="H421" s="582"/>
      <c r="I421" s="582"/>
      <c r="J421" s="582"/>
      <c r="K421" s="582"/>
      <c r="L421" s="582"/>
      <c r="M421" s="582"/>
      <c r="N421" s="582"/>
      <c r="O421" s="582"/>
      <c r="P421" s="582"/>
      <c r="Q421" s="582"/>
      <c r="R421" s="582"/>
      <c r="S421" s="582"/>
      <c r="T421" s="582"/>
      <c r="U421" s="582"/>
      <c r="V421" s="582"/>
      <c r="W421" s="582"/>
      <c r="X421" s="582"/>
      <c r="Y421" s="582"/>
      <c r="Z421" s="582"/>
      <c r="AA421" s="582"/>
      <c r="AB421" s="582"/>
      <c r="AC421" s="582"/>
      <c r="AD421" s="582"/>
      <c r="AE421" s="582"/>
      <c r="AF421" s="1069"/>
    </row>
    <row r="422">
      <c r="A422" s="582"/>
      <c r="B422" s="582"/>
      <c r="C422" s="582"/>
      <c r="D422" s="582"/>
      <c r="E422" s="582"/>
      <c r="F422" s="582"/>
      <c r="G422" s="582"/>
      <c r="H422" s="582"/>
      <c r="I422" s="582"/>
      <c r="J422" s="582"/>
      <c r="K422" s="582"/>
      <c r="L422" s="582"/>
      <c r="M422" s="582"/>
      <c r="N422" s="582"/>
      <c r="O422" s="582"/>
      <c r="P422" s="582"/>
      <c r="Q422" s="582"/>
      <c r="R422" s="582"/>
      <c r="S422" s="582"/>
      <c r="T422" s="582"/>
      <c r="U422" s="582"/>
      <c r="V422" s="582"/>
      <c r="W422" s="582"/>
      <c r="X422" s="582"/>
      <c r="Y422" s="582"/>
      <c r="Z422" s="582"/>
      <c r="AA422" s="582"/>
      <c r="AB422" s="582"/>
      <c r="AC422" s="582"/>
      <c r="AD422" s="582"/>
      <c r="AE422" s="582"/>
      <c r="AF422" s="1069"/>
    </row>
    <row r="423">
      <c r="A423" s="582"/>
      <c r="B423" s="582"/>
      <c r="C423" s="582"/>
      <c r="D423" s="582"/>
      <c r="E423" s="582"/>
      <c r="F423" s="582"/>
      <c r="G423" s="582"/>
      <c r="H423" s="582"/>
      <c r="I423" s="582"/>
      <c r="J423" s="582"/>
      <c r="K423" s="582"/>
      <c r="L423" s="582"/>
      <c r="M423" s="582"/>
      <c r="N423" s="582"/>
      <c r="O423" s="582"/>
      <c r="P423" s="582"/>
      <c r="Q423" s="582"/>
      <c r="R423" s="582"/>
      <c r="S423" s="582"/>
      <c r="T423" s="582"/>
      <c r="U423" s="582"/>
      <c r="V423" s="582"/>
      <c r="W423" s="582"/>
      <c r="X423" s="582"/>
      <c r="Y423" s="582"/>
      <c r="Z423" s="582"/>
      <c r="AA423" s="582"/>
      <c r="AB423" s="582"/>
      <c r="AC423" s="582"/>
      <c r="AD423" s="582"/>
      <c r="AE423" s="582"/>
      <c r="AF423" s="1069"/>
    </row>
    <row r="424">
      <c r="A424" s="582"/>
      <c r="B424" s="582"/>
      <c r="C424" s="582"/>
      <c r="D424" s="582"/>
      <c r="E424" s="582"/>
      <c r="F424" s="582"/>
      <c r="G424" s="582"/>
      <c r="H424" s="582"/>
      <c r="I424" s="582"/>
      <c r="J424" s="582"/>
      <c r="K424" s="582"/>
      <c r="L424" s="582"/>
      <c r="M424" s="582"/>
      <c r="N424" s="582"/>
      <c r="O424" s="582"/>
      <c r="P424" s="582"/>
      <c r="Q424" s="582"/>
      <c r="R424" s="582"/>
      <c r="S424" s="582"/>
      <c r="T424" s="582"/>
      <c r="U424" s="582"/>
      <c r="V424" s="582"/>
      <c r="W424" s="582"/>
      <c r="X424" s="582"/>
      <c r="Y424" s="582"/>
      <c r="Z424" s="582"/>
      <c r="AA424" s="582"/>
      <c r="AB424" s="582"/>
      <c r="AC424" s="582"/>
      <c r="AD424" s="582"/>
      <c r="AE424" s="582"/>
      <c r="AF424" s="1069"/>
    </row>
    <row r="425">
      <c r="A425" s="582"/>
      <c r="B425" s="582"/>
      <c r="C425" s="582"/>
      <c r="D425" s="582"/>
      <c r="E425" s="582"/>
      <c r="F425" s="582"/>
      <c r="G425" s="582"/>
      <c r="H425" s="582"/>
      <c r="I425" s="582"/>
      <c r="J425" s="582"/>
      <c r="K425" s="582"/>
      <c r="L425" s="582"/>
      <c r="M425" s="582"/>
      <c r="N425" s="582"/>
      <c r="O425" s="582"/>
      <c r="P425" s="582"/>
      <c r="Q425" s="582"/>
      <c r="R425" s="582"/>
      <c r="S425" s="582"/>
      <c r="T425" s="582"/>
      <c r="U425" s="582"/>
      <c r="V425" s="582"/>
      <c r="W425" s="582"/>
      <c r="X425" s="582"/>
      <c r="Y425" s="582"/>
      <c r="Z425" s="582"/>
      <c r="AA425" s="582"/>
      <c r="AB425" s="582"/>
      <c r="AC425" s="582"/>
      <c r="AD425" s="582"/>
      <c r="AE425" s="582"/>
      <c r="AF425" s="1069"/>
    </row>
    <row r="426">
      <c r="A426" s="582"/>
      <c r="B426" s="582"/>
      <c r="C426" s="582"/>
      <c r="D426" s="582"/>
      <c r="E426" s="582"/>
      <c r="F426" s="582"/>
      <c r="G426" s="582"/>
      <c r="H426" s="582"/>
      <c r="I426" s="582"/>
      <c r="J426" s="582"/>
      <c r="K426" s="582"/>
      <c r="L426" s="582"/>
      <c r="M426" s="582"/>
      <c r="N426" s="582"/>
      <c r="O426" s="582"/>
      <c r="P426" s="582"/>
      <c r="Q426" s="582"/>
      <c r="R426" s="582"/>
      <c r="S426" s="582"/>
      <c r="T426" s="582"/>
      <c r="U426" s="582"/>
      <c r="V426" s="582"/>
      <c r="W426" s="582"/>
      <c r="X426" s="582"/>
      <c r="Y426" s="582"/>
      <c r="Z426" s="582"/>
      <c r="AA426" s="582"/>
      <c r="AB426" s="582"/>
      <c r="AC426" s="582"/>
      <c r="AD426" s="582"/>
      <c r="AE426" s="582"/>
      <c r="AF426" s="1069"/>
    </row>
    <row r="427">
      <c r="A427" s="582"/>
      <c r="B427" s="582"/>
      <c r="C427" s="582"/>
      <c r="D427" s="582"/>
      <c r="E427" s="582"/>
      <c r="F427" s="582"/>
      <c r="G427" s="582"/>
      <c r="H427" s="582"/>
      <c r="I427" s="582"/>
      <c r="J427" s="582"/>
      <c r="K427" s="582"/>
      <c r="L427" s="582"/>
      <c r="M427" s="582"/>
      <c r="N427" s="582"/>
      <c r="O427" s="582"/>
      <c r="P427" s="582"/>
      <c r="Q427" s="582"/>
      <c r="R427" s="582"/>
      <c r="S427" s="582"/>
      <c r="T427" s="582"/>
      <c r="U427" s="582"/>
      <c r="V427" s="582"/>
      <c r="W427" s="582"/>
      <c r="X427" s="582"/>
      <c r="Y427" s="582"/>
      <c r="Z427" s="582"/>
      <c r="AA427" s="582"/>
      <c r="AB427" s="582"/>
      <c r="AC427" s="582"/>
      <c r="AD427" s="582"/>
      <c r="AE427" s="582"/>
      <c r="AF427" s="1069"/>
    </row>
    <row r="428">
      <c r="A428" s="582"/>
      <c r="B428" s="582"/>
      <c r="C428" s="582"/>
      <c r="D428" s="582"/>
      <c r="E428" s="582"/>
      <c r="F428" s="582"/>
      <c r="G428" s="582"/>
      <c r="H428" s="582"/>
      <c r="I428" s="582"/>
      <c r="J428" s="582"/>
      <c r="K428" s="582"/>
      <c r="L428" s="582"/>
      <c r="M428" s="582"/>
      <c r="N428" s="582"/>
      <c r="O428" s="582"/>
      <c r="P428" s="582"/>
      <c r="Q428" s="582"/>
      <c r="R428" s="582"/>
      <c r="S428" s="582"/>
      <c r="T428" s="582"/>
      <c r="U428" s="582"/>
      <c r="V428" s="582"/>
      <c r="W428" s="582"/>
      <c r="X428" s="582"/>
      <c r="Y428" s="582"/>
      <c r="Z428" s="582"/>
      <c r="AA428" s="582"/>
      <c r="AB428" s="582"/>
      <c r="AC428" s="582"/>
      <c r="AD428" s="582"/>
      <c r="AE428" s="582"/>
      <c r="AF428" s="1069"/>
    </row>
    <row r="429">
      <c r="A429" s="582"/>
      <c r="B429" s="582"/>
      <c r="C429" s="582"/>
      <c r="D429" s="582"/>
      <c r="E429" s="582"/>
      <c r="F429" s="582"/>
      <c r="G429" s="582"/>
      <c r="H429" s="582"/>
      <c r="I429" s="582"/>
      <c r="J429" s="582"/>
      <c r="K429" s="582"/>
      <c r="L429" s="582"/>
      <c r="M429" s="582"/>
      <c r="N429" s="582"/>
      <c r="O429" s="582"/>
      <c r="P429" s="582"/>
      <c r="Q429" s="582"/>
      <c r="R429" s="582"/>
      <c r="S429" s="582"/>
      <c r="T429" s="582"/>
      <c r="U429" s="582"/>
      <c r="V429" s="582"/>
      <c r="W429" s="582"/>
      <c r="X429" s="582"/>
      <c r="Y429" s="582"/>
      <c r="Z429" s="582"/>
      <c r="AA429" s="582"/>
      <c r="AB429" s="582"/>
      <c r="AC429" s="582"/>
      <c r="AD429" s="582"/>
      <c r="AE429" s="582"/>
      <c r="AF429" s="1069"/>
    </row>
    <row r="430">
      <c r="A430" s="582"/>
      <c r="B430" s="582"/>
      <c r="C430" s="582"/>
      <c r="D430" s="582"/>
      <c r="E430" s="582"/>
      <c r="F430" s="582"/>
      <c r="G430" s="582"/>
      <c r="H430" s="582"/>
      <c r="I430" s="582"/>
      <c r="J430" s="582"/>
      <c r="K430" s="582"/>
      <c r="L430" s="582"/>
      <c r="M430" s="582"/>
      <c r="N430" s="582"/>
      <c r="O430" s="582"/>
      <c r="P430" s="582"/>
      <c r="Q430" s="582"/>
      <c r="R430" s="582"/>
      <c r="S430" s="582"/>
      <c r="T430" s="582"/>
      <c r="U430" s="582"/>
      <c r="V430" s="582"/>
      <c r="W430" s="582"/>
      <c r="X430" s="582"/>
      <c r="Y430" s="582"/>
      <c r="Z430" s="582"/>
      <c r="AA430" s="582"/>
      <c r="AB430" s="582"/>
      <c r="AC430" s="582"/>
      <c r="AD430" s="582"/>
      <c r="AE430" s="582"/>
      <c r="AF430" s="1069"/>
    </row>
    <row r="431">
      <c r="A431" s="582"/>
      <c r="B431" s="582"/>
      <c r="C431" s="582"/>
      <c r="D431" s="582"/>
      <c r="E431" s="582"/>
      <c r="F431" s="582"/>
      <c r="G431" s="582"/>
      <c r="H431" s="582"/>
      <c r="I431" s="582"/>
      <c r="J431" s="582"/>
      <c r="K431" s="582"/>
      <c r="L431" s="582"/>
      <c r="M431" s="582"/>
      <c r="N431" s="582"/>
      <c r="O431" s="582"/>
      <c r="P431" s="582"/>
      <c r="Q431" s="582"/>
      <c r="R431" s="582"/>
      <c r="S431" s="582"/>
      <c r="T431" s="582"/>
      <c r="U431" s="582"/>
      <c r="V431" s="582"/>
      <c r="W431" s="582"/>
      <c r="X431" s="582"/>
      <c r="Y431" s="582"/>
      <c r="Z431" s="582"/>
      <c r="AA431" s="582"/>
      <c r="AB431" s="582"/>
      <c r="AC431" s="582"/>
      <c r="AD431" s="582"/>
      <c r="AE431" s="582"/>
      <c r="AF431" s="1069"/>
    </row>
    <row r="432">
      <c r="A432" s="582"/>
      <c r="B432" s="582"/>
      <c r="C432" s="582"/>
      <c r="D432" s="582"/>
      <c r="E432" s="582"/>
      <c r="F432" s="582"/>
      <c r="G432" s="582"/>
      <c r="H432" s="582"/>
      <c r="I432" s="582"/>
      <c r="J432" s="582"/>
      <c r="K432" s="582"/>
      <c r="L432" s="582"/>
      <c r="M432" s="582"/>
      <c r="N432" s="582"/>
      <c r="O432" s="582"/>
      <c r="P432" s="582"/>
      <c r="Q432" s="582"/>
      <c r="R432" s="582"/>
      <c r="S432" s="582"/>
      <c r="T432" s="582"/>
      <c r="U432" s="582"/>
      <c r="V432" s="582"/>
      <c r="W432" s="582"/>
      <c r="X432" s="582"/>
      <c r="Y432" s="582"/>
      <c r="Z432" s="582"/>
      <c r="AA432" s="582"/>
      <c r="AB432" s="582"/>
      <c r="AC432" s="582"/>
      <c r="AD432" s="582"/>
      <c r="AE432" s="582"/>
      <c r="AF432" s="1069"/>
    </row>
    <row r="433">
      <c r="A433" s="582"/>
      <c r="B433" s="582"/>
      <c r="C433" s="582"/>
      <c r="D433" s="582"/>
      <c r="E433" s="582"/>
      <c r="F433" s="582"/>
      <c r="G433" s="582"/>
      <c r="H433" s="582"/>
      <c r="I433" s="582"/>
      <c r="J433" s="582"/>
      <c r="K433" s="582"/>
      <c r="L433" s="582"/>
      <c r="M433" s="582"/>
      <c r="N433" s="582"/>
      <c r="O433" s="582"/>
      <c r="P433" s="582"/>
      <c r="Q433" s="582"/>
      <c r="R433" s="582"/>
      <c r="S433" s="582"/>
      <c r="T433" s="582"/>
      <c r="U433" s="582"/>
      <c r="V433" s="582"/>
      <c r="W433" s="582"/>
      <c r="X433" s="582"/>
      <c r="Y433" s="582"/>
      <c r="Z433" s="582"/>
      <c r="AA433" s="582"/>
      <c r="AB433" s="582"/>
      <c r="AC433" s="582"/>
      <c r="AD433" s="582"/>
      <c r="AE433" s="582"/>
      <c r="AF433" s="1069"/>
    </row>
    <row r="434">
      <c r="A434" s="582"/>
      <c r="B434" s="582"/>
      <c r="C434" s="582"/>
      <c r="D434" s="582"/>
      <c r="E434" s="582"/>
      <c r="F434" s="582"/>
      <c r="G434" s="582"/>
      <c r="H434" s="582"/>
      <c r="I434" s="582"/>
      <c r="J434" s="582"/>
      <c r="K434" s="582"/>
      <c r="L434" s="582"/>
      <c r="M434" s="582"/>
      <c r="N434" s="582"/>
      <c r="O434" s="582"/>
      <c r="P434" s="582"/>
      <c r="Q434" s="582"/>
      <c r="R434" s="582"/>
      <c r="S434" s="582"/>
      <c r="T434" s="582"/>
      <c r="U434" s="582"/>
      <c r="V434" s="582"/>
      <c r="W434" s="582"/>
      <c r="X434" s="582"/>
      <c r="Y434" s="582"/>
      <c r="Z434" s="582"/>
      <c r="AA434" s="582"/>
      <c r="AB434" s="582"/>
      <c r="AC434" s="582"/>
      <c r="AD434" s="582"/>
      <c r="AE434" s="582"/>
      <c r="AF434" s="1069"/>
    </row>
    <row r="435">
      <c r="A435" s="582"/>
      <c r="B435" s="582"/>
      <c r="C435" s="582"/>
      <c r="D435" s="582"/>
      <c r="E435" s="582"/>
      <c r="F435" s="582"/>
      <c r="G435" s="582"/>
      <c r="H435" s="582"/>
      <c r="I435" s="582"/>
      <c r="J435" s="582"/>
      <c r="K435" s="582"/>
      <c r="L435" s="582"/>
      <c r="M435" s="582"/>
      <c r="N435" s="582"/>
      <c r="O435" s="582"/>
      <c r="P435" s="582"/>
      <c r="Q435" s="582"/>
      <c r="R435" s="582"/>
      <c r="S435" s="582"/>
      <c r="T435" s="582"/>
      <c r="U435" s="582"/>
      <c r="V435" s="582"/>
      <c r="W435" s="582"/>
      <c r="X435" s="582"/>
      <c r="Y435" s="582"/>
      <c r="Z435" s="582"/>
      <c r="AA435" s="582"/>
      <c r="AB435" s="582"/>
      <c r="AC435" s="582"/>
      <c r="AD435" s="582"/>
      <c r="AE435" s="582"/>
      <c r="AF435" s="1069"/>
    </row>
    <row r="436">
      <c r="A436" s="582"/>
      <c r="B436" s="582"/>
      <c r="C436" s="582"/>
      <c r="D436" s="582"/>
      <c r="E436" s="582"/>
      <c r="F436" s="582"/>
      <c r="G436" s="582"/>
      <c r="H436" s="582"/>
      <c r="I436" s="582"/>
      <c r="J436" s="582"/>
      <c r="K436" s="582"/>
      <c r="L436" s="582"/>
      <c r="M436" s="582"/>
      <c r="N436" s="582"/>
      <c r="O436" s="582"/>
      <c r="P436" s="582"/>
      <c r="Q436" s="582"/>
      <c r="R436" s="582"/>
      <c r="S436" s="582"/>
      <c r="T436" s="582"/>
      <c r="U436" s="582"/>
      <c r="V436" s="582"/>
      <c r="W436" s="582"/>
      <c r="X436" s="582"/>
      <c r="Y436" s="582"/>
      <c r="Z436" s="582"/>
      <c r="AA436" s="582"/>
      <c r="AB436" s="582"/>
      <c r="AC436" s="582"/>
      <c r="AD436" s="582"/>
      <c r="AE436" s="582"/>
      <c r="AF436" s="1069"/>
    </row>
    <row r="437">
      <c r="A437" s="582"/>
      <c r="B437" s="582"/>
      <c r="C437" s="582"/>
      <c r="D437" s="582"/>
      <c r="E437" s="582"/>
      <c r="F437" s="582"/>
      <c r="G437" s="582"/>
      <c r="H437" s="582"/>
      <c r="I437" s="582"/>
      <c r="J437" s="582"/>
      <c r="K437" s="582"/>
      <c r="L437" s="582"/>
      <c r="M437" s="582"/>
      <c r="N437" s="582"/>
      <c r="O437" s="582"/>
      <c r="P437" s="582"/>
      <c r="Q437" s="582"/>
      <c r="R437" s="582"/>
      <c r="S437" s="582"/>
      <c r="T437" s="582"/>
      <c r="U437" s="582"/>
      <c r="V437" s="582"/>
      <c r="W437" s="582"/>
      <c r="X437" s="582"/>
      <c r="Y437" s="582"/>
      <c r="Z437" s="582"/>
      <c r="AA437" s="582"/>
      <c r="AB437" s="582"/>
      <c r="AC437" s="582"/>
      <c r="AD437" s="582"/>
      <c r="AE437" s="582"/>
      <c r="AF437" s="1069"/>
    </row>
    <row r="438">
      <c r="A438" s="582"/>
      <c r="B438" s="582"/>
      <c r="C438" s="582"/>
      <c r="D438" s="582"/>
      <c r="E438" s="582"/>
      <c r="F438" s="582"/>
      <c r="G438" s="582"/>
      <c r="H438" s="582"/>
      <c r="I438" s="582"/>
      <c r="J438" s="582"/>
      <c r="K438" s="582"/>
      <c r="L438" s="582"/>
      <c r="M438" s="582"/>
      <c r="N438" s="582"/>
      <c r="O438" s="582"/>
      <c r="P438" s="582"/>
      <c r="Q438" s="582"/>
      <c r="R438" s="582"/>
      <c r="S438" s="582"/>
      <c r="T438" s="582"/>
      <c r="U438" s="582"/>
      <c r="V438" s="582"/>
      <c r="W438" s="582"/>
      <c r="X438" s="582"/>
      <c r="Y438" s="582"/>
      <c r="Z438" s="582"/>
      <c r="AA438" s="582"/>
      <c r="AB438" s="582"/>
      <c r="AC438" s="582"/>
      <c r="AD438" s="582"/>
      <c r="AE438" s="582"/>
      <c r="AF438" s="1069"/>
    </row>
    <row r="439">
      <c r="A439" s="582"/>
      <c r="B439" s="582"/>
      <c r="C439" s="582"/>
      <c r="D439" s="582"/>
      <c r="E439" s="582"/>
      <c r="F439" s="582"/>
      <c r="G439" s="582"/>
      <c r="H439" s="582"/>
      <c r="I439" s="582"/>
      <c r="J439" s="582"/>
      <c r="K439" s="582"/>
      <c r="L439" s="582"/>
      <c r="M439" s="582"/>
      <c r="N439" s="582"/>
      <c r="O439" s="582"/>
      <c r="P439" s="582"/>
      <c r="Q439" s="582"/>
      <c r="R439" s="582"/>
      <c r="S439" s="582"/>
      <c r="T439" s="582"/>
      <c r="U439" s="582"/>
      <c r="V439" s="582"/>
      <c r="W439" s="582"/>
      <c r="X439" s="582"/>
      <c r="Y439" s="582"/>
      <c r="Z439" s="582"/>
      <c r="AA439" s="582"/>
      <c r="AB439" s="582"/>
      <c r="AC439" s="582"/>
      <c r="AD439" s="582"/>
      <c r="AE439" s="582"/>
      <c r="AF439" s="1069"/>
    </row>
    <row r="440">
      <c r="A440" s="582"/>
      <c r="B440" s="582"/>
      <c r="C440" s="582"/>
      <c r="D440" s="582"/>
      <c r="E440" s="582"/>
      <c r="F440" s="582"/>
      <c r="G440" s="582"/>
      <c r="H440" s="582"/>
      <c r="I440" s="582"/>
      <c r="J440" s="582"/>
      <c r="K440" s="582"/>
      <c r="L440" s="582"/>
      <c r="M440" s="582"/>
      <c r="N440" s="582"/>
      <c r="O440" s="582"/>
      <c r="P440" s="582"/>
      <c r="Q440" s="582"/>
      <c r="R440" s="582"/>
      <c r="S440" s="582"/>
      <c r="T440" s="582"/>
      <c r="U440" s="582"/>
      <c r="V440" s="582"/>
      <c r="W440" s="582"/>
      <c r="X440" s="582"/>
      <c r="Y440" s="582"/>
      <c r="Z440" s="582"/>
      <c r="AA440" s="582"/>
      <c r="AB440" s="582"/>
      <c r="AC440" s="582"/>
      <c r="AD440" s="582"/>
      <c r="AE440" s="582"/>
      <c r="AF440" s="1069"/>
    </row>
    <row r="441">
      <c r="A441" s="582"/>
      <c r="B441" s="582"/>
      <c r="C441" s="582"/>
      <c r="D441" s="582"/>
      <c r="E441" s="582"/>
      <c r="F441" s="582"/>
      <c r="G441" s="582"/>
      <c r="H441" s="582"/>
      <c r="I441" s="582"/>
      <c r="J441" s="582"/>
      <c r="K441" s="582"/>
      <c r="L441" s="582"/>
      <c r="M441" s="582"/>
      <c r="N441" s="582"/>
      <c r="O441" s="582"/>
      <c r="P441" s="582"/>
      <c r="Q441" s="582"/>
      <c r="R441" s="582"/>
      <c r="S441" s="582"/>
      <c r="T441" s="582"/>
      <c r="U441" s="582"/>
      <c r="V441" s="582"/>
      <c r="W441" s="582"/>
      <c r="X441" s="582"/>
      <c r="Y441" s="582"/>
      <c r="Z441" s="582"/>
      <c r="AA441" s="582"/>
      <c r="AB441" s="582"/>
      <c r="AC441" s="582"/>
      <c r="AD441" s="582"/>
      <c r="AE441" s="582"/>
      <c r="AF441" s="1069"/>
    </row>
    <row r="442">
      <c r="A442" s="582"/>
      <c r="B442" s="582"/>
      <c r="C442" s="582"/>
      <c r="D442" s="582"/>
      <c r="E442" s="582"/>
      <c r="F442" s="582"/>
      <c r="G442" s="582"/>
      <c r="H442" s="582"/>
      <c r="I442" s="582"/>
      <c r="J442" s="582"/>
      <c r="K442" s="582"/>
      <c r="L442" s="582"/>
      <c r="M442" s="582"/>
      <c r="N442" s="582"/>
      <c r="O442" s="582"/>
      <c r="P442" s="582"/>
      <c r="Q442" s="582"/>
      <c r="R442" s="582"/>
      <c r="S442" s="582"/>
      <c r="T442" s="582"/>
      <c r="U442" s="582"/>
      <c r="V442" s="582"/>
      <c r="W442" s="582"/>
      <c r="X442" s="582"/>
      <c r="Y442" s="582"/>
      <c r="Z442" s="582"/>
      <c r="AA442" s="582"/>
      <c r="AB442" s="582"/>
      <c r="AC442" s="582"/>
      <c r="AD442" s="582"/>
      <c r="AE442" s="582"/>
      <c r="AF442" s="1069"/>
    </row>
    <row r="443">
      <c r="A443" s="582"/>
      <c r="B443" s="582"/>
      <c r="C443" s="582"/>
      <c r="D443" s="582"/>
      <c r="E443" s="582"/>
      <c r="F443" s="582"/>
      <c r="G443" s="582"/>
      <c r="H443" s="582"/>
      <c r="I443" s="582"/>
      <c r="J443" s="582"/>
      <c r="K443" s="582"/>
      <c r="L443" s="582"/>
      <c r="M443" s="582"/>
      <c r="N443" s="582"/>
      <c r="O443" s="582"/>
      <c r="P443" s="582"/>
      <c r="Q443" s="582"/>
      <c r="R443" s="582"/>
      <c r="S443" s="582"/>
      <c r="T443" s="582"/>
      <c r="U443" s="582"/>
      <c r="V443" s="582"/>
      <c r="W443" s="582"/>
      <c r="X443" s="582"/>
      <c r="Y443" s="582"/>
      <c r="Z443" s="582"/>
      <c r="AA443" s="582"/>
      <c r="AB443" s="582"/>
      <c r="AC443" s="582"/>
      <c r="AD443" s="582"/>
      <c r="AE443" s="582"/>
      <c r="AF443" s="1069"/>
    </row>
    <row r="444">
      <c r="A444" s="582"/>
      <c r="B444" s="582"/>
      <c r="C444" s="582"/>
      <c r="D444" s="582"/>
      <c r="E444" s="582"/>
      <c r="F444" s="582"/>
      <c r="G444" s="582"/>
      <c r="H444" s="582"/>
      <c r="I444" s="582"/>
      <c r="J444" s="582"/>
      <c r="K444" s="582"/>
      <c r="L444" s="582"/>
      <c r="M444" s="582"/>
      <c r="N444" s="582"/>
      <c r="O444" s="582"/>
      <c r="P444" s="582"/>
      <c r="Q444" s="582"/>
      <c r="R444" s="582"/>
      <c r="S444" s="582"/>
      <c r="T444" s="582"/>
      <c r="U444" s="582"/>
      <c r="V444" s="582"/>
      <c r="W444" s="582"/>
      <c r="X444" s="582"/>
      <c r="Y444" s="582"/>
      <c r="Z444" s="582"/>
      <c r="AA444" s="582"/>
      <c r="AB444" s="582"/>
      <c r="AC444" s="582"/>
      <c r="AD444" s="582"/>
      <c r="AE444" s="582"/>
      <c r="AF444" s="1069"/>
    </row>
    <row r="445">
      <c r="A445" s="582"/>
      <c r="B445" s="582"/>
      <c r="C445" s="582"/>
      <c r="D445" s="582"/>
      <c r="E445" s="582"/>
      <c r="F445" s="582"/>
      <c r="G445" s="582"/>
      <c r="H445" s="582"/>
      <c r="I445" s="582"/>
      <c r="J445" s="582"/>
      <c r="K445" s="582"/>
      <c r="L445" s="582"/>
      <c r="M445" s="582"/>
      <c r="N445" s="582"/>
      <c r="O445" s="582"/>
      <c r="P445" s="582"/>
      <c r="Q445" s="582"/>
      <c r="R445" s="582"/>
      <c r="S445" s="582"/>
      <c r="T445" s="582"/>
      <c r="U445" s="582"/>
      <c r="V445" s="582"/>
      <c r="W445" s="582"/>
      <c r="X445" s="582"/>
      <c r="Y445" s="582"/>
      <c r="Z445" s="582"/>
      <c r="AA445" s="582"/>
      <c r="AB445" s="582"/>
      <c r="AC445" s="582"/>
      <c r="AD445" s="582"/>
      <c r="AE445" s="582"/>
      <c r="AF445" s="1069"/>
    </row>
    <row r="446">
      <c r="A446" s="582"/>
      <c r="B446" s="582"/>
      <c r="C446" s="582"/>
      <c r="D446" s="582"/>
      <c r="E446" s="582"/>
      <c r="F446" s="582"/>
      <c r="G446" s="582"/>
      <c r="H446" s="582"/>
      <c r="I446" s="582"/>
      <c r="J446" s="582"/>
      <c r="K446" s="582"/>
      <c r="L446" s="582"/>
      <c r="M446" s="582"/>
      <c r="N446" s="582"/>
      <c r="O446" s="582"/>
      <c r="P446" s="582"/>
      <c r="Q446" s="582"/>
      <c r="R446" s="582"/>
      <c r="S446" s="582"/>
      <c r="T446" s="582"/>
      <c r="U446" s="582"/>
      <c r="V446" s="582"/>
      <c r="W446" s="582"/>
      <c r="X446" s="582"/>
      <c r="Y446" s="582"/>
      <c r="Z446" s="582"/>
      <c r="AA446" s="582"/>
      <c r="AB446" s="582"/>
      <c r="AC446" s="582"/>
      <c r="AD446" s="582"/>
      <c r="AE446" s="582"/>
      <c r="AF446" s="1069"/>
    </row>
    <row r="447">
      <c r="A447" s="582"/>
      <c r="B447" s="582"/>
      <c r="C447" s="582"/>
      <c r="D447" s="582"/>
      <c r="E447" s="582"/>
      <c r="F447" s="582"/>
      <c r="G447" s="582"/>
      <c r="H447" s="582"/>
      <c r="I447" s="582"/>
      <c r="J447" s="582"/>
      <c r="K447" s="582"/>
      <c r="L447" s="582"/>
      <c r="M447" s="582"/>
      <c r="N447" s="582"/>
      <c r="O447" s="582"/>
      <c r="P447" s="582"/>
      <c r="Q447" s="582"/>
      <c r="R447" s="582"/>
      <c r="S447" s="582"/>
      <c r="T447" s="582"/>
      <c r="U447" s="582"/>
      <c r="V447" s="582"/>
      <c r="W447" s="582"/>
      <c r="X447" s="582"/>
      <c r="Y447" s="582"/>
      <c r="Z447" s="582"/>
      <c r="AA447" s="582"/>
      <c r="AB447" s="582"/>
      <c r="AC447" s="582"/>
      <c r="AD447" s="582"/>
      <c r="AE447" s="582"/>
      <c r="AF447" s="1069"/>
    </row>
    <row r="448">
      <c r="A448" s="582"/>
      <c r="B448" s="582"/>
      <c r="C448" s="582"/>
      <c r="D448" s="582"/>
      <c r="E448" s="582"/>
      <c r="F448" s="582"/>
      <c r="G448" s="582"/>
      <c r="H448" s="582"/>
      <c r="I448" s="582"/>
      <c r="J448" s="582"/>
      <c r="K448" s="582"/>
      <c r="L448" s="582"/>
      <c r="M448" s="582"/>
      <c r="N448" s="582"/>
      <c r="O448" s="582"/>
      <c r="P448" s="582"/>
      <c r="Q448" s="582"/>
      <c r="R448" s="582"/>
      <c r="S448" s="582"/>
      <c r="T448" s="582"/>
      <c r="U448" s="582"/>
      <c r="V448" s="582"/>
      <c r="W448" s="582"/>
      <c r="X448" s="582"/>
      <c r="Y448" s="582"/>
      <c r="Z448" s="582"/>
      <c r="AA448" s="582"/>
      <c r="AB448" s="582"/>
      <c r="AC448" s="582"/>
      <c r="AD448" s="582"/>
      <c r="AE448" s="582"/>
      <c r="AF448" s="1069"/>
    </row>
    <row r="449">
      <c r="A449" s="582"/>
      <c r="B449" s="582"/>
      <c r="C449" s="582"/>
      <c r="D449" s="582"/>
      <c r="E449" s="582"/>
      <c r="F449" s="582"/>
      <c r="G449" s="582"/>
      <c r="H449" s="582"/>
      <c r="I449" s="582"/>
      <c r="J449" s="582"/>
      <c r="K449" s="582"/>
      <c r="L449" s="582"/>
      <c r="M449" s="582"/>
      <c r="N449" s="582"/>
      <c r="O449" s="582"/>
      <c r="P449" s="582"/>
      <c r="Q449" s="582"/>
      <c r="R449" s="582"/>
      <c r="S449" s="582"/>
      <c r="T449" s="582"/>
      <c r="U449" s="582"/>
      <c r="V449" s="582"/>
      <c r="W449" s="582"/>
      <c r="X449" s="582"/>
      <c r="Y449" s="582"/>
      <c r="Z449" s="582"/>
      <c r="AA449" s="582"/>
      <c r="AB449" s="582"/>
      <c r="AC449" s="582"/>
      <c r="AD449" s="582"/>
      <c r="AE449" s="582"/>
      <c r="AF449" s="1069"/>
    </row>
    <row r="450">
      <c r="A450" s="582"/>
      <c r="B450" s="582"/>
      <c r="C450" s="582"/>
      <c r="D450" s="582"/>
      <c r="E450" s="582"/>
      <c r="F450" s="582"/>
      <c r="G450" s="582"/>
      <c r="H450" s="582"/>
      <c r="I450" s="582"/>
      <c r="J450" s="582"/>
      <c r="K450" s="582"/>
      <c r="L450" s="582"/>
      <c r="M450" s="582"/>
      <c r="N450" s="582"/>
      <c r="O450" s="582"/>
      <c r="P450" s="582"/>
      <c r="Q450" s="582"/>
      <c r="R450" s="582"/>
      <c r="S450" s="582"/>
      <c r="T450" s="582"/>
      <c r="U450" s="582"/>
      <c r="V450" s="582"/>
      <c r="W450" s="582"/>
      <c r="X450" s="582"/>
      <c r="Y450" s="582"/>
      <c r="Z450" s="582"/>
      <c r="AA450" s="582"/>
      <c r="AB450" s="582"/>
      <c r="AC450" s="582"/>
      <c r="AD450" s="582"/>
      <c r="AE450" s="582"/>
      <c r="AF450" s="1069"/>
    </row>
    <row r="451">
      <c r="A451" s="582"/>
      <c r="B451" s="582"/>
      <c r="C451" s="582"/>
      <c r="D451" s="582"/>
      <c r="E451" s="582"/>
      <c r="F451" s="582"/>
      <c r="G451" s="582"/>
      <c r="H451" s="582"/>
      <c r="I451" s="582"/>
      <c r="J451" s="582"/>
      <c r="K451" s="582"/>
      <c r="L451" s="582"/>
      <c r="M451" s="582"/>
      <c r="N451" s="582"/>
      <c r="O451" s="582"/>
      <c r="P451" s="582"/>
      <c r="Q451" s="582"/>
      <c r="R451" s="582"/>
      <c r="S451" s="582"/>
      <c r="T451" s="582"/>
      <c r="U451" s="582"/>
      <c r="V451" s="582"/>
      <c r="W451" s="582"/>
      <c r="X451" s="582"/>
      <c r="Y451" s="582"/>
      <c r="Z451" s="582"/>
      <c r="AA451" s="582"/>
      <c r="AB451" s="582"/>
      <c r="AC451" s="582"/>
      <c r="AD451" s="582"/>
      <c r="AE451" s="582"/>
      <c r="AF451" s="1069"/>
    </row>
    <row r="452">
      <c r="A452" s="582"/>
      <c r="B452" s="582"/>
      <c r="C452" s="582"/>
      <c r="D452" s="582"/>
      <c r="E452" s="582"/>
      <c r="F452" s="582"/>
      <c r="G452" s="582"/>
      <c r="H452" s="582"/>
      <c r="I452" s="582"/>
      <c r="J452" s="582"/>
      <c r="K452" s="582"/>
      <c r="L452" s="582"/>
      <c r="M452" s="582"/>
      <c r="N452" s="582"/>
      <c r="O452" s="582"/>
      <c r="P452" s="582"/>
      <c r="Q452" s="582"/>
      <c r="R452" s="582"/>
      <c r="S452" s="582"/>
      <c r="T452" s="582"/>
      <c r="U452" s="582"/>
      <c r="V452" s="582"/>
      <c r="W452" s="582"/>
      <c r="X452" s="582"/>
      <c r="Y452" s="582"/>
      <c r="Z452" s="582"/>
      <c r="AA452" s="582"/>
      <c r="AB452" s="582"/>
      <c r="AC452" s="582"/>
      <c r="AD452" s="582"/>
      <c r="AE452" s="582"/>
      <c r="AF452" s="1069"/>
    </row>
    <row r="453">
      <c r="A453" s="582"/>
      <c r="B453" s="582"/>
      <c r="C453" s="582"/>
      <c r="D453" s="582"/>
      <c r="E453" s="582"/>
      <c r="F453" s="582"/>
      <c r="G453" s="582"/>
      <c r="H453" s="582"/>
      <c r="I453" s="582"/>
      <c r="J453" s="582"/>
      <c r="K453" s="582"/>
      <c r="L453" s="582"/>
      <c r="M453" s="582"/>
      <c r="N453" s="582"/>
      <c r="O453" s="582"/>
      <c r="P453" s="582"/>
      <c r="Q453" s="582"/>
      <c r="R453" s="582"/>
      <c r="S453" s="582"/>
      <c r="T453" s="582"/>
      <c r="U453" s="582"/>
      <c r="V453" s="582"/>
      <c r="W453" s="582"/>
      <c r="X453" s="582"/>
      <c r="Y453" s="582"/>
      <c r="Z453" s="582"/>
      <c r="AA453" s="582"/>
      <c r="AB453" s="582"/>
      <c r="AC453" s="582"/>
      <c r="AD453" s="582"/>
      <c r="AE453" s="582"/>
      <c r="AF453" s="1069"/>
    </row>
    <row r="454">
      <c r="A454" s="582"/>
      <c r="B454" s="582"/>
      <c r="C454" s="582"/>
      <c r="D454" s="582"/>
      <c r="E454" s="582"/>
      <c r="F454" s="582"/>
      <c r="G454" s="582"/>
      <c r="H454" s="582"/>
      <c r="I454" s="582"/>
      <c r="J454" s="582"/>
      <c r="K454" s="582"/>
      <c r="L454" s="582"/>
      <c r="M454" s="582"/>
      <c r="N454" s="582"/>
      <c r="O454" s="582"/>
      <c r="P454" s="582"/>
      <c r="Q454" s="582"/>
      <c r="R454" s="582"/>
      <c r="S454" s="582"/>
      <c r="T454" s="582"/>
      <c r="U454" s="582"/>
      <c r="V454" s="582"/>
      <c r="W454" s="582"/>
      <c r="X454" s="582"/>
      <c r="Y454" s="582"/>
      <c r="Z454" s="582"/>
      <c r="AA454" s="582"/>
      <c r="AB454" s="582"/>
      <c r="AC454" s="582"/>
      <c r="AD454" s="582"/>
      <c r="AE454" s="582"/>
      <c r="AF454" s="1069"/>
    </row>
    <row r="455">
      <c r="A455" s="582"/>
      <c r="B455" s="582"/>
      <c r="C455" s="582"/>
      <c r="D455" s="582"/>
      <c r="E455" s="582"/>
      <c r="F455" s="582"/>
      <c r="G455" s="582"/>
      <c r="H455" s="582"/>
      <c r="I455" s="582"/>
      <c r="J455" s="582"/>
      <c r="K455" s="582"/>
      <c r="L455" s="582"/>
      <c r="M455" s="582"/>
      <c r="N455" s="582"/>
      <c r="O455" s="582"/>
      <c r="P455" s="582"/>
      <c r="Q455" s="582"/>
      <c r="R455" s="582"/>
      <c r="S455" s="582"/>
      <c r="T455" s="582"/>
      <c r="U455" s="582"/>
      <c r="V455" s="582"/>
      <c r="W455" s="582"/>
      <c r="X455" s="582"/>
      <c r="Y455" s="582"/>
      <c r="Z455" s="582"/>
      <c r="AA455" s="582"/>
      <c r="AB455" s="582"/>
      <c r="AC455" s="582"/>
      <c r="AD455" s="582"/>
      <c r="AE455" s="582"/>
      <c r="AF455" s="1069"/>
    </row>
    <row r="456">
      <c r="A456" s="582"/>
      <c r="B456" s="582"/>
      <c r="C456" s="582"/>
      <c r="D456" s="582"/>
      <c r="E456" s="582"/>
      <c r="F456" s="582"/>
      <c r="G456" s="582"/>
      <c r="H456" s="582"/>
      <c r="I456" s="582"/>
      <c r="J456" s="582"/>
      <c r="K456" s="582"/>
      <c r="L456" s="582"/>
      <c r="M456" s="582"/>
      <c r="N456" s="582"/>
      <c r="O456" s="582"/>
      <c r="P456" s="582"/>
      <c r="Q456" s="582"/>
      <c r="R456" s="582"/>
      <c r="S456" s="582"/>
      <c r="T456" s="582"/>
      <c r="U456" s="582"/>
      <c r="V456" s="582"/>
      <c r="W456" s="582"/>
      <c r="X456" s="582"/>
      <c r="Y456" s="582"/>
      <c r="Z456" s="582"/>
      <c r="AA456" s="582"/>
      <c r="AB456" s="582"/>
      <c r="AC456" s="582"/>
      <c r="AD456" s="582"/>
      <c r="AE456" s="582"/>
      <c r="AF456" s="1069"/>
    </row>
    <row r="457">
      <c r="A457" s="582"/>
      <c r="B457" s="582"/>
      <c r="C457" s="582"/>
      <c r="D457" s="582"/>
      <c r="E457" s="582"/>
      <c r="F457" s="582"/>
      <c r="G457" s="582"/>
      <c r="H457" s="582"/>
      <c r="I457" s="582"/>
      <c r="J457" s="582"/>
      <c r="K457" s="582"/>
      <c r="L457" s="582"/>
      <c r="M457" s="582"/>
      <c r="N457" s="582"/>
      <c r="O457" s="582"/>
      <c r="P457" s="582"/>
      <c r="Q457" s="582"/>
      <c r="R457" s="582"/>
      <c r="S457" s="582"/>
      <c r="T457" s="582"/>
      <c r="U457" s="582"/>
      <c r="V457" s="582"/>
      <c r="W457" s="582"/>
      <c r="X457" s="582"/>
      <c r="Y457" s="582"/>
      <c r="Z457" s="582"/>
      <c r="AA457" s="582"/>
      <c r="AB457" s="582"/>
      <c r="AC457" s="582"/>
      <c r="AD457" s="582"/>
      <c r="AE457" s="582"/>
      <c r="AF457" s="1069"/>
    </row>
    <row r="458">
      <c r="A458" s="582"/>
      <c r="B458" s="582"/>
      <c r="C458" s="582"/>
      <c r="D458" s="582"/>
      <c r="E458" s="582"/>
      <c r="F458" s="582"/>
      <c r="G458" s="582"/>
      <c r="H458" s="582"/>
      <c r="I458" s="582"/>
      <c r="J458" s="582"/>
      <c r="K458" s="582"/>
      <c r="L458" s="582"/>
      <c r="M458" s="582"/>
      <c r="N458" s="582"/>
      <c r="O458" s="582"/>
      <c r="P458" s="582"/>
      <c r="Q458" s="582"/>
      <c r="R458" s="582"/>
      <c r="S458" s="582"/>
      <c r="T458" s="582"/>
      <c r="U458" s="582"/>
      <c r="V458" s="582"/>
      <c r="W458" s="582"/>
      <c r="X458" s="582"/>
      <c r="Y458" s="582"/>
      <c r="Z458" s="582"/>
      <c r="AA458" s="582"/>
      <c r="AB458" s="582"/>
      <c r="AC458" s="582"/>
      <c r="AD458" s="582"/>
      <c r="AE458" s="582"/>
      <c r="AF458" s="1069"/>
    </row>
    <row r="459">
      <c r="A459" s="582"/>
      <c r="B459" s="582"/>
      <c r="C459" s="582"/>
      <c r="D459" s="582"/>
      <c r="E459" s="582"/>
      <c r="F459" s="582"/>
      <c r="G459" s="582"/>
      <c r="H459" s="582"/>
      <c r="I459" s="582"/>
      <c r="J459" s="582"/>
      <c r="K459" s="582"/>
      <c r="L459" s="582"/>
      <c r="M459" s="582"/>
      <c r="N459" s="582"/>
      <c r="O459" s="582"/>
      <c r="P459" s="582"/>
      <c r="Q459" s="582"/>
      <c r="R459" s="582"/>
      <c r="S459" s="582"/>
      <c r="T459" s="582"/>
      <c r="U459" s="582"/>
      <c r="V459" s="582"/>
      <c r="W459" s="582"/>
      <c r="X459" s="582"/>
      <c r="Y459" s="582"/>
      <c r="Z459" s="582"/>
      <c r="AA459" s="582"/>
      <c r="AB459" s="582"/>
      <c r="AC459" s="582"/>
      <c r="AD459" s="582"/>
      <c r="AE459" s="582"/>
      <c r="AF459" s="1069"/>
    </row>
    <row r="460">
      <c r="A460" s="582"/>
      <c r="B460" s="582"/>
      <c r="C460" s="582"/>
      <c r="D460" s="582"/>
      <c r="E460" s="582"/>
      <c r="F460" s="582"/>
      <c r="G460" s="582"/>
      <c r="H460" s="582"/>
      <c r="I460" s="582"/>
      <c r="J460" s="582"/>
      <c r="K460" s="582"/>
      <c r="L460" s="582"/>
      <c r="M460" s="582"/>
      <c r="N460" s="582"/>
      <c r="O460" s="582"/>
      <c r="P460" s="582"/>
      <c r="Q460" s="582"/>
      <c r="R460" s="582"/>
      <c r="S460" s="582"/>
      <c r="T460" s="582"/>
      <c r="U460" s="582"/>
      <c r="V460" s="582"/>
      <c r="W460" s="582"/>
      <c r="X460" s="582"/>
      <c r="Y460" s="582"/>
      <c r="Z460" s="582"/>
      <c r="AA460" s="582"/>
      <c r="AB460" s="582"/>
      <c r="AC460" s="582"/>
      <c r="AD460" s="582"/>
      <c r="AE460" s="582"/>
      <c r="AF460" s="1069"/>
    </row>
    <row r="461">
      <c r="A461" s="582"/>
      <c r="B461" s="582"/>
      <c r="C461" s="582"/>
      <c r="D461" s="582"/>
      <c r="E461" s="582"/>
      <c r="F461" s="582"/>
      <c r="G461" s="582"/>
      <c r="H461" s="582"/>
      <c r="I461" s="582"/>
      <c r="J461" s="582"/>
      <c r="K461" s="582"/>
      <c r="L461" s="582"/>
      <c r="M461" s="582"/>
      <c r="N461" s="582"/>
      <c r="O461" s="582"/>
      <c r="P461" s="582"/>
      <c r="Q461" s="582"/>
      <c r="R461" s="582"/>
      <c r="S461" s="582"/>
      <c r="T461" s="582"/>
      <c r="U461" s="582"/>
      <c r="V461" s="582"/>
      <c r="W461" s="582"/>
      <c r="X461" s="582"/>
      <c r="Y461" s="582"/>
      <c r="Z461" s="582"/>
      <c r="AA461" s="582"/>
      <c r="AB461" s="582"/>
      <c r="AC461" s="582"/>
      <c r="AD461" s="582"/>
      <c r="AE461" s="582"/>
      <c r="AF461" s="1069"/>
    </row>
    <row r="462">
      <c r="A462" s="582"/>
      <c r="B462" s="582"/>
      <c r="C462" s="582"/>
      <c r="D462" s="582"/>
      <c r="E462" s="582"/>
      <c r="F462" s="582"/>
      <c r="G462" s="582"/>
      <c r="H462" s="582"/>
      <c r="I462" s="582"/>
      <c r="J462" s="582"/>
      <c r="K462" s="582"/>
      <c r="L462" s="582"/>
      <c r="M462" s="582"/>
      <c r="N462" s="582"/>
      <c r="O462" s="582"/>
      <c r="P462" s="582"/>
      <c r="Q462" s="582"/>
      <c r="R462" s="582"/>
      <c r="S462" s="582"/>
      <c r="T462" s="582"/>
      <c r="U462" s="582"/>
      <c r="V462" s="582"/>
      <c r="W462" s="582"/>
      <c r="X462" s="582"/>
      <c r="Y462" s="582"/>
      <c r="Z462" s="582"/>
      <c r="AA462" s="582"/>
      <c r="AB462" s="582"/>
      <c r="AC462" s="582"/>
      <c r="AD462" s="582"/>
      <c r="AE462" s="582"/>
      <c r="AF462" s="1069"/>
    </row>
    <row r="463">
      <c r="A463" s="582"/>
      <c r="B463" s="582"/>
      <c r="C463" s="582"/>
      <c r="D463" s="582"/>
      <c r="E463" s="582"/>
      <c r="F463" s="582"/>
      <c r="G463" s="582"/>
      <c r="H463" s="582"/>
      <c r="I463" s="582"/>
      <c r="J463" s="582"/>
      <c r="K463" s="582"/>
      <c r="L463" s="582"/>
      <c r="M463" s="582"/>
      <c r="N463" s="582"/>
      <c r="O463" s="582"/>
      <c r="P463" s="582"/>
      <c r="Q463" s="582"/>
      <c r="R463" s="582"/>
      <c r="S463" s="582"/>
      <c r="T463" s="582"/>
      <c r="U463" s="582"/>
      <c r="V463" s="582"/>
      <c r="W463" s="582"/>
      <c r="X463" s="582"/>
      <c r="Y463" s="582"/>
      <c r="Z463" s="582"/>
      <c r="AA463" s="582"/>
      <c r="AB463" s="582"/>
      <c r="AC463" s="582"/>
      <c r="AD463" s="582"/>
      <c r="AE463" s="582"/>
      <c r="AF463" s="1069"/>
    </row>
    <row r="464">
      <c r="A464" s="582"/>
      <c r="B464" s="582"/>
      <c r="C464" s="582"/>
      <c r="D464" s="582"/>
      <c r="E464" s="582"/>
      <c r="F464" s="582"/>
      <c r="G464" s="582"/>
      <c r="H464" s="582"/>
      <c r="I464" s="582"/>
      <c r="J464" s="582"/>
      <c r="K464" s="582"/>
      <c r="L464" s="582"/>
      <c r="M464" s="582"/>
      <c r="N464" s="582"/>
      <c r="O464" s="582"/>
      <c r="P464" s="582"/>
      <c r="Q464" s="582"/>
      <c r="R464" s="582"/>
      <c r="S464" s="582"/>
      <c r="T464" s="582"/>
      <c r="U464" s="582"/>
      <c r="V464" s="582"/>
      <c r="W464" s="582"/>
      <c r="X464" s="582"/>
      <c r="Y464" s="582"/>
      <c r="Z464" s="582"/>
      <c r="AA464" s="582"/>
      <c r="AB464" s="582"/>
      <c r="AC464" s="582"/>
      <c r="AD464" s="582"/>
      <c r="AE464" s="582"/>
      <c r="AF464" s="1069"/>
    </row>
    <row r="465">
      <c r="A465" s="582"/>
      <c r="B465" s="582"/>
      <c r="C465" s="582"/>
      <c r="D465" s="582"/>
      <c r="E465" s="582"/>
      <c r="F465" s="582"/>
      <c r="G465" s="582"/>
      <c r="H465" s="582"/>
      <c r="I465" s="582"/>
      <c r="J465" s="582"/>
      <c r="K465" s="582"/>
      <c r="L465" s="582"/>
      <c r="M465" s="582"/>
      <c r="N465" s="582"/>
      <c r="O465" s="582"/>
      <c r="P465" s="582"/>
      <c r="Q465" s="582"/>
      <c r="R465" s="582"/>
      <c r="S465" s="582"/>
      <c r="T465" s="582"/>
      <c r="U465" s="582"/>
      <c r="V465" s="582"/>
      <c r="W465" s="582"/>
      <c r="X465" s="582"/>
      <c r="Y465" s="582"/>
      <c r="Z465" s="582"/>
      <c r="AA465" s="582"/>
      <c r="AB465" s="582"/>
      <c r="AC465" s="582"/>
      <c r="AD465" s="582"/>
      <c r="AE465" s="582"/>
      <c r="AF465" s="1069"/>
    </row>
    <row r="466">
      <c r="A466" s="582"/>
      <c r="B466" s="582"/>
      <c r="C466" s="582"/>
      <c r="D466" s="582"/>
      <c r="E466" s="582"/>
      <c r="F466" s="582"/>
      <c r="G466" s="582"/>
      <c r="H466" s="582"/>
      <c r="I466" s="582"/>
      <c r="J466" s="582"/>
      <c r="K466" s="582"/>
      <c r="L466" s="582"/>
      <c r="M466" s="582"/>
      <c r="N466" s="582"/>
      <c r="O466" s="582"/>
      <c r="P466" s="582"/>
      <c r="Q466" s="582"/>
      <c r="R466" s="582"/>
      <c r="S466" s="582"/>
      <c r="T466" s="582"/>
      <c r="U466" s="582"/>
      <c r="V466" s="582"/>
      <c r="W466" s="582"/>
      <c r="X466" s="582"/>
      <c r="Y466" s="582"/>
      <c r="Z466" s="582"/>
      <c r="AA466" s="582"/>
      <c r="AB466" s="582"/>
      <c r="AC466" s="582"/>
      <c r="AD466" s="582"/>
      <c r="AE466" s="582"/>
      <c r="AF466" s="1069"/>
    </row>
    <row r="467">
      <c r="A467" s="582"/>
      <c r="B467" s="582"/>
      <c r="C467" s="582"/>
      <c r="D467" s="582"/>
      <c r="E467" s="582"/>
      <c r="F467" s="582"/>
      <c r="G467" s="582"/>
      <c r="H467" s="582"/>
      <c r="I467" s="582"/>
      <c r="J467" s="582"/>
      <c r="K467" s="582"/>
      <c r="L467" s="582"/>
      <c r="M467" s="582"/>
      <c r="N467" s="582"/>
      <c r="O467" s="582"/>
      <c r="P467" s="582"/>
      <c r="Q467" s="582"/>
      <c r="R467" s="582"/>
      <c r="S467" s="582"/>
      <c r="T467" s="582"/>
      <c r="U467" s="582"/>
      <c r="V467" s="582"/>
      <c r="W467" s="582"/>
      <c r="X467" s="582"/>
      <c r="Y467" s="582"/>
      <c r="Z467" s="582"/>
      <c r="AA467" s="582"/>
      <c r="AB467" s="582"/>
      <c r="AC467" s="582"/>
      <c r="AD467" s="582"/>
      <c r="AE467" s="582"/>
      <c r="AF467" s="1069"/>
    </row>
    <row r="468">
      <c r="A468" s="582"/>
      <c r="B468" s="582"/>
      <c r="C468" s="582"/>
      <c r="D468" s="582"/>
      <c r="E468" s="582"/>
      <c r="F468" s="582"/>
      <c r="G468" s="582"/>
      <c r="H468" s="582"/>
      <c r="I468" s="582"/>
      <c r="J468" s="582"/>
      <c r="K468" s="582"/>
      <c r="L468" s="582"/>
      <c r="M468" s="582"/>
      <c r="N468" s="582"/>
      <c r="O468" s="582"/>
      <c r="P468" s="582"/>
      <c r="Q468" s="582"/>
      <c r="R468" s="582"/>
      <c r="S468" s="582"/>
      <c r="T468" s="582"/>
      <c r="U468" s="582"/>
      <c r="V468" s="582"/>
      <c r="W468" s="582"/>
      <c r="X468" s="582"/>
      <c r="Y468" s="582"/>
      <c r="Z468" s="582"/>
      <c r="AA468" s="582"/>
      <c r="AB468" s="582"/>
      <c r="AC468" s="582"/>
      <c r="AD468" s="582"/>
      <c r="AE468" s="582"/>
      <c r="AF468" s="1069"/>
    </row>
    <row r="469">
      <c r="A469" s="582"/>
      <c r="B469" s="582"/>
      <c r="C469" s="582"/>
      <c r="D469" s="582"/>
      <c r="E469" s="582"/>
      <c r="F469" s="582"/>
      <c r="G469" s="582"/>
      <c r="H469" s="582"/>
      <c r="I469" s="582"/>
      <c r="J469" s="582"/>
      <c r="K469" s="582"/>
      <c r="L469" s="582"/>
      <c r="M469" s="582"/>
      <c r="N469" s="582"/>
      <c r="O469" s="582"/>
      <c r="P469" s="582"/>
      <c r="Q469" s="582"/>
      <c r="R469" s="582"/>
      <c r="S469" s="582"/>
      <c r="T469" s="582"/>
      <c r="U469" s="582"/>
      <c r="V469" s="582"/>
      <c r="W469" s="582"/>
      <c r="X469" s="582"/>
      <c r="Y469" s="582"/>
      <c r="Z469" s="582"/>
      <c r="AA469" s="582"/>
      <c r="AB469" s="582"/>
      <c r="AC469" s="582"/>
      <c r="AD469" s="582"/>
      <c r="AE469" s="582"/>
      <c r="AF469" s="1069"/>
    </row>
    <row r="470">
      <c r="A470" s="582"/>
      <c r="B470" s="582"/>
      <c r="C470" s="582"/>
      <c r="D470" s="582"/>
      <c r="E470" s="582"/>
      <c r="F470" s="582"/>
      <c r="G470" s="582"/>
      <c r="H470" s="582"/>
      <c r="I470" s="582"/>
      <c r="J470" s="582"/>
      <c r="K470" s="582"/>
      <c r="L470" s="582"/>
      <c r="M470" s="582"/>
      <c r="N470" s="582"/>
      <c r="O470" s="582"/>
      <c r="P470" s="582"/>
      <c r="Q470" s="582"/>
      <c r="R470" s="582"/>
      <c r="S470" s="582"/>
      <c r="T470" s="582"/>
      <c r="U470" s="582"/>
      <c r="V470" s="582"/>
      <c r="W470" s="582"/>
      <c r="X470" s="582"/>
      <c r="Y470" s="582"/>
      <c r="Z470" s="582"/>
      <c r="AA470" s="582"/>
      <c r="AB470" s="582"/>
      <c r="AC470" s="582"/>
      <c r="AD470" s="582"/>
      <c r="AE470" s="582"/>
      <c r="AF470" s="1069"/>
    </row>
    <row r="471">
      <c r="A471" s="582"/>
      <c r="B471" s="582"/>
      <c r="C471" s="582"/>
      <c r="D471" s="582"/>
      <c r="E471" s="582"/>
      <c r="F471" s="582"/>
      <c r="G471" s="582"/>
      <c r="H471" s="582"/>
      <c r="I471" s="582"/>
      <c r="J471" s="582"/>
      <c r="K471" s="582"/>
      <c r="L471" s="582"/>
      <c r="M471" s="582"/>
      <c r="N471" s="582"/>
      <c r="O471" s="582"/>
      <c r="P471" s="582"/>
      <c r="Q471" s="582"/>
      <c r="R471" s="582"/>
      <c r="S471" s="582"/>
      <c r="T471" s="582"/>
      <c r="U471" s="582"/>
      <c r="V471" s="582"/>
      <c r="W471" s="582"/>
      <c r="X471" s="582"/>
      <c r="Y471" s="582"/>
      <c r="Z471" s="582"/>
      <c r="AA471" s="582"/>
      <c r="AB471" s="582"/>
      <c r="AC471" s="582"/>
      <c r="AD471" s="582"/>
      <c r="AE471" s="582"/>
      <c r="AF471" s="1069"/>
    </row>
    <row r="472">
      <c r="A472" s="582"/>
      <c r="B472" s="582"/>
      <c r="C472" s="582"/>
      <c r="D472" s="582"/>
      <c r="E472" s="582"/>
      <c r="F472" s="582"/>
      <c r="G472" s="582"/>
      <c r="H472" s="582"/>
      <c r="I472" s="582"/>
      <c r="J472" s="582"/>
      <c r="K472" s="582"/>
      <c r="L472" s="582"/>
      <c r="M472" s="582"/>
      <c r="N472" s="582"/>
      <c r="O472" s="582"/>
      <c r="P472" s="582"/>
      <c r="Q472" s="582"/>
      <c r="R472" s="582"/>
      <c r="S472" s="582"/>
      <c r="T472" s="582"/>
      <c r="U472" s="582"/>
      <c r="V472" s="582"/>
      <c r="W472" s="582"/>
      <c r="X472" s="582"/>
      <c r="Y472" s="582"/>
      <c r="Z472" s="582"/>
      <c r="AA472" s="582"/>
      <c r="AB472" s="582"/>
      <c r="AC472" s="582"/>
      <c r="AD472" s="582"/>
      <c r="AE472" s="582"/>
      <c r="AF472" s="1069"/>
    </row>
    <row r="473">
      <c r="A473" s="582"/>
      <c r="B473" s="582"/>
      <c r="C473" s="582"/>
      <c r="D473" s="582"/>
      <c r="E473" s="582"/>
      <c r="F473" s="582"/>
      <c r="G473" s="582"/>
      <c r="H473" s="582"/>
      <c r="I473" s="582"/>
      <c r="J473" s="582"/>
      <c r="K473" s="582"/>
      <c r="L473" s="582"/>
      <c r="M473" s="582"/>
      <c r="N473" s="582"/>
      <c r="O473" s="582"/>
      <c r="P473" s="582"/>
      <c r="Q473" s="582"/>
      <c r="R473" s="582"/>
      <c r="S473" s="582"/>
      <c r="T473" s="582"/>
      <c r="U473" s="582"/>
      <c r="V473" s="582"/>
      <c r="W473" s="582"/>
      <c r="X473" s="582"/>
      <c r="Y473" s="582"/>
      <c r="Z473" s="582"/>
      <c r="AA473" s="582"/>
      <c r="AB473" s="582"/>
      <c r="AC473" s="582"/>
      <c r="AD473" s="582"/>
      <c r="AE473" s="582"/>
      <c r="AF473" s="1069"/>
    </row>
    <row r="474">
      <c r="A474" s="582"/>
      <c r="B474" s="582"/>
      <c r="C474" s="582"/>
      <c r="D474" s="582"/>
      <c r="E474" s="582"/>
      <c r="F474" s="582"/>
      <c r="G474" s="582"/>
      <c r="H474" s="582"/>
      <c r="I474" s="582"/>
      <c r="J474" s="582"/>
      <c r="K474" s="582"/>
      <c r="L474" s="582"/>
      <c r="M474" s="582"/>
      <c r="N474" s="582"/>
      <c r="O474" s="582"/>
      <c r="P474" s="582"/>
      <c r="Q474" s="582"/>
      <c r="R474" s="582"/>
      <c r="S474" s="582"/>
      <c r="T474" s="582"/>
      <c r="U474" s="582"/>
      <c r="V474" s="582"/>
      <c r="W474" s="582"/>
      <c r="X474" s="582"/>
      <c r="Y474" s="582"/>
      <c r="Z474" s="582"/>
      <c r="AA474" s="582"/>
      <c r="AB474" s="582"/>
      <c r="AC474" s="582"/>
      <c r="AD474" s="582"/>
      <c r="AE474" s="582"/>
      <c r="AF474" s="1069"/>
    </row>
    <row r="475">
      <c r="A475" s="582"/>
      <c r="B475" s="582"/>
      <c r="C475" s="582"/>
      <c r="D475" s="582"/>
      <c r="E475" s="582"/>
      <c r="F475" s="582"/>
      <c r="G475" s="582"/>
      <c r="H475" s="582"/>
      <c r="I475" s="582"/>
      <c r="J475" s="582"/>
      <c r="K475" s="582"/>
      <c r="L475" s="582"/>
      <c r="M475" s="582"/>
      <c r="N475" s="582"/>
      <c r="O475" s="582"/>
      <c r="P475" s="582"/>
      <c r="Q475" s="582"/>
      <c r="R475" s="582"/>
      <c r="S475" s="582"/>
      <c r="T475" s="582"/>
      <c r="U475" s="582"/>
      <c r="V475" s="582"/>
      <c r="W475" s="582"/>
      <c r="X475" s="582"/>
      <c r="Y475" s="582"/>
      <c r="Z475" s="582"/>
      <c r="AA475" s="582"/>
      <c r="AB475" s="582"/>
      <c r="AC475" s="582"/>
      <c r="AD475" s="582"/>
      <c r="AE475" s="582"/>
      <c r="AF475" s="1069"/>
    </row>
    <row r="476">
      <c r="A476" s="582"/>
      <c r="B476" s="582"/>
      <c r="C476" s="582"/>
      <c r="D476" s="582"/>
      <c r="E476" s="582"/>
      <c r="F476" s="582"/>
      <c r="G476" s="582"/>
      <c r="H476" s="582"/>
      <c r="I476" s="582"/>
      <c r="J476" s="582"/>
      <c r="K476" s="582"/>
      <c r="L476" s="582"/>
      <c r="M476" s="582"/>
      <c r="N476" s="582"/>
      <c r="O476" s="582"/>
      <c r="P476" s="582"/>
      <c r="Q476" s="582"/>
      <c r="R476" s="582"/>
      <c r="S476" s="582"/>
      <c r="T476" s="582"/>
      <c r="U476" s="582"/>
      <c r="V476" s="582"/>
      <c r="W476" s="582"/>
      <c r="X476" s="582"/>
      <c r="Y476" s="582"/>
      <c r="Z476" s="582"/>
      <c r="AA476" s="582"/>
      <c r="AB476" s="582"/>
      <c r="AC476" s="582"/>
      <c r="AD476" s="582"/>
      <c r="AE476" s="582"/>
      <c r="AF476" s="1069"/>
    </row>
    <row r="477">
      <c r="A477" s="582"/>
      <c r="B477" s="582"/>
      <c r="C477" s="582"/>
      <c r="D477" s="582"/>
      <c r="E477" s="582"/>
      <c r="F477" s="582"/>
      <c r="G477" s="582"/>
      <c r="H477" s="582"/>
      <c r="I477" s="582"/>
      <c r="J477" s="582"/>
      <c r="K477" s="582"/>
      <c r="L477" s="582"/>
      <c r="M477" s="582"/>
      <c r="N477" s="582"/>
      <c r="O477" s="582"/>
      <c r="P477" s="582"/>
      <c r="Q477" s="582"/>
      <c r="R477" s="582"/>
      <c r="S477" s="582"/>
      <c r="T477" s="582"/>
      <c r="U477" s="582"/>
      <c r="V477" s="582"/>
      <c r="W477" s="582"/>
      <c r="X477" s="582"/>
      <c r="Y477" s="582"/>
      <c r="Z477" s="582"/>
      <c r="AA477" s="582"/>
      <c r="AB477" s="582"/>
      <c r="AC477" s="582"/>
      <c r="AD477" s="582"/>
      <c r="AE477" s="582"/>
      <c r="AF477" s="1069"/>
    </row>
    <row r="478">
      <c r="A478" s="582"/>
      <c r="B478" s="582"/>
      <c r="C478" s="582"/>
      <c r="D478" s="582"/>
      <c r="E478" s="582"/>
      <c r="F478" s="582"/>
      <c r="G478" s="582"/>
      <c r="H478" s="582"/>
      <c r="I478" s="582"/>
      <c r="J478" s="582"/>
      <c r="K478" s="582"/>
      <c r="L478" s="582"/>
      <c r="M478" s="582"/>
      <c r="N478" s="582"/>
      <c r="O478" s="582"/>
      <c r="P478" s="582"/>
      <c r="Q478" s="582"/>
      <c r="R478" s="582"/>
      <c r="S478" s="582"/>
      <c r="T478" s="582"/>
      <c r="U478" s="582"/>
      <c r="V478" s="582"/>
      <c r="W478" s="582"/>
      <c r="X478" s="582"/>
      <c r="Y478" s="582"/>
      <c r="Z478" s="582"/>
      <c r="AA478" s="582"/>
      <c r="AB478" s="582"/>
      <c r="AC478" s="582"/>
      <c r="AD478" s="582"/>
      <c r="AE478" s="582"/>
      <c r="AF478" s="1069"/>
    </row>
    <row r="479">
      <c r="A479" s="582"/>
      <c r="B479" s="582"/>
      <c r="C479" s="582"/>
      <c r="D479" s="582"/>
      <c r="E479" s="582"/>
      <c r="F479" s="582"/>
      <c r="G479" s="582"/>
      <c r="H479" s="582"/>
      <c r="I479" s="582"/>
      <c r="J479" s="582"/>
      <c r="K479" s="582"/>
      <c r="L479" s="582"/>
      <c r="M479" s="582"/>
      <c r="N479" s="582"/>
      <c r="O479" s="582"/>
      <c r="P479" s="582"/>
      <c r="Q479" s="582"/>
      <c r="R479" s="582"/>
      <c r="S479" s="582"/>
      <c r="T479" s="582"/>
      <c r="U479" s="582"/>
      <c r="V479" s="582"/>
      <c r="W479" s="582"/>
      <c r="X479" s="582"/>
      <c r="Y479" s="582"/>
      <c r="Z479" s="582"/>
      <c r="AA479" s="582"/>
      <c r="AB479" s="582"/>
      <c r="AC479" s="582"/>
      <c r="AD479" s="582"/>
      <c r="AE479" s="582"/>
      <c r="AF479" s="1069"/>
    </row>
    <row r="480">
      <c r="A480" s="582"/>
      <c r="B480" s="582"/>
      <c r="C480" s="582"/>
      <c r="D480" s="582"/>
      <c r="E480" s="582"/>
      <c r="F480" s="582"/>
      <c r="G480" s="582"/>
      <c r="H480" s="582"/>
      <c r="I480" s="582"/>
      <c r="J480" s="582"/>
      <c r="K480" s="582"/>
      <c r="L480" s="582"/>
      <c r="M480" s="582"/>
      <c r="N480" s="582"/>
      <c r="O480" s="582"/>
      <c r="P480" s="582"/>
      <c r="Q480" s="582"/>
      <c r="R480" s="582"/>
      <c r="S480" s="582"/>
      <c r="T480" s="582"/>
      <c r="U480" s="582"/>
      <c r="V480" s="582"/>
      <c r="W480" s="582"/>
      <c r="X480" s="582"/>
      <c r="Y480" s="582"/>
      <c r="Z480" s="582"/>
      <c r="AA480" s="582"/>
      <c r="AB480" s="582"/>
      <c r="AC480" s="582"/>
      <c r="AD480" s="582"/>
      <c r="AE480" s="582"/>
      <c r="AF480" s="1069"/>
    </row>
    <row r="481">
      <c r="A481" s="582"/>
      <c r="B481" s="582"/>
      <c r="C481" s="582"/>
      <c r="D481" s="582"/>
      <c r="E481" s="582"/>
      <c r="F481" s="582"/>
      <c r="G481" s="582"/>
      <c r="H481" s="582"/>
      <c r="I481" s="582"/>
      <c r="J481" s="582"/>
      <c r="K481" s="582"/>
      <c r="L481" s="582"/>
      <c r="M481" s="582"/>
      <c r="N481" s="582"/>
      <c r="O481" s="582"/>
      <c r="P481" s="582"/>
      <c r="Q481" s="582"/>
      <c r="R481" s="582"/>
      <c r="S481" s="582"/>
      <c r="T481" s="582"/>
      <c r="U481" s="582"/>
      <c r="V481" s="582"/>
      <c r="W481" s="582"/>
      <c r="X481" s="582"/>
      <c r="Y481" s="582"/>
      <c r="Z481" s="582"/>
      <c r="AA481" s="582"/>
      <c r="AB481" s="582"/>
      <c r="AC481" s="582"/>
      <c r="AD481" s="582"/>
      <c r="AE481" s="582"/>
      <c r="AF481" s="1069"/>
    </row>
    <row r="482">
      <c r="A482" s="582"/>
      <c r="B482" s="582"/>
      <c r="C482" s="582"/>
      <c r="D482" s="582"/>
      <c r="E482" s="582"/>
      <c r="F482" s="582"/>
      <c r="G482" s="582"/>
      <c r="H482" s="582"/>
      <c r="I482" s="582"/>
      <c r="J482" s="582"/>
      <c r="K482" s="582"/>
      <c r="L482" s="582"/>
      <c r="M482" s="582"/>
      <c r="N482" s="582"/>
      <c r="O482" s="582"/>
      <c r="P482" s="582"/>
      <c r="Q482" s="582"/>
      <c r="R482" s="582"/>
      <c r="S482" s="582"/>
      <c r="T482" s="582"/>
      <c r="U482" s="582"/>
      <c r="V482" s="582"/>
      <c r="W482" s="582"/>
      <c r="X482" s="582"/>
      <c r="Y482" s="582"/>
      <c r="Z482" s="582"/>
      <c r="AA482" s="582"/>
      <c r="AB482" s="582"/>
      <c r="AC482" s="582"/>
      <c r="AD482" s="582"/>
      <c r="AE482" s="582"/>
      <c r="AF482" s="1069"/>
    </row>
    <row r="483">
      <c r="A483" s="582"/>
      <c r="B483" s="582"/>
      <c r="C483" s="582"/>
      <c r="D483" s="582"/>
      <c r="E483" s="582"/>
      <c r="F483" s="582"/>
      <c r="G483" s="582"/>
      <c r="H483" s="582"/>
      <c r="I483" s="582"/>
      <c r="J483" s="582"/>
      <c r="K483" s="582"/>
      <c r="L483" s="582"/>
      <c r="M483" s="582"/>
      <c r="N483" s="582"/>
      <c r="O483" s="582"/>
      <c r="P483" s="582"/>
      <c r="Q483" s="582"/>
      <c r="R483" s="582"/>
      <c r="S483" s="582"/>
      <c r="T483" s="582"/>
      <c r="U483" s="582"/>
      <c r="V483" s="582"/>
      <c r="W483" s="582"/>
      <c r="X483" s="582"/>
      <c r="Y483" s="582"/>
      <c r="Z483" s="582"/>
      <c r="AA483" s="582"/>
      <c r="AB483" s="582"/>
      <c r="AC483" s="582"/>
      <c r="AD483" s="582"/>
      <c r="AE483" s="582"/>
      <c r="AF483" s="1069"/>
    </row>
    <row r="484">
      <c r="A484" s="582"/>
      <c r="B484" s="582"/>
      <c r="C484" s="582"/>
      <c r="D484" s="582"/>
      <c r="E484" s="582"/>
      <c r="F484" s="582"/>
      <c r="G484" s="582"/>
      <c r="H484" s="582"/>
      <c r="I484" s="582"/>
      <c r="J484" s="582"/>
      <c r="K484" s="582"/>
      <c r="L484" s="582"/>
      <c r="M484" s="582"/>
      <c r="N484" s="582"/>
      <c r="O484" s="582"/>
      <c r="P484" s="582"/>
      <c r="Q484" s="582"/>
      <c r="R484" s="582"/>
      <c r="S484" s="582"/>
      <c r="T484" s="582"/>
      <c r="U484" s="582"/>
      <c r="V484" s="582"/>
      <c r="W484" s="582"/>
      <c r="X484" s="582"/>
      <c r="Y484" s="582"/>
      <c r="Z484" s="582"/>
      <c r="AA484" s="582"/>
      <c r="AB484" s="582"/>
      <c r="AC484" s="582"/>
      <c r="AD484" s="582"/>
      <c r="AE484" s="582"/>
      <c r="AF484" s="1069"/>
    </row>
    <row r="485">
      <c r="A485" s="582"/>
      <c r="B485" s="582"/>
      <c r="C485" s="582"/>
      <c r="D485" s="582"/>
      <c r="E485" s="582"/>
      <c r="F485" s="582"/>
      <c r="G485" s="582"/>
      <c r="H485" s="582"/>
      <c r="I485" s="582"/>
      <c r="J485" s="582"/>
      <c r="K485" s="582"/>
      <c r="L485" s="582"/>
      <c r="M485" s="582"/>
      <c r="N485" s="582"/>
      <c r="O485" s="582"/>
      <c r="P485" s="582"/>
      <c r="Q485" s="582"/>
      <c r="R485" s="582"/>
      <c r="S485" s="582"/>
      <c r="T485" s="582"/>
      <c r="U485" s="582"/>
      <c r="V485" s="582"/>
      <c r="W485" s="582"/>
      <c r="X485" s="582"/>
      <c r="Y485" s="582"/>
      <c r="Z485" s="582"/>
      <c r="AA485" s="582"/>
      <c r="AB485" s="582"/>
      <c r="AC485" s="582"/>
      <c r="AD485" s="582"/>
      <c r="AE485" s="582"/>
      <c r="AF485" s="1069"/>
    </row>
    <row r="486">
      <c r="A486" s="582"/>
      <c r="B486" s="582"/>
      <c r="C486" s="582"/>
      <c r="D486" s="582"/>
      <c r="E486" s="582"/>
      <c r="F486" s="582"/>
      <c r="G486" s="582"/>
      <c r="H486" s="582"/>
      <c r="I486" s="582"/>
      <c r="J486" s="582"/>
      <c r="K486" s="582"/>
      <c r="L486" s="582"/>
      <c r="M486" s="582"/>
      <c r="N486" s="582"/>
      <c r="O486" s="582"/>
      <c r="P486" s="582"/>
      <c r="Q486" s="582"/>
      <c r="R486" s="582"/>
      <c r="S486" s="582"/>
      <c r="T486" s="582"/>
      <c r="U486" s="582"/>
      <c r="V486" s="582"/>
      <c r="W486" s="582"/>
      <c r="X486" s="582"/>
      <c r="Y486" s="582"/>
      <c r="Z486" s="582"/>
      <c r="AA486" s="582"/>
      <c r="AB486" s="582"/>
      <c r="AC486" s="582"/>
      <c r="AD486" s="582"/>
      <c r="AE486" s="582"/>
      <c r="AF486" s="1069"/>
    </row>
    <row r="487">
      <c r="A487" s="582"/>
      <c r="B487" s="582"/>
      <c r="C487" s="582"/>
      <c r="D487" s="582"/>
      <c r="E487" s="582"/>
      <c r="F487" s="582"/>
      <c r="G487" s="582"/>
      <c r="H487" s="582"/>
      <c r="I487" s="582"/>
      <c r="J487" s="582"/>
      <c r="K487" s="582"/>
      <c r="L487" s="582"/>
      <c r="M487" s="582"/>
      <c r="N487" s="582"/>
      <c r="O487" s="582"/>
      <c r="P487" s="582"/>
      <c r="Q487" s="582"/>
      <c r="R487" s="582"/>
      <c r="S487" s="582"/>
      <c r="T487" s="582"/>
      <c r="U487" s="582"/>
      <c r="V487" s="582"/>
      <c r="W487" s="582"/>
      <c r="X487" s="582"/>
      <c r="Y487" s="582"/>
      <c r="Z487" s="582"/>
      <c r="AA487" s="582"/>
      <c r="AB487" s="582"/>
      <c r="AC487" s="582"/>
      <c r="AD487" s="582"/>
      <c r="AE487" s="582"/>
      <c r="AF487" s="1069"/>
    </row>
    <row r="488">
      <c r="A488" s="582"/>
      <c r="B488" s="582"/>
      <c r="C488" s="582"/>
      <c r="D488" s="582"/>
      <c r="E488" s="582"/>
      <c r="F488" s="582"/>
      <c r="G488" s="582"/>
      <c r="H488" s="582"/>
      <c r="I488" s="582"/>
      <c r="J488" s="582"/>
      <c r="K488" s="582"/>
      <c r="L488" s="582"/>
      <c r="M488" s="582"/>
      <c r="N488" s="582"/>
      <c r="O488" s="582"/>
      <c r="P488" s="582"/>
      <c r="Q488" s="582"/>
      <c r="R488" s="582"/>
      <c r="S488" s="582"/>
      <c r="T488" s="582"/>
      <c r="U488" s="582"/>
      <c r="V488" s="582"/>
      <c r="W488" s="582"/>
      <c r="X488" s="582"/>
      <c r="Y488" s="582"/>
      <c r="Z488" s="582"/>
      <c r="AA488" s="582"/>
      <c r="AB488" s="582"/>
      <c r="AC488" s="582"/>
      <c r="AD488" s="582"/>
      <c r="AE488" s="582"/>
      <c r="AF488" s="1069"/>
    </row>
    <row r="489">
      <c r="A489" s="582"/>
      <c r="B489" s="582"/>
      <c r="C489" s="582"/>
      <c r="D489" s="582"/>
      <c r="E489" s="582"/>
      <c r="F489" s="582"/>
      <c r="G489" s="582"/>
      <c r="H489" s="582"/>
      <c r="I489" s="582"/>
      <c r="J489" s="582"/>
      <c r="K489" s="582"/>
      <c r="L489" s="582"/>
      <c r="M489" s="582"/>
      <c r="N489" s="582"/>
      <c r="O489" s="582"/>
      <c r="P489" s="582"/>
      <c r="Q489" s="582"/>
      <c r="R489" s="582"/>
      <c r="S489" s="582"/>
      <c r="T489" s="582"/>
      <c r="U489" s="582"/>
      <c r="V489" s="582"/>
      <c r="W489" s="582"/>
      <c r="X489" s="582"/>
      <c r="Y489" s="582"/>
      <c r="Z489" s="582"/>
      <c r="AA489" s="582"/>
      <c r="AB489" s="582"/>
      <c r="AC489" s="582"/>
      <c r="AD489" s="582"/>
      <c r="AE489" s="582"/>
      <c r="AF489" s="1069"/>
    </row>
    <row r="490">
      <c r="A490" s="582"/>
      <c r="B490" s="582"/>
      <c r="C490" s="582"/>
      <c r="D490" s="582"/>
      <c r="E490" s="582"/>
      <c r="F490" s="582"/>
      <c r="G490" s="582"/>
      <c r="H490" s="582"/>
      <c r="I490" s="582"/>
      <c r="J490" s="582"/>
      <c r="K490" s="582"/>
      <c r="L490" s="582"/>
      <c r="M490" s="582"/>
      <c r="N490" s="582"/>
      <c r="O490" s="582"/>
      <c r="P490" s="582"/>
      <c r="Q490" s="582"/>
      <c r="R490" s="582"/>
      <c r="S490" s="582"/>
      <c r="T490" s="582"/>
      <c r="U490" s="582"/>
      <c r="V490" s="582"/>
      <c r="W490" s="582"/>
      <c r="X490" s="582"/>
      <c r="Y490" s="582"/>
      <c r="Z490" s="582"/>
      <c r="AA490" s="582"/>
      <c r="AB490" s="582"/>
      <c r="AC490" s="582"/>
      <c r="AD490" s="582"/>
      <c r="AE490" s="582"/>
      <c r="AF490" s="1069"/>
    </row>
    <row r="491">
      <c r="A491" s="582"/>
      <c r="B491" s="582"/>
      <c r="C491" s="582"/>
      <c r="D491" s="582"/>
      <c r="E491" s="582"/>
      <c r="F491" s="582"/>
      <c r="G491" s="582"/>
      <c r="H491" s="582"/>
      <c r="I491" s="582"/>
      <c r="J491" s="582"/>
      <c r="K491" s="582"/>
      <c r="L491" s="582"/>
      <c r="M491" s="582"/>
      <c r="N491" s="582"/>
      <c r="O491" s="582"/>
      <c r="P491" s="582"/>
      <c r="Q491" s="582"/>
      <c r="R491" s="582"/>
      <c r="S491" s="582"/>
      <c r="T491" s="582"/>
      <c r="U491" s="582"/>
      <c r="V491" s="582"/>
      <c r="W491" s="582"/>
      <c r="X491" s="582"/>
      <c r="Y491" s="582"/>
      <c r="Z491" s="582"/>
      <c r="AA491" s="582"/>
      <c r="AB491" s="582"/>
      <c r="AC491" s="582"/>
      <c r="AD491" s="582"/>
      <c r="AE491" s="582"/>
      <c r="AF491" s="1069"/>
    </row>
    <row r="492">
      <c r="A492" s="582"/>
      <c r="B492" s="582"/>
      <c r="C492" s="582"/>
      <c r="D492" s="582"/>
      <c r="E492" s="582"/>
      <c r="F492" s="582"/>
      <c r="G492" s="582"/>
      <c r="H492" s="582"/>
      <c r="I492" s="582"/>
      <c r="J492" s="582"/>
      <c r="K492" s="582"/>
      <c r="L492" s="582"/>
      <c r="M492" s="582"/>
      <c r="N492" s="582"/>
      <c r="O492" s="582"/>
      <c r="P492" s="582"/>
      <c r="Q492" s="582"/>
      <c r="R492" s="582"/>
      <c r="S492" s="582"/>
      <c r="T492" s="582"/>
      <c r="U492" s="582"/>
      <c r="V492" s="582"/>
      <c r="W492" s="582"/>
      <c r="X492" s="582"/>
      <c r="Y492" s="582"/>
      <c r="Z492" s="582"/>
      <c r="AA492" s="582"/>
      <c r="AB492" s="582"/>
      <c r="AC492" s="582"/>
      <c r="AD492" s="582"/>
      <c r="AE492" s="582"/>
      <c r="AF492" s="1069"/>
    </row>
    <row r="493">
      <c r="A493" s="582"/>
      <c r="B493" s="582"/>
      <c r="C493" s="582"/>
      <c r="D493" s="582"/>
      <c r="E493" s="582"/>
      <c r="F493" s="582"/>
      <c r="G493" s="582"/>
      <c r="H493" s="582"/>
      <c r="I493" s="582"/>
      <c r="J493" s="582"/>
      <c r="K493" s="582"/>
      <c r="L493" s="582"/>
      <c r="M493" s="582"/>
      <c r="N493" s="582"/>
      <c r="O493" s="582"/>
      <c r="P493" s="582"/>
      <c r="Q493" s="582"/>
      <c r="R493" s="582"/>
      <c r="S493" s="582"/>
      <c r="T493" s="582"/>
      <c r="U493" s="582"/>
      <c r="V493" s="582"/>
      <c r="W493" s="582"/>
      <c r="X493" s="582"/>
      <c r="Y493" s="582"/>
      <c r="Z493" s="582"/>
      <c r="AA493" s="582"/>
      <c r="AB493" s="582"/>
      <c r="AC493" s="582"/>
      <c r="AD493" s="582"/>
      <c r="AE493" s="582"/>
      <c r="AF493" s="1069"/>
    </row>
    <row r="494">
      <c r="A494" s="582"/>
      <c r="B494" s="582"/>
      <c r="C494" s="582"/>
      <c r="D494" s="582"/>
      <c r="E494" s="582"/>
      <c r="F494" s="582"/>
      <c r="G494" s="582"/>
      <c r="H494" s="582"/>
      <c r="I494" s="582"/>
      <c r="J494" s="582"/>
      <c r="K494" s="582"/>
      <c r="L494" s="582"/>
      <c r="M494" s="582"/>
      <c r="N494" s="582"/>
      <c r="O494" s="582"/>
      <c r="P494" s="582"/>
      <c r="Q494" s="582"/>
      <c r="R494" s="582"/>
      <c r="S494" s="582"/>
      <c r="T494" s="582"/>
      <c r="U494" s="582"/>
      <c r="V494" s="582"/>
      <c r="W494" s="582"/>
      <c r="X494" s="582"/>
      <c r="Y494" s="582"/>
      <c r="Z494" s="582"/>
      <c r="AA494" s="582"/>
      <c r="AB494" s="582"/>
      <c r="AC494" s="582"/>
      <c r="AD494" s="582"/>
      <c r="AE494" s="582"/>
      <c r="AF494" s="1069"/>
    </row>
    <row r="495">
      <c r="A495" s="582"/>
      <c r="B495" s="582"/>
      <c r="C495" s="582"/>
      <c r="D495" s="582"/>
      <c r="E495" s="582"/>
      <c r="F495" s="582"/>
      <c r="G495" s="582"/>
      <c r="H495" s="582"/>
      <c r="I495" s="582"/>
      <c r="J495" s="582"/>
      <c r="K495" s="582"/>
      <c r="L495" s="582"/>
      <c r="M495" s="582"/>
      <c r="N495" s="582"/>
      <c r="O495" s="582"/>
      <c r="P495" s="582"/>
      <c r="Q495" s="582"/>
      <c r="R495" s="582"/>
      <c r="S495" s="582"/>
      <c r="T495" s="582"/>
      <c r="U495" s="582"/>
      <c r="V495" s="582"/>
      <c r="W495" s="582"/>
      <c r="X495" s="582"/>
      <c r="Y495" s="582"/>
      <c r="Z495" s="582"/>
      <c r="AA495" s="582"/>
      <c r="AB495" s="582"/>
      <c r="AC495" s="582"/>
      <c r="AD495" s="582"/>
      <c r="AE495" s="582"/>
      <c r="AF495" s="1069"/>
    </row>
    <row r="496">
      <c r="A496" s="582"/>
      <c r="B496" s="582"/>
      <c r="C496" s="582"/>
      <c r="D496" s="582"/>
      <c r="E496" s="582"/>
      <c r="F496" s="582"/>
      <c r="G496" s="582"/>
      <c r="H496" s="582"/>
      <c r="I496" s="582"/>
      <c r="J496" s="582"/>
      <c r="K496" s="582"/>
      <c r="L496" s="582"/>
      <c r="M496" s="582"/>
      <c r="N496" s="582"/>
      <c r="O496" s="582"/>
      <c r="P496" s="582"/>
      <c r="Q496" s="582"/>
      <c r="R496" s="582"/>
      <c r="S496" s="582"/>
      <c r="T496" s="582"/>
      <c r="U496" s="582"/>
      <c r="V496" s="582"/>
      <c r="W496" s="582"/>
      <c r="X496" s="582"/>
      <c r="Y496" s="582"/>
      <c r="Z496" s="582"/>
      <c r="AA496" s="582"/>
      <c r="AB496" s="582"/>
      <c r="AC496" s="582"/>
      <c r="AD496" s="582"/>
      <c r="AE496" s="582"/>
      <c r="AF496" s="1069"/>
    </row>
    <row r="497">
      <c r="A497" s="582"/>
      <c r="B497" s="582"/>
      <c r="C497" s="582"/>
      <c r="D497" s="582"/>
      <c r="E497" s="582"/>
      <c r="F497" s="582"/>
      <c r="G497" s="582"/>
      <c r="H497" s="582"/>
      <c r="I497" s="582"/>
      <c r="J497" s="582"/>
      <c r="K497" s="582"/>
      <c r="L497" s="582"/>
      <c r="M497" s="582"/>
      <c r="N497" s="582"/>
      <c r="O497" s="582"/>
      <c r="P497" s="582"/>
      <c r="Q497" s="582"/>
      <c r="R497" s="582"/>
      <c r="S497" s="582"/>
      <c r="T497" s="582"/>
      <c r="U497" s="582"/>
      <c r="V497" s="582"/>
      <c r="W497" s="582"/>
      <c r="X497" s="582"/>
      <c r="Y497" s="582"/>
      <c r="Z497" s="582"/>
      <c r="AA497" s="582"/>
      <c r="AB497" s="582"/>
      <c r="AC497" s="582"/>
      <c r="AD497" s="582"/>
      <c r="AE497" s="582"/>
      <c r="AF497" s="1069"/>
    </row>
    <row r="498">
      <c r="A498" s="582"/>
      <c r="B498" s="582"/>
      <c r="C498" s="582"/>
      <c r="D498" s="582"/>
      <c r="E498" s="582"/>
      <c r="F498" s="582"/>
      <c r="G498" s="582"/>
      <c r="H498" s="582"/>
      <c r="I498" s="582"/>
      <c r="J498" s="582"/>
      <c r="K498" s="582"/>
      <c r="L498" s="582"/>
      <c r="M498" s="582"/>
      <c r="N498" s="582"/>
      <c r="O498" s="582"/>
      <c r="P498" s="582"/>
      <c r="Q498" s="582"/>
      <c r="R498" s="582"/>
      <c r="S498" s="582"/>
      <c r="T498" s="582"/>
      <c r="U498" s="582"/>
      <c r="V498" s="582"/>
      <c r="W498" s="582"/>
      <c r="X498" s="582"/>
      <c r="Y498" s="582"/>
      <c r="Z498" s="582"/>
      <c r="AA498" s="582"/>
      <c r="AB498" s="582"/>
      <c r="AC498" s="582"/>
      <c r="AD498" s="582"/>
      <c r="AE498" s="582"/>
      <c r="AF498" s="1069"/>
    </row>
    <row r="499">
      <c r="A499" s="582"/>
      <c r="B499" s="582"/>
      <c r="C499" s="582"/>
      <c r="D499" s="582"/>
      <c r="E499" s="582"/>
      <c r="F499" s="582"/>
      <c r="G499" s="582"/>
      <c r="H499" s="582"/>
      <c r="I499" s="582"/>
      <c r="J499" s="582"/>
      <c r="K499" s="582"/>
      <c r="L499" s="582"/>
      <c r="M499" s="582"/>
      <c r="N499" s="582"/>
      <c r="O499" s="582"/>
      <c r="P499" s="582"/>
      <c r="Q499" s="582"/>
      <c r="R499" s="582"/>
      <c r="S499" s="582"/>
      <c r="T499" s="582"/>
      <c r="U499" s="582"/>
      <c r="V499" s="582"/>
      <c r="W499" s="582"/>
      <c r="X499" s="582"/>
      <c r="Y499" s="582"/>
      <c r="Z499" s="582"/>
      <c r="AA499" s="582"/>
      <c r="AB499" s="582"/>
      <c r="AC499" s="582"/>
      <c r="AD499" s="582"/>
      <c r="AE499" s="582"/>
      <c r="AF499" s="1069"/>
    </row>
    <row r="500">
      <c r="A500" s="582"/>
      <c r="B500" s="582"/>
      <c r="C500" s="582"/>
      <c r="D500" s="582"/>
      <c r="E500" s="582"/>
      <c r="F500" s="582"/>
      <c r="G500" s="582"/>
      <c r="H500" s="582"/>
      <c r="I500" s="582"/>
      <c r="J500" s="582"/>
      <c r="K500" s="582"/>
      <c r="L500" s="582"/>
      <c r="M500" s="582"/>
      <c r="N500" s="582"/>
      <c r="O500" s="582"/>
      <c r="P500" s="582"/>
      <c r="Q500" s="582"/>
      <c r="R500" s="582"/>
      <c r="S500" s="582"/>
      <c r="T500" s="582"/>
      <c r="U500" s="582"/>
      <c r="V500" s="582"/>
      <c r="W500" s="582"/>
      <c r="X500" s="582"/>
      <c r="Y500" s="582"/>
      <c r="Z500" s="582"/>
      <c r="AA500" s="582"/>
      <c r="AB500" s="582"/>
      <c r="AC500" s="582"/>
      <c r="AD500" s="582"/>
      <c r="AE500" s="582"/>
      <c r="AF500" s="1069"/>
    </row>
    <row r="501">
      <c r="A501" s="582"/>
      <c r="B501" s="582"/>
      <c r="C501" s="582"/>
      <c r="D501" s="582"/>
      <c r="E501" s="582"/>
      <c r="F501" s="582"/>
      <c r="G501" s="582"/>
      <c r="H501" s="582"/>
      <c r="I501" s="582"/>
      <c r="J501" s="582"/>
      <c r="K501" s="582"/>
      <c r="L501" s="582"/>
      <c r="M501" s="582"/>
      <c r="N501" s="582"/>
      <c r="O501" s="582"/>
      <c r="P501" s="582"/>
      <c r="Q501" s="582"/>
      <c r="R501" s="582"/>
      <c r="S501" s="582"/>
      <c r="T501" s="582"/>
      <c r="U501" s="582"/>
      <c r="V501" s="582"/>
      <c r="W501" s="582"/>
      <c r="X501" s="582"/>
      <c r="Y501" s="582"/>
      <c r="Z501" s="582"/>
      <c r="AA501" s="582"/>
      <c r="AB501" s="582"/>
      <c r="AC501" s="582"/>
      <c r="AD501" s="582"/>
      <c r="AE501" s="582"/>
      <c r="AF501" s="1069"/>
    </row>
    <row r="502">
      <c r="A502" s="582"/>
      <c r="B502" s="582"/>
      <c r="C502" s="582"/>
      <c r="D502" s="582"/>
      <c r="E502" s="582"/>
      <c r="F502" s="582"/>
      <c r="G502" s="582"/>
      <c r="H502" s="582"/>
      <c r="I502" s="582"/>
      <c r="J502" s="582"/>
      <c r="K502" s="582"/>
      <c r="L502" s="582"/>
      <c r="M502" s="582"/>
      <c r="N502" s="582"/>
      <c r="O502" s="582"/>
      <c r="P502" s="582"/>
      <c r="Q502" s="582"/>
      <c r="R502" s="582"/>
      <c r="S502" s="582"/>
      <c r="T502" s="582"/>
      <c r="U502" s="582"/>
      <c r="V502" s="582"/>
      <c r="W502" s="582"/>
      <c r="X502" s="582"/>
      <c r="Y502" s="582"/>
      <c r="Z502" s="582"/>
      <c r="AA502" s="582"/>
      <c r="AB502" s="582"/>
      <c r="AC502" s="582"/>
      <c r="AD502" s="582"/>
      <c r="AE502" s="582"/>
      <c r="AF502" s="1069"/>
    </row>
    <row r="503">
      <c r="A503" s="582"/>
      <c r="B503" s="582"/>
      <c r="C503" s="582"/>
      <c r="D503" s="582"/>
      <c r="E503" s="582"/>
      <c r="F503" s="582"/>
      <c r="G503" s="582"/>
      <c r="H503" s="582"/>
      <c r="I503" s="582"/>
      <c r="J503" s="582"/>
      <c r="K503" s="582"/>
      <c r="L503" s="582"/>
      <c r="M503" s="582"/>
      <c r="N503" s="582"/>
      <c r="O503" s="582"/>
      <c r="P503" s="582"/>
      <c r="Q503" s="582"/>
      <c r="R503" s="582"/>
      <c r="S503" s="582"/>
      <c r="T503" s="582"/>
      <c r="U503" s="582"/>
      <c r="V503" s="582"/>
      <c r="W503" s="582"/>
      <c r="X503" s="582"/>
      <c r="Y503" s="582"/>
      <c r="Z503" s="582"/>
      <c r="AA503" s="582"/>
      <c r="AB503" s="582"/>
      <c r="AC503" s="582"/>
      <c r="AD503" s="582"/>
      <c r="AE503" s="582"/>
      <c r="AF503" s="1069"/>
    </row>
    <row r="504">
      <c r="A504" s="582"/>
      <c r="B504" s="582"/>
      <c r="C504" s="582"/>
      <c r="D504" s="582"/>
      <c r="E504" s="582"/>
      <c r="F504" s="582"/>
      <c r="G504" s="582"/>
      <c r="H504" s="582"/>
      <c r="I504" s="582"/>
      <c r="J504" s="582"/>
      <c r="K504" s="582"/>
      <c r="L504" s="582"/>
      <c r="M504" s="582"/>
      <c r="N504" s="582"/>
      <c r="O504" s="582"/>
      <c r="P504" s="582"/>
      <c r="Q504" s="582"/>
      <c r="R504" s="582"/>
      <c r="S504" s="582"/>
      <c r="T504" s="582"/>
      <c r="U504" s="582"/>
      <c r="V504" s="582"/>
      <c r="W504" s="582"/>
      <c r="X504" s="582"/>
      <c r="Y504" s="582"/>
      <c r="Z504" s="582"/>
      <c r="AA504" s="582"/>
      <c r="AB504" s="582"/>
      <c r="AC504" s="582"/>
      <c r="AD504" s="582"/>
      <c r="AE504" s="582"/>
      <c r="AF504" s="1069"/>
    </row>
    <row r="505">
      <c r="A505" s="582"/>
      <c r="B505" s="582"/>
      <c r="C505" s="582"/>
      <c r="D505" s="582"/>
      <c r="E505" s="582"/>
      <c r="F505" s="582"/>
      <c r="G505" s="582"/>
      <c r="H505" s="582"/>
      <c r="I505" s="582"/>
      <c r="J505" s="582"/>
      <c r="K505" s="582"/>
      <c r="L505" s="582"/>
      <c r="M505" s="582"/>
      <c r="N505" s="582"/>
      <c r="O505" s="582"/>
      <c r="P505" s="582"/>
      <c r="Q505" s="582"/>
      <c r="R505" s="582"/>
      <c r="S505" s="582"/>
      <c r="T505" s="582"/>
      <c r="U505" s="582"/>
      <c r="V505" s="582"/>
      <c r="W505" s="582"/>
      <c r="X505" s="582"/>
      <c r="Y505" s="582"/>
      <c r="Z505" s="582"/>
      <c r="AA505" s="582"/>
      <c r="AB505" s="582"/>
      <c r="AC505" s="582"/>
      <c r="AD505" s="582"/>
      <c r="AE505" s="582"/>
      <c r="AF505" s="1069"/>
    </row>
    <row r="506">
      <c r="A506" s="582"/>
      <c r="B506" s="582"/>
      <c r="C506" s="582"/>
      <c r="D506" s="582"/>
      <c r="E506" s="582"/>
      <c r="F506" s="582"/>
      <c r="G506" s="582"/>
      <c r="H506" s="582"/>
      <c r="I506" s="582"/>
      <c r="J506" s="582"/>
      <c r="K506" s="582"/>
      <c r="L506" s="582"/>
      <c r="M506" s="582"/>
      <c r="N506" s="582"/>
      <c r="O506" s="582"/>
      <c r="P506" s="582"/>
      <c r="Q506" s="582"/>
      <c r="R506" s="582"/>
      <c r="S506" s="582"/>
      <c r="T506" s="582"/>
      <c r="U506" s="582"/>
      <c r="V506" s="582"/>
      <c r="W506" s="582"/>
      <c r="X506" s="582"/>
      <c r="Y506" s="582"/>
      <c r="Z506" s="582"/>
      <c r="AA506" s="582"/>
      <c r="AB506" s="582"/>
      <c r="AC506" s="582"/>
      <c r="AD506" s="582"/>
      <c r="AE506" s="582"/>
      <c r="AF506" s="1069"/>
    </row>
    <row r="507">
      <c r="A507" s="582"/>
      <c r="B507" s="582"/>
      <c r="C507" s="582"/>
      <c r="D507" s="582"/>
      <c r="E507" s="582"/>
      <c r="F507" s="582"/>
      <c r="G507" s="582"/>
      <c r="H507" s="582"/>
      <c r="I507" s="582"/>
      <c r="J507" s="582"/>
      <c r="K507" s="582"/>
      <c r="L507" s="582"/>
      <c r="M507" s="582"/>
      <c r="N507" s="582"/>
      <c r="O507" s="582"/>
      <c r="P507" s="582"/>
      <c r="Q507" s="582"/>
      <c r="R507" s="582"/>
      <c r="S507" s="582"/>
      <c r="T507" s="582"/>
      <c r="U507" s="582"/>
      <c r="V507" s="582"/>
      <c r="W507" s="582"/>
      <c r="X507" s="582"/>
      <c r="Y507" s="582"/>
      <c r="Z507" s="582"/>
      <c r="AA507" s="582"/>
      <c r="AB507" s="582"/>
      <c r="AC507" s="582"/>
      <c r="AD507" s="582"/>
      <c r="AE507" s="582"/>
      <c r="AF507" s="1069"/>
    </row>
    <row r="508">
      <c r="A508" s="582"/>
      <c r="B508" s="582"/>
      <c r="C508" s="582"/>
      <c r="D508" s="582"/>
      <c r="E508" s="582"/>
      <c r="F508" s="582"/>
      <c r="G508" s="582"/>
      <c r="H508" s="582"/>
      <c r="I508" s="582"/>
      <c r="J508" s="582"/>
      <c r="K508" s="582"/>
      <c r="L508" s="582"/>
      <c r="M508" s="582"/>
      <c r="N508" s="582"/>
      <c r="O508" s="582"/>
      <c r="P508" s="582"/>
      <c r="Q508" s="582"/>
      <c r="R508" s="582"/>
      <c r="S508" s="582"/>
      <c r="T508" s="582"/>
      <c r="U508" s="582"/>
      <c r="V508" s="582"/>
      <c r="W508" s="582"/>
      <c r="X508" s="582"/>
      <c r="Y508" s="582"/>
      <c r="Z508" s="582"/>
      <c r="AA508" s="582"/>
      <c r="AB508" s="582"/>
      <c r="AC508" s="582"/>
      <c r="AD508" s="582"/>
      <c r="AE508" s="582"/>
      <c r="AF508" s="1069"/>
    </row>
    <row r="509">
      <c r="A509" s="582"/>
      <c r="B509" s="582"/>
      <c r="C509" s="582"/>
      <c r="D509" s="582"/>
      <c r="E509" s="582"/>
      <c r="F509" s="582"/>
      <c r="G509" s="582"/>
      <c r="H509" s="582"/>
      <c r="I509" s="582"/>
      <c r="J509" s="582"/>
      <c r="K509" s="582"/>
      <c r="L509" s="582"/>
      <c r="M509" s="582"/>
      <c r="N509" s="582"/>
      <c r="O509" s="582"/>
      <c r="P509" s="582"/>
      <c r="Q509" s="582"/>
      <c r="R509" s="582"/>
      <c r="S509" s="582"/>
      <c r="T509" s="582"/>
      <c r="U509" s="582"/>
      <c r="V509" s="582"/>
      <c r="W509" s="582"/>
      <c r="X509" s="582"/>
      <c r="Y509" s="582"/>
      <c r="Z509" s="582"/>
      <c r="AA509" s="582"/>
      <c r="AB509" s="582"/>
      <c r="AC509" s="582"/>
      <c r="AD509" s="582"/>
      <c r="AE509" s="582"/>
      <c r="AF509" s="1069"/>
    </row>
    <row r="510">
      <c r="A510" s="582"/>
      <c r="B510" s="582"/>
      <c r="C510" s="582"/>
      <c r="D510" s="582"/>
      <c r="E510" s="582"/>
      <c r="F510" s="582"/>
      <c r="G510" s="582"/>
      <c r="H510" s="582"/>
      <c r="I510" s="582"/>
      <c r="J510" s="582"/>
      <c r="K510" s="582"/>
      <c r="L510" s="582"/>
      <c r="M510" s="582"/>
      <c r="N510" s="582"/>
      <c r="O510" s="582"/>
      <c r="P510" s="582"/>
      <c r="Q510" s="582"/>
      <c r="R510" s="582"/>
      <c r="S510" s="582"/>
      <c r="T510" s="582"/>
      <c r="U510" s="582"/>
      <c r="V510" s="582"/>
      <c r="W510" s="582"/>
      <c r="X510" s="582"/>
      <c r="Y510" s="582"/>
      <c r="Z510" s="582"/>
      <c r="AA510" s="582"/>
      <c r="AB510" s="582"/>
      <c r="AC510" s="582"/>
      <c r="AD510" s="582"/>
      <c r="AE510" s="582"/>
      <c r="AF510" s="1069"/>
    </row>
    <row r="511">
      <c r="A511" s="582"/>
      <c r="B511" s="582"/>
      <c r="C511" s="582"/>
      <c r="D511" s="582"/>
      <c r="E511" s="582"/>
      <c r="F511" s="582"/>
      <c r="G511" s="582"/>
      <c r="H511" s="582"/>
      <c r="I511" s="582"/>
      <c r="J511" s="582"/>
      <c r="K511" s="582"/>
      <c r="L511" s="582"/>
      <c r="M511" s="582"/>
      <c r="N511" s="582"/>
      <c r="O511" s="582"/>
      <c r="P511" s="582"/>
      <c r="Q511" s="582"/>
      <c r="R511" s="582"/>
      <c r="S511" s="582"/>
      <c r="T511" s="582"/>
      <c r="U511" s="582"/>
      <c r="V511" s="582"/>
      <c r="W511" s="582"/>
      <c r="X511" s="582"/>
      <c r="Y511" s="582"/>
      <c r="Z511" s="582"/>
      <c r="AA511" s="582"/>
      <c r="AB511" s="582"/>
      <c r="AC511" s="582"/>
      <c r="AD511" s="582"/>
      <c r="AE511" s="582"/>
      <c r="AF511" s="1069"/>
    </row>
    <row r="512">
      <c r="A512" s="582"/>
      <c r="B512" s="582"/>
      <c r="C512" s="582"/>
      <c r="D512" s="582"/>
      <c r="E512" s="582"/>
      <c r="F512" s="582"/>
      <c r="G512" s="582"/>
      <c r="H512" s="582"/>
      <c r="I512" s="582"/>
      <c r="J512" s="582"/>
      <c r="K512" s="582"/>
      <c r="L512" s="582"/>
      <c r="M512" s="582"/>
      <c r="N512" s="582"/>
      <c r="O512" s="582"/>
      <c r="P512" s="582"/>
      <c r="Q512" s="582"/>
      <c r="R512" s="582"/>
      <c r="S512" s="582"/>
      <c r="T512" s="582"/>
      <c r="U512" s="582"/>
      <c r="V512" s="582"/>
      <c r="W512" s="582"/>
      <c r="X512" s="582"/>
      <c r="Y512" s="582"/>
      <c r="Z512" s="582"/>
      <c r="AA512" s="582"/>
      <c r="AB512" s="582"/>
      <c r="AC512" s="582"/>
      <c r="AD512" s="582"/>
      <c r="AE512" s="582"/>
      <c r="AF512" s="1069"/>
    </row>
    <row r="513">
      <c r="A513" s="582"/>
      <c r="B513" s="582"/>
      <c r="C513" s="582"/>
      <c r="D513" s="582"/>
      <c r="E513" s="582"/>
      <c r="F513" s="582"/>
      <c r="G513" s="582"/>
      <c r="H513" s="582"/>
      <c r="I513" s="582"/>
      <c r="J513" s="582"/>
      <c r="K513" s="582"/>
      <c r="L513" s="582"/>
      <c r="M513" s="582"/>
      <c r="N513" s="582"/>
      <c r="O513" s="582"/>
      <c r="P513" s="582"/>
      <c r="Q513" s="582"/>
      <c r="R513" s="582"/>
      <c r="S513" s="582"/>
      <c r="T513" s="582"/>
      <c r="U513" s="582"/>
      <c r="V513" s="582"/>
      <c r="W513" s="582"/>
      <c r="X513" s="582"/>
      <c r="Y513" s="582"/>
      <c r="Z513" s="582"/>
      <c r="AA513" s="582"/>
      <c r="AB513" s="582"/>
      <c r="AC513" s="582"/>
      <c r="AD513" s="582"/>
      <c r="AE513" s="582"/>
      <c r="AF513" s="1069"/>
    </row>
    <row r="514">
      <c r="A514" s="582"/>
      <c r="B514" s="582"/>
      <c r="C514" s="582"/>
      <c r="D514" s="582"/>
      <c r="E514" s="582"/>
      <c r="F514" s="582"/>
      <c r="G514" s="582"/>
      <c r="H514" s="582"/>
      <c r="I514" s="582"/>
      <c r="J514" s="582"/>
      <c r="K514" s="582"/>
      <c r="L514" s="582"/>
      <c r="M514" s="582"/>
      <c r="N514" s="582"/>
      <c r="O514" s="582"/>
      <c r="P514" s="582"/>
      <c r="Q514" s="582"/>
      <c r="R514" s="582"/>
      <c r="S514" s="582"/>
      <c r="T514" s="582"/>
      <c r="U514" s="582"/>
      <c r="V514" s="582"/>
      <c r="W514" s="582"/>
      <c r="X514" s="582"/>
      <c r="Y514" s="582"/>
      <c r="Z514" s="582"/>
      <c r="AA514" s="582"/>
      <c r="AB514" s="582"/>
      <c r="AC514" s="582"/>
      <c r="AD514" s="582"/>
      <c r="AE514" s="582"/>
      <c r="AF514" s="1069"/>
    </row>
    <row r="515">
      <c r="A515" s="582"/>
      <c r="B515" s="582"/>
      <c r="C515" s="582"/>
      <c r="D515" s="582"/>
      <c r="E515" s="582"/>
      <c r="F515" s="582"/>
      <c r="G515" s="582"/>
      <c r="H515" s="582"/>
      <c r="I515" s="582"/>
      <c r="J515" s="582"/>
      <c r="K515" s="582"/>
      <c r="L515" s="582"/>
      <c r="M515" s="582"/>
      <c r="N515" s="582"/>
      <c r="O515" s="582"/>
      <c r="P515" s="582"/>
      <c r="Q515" s="582"/>
      <c r="R515" s="582"/>
      <c r="S515" s="582"/>
      <c r="T515" s="582"/>
      <c r="U515" s="582"/>
      <c r="V515" s="582"/>
      <c r="W515" s="582"/>
      <c r="X515" s="582"/>
      <c r="Y515" s="582"/>
      <c r="Z515" s="582"/>
      <c r="AA515" s="582"/>
      <c r="AB515" s="582"/>
      <c r="AC515" s="582"/>
      <c r="AD515" s="582"/>
      <c r="AE515" s="582"/>
      <c r="AF515" s="1069"/>
    </row>
    <row r="516">
      <c r="A516" s="582"/>
      <c r="B516" s="582"/>
      <c r="C516" s="582"/>
      <c r="D516" s="582"/>
      <c r="E516" s="582"/>
      <c r="F516" s="582"/>
      <c r="G516" s="582"/>
      <c r="H516" s="582"/>
      <c r="I516" s="582"/>
      <c r="J516" s="582"/>
      <c r="K516" s="582"/>
      <c r="L516" s="582"/>
      <c r="M516" s="582"/>
      <c r="N516" s="582"/>
      <c r="O516" s="582"/>
      <c r="P516" s="582"/>
      <c r="Q516" s="582"/>
      <c r="R516" s="582"/>
      <c r="S516" s="582"/>
      <c r="T516" s="582"/>
      <c r="U516" s="582"/>
      <c r="V516" s="582"/>
      <c r="W516" s="582"/>
      <c r="X516" s="582"/>
      <c r="Y516" s="582"/>
      <c r="Z516" s="582"/>
      <c r="AA516" s="582"/>
      <c r="AB516" s="582"/>
      <c r="AC516" s="582"/>
      <c r="AD516" s="582"/>
      <c r="AE516" s="582"/>
      <c r="AF516" s="1069"/>
    </row>
    <row r="517">
      <c r="A517" s="582"/>
      <c r="B517" s="582"/>
      <c r="C517" s="582"/>
      <c r="D517" s="582"/>
      <c r="E517" s="582"/>
      <c r="F517" s="582"/>
      <c r="G517" s="582"/>
      <c r="H517" s="582"/>
      <c r="I517" s="582"/>
      <c r="J517" s="582"/>
      <c r="K517" s="582"/>
      <c r="L517" s="582"/>
      <c r="M517" s="582"/>
      <c r="N517" s="582"/>
      <c r="O517" s="582"/>
      <c r="P517" s="582"/>
      <c r="Q517" s="582"/>
      <c r="R517" s="582"/>
      <c r="S517" s="582"/>
      <c r="T517" s="582"/>
      <c r="U517" s="582"/>
      <c r="V517" s="582"/>
      <c r="W517" s="582"/>
      <c r="X517" s="582"/>
      <c r="Y517" s="582"/>
      <c r="Z517" s="582"/>
      <c r="AA517" s="582"/>
      <c r="AB517" s="582"/>
      <c r="AC517" s="582"/>
      <c r="AD517" s="582"/>
      <c r="AE517" s="582"/>
      <c r="AF517" s="1069"/>
    </row>
    <row r="518">
      <c r="A518" s="582"/>
      <c r="B518" s="582"/>
      <c r="C518" s="582"/>
      <c r="D518" s="582"/>
      <c r="E518" s="582"/>
      <c r="F518" s="582"/>
      <c r="G518" s="582"/>
      <c r="H518" s="582"/>
      <c r="I518" s="582"/>
      <c r="J518" s="582"/>
      <c r="K518" s="582"/>
      <c r="L518" s="582"/>
      <c r="M518" s="582"/>
      <c r="N518" s="582"/>
      <c r="O518" s="582"/>
      <c r="P518" s="582"/>
      <c r="Q518" s="582"/>
      <c r="R518" s="582"/>
      <c r="S518" s="582"/>
      <c r="T518" s="582"/>
      <c r="U518" s="582"/>
      <c r="V518" s="582"/>
      <c r="W518" s="582"/>
      <c r="X518" s="582"/>
      <c r="Y518" s="582"/>
      <c r="Z518" s="582"/>
      <c r="AA518" s="582"/>
      <c r="AB518" s="582"/>
      <c r="AC518" s="582"/>
      <c r="AD518" s="582"/>
      <c r="AE518" s="582"/>
      <c r="AF518" s="1069"/>
    </row>
    <row r="519">
      <c r="A519" s="582"/>
      <c r="B519" s="582"/>
      <c r="C519" s="582"/>
      <c r="D519" s="582"/>
      <c r="E519" s="582"/>
      <c r="F519" s="582"/>
      <c r="G519" s="582"/>
      <c r="H519" s="582"/>
      <c r="I519" s="582"/>
      <c r="J519" s="582"/>
      <c r="K519" s="582"/>
      <c r="L519" s="582"/>
      <c r="M519" s="582"/>
      <c r="N519" s="582"/>
      <c r="O519" s="582"/>
      <c r="P519" s="582"/>
      <c r="Q519" s="582"/>
      <c r="R519" s="582"/>
      <c r="S519" s="582"/>
      <c r="T519" s="582"/>
      <c r="U519" s="582"/>
      <c r="V519" s="582"/>
      <c r="W519" s="582"/>
      <c r="X519" s="582"/>
      <c r="Y519" s="582"/>
      <c r="Z519" s="582"/>
      <c r="AA519" s="582"/>
      <c r="AB519" s="582"/>
      <c r="AC519" s="582"/>
      <c r="AD519" s="582"/>
      <c r="AE519" s="582"/>
      <c r="AF519" s="1069"/>
    </row>
    <row r="520">
      <c r="A520" s="582"/>
      <c r="B520" s="582"/>
      <c r="C520" s="582"/>
      <c r="D520" s="582"/>
      <c r="E520" s="582"/>
      <c r="F520" s="582"/>
      <c r="G520" s="582"/>
      <c r="H520" s="582"/>
      <c r="I520" s="582"/>
      <c r="J520" s="582"/>
      <c r="K520" s="582"/>
      <c r="L520" s="582"/>
      <c r="M520" s="582"/>
      <c r="N520" s="582"/>
      <c r="O520" s="582"/>
      <c r="P520" s="582"/>
      <c r="Q520" s="582"/>
      <c r="R520" s="582"/>
      <c r="S520" s="582"/>
      <c r="T520" s="582"/>
      <c r="U520" s="582"/>
      <c r="V520" s="582"/>
      <c r="W520" s="582"/>
      <c r="X520" s="582"/>
      <c r="Y520" s="582"/>
      <c r="Z520" s="582"/>
      <c r="AA520" s="582"/>
      <c r="AB520" s="582"/>
      <c r="AC520" s="582"/>
      <c r="AD520" s="582"/>
      <c r="AE520" s="582"/>
      <c r="AF520" s="1069"/>
    </row>
    <row r="521">
      <c r="A521" s="582"/>
      <c r="B521" s="582"/>
      <c r="C521" s="582"/>
      <c r="D521" s="582"/>
      <c r="E521" s="582"/>
      <c r="F521" s="582"/>
      <c r="G521" s="582"/>
      <c r="H521" s="582"/>
      <c r="I521" s="582"/>
      <c r="J521" s="582"/>
      <c r="K521" s="582"/>
      <c r="L521" s="582"/>
      <c r="M521" s="582"/>
      <c r="N521" s="582"/>
      <c r="O521" s="582"/>
      <c r="P521" s="582"/>
      <c r="Q521" s="582"/>
      <c r="R521" s="582"/>
      <c r="S521" s="582"/>
      <c r="T521" s="582"/>
      <c r="U521" s="582"/>
      <c r="V521" s="582"/>
      <c r="W521" s="582"/>
      <c r="X521" s="582"/>
      <c r="Y521" s="582"/>
      <c r="Z521" s="582"/>
      <c r="AA521" s="582"/>
      <c r="AB521" s="582"/>
      <c r="AC521" s="582"/>
      <c r="AD521" s="582"/>
      <c r="AE521" s="582"/>
      <c r="AF521" s="1069"/>
    </row>
    <row r="522">
      <c r="A522" s="582"/>
      <c r="B522" s="582"/>
      <c r="C522" s="582"/>
      <c r="D522" s="582"/>
      <c r="E522" s="582"/>
      <c r="F522" s="582"/>
      <c r="G522" s="582"/>
      <c r="H522" s="582"/>
      <c r="I522" s="582"/>
      <c r="J522" s="582"/>
      <c r="K522" s="582"/>
      <c r="L522" s="582"/>
      <c r="M522" s="582"/>
      <c r="N522" s="582"/>
      <c r="O522" s="582"/>
      <c r="P522" s="582"/>
      <c r="Q522" s="582"/>
      <c r="R522" s="582"/>
      <c r="S522" s="582"/>
      <c r="T522" s="582"/>
      <c r="U522" s="582"/>
      <c r="V522" s="582"/>
      <c r="W522" s="582"/>
      <c r="X522" s="582"/>
      <c r="Y522" s="582"/>
      <c r="Z522" s="582"/>
      <c r="AA522" s="582"/>
      <c r="AB522" s="582"/>
      <c r="AC522" s="582"/>
      <c r="AD522" s="582"/>
      <c r="AE522" s="582"/>
      <c r="AF522" s="1069"/>
    </row>
    <row r="523">
      <c r="A523" s="582"/>
      <c r="B523" s="582"/>
      <c r="C523" s="582"/>
      <c r="D523" s="582"/>
      <c r="E523" s="582"/>
      <c r="F523" s="582"/>
      <c r="G523" s="582"/>
      <c r="H523" s="582"/>
      <c r="I523" s="582"/>
      <c r="J523" s="582"/>
      <c r="K523" s="582"/>
      <c r="L523" s="582"/>
      <c r="M523" s="582"/>
      <c r="N523" s="582"/>
      <c r="O523" s="582"/>
      <c r="P523" s="582"/>
      <c r="Q523" s="582"/>
      <c r="R523" s="582"/>
      <c r="S523" s="582"/>
      <c r="T523" s="582"/>
      <c r="U523" s="582"/>
      <c r="V523" s="582"/>
      <c r="W523" s="582"/>
      <c r="X523" s="582"/>
      <c r="Y523" s="582"/>
      <c r="Z523" s="582"/>
      <c r="AA523" s="582"/>
      <c r="AB523" s="582"/>
      <c r="AC523" s="582"/>
      <c r="AD523" s="582"/>
      <c r="AE523" s="582"/>
      <c r="AF523" s="1069"/>
    </row>
    <row r="524">
      <c r="A524" s="582"/>
      <c r="B524" s="582"/>
      <c r="C524" s="582"/>
      <c r="D524" s="582"/>
      <c r="E524" s="582"/>
      <c r="F524" s="582"/>
      <c r="G524" s="582"/>
      <c r="H524" s="582"/>
      <c r="I524" s="582"/>
      <c r="J524" s="582"/>
      <c r="K524" s="582"/>
      <c r="L524" s="582"/>
      <c r="M524" s="582"/>
      <c r="N524" s="582"/>
      <c r="O524" s="582"/>
      <c r="P524" s="582"/>
      <c r="Q524" s="582"/>
      <c r="R524" s="582"/>
      <c r="S524" s="582"/>
      <c r="T524" s="582"/>
      <c r="U524" s="582"/>
      <c r="V524" s="582"/>
      <c r="W524" s="582"/>
      <c r="X524" s="582"/>
      <c r="Y524" s="582"/>
      <c r="Z524" s="582"/>
      <c r="AA524" s="582"/>
      <c r="AB524" s="582"/>
      <c r="AC524" s="582"/>
      <c r="AD524" s="582"/>
      <c r="AE524" s="582"/>
      <c r="AF524" s="1069"/>
    </row>
    <row r="525">
      <c r="A525" s="582"/>
      <c r="B525" s="582"/>
      <c r="C525" s="582"/>
      <c r="D525" s="582"/>
      <c r="E525" s="582"/>
      <c r="F525" s="582"/>
      <c r="G525" s="582"/>
      <c r="H525" s="582"/>
      <c r="I525" s="582"/>
      <c r="J525" s="582"/>
      <c r="K525" s="582"/>
      <c r="L525" s="582"/>
      <c r="M525" s="582"/>
      <c r="N525" s="582"/>
      <c r="O525" s="582"/>
      <c r="P525" s="582"/>
      <c r="Q525" s="582"/>
      <c r="R525" s="582"/>
      <c r="S525" s="582"/>
      <c r="T525" s="582"/>
      <c r="U525" s="582"/>
      <c r="V525" s="582"/>
      <c r="W525" s="582"/>
      <c r="X525" s="582"/>
      <c r="Y525" s="582"/>
      <c r="Z525" s="582"/>
      <c r="AA525" s="582"/>
      <c r="AB525" s="582"/>
      <c r="AC525" s="582"/>
      <c r="AD525" s="582"/>
      <c r="AE525" s="582"/>
      <c r="AF525" s="1069"/>
    </row>
    <row r="526">
      <c r="A526" s="582"/>
      <c r="B526" s="582"/>
      <c r="C526" s="582"/>
      <c r="D526" s="582"/>
      <c r="E526" s="582"/>
      <c r="F526" s="582"/>
      <c r="G526" s="582"/>
      <c r="H526" s="582"/>
      <c r="I526" s="582"/>
      <c r="J526" s="582"/>
      <c r="K526" s="582"/>
      <c r="L526" s="582"/>
      <c r="M526" s="582"/>
      <c r="N526" s="582"/>
      <c r="O526" s="582"/>
      <c r="P526" s="582"/>
      <c r="Q526" s="582"/>
      <c r="R526" s="582"/>
      <c r="S526" s="582"/>
      <c r="T526" s="582"/>
      <c r="U526" s="582"/>
      <c r="V526" s="582"/>
      <c r="W526" s="582"/>
      <c r="X526" s="582"/>
      <c r="Y526" s="582"/>
      <c r="Z526" s="582"/>
      <c r="AA526" s="582"/>
      <c r="AB526" s="582"/>
      <c r="AC526" s="582"/>
      <c r="AD526" s="582"/>
      <c r="AE526" s="582"/>
      <c r="AF526" s="1069"/>
    </row>
    <row r="527">
      <c r="A527" s="582"/>
      <c r="B527" s="582"/>
      <c r="C527" s="582"/>
      <c r="D527" s="582"/>
      <c r="E527" s="582"/>
      <c r="F527" s="582"/>
      <c r="G527" s="582"/>
      <c r="H527" s="582"/>
      <c r="I527" s="582"/>
      <c r="J527" s="582"/>
      <c r="K527" s="582"/>
      <c r="L527" s="582"/>
      <c r="M527" s="582"/>
      <c r="N527" s="582"/>
      <c r="O527" s="582"/>
      <c r="P527" s="582"/>
      <c r="Q527" s="582"/>
      <c r="R527" s="582"/>
      <c r="S527" s="582"/>
      <c r="T527" s="582"/>
      <c r="U527" s="582"/>
      <c r="V527" s="582"/>
      <c r="W527" s="582"/>
      <c r="X527" s="582"/>
      <c r="Y527" s="582"/>
      <c r="Z527" s="582"/>
      <c r="AA527" s="582"/>
      <c r="AB527" s="582"/>
      <c r="AC527" s="582"/>
      <c r="AD527" s="582"/>
      <c r="AE527" s="582"/>
      <c r="AF527" s="1069"/>
    </row>
    <row r="528">
      <c r="A528" s="582"/>
      <c r="B528" s="582"/>
      <c r="C528" s="582"/>
      <c r="D528" s="582"/>
      <c r="E528" s="582"/>
      <c r="F528" s="582"/>
      <c r="G528" s="582"/>
      <c r="H528" s="582"/>
      <c r="I528" s="582"/>
      <c r="J528" s="582"/>
      <c r="K528" s="582"/>
      <c r="L528" s="582"/>
      <c r="M528" s="582"/>
      <c r="N528" s="582"/>
      <c r="O528" s="582"/>
      <c r="P528" s="582"/>
      <c r="Q528" s="582"/>
      <c r="R528" s="582"/>
      <c r="S528" s="582"/>
      <c r="T528" s="582"/>
      <c r="U528" s="582"/>
      <c r="V528" s="582"/>
      <c r="W528" s="582"/>
      <c r="X528" s="582"/>
      <c r="Y528" s="582"/>
      <c r="Z528" s="582"/>
      <c r="AA528" s="582"/>
      <c r="AB528" s="582"/>
      <c r="AC528" s="582"/>
      <c r="AD528" s="582"/>
      <c r="AE528" s="582"/>
      <c r="AF528" s="1069"/>
    </row>
    <row r="529">
      <c r="A529" s="582"/>
      <c r="B529" s="582"/>
      <c r="C529" s="582"/>
      <c r="D529" s="582"/>
      <c r="E529" s="582"/>
      <c r="F529" s="582"/>
      <c r="G529" s="582"/>
      <c r="H529" s="582"/>
      <c r="I529" s="582"/>
      <c r="J529" s="582"/>
      <c r="K529" s="582"/>
      <c r="L529" s="582"/>
      <c r="M529" s="582"/>
      <c r="N529" s="582"/>
      <c r="O529" s="582"/>
      <c r="P529" s="582"/>
      <c r="Q529" s="582"/>
      <c r="R529" s="582"/>
      <c r="S529" s="582"/>
      <c r="T529" s="582"/>
      <c r="U529" s="582"/>
      <c r="V529" s="582"/>
      <c r="W529" s="582"/>
      <c r="X529" s="582"/>
      <c r="Y529" s="582"/>
      <c r="Z529" s="582"/>
      <c r="AA529" s="582"/>
      <c r="AB529" s="582"/>
      <c r="AC529" s="582"/>
      <c r="AD529" s="582"/>
      <c r="AE529" s="582"/>
      <c r="AF529" s="1069"/>
    </row>
    <row r="530">
      <c r="A530" s="582"/>
      <c r="B530" s="582"/>
      <c r="C530" s="582"/>
      <c r="D530" s="582"/>
      <c r="E530" s="582"/>
      <c r="F530" s="582"/>
      <c r="G530" s="582"/>
      <c r="H530" s="582"/>
      <c r="I530" s="582"/>
      <c r="J530" s="582"/>
      <c r="K530" s="582"/>
      <c r="L530" s="582"/>
      <c r="M530" s="582"/>
      <c r="N530" s="582"/>
      <c r="O530" s="582"/>
      <c r="P530" s="582"/>
      <c r="Q530" s="582"/>
      <c r="R530" s="582"/>
      <c r="S530" s="582"/>
      <c r="T530" s="582"/>
      <c r="U530" s="582"/>
      <c r="V530" s="582"/>
      <c r="W530" s="582"/>
      <c r="X530" s="582"/>
      <c r="Y530" s="582"/>
      <c r="Z530" s="582"/>
      <c r="AA530" s="582"/>
      <c r="AB530" s="582"/>
      <c r="AC530" s="582"/>
      <c r="AD530" s="582"/>
      <c r="AE530" s="582"/>
      <c r="AF530" s="1069"/>
    </row>
    <row r="531">
      <c r="A531" s="582"/>
      <c r="B531" s="582"/>
      <c r="C531" s="582"/>
      <c r="D531" s="582"/>
      <c r="E531" s="582"/>
      <c r="F531" s="582"/>
      <c r="G531" s="582"/>
      <c r="H531" s="582"/>
      <c r="I531" s="582"/>
      <c r="J531" s="582"/>
      <c r="K531" s="582"/>
      <c r="L531" s="582"/>
      <c r="M531" s="582"/>
      <c r="N531" s="582"/>
      <c r="O531" s="582"/>
      <c r="P531" s="582"/>
      <c r="Q531" s="582"/>
      <c r="R531" s="582"/>
      <c r="S531" s="582"/>
      <c r="T531" s="582"/>
      <c r="U531" s="582"/>
      <c r="V531" s="582"/>
      <c r="W531" s="582"/>
      <c r="X531" s="582"/>
      <c r="Y531" s="582"/>
      <c r="Z531" s="582"/>
      <c r="AA531" s="582"/>
      <c r="AB531" s="582"/>
      <c r="AC531" s="582"/>
      <c r="AD531" s="582"/>
      <c r="AE531" s="582"/>
      <c r="AF531" s="1069"/>
    </row>
    <row r="532">
      <c r="A532" s="582"/>
      <c r="B532" s="582"/>
      <c r="C532" s="582"/>
      <c r="D532" s="582"/>
      <c r="E532" s="582"/>
      <c r="F532" s="582"/>
      <c r="G532" s="582"/>
      <c r="H532" s="582"/>
      <c r="I532" s="582"/>
      <c r="J532" s="582"/>
      <c r="K532" s="582"/>
      <c r="L532" s="582"/>
      <c r="M532" s="582"/>
      <c r="N532" s="582"/>
      <c r="O532" s="582"/>
      <c r="P532" s="582"/>
      <c r="Q532" s="582"/>
      <c r="R532" s="582"/>
      <c r="S532" s="582"/>
      <c r="T532" s="582"/>
      <c r="U532" s="582"/>
      <c r="V532" s="582"/>
      <c r="W532" s="582"/>
      <c r="X532" s="582"/>
      <c r="Y532" s="582"/>
      <c r="Z532" s="582"/>
      <c r="AA532" s="582"/>
      <c r="AB532" s="582"/>
      <c r="AC532" s="582"/>
      <c r="AD532" s="582"/>
      <c r="AE532" s="582"/>
      <c r="AF532" s="1069"/>
    </row>
    <row r="533">
      <c r="A533" s="582"/>
      <c r="B533" s="582"/>
      <c r="C533" s="582"/>
      <c r="D533" s="582"/>
      <c r="E533" s="582"/>
      <c r="F533" s="582"/>
      <c r="G533" s="582"/>
      <c r="H533" s="582"/>
      <c r="I533" s="582"/>
      <c r="J533" s="582"/>
      <c r="K533" s="582"/>
      <c r="L533" s="582"/>
      <c r="M533" s="582"/>
      <c r="N533" s="582"/>
      <c r="O533" s="582"/>
      <c r="P533" s="582"/>
      <c r="Q533" s="582"/>
      <c r="R533" s="582"/>
      <c r="S533" s="582"/>
      <c r="T533" s="582"/>
      <c r="U533" s="582"/>
      <c r="V533" s="582"/>
      <c r="W533" s="582"/>
      <c r="X533" s="582"/>
      <c r="Y533" s="582"/>
      <c r="Z533" s="582"/>
      <c r="AA533" s="582"/>
      <c r="AB533" s="582"/>
      <c r="AC533" s="582"/>
      <c r="AD533" s="582"/>
      <c r="AE533" s="582"/>
      <c r="AF533" s="1069"/>
    </row>
    <row r="534">
      <c r="A534" s="582"/>
      <c r="B534" s="582"/>
      <c r="C534" s="582"/>
      <c r="D534" s="582"/>
      <c r="E534" s="582"/>
      <c r="F534" s="582"/>
      <c r="G534" s="582"/>
      <c r="H534" s="582"/>
      <c r="I534" s="582"/>
      <c r="J534" s="582"/>
      <c r="K534" s="582"/>
      <c r="L534" s="582"/>
      <c r="M534" s="582"/>
      <c r="N534" s="582"/>
      <c r="O534" s="582"/>
      <c r="P534" s="582"/>
      <c r="Q534" s="582"/>
      <c r="R534" s="582"/>
      <c r="S534" s="582"/>
      <c r="T534" s="582"/>
      <c r="U534" s="582"/>
      <c r="V534" s="582"/>
      <c r="W534" s="582"/>
      <c r="X534" s="582"/>
      <c r="Y534" s="582"/>
      <c r="Z534" s="582"/>
      <c r="AA534" s="582"/>
      <c r="AB534" s="582"/>
      <c r="AC534" s="582"/>
      <c r="AD534" s="582"/>
      <c r="AE534" s="582"/>
      <c r="AF534" s="1069"/>
    </row>
    <row r="535">
      <c r="A535" s="582"/>
      <c r="B535" s="582"/>
      <c r="C535" s="582"/>
      <c r="D535" s="582"/>
      <c r="E535" s="582"/>
      <c r="F535" s="582"/>
      <c r="G535" s="582"/>
      <c r="H535" s="582"/>
      <c r="I535" s="582"/>
      <c r="J535" s="582"/>
      <c r="K535" s="582"/>
      <c r="L535" s="582"/>
      <c r="M535" s="582"/>
      <c r="N535" s="582"/>
      <c r="O535" s="582"/>
      <c r="P535" s="582"/>
      <c r="Q535" s="582"/>
      <c r="R535" s="582"/>
      <c r="S535" s="582"/>
      <c r="T535" s="582"/>
      <c r="U535" s="582"/>
      <c r="V535" s="582"/>
      <c r="W535" s="582"/>
      <c r="X535" s="582"/>
      <c r="Y535" s="582"/>
      <c r="Z535" s="582"/>
      <c r="AA535" s="582"/>
      <c r="AB535" s="582"/>
      <c r="AC535" s="582"/>
      <c r="AD535" s="582"/>
      <c r="AE535" s="582"/>
      <c r="AF535" s="1069"/>
    </row>
    <row r="536">
      <c r="A536" s="582"/>
      <c r="B536" s="582"/>
      <c r="C536" s="582"/>
      <c r="D536" s="582"/>
      <c r="E536" s="582"/>
      <c r="F536" s="582"/>
      <c r="G536" s="582"/>
      <c r="H536" s="582"/>
      <c r="I536" s="582"/>
      <c r="J536" s="582"/>
      <c r="K536" s="582"/>
      <c r="L536" s="582"/>
      <c r="M536" s="582"/>
      <c r="N536" s="582"/>
      <c r="O536" s="582"/>
      <c r="P536" s="582"/>
      <c r="Q536" s="582"/>
      <c r="R536" s="582"/>
      <c r="S536" s="582"/>
      <c r="T536" s="582"/>
      <c r="U536" s="582"/>
      <c r="V536" s="582"/>
      <c r="W536" s="582"/>
      <c r="X536" s="582"/>
      <c r="Y536" s="582"/>
      <c r="Z536" s="582"/>
      <c r="AA536" s="582"/>
      <c r="AB536" s="582"/>
      <c r="AC536" s="582"/>
      <c r="AD536" s="582"/>
      <c r="AE536" s="582"/>
      <c r="AF536" s="1069"/>
    </row>
    <row r="537">
      <c r="A537" s="582"/>
      <c r="B537" s="582"/>
      <c r="C537" s="582"/>
      <c r="D537" s="582"/>
      <c r="E537" s="582"/>
      <c r="F537" s="582"/>
      <c r="G537" s="582"/>
      <c r="H537" s="582"/>
      <c r="I537" s="582"/>
      <c r="J537" s="582"/>
      <c r="K537" s="582"/>
      <c r="L537" s="582"/>
      <c r="M537" s="582"/>
      <c r="N537" s="582"/>
      <c r="O537" s="582"/>
      <c r="P537" s="582"/>
      <c r="Q537" s="582"/>
      <c r="R537" s="582"/>
      <c r="S537" s="582"/>
      <c r="T537" s="582"/>
      <c r="U537" s="582"/>
      <c r="V537" s="582"/>
      <c r="W537" s="582"/>
      <c r="X537" s="582"/>
      <c r="Y537" s="582"/>
      <c r="Z537" s="582"/>
      <c r="AA537" s="582"/>
      <c r="AB537" s="582"/>
      <c r="AC537" s="582"/>
      <c r="AD537" s="582"/>
      <c r="AE537" s="582"/>
      <c r="AF537" s="1069"/>
    </row>
    <row r="538">
      <c r="A538" s="582"/>
      <c r="B538" s="582"/>
      <c r="C538" s="582"/>
      <c r="D538" s="582"/>
      <c r="E538" s="582"/>
      <c r="F538" s="582"/>
      <c r="G538" s="582"/>
      <c r="H538" s="582"/>
      <c r="I538" s="582"/>
      <c r="J538" s="582"/>
      <c r="K538" s="582"/>
      <c r="L538" s="582"/>
      <c r="M538" s="582"/>
      <c r="N538" s="582"/>
      <c r="O538" s="582"/>
      <c r="P538" s="582"/>
      <c r="Q538" s="582"/>
      <c r="R538" s="582"/>
      <c r="S538" s="582"/>
      <c r="T538" s="582"/>
      <c r="U538" s="582"/>
      <c r="V538" s="582"/>
      <c r="W538" s="582"/>
      <c r="X538" s="582"/>
      <c r="Y538" s="582"/>
      <c r="Z538" s="582"/>
      <c r="AA538" s="582"/>
      <c r="AB538" s="582"/>
      <c r="AC538" s="582"/>
      <c r="AD538" s="582"/>
      <c r="AE538" s="582"/>
      <c r="AF538" s="1069"/>
    </row>
    <row r="539">
      <c r="A539" s="582"/>
      <c r="B539" s="582"/>
      <c r="C539" s="582"/>
      <c r="D539" s="582"/>
      <c r="E539" s="582"/>
      <c r="F539" s="582"/>
      <c r="G539" s="582"/>
      <c r="H539" s="582"/>
      <c r="I539" s="582"/>
      <c r="J539" s="582"/>
      <c r="K539" s="582"/>
      <c r="L539" s="582"/>
      <c r="M539" s="582"/>
      <c r="N539" s="582"/>
      <c r="O539" s="582"/>
      <c r="P539" s="582"/>
      <c r="Q539" s="582"/>
      <c r="R539" s="582"/>
      <c r="S539" s="582"/>
      <c r="T539" s="582"/>
      <c r="U539" s="582"/>
      <c r="V539" s="582"/>
      <c r="W539" s="582"/>
      <c r="X539" s="582"/>
      <c r="Y539" s="582"/>
      <c r="Z539" s="582"/>
      <c r="AA539" s="582"/>
      <c r="AB539" s="582"/>
      <c r="AC539" s="582"/>
      <c r="AD539" s="582"/>
      <c r="AE539" s="582"/>
      <c r="AF539" s="1069"/>
    </row>
    <row r="540">
      <c r="A540" s="582"/>
      <c r="B540" s="582"/>
      <c r="C540" s="582"/>
      <c r="D540" s="582"/>
      <c r="E540" s="582"/>
      <c r="F540" s="582"/>
      <c r="G540" s="582"/>
      <c r="H540" s="582"/>
      <c r="I540" s="582"/>
      <c r="J540" s="582"/>
      <c r="K540" s="582"/>
      <c r="L540" s="582"/>
      <c r="M540" s="582"/>
      <c r="N540" s="582"/>
      <c r="O540" s="582"/>
      <c r="P540" s="582"/>
      <c r="Q540" s="582"/>
      <c r="R540" s="582"/>
      <c r="S540" s="582"/>
      <c r="T540" s="582"/>
      <c r="U540" s="582"/>
      <c r="V540" s="582"/>
      <c r="W540" s="582"/>
      <c r="X540" s="582"/>
      <c r="Y540" s="582"/>
      <c r="Z540" s="582"/>
      <c r="AA540" s="582"/>
      <c r="AB540" s="582"/>
      <c r="AC540" s="582"/>
      <c r="AD540" s="582"/>
      <c r="AE540" s="582"/>
      <c r="AF540" s="1069"/>
    </row>
    <row r="541">
      <c r="A541" s="582"/>
      <c r="B541" s="582"/>
      <c r="C541" s="582"/>
      <c r="D541" s="582"/>
      <c r="E541" s="582"/>
      <c r="F541" s="582"/>
      <c r="G541" s="582"/>
      <c r="H541" s="582"/>
      <c r="I541" s="582"/>
      <c r="J541" s="582"/>
      <c r="K541" s="582"/>
      <c r="L541" s="582"/>
      <c r="M541" s="582"/>
      <c r="N541" s="582"/>
      <c r="O541" s="582"/>
      <c r="P541" s="582"/>
      <c r="Q541" s="582"/>
      <c r="R541" s="582"/>
      <c r="S541" s="582"/>
      <c r="T541" s="582"/>
      <c r="U541" s="582"/>
      <c r="V541" s="582"/>
      <c r="W541" s="582"/>
      <c r="X541" s="582"/>
      <c r="Y541" s="582"/>
      <c r="Z541" s="582"/>
      <c r="AA541" s="582"/>
      <c r="AB541" s="582"/>
      <c r="AC541" s="582"/>
      <c r="AD541" s="582"/>
      <c r="AE541" s="582"/>
      <c r="AF541" s="1069"/>
    </row>
    <row r="542">
      <c r="A542" s="582"/>
      <c r="B542" s="582"/>
      <c r="C542" s="582"/>
      <c r="D542" s="582"/>
      <c r="E542" s="582"/>
      <c r="F542" s="582"/>
      <c r="G542" s="582"/>
      <c r="H542" s="582"/>
      <c r="I542" s="582"/>
      <c r="J542" s="582"/>
      <c r="K542" s="582"/>
      <c r="L542" s="582"/>
      <c r="M542" s="582"/>
      <c r="N542" s="582"/>
      <c r="O542" s="582"/>
      <c r="P542" s="582"/>
      <c r="Q542" s="582"/>
      <c r="R542" s="582"/>
      <c r="S542" s="582"/>
      <c r="T542" s="582"/>
      <c r="U542" s="582"/>
      <c r="V542" s="582"/>
      <c r="W542" s="582"/>
      <c r="X542" s="582"/>
      <c r="Y542" s="582"/>
      <c r="Z542" s="582"/>
      <c r="AA542" s="582"/>
      <c r="AB542" s="582"/>
      <c r="AC542" s="582"/>
      <c r="AD542" s="582"/>
      <c r="AE542" s="582"/>
      <c r="AF542" s="1069"/>
    </row>
    <row r="543">
      <c r="A543" s="582"/>
      <c r="B543" s="582"/>
      <c r="C543" s="582"/>
      <c r="D543" s="582"/>
      <c r="E543" s="582"/>
      <c r="F543" s="582"/>
      <c r="G543" s="582"/>
      <c r="H543" s="582"/>
      <c r="I543" s="582"/>
      <c r="J543" s="582"/>
      <c r="K543" s="582"/>
      <c r="L543" s="582"/>
      <c r="M543" s="582"/>
      <c r="N543" s="582"/>
      <c r="O543" s="582"/>
      <c r="P543" s="582"/>
      <c r="Q543" s="582"/>
      <c r="R543" s="582"/>
      <c r="S543" s="582"/>
      <c r="T543" s="582"/>
      <c r="U543" s="582"/>
      <c r="V543" s="582"/>
      <c r="W543" s="582"/>
      <c r="X543" s="582"/>
      <c r="Y543" s="582"/>
      <c r="Z543" s="582"/>
      <c r="AA543" s="582"/>
      <c r="AB543" s="582"/>
      <c r="AC543" s="582"/>
      <c r="AD543" s="582"/>
      <c r="AE543" s="582"/>
      <c r="AF543" s="1069"/>
    </row>
    <row r="544">
      <c r="A544" s="582"/>
      <c r="B544" s="582"/>
      <c r="C544" s="582"/>
      <c r="D544" s="582"/>
      <c r="E544" s="582"/>
      <c r="F544" s="582"/>
      <c r="G544" s="582"/>
      <c r="H544" s="582"/>
      <c r="I544" s="582"/>
      <c r="J544" s="582"/>
      <c r="K544" s="582"/>
      <c r="L544" s="582"/>
      <c r="M544" s="582"/>
      <c r="N544" s="582"/>
      <c r="O544" s="582"/>
      <c r="P544" s="582"/>
      <c r="Q544" s="582"/>
      <c r="R544" s="582"/>
      <c r="S544" s="582"/>
      <c r="T544" s="582"/>
      <c r="U544" s="582"/>
      <c r="V544" s="582"/>
      <c r="W544" s="582"/>
      <c r="X544" s="582"/>
      <c r="Y544" s="582"/>
      <c r="Z544" s="582"/>
      <c r="AA544" s="582"/>
      <c r="AB544" s="582"/>
      <c r="AC544" s="582"/>
      <c r="AD544" s="582"/>
      <c r="AE544" s="582"/>
      <c r="AF544" s="1069"/>
    </row>
    <row r="545">
      <c r="A545" s="582"/>
      <c r="B545" s="582"/>
      <c r="C545" s="582"/>
      <c r="D545" s="582"/>
      <c r="E545" s="582"/>
      <c r="F545" s="582"/>
      <c r="G545" s="582"/>
      <c r="H545" s="582"/>
      <c r="I545" s="582"/>
      <c r="J545" s="582"/>
      <c r="K545" s="582"/>
      <c r="L545" s="582"/>
      <c r="M545" s="582"/>
      <c r="N545" s="582"/>
      <c r="O545" s="582"/>
      <c r="P545" s="582"/>
      <c r="Q545" s="582"/>
      <c r="R545" s="582"/>
      <c r="S545" s="582"/>
      <c r="T545" s="582"/>
      <c r="U545" s="582"/>
      <c r="V545" s="582"/>
      <c r="W545" s="582"/>
      <c r="X545" s="582"/>
      <c r="Y545" s="582"/>
      <c r="Z545" s="582"/>
      <c r="AA545" s="582"/>
      <c r="AB545" s="582"/>
      <c r="AC545" s="582"/>
      <c r="AD545" s="582"/>
      <c r="AE545" s="582"/>
      <c r="AF545" s="1069"/>
    </row>
    <row r="546">
      <c r="A546" s="582"/>
      <c r="B546" s="582"/>
      <c r="C546" s="582"/>
      <c r="D546" s="582"/>
      <c r="E546" s="582"/>
      <c r="F546" s="582"/>
      <c r="G546" s="582"/>
      <c r="H546" s="582"/>
      <c r="I546" s="582"/>
      <c r="J546" s="582"/>
      <c r="K546" s="582"/>
      <c r="L546" s="582"/>
      <c r="M546" s="582"/>
      <c r="N546" s="582"/>
      <c r="O546" s="582"/>
      <c r="P546" s="582"/>
      <c r="Q546" s="582"/>
      <c r="R546" s="582"/>
      <c r="S546" s="582"/>
      <c r="T546" s="582"/>
      <c r="U546" s="582"/>
      <c r="V546" s="582"/>
      <c r="W546" s="582"/>
      <c r="X546" s="582"/>
      <c r="Y546" s="582"/>
      <c r="Z546" s="582"/>
      <c r="AA546" s="582"/>
      <c r="AB546" s="582"/>
      <c r="AC546" s="582"/>
      <c r="AD546" s="582"/>
      <c r="AE546" s="582"/>
      <c r="AF546" s="1069"/>
    </row>
    <row r="547">
      <c r="A547" s="582"/>
      <c r="B547" s="582"/>
      <c r="C547" s="582"/>
      <c r="D547" s="582"/>
      <c r="E547" s="582"/>
      <c r="F547" s="582"/>
      <c r="G547" s="582"/>
      <c r="H547" s="582"/>
      <c r="I547" s="582"/>
      <c r="J547" s="582"/>
      <c r="K547" s="582"/>
      <c r="L547" s="582"/>
      <c r="M547" s="582"/>
      <c r="N547" s="582"/>
      <c r="O547" s="582"/>
      <c r="P547" s="582"/>
      <c r="Q547" s="582"/>
      <c r="R547" s="582"/>
      <c r="S547" s="582"/>
      <c r="T547" s="582"/>
      <c r="U547" s="582"/>
      <c r="V547" s="582"/>
      <c r="W547" s="582"/>
      <c r="X547" s="582"/>
      <c r="Y547" s="582"/>
      <c r="Z547" s="582"/>
      <c r="AA547" s="582"/>
      <c r="AB547" s="582"/>
      <c r="AC547" s="582"/>
      <c r="AD547" s="582"/>
      <c r="AE547" s="582"/>
      <c r="AF547" s="1069"/>
    </row>
    <row r="548">
      <c r="A548" s="582"/>
      <c r="B548" s="582"/>
      <c r="C548" s="582"/>
      <c r="D548" s="582"/>
      <c r="E548" s="582"/>
      <c r="F548" s="582"/>
      <c r="G548" s="582"/>
      <c r="H548" s="582"/>
      <c r="I548" s="582"/>
      <c r="J548" s="582"/>
      <c r="K548" s="582"/>
      <c r="L548" s="582"/>
      <c r="M548" s="582"/>
      <c r="N548" s="582"/>
      <c r="O548" s="582"/>
      <c r="P548" s="582"/>
      <c r="Q548" s="582"/>
      <c r="R548" s="582"/>
      <c r="S548" s="582"/>
      <c r="T548" s="582"/>
      <c r="U548" s="582"/>
      <c r="V548" s="582"/>
      <c r="W548" s="582"/>
      <c r="X548" s="582"/>
      <c r="Y548" s="582"/>
      <c r="Z548" s="582"/>
      <c r="AA548" s="582"/>
      <c r="AB548" s="582"/>
      <c r="AC548" s="582"/>
      <c r="AD548" s="582"/>
      <c r="AE548" s="582"/>
      <c r="AF548" s="1069"/>
    </row>
    <row r="549">
      <c r="A549" s="582"/>
      <c r="B549" s="582"/>
      <c r="C549" s="582"/>
      <c r="D549" s="582"/>
      <c r="E549" s="582"/>
      <c r="F549" s="582"/>
      <c r="G549" s="582"/>
      <c r="H549" s="582"/>
      <c r="I549" s="582"/>
      <c r="J549" s="582"/>
      <c r="K549" s="582"/>
      <c r="L549" s="582"/>
      <c r="M549" s="582"/>
      <c r="N549" s="582"/>
      <c r="O549" s="582"/>
      <c r="P549" s="582"/>
      <c r="Q549" s="582"/>
      <c r="R549" s="582"/>
      <c r="S549" s="582"/>
      <c r="T549" s="582"/>
      <c r="U549" s="582"/>
      <c r="V549" s="582"/>
      <c r="W549" s="582"/>
      <c r="X549" s="582"/>
      <c r="Y549" s="582"/>
      <c r="Z549" s="582"/>
      <c r="AA549" s="582"/>
      <c r="AB549" s="582"/>
      <c r="AC549" s="582"/>
      <c r="AD549" s="582"/>
      <c r="AE549" s="582"/>
      <c r="AF549" s="1069"/>
    </row>
    <row r="550">
      <c r="A550" s="582"/>
      <c r="B550" s="582"/>
      <c r="C550" s="582"/>
      <c r="D550" s="582"/>
      <c r="E550" s="582"/>
      <c r="F550" s="582"/>
      <c r="G550" s="582"/>
      <c r="H550" s="582"/>
      <c r="I550" s="582"/>
      <c r="J550" s="582"/>
      <c r="K550" s="582"/>
      <c r="L550" s="582"/>
      <c r="M550" s="582"/>
      <c r="N550" s="582"/>
      <c r="O550" s="582"/>
      <c r="P550" s="582"/>
      <c r="Q550" s="582"/>
      <c r="R550" s="582"/>
      <c r="S550" s="582"/>
      <c r="T550" s="582"/>
      <c r="U550" s="582"/>
      <c r="V550" s="582"/>
      <c r="W550" s="582"/>
      <c r="X550" s="582"/>
      <c r="Y550" s="582"/>
      <c r="Z550" s="582"/>
      <c r="AA550" s="582"/>
      <c r="AB550" s="582"/>
      <c r="AC550" s="582"/>
      <c r="AD550" s="582"/>
      <c r="AE550" s="582"/>
      <c r="AF550" s="1069"/>
    </row>
    <row r="551">
      <c r="A551" s="582"/>
      <c r="B551" s="582"/>
      <c r="C551" s="582"/>
      <c r="D551" s="582"/>
      <c r="E551" s="582"/>
      <c r="F551" s="582"/>
      <c r="G551" s="582"/>
      <c r="H551" s="582"/>
      <c r="I551" s="582"/>
      <c r="J551" s="582"/>
      <c r="K551" s="582"/>
      <c r="L551" s="582"/>
      <c r="M551" s="582"/>
      <c r="N551" s="582"/>
      <c r="O551" s="582"/>
      <c r="P551" s="582"/>
      <c r="Q551" s="582"/>
      <c r="R551" s="582"/>
      <c r="S551" s="582"/>
      <c r="T551" s="582"/>
      <c r="U551" s="582"/>
      <c r="V551" s="582"/>
      <c r="W551" s="582"/>
      <c r="X551" s="582"/>
      <c r="Y551" s="582"/>
      <c r="Z551" s="582"/>
      <c r="AA551" s="582"/>
      <c r="AB551" s="582"/>
      <c r="AC551" s="582"/>
      <c r="AD551" s="582"/>
      <c r="AE551" s="582"/>
      <c r="AF551" s="1069"/>
    </row>
    <row r="552">
      <c r="A552" s="582"/>
      <c r="B552" s="582"/>
      <c r="C552" s="582"/>
      <c r="D552" s="582"/>
      <c r="E552" s="582"/>
      <c r="F552" s="582"/>
      <c r="G552" s="582"/>
      <c r="H552" s="582"/>
      <c r="I552" s="582"/>
      <c r="J552" s="582"/>
      <c r="K552" s="582"/>
      <c r="L552" s="582"/>
      <c r="M552" s="582"/>
      <c r="N552" s="582"/>
      <c r="O552" s="582"/>
      <c r="P552" s="582"/>
      <c r="Q552" s="582"/>
      <c r="R552" s="582"/>
      <c r="S552" s="582"/>
      <c r="T552" s="582"/>
      <c r="U552" s="582"/>
      <c r="V552" s="582"/>
      <c r="W552" s="582"/>
      <c r="X552" s="582"/>
      <c r="Y552" s="582"/>
      <c r="Z552" s="582"/>
      <c r="AA552" s="582"/>
      <c r="AB552" s="582"/>
      <c r="AC552" s="582"/>
      <c r="AD552" s="582"/>
      <c r="AE552" s="582"/>
      <c r="AF552" s="1069"/>
    </row>
    <row r="553">
      <c r="A553" s="582"/>
      <c r="B553" s="582"/>
      <c r="C553" s="582"/>
      <c r="D553" s="582"/>
      <c r="E553" s="582"/>
      <c r="F553" s="582"/>
      <c r="G553" s="582"/>
      <c r="H553" s="582"/>
      <c r="I553" s="582"/>
      <c r="J553" s="582"/>
      <c r="K553" s="582"/>
      <c r="L553" s="582"/>
      <c r="M553" s="582"/>
      <c r="N553" s="582"/>
      <c r="O553" s="582"/>
      <c r="P553" s="582"/>
      <c r="Q553" s="582"/>
      <c r="R553" s="582"/>
      <c r="S553" s="582"/>
      <c r="T553" s="582"/>
      <c r="U553" s="582"/>
      <c r="V553" s="582"/>
      <c r="W553" s="582"/>
      <c r="X553" s="582"/>
      <c r="Y553" s="582"/>
      <c r="Z553" s="582"/>
      <c r="AA553" s="582"/>
      <c r="AB553" s="582"/>
      <c r="AC553" s="582"/>
      <c r="AD553" s="582"/>
      <c r="AE553" s="582"/>
      <c r="AF553" s="1069"/>
    </row>
    <row r="554">
      <c r="A554" s="582"/>
      <c r="B554" s="582"/>
      <c r="C554" s="582"/>
      <c r="D554" s="582"/>
      <c r="E554" s="582"/>
      <c r="F554" s="582"/>
      <c r="G554" s="582"/>
      <c r="H554" s="582"/>
      <c r="I554" s="582"/>
      <c r="J554" s="582"/>
      <c r="K554" s="582"/>
      <c r="L554" s="582"/>
      <c r="M554" s="582"/>
      <c r="N554" s="582"/>
      <c r="O554" s="582"/>
      <c r="P554" s="582"/>
      <c r="Q554" s="582"/>
      <c r="R554" s="582"/>
      <c r="S554" s="582"/>
      <c r="T554" s="582"/>
      <c r="U554" s="582"/>
      <c r="V554" s="582"/>
      <c r="W554" s="582"/>
      <c r="X554" s="582"/>
      <c r="Y554" s="582"/>
      <c r="Z554" s="582"/>
      <c r="AA554" s="582"/>
      <c r="AB554" s="582"/>
      <c r="AC554" s="582"/>
      <c r="AD554" s="582"/>
      <c r="AE554" s="582"/>
      <c r="AF554" s="1069"/>
    </row>
    <row r="555">
      <c r="A555" s="582"/>
      <c r="B555" s="582"/>
      <c r="C555" s="582"/>
      <c r="D555" s="582"/>
      <c r="E555" s="582"/>
      <c r="F555" s="582"/>
      <c r="G555" s="582"/>
      <c r="H555" s="582"/>
      <c r="I555" s="582"/>
      <c r="J555" s="582"/>
      <c r="K555" s="582"/>
      <c r="L555" s="582"/>
      <c r="M555" s="582"/>
      <c r="N555" s="582"/>
      <c r="O555" s="582"/>
      <c r="P555" s="582"/>
      <c r="Q555" s="582"/>
      <c r="R555" s="582"/>
      <c r="S555" s="582"/>
      <c r="T555" s="582"/>
      <c r="U555" s="582"/>
      <c r="V555" s="582"/>
      <c r="W555" s="582"/>
      <c r="X555" s="582"/>
      <c r="Y555" s="582"/>
      <c r="Z555" s="582"/>
      <c r="AA555" s="582"/>
      <c r="AB555" s="582"/>
      <c r="AC555" s="582"/>
      <c r="AD555" s="582"/>
      <c r="AE555" s="582"/>
      <c r="AF555" s="1069"/>
    </row>
    <row r="556">
      <c r="A556" s="582"/>
      <c r="B556" s="582"/>
      <c r="C556" s="582"/>
      <c r="D556" s="582"/>
      <c r="E556" s="582"/>
      <c r="F556" s="582"/>
      <c r="G556" s="582"/>
      <c r="H556" s="582"/>
      <c r="I556" s="582"/>
      <c r="J556" s="582"/>
      <c r="K556" s="582"/>
      <c r="L556" s="582"/>
      <c r="M556" s="582"/>
      <c r="N556" s="582"/>
      <c r="O556" s="582"/>
      <c r="P556" s="582"/>
      <c r="Q556" s="582"/>
      <c r="R556" s="582"/>
      <c r="S556" s="582"/>
      <c r="T556" s="582"/>
      <c r="U556" s="582"/>
      <c r="V556" s="582"/>
      <c r="W556" s="582"/>
      <c r="X556" s="582"/>
      <c r="Y556" s="582"/>
      <c r="Z556" s="582"/>
      <c r="AA556" s="582"/>
      <c r="AB556" s="582"/>
      <c r="AC556" s="582"/>
      <c r="AD556" s="582"/>
      <c r="AE556" s="582"/>
      <c r="AF556" s="1069"/>
    </row>
    <row r="557">
      <c r="A557" s="582"/>
      <c r="B557" s="582"/>
      <c r="C557" s="582"/>
      <c r="D557" s="582"/>
      <c r="E557" s="582"/>
      <c r="F557" s="582"/>
      <c r="G557" s="582"/>
      <c r="H557" s="582"/>
      <c r="I557" s="582"/>
      <c r="J557" s="582"/>
      <c r="K557" s="582"/>
      <c r="L557" s="582"/>
      <c r="M557" s="582"/>
      <c r="N557" s="582"/>
      <c r="O557" s="582"/>
      <c r="P557" s="582"/>
      <c r="Q557" s="582"/>
      <c r="R557" s="582"/>
      <c r="S557" s="582"/>
      <c r="T557" s="582"/>
      <c r="U557" s="582"/>
      <c r="V557" s="582"/>
      <c r="W557" s="582"/>
      <c r="X557" s="582"/>
      <c r="Y557" s="582"/>
      <c r="Z557" s="582"/>
      <c r="AA557" s="582"/>
      <c r="AB557" s="582"/>
      <c r="AC557" s="582"/>
      <c r="AD557" s="582"/>
      <c r="AE557" s="582"/>
      <c r="AF557" s="1069"/>
    </row>
    <row r="558">
      <c r="A558" s="582"/>
      <c r="B558" s="582"/>
      <c r="C558" s="582"/>
      <c r="D558" s="582"/>
      <c r="E558" s="582"/>
      <c r="F558" s="582"/>
      <c r="G558" s="582"/>
      <c r="H558" s="582"/>
      <c r="I558" s="582"/>
      <c r="J558" s="582"/>
      <c r="K558" s="582"/>
      <c r="L558" s="582"/>
      <c r="M558" s="582"/>
      <c r="N558" s="582"/>
      <c r="O558" s="582"/>
      <c r="P558" s="582"/>
      <c r="Q558" s="582"/>
      <c r="R558" s="582"/>
      <c r="S558" s="582"/>
      <c r="T558" s="582"/>
      <c r="U558" s="582"/>
      <c r="V558" s="582"/>
      <c r="W558" s="582"/>
      <c r="X558" s="582"/>
      <c r="Y558" s="582"/>
      <c r="Z558" s="582"/>
      <c r="AA558" s="582"/>
      <c r="AB558" s="582"/>
      <c r="AC558" s="582"/>
      <c r="AD558" s="582"/>
      <c r="AE558" s="582"/>
      <c r="AF558" s="1069"/>
    </row>
    <row r="559">
      <c r="A559" s="582"/>
      <c r="B559" s="582"/>
      <c r="C559" s="582"/>
      <c r="D559" s="582"/>
      <c r="E559" s="582"/>
      <c r="F559" s="582"/>
      <c r="G559" s="582"/>
      <c r="H559" s="582"/>
      <c r="I559" s="582"/>
      <c r="J559" s="582"/>
      <c r="K559" s="582"/>
      <c r="L559" s="582"/>
      <c r="M559" s="582"/>
      <c r="N559" s="582"/>
      <c r="O559" s="582"/>
      <c r="P559" s="582"/>
      <c r="Q559" s="582"/>
      <c r="R559" s="582"/>
      <c r="S559" s="582"/>
      <c r="T559" s="582"/>
      <c r="U559" s="582"/>
      <c r="V559" s="582"/>
      <c r="W559" s="582"/>
      <c r="X559" s="582"/>
      <c r="Y559" s="582"/>
      <c r="Z559" s="582"/>
      <c r="AA559" s="582"/>
      <c r="AB559" s="582"/>
      <c r="AC559" s="582"/>
      <c r="AD559" s="582"/>
      <c r="AE559" s="582"/>
      <c r="AF559" s="1069"/>
    </row>
    <row r="560">
      <c r="A560" s="582"/>
      <c r="B560" s="582"/>
      <c r="C560" s="582"/>
      <c r="D560" s="582"/>
      <c r="E560" s="582"/>
      <c r="F560" s="582"/>
      <c r="G560" s="582"/>
      <c r="H560" s="582"/>
      <c r="I560" s="582"/>
      <c r="J560" s="582"/>
      <c r="K560" s="582"/>
      <c r="L560" s="582"/>
      <c r="M560" s="582"/>
      <c r="N560" s="582"/>
      <c r="O560" s="582"/>
      <c r="P560" s="582"/>
      <c r="Q560" s="582"/>
      <c r="R560" s="582"/>
      <c r="S560" s="582"/>
      <c r="T560" s="582"/>
      <c r="U560" s="582"/>
      <c r="V560" s="582"/>
      <c r="W560" s="582"/>
      <c r="X560" s="582"/>
      <c r="Y560" s="582"/>
      <c r="Z560" s="582"/>
      <c r="AA560" s="582"/>
      <c r="AB560" s="582"/>
      <c r="AC560" s="582"/>
      <c r="AD560" s="582"/>
      <c r="AE560" s="582"/>
      <c r="AF560" s="1069"/>
    </row>
    <row r="561">
      <c r="A561" s="582"/>
      <c r="B561" s="582"/>
      <c r="C561" s="582"/>
      <c r="D561" s="582"/>
      <c r="E561" s="582"/>
      <c r="F561" s="582"/>
      <c r="G561" s="582"/>
      <c r="H561" s="582"/>
      <c r="I561" s="582"/>
      <c r="J561" s="582"/>
      <c r="K561" s="582"/>
      <c r="L561" s="582"/>
      <c r="M561" s="582"/>
      <c r="N561" s="582"/>
      <c r="O561" s="582"/>
      <c r="P561" s="582"/>
      <c r="Q561" s="582"/>
      <c r="R561" s="582"/>
      <c r="S561" s="582"/>
      <c r="T561" s="582"/>
      <c r="U561" s="582"/>
      <c r="V561" s="582"/>
      <c r="W561" s="582"/>
      <c r="X561" s="582"/>
      <c r="Y561" s="582"/>
      <c r="Z561" s="582"/>
      <c r="AA561" s="582"/>
      <c r="AB561" s="582"/>
      <c r="AC561" s="582"/>
      <c r="AD561" s="582"/>
      <c r="AE561" s="582"/>
      <c r="AF561" s="1069"/>
    </row>
    <row r="562">
      <c r="A562" s="582"/>
      <c r="B562" s="582"/>
      <c r="C562" s="582"/>
      <c r="D562" s="582"/>
      <c r="E562" s="582"/>
      <c r="F562" s="582"/>
      <c r="G562" s="582"/>
      <c r="H562" s="582"/>
      <c r="I562" s="582"/>
      <c r="J562" s="582"/>
      <c r="K562" s="582"/>
      <c r="L562" s="582"/>
      <c r="M562" s="582"/>
      <c r="N562" s="582"/>
      <c r="O562" s="582"/>
      <c r="P562" s="582"/>
      <c r="Q562" s="582"/>
      <c r="R562" s="582"/>
      <c r="S562" s="582"/>
      <c r="T562" s="582"/>
      <c r="U562" s="582"/>
      <c r="V562" s="582"/>
      <c r="W562" s="582"/>
      <c r="X562" s="582"/>
      <c r="Y562" s="582"/>
      <c r="Z562" s="582"/>
      <c r="AA562" s="582"/>
      <c r="AB562" s="582"/>
      <c r="AC562" s="582"/>
      <c r="AD562" s="582"/>
      <c r="AE562" s="582"/>
      <c r="AF562" s="1069"/>
    </row>
    <row r="563">
      <c r="A563" s="582"/>
      <c r="B563" s="582"/>
      <c r="C563" s="582"/>
      <c r="D563" s="582"/>
      <c r="E563" s="582"/>
      <c r="F563" s="582"/>
      <c r="G563" s="582"/>
      <c r="H563" s="582"/>
      <c r="I563" s="582"/>
      <c r="J563" s="582"/>
      <c r="K563" s="582"/>
      <c r="L563" s="582"/>
      <c r="M563" s="582"/>
      <c r="N563" s="582"/>
      <c r="O563" s="582"/>
      <c r="P563" s="582"/>
      <c r="Q563" s="582"/>
      <c r="R563" s="582"/>
      <c r="S563" s="582"/>
      <c r="T563" s="582"/>
      <c r="U563" s="582"/>
      <c r="V563" s="582"/>
      <c r="W563" s="582"/>
      <c r="X563" s="582"/>
      <c r="Y563" s="582"/>
      <c r="Z563" s="582"/>
      <c r="AA563" s="582"/>
      <c r="AB563" s="582"/>
      <c r="AC563" s="582"/>
      <c r="AD563" s="582"/>
      <c r="AE563" s="582"/>
      <c r="AF563" s="1069"/>
    </row>
    <row r="564">
      <c r="A564" s="582"/>
      <c r="B564" s="582"/>
      <c r="C564" s="582"/>
      <c r="D564" s="582"/>
      <c r="E564" s="582"/>
      <c r="F564" s="582"/>
      <c r="G564" s="582"/>
      <c r="H564" s="582"/>
      <c r="I564" s="582"/>
      <c r="J564" s="582"/>
      <c r="K564" s="582"/>
      <c r="L564" s="582"/>
      <c r="M564" s="582"/>
      <c r="N564" s="582"/>
      <c r="O564" s="582"/>
      <c r="P564" s="582"/>
      <c r="Q564" s="582"/>
      <c r="R564" s="582"/>
      <c r="S564" s="582"/>
      <c r="T564" s="582"/>
      <c r="U564" s="582"/>
      <c r="V564" s="582"/>
      <c r="W564" s="582"/>
      <c r="X564" s="582"/>
      <c r="Y564" s="582"/>
      <c r="Z564" s="582"/>
      <c r="AA564" s="582"/>
      <c r="AB564" s="582"/>
      <c r="AC564" s="582"/>
      <c r="AD564" s="582"/>
      <c r="AE564" s="582"/>
      <c r="AF564" s="1069"/>
    </row>
    <row r="565">
      <c r="A565" s="582"/>
      <c r="B565" s="582"/>
      <c r="C565" s="582"/>
      <c r="D565" s="582"/>
      <c r="E565" s="582"/>
      <c r="F565" s="582"/>
      <c r="G565" s="582"/>
      <c r="H565" s="582"/>
      <c r="I565" s="582"/>
      <c r="J565" s="582"/>
      <c r="K565" s="582"/>
      <c r="L565" s="582"/>
      <c r="M565" s="582"/>
      <c r="N565" s="582"/>
      <c r="O565" s="582"/>
      <c r="P565" s="582"/>
      <c r="Q565" s="582"/>
      <c r="R565" s="582"/>
      <c r="S565" s="582"/>
      <c r="T565" s="582"/>
      <c r="U565" s="582"/>
      <c r="V565" s="582"/>
      <c r="W565" s="582"/>
      <c r="X565" s="582"/>
      <c r="Y565" s="582"/>
      <c r="Z565" s="582"/>
      <c r="AA565" s="582"/>
      <c r="AB565" s="582"/>
      <c r="AC565" s="582"/>
      <c r="AD565" s="582"/>
      <c r="AE565" s="582"/>
      <c r="AF565" s="1069"/>
    </row>
    <row r="566">
      <c r="A566" s="582"/>
      <c r="B566" s="582"/>
      <c r="C566" s="582"/>
      <c r="D566" s="582"/>
      <c r="E566" s="582"/>
      <c r="F566" s="582"/>
      <c r="G566" s="582"/>
      <c r="H566" s="582"/>
      <c r="I566" s="582"/>
      <c r="J566" s="582"/>
      <c r="K566" s="582"/>
      <c r="L566" s="582"/>
      <c r="M566" s="582"/>
      <c r="N566" s="582"/>
      <c r="O566" s="582"/>
      <c r="P566" s="582"/>
      <c r="Q566" s="582"/>
      <c r="R566" s="582"/>
      <c r="S566" s="582"/>
      <c r="T566" s="582"/>
      <c r="U566" s="582"/>
      <c r="V566" s="582"/>
      <c r="W566" s="582"/>
      <c r="X566" s="582"/>
      <c r="Y566" s="582"/>
      <c r="Z566" s="582"/>
      <c r="AA566" s="582"/>
      <c r="AB566" s="582"/>
      <c r="AC566" s="582"/>
      <c r="AD566" s="582"/>
      <c r="AE566" s="582"/>
      <c r="AF566" s="1069"/>
    </row>
    <row r="567">
      <c r="A567" s="582"/>
      <c r="B567" s="582"/>
      <c r="C567" s="582"/>
      <c r="D567" s="582"/>
      <c r="E567" s="582"/>
      <c r="F567" s="582"/>
      <c r="G567" s="582"/>
      <c r="H567" s="582"/>
      <c r="I567" s="582"/>
      <c r="J567" s="582"/>
      <c r="K567" s="582"/>
      <c r="L567" s="582"/>
      <c r="M567" s="582"/>
      <c r="N567" s="582"/>
      <c r="O567" s="582"/>
      <c r="P567" s="582"/>
      <c r="Q567" s="582"/>
      <c r="R567" s="582"/>
      <c r="S567" s="582"/>
      <c r="T567" s="582"/>
      <c r="U567" s="582"/>
      <c r="V567" s="582"/>
      <c r="W567" s="582"/>
      <c r="X567" s="582"/>
      <c r="Y567" s="582"/>
      <c r="Z567" s="582"/>
      <c r="AA567" s="582"/>
      <c r="AB567" s="582"/>
      <c r="AC567" s="582"/>
      <c r="AD567" s="582"/>
      <c r="AE567" s="582"/>
      <c r="AF567" s="1069"/>
    </row>
    <row r="568">
      <c r="A568" s="582"/>
      <c r="B568" s="582"/>
      <c r="C568" s="582"/>
      <c r="D568" s="582"/>
      <c r="E568" s="582"/>
      <c r="F568" s="582"/>
      <c r="G568" s="582"/>
      <c r="H568" s="582"/>
      <c r="I568" s="582"/>
      <c r="J568" s="582"/>
      <c r="K568" s="582"/>
      <c r="L568" s="582"/>
      <c r="M568" s="582"/>
      <c r="N568" s="582"/>
      <c r="O568" s="582"/>
      <c r="P568" s="582"/>
      <c r="Q568" s="582"/>
      <c r="R568" s="582"/>
      <c r="S568" s="582"/>
      <c r="T568" s="582"/>
      <c r="U568" s="582"/>
      <c r="V568" s="582"/>
      <c r="W568" s="582"/>
      <c r="X568" s="582"/>
      <c r="Y568" s="582"/>
      <c r="Z568" s="582"/>
      <c r="AA568" s="582"/>
      <c r="AB568" s="582"/>
      <c r="AC568" s="582"/>
      <c r="AD568" s="582"/>
      <c r="AE568" s="582"/>
      <c r="AF568" s="1069"/>
    </row>
    <row r="569">
      <c r="A569" s="582"/>
      <c r="B569" s="582"/>
      <c r="C569" s="582"/>
      <c r="D569" s="582"/>
      <c r="E569" s="582"/>
      <c r="F569" s="582"/>
      <c r="G569" s="582"/>
      <c r="H569" s="582"/>
      <c r="I569" s="582"/>
      <c r="J569" s="582"/>
      <c r="K569" s="582"/>
      <c r="L569" s="582"/>
      <c r="M569" s="582"/>
      <c r="N569" s="582"/>
      <c r="O569" s="582"/>
      <c r="P569" s="582"/>
      <c r="Q569" s="582"/>
      <c r="R569" s="582"/>
      <c r="S569" s="582"/>
      <c r="T569" s="582"/>
      <c r="U569" s="582"/>
      <c r="V569" s="582"/>
      <c r="W569" s="582"/>
      <c r="X569" s="582"/>
      <c r="Y569" s="582"/>
      <c r="Z569" s="582"/>
      <c r="AA569" s="582"/>
      <c r="AB569" s="582"/>
      <c r="AC569" s="582"/>
      <c r="AD569" s="582"/>
      <c r="AE569" s="582"/>
      <c r="AF569" s="1069"/>
    </row>
    <row r="570">
      <c r="A570" s="582"/>
      <c r="B570" s="582"/>
      <c r="C570" s="582"/>
      <c r="D570" s="582"/>
      <c r="E570" s="582"/>
      <c r="F570" s="582"/>
      <c r="G570" s="582"/>
      <c r="H570" s="582"/>
      <c r="I570" s="582"/>
      <c r="J570" s="582"/>
      <c r="K570" s="582"/>
      <c r="L570" s="582"/>
      <c r="M570" s="582"/>
      <c r="N570" s="582"/>
      <c r="O570" s="582"/>
      <c r="P570" s="582"/>
      <c r="Q570" s="582"/>
      <c r="R570" s="582"/>
      <c r="S570" s="582"/>
      <c r="T570" s="582"/>
      <c r="U570" s="582"/>
      <c r="V570" s="582"/>
      <c r="W570" s="582"/>
      <c r="X570" s="582"/>
      <c r="Y570" s="582"/>
      <c r="Z570" s="582"/>
      <c r="AA570" s="582"/>
      <c r="AB570" s="582"/>
      <c r="AC570" s="582"/>
      <c r="AD570" s="582"/>
      <c r="AE570" s="582"/>
      <c r="AF570" s="1069"/>
    </row>
    <row r="571">
      <c r="A571" s="582"/>
      <c r="B571" s="582"/>
      <c r="C571" s="582"/>
      <c r="D571" s="582"/>
      <c r="E571" s="582"/>
      <c r="F571" s="582"/>
      <c r="G571" s="582"/>
      <c r="H571" s="582"/>
      <c r="I571" s="582"/>
      <c r="J571" s="582"/>
      <c r="K571" s="582"/>
      <c r="L571" s="582"/>
      <c r="M571" s="582"/>
      <c r="N571" s="582"/>
      <c r="O571" s="582"/>
      <c r="P571" s="582"/>
      <c r="Q571" s="582"/>
      <c r="R571" s="582"/>
      <c r="S571" s="582"/>
      <c r="T571" s="582"/>
      <c r="U571" s="582"/>
      <c r="V571" s="582"/>
      <c r="W571" s="582"/>
      <c r="X571" s="582"/>
      <c r="Y571" s="582"/>
      <c r="Z571" s="582"/>
      <c r="AA571" s="582"/>
      <c r="AB571" s="582"/>
      <c r="AC571" s="582"/>
      <c r="AD571" s="582"/>
      <c r="AE571" s="582"/>
      <c r="AF571" s="1069"/>
    </row>
    <row r="572">
      <c r="A572" s="582"/>
      <c r="B572" s="582"/>
      <c r="C572" s="582"/>
      <c r="D572" s="582"/>
      <c r="E572" s="582"/>
      <c r="F572" s="582"/>
      <c r="G572" s="582"/>
      <c r="H572" s="582"/>
      <c r="I572" s="582"/>
      <c r="J572" s="582"/>
      <c r="K572" s="582"/>
      <c r="L572" s="582"/>
      <c r="M572" s="582"/>
      <c r="N572" s="582"/>
      <c r="O572" s="582"/>
      <c r="P572" s="582"/>
      <c r="Q572" s="582"/>
      <c r="R572" s="582"/>
      <c r="S572" s="582"/>
      <c r="T572" s="582"/>
      <c r="U572" s="582"/>
      <c r="V572" s="582"/>
      <c r="W572" s="582"/>
      <c r="X572" s="582"/>
      <c r="Y572" s="582"/>
      <c r="Z572" s="582"/>
      <c r="AA572" s="582"/>
      <c r="AB572" s="582"/>
      <c r="AC572" s="582"/>
      <c r="AD572" s="582"/>
      <c r="AE572" s="582"/>
      <c r="AF572" s="1069"/>
    </row>
    <row r="573">
      <c r="A573" s="582"/>
      <c r="B573" s="582"/>
      <c r="C573" s="582"/>
      <c r="D573" s="582"/>
      <c r="E573" s="582"/>
      <c r="F573" s="582"/>
      <c r="G573" s="582"/>
      <c r="H573" s="582"/>
      <c r="I573" s="582"/>
      <c r="J573" s="582"/>
      <c r="K573" s="582"/>
      <c r="L573" s="582"/>
      <c r="M573" s="582"/>
      <c r="N573" s="582"/>
      <c r="O573" s="582"/>
      <c r="P573" s="582"/>
      <c r="Q573" s="582"/>
      <c r="R573" s="582"/>
      <c r="S573" s="582"/>
      <c r="T573" s="582"/>
      <c r="U573" s="582"/>
      <c r="V573" s="582"/>
      <c r="W573" s="582"/>
      <c r="X573" s="582"/>
      <c r="Y573" s="582"/>
      <c r="Z573" s="582"/>
      <c r="AA573" s="582"/>
      <c r="AB573" s="582"/>
      <c r="AC573" s="582"/>
      <c r="AD573" s="582"/>
      <c r="AE573" s="582"/>
      <c r="AF573" s="1069"/>
    </row>
    <row r="574">
      <c r="A574" s="582"/>
      <c r="B574" s="582"/>
      <c r="C574" s="582"/>
      <c r="D574" s="582"/>
      <c r="E574" s="582"/>
      <c r="F574" s="582"/>
      <c r="G574" s="582"/>
      <c r="H574" s="582"/>
      <c r="I574" s="582"/>
      <c r="J574" s="582"/>
      <c r="K574" s="582"/>
      <c r="L574" s="582"/>
      <c r="M574" s="582"/>
      <c r="N574" s="582"/>
      <c r="O574" s="582"/>
      <c r="P574" s="582"/>
      <c r="Q574" s="582"/>
      <c r="R574" s="582"/>
      <c r="S574" s="582"/>
      <c r="T574" s="582"/>
      <c r="U574" s="582"/>
      <c r="V574" s="582"/>
      <c r="W574" s="582"/>
      <c r="X574" s="582"/>
      <c r="Y574" s="582"/>
      <c r="Z574" s="582"/>
      <c r="AA574" s="582"/>
      <c r="AB574" s="582"/>
      <c r="AC574" s="582"/>
      <c r="AD574" s="582"/>
      <c r="AE574" s="582"/>
      <c r="AF574" s="1069"/>
    </row>
    <row r="575">
      <c r="A575" s="582"/>
      <c r="B575" s="582"/>
      <c r="C575" s="582"/>
      <c r="D575" s="582"/>
      <c r="E575" s="582"/>
      <c r="F575" s="582"/>
      <c r="G575" s="582"/>
      <c r="H575" s="582"/>
      <c r="I575" s="582"/>
      <c r="J575" s="582"/>
      <c r="K575" s="582"/>
      <c r="L575" s="582"/>
      <c r="M575" s="582"/>
      <c r="N575" s="582"/>
      <c r="O575" s="582"/>
      <c r="P575" s="582"/>
      <c r="Q575" s="582"/>
      <c r="R575" s="582"/>
      <c r="S575" s="582"/>
      <c r="T575" s="582"/>
      <c r="U575" s="582"/>
      <c r="V575" s="582"/>
      <c r="W575" s="582"/>
      <c r="X575" s="582"/>
      <c r="Y575" s="582"/>
      <c r="Z575" s="582"/>
      <c r="AA575" s="582"/>
      <c r="AB575" s="582"/>
      <c r="AC575" s="582"/>
      <c r="AD575" s="582"/>
      <c r="AE575" s="582"/>
      <c r="AF575" s="1069"/>
    </row>
    <row r="576">
      <c r="A576" s="582"/>
      <c r="B576" s="582"/>
      <c r="C576" s="582"/>
      <c r="D576" s="582"/>
      <c r="E576" s="582"/>
      <c r="F576" s="582"/>
      <c r="G576" s="582"/>
      <c r="H576" s="582"/>
      <c r="I576" s="582"/>
      <c r="J576" s="582"/>
      <c r="K576" s="582"/>
      <c r="L576" s="582"/>
      <c r="M576" s="582"/>
      <c r="N576" s="582"/>
      <c r="O576" s="582"/>
      <c r="P576" s="582"/>
      <c r="Q576" s="582"/>
      <c r="R576" s="582"/>
      <c r="S576" s="582"/>
      <c r="T576" s="582"/>
      <c r="U576" s="582"/>
      <c r="V576" s="582"/>
      <c r="W576" s="582"/>
      <c r="X576" s="582"/>
      <c r="Y576" s="582"/>
      <c r="Z576" s="582"/>
      <c r="AA576" s="582"/>
      <c r="AB576" s="582"/>
      <c r="AC576" s="582"/>
      <c r="AD576" s="582"/>
      <c r="AE576" s="582"/>
      <c r="AF576" s="1069"/>
    </row>
    <row r="577">
      <c r="A577" s="582"/>
      <c r="B577" s="582"/>
      <c r="C577" s="582"/>
      <c r="D577" s="582"/>
      <c r="E577" s="582"/>
      <c r="F577" s="582"/>
      <c r="G577" s="582"/>
      <c r="H577" s="582"/>
      <c r="I577" s="582"/>
      <c r="J577" s="582"/>
      <c r="K577" s="582"/>
      <c r="L577" s="582"/>
      <c r="M577" s="582"/>
      <c r="N577" s="582"/>
      <c r="O577" s="582"/>
      <c r="P577" s="582"/>
      <c r="Q577" s="582"/>
      <c r="R577" s="582"/>
      <c r="S577" s="582"/>
      <c r="T577" s="582"/>
      <c r="U577" s="582"/>
      <c r="V577" s="582"/>
      <c r="W577" s="582"/>
      <c r="X577" s="582"/>
      <c r="Y577" s="582"/>
      <c r="Z577" s="582"/>
      <c r="AA577" s="582"/>
      <c r="AB577" s="582"/>
      <c r="AC577" s="582"/>
      <c r="AD577" s="582"/>
      <c r="AE577" s="582"/>
      <c r="AF577" s="1069"/>
    </row>
    <row r="578">
      <c r="A578" s="582"/>
      <c r="B578" s="582"/>
      <c r="C578" s="582"/>
      <c r="D578" s="582"/>
      <c r="E578" s="582"/>
      <c r="F578" s="582"/>
      <c r="G578" s="582"/>
      <c r="H578" s="582"/>
      <c r="I578" s="582"/>
      <c r="J578" s="582"/>
      <c r="K578" s="582"/>
      <c r="L578" s="582"/>
      <c r="M578" s="582"/>
      <c r="N578" s="582"/>
      <c r="O578" s="582"/>
      <c r="P578" s="582"/>
      <c r="Q578" s="582"/>
      <c r="R578" s="582"/>
      <c r="S578" s="582"/>
      <c r="T578" s="582"/>
      <c r="U578" s="582"/>
      <c r="V578" s="582"/>
      <c r="W578" s="582"/>
      <c r="X578" s="582"/>
      <c r="Y578" s="582"/>
      <c r="Z578" s="582"/>
      <c r="AA578" s="582"/>
      <c r="AB578" s="582"/>
      <c r="AC578" s="582"/>
      <c r="AD578" s="582"/>
      <c r="AE578" s="582"/>
      <c r="AF578" s="1069"/>
    </row>
    <row r="579">
      <c r="A579" s="582"/>
      <c r="B579" s="582"/>
      <c r="C579" s="582"/>
      <c r="D579" s="582"/>
      <c r="E579" s="582"/>
      <c r="F579" s="582"/>
      <c r="G579" s="582"/>
      <c r="H579" s="582"/>
      <c r="I579" s="582"/>
      <c r="J579" s="582"/>
      <c r="K579" s="582"/>
      <c r="L579" s="582"/>
      <c r="M579" s="582"/>
      <c r="N579" s="582"/>
      <c r="O579" s="582"/>
      <c r="P579" s="582"/>
      <c r="Q579" s="582"/>
      <c r="R579" s="582"/>
      <c r="S579" s="582"/>
      <c r="T579" s="582"/>
      <c r="U579" s="582"/>
      <c r="V579" s="582"/>
      <c r="W579" s="582"/>
      <c r="X579" s="582"/>
      <c r="Y579" s="582"/>
      <c r="Z579" s="582"/>
      <c r="AA579" s="582"/>
      <c r="AB579" s="582"/>
      <c r="AC579" s="582"/>
      <c r="AD579" s="582"/>
      <c r="AE579" s="582"/>
      <c r="AF579" s="1069"/>
    </row>
    <row r="580">
      <c r="A580" s="582"/>
      <c r="B580" s="582"/>
      <c r="C580" s="582"/>
      <c r="D580" s="582"/>
      <c r="E580" s="582"/>
      <c r="F580" s="582"/>
      <c r="G580" s="582"/>
      <c r="H580" s="582"/>
      <c r="I580" s="582"/>
      <c r="J580" s="582"/>
      <c r="K580" s="582"/>
      <c r="L580" s="582"/>
      <c r="M580" s="582"/>
      <c r="N580" s="582"/>
      <c r="O580" s="582"/>
      <c r="P580" s="582"/>
      <c r="Q580" s="582"/>
      <c r="R580" s="582"/>
      <c r="S580" s="582"/>
      <c r="T580" s="582"/>
      <c r="U580" s="582"/>
      <c r="V580" s="582"/>
      <c r="W580" s="582"/>
      <c r="X580" s="582"/>
      <c r="Y580" s="582"/>
      <c r="Z580" s="582"/>
      <c r="AA580" s="582"/>
      <c r="AB580" s="582"/>
      <c r="AC580" s="582"/>
      <c r="AD580" s="582"/>
      <c r="AE580" s="582"/>
      <c r="AF580" s="1069"/>
    </row>
    <row r="581">
      <c r="A581" s="582"/>
      <c r="B581" s="582"/>
      <c r="C581" s="582"/>
      <c r="D581" s="582"/>
      <c r="E581" s="582"/>
      <c r="F581" s="582"/>
      <c r="G581" s="582"/>
      <c r="H581" s="582"/>
      <c r="I581" s="582"/>
      <c r="J581" s="582"/>
      <c r="K581" s="582"/>
      <c r="L581" s="582"/>
      <c r="M581" s="582"/>
      <c r="N581" s="582"/>
      <c r="O581" s="582"/>
      <c r="P581" s="582"/>
      <c r="Q581" s="582"/>
      <c r="R581" s="582"/>
      <c r="S581" s="582"/>
      <c r="T581" s="582"/>
      <c r="U581" s="582"/>
      <c r="V581" s="582"/>
      <c r="W581" s="582"/>
      <c r="X581" s="582"/>
      <c r="Y581" s="582"/>
      <c r="Z581" s="582"/>
      <c r="AA581" s="582"/>
      <c r="AB581" s="582"/>
      <c r="AC581" s="582"/>
      <c r="AD581" s="582"/>
      <c r="AE581" s="582"/>
      <c r="AF581" s="1069"/>
    </row>
    <row r="582">
      <c r="A582" s="582"/>
      <c r="B582" s="582"/>
      <c r="C582" s="582"/>
      <c r="D582" s="582"/>
      <c r="E582" s="582"/>
      <c r="F582" s="582"/>
      <c r="G582" s="582"/>
      <c r="H582" s="582"/>
      <c r="I582" s="582"/>
      <c r="J582" s="582"/>
      <c r="K582" s="582"/>
      <c r="L582" s="582"/>
      <c r="M582" s="582"/>
      <c r="N582" s="582"/>
      <c r="O582" s="582"/>
      <c r="P582" s="582"/>
      <c r="Q582" s="582"/>
      <c r="R582" s="582"/>
      <c r="S582" s="582"/>
      <c r="T582" s="582"/>
      <c r="U582" s="582"/>
      <c r="V582" s="582"/>
      <c r="W582" s="582"/>
      <c r="X582" s="582"/>
      <c r="Y582" s="582"/>
      <c r="Z582" s="582"/>
      <c r="AA582" s="582"/>
      <c r="AB582" s="582"/>
      <c r="AC582" s="582"/>
      <c r="AD582" s="582"/>
      <c r="AE582" s="582"/>
      <c r="AF582" s="1069"/>
    </row>
    <row r="583">
      <c r="A583" s="582"/>
      <c r="B583" s="582"/>
      <c r="C583" s="582"/>
      <c r="D583" s="582"/>
      <c r="E583" s="582"/>
      <c r="F583" s="582"/>
      <c r="G583" s="582"/>
      <c r="H583" s="582"/>
      <c r="I583" s="582"/>
      <c r="J583" s="582"/>
      <c r="K583" s="582"/>
      <c r="L583" s="582"/>
      <c r="M583" s="582"/>
      <c r="N583" s="582"/>
      <c r="O583" s="582"/>
      <c r="P583" s="582"/>
      <c r="Q583" s="582"/>
      <c r="R583" s="582"/>
      <c r="S583" s="582"/>
      <c r="T583" s="582"/>
      <c r="U583" s="582"/>
      <c r="V583" s="582"/>
      <c r="W583" s="582"/>
      <c r="X583" s="582"/>
      <c r="Y583" s="582"/>
      <c r="Z583" s="582"/>
      <c r="AA583" s="582"/>
      <c r="AB583" s="582"/>
      <c r="AC583" s="582"/>
      <c r="AD583" s="582"/>
      <c r="AE583" s="582"/>
      <c r="AF583" s="1069"/>
    </row>
    <row r="584">
      <c r="A584" s="582"/>
      <c r="B584" s="582"/>
      <c r="C584" s="582"/>
      <c r="D584" s="582"/>
      <c r="E584" s="582"/>
      <c r="F584" s="582"/>
      <c r="G584" s="582"/>
      <c r="H584" s="582"/>
      <c r="I584" s="582"/>
      <c r="J584" s="582"/>
      <c r="K584" s="582"/>
      <c r="L584" s="582"/>
      <c r="M584" s="582"/>
      <c r="N584" s="582"/>
      <c r="O584" s="582"/>
      <c r="P584" s="582"/>
      <c r="Q584" s="582"/>
      <c r="R584" s="582"/>
      <c r="S584" s="582"/>
      <c r="T584" s="582"/>
      <c r="U584" s="582"/>
      <c r="V584" s="582"/>
      <c r="W584" s="582"/>
      <c r="X584" s="582"/>
      <c r="Y584" s="582"/>
      <c r="Z584" s="582"/>
      <c r="AA584" s="582"/>
      <c r="AB584" s="582"/>
      <c r="AC584" s="582"/>
      <c r="AD584" s="582"/>
      <c r="AE584" s="582"/>
      <c r="AF584" s="1069"/>
    </row>
    <row r="585">
      <c r="A585" s="582"/>
      <c r="B585" s="582"/>
      <c r="C585" s="582"/>
      <c r="D585" s="582"/>
      <c r="E585" s="582"/>
      <c r="F585" s="582"/>
      <c r="G585" s="582"/>
      <c r="H585" s="582"/>
      <c r="I585" s="582"/>
      <c r="J585" s="582"/>
      <c r="K585" s="582"/>
      <c r="L585" s="582"/>
      <c r="M585" s="582"/>
      <c r="N585" s="582"/>
      <c r="O585" s="582"/>
      <c r="P585" s="582"/>
      <c r="Q585" s="582"/>
      <c r="R585" s="582"/>
      <c r="S585" s="582"/>
      <c r="T585" s="582"/>
      <c r="U585" s="582"/>
      <c r="V585" s="582"/>
      <c r="W585" s="582"/>
      <c r="X585" s="582"/>
      <c r="Y585" s="582"/>
      <c r="Z585" s="582"/>
      <c r="AA585" s="582"/>
      <c r="AB585" s="582"/>
      <c r="AC585" s="582"/>
      <c r="AD585" s="582"/>
      <c r="AE585" s="582"/>
      <c r="AF585" s="1069"/>
    </row>
    <row r="586">
      <c r="A586" s="582"/>
      <c r="B586" s="582"/>
      <c r="C586" s="582"/>
      <c r="D586" s="582"/>
      <c r="E586" s="582"/>
      <c r="F586" s="582"/>
      <c r="G586" s="582"/>
      <c r="H586" s="582"/>
      <c r="I586" s="582"/>
      <c r="J586" s="582"/>
      <c r="K586" s="582"/>
      <c r="L586" s="582"/>
      <c r="M586" s="582"/>
      <c r="N586" s="582"/>
      <c r="O586" s="582"/>
      <c r="P586" s="582"/>
      <c r="Q586" s="582"/>
      <c r="R586" s="582"/>
      <c r="S586" s="582"/>
      <c r="T586" s="582"/>
      <c r="U586" s="582"/>
      <c r="V586" s="582"/>
      <c r="W586" s="582"/>
      <c r="X586" s="582"/>
      <c r="Y586" s="582"/>
      <c r="Z586" s="582"/>
      <c r="AA586" s="582"/>
      <c r="AB586" s="582"/>
      <c r="AC586" s="582"/>
      <c r="AD586" s="582"/>
      <c r="AE586" s="582"/>
      <c r="AF586" s="1069"/>
    </row>
    <row r="587">
      <c r="A587" s="582"/>
      <c r="B587" s="582"/>
      <c r="C587" s="582"/>
      <c r="D587" s="582"/>
      <c r="E587" s="582"/>
      <c r="F587" s="582"/>
      <c r="G587" s="582"/>
      <c r="H587" s="582"/>
      <c r="I587" s="582"/>
      <c r="J587" s="582"/>
      <c r="K587" s="582"/>
      <c r="L587" s="582"/>
      <c r="M587" s="582"/>
      <c r="N587" s="582"/>
      <c r="O587" s="582"/>
      <c r="P587" s="582"/>
      <c r="Q587" s="582"/>
      <c r="R587" s="582"/>
      <c r="S587" s="582"/>
      <c r="T587" s="582"/>
      <c r="U587" s="582"/>
      <c r="V587" s="582"/>
      <c r="W587" s="582"/>
      <c r="X587" s="582"/>
      <c r="Y587" s="582"/>
      <c r="Z587" s="582"/>
      <c r="AA587" s="582"/>
      <c r="AB587" s="582"/>
      <c r="AC587" s="582"/>
      <c r="AD587" s="582"/>
      <c r="AE587" s="582"/>
      <c r="AF587" s="1069"/>
    </row>
    <row r="588">
      <c r="A588" s="582"/>
      <c r="B588" s="582"/>
      <c r="C588" s="582"/>
      <c r="D588" s="582"/>
      <c r="E588" s="582"/>
      <c r="F588" s="582"/>
      <c r="G588" s="582"/>
      <c r="H588" s="582"/>
      <c r="I588" s="582"/>
      <c r="J588" s="582"/>
      <c r="K588" s="582"/>
      <c r="L588" s="582"/>
      <c r="M588" s="582"/>
      <c r="N588" s="582"/>
      <c r="O588" s="582"/>
      <c r="P588" s="582"/>
      <c r="Q588" s="582"/>
      <c r="R588" s="582"/>
      <c r="S588" s="582"/>
      <c r="T588" s="582"/>
      <c r="U588" s="582"/>
      <c r="V588" s="582"/>
      <c r="W588" s="582"/>
      <c r="X588" s="582"/>
      <c r="Y588" s="582"/>
      <c r="Z588" s="582"/>
      <c r="AA588" s="582"/>
      <c r="AB588" s="582"/>
      <c r="AC588" s="582"/>
      <c r="AD588" s="582"/>
      <c r="AE588" s="582"/>
      <c r="AF588" s="1069"/>
    </row>
    <row r="589">
      <c r="A589" s="582"/>
      <c r="B589" s="582"/>
      <c r="C589" s="582"/>
      <c r="D589" s="582"/>
      <c r="E589" s="582"/>
      <c r="F589" s="582"/>
      <c r="G589" s="582"/>
      <c r="H589" s="582"/>
      <c r="I589" s="582"/>
      <c r="J589" s="582"/>
      <c r="K589" s="582"/>
      <c r="L589" s="582"/>
      <c r="M589" s="582"/>
      <c r="N589" s="582"/>
      <c r="O589" s="582"/>
      <c r="P589" s="582"/>
      <c r="Q589" s="582"/>
      <c r="R589" s="582"/>
      <c r="S589" s="582"/>
      <c r="T589" s="582"/>
      <c r="U589" s="582"/>
      <c r="V589" s="582"/>
      <c r="W589" s="582"/>
      <c r="X589" s="582"/>
      <c r="Y589" s="582"/>
      <c r="Z589" s="582"/>
      <c r="AA589" s="582"/>
      <c r="AB589" s="582"/>
      <c r="AC589" s="582"/>
      <c r="AD589" s="582"/>
      <c r="AE589" s="582"/>
      <c r="AF589" s="1069"/>
    </row>
    <row r="590">
      <c r="A590" s="582"/>
      <c r="B590" s="582"/>
      <c r="C590" s="582"/>
      <c r="D590" s="582"/>
      <c r="E590" s="582"/>
      <c r="F590" s="582"/>
      <c r="G590" s="582"/>
      <c r="H590" s="582"/>
      <c r="I590" s="582"/>
      <c r="J590" s="582"/>
      <c r="K590" s="582"/>
      <c r="L590" s="582"/>
      <c r="M590" s="582"/>
      <c r="N590" s="582"/>
      <c r="O590" s="582"/>
      <c r="P590" s="582"/>
      <c r="Q590" s="582"/>
      <c r="R590" s="582"/>
      <c r="S590" s="582"/>
      <c r="T590" s="582"/>
      <c r="U590" s="582"/>
      <c r="V590" s="582"/>
      <c r="W590" s="582"/>
      <c r="X590" s="582"/>
      <c r="Y590" s="582"/>
      <c r="Z590" s="582"/>
      <c r="AA590" s="582"/>
      <c r="AB590" s="582"/>
      <c r="AC590" s="582"/>
      <c r="AD590" s="582"/>
      <c r="AE590" s="582"/>
      <c r="AF590" s="1069"/>
    </row>
    <row r="591">
      <c r="A591" s="582"/>
      <c r="B591" s="582"/>
      <c r="C591" s="582"/>
      <c r="D591" s="582"/>
      <c r="E591" s="582"/>
      <c r="F591" s="582"/>
      <c r="G591" s="582"/>
      <c r="H591" s="582"/>
      <c r="I591" s="582"/>
      <c r="J591" s="582"/>
      <c r="K591" s="582"/>
      <c r="L591" s="582"/>
      <c r="M591" s="582"/>
      <c r="N591" s="582"/>
      <c r="O591" s="582"/>
      <c r="P591" s="582"/>
      <c r="Q591" s="582"/>
      <c r="R591" s="582"/>
      <c r="S591" s="582"/>
      <c r="T591" s="582"/>
      <c r="U591" s="582"/>
      <c r="V591" s="582"/>
      <c r="W591" s="582"/>
      <c r="X591" s="582"/>
      <c r="Y591" s="582"/>
      <c r="Z591" s="582"/>
      <c r="AA591" s="582"/>
      <c r="AB591" s="582"/>
      <c r="AC591" s="582"/>
      <c r="AD591" s="582"/>
      <c r="AE591" s="582"/>
      <c r="AF591" s="1069"/>
    </row>
    <row r="592">
      <c r="A592" s="582"/>
      <c r="B592" s="582"/>
      <c r="C592" s="582"/>
      <c r="D592" s="582"/>
      <c r="E592" s="582"/>
      <c r="F592" s="582"/>
      <c r="G592" s="582"/>
      <c r="H592" s="582"/>
      <c r="I592" s="582"/>
      <c r="J592" s="582"/>
      <c r="K592" s="582"/>
      <c r="L592" s="582"/>
      <c r="M592" s="582"/>
      <c r="N592" s="582"/>
      <c r="O592" s="582"/>
      <c r="P592" s="582"/>
      <c r="Q592" s="582"/>
      <c r="R592" s="582"/>
      <c r="S592" s="582"/>
      <c r="T592" s="582"/>
      <c r="U592" s="582"/>
      <c r="V592" s="582"/>
      <c r="W592" s="582"/>
      <c r="X592" s="582"/>
      <c r="Y592" s="582"/>
      <c r="Z592" s="582"/>
      <c r="AA592" s="582"/>
      <c r="AB592" s="582"/>
      <c r="AC592" s="582"/>
      <c r="AD592" s="582"/>
      <c r="AE592" s="582"/>
      <c r="AF592" s="1069"/>
    </row>
    <row r="593">
      <c r="A593" s="582"/>
      <c r="B593" s="582"/>
      <c r="C593" s="582"/>
      <c r="D593" s="582"/>
      <c r="E593" s="582"/>
      <c r="F593" s="582"/>
      <c r="G593" s="582"/>
      <c r="H593" s="582"/>
      <c r="I593" s="582"/>
      <c r="J593" s="582"/>
      <c r="K593" s="582"/>
      <c r="L593" s="582"/>
      <c r="M593" s="582"/>
      <c r="N593" s="582"/>
      <c r="O593" s="582"/>
      <c r="P593" s="582"/>
      <c r="Q593" s="582"/>
      <c r="R593" s="582"/>
      <c r="S593" s="582"/>
      <c r="T593" s="582"/>
      <c r="U593" s="582"/>
      <c r="V593" s="582"/>
      <c r="W593" s="582"/>
      <c r="X593" s="582"/>
      <c r="Y593" s="582"/>
      <c r="Z593" s="582"/>
      <c r="AA593" s="582"/>
      <c r="AB593" s="582"/>
      <c r="AC593" s="582"/>
      <c r="AD593" s="582"/>
      <c r="AE593" s="582"/>
      <c r="AF593" s="1069"/>
    </row>
    <row r="594">
      <c r="A594" s="582"/>
      <c r="B594" s="582"/>
      <c r="C594" s="582"/>
      <c r="D594" s="582"/>
      <c r="E594" s="582"/>
      <c r="F594" s="582"/>
      <c r="G594" s="582"/>
      <c r="H594" s="582"/>
      <c r="I594" s="582"/>
      <c r="J594" s="582"/>
      <c r="K594" s="582"/>
      <c r="L594" s="582"/>
      <c r="M594" s="582"/>
      <c r="N594" s="582"/>
      <c r="O594" s="582"/>
      <c r="P594" s="582"/>
      <c r="Q594" s="582"/>
      <c r="R594" s="582"/>
      <c r="S594" s="582"/>
      <c r="T594" s="582"/>
      <c r="U594" s="582"/>
      <c r="V594" s="582"/>
      <c r="W594" s="582"/>
      <c r="X594" s="582"/>
      <c r="Y594" s="582"/>
      <c r="Z594" s="582"/>
      <c r="AA594" s="582"/>
      <c r="AB594" s="582"/>
      <c r="AC594" s="582"/>
      <c r="AD594" s="582"/>
      <c r="AE594" s="582"/>
      <c r="AF594" s="1069"/>
    </row>
    <row r="595">
      <c r="A595" s="582"/>
      <c r="B595" s="582"/>
      <c r="C595" s="582"/>
      <c r="D595" s="582"/>
      <c r="E595" s="582"/>
      <c r="F595" s="582"/>
      <c r="G595" s="582"/>
      <c r="H595" s="582"/>
      <c r="I595" s="582"/>
      <c r="J595" s="582"/>
      <c r="K595" s="582"/>
      <c r="L595" s="582"/>
      <c r="M595" s="582"/>
      <c r="N595" s="582"/>
      <c r="O595" s="582"/>
      <c r="P595" s="582"/>
      <c r="Q595" s="582"/>
      <c r="R595" s="582"/>
      <c r="S595" s="582"/>
      <c r="T595" s="582"/>
      <c r="U595" s="582"/>
      <c r="V595" s="582"/>
      <c r="W595" s="582"/>
      <c r="X595" s="582"/>
      <c r="Y595" s="582"/>
      <c r="Z595" s="582"/>
      <c r="AA595" s="582"/>
      <c r="AB595" s="582"/>
      <c r="AC595" s="582"/>
      <c r="AD595" s="582"/>
      <c r="AE595" s="582"/>
      <c r="AF595" s="1069"/>
    </row>
    <row r="596">
      <c r="A596" s="582"/>
      <c r="B596" s="582"/>
      <c r="C596" s="582"/>
      <c r="D596" s="582"/>
      <c r="E596" s="582"/>
      <c r="F596" s="582"/>
      <c r="G596" s="582"/>
      <c r="H596" s="582"/>
      <c r="I596" s="582"/>
      <c r="J596" s="582"/>
      <c r="K596" s="582"/>
      <c r="L596" s="582"/>
      <c r="M596" s="582"/>
      <c r="N596" s="582"/>
      <c r="O596" s="582"/>
      <c r="P596" s="582"/>
      <c r="Q596" s="582"/>
      <c r="R596" s="582"/>
      <c r="S596" s="582"/>
      <c r="T596" s="582"/>
      <c r="U596" s="582"/>
      <c r="V596" s="582"/>
      <c r="W596" s="582"/>
      <c r="X596" s="582"/>
      <c r="Y596" s="582"/>
      <c r="Z596" s="582"/>
      <c r="AA596" s="582"/>
      <c r="AB596" s="582"/>
      <c r="AC596" s="582"/>
      <c r="AD596" s="582"/>
      <c r="AE596" s="582"/>
      <c r="AF596" s="1069"/>
    </row>
    <row r="597">
      <c r="A597" s="582"/>
      <c r="B597" s="582"/>
      <c r="C597" s="582"/>
      <c r="D597" s="582"/>
      <c r="E597" s="582"/>
      <c r="F597" s="582"/>
      <c r="G597" s="582"/>
      <c r="H597" s="582"/>
      <c r="I597" s="582"/>
      <c r="J597" s="582"/>
      <c r="K597" s="582"/>
      <c r="L597" s="582"/>
      <c r="M597" s="582"/>
      <c r="N597" s="582"/>
      <c r="O597" s="582"/>
      <c r="P597" s="582"/>
      <c r="Q597" s="582"/>
      <c r="R597" s="582"/>
      <c r="S597" s="582"/>
      <c r="T597" s="582"/>
      <c r="U597" s="582"/>
      <c r="V597" s="582"/>
      <c r="W597" s="582"/>
      <c r="X597" s="582"/>
      <c r="Y597" s="582"/>
      <c r="Z597" s="582"/>
      <c r="AA597" s="582"/>
      <c r="AB597" s="582"/>
      <c r="AC597" s="582"/>
      <c r="AD597" s="582"/>
      <c r="AE597" s="582"/>
      <c r="AF597" s="1069"/>
    </row>
    <row r="598">
      <c r="A598" s="582"/>
      <c r="B598" s="582"/>
      <c r="C598" s="582"/>
      <c r="D598" s="582"/>
      <c r="E598" s="582"/>
      <c r="F598" s="582"/>
      <c r="G598" s="582"/>
      <c r="H598" s="582"/>
      <c r="I598" s="582"/>
      <c r="J598" s="582"/>
      <c r="K598" s="582"/>
      <c r="L598" s="582"/>
      <c r="M598" s="582"/>
      <c r="N598" s="582"/>
      <c r="O598" s="582"/>
      <c r="P598" s="582"/>
      <c r="Q598" s="582"/>
      <c r="R598" s="582"/>
      <c r="S598" s="582"/>
      <c r="T598" s="582"/>
      <c r="U598" s="582"/>
      <c r="V598" s="582"/>
      <c r="W598" s="582"/>
      <c r="X598" s="582"/>
      <c r="Y598" s="582"/>
      <c r="Z598" s="582"/>
      <c r="AA598" s="582"/>
      <c r="AB598" s="582"/>
      <c r="AC598" s="582"/>
      <c r="AD598" s="582"/>
      <c r="AE598" s="582"/>
      <c r="AF598" s="1069"/>
    </row>
    <row r="599">
      <c r="A599" s="582"/>
      <c r="B599" s="582"/>
      <c r="C599" s="582"/>
      <c r="D599" s="582"/>
      <c r="E599" s="582"/>
      <c r="F599" s="582"/>
      <c r="G599" s="582"/>
      <c r="H599" s="582"/>
      <c r="I599" s="582"/>
      <c r="J599" s="582"/>
      <c r="K599" s="582"/>
      <c r="L599" s="582"/>
      <c r="M599" s="582"/>
      <c r="N599" s="582"/>
      <c r="O599" s="582"/>
      <c r="P599" s="582"/>
      <c r="Q599" s="582"/>
      <c r="R599" s="582"/>
      <c r="S599" s="582"/>
      <c r="T599" s="582"/>
      <c r="U599" s="582"/>
      <c r="V599" s="582"/>
      <c r="W599" s="582"/>
      <c r="X599" s="582"/>
      <c r="Y599" s="582"/>
      <c r="Z599" s="582"/>
      <c r="AA599" s="582"/>
      <c r="AB599" s="582"/>
      <c r="AC599" s="582"/>
      <c r="AD599" s="582"/>
      <c r="AE599" s="582"/>
      <c r="AF599" s="1069"/>
    </row>
    <row r="600">
      <c r="A600" s="582"/>
      <c r="B600" s="582"/>
      <c r="C600" s="582"/>
      <c r="D600" s="582"/>
      <c r="E600" s="582"/>
      <c r="F600" s="582"/>
      <c r="G600" s="582"/>
      <c r="H600" s="582"/>
      <c r="I600" s="582"/>
      <c r="J600" s="582"/>
      <c r="K600" s="582"/>
      <c r="L600" s="582"/>
      <c r="M600" s="582"/>
      <c r="N600" s="582"/>
      <c r="O600" s="582"/>
      <c r="P600" s="582"/>
      <c r="Q600" s="582"/>
      <c r="R600" s="582"/>
      <c r="S600" s="582"/>
      <c r="T600" s="582"/>
      <c r="U600" s="582"/>
      <c r="V600" s="582"/>
      <c r="W600" s="582"/>
      <c r="X600" s="582"/>
      <c r="Y600" s="582"/>
      <c r="Z600" s="582"/>
      <c r="AA600" s="582"/>
      <c r="AB600" s="582"/>
      <c r="AC600" s="582"/>
      <c r="AD600" s="582"/>
      <c r="AE600" s="582"/>
      <c r="AF600" s="1069"/>
    </row>
    <row r="601">
      <c r="A601" s="582"/>
      <c r="B601" s="582"/>
      <c r="C601" s="582"/>
      <c r="D601" s="582"/>
      <c r="E601" s="582"/>
      <c r="F601" s="582"/>
      <c r="G601" s="582"/>
      <c r="H601" s="582"/>
      <c r="I601" s="582"/>
      <c r="J601" s="582"/>
      <c r="K601" s="582"/>
      <c r="L601" s="582"/>
      <c r="M601" s="582"/>
      <c r="N601" s="582"/>
      <c r="O601" s="582"/>
      <c r="P601" s="582"/>
      <c r="Q601" s="582"/>
      <c r="R601" s="582"/>
      <c r="S601" s="582"/>
      <c r="T601" s="582"/>
      <c r="U601" s="582"/>
      <c r="V601" s="582"/>
      <c r="W601" s="582"/>
      <c r="X601" s="582"/>
      <c r="Y601" s="582"/>
      <c r="Z601" s="582"/>
      <c r="AA601" s="582"/>
      <c r="AB601" s="582"/>
      <c r="AC601" s="582"/>
      <c r="AD601" s="582"/>
      <c r="AE601" s="582"/>
      <c r="AF601" s="1069"/>
    </row>
    <row r="602">
      <c r="A602" s="582"/>
      <c r="B602" s="582"/>
      <c r="C602" s="582"/>
      <c r="D602" s="582"/>
      <c r="E602" s="582"/>
      <c r="F602" s="582"/>
      <c r="G602" s="582"/>
      <c r="H602" s="582"/>
      <c r="I602" s="582"/>
      <c r="J602" s="582"/>
      <c r="K602" s="582"/>
      <c r="L602" s="582"/>
      <c r="M602" s="582"/>
      <c r="N602" s="582"/>
      <c r="O602" s="582"/>
      <c r="P602" s="582"/>
      <c r="Q602" s="582"/>
      <c r="R602" s="582"/>
      <c r="S602" s="582"/>
      <c r="T602" s="582"/>
      <c r="U602" s="582"/>
      <c r="V602" s="582"/>
      <c r="W602" s="582"/>
      <c r="X602" s="582"/>
      <c r="Y602" s="582"/>
      <c r="Z602" s="582"/>
      <c r="AA602" s="582"/>
      <c r="AB602" s="582"/>
      <c r="AC602" s="582"/>
      <c r="AD602" s="582"/>
      <c r="AE602" s="582"/>
      <c r="AF602" s="1069"/>
    </row>
    <row r="603">
      <c r="A603" s="582"/>
      <c r="B603" s="582"/>
      <c r="C603" s="582"/>
      <c r="D603" s="582"/>
      <c r="E603" s="582"/>
      <c r="F603" s="582"/>
      <c r="G603" s="582"/>
      <c r="H603" s="582"/>
      <c r="I603" s="582"/>
      <c r="J603" s="582"/>
      <c r="K603" s="582"/>
      <c r="L603" s="582"/>
      <c r="M603" s="582"/>
      <c r="N603" s="582"/>
      <c r="O603" s="582"/>
      <c r="P603" s="582"/>
      <c r="Q603" s="582"/>
      <c r="R603" s="582"/>
      <c r="S603" s="582"/>
      <c r="T603" s="582"/>
      <c r="U603" s="582"/>
      <c r="V603" s="582"/>
      <c r="W603" s="582"/>
      <c r="X603" s="582"/>
      <c r="Y603" s="582"/>
      <c r="Z603" s="582"/>
      <c r="AA603" s="582"/>
      <c r="AB603" s="582"/>
      <c r="AC603" s="582"/>
      <c r="AD603" s="582"/>
      <c r="AE603" s="582"/>
      <c r="AF603" s="1069"/>
    </row>
    <row r="604">
      <c r="A604" s="582"/>
      <c r="B604" s="582"/>
      <c r="C604" s="582"/>
      <c r="D604" s="582"/>
      <c r="E604" s="582"/>
      <c r="F604" s="582"/>
      <c r="G604" s="582"/>
      <c r="H604" s="582"/>
      <c r="I604" s="582"/>
      <c r="J604" s="582"/>
      <c r="K604" s="582"/>
      <c r="L604" s="582"/>
      <c r="M604" s="582"/>
      <c r="N604" s="582"/>
      <c r="O604" s="582"/>
      <c r="P604" s="582"/>
      <c r="Q604" s="582"/>
      <c r="R604" s="582"/>
      <c r="S604" s="582"/>
      <c r="T604" s="582"/>
      <c r="U604" s="582"/>
      <c r="V604" s="582"/>
      <c r="W604" s="582"/>
      <c r="X604" s="582"/>
      <c r="Y604" s="582"/>
      <c r="Z604" s="582"/>
      <c r="AA604" s="582"/>
      <c r="AB604" s="582"/>
      <c r="AC604" s="582"/>
      <c r="AD604" s="582"/>
      <c r="AE604" s="582"/>
      <c r="AF604" s="1069"/>
    </row>
    <row r="605">
      <c r="A605" s="582"/>
      <c r="B605" s="582"/>
      <c r="C605" s="582"/>
      <c r="D605" s="582"/>
      <c r="E605" s="582"/>
      <c r="F605" s="582"/>
      <c r="G605" s="582"/>
      <c r="H605" s="582"/>
      <c r="I605" s="582"/>
      <c r="J605" s="582"/>
      <c r="K605" s="582"/>
      <c r="L605" s="582"/>
      <c r="M605" s="582"/>
      <c r="N605" s="582"/>
      <c r="O605" s="582"/>
      <c r="P605" s="582"/>
      <c r="Q605" s="582"/>
      <c r="R605" s="582"/>
      <c r="S605" s="582"/>
      <c r="T605" s="582"/>
      <c r="U605" s="582"/>
      <c r="V605" s="582"/>
      <c r="W605" s="582"/>
      <c r="X605" s="582"/>
      <c r="Y605" s="582"/>
      <c r="Z605" s="582"/>
      <c r="AA605" s="582"/>
      <c r="AB605" s="582"/>
      <c r="AC605" s="582"/>
      <c r="AD605" s="582"/>
      <c r="AE605" s="582"/>
      <c r="AF605" s="1069"/>
    </row>
    <row r="606">
      <c r="A606" s="582"/>
      <c r="B606" s="582"/>
      <c r="C606" s="582"/>
      <c r="D606" s="582"/>
      <c r="E606" s="582"/>
      <c r="F606" s="582"/>
      <c r="G606" s="582"/>
      <c r="H606" s="582"/>
      <c r="I606" s="582"/>
      <c r="J606" s="582"/>
      <c r="K606" s="582"/>
      <c r="L606" s="582"/>
      <c r="M606" s="582"/>
      <c r="N606" s="582"/>
      <c r="O606" s="582"/>
      <c r="P606" s="582"/>
      <c r="Q606" s="582"/>
      <c r="R606" s="582"/>
      <c r="S606" s="582"/>
      <c r="T606" s="582"/>
      <c r="U606" s="582"/>
      <c r="V606" s="582"/>
      <c r="W606" s="582"/>
      <c r="X606" s="582"/>
      <c r="Y606" s="582"/>
      <c r="Z606" s="582"/>
      <c r="AA606" s="582"/>
      <c r="AB606" s="582"/>
      <c r="AC606" s="582"/>
      <c r="AD606" s="582"/>
      <c r="AE606" s="582"/>
      <c r="AF606" s="1069"/>
    </row>
    <row r="607">
      <c r="A607" s="582"/>
      <c r="B607" s="582"/>
      <c r="C607" s="582"/>
      <c r="D607" s="582"/>
      <c r="E607" s="582"/>
      <c r="F607" s="582"/>
      <c r="G607" s="582"/>
      <c r="H607" s="582"/>
      <c r="I607" s="582"/>
      <c r="J607" s="582"/>
      <c r="K607" s="582"/>
      <c r="L607" s="582"/>
      <c r="M607" s="582"/>
      <c r="N607" s="582"/>
      <c r="O607" s="582"/>
      <c r="P607" s="582"/>
      <c r="Q607" s="582"/>
      <c r="R607" s="582"/>
      <c r="S607" s="582"/>
      <c r="T607" s="582"/>
      <c r="U607" s="582"/>
      <c r="V607" s="582"/>
      <c r="W607" s="582"/>
      <c r="X607" s="582"/>
      <c r="Y607" s="582"/>
      <c r="Z607" s="582"/>
      <c r="AA607" s="582"/>
      <c r="AB607" s="582"/>
      <c r="AC607" s="582"/>
      <c r="AD607" s="582"/>
      <c r="AE607" s="582"/>
      <c r="AF607" s="1069"/>
    </row>
    <row r="608">
      <c r="A608" s="582"/>
      <c r="B608" s="582"/>
      <c r="C608" s="582"/>
      <c r="D608" s="582"/>
      <c r="E608" s="582"/>
      <c r="F608" s="582"/>
      <c r="G608" s="582"/>
      <c r="H608" s="582"/>
      <c r="I608" s="582"/>
      <c r="J608" s="582"/>
      <c r="K608" s="582"/>
      <c r="L608" s="582"/>
      <c r="M608" s="582"/>
      <c r="N608" s="582"/>
      <c r="O608" s="582"/>
      <c r="P608" s="582"/>
      <c r="Q608" s="582"/>
      <c r="R608" s="582"/>
      <c r="S608" s="582"/>
      <c r="T608" s="582"/>
      <c r="U608" s="582"/>
      <c r="V608" s="582"/>
      <c r="W608" s="582"/>
      <c r="X608" s="582"/>
      <c r="Y608" s="582"/>
      <c r="Z608" s="582"/>
      <c r="AA608" s="582"/>
      <c r="AB608" s="582"/>
      <c r="AC608" s="582"/>
      <c r="AD608" s="582"/>
      <c r="AE608" s="582"/>
      <c r="AF608" s="1069"/>
    </row>
    <row r="609">
      <c r="A609" s="582"/>
      <c r="B609" s="582"/>
      <c r="C609" s="582"/>
      <c r="D609" s="582"/>
      <c r="E609" s="582"/>
      <c r="F609" s="582"/>
      <c r="G609" s="582"/>
      <c r="H609" s="582"/>
      <c r="I609" s="582"/>
      <c r="J609" s="582"/>
      <c r="K609" s="582"/>
      <c r="L609" s="582"/>
      <c r="M609" s="582"/>
      <c r="N609" s="582"/>
      <c r="O609" s="582"/>
      <c r="P609" s="582"/>
      <c r="Q609" s="582"/>
      <c r="R609" s="582"/>
      <c r="S609" s="582"/>
      <c r="T609" s="582"/>
      <c r="U609" s="582"/>
      <c r="V609" s="582"/>
      <c r="W609" s="582"/>
      <c r="X609" s="582"/>
      <c r="Y609" s="582"/>
      <c r="Z609" s="582"/>
      <c r="AA609" s="582"/>
      <c r="AB609" s="582"/>
      <c r="AC609" s="582"/>
      <c r="AD609" s="582"/>
      <c r="AE609" s="582"/>
      <c r="AF609" s="1069"/>
    </row>
    <row r="610">
      <c r="A610" s="582"/>
      <c r="B610" s="582"/>
      <c r="C610" s="582"/>
      <c r="D610" s="582"/>
      <c r="E610" s="582"/>
      <c r="F610" s="582"/>
      <c r="G610" s="582"/>
      <c r="H610" s="582"/>
      <c r="I610" s="582"/>
      <c r="J610" s="582"/>
      <c r="K610" s="582"/>
      <c r="L610" s="582"/>
      <c r="M610" s="582"/>
      <c r="N610" s="582"/>
      <c r="O610" s="582"/>
      <c r="P610" s="582"/>
      <c r="Q610" s="582"/>
      <c r="R610" s="582"/>
      <c r="S610" s="582"/>
      <c r="T610" s="582"/>
      <c r="U610" s="582"/>
      <c r="V610" s="582"/>
      <c r="W610" s="582"/>
      <c r="X610" s="582"/>
      <c r="Y610" s="582"/>
      <c r="Z610" s="582"/>
      <c r="AA610" s="582"/>
      <c r="AB610" s="582"/>
      <c r="AC610" s="582"/>
      <c r="AD610" s="582"/>
      <c r="AE610" s="582"/>
      <c r="AF610" s="1069"/>
    </row>
    <row r="611">
      <c r="A611" s="582"/>
      <c r="B611" s="582"/>
      <c r="C611" s="582"/>
      <c r="D611" s="582"/>
      <c r="E611" s="582"/>
      <c r="F611" s="582"/>
      <c r="G611" s="582"/>
      <c r="H611" s="582"/>
      <c r="I611" s="582"/>
      <c r="J611" s="582"/>
      <c r="K611" s="582"/>
      <c r="L611" s="582"/>
      <c r="M611" s="582"/>
      <c r="N611" s="582"/>
      <c r="O611" s="582"/>
      <c r="P611" s="582"/>
      <c r="Q611" s="582"/>
      <c r="R611" s="582"/>
      <c r="S611" s="582"/>
      <c r="T611" s="582"/>
      <c r="U611" s="582"/>
      <c r="V611" s="582"/>
      <c r="W611" s="582"/>
      <c r="X611" s="582"/>
      <c r="Y611" s="582"/>
      <c r="Z611" s="582"/>
      <c r="AA611" s="582"/>
      <c r="AB611" s="582"/>
      <c r="AC611" s="582"/>
      <c r="AD611" s="582"/>
      <c r="AE611" s="582"/>
      <c r="AF611" s="1069"/>
    </row>
    <row r="612">
      <c r="A612" s="582"/>
      <c r="B612" s="582"/>
      <c r="C612" s="582"/>
      <c r="D612" s="582"/>
      <c r="E612" s="582"/>
      <c r="F612" s="582"/>
      <c r="G612" s="582"/>
      <c r="H612" s="582"/>
      <c r="I612" s="582"/>
      <c r="J612" s="582"/>
      <c r="K612" s="582"/>
      <c r="L612" s="582"/>
      <c r="M612" s="582"/>
      <c r="N612" s="582"/>
      <c r="O612" s="582"/>
      <c r="P612" s="582"/>
      <c r="Q612" s="582"/>
      <c r="R612" s="582"/>
      <c r="S612" s="582"/>
      <c r="T612" s="582"/>
      <c r="U612" s="582"/>
      <c r="V612" s="582"/>
      <c r="W612" s="582"/>
      <c r="X612" s="582"/>
      <c r="Y612" s="582"/>
      <c r="Z612" s="582"/>
      <c r="AA612" s="582"/>
      <c r="AB612" s="582"/>
      <c r="AC612" s="582"/>
      <c r="AD612" s="582"/>
      <c r="AE612" s="582"/>
      <c r="AF612" s="1069"/>
    </row>
    <row r="613">
      <c r="A613" s="582"/>
      <c r="B613" s="582"/>
      <c r="C613" s="582"/>
      <c r="D613" s="582"/>
      <c r="E613" s="582"/>
      <c r="F613" s="582"/>
      <c r="G613" s="582"/>
      <c r="H613" s="582"/>
      <c r="I613" s="582"/>
      <c r="J613" s="582"/>
      <c r="K613" s="582"/>
      <c r="L613" s="582"/>
      <c r="M613" s="582"/>
      <c r="N613" s="582"/>
      <c r="O613" s="582"/>
      <c r="P613" s="582"/>
      <c r="Q613" s="582"/>
      <c r="R613" s="582"/>
      <c r="S613" s="582"/>
      <c r="T613" s="582"/>
      <c r="U613" s="582"/>
      <c r="V613" s="582"/>
      <c r="W613" s="582"/>
      <c r="X613" s="582"/>
      <c r="Y613" s="582"/>
      <c r="Z613" s="582"/>
      <c r="AA613" s="582"/>
      <c r="AB613" s="582"/>
      <c r="AC613" s="582"/>
      <c r="AD613" s="582"/>
      <c r="AE613" s="582"/>
      <c r="AF613" s="1069"/>
    </row>
    <row r="614">
      <c r="A614" s="582"/>
      <c r="B614" s="582"/>
      <c r="C614" s="582"/>
      <c r="D614" s="582"/>
      <c r="E614" s="582"/>
      <c r="F614" s="582"/>
      <c r="G614" s="582"/>
      <c r="H614" s="582"/>
      <c r="I614" s="582"/>
      <c r="J614" s="582"/>
      <c r="K614" s="582"/>
      <c r="L614" s="582"/>
      <c r="M614" s="582"/>
      <c r="N614" s="582"/>
      <c r="O614" s="582"/>
      <c r="P614" s="582"/>
      <c r="Q614" s="582"/>
      <c r="R614" s="582"/>
      <c r="S614" s="582"/>
      <c r="T614" s="582"/>
      <c r="U614" s="582"/>
      <c r="V614" s="582"/>
      <c r="W614" s="582"/>
      <c r="X614" s="582"/>
      <c r="Y614" s="582"/>
      <c r="Z614" s="582"/>
      <c r="AA614" s="582"/>
      <c r="AB614" s="582"/>
      <c r="AC614" s="582"/>
      <c r="AD614" s="582"/>
      <c r="AE614" s="582"/>
      <c r="AF614" s="1069"/>
    </row>
    <row r="615">
      <c r="A615" s="582"/>
      <c r="B615" s="582"/>
      <c r="C615" s="582"/>
      <c r="D615" s="582"/>
      <c r="E615" s="582"/>
      <c r="F615" s="582"/>
      <c r="G615" s="582"/>
      <c r="H615" s="582"/>
      <c r="I615" s="582"/>
      <c r="J615" s="582"/>
      <c r="K615" s="582"/>
      <c r="L615" s="582"/>
      <c r="M615" s="582"/>
      <c r="N615" s="582"/>
      <c r="O615" s="582"/>
      <c r="P615" s="582"/>
      <c r="Q615" s="582"/>
      <c r="R615" s="582"/>
      <c r="S615" s="582"/>
      <c r="T615" s="582"/>
      <c r="U615" s="582"/>
      <c r="V615" s="582"/>
      <c r="W615" s="582"/>
      <c r="X615" s="582"/>
      <c r="Y615" s="582"/>
      <c r="Z615" s="582"/>
      <c r="AA615" s="582"/>
      <c r="AB615" s="582"/>
      <c r="AC615" s="582"/>
      <c r="AD615" s="582"/>
      <c r="AE615" s="582"/>
      <c r="AF615" s="1069"/>
    </row>
    <row r="616">
      <c r="A616" s="582"/>
      <c r="B616" s="582"/>
      <c r="C616" s="582"/>
      <c r="D616" s="582"/>
      <c r="E616" s="582"/>
      <c r="F616" s="582"/>
      <c r="G616" s="582"/>
      <c r="H616" s="582"/>
      <c r="I616" s="582"/>
      <c r="J616" s="582"/>
      <c r="K616" s="582"/>
      <c r="L616" s="582"/>
      <c r="M616" s="582"/>
      <c r="N616" s="582"/>
      <c r="O616" s="582"/>
      <c r="P616" s="582"/>
      <c r="Q616" s="582"/>
      <c r="R616" s="582"/>
      <c r="S616" s="582"/>
      <c r="T616" s="582"/>
      <c r="U616" s="582"/>
      <c r="V616" s="582"/>
      <c r="W616" s="582"/>
      <c r="X616" s="582"/>
      <c r="Y616" s="582"/>
      <c r="Z616" s="582"/>
      <c r="AA616" s="582"/>
      <c r="AB616" s="582"/>
      <c r="AC616" s="582"/>
      <c r="AD616" s="582"/>
      <c r="AE616" s="582"/>
      <c r="AF616" s="1069"/>
    </row>
    <row r="617">
      <c r="A617" s="582"/>
      <c r="B617" s="582"/>
      <c r="C617" s="582"/>
      <c r="D617" s="582"/>
      <c r="E617" s="582"/>
      <c r="F617" s="582"/>
      <c r="G617" s="582"/>
      <c r="H617" s="582"/>
      <c r="I617" s="582"/>
      <c r="J617" s="582"/>
      <c r="K617" s="582"/>
      <c r="L617" s="582"/>
      <c r="M617" s="582"/>
      <c r="N617" s="582"/>
      <c r="O617" s="582"/>
      <c r="P617" s="582"/>
      <c r="Q617" s="582"/>
      <c r="R617" s="582"/>
      <c r="S617" s="582"/>
      <c r="T617" s="582"/>
      <c r="U617" s="582"/>
      <c r="V617" s="582"/>
      <c r="W617" s="582"/>
      <c r="X617" s="582"/>
      <c r="Y617" s="582"/>
      <c r="Z617" s="582"/>
      <c r="AA617" s="582"/>
      <c r="AB617" s="582"/>
      <c r="AC617" s="582"/>
      <c r="AD617" s="582"/>
      <c r="AE617" s="582"/>
      <c r="AF617" s="1069"/>
    </row>
    <row r="618">
      <c r="A618" s="582"/>
      <c r="B618" s="582"/>
      <c r="C618" s="582"/>
      <c r="D618" s="582"/>
      <c r="E618" s="582"/>
      <c r="F618" s="582"/>
      <c r="G618" s="582"/>
      <c r="H618" s="582"/>
      <c r="I618" s="582"/>
      <c r="J618" s="582"/>
      <c r="K618" s="582"/>
      <c r="L618" s="582"/>
      <c r="M618" s="582"/>
      <c r="N618" s="582"/>
      <c r="O618" s="582"/>
      <c r="P618" s="582"/>
      <c r="Q618" s="582"/>
      <c r="R618" s="582"/>
      <c r="S618" s="582"/>
      <c r="T618" s="582"/>
      <c r="U618" s="582"/>
      <c r="V618" s="582"/>
      <c r="W618" s="582"/>
      <c r="X618" s="582"/>
      <c r="Y618" s="582"/>
      <c r="Z618" s="582"/>
      <c r="AA618" s="582"/>
      <c r="AB618" s="582"/>
      <c r="AC618" s="582"/>
      <c r="AD618" s="582"/>
      <c r="AE618" s="582"/>
      <c r="AF618" s="1069"/>
    </row>
    <row r="619">
      <c r="A619" s="582"/>
      <c r="B619" s="582"/>
      <c r="C619" s="582"/>
      <c r="D619" s="582"/>
      <c r="E619" s="582"/>
      <c r="F619" s="582"/>
      <c r="G619" s="582"/>
      <c r="H619" s="582"/>
      <c r="I619" s="582"/>
      <c r="J619" s="582"/>
      <c r="K619" s="582"/>
      <c r="L619" s="582"/>
      <c r="M619" s="582"/>
      <c r="N619" s="582"/>
      <c r="O619" s="582"/>
      <c r="P619" s="582"/>
      <c r="Q619" s="582"/>
      <c r="R619" s="582"/>
      <c r="S619" s="582"/>
      <c r="T619" s="582"/>
      <c r="U619" s="582"/>
      <c r="V619" s="582"/>
      <c r="W619" s="582"/>
      <c r="X619" s="582"/>
      <c r="Y619" s="582"/>
      <c r="Z619" s="582"/>
      <c r="AA619" s="582"/>
      <c r="AB619" s="582"/>
      <c r="AC619" s="582"/>
      <c r="AD619" s="582"/>
      <c r="AE619" s="582"/>
      <c r="AF619" s="1069"/>
    </row>
    <row r="620">
      <c r="A620" s="582"/>
      <c r="B620" s="582"/>
      <c r="C620" s="582"/>
      <c r="D620" s="582"/>
      <c r="E620" s="582"/>
      <c r="F620" s="582"/>
      <c r="G620" s="582"/>
      <c r="H620" s="582"/>
      <c r="I620" s="582"/>
      <c r="J620" s="582"/>
      <c r="K620" s="582"/>
      <c r="L620" s="582"/>
      <c r="M620" s="582"/>
      <c r="N620" s="582"/>
      <c r="O620" s="582"/>
      <c r="P620" s="582"/>
      <c r="Q620" s="582"/>
      <c r="R620" s="582"/>
      <c r="S620" s="582"/>
      <c r="T620" s="582"/>
      <c r="U620" s="582"/>
      <c r="V620" s="582"/>
      <c r="W620" s="582"/>
      <c r="X620" s="582"/>
      <c r="Y620" s="582"/>
      <c r="Z620" s="582"/>
      <c r="AA620" s="582"/>
      <c r="AB620" s="582"/>
      <c r="AC620" s="582"/>
      <c r="AD620" s="582"/>
      <c r="AE620" s="582"/>
      <c r="AF620" s="1069"/>
    </row>
    <row r="621">
      <c r="A621" s="582"/>
      <c r="B621" s="582"/>
      <c r="C621" s="582"/>
      <c r="D621" s="582"/>
      <c r="E621" s="582"/>
      <c r="F621" s="582"/>
      <c r="G621" s="582"/>
      <c r="H621" s="582"/>
      <c r="I621" s="582"/>
      <c r="J621" s="582"/>
      <c r="K621" s="582"/>
      <c r="L621" s="582"/>
      <c r="M621" s="582"/>
      <c r="N621" s="582"/>
      <c r="O621" s="582"/>
      <c r="P621" s="582"/>
      <c r="Q621" s="582"/>
      <c r="R621" s="582"/>
      <c r="S621" s="582"/>
      <c r="T621" s="582"/>
      <c r="U621" s="582"/>
      <c r="V621" s="582"/>
      <c r="W621" s="582"/>
      <c r="X621" s="582"/>
      <c r="Y621" s="582"/>
      <c r="Z621" s="582"/>
      <c r="AA621" s="582"/>
      <c r="AB621" s="582"/>
      <c r="AC621" s="582"/>
      <c r="AD621" s="582"/>
      <c r="AE621" s="582"/>
      <c r="AF621" s="1069"/>
    </row>
    <row r="622">
      <c r="A622" s="582"/>
      <c r="B622" s="582"/>
      <c r="C622" s="582"/>
      <c r="D622" s="582"/>
      <c r="E622" s="582"/>
      <c r="F622" s="582"/>
      <c r="G622" s="582"/>
      <c r="H622" s="582"/>
      <c r="I622" s="582"/>
      <c r="J622" s="582"/>
      <c r="K622" s="582"/>
      <c r="L622" s="582"/>
      <c r="M622" s="582"/>
      <c r="N622" s="582"/>
      <c r="O622" s="582"/>
      <c r="P622" s="582"/>
      <c r="Q622" s="582"/>
      <c r="R622" s="582"/>
      <c r="S622" s="582"/>
      <c r="T622" s="582"/>
      <c r="U622" s="582"/>
      <c r="V622" s="582"/>
      <c r="W622" s="582"/>
      <c r="X622" s="582"/>
      <c r="Y622" s="582"/>
      <c r="Z622" s="582"/>
      <c r="AA622" s="582"/>
      <c r="AB622" s="582"/>
      <c r="AC622" s="582"/>
      <c r="AD622" s="582"/>
      <c r="AE622" s="582"/>
      <c r="AF622" s="1069"/>
    </row>
    <row r="623">
      <c r="A623" s="582"/>
      <c r="B623" s="582"/>
      <c r="C623" s="582"/>
      <c r="D623" s="582"/>
      <c r="E623" s="582"/>
      <c r="F623" s="582"/>
      <c r="G623" s="582"/>
      <c r="H623" s="582"/>
      <c r="I623" s="582"/>
      <c r="J623" s="582"/>
      <c r="K623" s="582"/>
      <c r="L623" s="582"/>
      <c r="M623" s="582"/>
      <c r="N623" s="582"/>
      <c r="O623" s="582"/>
      <c r="P623" s="582"/>
      <c r="Q623" s="582"/>
      <c r="R623" s="582"/>
      <c r="S623" s="582"/>
      <c r="T623" s="582"/>
      <c r="U623" s="582"/>
      <c r="V623" s="582"/>
      <c r="W623" s="582"/>
      <c r="X623" s="582"/>
      <c r="Y623" s="582"/>
      <c r="Z623" s="582"/>
      <c r="AA623" s="582"/>
      <c r="AB623" s="582"/>
      <c r="AC623" s="582"/>
      <c r="AD623" s="582"/>
      <c r="AE623" s="582"/>
      <c r="AF623" s="1069"/>
    </row>
    <row r="624">
      <c r="A624" s="582"/>
      <c r="B624" s="582"/>
      <c r="C624" s="582"/>
      <c r="D624" s="582"/>
      <c r="E624" s="582"/>
      <c r="F624" s="582"/>
      <c r="G624" s="582"/>
      <c r="H624" s="582"/>
      <c r="I624" s="582"/>
      <c r="J624" s="582"/>
      <c r="K624" s="582"/>
      <c r="L624" s="582"/>
      <c r="M624" s="582"/>
      <c r="N624" s="582"/>
      <c r="O624" s="582"/>
      <c r="P624" s="582"/>
      <c r="Q624" s="582"/>
      <c r="R624" s="582"/>
      <c r="S624" s="582"/>
      <c r="T624" s="582"/>
      <c r="U624" s="582"/>
      <c r="V624" s="582"/>
      <c r="W624" s="582"/>
      <c r="X624" s="582"/>
      <c r="Y624" s="582"/>
      <c r="Z624" s="582"/>
      <c r="AA624" s="582"/>
      <c r="AB624" s="582"/>
      <c r="AC624" s="582"/>
      <c r="AD624" s="582"/>
      <c r="AE624" s="582"/>
      <c r="AF624" s="1069"/>
    </row>
    <row r="625">
      <c r="A625" s="582"/>
      <c r="B625" s="582"/>
      <c r="C625" s="582"/>
      <c r="D625" s="582"/>
      <c r="E625" s="582"/>
      <c r="F625" s="582"/>
      <c r="G625" s="582"/>
      <c r="H625" s="582"/>
      <c r="I625" s="582"/>
      <c r="J625" s="582"/>
      <c r="K625" s="582"/>
      <c r="L625" s="582"/>
      <c r="M625" s="582"/>
      <c r="N625" s="582"/>
      <c r="O625" s="582"/>
      <c r="P625" s="582"/>
      <c r="Q625" s="582"/>
      <c r="R625" s="582"/>
      <c r="S625" s="582"/>
      <c r="T625" s="582"/>
      <c r="U625" s="582"/>
      <c r="V625" s="582"/>
      <c r="W625" s="582"/>
      <c r="X625" s="582"/>
      <c r="Y625" s="582"/>
      <c r="Z625" s="582"/>
      <c r="AA625" s="582"/>
      <c r="AB625" s="582"/>
      <c r="AC625" s="582"/>
      <c r="AD625" s="582"/>
      <c r="AE625" s="582"/>
      <c r="AF625" s="1069"/>
    </row>
    <row r="626">
      <c r="A626" s="582"/>
      <c r="B626" s="582"/>
      <c r="C626" s="582"/>
      <c r="D626" s="582"/>
      <c r="E626" s="582"/>
      <c r="F626" s="582"/>
      <c r="G626" s="582"/>
      <c r="H626" s="582"/>
      <c r="I626" s="582"/>
      <c r="J626" s="582"/>
      <c r="K626" s="582"/>
      <c r="L626" s="582"/>
      <c r="M626" s="582"/>
      <c r="N626" s="582"/>
      <c r="O626" s="582"/>
      <c r="P626" s="582"/>
      <c r="Q626" s="582"/>
      <c r="R626" s="582"/>
      <c r="S626" s="582"/>
      <c r="T626" s="582"/>
      <c r="U626" s="582"/>
      <c r="V626" s="582"/>
      <c r="W626" s="582"/>
      <c r="X626" s="582"/>
      <c r="Y626" s="582"/>
      <c r="Z626" s="582"/>
      <c r="AA626" s="582"/>
      <c r="AB626" s="582"/>
      <c r="AC626" s="582"/>
      <c r="AD626" s="582"/>
      <c r="AE626" s="582"/>
      <c r="AF626" s="1069"/>
    </row>
    <row r="627">
      <c r="A627" s="582"/>
      <c r="B627" s="582"/>
      <c r="C627" s="582"/>
      <c r="D627" s="582"/>
      <c r="E627" s="582"/>
      <c r="F627" s="582"/>
      <c r="G627" s="582"/>
      <c r="H627" s="582"/>
      <c r="I627" s="582"/>
      <c r="J627" s="582"/>
      <c r="K627" s="582"/>
      <c r="L627" s="582"/>
      <c r="M627" s="582"/>
      <c r="N627" s="582"/>
      <c r="O627" s="582"/>
      <c r="P627" s="582"/>
      <c r="Q627" s="582"/>
      <c r="R627" s="582"/>
      <c r="S627" s="582"/>
      <c r="T627" s="582"/>
      <c r="U627" s="582"/>
      <c r="V627" s="582"/>
      <c r="W627" s="582"/>
      <c r="X627" s="582"/>
      <c r="Y627" s="582"/>
      <c r="Z627" s="582"/>
      <c r="AA627" s="582"/>
      <c r="AB627" s="582"/>
      <c r="AC627" s="582"/>
      <c r="AD627" s="582"/>
      <c r="AE627" s="582"/>
      <c r="AF627" s="1069"/>
    </row>
    <row r="628">
      <c r="A628" s="582"/>
      <c r="B628" s="582"/>
      <c r="C628" s="582"/>
      <c r="D628" s="582"/>
      <c r="E628" s="582"/>
      <c r="F628" s="582"/>
      <c r="G628" s="582"/>
      <c r="H628" s="582"/>
      <c r="I628" s="582"/>
      <c r="J628" s="582"/>
      <c r="K628" s="582"/>
      <c r="L628" s="582"/>
      <c r="M628" s="582"/>
      <c r="N628" s="582"/>
      <c r="O628" s="582"/>
      <c r="P628" s="582"/>
      <c r="Q628" s="582"/>
      <c r="R628" s="582"/>
      <c r="S628" s="582"/>
      <c r="T628" s="582"/>
      <c r="U628" s="582"/>
      <c r="V628" s="582"/>
      <c r="W628" s="582"/>
      <c r="X628" s="582"/>
      <c r="Y628" s="582"/>
      <c r="Z628" s="582"/>
      <c r="AA628" s="582"/>
      <c r="AB628" s="582"/>
      <c r="AC628" s="582"/>
      <c r="AD628" s="582"/>
      <c r="AE628" s="582"/>
      <c r="AF628" s="1069"/>
    </row>
    <row r="629">
      <c r="A629" s="582"/>
      <c r="B629" s="582"/>
      <c r="C629" s="582"/>
      <c r="D629" s="582"/>
      <c r="E629" s="582"/>
      <c r="F629" s="582"/>
      <c r="G629" s="582"/>
      <c r="H629" s="582"/>
      <c r="I629" s="582"/>
      <c r="J629" s="582"/>
      <c r="K629" s="582"/>
      <c r="L629" s="582"/>
      <c r="M629" s="582"/>
      <c r="N629" s="582"/>
      <c r="O629" s="582"/>
      <c r="P629" s="582"/>
      <c r="Q629" s="582"/>
      <c r="R629" s="582"/>
      <c r="S629" s="582"/>
      <c r="T629" s="582"/>
      <c r="U629" s="582"/>
      <c r="V629" s="582"/>
      <c r="W629" s="582"/>
      <c r="X629" s="582"/>
      <c r="Y629" s="582"/>
      <c r="Z629" s="582"/>
      <c r="AA629" s="582"/>
      <c r="AB629" s="582"/>
      <c r="AC629" s="582"/>
      <c r="AD629" s="582"/>
      <c r="AE629" s="582"/>
      <c r="AF629" s="1069"/>
    </row>
    <row r="630">
      <c r="A630" s="582"/>
      <c r="B630" s="582"/>
      <c r="C630" s="582"/>
      <c r="D630" s="582"/>
      <c r="E630" s="582"/>
      <c r="F630" s="582"/>
      <c r="G630" s="582"/>
      <c r="H630" s="582"/>
      <c r="I630" s="582"/>
      <c r="J630" s="582"/>
      <c r="K630" s="582"/>
      <c r="L630" s="582"/>
      <c r="M630" s="582"/>
      <c r="N630" s="582"/>
      <c r="O630" s="582"/>
      <c r="P630" s="582"/>
      <c r="Q630" s="582"/>
      <c r="R630" s="582"/>
      <c r="S630" s="582"/>
      <c r="T630" s="582"/>
      <c r="U630" s="582"/>
      <c r="V630" s="582"/>
      <c r="W630" s="582"/>
      <c r="X630" s="582"/>
      <c r="Y630" s="582"/>
      <c r="Z630" s="582"/>
      <c r="AA630" s="582"/>
      <c r="AB630" s="582"/>
      <c r="AC630" s="582"/>
      <c r="AD630" s="582"/>
      <c r="AE630" s="582"/>
      <c r="AF630" s="1069"/>
    </row>
    <row r="631">
      <c r="A631" s="582"/>
      <c r="B631" s="582"/>
      <c r="C631" s="582"/>
      <c r="D631" s="582"/>
      <c r="E631" s="582"/>
      <c r="F631" s="582"/>
      <c r="G631" s="582"/>
      <c r="H631" s="582"/>
      <c r="I631" s="582"/>
      <c r="J631" s="582"/>
      <c r="K631" s="582"/>
      <c r="L631" s="582"/>
      <c r="M631" s="582"/>
      <c r="N631" s="582"/>
      <c r="O631" s="582"/>
      <c r="P631" s="582"/>
      <c r="Q631" s="582"/>
      <c r="R631" s="582"/>
      <c r="S631" s="582"/>
      <c r="T631" s="582"/>
      <c r="U631" s="582"/>
      <c r="V631" s="582"/>
      <c r="W631" s="582"/>
      <c r="X631" s="582"/>
      <c r="Y631" s="582"/>
      <c r="Z631" s="582"/>
      <c r="AA631" s="582"/>
      <c r="AB631" s="582"/>
      <c r="AC631" s="582"/>
      <c r="AD631" s="582"/>
      <c r="AE631" s="582"/>
      <c r="AF631" s="1069"/>
    </row>
    <row r="632">
      <c r="A632" s="582"/>
      <c r="B632" s="582"/>
      <c r="C632" s="582"/>
      <c r="D632" s="582"/>
      <c r="E632" s="582"/>
      <c r="F632" s="582"/>
      <c r="G632" s="582"/>
      <c r="H632" s="582"/>
      <c r="I632" s="582"/>
      <c r="J632" s="582"/>
      <c r="K632" s="582"/>
      <c r="L632" s="582"/>
      <c r="M632" s="582"/>
      <c r="N632" s="582"/>
      <c r="O632" s="582"/>
      <c r="P632" s="582"/>
      <c r="Q632" s="582"/>
      <c r="R632" s="582"/>
      <c r="S632" s="582"/>
      <c r="T632" s="582"/>
      <c r="U632" s="582"/>
      <c r="V632" s="582"/>
      <c r="W632" s="582"/>
      <c r="X632" s="582"/>
      <c r="Y632" s="582"/>
      <c r="Z632" s="582"/>
      <c r="AA632" s="582"/>
      <c r="AB632" s="582"/>
      <c r="AC632" s="582"/>
      <c r="AD632" s="582"/>
      <c r="AE632" s="582"/>
      <c r="AF632" s="1069"/>
    </row>
    <row r="633">
      <c r="A633" s="582"/>
      <c r="B633" s="582"/>
      <c r="C633" s="582"/>
      <c r="D633" s="582"/>
      <c r="E633" s="582"/>
      <c r="F633" s="582"/>
      <c r="G633" s="582"/>
      <c r="H633" s="582"/>
      <c r="I633" s="582"/>
      <c r="J633" s="582"/>
      <c r="K633" s="582"/>
      <c r="L633" s="582"/>
      <c r="M633" s="582"/>
      <c r="N633" s="582"/>
      <c r="O633" s="582"/>
      <c r="P633" s="582"/>
      <c r="Q633" s="582"/>
      <c r="R633" s="582"/>
      <c r="S633" s="582"/>
      <c r="T633" s="582"/>
      <c r="U633" s="582"/>
      <c r="V633" s="582"/>
      <c r="W633" s="582"/>
      <c r="X633" s="582"/>
      <c r="Y633" s="582"/>
      <c r="Z633" s="582"/>
      <c r="AA633" s="582"/>
      <c r="AB633" s="582"/>
      <c r="AC633" s="582"/>
      <c r="AD633" s="582"/>
      <c r="AE633" s="582"/>
      <c r="AF633" s="1069"/>
    </row>
    <row r="634">
      <c r="A634" s="582"/>
      <c r="B634" s="582"/>
      <c r="C634" s="582"/>
      <c r="D634" s="582"/>
      <c r="E634" s="582"/>
      <c r="F634" s="582"/>
      <c r="G634" s="582"/>
      <c r="H634" s="582"/>
      <c r="I634" s="582"/>
      <c r="J634" s="582"/>
      <c r="K634" s="582"/>
      <c r="L634" s="582"/>
      <c r="M634" s="582"/>
      <c r="N634" s="582"/>
      <c r="O634" s="582"/>
      <c r="P634" s="582"/>
      <c r="Q634" s="582"/>
      <c r="R634" s="582"/>
      <c r="S634" s="582"/>
      <c r="T634" s="582"/>
      <c r="U634" s="582"/>
      <c r="V634" s="582"/>
      <c r="W634" s="582"/>
      <c r="X634" s="582"/>
      <c r="Y634" s="582"/>
      <c r="Z634" s="582"/>
      <c r="AA634" s="582"/>
      <c r="AB634" s="582"/>
      <c r="AC634" s="582"/>
      <c r="AD634" s="582"/>
      <c r="AE634" s="582"/>
      <c r="AF634" s="1069"/>
    </row>
    <row r="635">
      <c r="A635" s="582"/>
      <c r="B635" s="582"/>
      <c r="C635" s="582"/>
      <c r="D635" s="582"/>
      <c r="E635" s="582"/>
      <c r="F635" s="582"/>
      <c r="G635" s="582"/>
      <c r="H635" s="582"/>
      <c r="I635" s="582"/>
      <c r="J635" s="582"/>
      <c r="K635" s="582"/>
      <c r="L635" s="582"/>
      <c r="M635" s="582"/>
      <c r="N635" s="582"/>
      <c r="O635" s="582"/>
      <c r="P635" s="582"/>
      <c r="Q635" s="582"/>
      <c r="R635" s="582"/>
      <c r="S635" s="582"/>
      <c r="T635" s="582"/>
      <c r="U635" s="582"/>
      <c r="V635" s="582"/>
      <c r="W635" s="582"/>
      <c r="X635" s="582"/>
      <c r="Y635" s="582"/>
      <c r="Z635" s="582"/>
      <c r="AA635" s="582"/>
      <c r="AB635" s="582"/>
      <c r="AC635" s="582"/>
      <c r="AD635" s="582"/>
      <c r="AE635" s="582"/>
      <c r="AF635" s="1069"/>
    </row>
    <row r="636">
      <c r="A636" s="582"/>
      <c r="B636" s="582"/>
      <c r="C636" s="582"/>
      <c r="D636" s="582"/>
      <c r="E636" s="582"/>
      <c r="F636" s="582"/>
      <c r="G636" s="582"/>
      <c r="H636" s="582"/>
      <c r="I636" s="582"/>
      <c r="J636" s="582"/>
      <c r="K636" s="582"/>
      <c r="L636" s="582"/>
      <c r="M636" s="582"/>
      <c r="N636" s="582"/>
      <c r="O636" s="582"/>
      <c r="P636" s="582"/>
      <c r="Q636" s="582"/>
      <c r="R636" s="582"/>
      <c r="S636" s="582"/>
      <c r="T636" s="582"/>
      <c r="U636" s="582"/>
      <c r="V636" s="582"/>
      <c r="W636" s="582"/>
      <c r="X636" s="582"/>
      <c r="Y636" s="582"/>
      <c r="Z636" s="582"/>
      <c r="AA636" s="582"/>
      <c r="AB636" s="582"/>
      <c r="AC636" s="582"/>
      <c r="AD636" s="582"/>
      <c r="AE636" s="582"/>
      <c r="AF636" s="1069"/>
    </row>
    <row r="637">
      <c r="A637" s="582"/>
      <c r="B637" s="582"/>
      <c r="C637" s="582"/>
      <c r="D637" s="582"/>
      <c r="E637" s="582"/>
      <c r="F637" s="582"/>
      <c r="G637" s="582"/>
      <c r="H637" s="582"/>
      <c r="I637" s="582"/>
      <c r="J637" s="582"/>
      <c r="K637" s="582"/>
      <c r="L637" s="582"/>
      <c r="M637" s="582"/>
      <c r="N637" s="582"/>
      <c r="O637" s="582"/>
      <c r="P637" s="582"/>
      <c r="Q637" s="582"/>
      <c r="R637" s="582"/>
      <c r="S637" s="582"/>
      <c r="T637" s="582"/>
      <c r="U637" s="582"/>
      <c r="V637" s="582"/>
      <c r="W637" s="582"/>
      <c r="X637" s="582"/>
      <c r="Y637" s="582"/>
      <c r="Z637" s="582"/>
      <c r="AA637" s="582"/>
      <c r="AB637" s="582"/>
      <c r="AC637" s="582"/>
      <c r="AD637" s="582"/>
      <c r="AE637" s="582"/>
      <c r="AF637" s="1069"/>
    </row>
    <row r="638">
      <c r="A638" s="582"/>
      <c r="B638" s="582"/>
      <c r="C638" s="582"/>
      <c r="D638" s="582"/>
      <c r="E638" s="582"/>
      <c r="F638" s="582"/>
      <c r="G638" s="582"/>
      <c r="H638" s="582"/>
      <c r="I638" s="582"/>
      <c r="J638" s="582"/>
      <c r="K638" s="582"/>
      <c r="L638" s="582"/>
      <c r="M638" s="582"/>
      <c r="N638" s="582"/>
      <c r="O638" s="582"/>
      <c r="P638" s="582"/>
      <c r="Q638" s="582"/>
      <c r="R638" s="582"/>
      <c r="S638" s="582"/>
      <c r="T638" s="582"/>
      <c r="U638" s="582"/>
      <c r="V638" s="582"/>
      <c r="W638" s="582"/>
      <c r="X638" s="582"/>
      <c r="Y638" s="582"/>
      <c r="Z638" s="582"/>
      <c r="AA638" s="582"/>
      <c r="AB638" s="582"/>
      <c r="AC638" s="582"/>
      <c r="AD638" s="582"/>
      <c r="AE638" s="582"/>
      <c r="AF638" s="1069"/>
    </row>
    <row r="639">
      <c r="A639" s="582"/>
      <c r="B639" s="582"/>
      <c r="C639" s="582"/>
      <c r="D639" s="582"/>
      <c r="E639" s="582"/>
      <c r="F639" s="582"/>
      <c r="G639" s="582"/>
      <c r="H639" s="582"/>
      <c r="I639" s="582"/>
      <c r="J639" s="582"/>
      <c r="K639" s="582"/>
      <c r="L639" s="582"/>
      <c r="M639" s="582"/>
      <c r="N639" s="582"/>
      <c r="O639" s="582"/>
      <c r="P639" s="582"/>
      <c r="Q639" s="582"/>
      <c r="R639" s="582"/>
      <c r="S639" s="582"/>
      <c r="T639" s="582"/>
      <c r="U639" s="582"/>
      <c r="V639" s="582"/>
      <c r="W639" s="582"/>
      <c r="X639" s="582"/>
      <c r="Y639" s="582"/>
      <c r="Z639" s="582"/>
      <c r="AA639" s="582"/>
      <c r="AB639" s="582"/>
      <c r="AC639" s="582"/>
      <c r="AD639" s="582"/>
      <c r="AE639" s="582"/>
      <c r="AF639" s="1069"/>
    </row>
    <row r="640">
      <c r="A640" s="582"/>
      <c r="B640" s="582"/>
      <c r="C640" s="582"/>
      <c r="D640" s="582"/>
      <c r="E640" s="582"/>
      <c r="F640" s="582"/>
      <c r="G640" s="582"/>
      <c r="H640" s="582"/>
      <c r="I640" s="582"/>
      <c r="J640" s="582"/>
      <c r="K640" s="582"/>
      <c r="L640" s="582"/>
      <c r="M640" s="582"/>
      <c r="N640" s="582"/>
      <c r="O640" s="582"/>
      <c r="P640" s="582"/>
      <c r="Q640" s="582"/>
      <c r="R640" s="582"/>
      <c r="S640" s="582"/>
      <c r="T640" s="582"/>
      <c r="U640" s="582"/>
      <c r="V640" s="582"/>
      <c r="W640" s="582"/>
      <c r="X640" s="582"/>
      <c r="Y640" s="582"/>
      <c r="Z640" s="582"/>
      <c r="AA640" s="582"/>
      <c r="AB640" s="582"/>
      <c r="AC640" s="582"/>
      <c r="AD640" s="582"/>
      <c r="AE640" s="582"/>
      <c r="AF640" s="1069"/>
    </row>
    <row r="641">
      <c r="A641" s="582"/>
      <c r="B641" s="582"/>
      <c r="C641" s="582"/>
      <c r="D641" s="582"/>
      <c r="E641" s="582"/>
      <c r="F641" s="582"/>
      <c r="G641" s="582"/>
      <c r="H641" s="582"/>
      <c r="I641" s="582"/>
      <c r="J641" s="582"/>
      <c r="K641" s="582"/>
      <c r="L641" s="582"/>
      <c r="M641" s="582"/>
      <c r="N641" s="582"/>
      <c r="O641" s="582"/>
      <c r="P641" s="582"/>
      <c r="Q641" s="582"/>
      <c r="R641" s="582"/>
      <c r="S641" s="582"/>
      <c r="T641" s="582"/>
      <c r="U641" s="582"/>
      <c r="V641" s="582"/>
      <c r="W641" s="582"/>
      <c r="X641" s="582"/>
      <c r="Y641" s="582"/>
      <c r="Z641" s="582"/>
      <c r="AA641" s="582"/>
      <c r="AB641" s="582"/>
      <c r="AC641" s="582"/>
      <c r="AD641" s="582"/>
      <c r="AE641" s="582"/>
      <c r="AF641" s="1069"/>
    </row>
    <row r="642">
      <c r="A642" s="582"/>
      <c r="B642" s="582"/>
      <c r="C642" s="582"/>
      <c r="D642" s="582"/>
      <c r="E642" s="582"/>
      <c r="F642" s="582"/>
      <c r="G642" s="582"/>
      <c r="H642" s="582"/>
      <c r="I642" s="582"/>
      <c r="J642" s="582"/>
      <c r="K642" s="582"/>
      <c r="L642" s="582"/>
      <c r="M642" s="582"/>
      <c r="N642" s="582"/>
      <c r="O642" s="582"/>
      <c r="P642" s="582"/>
      <c r="Q642" s="582"/>
      <c r="R642" s="582"/>
      <c r="S642" s="582"/>
      <c r="T642" s="582"/>
      <c r="U642" s="582"/>
      <c r="V642" s="582"/>
      <c r="W642" s="582"/>
      <c r="X642" s="582"/>
      <c r="Y642" s="582"/>
      <c r="Z642" s="582"/>
      <c r="AA642" s="582"/>
      <c r="AB642" s="582"/>
      <c r="AC642" s="582"/>
      <c r="AD642" s="582"/>
      <c r="AE642" s="582"/>
      <c r="AF642" s="1069"/>
    </row>
    <row r="643">
      <c r="A643" s="582"/>
      <c r="B643" s="582"/>
      <c r="C643" s="582"/>
      <c r="D643" s="582"/>
      <c r="E643" s="582"/>
      <c r="F643" s="582"/>
      <c r="G643" s="582"/>
      <c r="H643" s="582"/>
      <c r="I643" s="582"/>
      <c r="J643" s="582"/>
      <c r="K643" s="582"/>
      <c r="L643" s="582"/>
      <c r="M643" s="582"/>
      <c r="N643" s="582"/>
      <c r="O643" s="582"/>
      <c r="P643" s="582"/>
      <c r="Q643" s="582"/>
      <c r="R643" s="582"/>
      <c r="S643" s="582"/>
      <c r="T643" s="582"/>
      <c r="U643" s="582"/>
      <c r="V643" s="582"/>
      <c r="W643" s="582"/>
      <c r="X643" s="582"/>
      <c r="Y643" s="582"/>
      <c r="Z643" s="582"/>
      <c r="AA643" s="582"/>
      <c r="AB643" s="582"/>
      <c r="AC643" s="582"/>
      <c r="AD643" s="582"/>
      <c r="AE643" s="582"/>
      <c r="AF643" s="1069"/>
    </row>
    <row r="644">
      <c r="A644" s="582"/>
      <c r="B644" s="582"/>
      <c r="C644" s="582"/>
      <c r="D644" s="582"/>
      <c r="E644" s="582"/>
      <c r="F644" s="582"/>
      <c r="G644" s="582"/>
      <c r="H644" s="582"/>
      <c r="I644" s="582"/>
      <c r="J644" s="582"/>
      <c r="K644" s="582"/>
      <c r="L644" s="582"/>
      <c r="M644" s="582"/>
      <c r="N644" s="582"/>
      <c r="O644" s="582"/>
      <c r="P644" s="582"/>
      <c r="Q644" s="582"/>
      <c r="R644" s="582"/>
      <c r="S644" s="582"/>
      <c r="T644" s="582"/>
      <c r="U644" s="582"/>
      <c r="V644" s="582"/>
      <c r="W644" s="582"/>
      <c r="X644" s="582"/>
      <c r="Y644" s="582"/>
      <c r="Z644" s="582"/>
      <c r="AA644" s="582"/>
      <c r="AB644" s="582"/>
      <c r="AC644" s="582"/>
      <c r="AD644" s="582"/>
      <c r="AE644" s="582"/>
      <c r="AF644" s="1069"/>
    </row>
    <row r="645">
      <c r="A645" s="582"/>
      <c r="B645" s="582"/>
      <c r="C645" s="582"/>
      <c r="D645" s="582"/>
      <c r="E645" s="582"/>
      <c r="F645" s="582"/>
      <c r="G645" s="582"/>
      <c r="H645" s="582"/>
      <c r="I645" s="582"/>
      <c r="J645" s="582"/>
      <c r="K645" s="582"/>
      <c r="L645" s="582"/>
      <c r="M645" s="582"/>
      <c r="N645" s="582"/>
      <c r="O645" s="582"/>
      <c r="P645" s="582"/>
      <c r="Q645" s="582"/>
      <c r="R645" s="582"/>
      <c r="S645" s="582"/>
      <c r="T645" s="582"/>
      <c r="U645" s="582"/>
      <c r="V645" s="582"/>
      <c r="W645" s="582"/>
      <c r="X645" s="582"/>
      <c r="Y645" s="582"/>
      <c r="Z645" s="582"/>
      <c r="AA645" s="582"/>
      <c r="AB645" s="582"/>
      <c r="AC645" s="582"/>
      <c r="AD645" s="582"/>
      <c r="AE645" s="582"/>
      <c r="AF645" s="1069"/>
    </row>
    <row r="646">
      <c r="A646" s="582"/>
      <c r="B646" s="582"/>
      <c r="C646" s="582"/>
      <c r="D646" s="582"/>
      <c r="E646" s="582"/>
      <c r="F646" s="582"/>
      <c r="G646" s="582"/>
      <c r="H646" s="582"/>
      <c r="I646" s="582"/>
      <c r="J646" s="582"/>
      <c r="K646" s="582"/>
      <c r="L646" s="582"/>
      <c r="M646" s="582"/>
      <c r="N646" s="582"/>
      <c r="O646" s="582"/>
      <c r="P646" s="582"/>
      <c r="Q646" s="582"/>
      <c r="R646" s="582"/>
      <c r="S646" s="582"/>
      <c r="T646" s="582"/>
      <c r="U646" s="582"/>
      <c r="V646" s="582"/>
      <c r="W646" s="582"/>
      <c r="X646" s="582"/>
      <c r="Y646" s="582"/>
      <c r="Z646" s="582"/>
      <c r="AA646" s="582"/>
      <c r="AB646" s="582"/>
      <c r="AC646" s="582"/>
      <c r="AD646" s="582"/>
      <c r="AE646" s="582"/>
      <c r="AF646" s="1069"/>
    </row>
    <row r="647">
      <c r="A647" s="582"/>
      <c r="B647" s="582"/>
      <c r="C647" s="582"/>
      <c r="D647" s="582"/>
      <c r="E647" s="582"/>
      <c r="F647" s="582"/>
      <c r="G647" s="582"/>
      <c r="H647" s="582"/>
      <c r="I647" s="582"/>
      <c r="J647" s="582"/>
      <c r="K647" s="582"/>
      <c r="L647" s="582"/>
      <c r="M647" s="582"/>
      <c r="N647" s="582"/>
      <c r="O647" s="582"/>
      <c r="P647" s="582"/>
      <c r="Q647" s="582"/>
      <c r="R647" s="582"/>
      <c r="S647" s="582"/>
      <c r="T647" s="582"/>
      <c r="U647" s="582"/>
      <c r="V647" s="582"/>
      <c r="W647" s="582"/>
      <c r="X647" s="582"/>
      <c r="Y647" s="582"/>
      <c r="Z647" s="582"/>
      <c r="AA647" s="582"/>
      <c r="AB647" s="582"/>
      <c r="AC647" s="582"/>
      <c r="AD647" s="582"/>
      <c r="AE647" s="582"/>
      <c r="AF647" s="1069"/>
    </row>
    <row r="648">
      <c r="A648" s="582"/>
      <c r="B648" s="582"/>
      <c r="C648" s="582"/>
      <c r="D648" s="582"/>
      <c r="E648" s="582"/>
      <c r="F648" s="582"/>
      <c r="G648" s="582"/>
      <c r="H648" s="582"/>
      <c r="I648" s="582"/>
      <c r="J648" s="582"/>
      <c r="K648" s="582"/>
      <c r="L648" s="582"/>
      <c r="M648" s="582"/>
      <c r="N648" s="582"/>
      <c r="O648" s="582"/>
      <c r="P648" s="582"/>
      <c r="Q648" s="582"/>
      <c r="R648" s="582"/>
      <c r="S648" s="582"/>
      <c r="T648" s="582"/>
      <c r="U648" s="582"/>
      <c r="V648" s="582"/>
      <c r="W648" s="582"/>
      <c r="X648" s="582"/>
      <c r="Y648" s="582"/>
      <c r="Z648" s="582"/>
      <c r="AA648" s="582"/>
      <c r="AB648" s="582"/>
      <c r="AC648" s="582"/>
      <c r="AD648" s="582"/>
      <c r="AE648" s="582"/>
      <c r="AF648" s="1069"/>
    </row>
    <row r="649">
      <c r="A649" s="582"/>
      <c r="B649" s="582"/>
      <c r="C649" s="582"/>
      <c r="D649" s="582"/>
      <c r="E649" s="582"/>
      <c r="F649" s="582"/>
      <c r="G649" s="582"/>
      <c r="H649" s="582"/>
      <c r="I649" s="582"/>
      <c r="J649" s="582"/>
      <c r="K649" s="582"/>
      <c r="L649" s="582"/>
      <c r="M649" s="582"/>
      <c r="N649" s="582"/>
      <c r="O649" s="582"/>
      <c r="P649" s="582"/>
      <c r="Q649" s="582"/>
      <c r="R649" s="582"/>
      <c r="S649" s="582"/>
      <c r="T649" s="582"/>
      <c r="U649" s="582"/>
      <c r="V649" s="582"/>
      <c r="W649" s="582"/>
      <c r="X649" s="582"/>
      <c r="Y649" s="582"/>
      <c r="Z649" s="582"/>
      <c r="AA649" s="582"/>
      <c r="AB649" s="582"/>
      <c r="AC649" s="582"/>
      <c r="AD649" s="582"/>
      <c r="AE649" s="582"/>
      <c r="AF649" s="1069"/>
    </row>
    <row r="650">
      <c r="A650" s="582"/>
      <c r="B650" s="582"/>
      <c r="C650" s="582"/>
      <c r="D650" s="582"/>
      <c r="E650" s="582"/>
      <c r="F650" s="582"/>
      <c r="G650" s="582"/>
      <c r="H650" s="582"/>
      <c r="I650" s="582"/>
      <c r="J650" s="582"/>
      <c r="K650" s="582"/>
      <c r="L650" s="582"/>
      <c r="M650" s="582"/>
      <c r="N650" s="582"/>
      <c r="O650" s="582"/>
      <c r="P650" s="582"/>
      <c r="Q650" s="582"/>
      <c r="R650" s="582"/>
      <c r="S650" s="582"/>
      <c r="T650" s="582"/>
      <c r="U650" s="582"/>
      <c r="V650" s="582"/>
      <c r="W650" s="582"/>
      <c r="X650" s="582"/>
      <c r="Y650" s="582"/>
      <c r="Z650" s="582"/>
      <c r="AA650" s="582"/>
      <c r="AB650" s="582"/>
      <c r="AC650" s="582"/>
      <c r="AD650" s="582"/>
      <c r="AE650" s="582"/>
      <c r="AF650" s="1069"/>
    </row>
    <row r="651">
      <c r="A651" s="582"/>
      <c r="B651" s="582"/>
      <c r="C651" s="582"/>
      <c r="D651" s="582"/>
      <c r="E651" s="582"/>
      <c r="F651" s="582"/>
      <c r="G651" s="582"/>
      <c r="H651" s="582"/>
      <c r="I651" s="582"/>
      <c r="J651" s="582"/>
      <c r="K651" s="582"/>
      <c r="L651" s="582"/>
      <c r="M651" s="582"/>
      <c r="N651" s="582"/>
      <c r="O651" s="582"/>
      <c r="P651" s="582"/>
      <c r="Q651" s="582"/>
      <c r="R651" s="582"/>
      <c r="S651" s="582"/>
      <c r="T651" s="582"/>
      <c r="U651" s="582"/>
      <c r="V651" s="582"/>
      <c r="W651" s="582"/>
      <c r="X651" s="582"/>
      <c r="Y651" s="582"/>
      <c r="Z651" s="582"/>
      <c r="AA651" s="582"/>
      <c r="AB651" s="582"/>
      <c r="AC651" s="582"/>
      <c r="AD651" s="582"/>
      <c r="AE651" s="582"/>
      <c r="AF651" s="1069"/>
    </row>
    <row r="652">
      <c r="A652" s="582"/>
      <c r="B652" s="582"/>
      <c r="C652" s="582"/>
      <c r="D652" s="582"/>
      <c r="E652" s="582"/>
      <c r="F652" s="582"/>
      <c r="G652" s="582"/>
      <c r="H652" s="582"/>
      <c r="I652" s="582"/>
      <c r="J652" s="582"/>
      <c r="K652" s="582"/>
      <c r="L652" s="582"/>
      <c r="M652" s="582"/>
      <c r="N652" s="582"/>
      <c r="O652" s="582"/>
      <c r="P652" s="582"/>
      <c r="Q652" s="582"/>
      <c r="R652" s="582"/>
      <c r="S652" s="582"/>
      <c r="T652" s="582"/>
      <c r="U652" s="582"/>
      <c r="V652" s="582"/>
      <c r="W652" s="582"/>
      <c r="X652" s="582"/>
      <c r="Y652" s="582"/>
      <c r="Z652" s="582"/>
      <c r="AA652" s="582"/>
      <c r="AB652" s="582"/>
      <c r="AC652" s="582"/>
      <c r="AD652" s="582"/>
      <c r="AE652" s="582"/>
      <c r="AF652" s="1069"/>
    </row>
    <row r="653">
      <c r="A653" s="582"/>
      <c r="B653" s="582"/>
      <c r="C653" s="582"/>
      <c r="D653" s="582"/>
      <c r="E653" s="582"/>
      <c r="F653" s="582"/>
      <c r="G653" s="582"/>
      <c r="H653" s="582"/>
      <c r="I653" s="582"/>
      <c r="J653" s="582"/>
      <c r="K653" s="582"/>
      <c r="L653" s="582"/>
      <c r="M653" s="582"/>
      <c r="N653" s="582"/>
      <c r="O653" s="582"/>
      <c r="P653" s="582"/>
      <c r="Q653" s="582"/>
      <c r="R653" s="582"/>
      <c r="S653" s="582"/>
      <c r="T653" s="582"/>
      <c r="U653" s="582"/>
      <c r="V653" s="582"/>
      <c r="W653" s="582"/>
      <c r="X653" s="582"/>
      <c r="Y653" s="582"/>
      <c r="Z653" s="582"/>
      <c r="AA653" s="582"/>
      <c r="AB653" s="582"/>
      <c r="AC653" s="582"/>
      <c r="AD653" s="582"/>
      <c r="AE653" s="582"/>
      <c r="AF653" s="1069"/>
    </row>
    <row r="654">
      <c r="A654" s="582"/>
      <c r="B654" s="582"/>
      <c r="C654" s="582"/>
      <c r="D654" s="582"/>
      <c r="E654" s="582"/>
      <c r="F654" s="582"/>
      <c r="G654" s="582"/>
      <c r="H654" s="582"/>
      <c r="I654" s="582"/>
      <c r="J654" s="582"/>
      <c r="K654" s="582"/>
      <c r="L654" s="582"/>
      <c r="M654" s="582"/>
      <c r="N654" s="582"/>
      <c r="O654" s="582"/>
      <c r="P654" s="582"/>
      <c r="Q654" s="582"/>
      <c r="R654" s="582"/>
      <c r="S654" s="582"/>
      <c r="T654" s="582"/>
      <c r="U654" s="582"/>
      <c r="V654" s="582"/>
      <c r="W654" s="582"/>
      <c r="X654" s="582"/>
      <c r="Y654" s="582"/>
      <c r="Z654" s="582"/>
      <c r="AA654" s="582"/>
      <c r="AB654" s="582"/>
      <c r="AC654" s="582"/>
      <c r="AD654" s="582"/>
      <c r="AE654" s="582"/>
      <c r="AF654" s="1069"/>
    </row>
    <row r="655">
      <c r="A655" s="582"/>
      <c r="B655" s="582"/>
      <c r="C655" s="582"/>
      <c r="D655" s="582"/>
      <c r="E655" s="582"/>
      <c r="F655" s="582"/>
      <c r="G655" s="582"/>
      <c r="H655" s="582"/>
      <c r="I655" s="582"/>
      <c r="J655" s="582"/>
      <c r="K655" s="582"/>
      <c r="L655" s="582"/>
      <c r="M655" s="582"/>
      <c r="N655" s="582"/>
      <c r="O655" s="582"/>
      <c r="P655" s="582"/>
      <c r="Q655" s="582"/>
      <c r="R655" s="582"/>
      <c r="S655" s="582"/>
      <c r="T655" s="582"/>
      <c r="U655" s="582"/>
      <c r="V655" s="582"/>
      <c r="W655" s="582"/>
      <c r="X655" s="582"/>
      <c r="Y655" s="582"/>
      <c r="Z655" s="582"/>
      <c r="AA655" s="582"/>
      <c r="AB655" s="582"/>
      <c r="AC655" s="582"/>
      <c r="AD655" s="582"/>
      <c r="AE655" s="582"/>
      <c r="AF655" s="1069"/>
    </row>
    <row r="656">
      <c r="A656" s="582"/>
      <c r="B656" s="582"/>
      <c r="C656" s="582"/>
      <c r="D656" s="582"/>
      <c r="E656" s="582"/>
      <c r="F656" s="582"/>
      <c r="G656" s="582"/>
      <c r="H656" s="582"/>
      <c r="I656" s="582"/>
      <c r="J656" s="582"/>
      <c r="K656" s="582"/>
      <c r="L656" s="582"/>
      <c r="M656" s="582"/>
      <c r="N656" s="582"/>
      <c r="O656" s="582"/>
      <c r="P656" s="582"/>
      <c r="Q656" s="582"/>
      <c r="R656" s="582"/>
      <c r="S656" s="582"/>
      <c r="T656" s="582"/>
      <c r="U656" s="582"/>
      <c r="V656" s="582"/>
      <c r="W656" s="582"/>
      <c r="X656" s="582"/>
      <c r="Y656" s="582"/>
      <c r="Z656" s="582"/>
      <c r="AA656" s="582"/>
      <c r="AB656" s="582"/>
      <c r="AC656" s="582"/>
      <c r="AD656" s="582"/>
      <c r="AE656" s="582"/>
      <c r="AF656" s="1069"/>
    </row>
    <row r="657">
      <c r="A657" s="582"/>
      <c r="B657" s="582"/>
      <c r="C657" s="582"/>
      <c r="D657" s="582"/>
      <c r="E657" s="582"/>
      <c r="F657" s="582"/>
      <c r="G657" s="582"/>
      <c r="H657" s="582"/>
      <c r="I657" s="582"/>
      <c r="J657" s="582"/>
      <c r="K657" s="582"/>
      <c r="L657" s="582"/>
      <c r="M657" s="582"/>
      <c r="N657" s="582"/>
      <c r="O657" s="582"/>
      <c r="P657" s="582"/>
      <c r="Q657" s="582"/>
      <c r="R657" s="582"/>
      <c r="S657" s="582"/>
      <c r="T657" s="582"/>
      <c r="U657" s="582"/>
      <c r="V657" s="582"/>
      <c r="W657" s="582"/>
      <c r="X657" s="582"/>
      <c r="Y657" s="582"/>
      <c r="Z657" s="582"/>
      <c r="AA657" s="582"/>
      <c r="AB657" s="582"/>
      <c r="AC657" s="582"/>
      <c r="AD657" s="582"/>
      <c r="AE657" s="582"/>
      <c r="AF657" s="1069"/>
    </row>
    <row r="658">
      <c r="A658" s="582"/>
      <c r="B658" s="582"/>
      <c r="C658" s="582"/>
      <c r="D658" s="582"/>
      <c r="E658" s="582"/>
      <c r="F658" s="582"/>
      <c r="G658" s="582"/>
      <c r="H658" s="582"/>
      <c r="I658" s="582"/>
      <c r="J658" s="582"/>
      <c r="K658" s="582"/>
      <c r="L658" s="582"/>
      <c r="M658" s="582"/>
      <c r="N658" s="582"/>
      <c r="O658" s="582"/>
      <c r="P658" s="582"/>
      <c r="Q658" s="582"/>
      <c r="R658" s="582"/>
      <c r="S658" s="582"/>
      <c r="T658" s="582"/>
      <c r="U658" s="582"/>
      <c r="V658" s="582"/>
      <c r="W658" s="582"/>
      <c r="X658" s="582"/>
      <c r="Y658" s="582"/>
      <c r="Z658" s="582"/>
      <c r="AA658" s="582"/>
      <c r="AB658" s="582"/>
      <c r="AC658" s="582"/>
      <c r="AD658" s="582"/>
      <c r="AE658" s="582"/>
      <c r="AF658" s="1069"/>
    </row>
    <row r="659">
      <c r="A659" s="582"/>
      <c r="B659" s="582"/>
      <c r="C659" s="582"/>
      <c r="D659" s="582"/>
      <c r="E659" s="582"/>
      <c r="F659" s="582"/>
      <c r="G659" s="582"/>
      <c r="H659" s="582"/>
      <c r="I659" s="582"/>
      <c r="J659" s="582"/>
      <c r="K659" s="582"/>
      <c r="L659" s="582"/>
      <c r="M659" s="582"/>
      <c r="N659" s="582"/>
      <c r="O659" s="582"/>
      <c r="P659" s="582"/>
      <c r="Q659" s="582"/>
      <c r="R659" s="582"/>
      <c r="S659" s="582"/>
      <c r="T659" s="582"/>
      <c r="U659" s="582"/>
      <c r="V659" s="582"/>
      <c r="W659" s="582"/>
      <c r="X659" s="582"/>
      <c r="Y659" s="582"/>
      <c r="Z659" s="582"/>
      <c r="AA659" s="582"/>
      <c r="AB659" s="582"/>
      <c r="AC659" s="582"/>
      <c r="AD659" s="582"/>
      <c r="AE659" s="582"/>
      <c r="AF659" s="1069"/>
    </row>
    <row r="660">
      <c r="A660" s="582"/>
      <c r="B660" s="582"/>
      <c r="C660" s="582"/>
      <c r="D660" s="582"/>
      <c r="E660" s="582"/>
      <c r="F660" s="582"/>
      <c r="G660" s="582"/>
      <c r="H660" s="582"/>
      <c r="I660" s="582"/>
      <c r="J660" s="582"/>
      <c r="K660" s="582"/>
      <c r="L660" s="582"/>
      <c r="M660" s="582"/>
      <c r="N660" s="582"/>
      <c r="O660" s="582"/>
      <c r="P660" s="582"/>
      <c r="Q660" s="582"/>
      <c r="R660" s="582"/>
      <c r="S660" s="582"/>
      <c r="T660" s="582"/>
      <c r="U660" s="582"/>
      <c r="V660" s="582"/>
      <c r="W660" s="582"/>
      <c r="X660" s="582"/>
      <c r="Y660" s="582"/>
      <c r="Z660" s="582"/>
      <c r="AA660" s="582"/>
      <c r="AB660" s="582"/>
      <c r="AC660" s="582"/>
      <c r="AD660" s="582"/>
      <c r="AE660" s="582"/>
      <c r="AF660" s="1069"/>
    </row>
    <row r="661">
      <c r="A661" s="582"/>
      <c r="B661" s="582"/>
      <c r="C661" s="582"/>
      <c r="D661" s="582"/>
      <c r="E661" s="582"/>
      <c r="F661" s="582"/>
      <c r="G661" s="582"/>
      <c r="H661" s="582"/>
      <c r="I661" s="582"/>
      <c r="J661" s="582"/>
      <c r="K661" s="582"/>
      <c r="L661" s="582"/>
      <c r="M661" s="582"/>
      <c r="N661" s="582"/>
      <c r="O661" s="582"/>
      <c r="P661" s="582"/>
      <c r="Q661" s="582"/>
      <c r="R661" s="582"/>
      <c r="S661" s="582"/>
      <c r="T661" s="582"/>
      <c r="U661" s="582"/>
      <c r="V661" s="582"/>
      <c r="W661" s="582"/>
      <c r="X661" s="582"/>
      <c r="Y661" s="582"/>
      <c r="Z661" s="582"/>
      <c r="AA661" s="582"/>
      <c r="AB661" s="582"/>
      <c r="AC661" s="582"/>
      <c r="AD661" s="582"/>
      <c r="AE661" s="582"/>
      <c r="AF661" s="1069"/>
    </row>
    <row r="662">
      <c r="A662" s="582"/>
      <c r="B662" s="582"/>
      <c r="C662" s="582"/>
      <c r="D662" s="582"/>
      <c r="E662" s="582"/>
      <c r="F662" s="582"/>
      <c r="G662" s="582"/>
      <c r="H662" s="582"/>
      <c r="I662" s="582"/>
      <c r="J662" s="582"/>
      <c r="K662" s="582"/>
      <c r="L662" s="582"/>
      <c r="M662" s="582"/>
      <c r="N662" s="582"/>
      <c r="O662" s="582"/>
      <c r="P662" s="582"/>
      <c r="Q662" s="582"/>
      <c r="R662" s="582"/>
      <c r="S662" s="582"/>
      <c r="T662" s="582"/>
      <c r="U662" s="582"/>
      <c r="V662" s="582"/>
      <c r="W662" s="582"/>
      <c r="X662" s="582"/>
      <c r="Y662" s="582"/>
      <c r="Z662" s="582"/>
      <c r="AA662" s="582"/>
      <c r="AB662" s="582"/>
      <c r="AC662" s="582"/>
      <c r="AD662" s="582"/>
      <c r="AE662" s="582"/>
      <c r="AF662" s="1069"/>
    </row>
    <row r="663">
      <c r="A663" s="582"/>
      <c r="B663" s="582"/>
      <c r="C663" s="582"/>
      <c r="D663" s="582"/>
      <c r="E663" s="582"/>
      <c r="F663" s="582"/>
      <c r="G663" s="582"/>
      <c r="H663" s="582"/>
      <c r="I663" s="582"/>
      <c r="J663" s="582"/>
      <c r="K663" s="582"/>
      <c r="L663" s="582"/>
      <c r="M663" s="582"/>
      <c r="N663" s="582"/>
      <c r="O663" s="582"/>
      <c r="P663" s="582"/>
      <c r="Q663" s="582"/>
      <c r="R663" s="582"/>
      <c r="S663" s="582"/>
      <c r="T663" s="582"/>
      <c r="U663" s="582"/>
      <c r="V663" s="582"/>
      <c r="W663" s="582"/>
      <c r="X663" s="582"/>
      <c r="Y663" s="582"/>
      <c r="Z663" s="582"/>
      <c r="AA663" s="582"/>
      <c r="AB663" s="582"/>
      <c r="AC663" s="582"/>
      <c r="AD663" s="582"/>
      <c r="AE663" s="582"/>
      <c r="AF663" s="1069"/>
    </row>
    <row r="664">
      <c r="A664" s="582"/>
      <c r="B664" s="582"/>
      <c r="C664" s="582"/>
      <c r="D664" s="582"/>
      <c r="E664" s="582"/>
      <c r="F664" s="582"/>
      <c r="G664" s="582"/>
      <c r="H664" s="582"/>
      <c r="I664" s="582"/>
      <c r="J664" s="582"/>
      <c r="K664" s="582"/>
      <c r="L664" s="582"/>
      <c r="M664" s="582"/>
      <c r="N664" s="582"/>
      <c r="O664" s="582"/>
      <c r="P664" s="582"/>
      <c r="Q664" s="582"/>
      <c r="R664" s="582"/>
      <c r="S664" s="582"/>
      <c r="T664" s="582"/>
      <c r="U664" s="582"/>
      <c r="V664" s="582"/>
      <c r="W664" s="582"/>
      <c r="X664" s="582"/>
      <c r="Y664" s="582"/>
      <c r="Z664" s="582"/>
      <c r="AA664" s="582"/>
      <c r="AB664" s="582"/>
      <c r="AC664" s="582"/>
      <c r="AD664" s="582"/>
      <c r="AE664" s="582"/>
      <c r="AF664" s="1069"/>
    </row>
    <row r="665">
      <c r="A665" s="582"/>
      <c r="B665" s="582"/>
      <c r="C665" s="582"/>
      <c r="D665" s="582"/>
      <c r="E665" s="582"/>
      <c r="F665" s="582"/>
      <c r="G665" s="582"/>
      <c r="H665" s="582"/>
      <c r="I665" s="582"/>
      <c r="J665" s="582"/>
      <c r="K665" s="582"/>
      <c r="L665" s="582"/>
      <c r="M665" s="582"/>
      <c r="N665" s="582"/>
      <c r="O665" s="582"/>
      <c r="P665" s="582"/>
      <c r="Q665" s="582"/>
      <c r="R665" s="582"/>
      <c r="S665" s="582"/>
      <c r="T665" s="582"/>
      <c r="U665" s="582"/>
      <c r="V665" s="582"/>
      <c r="W665" s="582"/>
      <c r="X665" s="582"/>
      <c r="Y665" s="582"/>
      <c r="Z665" s="582"/>
      <c r="AA665" s="582"/>
      <c r="AB665" s="582"/>
      <c r="AC665" s="582"/>
      <c r="AD665" s="582"/>
      <c r="AE665" s="582"/>
      <c r="AF665" s="1069"/>
    </row>
    <row r="666">
      <c r="A666" s="582"/>
      <c r="B666" s="582"/>
      <c r="C666" s="582"/>
      <c r="D666" s="582"/>
      <c r="E666" s="582"/>
      <c r="F666" s="582"/>
      <c r="G666" s="582"/>
      <c r="H666" s="582"/>
      <c r="I666" s="582"/>
      <c r="J666" s="582"/>
      <c r="K666" s="582"/>
      <c r="L666" s="582"/>
      <c r="M666" s="582"/>
      <c r="N666" s="582"/>
      <c r="O666" s="582"/>
      <c r="P666" s="582"/>
      <c r="Q666" s="582"/>
      <c r="R666" s="582"/>
      <c r="S666" s="582"/>
      <c r="T666" s="582"/>
      <c r="U666" s="582"/>
      <c r="V666" s="582"/>
      <c r="W666" s="582"/>
      <c r="X666" s="582"/>
      <c r="Y666" s="582"/>
      <c r="Z666" s="582"/>
      <c r="AA666" s="582"/>
      <c r="AB666" s="582"/>
      <c r="AC666" s="582"/>
      <c r="AD666" s="582"/>
      <c r="AE666" s="582"/>
      <c r="AF666" s="1069"/>
    </row>
    <row r="667">
      <c r="A667" s="582"/>
      <c r="B667" s="582"/>
      <c r="C667" s="582"/>
      <c r="D667" s="582"/>
      <c r="E667" s="582"/>
      <c r="F667" s="582"/>
      <c r="G667" s="582"/>
      <c r="H667" s="582"/>
      <c r="I667" s="582"/>
      <c r="J667" s="582"/>
      <c r="K667" s="582"/>
      <c r="L667" s="582"/>
      <c r="M667" s="582"/>
      <c r="N667" s="582"/>
      <c r="O667" s="582"/>
      <c r="P667" s="582"/>
      <c r="Q667" s="582"/>
      <c r="R667" s="582"/>
      <c r="S667" s="582"/>
      <c r="T667" s="582"/>
      <c r="U667" s="582"/>
      <c r="V667" s="582"/>
      <c r="W667" s="582"/>
      <c r="X667" s="582"/>
      <c r="Y667" s="582"/>
      <c r="Z667" s="582"/>
      <c r="AA667" s="582"/>
      <c r="AB667" s="582"/>
      <c r="AC667" s="582"/>
      <c r="AD667" s="582"/>
      <c r="AE667" s="582"/>
      <c r="AF667" s="1069"/>
    </row>
    <row r="668">
      <c r="A668" s="582"/>
      <c r="B668" s="582"/>
      <c r="C668" s="582"/>
      <c r="D668" s="582"/>
      <c r="E668" s="582"/>
      <c r="F668" s="582"/>
      <c r="G668" s="582"/>
      <c r="H668" s="582"/>
      <c r="I668" s="582"/>
      <c r="J668" s="582"/>
      <c r="K668" s="582"/>
      <c r="L668" s="582"/>
      <c r="M668" s="582"/>
      <c r="N668" s="582"/>
      <c r="O668" s="582"/>
      <c r="P668" s="582"/>
      <c r="Q668" s="582"/>
      <c r="R668" s="582"/>
      <c r="S668" s="582"/>
      <c r="T668" s="582"/>
      <c r="U668" s="582"/>
      <c r="V668" s="582"/>
      <c r="W668" s="582"/>
      <c r="X668" s="582"/>
      <c r="Y668" s="582"/>
      <c r="Z668" s="582"/>
      <c r="AA668" s="582"/>
      <c r="AB668" s="582"/>
      <c r="AC668" s="582"/>
      <c r="AD668" s="582"/>
      <c r="AE668" s="582"/>
      <c r="AF668" s="1069"/>
    </row>
    <row r="669">
      <c r="A669" s="582"/>
      <c r="B669" s="582"/>
      <c r="C669" s="582"/>
      <c r="D669" s="582"/>
      <c r="E669" s="582"/>
      <c r="F669" s="582"/>
      <c r="G669" s="582"/>
      <c r="H669" s="582"/>
      <c r="I669" s="582"/>
      <c r="J669" s="582"/>
      <c r="K669" s="582"/>
      <c r="L669" s="582"/>
      <c r="M669" s="582"/>
      <c r="N669" s="582"/>
      <c r="O669" s="582"/>
      <c r="P669" s="582"/>
      <c r="Q669" s="582"/>
      <c r="R669" s="582"/>
      <c r="S669" s="582"/>
      <c r="T669" s="582"/>
      <c r="U669" s="582"/>
      <c r="V669" s="582"/>
      <c r="W669" s="582"/>
      <c r="X669" s="582"/>
      <c r="Y669" s="582"/>
      <c r="Z669" s="582"/>
      <c r="AA669" s="582"/>
      <c r="AB669" s="582"/>
      <c r="AC669" s="582"/>
      <c r="AD669" s="582"/>
      <c r="AE669" s="582"/>
      <c r="AF669" s="1069"/>
    </row>
    <row r="670">
      <c r="A670" s="582"/>
      <c r="B670" s="582"/>
      <c r="C670" s="582"/>
      <c r="D670" s="582"/>
      <c r="E670" s="582"/>
      <c r="F670" s="582"/>
      <c r="G670" s="582"/>
      <c r="H670" s="582"/>
      <c r="I670" s="582"/>
      <c r="J670" s="582"/>
      <c r="K670" s="582"/>
      <c r="L670" s="582"/>
      <c r="M670" s="582"/>
      <c r="N670" s="582"/>
      <c r="O670" s="582"/>
      <c r="P670" s="582"/>
      <c r="Q670" s="582"/>
      <c r="R670" s="582"/>
      <c r="S670" s="582"/>
      <c r="T670" s="582"/>
      <c r="U670" s="582"/>
      <c r="V670" s="582"/>
      <c r="W670" s="582"/>
      <c r="X670" s="582"/>
      <c r="Y670" s="582"/>
      <c r="Z670" s="582"/>
      <c r="AA670" s="582"/>
      <c r="AB670" s="582"/>
      <c r="AC670" s="582"/>
      <c r="AD670" s="582"/>
      <c r="AE670" s="582"/>
      <c r="AF670" s="1069"/>
    </row>
    <row r="671">
      <c r="A671" s="582"/>
      <c r="B671" s="582"/>
      <c r="C671" s="582"/>
      <c r="D671" s="582"/>
      <c r="E671" s="582"/>
      <c r="F671" s="582"/>
      <c r="G671" s="582"/>
      <c r="H671" s="582"/>
      <c r="I671" s="582"/>
      <c r="J671" s="582"/>
      <c r="K671" s="582"/>
      <c r="L671" s="582"/>
      <c r="M671" s="582"/>
      <c r="N671" s="582"/>
      <c r="O671" s="582"/>
      <c r="P671" s="582"/>
      <c r="Q671" s="582"/>
      <c r="R671" s="582"/>
      <c r="S671" s="582"/>
      <c r="T671" s="582"/>
      <c r="U671" s="582"/>
      <c r="V671" s="582"/>
      <c r="W671" s="582"/>
      <c r="X671" s="582"/>
      <c r="Y671" s="582"/>
      <c r="Z671" s="582"/>
      <c r="AA671" s="582"/>
      <c r="AB671" s="582"/>
      <c r="AC671" s="582"/>
      <c r="AD671" s="582"/>
      <c r="AE671" s="582"/>
      <c r="AF671" s="1069"/>
    </row>
    <row r="672">
      <c r="A672" s="582"/>
      <c r="B672" s="582"/>
      <c r="C672" s="582"/>
      <c r="D672" s="582"/>
      <c r="E672" s="582"/>
      <c r="F672" s="582"/>
      <c r="G672" s="582"/>
      <c r="H672" s="582"/>
      <c r="I672" s="582"/>
      <c r="J672" s="582"/>
      <c r="K672" s="582"/>
      <c r="L672" s="582"/>
      <c r="M672" s="582"/>
      <c r="N672" s="582"/>
      <c r="O672" s="582"/>
      <c r="P672" s="582"/>
      <c r="Q672" s="582"/>
      <c r="R672" s="582"/>
      <c r="S672" s="582"/>
      <c r="T672" s="582"/>
      <c r="U672" s="582"/>
      <c r="V672" s="582"/>
      <c r="W672" s="582"/>
      <c r="X672" s="582"/>
      <c r="Y672" s="582"/>
      <c r="Z672" s="582"/>
      <c r="AA672" s="582"/>
      <c r="AB672" s="582"/>
      <c r="AC672" s="582"/>
      <c r="AD672" s="582"/>
      <c r="AE672" s="582"/>
      <c r="AF672" s="1069"/>
    </row>
    <row r="673">
      <c r="A673" s="582"/>
      <c r="B673" s="582"/>
      <c r="C673" s="582"/>
      <c r="D673" s="582"/>
      <c r="E673" s="582"/>
      <c r="F673" s="582"/>
      <c r="G673" s="582"/>
      <c r="H673" s="582"/>
      <c r="I673" s="582"/>
      <c r="J673" s="582"/>
      <c r="K673" s="582"/>
      <c r="L673" s="582"/>
      <c r="M673" s="582"/>
      <c r="N673" s="582"/>
      <c r="O673" s="582"/>
      <c r="P673" s="582"/>
      <c r="Q673" s="582"/>
      <c r="R673" s="582"/>
      <c r="S673" s="582"/>
      <c r="T673" s="582"/>
      <c r="U673" s="582"/>
      <c r="V673" s="582"/>
      <c r="W673" s="582"/>
      <c r="X673" s="582"/>
      <c r="Y673" s="582"/>
      <c r="Z673" s="582"/>
      <c r="AA673" s="582"/>
      <c r="AB673" s="582"/>
      <c r="AC673" s="582"/>
      <c r="AD673" s="582"/>
      <c r="AE673" s="582"/>
      <c r="AF673" s="1069"/>
    </row>
    <row r="674">
      <c r="A674" s="582"/>
      <c r="B674" s="582"/>
      <c r="C674" s="582"/>
      <c r="D674" s="582"/>
      <c r="E674" s="582"/>
      <c r="F674" s="582"/>
      <c r="G674" s="582"/>
      <c r="H674" s="582"/>
      <c r="I674" s="582"/>
      <c r="J674" s="582"/>
      <c r="K674" s="582"/>
      <c r="L674" s="582"/>
      <c r="M674" s="582"/>
      <c r="N674" s="582"/>
      <c r="O674" s="582"/>
      <c r="P674" s="582"/>
      <c r="Q674" s="582"/>
      <c r="R674" s="582"/>
      <c r="S674" s="582"/>
      <c r="T674" s="582"/>
      <c r="U674" s="582"/>
      <c r="V674" s="582"/>
      <c r="W674" s="582"/>
      <c r="X674" s="582"/>
      <c r="Y674" s="582"/>
      <c r="Z674" s="582"/>
      <c r="AA674" s="582"/>
      <c r="AB674" s="582"/>
      <c r="AC674" s="582"/>
      <c r="AD674" s="582"/>
      <c r="AE674" s="582"/>
      <c r="AF674" s="1069"/>
    </row>
    <row r="675">
      <c r="A675" s="582"/>
      <c r="B675" s="582"/>
      <c r="C675" s="582"/>
      <c r="D675" s="582"/>
      <c r="E675" s="582"/>
      <c r="F675" s="582"/>
      <c r="G675" s="582"/>
      <c r="H675" s="582"/>
      <c r="I675" s="582"/>
      <c r="J675" s="582"/>
      <c r="K675" s="582"/>
      <c r="L675" s="582"/>
      <c r="M675" s="582"/>
      <c r="N675" s="582"/>
      <c r="O675" s="582"/>
      <c r="P675" s="582"/>
      <c r="Q675" s="582"/>
      <c r="R675" s="582"/>
      <c r="S675" s="582"/>
      <c r="T675" s="582"/>
      <c r="U675" s="582"/>
      <c r="V675" s="582"/>
      <c r="W675" s="582"/>
      <c r="X675" s="582"/>
      <c r="Y675" s="582"/>
      <c r="Z675" s="582"/>
      <c r="AA675" s="582"/>
      <c r="AB675" s="582"/>
      <c r="AC675" s="582"/>
      <c r="AD675" s="582"/>
      <c r="AE675" s="582"/>
      <c r="AF675" s="1069"/>
    </row>
    <row r="676">
      <c r="A676" s="582"/>
      <c r="B676" s="582"/>
      <c r="C676" s="582"/>
      <c r="D676" s="582"/>
      <c r="E676" s="582"/>
      <c r="F676" s="582"/>
      <c r="G676" s="582"/>
      <c r="H676" s="582"/>
      <c r="I676" s="582"/>
      <c r="J676" s="582"/>
      <c r="K676" s="582"/>
      <c r="L676" s="582"/>
      <c r="M676" s="582"/>
      <c r="N676" s="582"/>
      <c r="O676" s="582"/>
      <c r="P676" s="582"/>
      <c r="Q676" s="582"/>
      <c r="R676" s="582"/>
      <c r="S676" s="582"/>
      <c r="T676" s="582"/>
      <c r="U676" s="582"/>
      <c r="V676" s="582"/>
      <c r="W676" s="582"/>
      <c r="X676" s="582"/>
      <c r="Y676" s="582"/>
      <c r="Z676" s="582"/>
      <c r="AA676" s="582"/>
      <c r="AB676" s="582"/>
      <c r="AC676" s="582"/>
      <c r="AD676" s="582"/>
      <c r="AE676" s="582"/>
      <c r="AF676" s="1069"/>
    </row>
    <row r="677">
      <c r="A677" s="582"/>
      <c r="B677" s="582"/>
      <c r="C677" s="582"/>
      <c r="D677" s="582"/>
      <c r="E677" s="582"/>
      <c r="F677" s="582"/>
      <c r="G677" s="582"/>
      <c r="H677" s="582"/>
      <c r="I677" s="582"/>
      <c r="J677" s="582"/>
      <c r="K677" s="582"/>
      <c r="L677" s="582"/>
      <c r="M677" s="582"/>
      <c r="N677" s="582"/>
      <c r="O677" s="582"/>
      <c r="P677" s="582"/>
      <c r="Q677" s="582"/>
      <c r="R677" s="582"/>
      <c r="S677" s="582"/>
      <c r="T677" s="582"/>
      <c r="U677" s="582"/>
      <c r="V677" s="582"/>
      <c r="W677" s="582"/>
      <c r="X677" s="582"/>
      <c r="Y677" s="582"/>
      <c r="Z677" s="582"/>
      <c r="AA677" s="582"/>
      <c r="AB677" s="582"/>
      <c r="AC677" s="582"/>
      <c r="AD677" s="582"/>
      <c r="AE677" s="582"/>
      <c r="AF677" s="1069"/>
    </row>
    <row r="678">
      <c r="A678" s="582"/>
      <c r="B678" s="582"/>
      <c r="C678" s="582"/>
      <c r="D678" s="582"/>
      <c r="E678" s="582"/>
      <c r="F678" s="582"/>
      <c r="G678" s="582"/>
      <c r="H678" s="582"/>
      <c r="I678" s="582"/>
      <c r="J678" s="582"/>
      <c r="K678" s="582"/>
      <c r="L678" s="582"/>
      <c r="M678" s="582"/>
      <c r="N678" s="582"/>
      <c r="O678" s="582"/>
      <c r="P678" s="582"/>
      <c r="Q678" s="582"/>
      <c r="R678" s="582"/>
      <c r="S678" s="582"/>
      <c r="T678" s="582"/>
      <c r="U678" s="582"/>
      <c r="V678" s="582"/>
      <c r="W678" s="582"/>
      <c r="X678" s="582"/>
      <c r="Y678" s="582"/>
      <c r="Z678" s="582"/>
      <c r="AA678" s="582"/>
      <c r="AB678" s="582"/>
      <c r="AC678" s="582"/>
      <c r="AD678" s="582"/>
      <c r="AE678" s="582"/>
      <c r="AF678" s="1069"/>
    </row>
    <row r="679">
      <c r="A679" s="582"/>
      <c r="B679" s="582"/>
      <c r="C679" s="582"/>
      <c r="D679" s="582"/>
      <c r="E679" s="582"/>
      <c r="F679" s="582"/>
      <c r="G679" s="582"/>
      <c r="H679" s="582"/>
      <c r="I679" s="582"/>
      <c r="J679" s="582"/>
      <c r="K679" s="582"/>
      <c r="L679" s="582"/>
      <c r="M679" s="582"/>
      <c r="N679" s="582"/>
      <c r="O679" s="582"/>
      <c r="P679" s="582"/>
      <c r="Q679" s="582"/>
      <c r="R679" s="582"/>
      <c r="S679" s="582"/>
      <c r="T679" s="582"/>
      <c r="U679" s="582"/>
      <c r="V679" s="582"/>
      <c r="W679" s="582"/>
      <c r="X679" s="582"/>
      <c r="Y679" s="582"/>
      <c r="Z679" s="582"/>
      <c r="AA679" s="582"/>
      <c r="AB679" s="582"/>
      <c r="AC679" s="582"/>
      <c r="AD679" s="582"/>
      <c r="AE679" s="582"/>
      <c r="AF679" s="1069"/>
    </row>
    <row r="680">
      <c r="A680" s="582"/>
      <c r="B680" s="582"/>
      <c r="C680" s="582"/>
      <c r="D680" s="582"/>
      <c r="E680" s="582"/>
      <c r="F680" s="582"/>
      <c r="G680" s="582"/>
      <c r="H680" s="582"/>
      <c r="I680" s="582"/>
      <c r="J680" s="582"/>
      <c r="K680" s="582"/>
      <c r="L680" s="582"/>
      <c r="M680" s="582"/>
      <c r="N680" s="582"/>
      <c r="O680" s="582"/>
      <c r="P680" s="582"/>
      <c r="Q680" s="582"/>
      <c r="R680" s="582"/>
      <c r="S680" s="582"/>
      <c r="T680" s="582"/>
      <c r="U680" s="582"/>
      <c r="V680" s="582"/>
      <c r="W680" s="582"/>
      <c r="X680" s="582"/>
      <c r="Y680" s="582"/>
      <c r="Z680" s="582"/>
      <c r="AA680" s="582"/>
      <c r="AB680" s="582"/>
      <c r="AC680" s="582"/>
      <c r="AD680" s="582"/>
      <c r="AE680" s="582"/>
      <c r="AF680" s="1069"/>
    </row>
    <row r="681">
      <c r="A681" s="582"/>
      <c r="B681" s="582"/>
      <c r="C681" s="582"/>
      <c r="D681" s="582"/>
      <c r="E681" s="582"/>
      <c r="F681" s="582"/>
      <c r="G681" s="582"/>
      <c r="H681" s="582"/>
      <c r="I681" s="582"/>
      <c r="J681" s="582"/>
      <c r="K681" s="582"/>
      <c r="L681" s="582"/>
      <c r="M681" s="582"/>
      <c r="N681" s="582"/>
      <c r="O681" s="582"/>
      <c r="P681" s="582"/>
      <c r="Q681" s="582"/>
      <c r="R681" s="582"/>
      <c r="S681" s="582"/>
      <c r="T681" s="582"/>
      <c r="U681" s="582"/>
      <c r="V681" s="582"/>
      <c r="W681" s="582"/>
      <c r="X681" s="582"/>
      <c r="Y681" s="582"/>
      <c r="Z681" s="582"/>
      <c r="AA681" s="582"/>
      <c r="AB681" s="582"/>
      <c r="AC681" s="582"/>
      <c r="AD681" s="582"/>
      <c r="AE681" s="582"/>
      <c r="AF681" s="1069"/>
    </row>
    <row r="682">
      <c r="A682" s="582"/>
      <c r="B682" s="582"/>
      <c r="C682" s="582"/>
      <c r="D682" s="582"/>
      <c r="E682" s="582"/>
      <c r="F682" s="582"/>
      <c r="G682" s="582"/>
      <c r="H682" s="582"/>
      <c r="I682" s="582"/>
      <c r="J682" s="582"/>
      <c r="K682" s="582"/>
      <c r="L682" s="582"/>
      <c r="M682" s="582"/>
      <c r="N682" s="582"/>
      <c r="O682" s="582"/>
      <c r="P682" s="582"/>
      <c r="Q682" s="582"/>
      <c r="R682" s="582"/>
      <c r="S682" s="582"/>
      <c r="T682" s="582"/>
      <c r="U682" s="582"/>
      <c r="V682" s="582"/>
      <c r="W682" s="582"/>
      <c r="X682" s="582"/>
      <c r="Y682" s="582"/>
      <c r="Z682" s="582"/>
      <c r="AA682" s="582"/>
      <c r="AB682" s="582"/>
      <c r="AC682" s="582"/>
      <c r="AD682" s="582"/>
      <c r="AE682" s="582"/>
      <c r="AF682" s="1069"/>
    </row>
    <row r="683">
      <c r="A683" s="582"/>
      <c r="B683" s="582"/>
      <c r="C683" s="582"/>
      <c r="D683" s="582"/>
      <c r="E683" s="582"/>
      <c r="F683" s="582"/>
      <c r="G683" s="582"/>
      <c r="H683" s="582"/>
      <c r="I683" s="582"/>
      <c r="J683" s="582"/>
      <c r="K683" s="582"/>
      <c r="L683" s="582"/>
      <c r="M683" s="582"/>
      <c r="N683" s="582"/>
      <c r="O683" s="582"/>
      <c r="P683" s="582"/>
      <c r="Q683" s="582"/>
      <c r="R683" s="582"/>
      <c r="S683" s="582"/>
      <c r="T683" s="582"/>
      <c r="U683" s="582"/>
      <c r="V683" s="582"/>
      <c r="W683" s="582"/>
      <c r="X683" s="582"/>
      <c r="Y683" s="582"/>
      <c r="Z683" s="582"/>
      <c r="AA683" s="582"/>
      <c r="AB683" s="582"/>
      <c r="AC683" s="582"/>
      <c r="AD683" s="582"/>
      <c r="AE683" s="582"/>
      <c r="AF683" s="1069"/>
    </row>
    <row r="684">
      <c r="A684" s="582"/>
      <c r="B684" s="582"/>
      <c r="C684" s="582"/>
      <c r="D684" s="582"/>
      <c r="E684" s="582"/>
      <c r="F684" s="582"/>
      <c r="G684" s="582"/>
      <c r="H684" s="582"/>
      <c r="I684" s="582"/>
      <c r="J684" s="582"/>
      <c r="K684" s="582"/>
      <c r="L684" s="582"/>
      <c r="M684" s="582"/>
      <c r="N684" s="582"/>
      <c r="O684" s="582"/>
      <c r="P684" s="582"/>
      <c r="Q684" s="582"/>
      <c r="R684" s="582"/>
      <c r="S684" s="582"/>
      <c r="T684" s="582"/>
      <c r="U684" s="582"/>
      <c r="V684" s="582"/>
      <c r="W684" s="582"/>
      <c r="X684" s="582"/>
      <c r="Y684" s="582"/>
      <c r="Z684" s="582"/>
      <c r="AA684" s="582"/>
      <c r="AB684" s="582"/>
      <c r="AC684" s="582"/>
      <c r="AD684" s="582"/>
      <c r="AE684" s="582"/>
      <c r="AF684" s="1069"/>
    </row>
    <row r="685">
      <c r="A685" s="582"/>
      <c r="B685" s="582"/>
      <c r="C685" s="582"/>
      <c r="D685" s="582"/>
      <c r="E685" s="582"/>
      <c r="F685" s="582"/>
      <c r="G685" s="582"/>
      <c r="H685" s="582"/>
      <c r="I685" s="582"/>
      <c r="J685" s="582"/>
      <c r="K685" s="582"/>
      <c r="L685" s="582"/>
      <c r="M685" s="582"/>
      <c r="N685" s="582"/>
      <c r="O685" s="582"/>
      <c r="P685" s="582"/>
      <c r="Q685" s="582"/>
      <c r="R685" s="582"/>
      <c r="S685" s="582"/>
      <c r="T685" s="582"/>
      <c r="U685" s="582"/>
      <c r="V685" s="582"/>
      <c r="W685" s="582"/>
      <c r="X685" s="582"/>
      <c r="Y685" s="582"/>
      <c r="Z685" s="582"/>
      <c r="AA685" s="582"/>
      <c r="AB685" s="582"/>
      <c r="AC685" s="582"/>
      <c r="AD685" s="582"/>
      <c r="AE685" s="582"/>
      <c r="AF685" s="1069"/>
    </row>
    <row r="686">
      <c r="A686" s="582"/>
      <c r="B686" s="582"/>
      <c r="C686" s="582"/>
      <c r="D686" s="582"/>
      <c r="E686" s="582"/>
      <c r="F686" s="582"/>
      <c r="G686" s="582"/>
      <c r="H686" s="582"/>
      <c r="I686" s="582"/>
      <c r="J686" s="582"/>
      <c r="K686" s="582"/>
      <c r="L686" s="582"/>
      <c r="M686" s="582"/>
      <c r="N686" s="582"/>
      <c r="O686" s="582"/>
      <c r="P686" s="582"/>
      <c r="Q686" s="582"/>
      <c r="R686" s="582"/>
      <c r="S686" s="582"/>
      <c r="T686" s="582"/>
      <c r="U686" s="582"/>
      <c r="V686" s="582"/>
      <c r="W686" s="582"/>
      <c r="X686" s="582"/>
      <c r="Y686" s="582"/>
      <c r="Z686" s="582"/>
      <c r="AA686" s="582"/>
      <c r="AB686" s="582"/>
      <c r="AC686" s="582"/>
      <c r="AD686" s="582"/>
      <c r="AE686" s="582"/>
      <c r="AF686" s="1069"/>
    </row>
    <row r="687">
      <c r="A687" s="582"/>
      <c r="B687" s="582"/>
      <c r="C687" s="582"/>
      <c r="D687" s="582"/>
      <c r="E687" s="582"/>
      <c r="F687" s="582"/>
      <c r="G687" s="582"/>
      <c r="H687" s="582"/>
      <c r="I687" s="582"/>
      <c r="J687" s="582"/>
      <c r="K687" s="582"/>
      <c r="L687" s="582"/>
      <c r="M687" s="582"/>
      <c r="N687" s="582"/>
      <c r="O687" s="582"/>
      <c r="P687" s="582"/>
      <c r="Q687" s="582"/>
      <c r="R687" s="582"/>
      <c r="S687" s="582"/>
      <c r="T687" s="582"/>
      <c r="U687" s="582"/>
      <c r="V687" s="582"/>
      <c r="W687" s="582"/>
      <c r="X687" s="582"/>
      <c r="Y687" s="582"/>
      <c r="Z687" s="582"/>
      <c r="AA687" s="582"/>
      <c r="AB687" s="582"/>
      <c r="AC687" s="582"/>
      <c r="AD687" s="582"/>
      <c r="AE687" s="582"/>
      <c r="AF687" s="1069"/>
    </row>
    <row r="688">
      <c r="A688" s="582"/>
      <c r="B688" s="582"/>
      <c r="C688" s="582"/>
      <c r="D688" s="582"/>
      <c r="E688" s="582"/>
      <c r="F688" s="582"/>
      <c r="G688" s="582"/>
      <c r="H688" s="582"/>
      <c r="I688" s="582"/>
      <c r="J688" s="582"/>
      <c r="K688" s="582"/>
      <c r="L688" s="582"/>
      <c r="M688" s="582"/>
      <c r="N688" s="582"/>
      <c r="O688" s="582"/>
      <c r="P688" s="582"/>
      <c r="Q688" s="582"/>
      <c r="R688" s="582"/>
      <c r="S688" s="582"/>
      <c r="T688" s="582"/>
      <c r="U688" s="582"/>
      <c r="V688" s="582"/>
      <c r="W688" s="582"/>
      <c r="X688" s="582"/>
      <c r="Y688" s="582"/>
      <c r="Z688" s="582"/>
      <c r="AA688" s="582"/>
      <c r="AB688" s="582"/>
      <c r="AC688" s="582"/>
      <c r="AD688" s="582"/>
      <c r="AE688" s="582"/>
      <c r="AF688" s="1069"/>
    </row>
    <row r="689">
      <c r="A689" s="582"/>
      <c r="B689" s="582"/>
      <c r="C689" s="582"/>
      <c r="D689" s="582"/>
      <c r="E689" s="582"/>
      <c r="F689" s="582"/>
      <c r="G689" s="582"/>
      <c r="H689" s="582"/>
      <c r="I689" s="582"/>
      <c r="J689" s="582"/>
      <c r="K689" s="582"/>
      <c r="L689" s="582"/>
      <c r="M689" s="582"/>
      <c r="N689" s="582"/>
      <c r="O689" s="582"/>
      <c r="P689" s="582"/>
      <c r="Q689" s="582"/>
      <c r="R689" s="582"/>
      <c r="S689" s="582"/>
      <c r="T689" s="582"/>
      <c r="U689" s="582"/>
      <c r="V689" s="582"/>
      <c r="W689" s="582"/>
      <c r="X689" s="582"/>
      <c r="Y689" s="582"/>
      <c r="Z689" s="582"/>
      <c r="AA689" s="582"/>
      <c r="AB689" s="582"/>
      <c r="AC689" s="582"/>
      <c r="AD689" s="582"/>
      <c r="AE689" s="582"/>
      <c r="AF689" s="1069"/>
    </row>
    <row r="690">
      <c r="A690" s="582"/>
      <c r="B690" s="582"/>
      <c r="C690" s="582"/>
      <c r="D690" s="582"/>
      <c r="E690" s="582"/>
      <c r="F690" s="582"/>
      <c r="G690" s="582"/>
      <c r="H690" s="582"/>
      <c r="I690" s="582"/>
      <c r="J690" s="582"/>
      <c r="K690" s="582"/>
      <c r="L690" s="582"/>
      <c r="M690" s="582"/>
      <c r="N690" s="582"/>
      <c r="O690" s="582"/>
      <c r="P690" s="582"/>
      <c r="Q690" s="582"/>
      <c r="R690" s="582"/>
      <c r="S690" s="582"/>
      <c r="T690" s="582"/>
      <c r="U690" s="582"/>
      <c r="V690" s="582"/>
      <c r="W690" s="582"/>
      <c r="X690" s="582"/>
      <c r="Y690" s="582"/>
      <c r="Z690" s="582"/>
      <c r="AA690" s="582"/>
      <c r="AB690" s="582"/>
      <c r="AC690" s="582"/>
      <c r="AD690" s="582"/>
      <c r="AE690" s="582"/>
      <c r="AF690" s="1069"/>
    </row>
    <row r="691">
      <c r="A691" s="582"/>
      <c r="B691" s="582"/>
      <c r="C691" s="582"/>
      <c r="D691" s="582"/>
      <c r="E691" s="582"/>
      <c r="F691" s="582"/>
      <c r="G691" s="582"/>
      <c r="H691" s="582"/>
      <c r="I691" s="582"/>
      <c r="J691" s="582"/>
      <c r="K691" s="582"/>
      <c r="L691" s="582"/>
      <c r="M691" s="582"/>
      <c r="N691" s="582"/>
      <c r="O691" s="582"/>
      <c r="P691" s="582"/>
      <c r="Q691" s="582"/>
      <c r="R691" s="582"/>
      <c r="S691" s="582"/>
      <c r="T691" s="582"/>
      <c r="U691" s="582"/>
      <c r="V691" s="582"/>
      <c r="W691" s="582"/>
      <c r="X691" s="582"/>
      <c r="Y691" s="582"/>
      <c r="Z691" s="582"/>
      <c r="AA691" s="582"/>
      <c r="AB691" s="582"/>
      <c r="AC691" s="582"/>
      <c r="AD691" s="582"/>
      <c r="AE691" s="582"/>
      <c r="AF691" s="1069"/>
    </row>
    <row r="692">
      <c r="A692" s="582"/>
      <c r="B692" s="582"/>
      <c r="C692" s="582"/>
      <c r="D692" s="582"/>
      <c r="E692" s="582"/>
      <c r="F692" s="582"/>
      <c r="G692" s="582"/>
      <c r="H692" s="582"/>
      <c r="I692" s="582"/>
      <c r="J692" s="582"/>
      <c r="K692" s="582"/>
      <c r="L692" s="582"/>
      <c r="M692" s="582"/>
      <c r="N692" s="582"/>
      <c r="O692" s="582"/>
      <c r="P692" s="582"/>
      <c r="Q692" s="582"/>
      <c r="R692" s="582"/>
      <c r="S692" s="582"/>
      <c r="T692" s="582"/>
      <c r="U692" s="582"/>
      <c r="V692" s="582"/>
      <c r="W692" s="582"/>
      <c r="X692" s="582"/>
      <c r="Y692" s="582"/>
      <c r="Z692" s="582"/>
      <c r="AA692" s="582"/>
      <c r="AB692" s="582"/>
      <c r="AC692" s="582"/>
      <c r="AD692" s="582"/>
      <c r="AE692" s="582"/>
      <c r="AF692" s="1069"/>
    </row>
    <row r="693">
      <c r="A693" s="582"/>
      <c r="B693" s="582"/>
      <c r="C693" s="582"/>
      <c r="D693" s="582"/>
      <c r="E693" s="582"/>
      <c r="F693" s="582"/>
      <c r="G693" s="582"/>
      <c r="H693" s="582"/>
      <c r="I693" s="582"/>
      <c r="J693" s="582"/>
      <c r="K693" s="582"/>
      <c r="L693" s="582"/>
      <c r="M693" s="582"/>
      <c r="N693" s="582"/>
      <c r="O693" s="582"/>
      <c r="P693" s="582"/>
      <c r="Q693" s="582"/>
      <c r="R693" s="582"/>
      <c r="S693" s="582"/>
      <c r="T693" s="582"/>
      <c r="U693" s="582"/>
      <c r="V693" s="582"/>
      <c r="W693" s="582"/>
      <c r="X693" s="582"/>
      <c r="Y693" s="582"/>
      <c r="Z693" s="582"/>
      <c r="AA693" s="582"/>
      <c r="AB693" s="582"/>
      <c r="AC693" s="582"/>
      <c r="AD693" s="582"/>
      <c r="AE693" s="582"/>
      <c r="AF693" s="1069"/>
    </row>
    <row r="694">
      <c r="A694" s="582"/>
      <c r="B694" s="582"/>
      <c r="C694" s="582"/>
      <c r="D694" s="582"/>
      <c r="E694" s="582"/>
      <c r="F694" s="582"/>
      <c r="G694" s="582"/>
      <c r="H694" s="582"/>
      <c r="I694" s="582"/>
      <c r="J694" s="582"/>
      <c r="K694" s="582"/>
      <c r="L694" s="582"/>
      <c r="M694" s="582"/>
      <c r="N694" s="582"/>
      <c r="O694" s="582"/>
      <c r="P694" s="582"/>
      <c r="Q694" s="582"/>
      <c r="R694" s="582"/>
      <c r="S694" s="582"/>
      <c r="T694" s="582"/>
      <c r="U694" s="582"/>
      <c r="V694" s="582"/>
      <c r="W694" s="582"/>
      <c r="X694" s="582"/>
      <c r="Y694" s="582"/>
      <c r="Z694" s="582"/>
      <c r="AA694" s="582"/>
      <c r="AB694" s="582"/>
      <c r="AC694" s="582"/>
      <c r="AD694" s="582"/>
      <c r="AE694" s="582"/>
      <c r="AF694" s="1069"/>
    </row>
    <row r="695">
      <c r="A695" s="582"/>
      <c r="B695" s="582"/>
      <c r="C695" s="582"/>
      <c r="D695" s="582"/>
      <c r="E695" s="582"/>
      <c r="F695" s="582"/>
      <c r="G695" s="582"/>
      <c r="H695" s="582"/>
      <c r="I695" s="582"/>
      <c r="J695" s="582"/>
      <c r="K695" s="582"/>
      <c r="L695" s="582"/>
      <c r="M695" s="582"/>
      <c r="N695" s="582"/>
      <c r="O695" s="582"/>
      <c r="P695" s="582"/>
      <c r="Q695" s="582"/>
      <c r="R695" s="582"/>
      <c r="S695" s="582"/>
      <c r="T695" s="582"/>
      <c r="U695" s="582"/>
      <c r="V695" s="582"/>
      <c r="W695" s="582"/>
      <c r="X695" s="582"/>
      <c r="Y695" s="582"/>
      <c r="Z695" s="582"/>
      <c r="AA695" s="582"/>
      <c r="AB695" s="582"/>
      <c r="AC695" s="582"/>
      <c r="AD695" s="582"/>
      <c r="AE695" s="582"/>
      <c r="AF695" s="1069"/>
    </row>
    <row r="696">
      <c r="A696" s="582"/>
      <c r="B696" s="582"/>
      <c r="C696" s="582"/>
      <c r="D696" s="582"/>
      <c r="E696" s="582"/>
      <c r="F696" s="582"/>
      <c r="G696" s="582"/>
      <c r="H696" s="582"/>
      <c r="I696" s="582"/>
      <c r="J696" s="582"/>
      <c r="K696" s="582"/>
      <c r="L696" s="582"/>
      <c r="M696" s="582"/>
      <c r="N696" s="582"/>
      <c r="O696" s="582"/>
      <c r="P696" s="582"/>
      <c r="Q696" s="582"/>
      <c r="R696" s="582"/>
      <c r="S696" s="582"/>
      <c r="T696" s="582"/>
      <c r="U696" s="582"/>
      <c r="V696" s="582"/>
      <c r="W696" s="582"/>
      <c r="X696" s="582"/>
      <c r="Y696" s="582"/>
      <c r="Z696" s="582"/>
      <c r="AA696" s="582"/>
      <c r="AB696" s="582"/>
      <c r="AC696" s="582"/>
      <c r="AD696" s="582"/>
      <c r="AE696" s="582"/>
      <c r="AF696" s="1069"/>
    </row>
    <row r="697">
      <c r="A697" s="582"/>
      <c r="B697" s="582"/>
      <c r="C697" s="582"/>
      <c r="D697" s="582"/>
      <c r="E697" s="582"/>
      <c r="F697" s="582"/>
      <c r="G697" s="582"/>
      <c r="H697" s="582"/>
      <c r="I697" s="582"/>
      <c r="J697" s="582"/>
      <c r="K697" s="582"/>
      <c r="L697" s="582"/>
      <c r="M697" s="582"/>
      <c r="N697" s="582"/>
      <c r="O697" s="582"/>
      <c r="P697" s="582"/>
      <c r="Q697" s="582"/>
      <c r="R697" s="582"/>
      <c r="S697" s="582"/>
      <c r="T697" s="582"/>
      <c r="U697" s="582"/>
      <c r="V697" s="582"/>
      <c r="W697" s="582"/>
      <c r="X697" s="582"/>
      <c r="Y697" s="582"/>
      <c r="Z697" s="582"/>
      <c r="AA697" s="582"/>
      <c r="AB697" s="582"/>
      <c r="AC697" s="582"/>
      <c r="AD697" s="582"/>
      <c r="AE697" s="582"/>
      <c r="AF697" s="1069"/>
    </row>
    <row r="698">
      <c r="A698" s="582"/>
      <c r="B698" s="582"/>
      <c r="C698" s="582"/>
      <c r="D698" s="582"/>
      <c r="E698" s="582"/>
      <c r="F698" s="582"/>
      <c r="G698" s="582"/>
      <c r="H698" s="582"/>
      <c r="I698" s="582"/>
      <c r="J698" s="582"/>
      <c r="K698" s="582"/>
      <c r="L698" s="582"/>
      <c r="M698" s="582"/>
      <c r="N698" s="582"/>
      <c r="O698" s="582"/>
      <c r="P698" s="582"/>
      <c r="Q698" s="582"/>
      <c r="R698" s="582"/>
      <c r="S698" s="582"/>
      <c r="T698" s="582"/>
      <c r="U698" s="582"/>
      <c r="V698" s="582"/>
      <c r="W698" s="582"/>
      <c r="X698" s="582"/>
      <c r="Y698" s="582"/>
      <c r="Z698" s="582"/>
      <c r="AA698" s="582"/>
      <c r="AB698" s="582"/>
      <c r="AC698" s="582"/>
      <c r="AD698" s="582"/>
      <c r="AE698" s="582"/>
      <c r="AF698" s="1069"/>
    </row>
    <row r="699">
      <c r="A699" s="582"/>
      <c r="B699" s="582"/>
      <c r="C699" s="582"/>
      <c r="D699" s="582"/>
      <c r="E699" s="582"/>
      <c r="F699" s="582"/>
      <c r="G699" s="582"/>
      <c r="H699" s="582"/>
      <c r="I699" s="582"/>
      <c r="J699" s="582"/>
      <c r="K699" s="582"/>
      <c r="L699" s="582"/>
      <c r="M699" s="582"/>
      <c r="N699" s="582"/>
      <c r="O699" s="582"/>
      <c r="P699" s="582"/>
      <c r="Q699" s="582"/>
      <c r="R699" s="582"/>
      <c r="S699" s="582"/>
      <c r="T699" s="582"/>
      <c r="U699" s="582"/>
      <c r="V699" s="582"/>
      <c r="W699" s="582"/>
      <c r="X699" s="582"/>
      <c r="Y699" s="582"/>
      <c r="Z699" s="582"/>
      <c r="AA699" s="582"/>
      <c r="AB699" s="582"/>
      <c r="AC699" s="582"/>
      <c r="AD699" s="582"/>
      <c r="AE699" s="582"/>
      <c r="AF699" s="1069"/>
    </row>
    <row r="700">
      <c r="A700" s="582"/>
      <c r="B700" s="582"/>
      <c r="C700" s="582"/>
      <c r="D700" s="582"/>
      <c r="E700" s="582"/>
      <c r="F700" s="582"/>
      <c r="G700" s="582"/>
      <c r="H700" s="582"/>
      <c r="I700" s="582"/>
      <c r="J700" s="582"/>
      <c r="K700" s="582"/>
      <c r="L700" s="582"/>
      <c r="M700" s="582"/>
      <c r="N700" s="582"/>
      <c r="O700" s="582"/>
      <c r="P700" s="582"/>
      <c r="Q700" s="582"/>
      <c r="R700" s="582"/>
      <c r="S700" s="582"/>
      <c r="T700" s="582"/>
      <c r="U700" s="582"/>
      <c r="V700" s="582"/>
      <c r="W700" s="582"/>
      <c r="X700" s="582"/>
      <c r="Y700" s="582"/>
      <c r="Z700" s="582"/>
      <c r="AA700" s="582"/>
      <c r="AB700" s="582"/>
      <c r="AC700" s="582"/>
      <c r="AD700" s="582"/>
      <c r="AE700" s="582"/>
      <c r="AF700" s="1069"/>
    </row>
    <row r="701">
      <c r="A701" s="582"/>
      <c r="B701" s="582"/>
      <c r="C701" s="582"/>
      <c r="D701" s="582"/>
      <c r="E701" s="582"/>
      <c r="F701" s="582"/>
      <c r="G701" s="582"/>
      <c r="H701" s="582"/>
      <c r="I701" s="582"/>
      <c r="J701" s="582"/>
      <c r="K701" s="582"/>
      <c r="L701" s="582"/>
      <c r="M701" s="582"/>
      <c r="N701" s="582"/>
      <c r="O701" s="582"/>
      <c r="P701" s="582"/>
      <c r="Q701" s="582"/>
      <c r="R701" s="582"/>
      <c r="S701" s="582"/>
      <c r="T701" s="582"/>
      <c r="U701" s="582"/>
      <c r="V701" s="582"/>
      <c r="W701" s="582"/>
      <c r="X701" s="582"/>
      <c r="Y701" s="582"/>
      <c r="Z701" s="582"/>
      <c r="AA701" s="582"/>
      <c r="AB701" s="582"/>
      <c r="AC701" s="582"/>
      <c r="AD701" s="582"/>
      <c r="AE701" s="582"/>
      <c r="AF701" s="1069"/>
    </row>
    <row r="702">
      <c r="A702" s="582"/>
      <c r="B702" s="582"/>
      <c r="C702" s="582"/>
      <c r="D702" s="582"/>
      <c r="E702" s="582"/>
      <c r="F702" s="582"/>
      <c r="G702" s="582"/>
      <c r="H702" s="582"/>
      <c r="I702" s="582"/>
      <c r="J702" s="582"/>
      <c r="K702" s="582"/>
      <c r="L702" s="582"/>
      <c r="M702" s="582"/>
      <c r="N702" s="582"/>
      <c r="O702" s="582"/>
      <c r="P702" s="582"/>
      <c r="Q702" s="582"/>
      <c r="R702" s="582"/>
      <c r="S702" s="582"/>
      <c r="T702" s="582"/>
      <c r="U702" s="582"/>
      <c r="V702" s="582"/>
      <c r="W702" s="582"/>
      <c r="X702" s="582"/>
      <c r="Y702" s="582"/>
      <c r="Z702" s="582"/>
      <c r="AA702" s="582"/>
      <c r="AB702" s="582"/>
      <c r="AC702" s="582"/>
      <c r="AD702" s="582"/>
      <c r="AE702" s="582"/>
      <c r="AF702" s="1069"/>
    </row>
    <row r="703">
      <c r="A703" s="582"/>
      <c r="B703" s="582"/>
      <c r="C703" s="582"/>
      <c r="D703" s="582"/>
      <c r="E703" s="582"/>
      <c r="F703" s="582"/>
      <c r="G703" s="582"/>
      <c r="H703" s="582"/>
      <c r="I703" s="582"/>
      <c r="J703" s="582"/>
      <c r="K703" s="582"/>
      <c r="L703" s="582"/>
      <c r="M703" s="582"/>
      <c r="N703" s="582"/>
      <c r="O703" s="582"/>
      <c r="P703" s="582"/>
      <c r="Q703" s="582"/>
      <c r="R703" s="582"/>
      <c r="S703" s="582"/>
      <c r="T703" s="582"/>
      <c r="U703" s="582"/>
      <c r="V703" s="582"/>
      <c r="W703" s="582"/>
      <c r="X703" s="582"/>
      <c r="Y703" s="582"/>
      <c r="Z703" s="582"/>
      <c r="AA703" s="582"/>
      <c r="AB703" s="582"/>
      <c r="AC703" s="582"/>
      <c r="AD703" s="582"/>
      <c r="AE703" s="582"/>
      <c r="AF703" s="1069"/>
    </row>
    <row r="704">
      <c r="A704" s="582"/>
      <c r="B704" s="582"/>
      <c r="C704" s="582"/>
      <c r="D704" s="582"/>
      <c r="E704" s="582"/>
      <c r="F704" s="582"/>
      <c r="G704" s="582"/>
      <c r="H704" s="582"/>
      <c r="I704" s="582"/>
      <c r="J704" s="582"/>
      <c r="K704" s="582"/>
      <c r="L704" s="582"/>
      <c r="M704" s="582"/>
      <c r="N704" s="582"/>
      <c r="O704" s="582"/>
      <c r="P704" s="582"/>
      <c r="Q704" s="582"/>
      <c r="R704" s="582"/>
      <c r="S704" s="582"/>
      <c r="T704" s="582"/>
      <c r="U704" s="582"/>
      <c r="V704" s="582"/>
      <c r="W704" s="582"/>
      <c r="X704" s="582"/>
      <c r="Y704" s="582"/>
      <c r="Z704" s="582"/>
      <c r="AA704" s="582"/>
      <c r="AB704" s="582"/>
      <c r="AC704" s="582"/>
      <c r="AD704" s="582"/>
      <c r="AE704" s="582"/>
      <c r="AF704" s="1069"/>
    </row>
    <row r="705">
      <c r="A705" s="582"/>
      <c r="B705" s="582"/>
      <c r="C705" s="582"/>
      <c r="D705" s="582"/>
      <c r="E705" s="582"/>
      <c r="F705" s="582"/>
      <c r="G705" s="582"/>
      <c r="H705" s="582"/>
      <c r="I705" s="582"/>
      <c r="J705" s="582"/>
      <c r="K705" s="582"/>
      <c r="L705" s="582"/>
      <c r="M705" s="582"/>
      <c r="N705" s="582"/>
      <c r="O705" s="582"/>
      <c r="P705" s="582"/>
      <c r="Q705" s="582"/>
      <c r="R705" s="582"/>
      <c r="S705" s="582"/>
      <c r="T705" s="582"/>
      <c r="U705" s="582"/>
      <c r="V705" s="582"/>
      <c r="W705" s="582"/>
      <c r="X705" s="582"/>
      <c r="Y705" s="582"/>
      <c r="Z705" s="582"/>
      <c r="AA705" s="582"/>
      <c r="AB705" s="582"/>
      <c r="AC705" s="582"/>
      <c r="AD705" s="582"/>
      <c r="AE705" s="582"/>
      <c r="AF705" s="1069"/>
    </row>
    <row r="706">
      <c r="A706" s="582"/>
      <c r="B706" s="582"/>
      <c r="C706" s="582"/>
      <c r="D706" s="582"/>
      <c r="E706" s="582"/>
      <c r="F706" s="582"/>
      <c r="G706" s="582"/>
      <c r="H706" s="582"/>
      <c r="I706" s="582"/>
      <c r="J706" s="582"/>
      <c r="K706" s="582"/>
      <c r="L706" s="582"/>
      <c r="M706" s="582"/>
      <c r="N706" s="582"/>
      <c r="O706" s="582"/>
      <c r="P706" s="582"/>
      <c r="Q706" s="582"/>
      <c r="R706" s="582"/>
      <c r="S706" s="582"/>
      <c r="T706" s="582"/>
      <c r="U706" s="582"/>
      <c r="V706" s="582"/>
      <c r="W706" s="582"/>
      <c r="X706" s="582"/>
      <c r="Y706" s="582"/>
      <c r="Z706" s="582"/>
      <c r="AA706" s="582"/>
      <c r="AB706" s="582"/>
      <c r="AC706" s="582"/>
      <c r="AD706" s="582"/>
      <c r="AE706" s="582"/>
      <c r="AF706" s="1069"/>
    </row>
    <row r="707">
      <c r="A707" s="582"/>
      <c r="B707" s="582"/>
      <c r="C707" s="582"/>
      <c r="D707" s="582"/>
      <c r="E707" s="582"/>
      <c r="F707" s="582"/>
      <c r="G707" s="582"/>
      <c r="H707" s="582"/>
      <c r="I707" s="582"/>
      <c r="J707" s="582"/>
      <c r="K707" s="582"/>
      <c r="L707" s="582"/>
      <c r="M707" s="582"/>
      <c r="N707" s="582"/>
      <c r="O707" s="582"/>
      <c r="P707" s="582"/>
      <c r="Q707" s="582"/>
      <c r="R707" s="582"/>
      <c r="S707" s="582"/>
      <c r="T707" s="582"/>
      <c r="U707" s="582"/>
      <c r="V707" s="582"/>
      <c r="W707" s="582"/>
      <c r="X707" s="582"/>
      <c r="Y707" s="582"/>
      <c r="Z707" s="582"/>
      <c r="AA707" s="582"/>
      <c r="AB707" s="582"/>
      <c r="AC707" s="582"/>
      <c r="AD707" s="582"/>
      <c r="AE707" s="582"/>
      <c r="AF707" s="1069"/>
    </row>
    <row r="708">
      <c r="A708" s="582"/>
      <c r="B708" s="582"/>
      <c r="C708" s="582"/>
      <c r="D708" s="582"/>
      <c r="E708" s="582"/>
      <c r="F708" s="582"/>
      <c r="G708" s="582"/>
      <c r="H708" s="582"/>
      <c r="I708" s="582"/>
      <c r="J708" s="582"/>
      <c r="K708" s="582"/>
      <c r="L708" s="582"/>
      <c r="M708" s="582"/>
      <c r="N708" s="582"/>
      <c r="O708" s="582"/>
      <c r="P708" s="582"/>
      <c r="Q708" s="582"/>
      <c r="R708" s="582"/>
      <c r="S708" s="582"/>
      <c r="T708" s="582"/>
      <c r="U708" s="582"/>
      <c r="V708" s="582"/>
      <c r="W708" s="582"/>
      <c r="X708" s="582"/>
      <c r="Y708" s="582"/>
      <c r="Z708" s="582"/>
      <c r="AA708" s="582"/>
      <c r="AB708" s="582"/>
      <c r="AC708" s="582"/>
      <c r="AD708" s="582"/>
      <c r="AE708" s="582"/>
      <c r="AF708" s="1069"/>
    </row>
    <row r="709">
      <c r="A709" s="582"/>
      <c r="B709" s="582"/>
      <c r="C709" s="582"/>
      <c r="D709" s="582"/>
      <c r="E709" s="582"/>
      <c r="F709" s="582"/>
      <c r="G709" s="582"/>
      <c r="H709" s="582"/>
      <c r="I709" s="582"/>
      <c r="J709" s="582"/>
      <c r="K709" s="582"/>
      <c r="L709" s="582"/>
      <c r="M709" s="582"/>
      <c r="N709" s="582"/>
      <c r="O709" s="582"/>
      <c r="P709" s="582"/>
      <c r="Q709" s="582"/>
      <c r="R709" s="582"/>
      <c r="S709" s="582"/>
      <c r="T709" s="582"/>
      <c r="U709" s="582"/>
      <c r="V709" s="582"/>
      <c r="W709" s="582"/>
      <c r="X709" s="582"/>
      <c r="Y709" s="582"/>
      <c r="Z709" s="582"/>
      <c r="AA709" s="582"/>
      <c r="AB709" s="582"/>
      <c r="AC709" s="582"/>
      <c r="AD709" s="582"/>
      <c r="AE709" s="582"/>
      <c r="AF709" s="1069"/>
    </row>
    <row r="710">
      <c r="A710" s="582"/>
      <c r="B710" s="582"/>
      <c r="C710" s="582"/>
      <c r="D710" s="582"/>
      <c r="E710" s="582"/>
      <c r="F710" s="582"/>
      <c r="G710" s="582"/>
      <c r="H710" s="582"/>
      <c r="I710" s="582"/>
      <c r="J710" s="582"/>
      <c r="K710" s="582"/>
      <c r="L710" s="582"/>
      <c r="M710" s="582"/>
      <c r="N710" s="582"/>
      <c r="O710" s="582"/>
      <c r="P710" s="582"/>
      <c r="Q710" s="582"/>
      <c r="R710" s="582"/>
      <c r="S710" s="582"/>
      <c r="T710" s="582"/>
      <c r="U710" s="582"/>
      <c r="V710" s="582"/>
      <c r="W710" s="582"/>
      <c r="X710" s="582"/>
      <c r="Y710" s="582"/>
      <c r="Z710" s="582"/>
      <c r="AA710" s="582"/>
      <c r="AB710" s="582"/>
      <c r="AC710" s="582"/>
      <c r="AD710" s="582"/>
      <c r="AE710" s="582"/>
      <c r="AF710" s="1069"/>
    </row>
    <row r="711">
      <c r="A711" s="582"/>
      <c r="B711" s="582"/>
      <c r="C711" s="582"/>
      <c r="D711" s="582"/>
      <c r="E711" s="582"/>
      <c r="F711" s="582"/>
      <c r="G711" s="582"/>
      <c r="H711" s="582"/>
      <c r="I711" s="582"/>
      <c r="J711" s="582"/>
      <c r="K711" s="582"/>
      <c r="L711" s="582"/>
      <c r="M711" s="582"/>
      <c r="N711" s="582"/>
      <c r="O711" s="582"/>
      <c r="P711" s="582"/>
      <c r="Q711" s="582"/>
      <c r="R711" s="582"/>
      <c r="S711" s="582"/>
      <c r="T711" s="582"/>
      <c r="U711" s="582"/>
      <c r="V711" s="582"/>
      <c r="W711" s="582"/>
      <c r="X711" s="582"/>
      <c r="Y711" s="582"/>
      <c r="Z711" s="582"/>
      <c r="AA711" s="582"/>
      <c r="AB711" s="582"/>
      <c r="AC711" s="582"/>
      <c r="AD711" s="582"/>
      <c r="AE711" s="582"/>
      <c r="AF711" s="1069"/>
    </row>
    <row r="712">
      <c r="A712" s="582"/>
      <c r="B712" s="582"/>
      <c r="C712" s="582"/>
      <c r="D712" s="582"/>
      <c r="E712" s="582"/>
      <c r="F712" s="582"/>
      <c r="G712" s="582"/>
      <c r="H712" s="582"/>
      <c r="I712" s="582"/>
      <c r="J712" s="582"/>
      <c r="K712" s="582"/>
      <c r="L712" s="582"/>
      <c r="M712" s="582"/>
      <c r="N712" s="582"/>
      <c r="O712" s="582"/>
      <c r="P712" s="582"/>
      <c r="Q712" s="582"/>
      <c r="R712" s="582"/>
      <c r="S712" s="582"/>
      <c r="T712" s="582"/>
      <c r="U712" s="582"/>
      <c r="V712" s="582"/>
      <c r="W712" s="582"/>
      <c r="X712" s="582"/>
      <c r="Y712" s="582"/>
      <c r="Z712" s="582"/>
      <c r="AA712" s="582"/>
      <c r="AB712" s="582"/>
      <c r="AC712" s="582"/>
      <c r="AD712" s="582"/>
      <c r="AE712" s="582"/>
      <c r="AF712" s="1069"/>
    </row>
    <row r="713">
      <c r="A713" s="582"/>
      <c r="B713" s="582"/>
      <c r="C713" s="582"/>
      <c r="D713" s="582"/>
      <c r="E713" s="582"/>
      <c r="F713" s="582"/>
      <c r="G713" s="582"/>
      <c r="H713" s="582"/>
      <c r="I713" s="582"/>
      <c r="J713" s="582"/>
      <c r="K713" s="582"/>
      <c r="L713" s="582"/>
      <c r="M713" s="582"/>
      <c r="N713" s="582"/>
      <c r="O713" s="582"/>
      <c r="P713" s="582"/>
      <c r="Q713" s="582"/>
      <c r="R713" s="582"/>
      <c r="S713" s="582"/>
      <c r="T713" s="582"/>
      <c r="U713" s="582"/>
      <c r="V713" s="582"/>
      <c r="W713" s="582"/>
      <c r="X713" s="582"/>
      <c r="Y713" s="582"/>
      <c r="Z713" s="582"/>
      <c r="AA713" s="582"/>
      <c r="AB713" s="582"/>
      <c r="AC713" s="582"/>
      <c r="AD713" s="582"/>
      <c r="AE713" s="582"/>
      <c r="AF713" s="1069"/>
    </row>
    <row r="714">
      <c r="A714" s="582"/>
      <c r="B714" s="582"/>
      <c r="C714" s="582"/>
      <c r="D714" s="582"/>
      <c r="E714" s="582"/>
      <c r="F714" s="582"/>
      <c r="G714" s="582"/>
      <c r="H714" s="582"/>
      <c r="I714" s="582"/>
      <c r="J714" s="582"/>
      <c r="K714" s="582"/>
      <c r="L714" s="582"/>
      <c r="M714" s="582"/>
      <c r="N714" s="582"/>
      <c r="O714" s="582"/>
      <c r="P714" s="582"/>
      <c r="Q714" s="582"/>
      <c r="R714" s="582"/>
      <c r="S714" s="582"/>
      <c r="T714" s="582"/>
      <c r="U714" s="582"/>
      <c r="V714" s="582"/>
      <c r="W714" s="582"/>
      <c r="X714" s="582"/>
      <c r="Y714" s="582"/>
      <c r="Z714" s="582"/>
      <c r="AA714" s="582"/>
      <c r="AB714" s="582"/>
      <c r="AC714" s="582"/>
      <c r="AD714" s="582"/>
      <c r="AE714" s="582"/>
      <c r="AF714" s="1069"/>
    </row>
    <row r="715">
      <c r="A715" s="582"/>
      <c r="B715" s="582"/>
      <c r="C715" s="582"/>
      <c r="D715" s="582"/>
      <c r="E715" s="582"/>
      <c r="F715" s="582"/>
      <c r="G715" s="582"/>
      <c r="H715" s="582"/>
      <c r="I715" s="582"/>
      <c r="J715" s="582"/>
      <c r="K715" s="582"/>
      <c r="L715" s="582"/>
      <c r="M715" s="582"/>
      <c r="N715" s="582"/>
      <c r="O715" s="582"/>
      <c r="P715" s="582"/>
      <c r="Q715" s="582"/>
      <c r="R715" s="582"/>
      <c r="S715" s="582"/>
      <c r="T715" s="582"/>
      <c r="U715" s="582"/>
      <c r="V715" s="582"/>
      <c r="W715" s="582"/>
      <c r="X715" s="582"/>
      <c r="Y715" s="582"/>
      <c r="Z715" s="582"/>
      <c r="AA715" s="582"/>
      <c r="AB715" s="582"/>
      <c r="AC715" s="582"/>
      <c r="AD715" s="582"/>
      <c r="AE715" s="582"/>
      <c r="AF715" s="1069"/>
    </row>
    <row r="716">
      <c r="A716" s="582"/>
      <c r="B716" s="582"/>
      <c r="C716" s="582"/>
      <c r="D716" s="582"/>
      <c r="E716" s="582"/>
      <c r="F716" s="582"/>
      <c r="G716" s="582"/>
      <c r="H716" s="582"/>
      <c r="I716" s="582"/>
      <c r="J716" s="582"/>
      <c r="K716" s="582"/>
      <c r="L716" s="582"/>
      <c r="M716" s="582"/>
      <c r="N716" s="582"/>
      <c r="O716" s="582"/>
      <c r="P716" s="582"/>
      <c r="Q716" s="582"/>
      <c r="R716" s="582"/>
      <c r="S716" s="582"/>
      <c r="T716" s="582"/>
      <c r="U716" s="582"/>
      <c r="V716" s="582"/>
      <c r="W716" s="582"/>
      <c r="X716" s="582"/>
      <c r="Y716" s="582"/>
      <c r="Z716" s="582"/>
      <c r="AA716" s="582"/>
      <c r="AB716" s="582"/>
      <c r="AC716" s="582"/>
      <c r="AD716" s="582"/>
      <c r="AE716" s="582"/>
      <c r="AF716" s="1069"/>
    </row>
    <row r="717">
      <c r="A717" s="582"/>
      <c r="B717" s="582"/>
      <c r="C717" s="582"/>
      <c r="D717" s="582"/>
      <c r="E717" s="582"/>
      <c r="F717" s="582"/>
      <c r="G717" s="582"/>
      <c r="H717" s="582"/>
      <c r="I717" s="582"/>
      <c r="J717" s="582"/>
      <c r="K717" s="582"/>
      <c r="L717" s="582"/>
      <c r="M717" s="582"/>
      <c r="N717" s="582"/>
      <c r="O717" s="582"/>
      <c r="P717" s="582"/>
      <c r="Q717" s="582"/>
      <c r="R717" s="582"/>
      <c r="S717" s="582"/>
      <c r="T717" s="582"/>
      <c r="U717" s="582"/>
      <c r="V717" s="582"/>
      <c r="W717" s="582"/>
      <c r="X717" s="582"/>
      <c r="Y717" s="582"/>
      <c r="Z717" s="582"/>
      <c r="AA717" s="582"/>
      <c r="AB717" s="582"/>
      <c r="AC717" s="582"/>
      <c r="AD717" s="582"/>
      <c r="AE717" s="582"/>
      <c r="AF717" s="1069"/>
    </row>
    <row r="718">
      <c r="A718" s="582"/>
      <c r="B718" s="582"/>
      <c r="C718" s="582"/>
      <c r="D718" s="582"/>
      <c r="E718" s="582"/>
      <c r="F718" s="582"/>
      <c r="G718" s="582"/>
      <c r="H718" s="582"/>
      <c r="I718" s="582"/>
      <c r="J718" s="582"/>
      <c r="K718" s="582"/>
      <c r="L718" s="582"/>
      <c r="M718" s="582"/>
      <c r="N718" s="582"/>
      <c r="O718" s="582"/>
      <c r="P718" s="582"/>
      <c r="Q718" s="582"/>
      <c r="R718" s="582"/>
      <c r="S718" s="582"/>
      <c r="T718" s="582"/>
      <c r="U718" s="582"/>
      <c r="V718" s="582"/>
      <c r="W718" s="582"/>
      <c r="X718" s="582"/>
      <c r="Y718" s="582"/>
      <c r="Z718" s="582"/>
      <c r="AA718" s="582"/>
      <c r="AB718" s="582"/>
      <c r="AC718" s="582"/>
      <c r="AD718" s="582"/>
      <c r="AE718" s="582"/>
      <c r="AF718" s="1069"/>
    </row>
    <row r="719">
      <c r="A719" s="582"/>
      <c r="B719" s="582"/>
      <c r="C719" s="582"/>
      <c r="D719" s="582"/>
      <c r="E719" s="582"/>
      <c r="F719" s="582"/>
      <c r="G719" s="582"/>
      <c r="H719" s="582"/>
      <c r="I719" s="582"/>
      <c r="J719" s="582"/>
      <c r="K719" s="582"/>
      <c r="L719" s="582"/>
      <c r="M719" s="582"/>
      <c r="N719" s="582"/>
      <c r="O719" s="582"/>
      <c r="P719" s="582"/>
      <c r="Q719" s="582"/>
      <c r="R719" s="582"/>
      <c r="S719" s="582"/>
      <c r="T719" s="582"/>
      <c r="U719" s="582"/>
      <c r="V719" s="582"/>
      <c r="W719" s="582"/>
      <c r="X719" s="582"/>
      <c r="Y719" s="582"/>
      <c r="Z719" s="582"/>
      <c r="AA719" s="582"/>
      <c r="AB719" s="582"/>
      <c r="AC719" s="582"/>
      <c r="AD719" s="582"/>
      <c r="AE719" s="582"/>
      <c r="AF719" s="1069"/>
    </row>
    <row r="720">
      <c r="A720" s="582"/>
      <c r="B720" s="582"/>
      <c r="C720" s="582"/>
      <c r="D720" s="582"/>
      <c r="E720" s="582"/>
      <c r="F720" s="582"/>
      <c r="G720" s="582"/>
      <c r="H720" s="582"/>
      <c r="I720" s="582"/>
      <c r="J720" s="582"/>
      <c r="K720" s="582"/>
      <c r="L720" s="582"/>
      <c r="M720" s="582"/>
      <c r="N720" s="582"/>
      <c r="O720" s="582"/>
      <c r="P720" s="582"/>
      <c r="Q720" s="582"/>
      <c r="R720" s="582"/>
      <c r="S720" s="582"/>
      <c r="T720" s="582"/>
      <c r="U720" s="582"/>
      <c r="V720" s="582"/>
      <c r="W720" s="582"/>
      <c r="X720" s="582"/>
      <c r="Y720" s="582"/>
      <c r="Z720" s="582"/>
      <c r="AA720" s="582"/>
      <c r="AB720" s="582"/>
      <c r="AC720" s="582"/>
      <c r="AD720" s="582"/>
      <c r="AE720" s="582"/>
      <c r="AF720" s="1069"/>
    </row>
    <row r="721">
      <c r="A721" s="582"/>
      <c r="B721" s="582"/>
      <c r="C721" s="582"/>
      <c r="D721" s="582"/>
      <c r="E721" s="582"/>
      <c r="F721" s="582"/>
      <c r="G721" s="582"/>
      <c r="H721" s="582"/>
      <c r="I721" s="582"/>
      <c r="J721" s="582"/>
      <c r="K721" s="582"/>
      <c r="L721" s="582"/>
      <c r="M721" s="582"/>
      <c r="N721" s="582"/>
      <c r="O721" s="582"/>
      <c r="P721" s="582"/>
      <c r="Q721" s="582"/>
      <c r="R721" s="582"/>
      <c r="S721" s="582"/>
      <c r="T721" s="582"/>
      <c r="U721" s="582"/>
      <c r="V721" s="582"/>
      <c r="W721" s="582"/>
      <c r="X721" s="582"/>
      <c r="Y721" s="582"/>
      <c r="Z721" s="582"/>
      <c r="AA721" s="582"/>
      <c r="AB721" s="582"/>
      <c r="AC721" s="582"/>
      <c r="AD721" s="582"/>
      <c r="AE721" s="582"/>
      <c r="AF721" s="1069"/>
    </row>
    <row r="722">
      <c r="A722" s="582"/>
      <c r="B722" s="582"/>
      <c r="C722" s="582"/>
      <c r="D722" s="582"/>
      <c r="E722" s="582"/>
      <c r="F722" s="582"/>
      <c r="G722" s="582"/>
      <c r="H722" s="582"/>
      <c r="I722" s="582"/>
      <c r="J722" s="582"/>
      <c r="K722" s="582"/>
      <c r="L722" s="582"/>
      <c r="M722" s="582"/>
      <c r="N722" s="582"/>
      <c r="O722" s="582"/>
      <c r="P722" s="582"/>
      <c r="Q722" s="582"/>
      <c r="R722" s="582"/>
      <c r="S722" s="582"/>
      <c r="T722" s="582"/>
      <c r="U722" s="582"/>
      <c r="V722" s="582"/>
      <c r="W722" s="582"/>
      <c r="X722" s="582"/>
      <c r="Y722" s="582"/>
      <c r="Z722" s="582"/>
      <c r="AA722" s="582"/>
      <c r="AB722" s="582"/>
      <c r="AC722" s="582"/>
      <c r="AD722" s="582"/>
      <c r="AE722" s="582"/>
      <c r="AF722" s="1069"/>
    </row>
    <row r="723">
      <c r="A723" s="582"/>
      <c r="B723" s="582"/>
      <c r="C723" s="582"/>
      <c r="D723" s="582"/>
      <c r="E723" s="582"/>
      <c r="F723" s="582"/>
      <c r="G723" s="582"/>
      <c r="H723" s="582"/>
      <c r="I723" s="582"/>
      <c r="J723" s="582"/>
      <c r="K723" s="582"/>
      <c r="L723" s="582"/>
      <c r="M723" s="582"/>
      <c r="N723" s="582"/>
      <c r="O723" s="582"/>
      <c r="P723" s="582"/>
      <c r="Q723" s="582"/>
      <c r="R723" s="582"/>
      <c r="S723" s="582"/>
      <c r="T723" s="582"/>
      <c r="U723" s="582"/>
      <c r="V723" s="582"/>
      <c r="W723" s="582"/>
      <c r="X723" s="582"/>
      <c r="Y723" s="582"/>
      <c r="Z723" s="582"/>
      <c r="AA723" s="582"/>
      <c r="AB723" s="582"/>
      <c r="AC723" s="582"/>
      <c r="AD723" s="582"/>
      <c r="AE723" s="582"/>
      <c r="AF723" s="1069"/>
    </row>
    <row r="724">
      <c r="A724" s="582"/>
      <c r="B724" s="582"/>
      <c r="C724" s="582"/>
      <c r="D724" s="582"/>
      <c r="E724" s="582"/>
      <c r="F724" s="582"/>
      <c r="G724" s="582"/>
      <c r="H724" s="582"/>
      <c r="I724" s="582"/>
      <c r="J724" s="582"/>
      <c r="K724" s="582"/>
      <c r="L724" s="582"/>
      <c r="M724" s="582"/>
      <c r="N724" s="582"/>
      <c r="O724" s="582"/>
      <c r="P724" s="582"/>
      <c r="Q724" s="582"/>
      <c r="R724" s="582"/>
      <c r="S724" s="582"/>
      <c r="T724" s="582"/>
      <c r="U724" s="582"/>
      <c r="V724" s="582"/>
      <c r="W724" s="582"/>
      <c r="X724" s="582"/>
      <c r="Y724" s="582"/>
      <c r="Z724" s="582"/>
      <c r="AA724" s="582"/>
      <c r="AB724" s="582"/>
      <c r="AC724" s="582"/>
      <c r="AD724" s="582"/>
      <c r="AE724" s="582"/>
      <c r="AF724" s="1069"/>
    </row>
    <row r="725">
      <c r="A725" s="582"/>
      <c r="B725" s="582"/>
      <c r="C725" s="582"/>
      <c r="D725" s="582"/>
      <c r="E725" s="582"/>
      <c r="F725" s="582"/>
      <c r="G725" s="582"/>
      <c r="H725" s="582"/>
      <c r="I725" s="582"/>
      <c r="J725" s="582"/>
      <c r="K725" s="582"/>
      <c r="L725" s="582"/>
      <c r="M725" s="582"/>
      <c r="N725" s="582"/>
      <c r="O725" s="582"/>
      <c r="P725" s="582"/>
      <c r="Q725" s="582"/>
      <c r="R725" s="582"/>
      <c r="S725" s="582"/>
      <c r="T725" s="582"/>
      <c r="U725" s="582"/>
      <c r="V725" s="582"/>
      <c r="W725" s="582"/>
      <c r="X725" s="582"/>
      <c r="Y725" s="582"/>
      <c r="Z725" s="582"/>
      <c r="AA725" s="582"/>
      <c r="AB725" s="582"/>
      <c r="AC725" s="582"/>
      <c r="AD725" s="582"/>
      <c r="AE725" s="582"/>
      <c r="AF725" s="1069"/>
    </row>
    <row r="726">
      <c r="A726" s="582"/>
      <c r="B726" s="582"/>
      <c r="C726" s="582"/>
      <c r="D726" s="582"/>
      <c r="E726" s="582"/>
      <c r="F726" s="582"/>
      <c r="G726" s="582"/>
      <c r="H726" s="582"/>
      <c r="I726" s="582"/>
      <c r="J726" s="582"/>
      <c r="K726" s="582"/>
      <c r="L726" s="582"/>
      <c r="M726" s="582"/>
      <c r="N726" s="582"/>
      <c r="O726" s="582"/>
      <c r="P726" s="582"/>
      <c r="Q726" s="582"/>
      <c r="R726" s="582"/>
      <c r="S726" s="582"/>
      <c r="T726" s="582"/>
      <c r="U726" s="582"/>
      <c r="V726" s="582"/>
      <c r="W726" s="582"/>
      <c r="X726" s="582"/>
      <c r="Y726" s="582"/>
      <c r="Z726" s="582"/>
      <c r="AA726" s="582"/>
      <c r="AB726" s="582"/>
      <c r="AC726" s="582"/>
      <c r="AD726" s="582"/>
      <c r="AE726" s="582"/>
      <c r="AF726" s="1069"/>
    </row>
    <row r="727">
      <c r="A727" s="582"/>
      <c r="B727" s="582"/>
      <c r="C727" s="582"/>
      <c r="D727" s="582"/>
      <c r="E727" s="582"/>
      <c r="F727" s="582"/>
      <c r="G727" s="582"/>
      <c r="H727" s="582"/>
      <c r="I727" s="582"/>
      <c r="J727" s="582"/>
      <c r="K727" s="582"/>
      <c r="L727" s="582"/>
      <c r="M727" s="582"/>
      <c r="N727" s="582"/>
      <c r="O727" s="582"/>
      <c r="P727" s="582"/>
      <c r="Q727" s="582"/>
      <c r="R727" s="582"/>
      <c r="S727" s="582"/>
      <c r="T727" s="582"/>
      <c r="U727" s="582"/>
      <c r="V727" s="582"/>
      <c r="W727" s="582"/>
      <c r="X727" s="582"/>
      <c r="Y727" s="582"/>
      <c r="Z727" s="582"/>
      <c r="AA727" s="582"/>
      <c r="AB727" s="582"/>
      <c r="AC727" s="582"/>
      <c r="AD727" s="582"/>
      <c r="AE727" s="582"/>
      <c r="AF727" s="1069"/>
    </row>
    <row r="728">
      <c r="A728" s="582"/>
      <c r="B728" s="582"/>
      <c r="C728" s="582"/>
      <c r="D728" s="582"/>
      <c r="E728" s="582"/>
      <c r="F728" s="582"/>
      <c r="G728" s="582"/>
      <c r="H728" s="582"/>
      <c r="I728" s="582"/>
      <c r="J728" s="582"/>
      <c r="K728" s="582"/>
      <c r="L728" s="582"/>
      <c r="M728" s="582"/>
      <c r="N728" s="582"/>
      <c r="O728" s="582"/>
      <c r="P728" s="582"/>
      <c r="Q728" s="582"/>
      <c r="R728" s="582"/>
      <c r="S728" s="582"/>
      <c r="T728" s="582"/>
      <c r="U728" s="582"/>
      <c r="V728" s="582"/>
      <c r="W728" s="582"/>
      <c r="X728" s="582"/>
      <c r="Y728" s="582"/>
      <c r="Z728" s="582"/>
      <c r="AA728" s="582"/>
      <c r="AB728" s="582"/>
      <c r="AC728" s="582"/>
      <c r="AD728" s="582"/>
      <c r="AE728" s="582"/>
      <c r="AF728" s="1069"/>
    </row>
    <row r="729">
      <c r="A729" s="582"/>
      <c r="B729" s="582"/>
      <c r="C729" s="582"/>
      <c r="D729" s="582"/>
      <c r="E729" s="582"/>
      <c r="F729" s="582"/>
      <c r="G729" s="582"/>
      <c r="H729" s="582"/>
      <c r="I729" s="582"/>
      <c r="J729" s="582"/>
      <c r="K729" s="582"/>
      <c r="L729" s="582"/>
      <c r="M729" s="582"/>
      <c r="N729" s="582"/>
      <c r="O729" s="582"/>
      <c r="P729" s="582"/>
      <c r="Q729" s="582"/>
      <c r="R729" s="582"/>
      <c r="S729" s="582"/>
      <c r="T729" s="582"/>
      <c r="U729" s="582"/>
      <c r="V729" s="582"/>
      <c r="W729" s="582"/>
      <c r="X729" s="582"/>
      <c r="Y729" s="582"/>
      <c r="Z729" s="582"/>
      <c r="AA729" s="582"/>
      <c r="AB729" s="582"/>
      <c r="AC729" s="582"/>
      <c r="AD729" s="582"/>
      <c r="AE729" s="582"/>
      <c r="AF729" s="1069"/>
    </row>
    <row r="730">
      <c r="A730" s="582"/>
      <c r="B730" s="582"/>
      <c r="C730" s="582"/>
      <c r="D730" s="582"/>
      <c r="E730" s="582"/>
      <c r="F730" s="582"/>
      <c r="G730" s="582"/>
      <c r="H730" s="582"/>
      <c r="I730" s="582"/>
      <c r="J730" s="582"/>
      <c r="K730" s="582"/>
      <c r="L730" s="582"/>
      <c r="M730" s="582"/>
      <c r="N730" s="582"/>
      <c r="O730" s="582"/>
      <c r="P730" s="582"/>
      <c r="Q730" s="582"/>
      <c r="R730" s="582"/>
      <c r="S730" s="582"/>
      <c r="T730" s="582"/>
      <c r="U730" s="582"/>
      <c r="V730" s="582"/>
      <c r="W730" s="582"/>
      <c r="X730" s="582"/>
      <c r="Y730" s="582"/>
      <c r="Z730" s="582"/>
      <c r="AA730" s="582"/>
      <c r="AB730" s="582"/>
      <c r="AC730" s="582"/>
      <c r="AD730" s="582"/>
      <c r="AE730" s="582"/>
      <c r="AF730" s="1069"/>
    </row>
    <row r="731">
      <c r="A731" s="582"/>
      <c r="B731" s="582"/>
      <c r="C731" s="582"/>
      <c r="D731" s="582"/>
      <c r="E731" s="582"/>
      <c r="F731" s="582"/>
      <c r="G731" s="582"/>
      <c r="H731" s="582"/>
      <c r="I731" s="582"/>
      <c r="J731" s="582"/>
      <c r="K731" s="582"/>
      <c r="L731" s="582"/>
      <c r="M731" s="582"/>
      <c r="N731" s="582"/>
      <c r="O731" s="582"/>
      <c r="P731" s="582"/>
      <c r="Q731" s="582"/>
      <c r="R731" s="582"/>
      <c r="S731" s="582"/>
      <c r="T731" s="582"/>
      <c r="U731" s="582"/>
      <c r="V731" s="582"/>
      <c r="W731" s="582"/>
      <c r="X731" s="582"/>
      <c r="Y731" s="582"/>
      <c r="Z731" s="582"/>
      <c r="AA731" s="582"/>
      <c r="AB731" s="582"/>
      <c r="AC731" s="582"/>
      <c r="AD731" s="582"/>
      <c r="AE731" s="582"/>
      <c r="AF731" s="1069"/>
    </row>
    <row r="732">
      <c r="A732" s="582"/>
      <c r="B732" s="582"/>
      <c r="C732" s="582"/>
      <c r="D732" s="582"/>
      <c r="E732" s="582"/>
      <c r="F732" s="582"/>
      <c r="G732" s="582"/>
      <c r="H732" s="582"/>
      <c r="I732" s="582"/>
      <c r="J732" s="582"/>
      <c r="K732" s="582"/>
      <c r="L732" s="582"/>
      <c r="M732" s="582"/>
      <c r="N732" s="582"/>
      <c r="O732" s="582"/>
      <c r="P732" s="582"/>
      <c r="Q732" s="582"/>
      <c r="R732" s="582"/>
      <c r="S732" s="582"/>
      <c r="T732" s="582"/>
      <c r="U732" s="582"/>
      <c r="V732" s="582"/>
      <c r="W732" s="582"/>
      <c r="X732" s="582"/>
      <c r="Y732" s="582"/>
      <c r="Z732" s="582"/>
      <c r="AA732" s="582"/>
      <c r="AB732" s="582"/>
      <c r="AC732" s="582"/>
      <c r="AD732" s="582"/>
      <c r="AE732" s="582"/>
      <c r="AF732" s="1069"/>
    </row>
    <row r="733">
      <c r="A733" s="582"/>
      <c r="B733" s="582"/>
      <c r="C733" s="582"/>
      <c r="D733" s="582"/>
      <c r="E733" s="582"/>
      <c r="F733" s="582"/>
      <c r="G733" s="582"/>
      <c r="H733" s="582"/>
      <c r="I733" s="582"/>
      <c r="J733" s="582"/>
      <c r="K733" s="582"/>
      <c r="L733" s="582"/>
      <c r="M733" s="582"/>
      <c r="N733" s="582"/>
      <c r="O733" s="582"/>
      <c r="P733" s="582"/>
      <c r="Q733" s="582"/>
      <c r="R733" s="582"/>
      <c r="S733" s="582"/>
      <c r="T733" s="582"/>
      <c r="U733" s="582"/>
      <c r="V733" s="582"/>
      <c r="W733" s="582"/>
      <c r="X733" s="582"/>
      <c r="Y733" s="582"/>
      <c r="Z733" s="582"/>
      <c r="AA733" s="582"/>
      <c r="AB733" s="582"/>
      <c r="AC733" s="582"/>
      <c r="AD733" s="582"/>
      <c r="AE733" s="582"/>
      <c r="AF733" s="1069"/>
    </row>
    <row r="734">
      <c r="A734" s="582"/>
      <c r="B734" s="582"/>
      <c r="C734" s="582"/>
      <c r="D734" s="582"/>
      <c r="E734" s="582"/>
      <c r="F734" s="582"/>
      <c r="G734" s="582"/>
      <c r="H734" s="582"/>
      <c r="I734" s="582"/>
      <c r="J734" s="582"/>
      <c r="K734" s="582"/>
      <c r="L734" s="582"/>
      <c r="M734" s="582"/>
      <c r="N734" s="582"/>
      <c r="O734" s="582"/>
      <c r="P734" s="582"/>
      <c r="Q734" s="582"/>
      <c r="R734" s="582"/>
      <c r="S734" s="582"/>
      <c r="T734" s="582"/>
      <c r="U734" s="582"/>
      <c r="V734" s="582"/>
      <c r="W734" s="582"/>
      <c r="X734" s="582"/>
      <c r="Y734" s="582"/>
      <c r="Z734" s="582"/>
      <c r="AA734" s="582"/>
      <c r="AB734" s="582"/>
      <c r="AC734" s="582"/>
      <c r="AD734" s="582"/>
      <c r="AE734" s="582"/>
      <c r="AF734" s="1069"/>
    </row>
    <row r="735">
      <c r="A735" s="582"/>
      <c r="B735" s="582"/>
      <c r="C735" s="582"/>
      <c r="D735" s="582"/>
      <c r="E735" s="582"/>
      <c r="F735" s="582"/>
      <c r="G735" s="582"/>
      <c r="H735" s="582"/>
      <c r="I735" s="582"/>
      <c r="J735" s="582"/>
      <c r="K735" s="582"/>
      <c r="L735" s="582"/>
      <c r="M735" s="582"/>
      <c r="N735" s="582"/>
      <c r="O735" s="582"/>
      <c r="P735" s="582"/>
      <c r="Q735" s="582"/>
      <c r="R735" s="582"/>
      <c r="S735" s="582"/>
      <c r="T735" s="582"/>
      <c r="U735" s="582"/>
      <c r="V735" s="582"/>
      <c r="W735" s="582"/>
      <c r="X735" s="582"/>
      <c r="Y735" s="582"/>
      <c r="Z735" s="582"/>
      <c r="AA735" s="582"/>
      <c r="AB735" s="582"/>
      <c r="AC735" s="582"/>
      <c r="AD735" s="582"/>
      <c r="AE735" s="582"/>
      <c r="AF735" s="1069"/>
    </row>
    <row r="736">
      <c r="A736" s="582"/>
      <c r="B736" s="582"/>
      <c r="C736" s="582"/>
      <c r="D736" s="582"/>
      <c r="E736" s="582"/>
      <c r="F736" s="582"/>
      <c r="G736" s="582"/>
      <c r="H736" s="582"/>
      <c r="I736" s="582"/>
      <c r="J736" s="582"/>
      <c r="K736" s="582"/>
      <c r="L736" s="582"/>
      <c r="M736" s="582"/>
      <c r="N736" s="582"/>
      <c r="O736" s="582"/>
      <c r="P736" s="582"/>
      <c r="Q736" s="582"/>
      <c r="R736" s="582"/>
      <c r="S736" s="582"/>
      <c r="T736" s="582"/>
      <c r="U736" s="582"/>
      <c r="V736" s="582"/>
      <c r="W736" s="582"/>
      <c r="X736" s="582"/>
      <c r="Y736" s="582"/>
      <c r="Z736" s="582"/>
      <c r="AA736" s="582"/>
      <c r="AB736" s="582"/>
      <c r="AC736" s="582"/>
      <c r="AD736" s="582"/>
      <c r="AE736" s="582"/>
      <c r="AF736" s="1069"/>
    </row>
    <row r="737">
      <c r="A737" s="582"/>
      <c r="B737" s="582"/>
      <c r="C737" s="582"/>
      <c r="D737" s="582"/>
      <c r="E737" s="582"/>
      <c r="F737" s="582"/>
      <c r="G737" s="582"/>
      <c r="H737" s="582"/>
      <c r="I737" s="582"/>
      <c r="J737" s="582"/>
      <c r="K737" s="582"/>
      <c r="L737" s="582"/>
      <c r="M737" s="582"/>
      <c r="N737" s="582"/>
      <c r="O737" s="582"/>
      <c r="P737" s="582"/>
      <c r="Q737" s="582"/>
      <c r="R737" s="582"/>
      <c r="S737" s="582"/>
      <c r="T737" s="582"/>
      <c r="U737" s="582"/>
      <c r="V737" s="582"/>
      <c r="W737" s="582"/>
      <c r="X737" s="582"/>
      <c r="Y737" s="582"/>
      <c r="Z737" s="582"/>
      <c r="AA737" s="582"/>
      <c r="AB737" s="582"/>
      <c r="AC737" s="582"/>
      <c r="AD737" s="582"/>
      <c r="AE737" s="582"/>
      <c r="AF737" s="1069"/>
    </row>
    <row r="738">
      <c r="A738" s="582"/>
      <c r="B738" s="582"/>
      <c r="C738" s="582"/>
      <c r="D738" s="582"/>
      <c r="E738" s="582"/>
      <c r="F738" s="582"/>
      <c r="G738" s="582"/>
      <c r="H738" s="582"/>
      <c r="I738" s="582"/>
      <c r="J738" s="582"/>
      <c r="K738" s="582"/>
      <c r="L738" s="582"/>
      <c r="M738" s="582"/>
      <c r="N738" s="582"/>
      <c r="O738" s="582"/>
      <c r="P738" s="582"/>
      <c r="Q738" s="582"/>
      <c r="R738" s="582"/>
      <c r="S738" s="582"/>
      <c r="T738" s="582"/>
      <c r="U738" s="582"/>
      <c r="V738" s="582"/>
      <c r="W738" s="582"/>
      <c r="X738" s="582"/>
      <c r="Y738" s="582"/>
      <c r="Z738" s="582"/>
      <c r="AA738" s="582"/>
      <c r="AB738" s="582"/>
      <c r="AC738" s="582"/>
      <c r="AD738" s="582"/>
      <c r="AE738" s="582"/>
      <c r="AF738" s="1069"/>
    </row>
    <row r="739">
      <c r="A739" s="582"/>
      <c r="B739" s="582"/>
      <c r="C739" s="582"/>
      <c r="D739" s="582"/>
      <c r="E739" s="582"/>
      <c r="F739" s="582"/>
      <c r="G739" s="582"/>
      <c r="H739" s="582"/>
      <c r="I739" s="582"/>
      <c r="J739" s="582"/>
      <c r="K739" s="582"/>
      <c r="L739" s="582"/>
      <c r="M739" s="582"/>
      <c r="N739" s="582"/>
      <c r="O739" s="582"/>
      <c r="P739" s="582"/>
      <c r="Q739" s="582"/>
      <c r="R739" s="582"/>
      <c r="S739" s="582"/>
      <c r="T739" s="582"/>
      <c r="U739" s="582"/>
      <c r="V739" s="582"/>
      <c r="W739" s="582"/>
      <c r="X739" s="582"/>
      <c r="Y739" s="582"/>
      <c r="Z739" s="582"/>
      <c r="AA739" s="582"/>
      <c r="AB739" s="582"/>
      <c r="AC739" s="582"/>
      <c r="AD739" s="582"/>
      <c r="AE739" s="582"/>
      <c r="AF739" s="1069"/>
    </row>
    <row r="740">
      <c r="A740" s="582"/>
      <c r="B740" s="582"/>
      <c r="C740" s="582"/>
      <c r="D740" s="582"/>
      <c r="E740" s="582"/>
      <c r="F740" s="582"/>
      <c r="G740" s="582"/>
      <c r="H740" s="582"/>
      <c r="I740" s="582"/>
      <c r="J740" s="582"/>
      <c r="K740" s="582"/>
      <c r="L740" s="582"/>
      <c r="M740" s="582"/>
      <c r="N740" s="582"/>
      <c r="O740" s="582"/>
      <c r="P740" s="582"/>
      <c r="Q740" s="582"/>
      <c r="R740" s="582"/>
      <c r="S740" s="582"/>
      <c r="T740" s="582"/>
      <c r="U740" s="582"/>
      <c r="V740" s="582"/>
      <c r="W740" s="582"/>
      <c r="X740" s="582"/>
      <c r="Y740" s="582"/>
      <c r="Z740" s="582"/>
      <c r="AA740" s="582"/>
      <c r="AB740" s="582"/>
      <c r="AC740" s="582"/>
      <c r="AD740" s="582"/>
      <c r="AE740" s="582"/>
      <c r="AF740" s="1069"/>
    </row>
    <row r="741">
      <c r="A741" s="582"/>
      <c r="B741" s="582"/>
      <c r="C741" s="582"/>
      <c r="D741" s="582"/>
      <c r="E741" s="582"/>
      <c r="F741" s="582"/>
      <c r="G741" s="582"/>
      <c r="H741" s="582"/>
      <c r="I741" s="582"/>
      <c r="J741" s="582"/>
      <c r="K741" s="582"/>
      <c r="L741" s="582"/>
      <c r="M741" s="582"/>
      <c r="N741" s="582"/>
      <c r="O741" s="582"/>
      <c r="P741" s="582"/>
      <c r="Q741" s="582"/>
      <c r="R741" s="582"/>
      <c r="S741" s="582"/>
      <c r="T741" s="582"/>
      <c r="U741" s="582"/>
      <c r="V741" s="582"/>
      <c r="W741" s="582"/>
      <c r="X741" s="582"/>
      <c r="Y741" s="582"/>
      <c r="Z741" s="582"/>
      <c r="AA741" s="582"/>
      <c r="AB741" s="582"/>
      <c r="AC741" s="582"/>
      <c r="AD741" s="582"/>
      <c r="AE741" s="582"/>
      <c r="AF741" s="1069"/>
    </row>
    <row r="742">
      <c r="A742" s="582"/>
      <c r="B742" s="582"/>
      <c r="C742" s="582"/>
      <c r="D742" s="582"/>
      <c r="E742" s="582"/>
      <c r="F742" s="582"/>
      <c r="G742" s="582"/>
      <c r="H742" s="582"/>
      <c r="I742" s="582"/>
      <c r="J742" s="582"/>
      <c r="K742" s="582"/>
      <c r="L742" s="582"/>
      <c r="M742" s="582"/>
      <c r="N742" s="582"/>
      <c r="O742" s="582"/>
      <c r="P742" s="582"/>
      <c r="Q742" s="582"/>
      <c r="R742" s="582"/>
      <c r="S742" s="582"/>
      <c r="T742" s="582"/>
      <c r="U742" s="582"/>
      <c r="V742" s="582"/>
      <c r="W742" s="582"/>
      <c r="X742" s="582"/>
      <c r="Y742" s="582"/>
      <c r="Z742" s="582"/>
      <c r="AA742" s="582"/>
      <c r="AB742" s="582"/>
      <c r="AC742" s="582"/>
      <c r="AD742" s="582"/>
      <c r="AE742" s="582"/>
      <c r="AF742" s="1069"/>
    </row>
    <row r="743">
      <c r="A743" s="582"/>
      <c r="B743" s="582"/>
      <c r="C743" s="582"/>
      <c r="D743" s="582"/>
      <c r="E743" s="582"/>
      <c r="F743" s="582"/>
      <c r="G743" s="582"/>
      <c r="H743" s="582"/>
      <c r="I743" s="582"/>
      <c r="J743" s="582"/>
      <c r="K743" s="582"/>
      <c r="L743" s="582"/>
      <c r="M743" s="582"/>
      <c r="N743" s="582"/>
      <c r="O743" s="582"/>
      <c r="P743" s="582"/>
      <c r="Q743" s="582"/>
      <c r="R743" s="582"/>
      <c r="S743" s="582"/>
      <c r="T743" s="582"/>
      <c r="U743" s="582"/>
      <c r="V743" s="582"/>
      <c r="W743" s="582"/>
      <c r="X743" s="582"/>
      <c r="Y743" s="582"/>
      <c r="Z743" s="582"/>
      <c r="AA743" s="582"/>
      <c r="AB743" s="582"/>
      <c r="AC743" s="582"/>
      <c r="AD743" s="582"/>
      <c r="AE743" s="582"/>
      <c r="AF743" s="1069"/>
    </row>
    <row r="744">
      <c r="A744" s="582"/>
      <c r="B744" s="582"/>
      <c r="C744" s="582"/>
      <c r="D744" s="582"/>
      <c r="E744" s="582"/>
      <c r="F744" s="582"/>
      <c r="G744" s="582"/>
      <c r="H744" s="582"/>
      <c r="I744" s="582"/>
      <c r="J744" s="582"/>
      <c r="K744" s="582"/>
      <c r="L744" s="582"/>
      <c r="M744" s="582"/>
      <c r="N744" s="582"/>
      <c r="O744" s="582"/>
      <c r="P744" s="582"/>
      <c r="Q744" s="582"/>
      <c r="R744" s="582"/>
      <c r="S744" s="582"/>
      <c r="T744" s="582"/>
      <c r="U744" s="582"/>
      <c r="V744" s="582"/>
      <c r="W744" s="582"/>
      <c r="X744" s="582"/>
      <c r="Y744" s="582"/>
      <c r="Z744" s="582"/>
      <c r="AA744" s="582"/>
      <c r="AB744" s="582"/>
      <c r="AC744" s="582"/>
      <c r="AD744" s="582"/>
      <c r="AE744" s="582"/>
      <c r="AF744" s="1069"/>
    </row>
    <row r="745">
      <c r="A745" s="582"/>
      <c r="B745" s="582"/>
      <c r="C745" s="582"/>
      <c r="D745" s="582"/>
      <c r="E745" s="582"/>
      <c r="F745" s="582"/>
      <c r="G745" s="582"/>
      <c r="H745" s="582"/>
      <c r="I745" s="582"/>
      <c r="J745" s="582"/>
      <c r="K745" s="582"/>
      <c r="L745" s="582"/>
      <c r="M745" s="582"/>
      <c r="N745" s="582"/>
      <c r="O745" s="582"/>
      <c r="P745" s="582"/>
      <c r="Q745" s="582"/>
      <c r="R745" s="582"/>
      <c r="S745" s="582"/>
      <c r="T745" s="582"/>
      <c r="U745" s="582"/>
      <c r="V745" s="582"/>
      <c r="W745" s="582"/>
      <c r="X745" s="582"/>
      <c r="Y745" s="582"/>
      <c r="Z745" s="582"/>
      <c r="AA745" s="582"/>
      <c r="AB745" s="582"/>
      <c r="AC745" s="582"/>
      <c r="AD745" s="582"/>
      <c r="AE745" s="582"/>
      <c r="AF745" s="1069"/>
    </row>
    <row r="746">
      <c r="A746" s="582"/>
      <c r="B746" s="582"/>
      <c r="C746" s="582"/>
      <c r="D746" s="582"/>
      <c r="E746" s="582"/>
      <c r="F746" s="582"/>
      <c r="G746" s="582"/>
      <c r="H746" s="582"/>
      <c r="I746" s="582"/>
      <c r="J746" s="582"/>
      <c r="K746" s="582"/>
      <c r="L746" s="582"/>
      <c r="M746" s="582"/>
      <c r="N746" s="582"/>
      <c r="O746" s="582"/>
      <c r="P746" s="582"/>
      <c r="Q746" s="582"/>
      <c r="R746" s="582"/>
      <c r="S746" s="582"/>
      <c r="T746" s="582"/>
      <c r="U746" s="582"/>
      <c r="V746" s="582"/>
      <c r="W746" s="582"/>
      <c r="X746" s="582"/>
      <c r="Y746" s="582"/>
      <c r="Z746" s="582"/>
      <c r="AA746" s="582"/>
      <c r="AB746" s="582"/>
      <c r="AC746" s="582"/>
      <c r="AD746" s="582"/>
      <c r="AE746" s="582"/>
      <c r="AF746" s="1069"/>
    </row>
    <row r="747">
      <c r="A747" s="582"/>
      <c r="B747" s="582"/>
      <c r="C747" s="582"/>
      <c r="D747" s="582"/>
      <c r="E747" s="582"/>
      <c r="F747" s="582"/>
      <c r="G747" s="582"/>
      <c r="H747" s="582"/>
      <c r="I747" s="582"/>
      <c r="J747" s="582"/>
      <c r="K747" s="582"/>
      <c r="L747" s="582"/>
      <c r="M747" s="582"/>
      <c r="N747" s="582"/>
      <c r="O747" s="582"/>
      <c r="P747" s="582"/>
      <c r="Q747" s="582"/>
      <c r="R747" s="582"/>
      <c r="S747" s="582"/>
      <c r="T747" s="582"/>
      <c r="U747" s="582"/>
      <c r="V747" s="582"/>
      <c r="W747" s="582"/>
      <c r="X747" s="582"/>
      <c r="Y747" s="582"/>
      <c r="Z747" s="582"/>
      <c r="AA747" s="582"/>
      <c r="AB747" s="582"/>
      <c r="AC747" s="582"/>
      <c r="AD747" s="582"/>
      <c r="AE747" s="582"/>
      <c r="AF747" s="1069"/>
    </row>
    <row r="748">
      <c r="A748" s="582"/>
      <c r="B748" s="582"/>
      <c r="C748" s="582"/>
      <c r="D748" s="582"/>
      <c r="E748" s="582"/>
      <c r="F748" s="582"/>
      <c r="G748" s="582"/>
      <c r="H748" s="582"/>
      <c r="I748" s="582"/>
      <c r="J748" s="582"/>
      <c r="K748" s="582"/>
      <c r="L748" s="582"/>
      <c r="M748" s="582"/>
      <c r="N748" s="582"/>
      <c r="O748" s="582"/>
      <c r="P748" s="582"/>
      <c r="Q748" s="582"/>
      <c r="R748" s="582"/>
      <c r="S748" s="582"/>
      <c r="T748" s="582"/>
      <c r="U748" s="582"/>
      <c r="V748" s="582"/>
      <c r="W748" s="582"/>
      <c r="X748" s="582"/>
      <c r="Y748" s="582"/>
      <c r="Z748" s="582"/>
      <c r="AA748" s="582"/>
      <c r="AB748" s="582"/>
      <c r="AC748" s="582"/>
      <c r="AD748" s="582"/>
      <c r="AE748" s="582"/>
      <c r="AF748" s="1069"/>
    </row>
    <row r="749">
      <c r="A749" s="582"/>
      <c r="B749" s="582"/>
      <c r="C749" s="582"/>
      <c r="D749" s="582"/>
      <c r="E749" s="582"/>
      <c r="F749" s="582"/>
      <c r="G749" s="582"/>
      <c r="H749" s="582"/>
      <c r="I749" s="582"/>
      <c r="J749" s="582"/>
      <c r="K749" s="582"/>
      <c r="L749" s="582"/>
      <c r="M749" s="582"/>
      <c r="N749" s="582"/>
      <c r="O749" s="582"/>
      <c r="P749" s="582"/>
      <c r="Q749" s="582"/>
      <c r="R749" s="582"/>
      <c r="S749" s="582"/>
      <c r="T749" s="582"/>
      <c r="U749" s="582"/>
      <c r="V749" s="582"/>
      <c r="W749" s="582"/>
      <c r="X749" s="582"/>
      <c r="Y749" s="582"/>
      <c r="Z749" s="582"/>
      <c r="AA749" s="582"/>
      <c r="AB749" s="582"/>
      <c r="AC749" s="582"/>
      <c r="AD749" s="582"/>
      <c r="AE749" s="582"/>
      <c r="AF749" s="1069"/>
    </row>
    <row r="750">
      <c r="A750" s="582"/>
      <c r="B750" s="582"/>
      <c r="C750" s="582"/>
      <c r="D750" s="582"/>
      <c r="E750" s="582"/>
      <c r="F750" s="582"/>
      <c r="G750" s="582"/>
      <c r="H750" s="582"/>
      <c r="I750" s="582"/>
      <c r="J750" s="582"/>
      <c r="K750" s="582"/>
      <c r="L750" s="582"/>
      <c r="M750" s="582"/>
      <c r="N750" s="582"/>
      <c r="O750" s="582"/>
      <c r="P750" s="582"/>
      <c r="Q750" s="582"/>
      <c r="R750" s="582"/>
      <c r="S750" s="582"/>
      <c r="T750" s="582"/>
      <c r="U750" s="582"/>
      <c r="V750" s="582"/>
      <c r="W750" s="582"/>
      <c r="X750" s="582"/>
      <c r="Y750" s="582"/>
      <c r="Z750" s="582"/>
      <c r="AA750" s="582"/>
      <c r="AB750" s="582"/>
      <c r="AC750" s="582"/>
      <c r="AD750" s="582"/>
      <c r="AE750" s="582"/>
      <c r="AF750" s="1069"/>
    </row>
    <row r="751">
      <c r="A751" s="582"/>
      <c r="B751" s="582"/>
      <c r="C751" s="582"/>
      <c r="D751" s="582"/>
      <c r="E751" s="582"/>
      <c r="F751" s="582"/>
      <c r="G751" s="582"/>
      <c r="H751" s="582"/>
      <c r="I751" s="582"/>
      <c r="J751" s="582"/>
      <c r="K751" s="582"/>
      <c r="L751" s="582"/>
      <c r="M751" s="582"/>
      <c r="N751" s="582"/>
      <c r="O751" s="582"/>
      <c r="P751" s="582"/>
      <c r="Q751" s="582"/>
      <c r="R751" s="582"/>
      <c r="S751" s="582"/>
      <c r="T751" s="582"/>
      <c r="U751" s="582"/>
      <c r="V751" s="582"/>
      <c r="W751" s="582"/>
      <c r="X751" s="582"/>
      <c r="Y751" s="582"/>
      <c r="Z751" s="582"/>
      <c r="AA751" s="582"/>
      <c r="AB751" s="582"/>
      <c r="AC751" s="582"/>
      <c r="AD751" s="582"/>
      <c r="AE751" s="582"/>
      <c r="AF751" s="1069"/>
    </row>
    <row r="752">
      <c r="A752" s="582"/>
      <c r="B752" s="582"/>
      <c r="C752" s="582"/>
      <c r="D752" s="582"/>
      <c r="E752" s="582"/>
      <c r="F752" s="582"/>
      <c r="G752" s="582"/>
      <c r="H752" s="582"/>
      <c r="I752" s="582"/>
      <c r="J752" s="582"/>
      <c r="K752" s="582"/>
      <c r="L752" s="582"/>
      <c r="M752" s="582"/>
      <c r="N752" s="582"/>
      <c r="O752" s="582"/>
      <c r="P752" s="582"/>
      <c r="Q752" s="582"/>
      <c r="R752" s="582"/>
      <c r="S752" s="582"/>
      <c r="T752" s="582"/>
      <c r="U752" s="582"/>
      <c r="V752" s="582"/>
      <c r="W752" s="582"/>
      <c r="X752" s="582"/>
      <c r="Y752" s="582"/>
      <c r="Z752" s="582"/>
      <c r="AA752" s="582"/>
      <c r="AB752" s="582"/>
      <c r="AC752" s="582"/>
      <c r="AD752" s="582"/>
      <c r="AE752" s="582"/>
      <c r="AF752" s="1069"/>
    </row>
    <row r="753">
      <c r="A753" s="582"/>
      <c r="B753" s="582"/>
      <c r="C753" s="582"/>
      <c r="D753" s="582"/>
      <c r="E753" s="582"/>
      <c r="F753" s="582"/>
      <c r="G753" s="582"/>
      <c r="H753" s="582"/>
      <c r="I753" s="582"/>
      <c r="J753" s="582"/>
      <c r="K753" s="582"/>
      <c r="L753" s="582"/>
      <c r="M753" s="582"/>
      <c r="N753" s="582"/>
      <c r="O753" s="582"/>
      <c r="P753" s="582"/>
      <c r="Q753" s="582"/>
      <c r="R753" s="582"/>
      <c r="S753" s="582"/>
      <c r="T753" s="582"/>
      <c r="U753" s="582"/>
      <c r="V753" s="582"/>
      <c r="W753" s="582"/>
      <c r="X753" s="582"/>
      <c r="Y753" s="582"/>
      <c r="Z753" s="582"/>
      <c r="AA753" s="582"/>
      <c r="AB753" s="582"/>
      <c r="AC753" s="582"/>
      <c r="AD753" s="582"/>
      <c r="AE753" s="582"/>
      <c r="AF753" s="1069"/>
    </row>
    <row r="754">
      <c r="A754" s="582"/>
      <c r="B754" s="582"/>
      <c r="C754" s="582"/>
      <c r="D754" s="582"/>
      <c r="E754" s="582"/>
      <c r="F754" s="582"/>
      <c r="G754" s="582"/>
      <c r="H754" s="582"/>
      <c r="I754" s="582"/>
      <c r="J754" s="582"/>
      <c r="K754" s="582"/>
      <c r="L754" s="582"/>
      <c r="M754" s="582"/>
      <c r="N754" s="582"/>
      <c r="O754" s="582"/>
      <c r="P754" s="582"/>
      <c r="Q754" s="582"/>
      <c r="R754" s="582"/>
      <c r="S754" s="582"/>
      <c r="T754" s="582"/>
      <c r="U754" s="582"/>
      <c r="V754" s="582"/>
      <c r="W754" s="582"/>
      <c r="X754" s="582"/>
      <c r="Y754" s="582"/>
      <c r="Z754" s="582"/>
      <c r="AA754" s="582"/>
      <c r="AB754" s="582"/>
      <c r="AC754" s="582"/>
      <c r="AD754" s="582"/>
      <c r="AE754" s="582"/>
      <c r="AF754" s="1069"/>
    </row>
    <row r="755">
      <c r="A755" s="582"/>
      <c r="B755" s="582"/>
      <c r="C755" s="582"/>
      <c r="D755" s="582"/>
      <c r="E755" s="582"/>
      <c r="F755" s="582"/>
      <c r="G755" s="582"/>
      <c r="H755" s="582"/>
      <c r="I755" s="582"/>
      <c r="J755" s="582"/>
      <c r="K755" s="582"/>
      <c r="L755" s="582"/>
      <c r="M755" s="582"/>
      <c r="N755" s="582"/>
      <c r="O755" s="582"/>
      <c r="P755" s="582"/>
      <c r="Q755" s="582"/>
      <c r="R755" s="582"/>
      <c r="S755" s="582"/>
      <c r="T755" s="582"/>
      <c r="U755" s="582"/>
      <c r="V755" s="582"/>
      <c r="W755" s="582"/>
      <c r="X755" s="582"/>
      <c r="Y755" s="582"/>
      <c r="Z755" s="582"/>
      <c r="AA755" s="582"/>
      <c r="AB755" s="582"/>
      <c r="AC755" s="582"/>
      <c r="AD755" s="582"/>
      <c r="AE755" s="582"/>
      <c r="AF755" s="1069"/>
    </row>
    <row r="756">
      <c r="A756" s="582"/>
      <c r="B756" s="582"/>
      <c r="C756" s="582"/>
      <c r="D756" s="582"/>
      <c r="E756" s="582"/>
      <c r="F756" s="582"/>
      <c r="G756" s="582"/>
      <c r="H756" s="582"/>
      <c r="I756" s="582"/>
      <c r="J756" s="582"/>
      <c r="K756" s="582"/>
      <c r="L756" s="582"/>
      <c r="M756" s="582"/>
      <c r="N756" s="582"/>
      <c r="O756" s="582"/>
      <c r="P756" s="582"/>
      <c r="Q756" s="582"/>
      <c r="R756" s="582"/>
      <c r="S756" s="582"/>
      <c r="T756" s="582"/>
      <c r="U756" s="582"/>
      <c r="V756" s="582"/>
      <c r="W756" s="582"/>
      <c r="X756" s="582"/>
      <c r="Y756" s="582"/>
      <c r="Z756" s="582"/>
      <c r="AA756" s="582"/>
      <c r="AB756" s="582"/>
      <c r="AC756" s="582"/>
      <c r="AD756" s="582"/>
      <c r="AE756" s="582"/>
      <c r="AF756" s="1069"/>
    </row>
    <row r="757">
      <c r="A757" s="582"/>
      <c r="B757" s="582"/>
      <c r="C757" s="582"/>
      <c r="D757" s="582"/>
      <c r="E757" s="582"/>
      <c r="F757" s="582"/>
      <c r="G757" s="582"/>
      <c r="H757" s="582"/>
      <c r="I757" s="582"/>
      <c r="J757" s="582"/>
      <c r="K757" s="582"/>
      <c r="L757" s="582"/>
      <c r="M757" s="582"/>
      <c r="N757" s="582"/>
      <c r="O757" s="582"/>
      <c r="P757" s="582"/>
      <c r="Q757" s="582"/>
      <c r="R757" s="582"/>
      <c r="S757" s="582"/>
      <c r="T757" s="582"/>
      <c r="U757" s="582"/>
      <c r="V757" s="582"/>
      <c r="W757" s="582"/>
      <c r="X757" s="582"/>
      <c r="Y757" s="582"/>
      <c r="Z757" s="582"/>
      <c r="AA757" s="582"/>
      <c r="AB757" s="582"/>
      <c r="AC757" s="582"/>
      <c r="AD757" s="582"/>
      <c r="AE757" s="582"/>
      <c r="AF757" s="1069"/>
    </row>
    <row r="758">
      <c r="A758" s="582"/>
      <c r="B758" s="582"/>
      <c r="C758" s="582"/>
      <c r="D758" s="582"/>
      <c r="E758" s="582"/>
      <c r="F758" s="582"/>
      <c r="G758" s="582"/>
      <c r="H758" s="582"/>
      <c r="I758" s="582"/>
      <c r="J758" s="582"/>
      <c r="K758" s="582"/>
      <c r="L758" s="582"/>
      <c r="M758" s="582"/>
      <c r="N758" s="582"/>
      <c r="O758" s="582"/>
      <c r="P758" s="582"/>
      <c r="Q758" s="582"/>
      <c r="R758" s="582"/>
      <c r="S758" s="582"/>
      <c r="T758" s="582"/>
      <c r="U758" s="582"/>
      <c r="V758" s="582"/>
      <c r="W758" s="582"/>
      <c r="X758" s="582"/>
      <c r="Y758" s="582"/>
      <c r="Z758" s="582"/>
      <c r="AA758" s="582"/>
      <c r="AB758" s="582"/>
      <c r="AC758" s="582"/>
      <c r="AD758" s="582"/>
      <c r="AE758" s="582"/>
      <c r="AF758" s="1069"/>
    </row>
    <row r="759">
      <c r="A759" s="582"/>
      <c r="B759" s="582"/>
      <c r="C759" s="582"/>
      <c r="D759" s="582"/>
      <c r="E759" s="582"/>
      <c r="F759" s="582"/>
      <c r="G759" s="582"/>
      <c r="H759" s="582"/>
      <c r="I759" s="582"/>
      <c r="J759" s="582"/>
      <c r="K759" s="582"/>
      <c r="L759" s="582"/>
      <c r="M759" s="582"/>
      <c r="N759" s="582"/>
      <c r="O759" s="582"/>
      <c r="P759" s="582"/>
      <c r="Q759" s="582"/>
      <c r="R759" s="582"/>
      <c r="S759" s="582"/>
      <c r="T759" s="582"/>
      <c r="U759" s="582"/>
      <c r="V759" s="582"/>
      <c r="W759" s="582"/>
      <c r="X759" s="582"/>
      <c r="Y759" s="582"/>
      <c r="Z759" s="582"/>
      <c r="AA759" s="582"/>
      <c r="AB759" s="582"/>
      <c r="AC759" s="582"/>
      <c r="AD759" s="582"/>
      <c r="AE759" s="582"/>
      <c r="AF759" s="1069"/>
    </row>
    <row r="760">
      <c r="A760" s="582"/>
      <c r="B760" s="582"/>
      <c r="C760" s="582"/>
      <c r="D760" s="582"/>
      <c r="E760" s="582"/>
      <c r="F760" s="582"/>
      <c r="G760" s="582"/>
      <c r="H760" s="582"/>
      <c r="I760" s="582"/>
      <c r="J760" s="582"/>
      <c r="K760" s="582"/>
      <c r="L760" s="582"/>
      <c r="M760" s="582"/>
      <c r="N760" s="582"/>
      <c r="O760" s="582"/>
      <c r="P760" s="582"/>
      <c r="Q760" s="582"/>
      <c r="R760" s="582"/>
      <c r="S760" s="582"/>
      <c r="T760" s="582"/>
      <c r="U760" s="582"/>
      <c r="V760" s="582"/>
      <c r="W760" s="582"/>
      <c r="X760" s="582"/>
      <c r="Y760" s="582"/>
      <c r="Z760" s="582"/>
      <c r="AA760" s="582"/>
      <c r="AB760" s="582"/>
      <c r="AC760" s="582"/>
      <c r="AD760" s="582"/>
      <c r="AE760" s="582"/>
      <c r="AF760" s="1069"/>
    </row>
    <row r="761">
      <c r="A761" s="582"/>
      <c r="B761" s="582"/>
      <c r="C761" s="582"/>
      <c r="D761" s="582"/>
      <c r="E761" s="582"/>
      <c r="F761" s="582"/>
      <c r="G761" s="582"/>
      <c r="H761" s="582"/>
      <c r="I761" s="582"/>
      <c r="J761" s="582"/>
      <c r="K761" s="582"/>
      <c r="L761" s="582"/>
      <c r="M761" s="582"/>
      <c r="N761" s="582"/>
      <c r="O761" s="582"/>
      <c r="P761" s="582"/>
      <c r="Q761" s="582"/>
      <c r="R761" s="582"/>
      <c r="S761" s="582"/>
      <c r="T761" s="582"/>
      <c r="U761" s="582"/>
      <c r="V761" s="582"/>
      <c r="W761" s="582"/>
      <c r="X761" s="582"/>
      <c r="Y761" s="582"/>
      <c r="Z761" s="582"/>
      <c r="AA761" s="582"/>
      <c r="AB761" s="582"/>
      <c r="AC761" s="582"/>
      <c r="AD761" s="582"/>
      <c r="AE761" s="582"/>
      <c r="AF761" s="1069"/>
    </row>
    <row r="762">
      <c r="A762" s="582"/>
      <c r="B762" s="582"/>
      <c r="C762" s="582"/>
      <c r="D762" s="582"/>
      <c r="E762" s="582"/>
      <c r="F762" s="582"/>
      <c r="G762" s="582"/>
      <c r="H762" s="582"/>
      <c r="I762" s="582"/>
      <c r="J762" s="582"/>
      <c r="K762" s="582"/>
      <c r="L762" s="582"/>
      <c r="M762" s="582"/>
      <c r="N762" s="582"/>
      <c r="O762" s="582"/>
      <c r="P762" s="582"/>
      <c r="Q762" s="582"/>
      <c r="R762" s="582"/>
      <c r="S762" s="582"/>
      <c r="T762" s="582"/>
      <c r="U762" s="582"/>
      <c r="V762" s="582"/>
      <c r="W762" s="582"/>
      <c r="X762" s="582"/>
      <c r="Y762" s="582"/>
      <c r="Z762" s="582"/>
      <c r="AA762" s="582"/>
      <c r="AB762" s="582"/>
      <c r="AC762" s="582"/>
      <c r="AD762" s="582"/>
      <c r="AE762" s="582"/>
      <c r="AF762" s="1069"/>
    </row>
    <row r="763">
      <c r="A763" s="582"/>
      <c r="B763" s="582"/>
      <c r="C763" s="582"/>
      <c r="D763" s="582"/>
      <c r="E763" s="582"/>
      <c r="F763" s="582"/>
      <c r="G763" s="582"/>
      <c r="H763" s="582"/>
      <c r="I763" s="582"/>
      <c r="J763" s="582"/>
      <c r="K763" s="582"/>
      <c r="L763" s="582"/>
      <c r="M763" s="582"/>
      <c r="N763" s="582"/>
      <c r="O763" s="582"/>
      <c r="P763" s="582"/>
      <c r="Q763" s="582"/>
      <c r="R763" s="582"/>
      <c r="S763" s="582"/>
      <c r="T763" s="582"/>
      <c r="U763" s="582"/>
      <c r="V763" s="582"/>
      <c r="W763" s="582"/>
      <c r="X763" s="582"/>
      <c r="Y763" s="582"/>
      <c r="Z763" s="582"/>
      <c r="AA763" s="582"/>
      <c r="AB763" s="582"/>
      <c r="AC763" s="582"/>
      <c r="AD763" s="582"/>
      <c r="AE763" s="582"/>
      <c r="AF763" s="1069"/>
    </row>
    <row r="764">
      <c r="A764" s="582"/>
      <c r="B764" s="582"/>
      <c r="C764" s="582"/>
      <c r="D764" s="582"/>
      <c r="E764" s="582"/>
      <c r="F764" s="582"/>
      <c r="G764" s="582"/>
      <c r="H764" s="582"/>
      <c r="I764" s="582"/>
      <c r="J764" s="582"/>
      <c r="K764" s="582"/>
      <c r="L764" s="582"/>
      <c r="M764" s="582"/>
      <c r="N764" s="582"/>
      <c r="O764" s="582"/>
      <c r="P764" s="582"/>
      <c r="Q764" s="582"/>
      <c r="R764" s="582"/>
      <c r="S764" s="582"/>
      <c r="T764" s="582"/>
      <c r="U764" s="582"/>
      <c r="V764" s="582"/>
      <c r="W764" s="582"/>
      <c r="X764" s="582"/>
      <c r="Y764" s="582"/>
      <c r="Z764" s="582"/>
      <c r="AA764" s="582"/>
      <c r="AB764" s="582"/>
      <c r="AC764" s="582"/>
      <c r="AD764" s="582"/>
      <c r="AE764" s="582"/>
      <c r="AF764" s="1069"/>
    </row>
    <row r="765">
      <c r="A765" s="582"/>
      <c r="B765" s="582"/>
      <c r="C765" s="582"/>
      <c r="D765" s="582"/>
      <c r="E765" s="582"/>
      <c r="F765" s="582"/>
      <c r="G765" s="582"/>
      <c r="H765" s="582"/>
      <c r="I765" s="582"/>
      <c r="J765" s="582"/>
      <c r="K765" s="582"/>
      <c r="L765" s="582"/>
      <c r="M765" s="582"/>
      <c r="N765" s="582"/>
      <c r="O765" s="582"/>
      <c r="P765" s="582"/>
      <c r="Q765" s="582"/>
      <c r="R765" s="582"/>
      <c r="S765" s="582"/>
      <c r="T765" s="582"/>
      <c r="U765" s="582"/>
      <c r="V765" s="582"/>
      <c r="W765" s="582"/>
      <c r="X765" s="582"/>
      <c r="Y765" s="582"/>
      <c r="Z765" s="582"/>
      <c r="AA765" s="582"/>
      <c r="AB765" s="582"/>
      <c r="AC765" s="582"/>
      <c r="AD765" s="582"/>
      <c r="AE765" s="582"/>
      <c r="AF765" s="1069"/>
    </row>
    <row r="766">
      <c r="A766" s="582"/>
      <c r="B766" s="582"/>
      <c r="C766" s="582"/>
      <c r="D766" s="582"/>
      <c r="E766" s="582"/>
      <c r="F766" s="582"/>
      <c r="G766" s="582"/>
      <c r="H766" s="582"/>
      <c r="I766" s="582"/>
      <c r="J766" s="582"/>
      <c r="K766" s="582"/>
      <c r="L766" s="582"/>
      <c r="M766" s="582"/>
      <c r="N766" s="582"/>
      <c r="O766" s="582"/>
      <c r="P766" s="582"/>
      <c r="Q766" s="582"/>
      <c r="R766" s="582"/>
      <c r="S766" s="582"/>
      <c r="T766" s="582"/>
      <c r="U766" s="582"/>
      <c r="V766" s="582"/>
      <c r="W766" s="582"/>
      <c r="X766" s="582"/>
      <c r="Y766" s="582"/>
      <c r="Z766" s="582"/>
      <c r="AA766" s="582"/>
      <c r="AB766" s="582"/>
      <c r="AC766" s="582"/>
      <c r="AD766" s="582"/>
      <c r="AE766" s="582"/>
      <c r="AF766" s="1069"/>
    </row>
    <row r="767">
      <c r="A767" s="582"/>
      <c r="B767" s="582"/>
      <c r="C767" s="582"/>
      <c r="D767" s="582"/>
      <c r="E767" s="582"/>
      <c r="F767" s="582"/>
      <c r="G767" s="582"/>
      <c r="H767" s="582"/>
      <c r="I767" s="582"/>
      <c r="J767" s="582"/>
      <c r="K767" s="582"/>
      <c r="L767" s="582"/>
      <c r="M767" s="582"/>
      <c r="N767" s="582"/>
      <c r="O767" s="582"/>
      <c r="P767" s="582"/>
      <c r="Q767" s="582"/>
      <c r="R767" s="582"/>
      <c r="S767" s="582"/>
      <c r="T767" s="582"/>
      <c r="U767" s="582"/>
      <c r="V767" s="582"/>
      <c r="W767" s="582"/>
      <c r="X767" s="582"/>
      <c r="Y767" s="582"/>
      <c r="Z767" s="582"/>
      <c r="AA767" s="582"/>
      <c r="AB767" s="582"/>
      <c r="AC767" s="582"/>
      <c r="AD767" s="582"/>
      <c r="AE767" s="582"/>
      <c r="AF767" s="1069"/>
    </row>
    <row r="768">
      <c r="A768" s="582"/>
      <c r="B768" s="582"/>
      <c r="C768" s="582"/>
      <c r="D768" s="582"/>
      <c r="E768" s="582"/>
      <c r="F768" s="582"/>
      <c r="G768" s="582"/>
      <c r="H768" s="582"/>
      <c r="I768" s="582"/>
      <c r="J768" s="582"/>
      <c r="K768" s="582"/>
      <c r="L768" s="582"/>
      <c r="M768" s="582"/>
      <c r="N768" s="582"/>
      <c r="O768" s="582"/>
      <c r="P768" s="582"/>
      <c r="Q768" s="582"/>
      <c r="R768" s="582"/>
      <c r="S768" s="582"/>
      <c r="T768" s="582"/>
      <c r="U768" s="582"/>
      <c r="V768" s="582"/>
      <c r="W768" s="582"/>
      <c r="X768" s="582"/>
      <c r="Y768" s="582"/>
      <c r="Z768" s="582"/>
      <c r="AA768" s="582"/>
      <c r="AB768" s="582"/>
      <c r="AC768" s="582"/>
      <c r="AD768" s="582"/>
      <c r="AE768" s="582"/>
      <c r="AF768" s="1069"/>
    </row>
    <row r="769">
      <c r="A769" s="582"/>
      <c r="B769" s="582"/>
      <c r="C769" s="582"/>
      <c r="D769" s="582"/>
      <c r="E769" s="582"/>
      <c r="F769" s="582"/>
      <c r="G769" s="582"/>
      <c r="H769" s="582"/>
      <c r="I769" s="582"/>
      <c r="J769" s="582"/>
      <c r="K769" s="582"/>
      <c r="L769" s="582"/>
      <c r="M769" s="582"/>
      <c r="N769" s="582"/>
      <c r="O769" s="582"/>
      <c r="P769" s="582"/>
      <c r="Q769" s="582"/>
      <c r="R769" s="582"/>
      <c r="S769" s="582"/>
      <c r="T769" s="582"/>
      <c r="U769" s="582"/>
      <c r="V769" s="582"/>
      <c r="W769" s="582"/>
      <c r="X769" s="582"/>
      <c r="Y769" s="582"/>
      <c r="Z769" s="582"/>
      <c r="AA769" s="582"/>
      <c r="AB769" s="582"/>
      <c r="AC769" s="582"/>
      <c r="AD769" s="582"/>
      <c r="AE769" s="582"/>
      <c r="AF769" s="1069"/>
    </row>
    <row r="770">
      <c r="A770" s="582"/>
      <c r="B770" s="582"/>
      <c r="C770" s="582"/>
      <c r="D770" s="582"/>
      <c r="E770" s="582"/>
      <c r="F770" s="582"/>
      <c r="G770" s="582"/>
      <c r="H770" s="582"/>
      <c r="I770" s="582"/>
      <c r="J770" s="582"/>
      <c r="K770" s="582"/>
      <c r="L770" s="582"/>
      <c r="M770" s="582"/>
      <c r="N770" s="582"/>
      <c r="O770" s="582"/>
      <c r="P770" s="582"/>
      <c r="Q770" s="582"/>
      <c r="R770" s="582"/>
      <c r="S770" s="582"/>
      <c r="T770" s="582"/>
      <c r="U770" s="582"/>
      <c r="V770" s="582"/>
      <c r="W770" s="582"/>
      <c r="X770" s="582"/>
      <c r="Y770" s="582"/>
      <c r="Z770" s="582"/>
      <c r="AA770" s="582"/>
      <c r="AB770" s="582"/>
      <c r="AC770" s="582"/>
      <c r="AD770" s="582"/>
      <c r="AE770" s="582"/>
      <c r="AF770" s="1069"/>
    </row>
    <row r="771">
      <c r="A771" s="582"/>
      <c r="B771" s="582"/>
      <c r="C771" s="582"/>
      <c r="D771" s="582"/>
      <c r="E771" s="582"/>
      <c r="F771" s="582"/>
      <c r="G771" s="582"/>
      <c r="H771" s="582"/>
      <c r="I771" s="582"/>
      <c r="J771" s="582"/>
      <c r="K771" s="582"/>
      <c r="L771" s="582"/>
      <c r="M771" s="582"/>
      <c r="N771" s="582"/>
      <c r="O771" s="582"/>
      <c r="P771" s="582"/>
      <c r="Q771" s="582"/>
      <c r="R771" s="582"/>
      <c r="S771" s="582"/>
      <c r="T771" s="582"/>
      <c r="U771" s="582"/>
      <c r="V771" s="582"/>
      <c r="W771" s="582"/>
      <c r="X771" s="582"/>
      <c r="Y771" s="582"/>
      <c r="Z771" s="582"/>
      <c r="AA771" s="582"/>
      <c r="AB771" s="582"/>
      <c r="AC771" s="582"/>
      <c r="AD771" s="582"/>
      <c r="AE771" s="582"/>
      <c r="AF771" s="1069"/>
    </row>
    <row r="772">
      <c r="A772" s="582"/>
      <c r="B772" s="582"/>
      <c r="C772" s="582"/>
      <c r="D772" s="582"/>
      <c r="E772" s="582"/>
      <c r="F772" s="582"/>
      <c r="G772" s="582"/>
      <c r="H772" s="582"/>
      <c r="I772" s="582"/>
      <c r="J772" s="582"/>
      <c r="K772" s="582"/>
      <c r="L772" s="582"/>
      <c r="M772" s="582"/>
      <c r="N772" s="582"/>
      <c r="O772" s="582"/>
      <c r="P772" s="582"/>
      <c r="Q772" s="582"/>
      <c r="R772" s="582"/>
      <c r="S772" s="582"/>
      <c r="T772" s="582"/>
      <c r="U772" s="582"/>
      <c r="V772" s="582"/>
      <c r="W772" s="582"/>
      <c r="X772" s="582"/>
      <c r="Y772" s="582"/>
      <c r="Z772" s="582"/>
      <c r="AA772" s="582"/>
      <c r="AB772" s="582"/>
      <c r="AC772" s="582"/>
      <c r="AD772" s="582"/>
      <c r="AE772" s="582"/>
      <c r="AF772" s="1069"/>
    </row>
    <row r="773">
      <c r="A773" s="582"/>
      <c r="B773" s="582"/>
      <c r="C773" s="582"/>
      <c r="D773" s="582"/>
      <c r="E773" s="582"/>
      <c r="F773" s="582"/>
      <c r="G773" s="582"/>
      <c r="H773" s="582"/>
      <c r="I773" s="582"/>
      <c r="J773" s="582"/>
      <c r="K773" s="582"/>
      <c r="L773" s="582"/>
      <c r="M773" s="582"/>
      <c r="N773" s="582"/>
      <c r="O773" s="582"/>
      <c r="P773" s="582"/>
      <c r="Q773" s="582"/>
      <c r="R773" s="582"/>
      <c r="S773" s="582"/>
      <c r="T773" s="582"/>
      <c r="U773" s="582"/>
      <c r="V773" s="582"/>
      <c r="W773" s="582"/>
      <c r="X773" s="582"/>
      <c r="Y773" s="582"/>
      <c r="Z773" s="582"/>
      <c r="AA773" s="582"/>
      <c r="AB773" s="582"/>
      <c r="AC773" s="582"/>
      <c r="AD773" s="582"/>
      <c r="AE773" s="582"/>
      <c r="AF773" s="1069"/>
    </row>
    <row r="774">
      <c r="A774" s="582"/>
      <c r="B774" s="582"/>
      <c r="C774" s="582"/>
      <c r="D774" s="582"/>
      <c r="E774" s="582"/>
      <c r="F774" s="582"/>
      <c r="G774" s="582"/>
      <c r="H774" s="582"/>
      <c r="I774" s="582"/>
      <c r="J774" s="582"/>
      <c r="K774" s="582"/>
      <c r="L774" s="582"/>
      <c r="M774" s="582"/>
      <c r="N774" s="582"/>
      <c r="O774" s="582"/>
      <c r="P774" s="582"/>
      <c r="Q774" s="582"/>
      <c r="R774" s="582"/>
      <c r="S774" s="582"/>
      <c r="T774" s="582"/>
      <c r="U774" s="582"/>
      <c r="V774" s="582"/>
      <c r="W774" s="582"/>
      <c r="X774" s="582"/>
      <c r="Y774" s="582"/>
      <c r="Z774" s="582"/>
      <c r="AA774" s="582"/>
      <c r="AB774" s="582"/>
      <c r="AC774" s="582"/>
      <c r="AD774" s="582"/>
      <c r="AE774" s="582"/>
      <c r="AF774" s="1069"/>
    </row>
    <row r="775">
      <c r="A775" s="582"/>
      <c r="B775" s="582"/>
      <c r="C775" s="582"/>
      <c r="D775" s="582"/>
      <c r="E775" s="582"/>
      <c r="F775" s="582"/>
      <c r="G775" s="582"/>
      <c r="H775" s="582"/>
      <c r="I775" s="582"/>
      <c r="J775" s="582"/>
      <c r="K775" s="582"/>
      <c r="L775" s="582"/>
      <c r="M775" s="582"/>
      <c r="N775" s="582"/>
      <c r="O775" s="582"/>
      <c r="P775" s="582"/>
      <c r="Q775" s="582"/>
      <c r="R775" s="582"/>
      <c r="S775" s="582"/>
      <c r="T775" s="582"/>
      <c r="U775" s="582"/>
      <c r="V775" s="582"/>
      <c r="W775" s="582"/>
      <c r="X775" s="582"/>
      <c r="Y775" s="582"/>
      <c r="Z775" s="582"/>
      <c r="AA775" s="582"/>
      <c r="AB775" s="582"/>
      <c r="AC775" s="582"/>
      <c r="AD775" s="582"/>
      <c r="AE775" s="582"/>
      <c r="AF775" s="1069"/>
    </row>
    <row r="776">
      <c r="A776" s="582"/>
      <c r="B776" s="582"/>
      <c r="C776" s="582"/>
      <c r="D776" s="582"/>
      <c r="E776" s="582"/>
      <c r="F776" s="582"/>
      <c r="G776" s="582"/>
      <c r="H776" s="582"/>
      <c r="I776" s="582"/>
      <c r="J776" s="582"/>
      <c r="K776" s="582"/>
      <c r="L776" s="582"/>
      <c r="M776" s="582"/>
      <c r="N776" s="582"/>
      <c r="O776" s="582"/>
      <c r="P776" s="582"/>
      <c r="Q776" s="582"/>
      <c r="R776" s="582"/>
      <c r="S776" s="582"/>
      <c r="T776" s="582"/>
      <c r="U776" s="582"/>
      <c r="V776" s="582"/>
      <c r="W776" s="582"/>
      <c r="X776" s="582"/>
      <c r="Y776" s="582"/>
      <c r="Z776" s="582"/>
      <c r="AA776" s="582"/>
      <c r="AB776" s="582"/>
      <c r="AC776" s="582"/>
      <c r="AD776" s="582"/>
      <c r="AE776" s="582"/>
      <c r="AF776" s="1069"/>
    </row>
    <row r="777">
      <c r="A777" s="582"/>
      <c r="B777" s="582"/>
      <c r="C777" s="582"/>
      <c r="D777" s="582"/>
      <c r="E777" s="582"/>
      <c r="F777" s="582"/>
      <c r="G777" s="582"/>
      <c r="H777" s="582"/>
      <c r="I777" s="582"/>
      <c r="J777" s="582"/>
      <c r="K777" s="582"/>
      <c r="L777" s="582"/>
      <c r="M777" s="582"/>
      <c r="N777" s="582"/>
      <c r="O777" s="582"/>
      <c r="P777" s="582"/>
      <c r="Q777" s="582"/>
      <c r="R777" s="582"/>
      <c r="S777" s="582"/>
      <c r="T777" s="582"/>
      <c r="U777" s="582"/>
      <c r="V777" s="582"/>
      <c r="W777" s="582"/>
      <c r="X777" s="582"/>
      <c r="Y777" s="582"/>
      <c r="Z777" s="582"/>
      <c r="AA777" s="582"/>
      <c r="AB777" s="582"/>
      <c r="AC777" s="582"/>
      <c r="AD777" s="582"/>
      <c r="AE777" s="582"/>
      <c r="AF777" s="1069"/>
    </row>
    <row r="778">
      <c r="A778" s="582"/>
      <c r="B778" s="582"/>
      <c r="C778" s="582"/>
      <c r="D778" s="582"/>
      <c r="E778" s="582"/>
      <c r="F778" s="582"/>
      <c r="G778" s="582"/>
      <c r="H778" s="582"/>
      <c r="I778" s="582"/>
      <c r="J778" s="582"/>
      <c r="K778" s="582"/>
      <c r="L778" s="582"/>
      <c r="M778" s="582"/>
      <c r="N778" s="582"/>
      <c r="O778" s="582"/>
      <c r="P778" s="582"/>
      <c r="Q778" s="582"/>
      <c r="R778" s="582"/>
      <c r="S778" s="582"/>
      <c r="T778" s="582"/>
      <c r="U778" s="582"/>
      <c r="V778" s="582"/>
      <c r="W778" s="582"/>
      <c r="X778" s="582"/>
      <c r="Y778" s="582"/>
      <c r="Z778" s="582"/>
      <c r="AA778" s="582"/>
      <c r="AB778" s="582"/>
      <c r="AC778" s="582"/>
      <c r="AD778" s="582"/>
      <c r="AE778" s="582"/>
      <c r="AF778" s="1069"/>
    </row>
    <row r="779">
      <c r="A779" s="582"/>
      <c r="B779" s="582"/>
      <c r="C779" s="582"/>
      <c r="D779" s="582"/>
      <c r="E779" s="582"/>
      <c r="F779" s="582"/>
      <c r="G779" s="582"/>
      <c r="H779" s="582"/>
      <c r="I779" s="582"/>
      <c r="J779" s="582"/>
      <c r="K779" s="582"/>
      <c r="L779" s="582"/>
      <c r="M779" s="582"/>
      <c r="N779" s="582"/>
      <c r="O779" s="582"/>
      <c r="P779" s="582"/>
      <c r="Q779" s="582"/>
      <c r="R779" s="582"/>
      <c r="S779" s="582"/>
      <c r="T779" s="582"/>
      <c r="U779" s="582"/>
      <c r="V779" s="582"/>
      <c r="W779" s="582"/>
      <c r="X779" s="582"/>
      <c r="Y779" s="582"/>
      <c r="Z779" s="582"/>
      <c r="AA779" s="582"/>
      <c r="AB779" s="582"/>
      <c r="AC779" s="582"/>
      <c r="AD779" s="582"/>
      <c r="AE779" s="582"/>
      <c r="AF779" s="1069"/>
    </row>
    <row r="780">
      <c r="A780" s="582"/>
      <c r="B780" s="582"/>
      <c r="C780" s="582"/>
      <c r="D780" s="582"/>
      <c r="E780" s="582"/>
      <c r="F780" s="582"/>
      <c r="G780" s="582"/>
      <c r="H780" s="582"/>
      <c r="I780" s="582"/>
      <c r="J780" s="582"/>
      <c r="K780" s="582"/>
      <c r="L780" s="582"/>
      <c r="M780" s="582"/>
      <c r="N780" s="582"/>
      <c r="O780" s="582"/>
      <c r="P780" s="582"/>
      <c r="Q780" s="582"/>
      <c r="R780" s="582"/>
      <c r="S780" s="582"/>
      <c r="T780" s="582"/>
      <c r="U780" s="582"/>
      <c r="V780" s="582"/>
      <c r="W780" s="582"/>
      <c r="X780" s="582"/>
      <c r="Y780" s="582"/>
      <c r="Z780" s="582"/>
      <c r="AA780" s="582"/>
      <c r="AB780" s="582"/>
      <c r="AC780" s="582"/>
      <c r="AD780" s="582"/>
      <c r="AE780" s="582"/>
      <c r="AF780" s="1069"/>
    </row>
    <row r="781">
      <c r="A781" s="582"/>
      <c r="B781" s="582"/>
      <c r="C781" s="582"/>
      <c r="D781" s="582"/>
      <c r="E781" s="582"/>
      <c r="F781" s="582"/>
      <c r="G781" s="582"/>
      <c r="H781" s="582"/>
      <c r="I781" s="582"/>
      <c r="J781" s="582"/>
      <c r="K781" s="582"/>
      <c r="L781" s="582"/>
      <c r="M781" s="582"/>
      <c r="N781" s="582"/>
      <c r="O781" s="582"/>
      <c r="P781" s="582"/>
      <c r="Q781" s="582"/>
      <c r="R781" s="582"/>
      <c r="S781" s="582"/>
      <c r="T781" s="582"/>
      <c r="U781" s="582"/>
      <c r="V781" s="582"/>
      <c r="W781" s="582"/>
      <c r="X781" s="582"/>
      <c r="Y781" s="582"/>
      <c r="Z781" s="582"/>
      <c r="AA781" s="582"/>
      <c r="AB781" s="582"/>
      <c r="AC781" s="582"/>
      <c r="AD781" s="582"/>
      <c r="AE781" s="582"/>
      <c r="AF781" s="1069"/>
    </row>
    <row r="782">
      <c r="A782" s="582"/>
      <c r="B782" s="582"/>
      <c r="C782" s="582"/>
      <c r="D782" s="582"/>
      <c r="E782" s="582"/>
      <c r="F782" s="582"/>
      <c r="G782" s="582"/>
      <c r="H782" s="582"/>
      <c r="I782" s="582"/>
      <c r="J782" s="582"/>
      <c r="K782" s="582"/>
      <c r="L782" s="582"/>
      <c r="M782" s="582"/>
      <c r="N782" s="582"/>
      <c r="O782" s="582"/>
      <c r="P782" s="582"/>
      <c r="Q782" s="582"/>
      <c r="R782" s="582"/>
      <c r="S782" s="582"/>
      <c r="T782" s="582"/>
      <c r="U782" s="582"/>
      <c r="V782" s="582"/>
      <c r="W782" s="582"/>
      <c r="X782" s="582"/>
      <c r="Y782" s="582"/>
      <c r="Z782" s="582"/>
      <c r="AA782" s="582"/>
      <c r="AB782" s="582"/>
      <c r="AC782" s="582"/>
      <c r="AD782" s="582"/>
      <c r="AE782" s="582"/>
      <c r="AF782" s="1069"/>
    </row>
    <row r="783">
      <c r="A783" s="582"/>
      <c r="B783" s="582"/>
      <c r="C783" s="582"/>
      <c r="D783" s="582"/>
      <c r="E783" s="582"/>
      <c r="F783" s="582"/>
      <c r="G783" s="582"/>
      <c r="H783" s="582"/>
      <c r="I783" s="582"/>
      <c r="J783" s="582"/>
      <c r="K783" s="582"/>
      <c r="L783" s="582"/>
      <c r="M783" s="582"/>
      <c r="N783" s="582"/>
      <c r="O783" s="582"/>
      <c r="P783" s="582"/>
      <c r="Q783" s="582"/>
      <c r="R783" s="582"/>
      <c r="S783" s="582"/>
      <c r="T783" s="582"/>
      <c r="U783" s="582"/>
      <c r="V783" s="582"/>
      <c r="W783" s="582"/>
      <c r="X783" s="582"/>
      <c r="Y783" s="582"/>
      <c r="Z783" s="582"/>
      <c r="AA783" s="582"/>
      <c r="AB783" s="582"/>
      <c r="AC783" s="582"/>
      <c r="AD783" s="582"/>
      <c r="AE783" s="582"/>
      <c r="AF783" s="1069"/>
    </row>
    <row r="784">
      <c r="A784" s="582"/>
      <c r="B784" s="582"/>
      <c r="C784" s="582"/>
      <c r="D784" s="582"/>
      <c r="E784" s="582"/>
      <c r="F784" s="582"/>
      <c r="G784" s="582"/>
      <c r="H784" s="582"/>
      <c r="I784" s="582"/>
      <c r="J784" s="582"/>
      <c r="K784" s="582"/>
      <c r="L784" s="582"/>
      <c r="M784" s="582"/>
      <c r="N784" s="582"/>
      <c r="O784" s="582"/>
      <c r="P784" s="582"/>
      <c r="Q784" s="582"/>
      <c r="R784" s="582"/>
      <c r="S784" s="582"/>
      <c r="T784" s="582"/>
      <c r="U784" s="582"/>
      <c r="V784" s="582"/>
      <c r="W784" s="582"/>
      <c r="X784" s="582"/>
      <c r="Y784" s="582"/>
      <c r="Z784" s="582"/>
      <c r="AA784" s="582"/>
      <c r="AB784" s="582"/>
      <c r="AC784" s="582"/>
      <c r="AD784" s="582"/>
      <c r="AE784" s="582"/>
      <c r="AF784" s="1069"/>
    </row>
    <row r="785">
      <c r="A785" s="582"/>
      <c r="B785" s="582"/>
      <c r="C785" s="582"/>
      <c r="D785" s="582"/>
      <c r="E785" s="582"/>
      <c r="F785" s="582"/>
      <c r="G785" s="582"/>
      <c r="H785" s="582"/>
      <c r="I785" s="582"/>
      <c r="J785" s="582"/>
      <c r="K785" s="582"/>
      <c r="L785" s="582"/>
      <c r="M785" s="582"/>
      <c r="N785" s="582"/>
      <c r="O785" s="582"/>
      <c r="P785" s="582"/>
      <c r="Q785" s="582"/>
      <c r="R785" s="582"/>
      <c r="S785" s="582"/>
      <c r="T785" s="582"/>
      <c r="U785" s="582"/>
      <c r="V785" s="582"/>
      <c r="W785" s="582"/>
      <c r="X785" s="582"/>
      <c r="Y785" s="582"/>
      <c r="Z785" s="582"/>
      <c r="AA785" s="582"/>
      <c r="AB785" s="582"/>
      <c r="AC785" s="582"/>
      <c r="AD785" s="582"/>
      <c r="AE785" s="582"/>
      <c r="AF785" s="1069"/>
    </row>
    <row r="786">
      <c r="A786" s="582"/>
      <c r="B786" s="582"/>
      <c r="C786" s="582"/>
      <c r="D786" s="582"/>
      <c r="E786" s="582"/>
      <c r="F786" s="582"/>
      <c r="G786" s="582"/>
      <c r="H786" s="582"/>
      <c r="I786" s="582"/>
      <c r="J786" s="582"/>
      <c r="K786" s="582"/>
      <c r="L786" s="582"/>
      <c r="M786" s="582"/>
      <c r="N786" s="582"/>
      <c r="O786" s="582"/>
      <c r="P786" s="582"/>
      <c r="Q786" s="582"/>
      <c r="R786" s="582"/>
      <c r="S786" s="582"/>
      <c r="T786" s="582"/>
      <c r="U786" s="582"/>
      <c r="V786" s="582"/>
      <c r="W786" s="582"/>
      <c r="X786" s="582"/>
      <c r="Y786" s="582"/>
      <c r="Z786" s="582"/>
      <c r="AA786" s="582"/>
      <c r="AB786" s="582"/>
      <c r="AC786" s="582"/>
      <c r="AD786" s="582"/>
      <c r="AE786" s="582"/>
      <c r="AF786" s="1069"/>
    </row>
    <row r="787">
      <c r="A787" s="582"/>
      <c r="B787" s="582"/>
      <c r="C787" s="582"/>
      <c r="D787" s="582"/>
      <c r="E787" s="582"/>
      <c r="F787" s="582"/>
      <c r="G787" s="582"/>
      <c r="H787" s="582"/>
      <c r="I787" s="582"/>
      <c r="J787" s="582"/>
      <c r="K787" s="582"/>
      <c r="L787" s="582"/>
      <c r="M787" s="582"/>
      <c r="N787" s="582"/>
      <c r="O787" s="582"/>
      <c r="P787" s="582"/>
      <c r="Q787" s="582"/>
      <c r="R787" s="582"/>
      <c r="S787" s="582"/>
      <c r="T787" s="582"/>
      <c r="U787" s="582"/>
      <c r="V787" s="582"/>
      <c r="W787" s="582"/>
      <c r="X787" s="582"/>
      <c r="Y787" s="582"/>
      <c r="Z787" s="582"/>
      <c r="AA787" s="582"/>
      <c r="AB787" s="582"/>
      <c r="AC787" s="582"/>
      <c r="AD787" s="582"/>
      <c r="AE787" s="582"/>
      <c r="AF787" s="1069"/>
    </row>
    <row r="788">
      <c r="A788" s="582"/>
      <c r="B788" s="582"/>
      <c r="C788" s="582"/>
      <c r="D788" s="582"/>
      <c r="E788" s="582"/>
      <c r="F788" s="582"/>
      <c r="G788" s="582"/>
      <c r="H788" s="582"/>
      <c r="I788" s="582"/>
      <c r="J788" s="582"/>
      <c r="K788" s="582"/>
      <c r="L788" s="582"/>
      <c r="M788" s="582"/>
      <c r="N788" s="582"/>
      <c r="O788" s="582"/>
      <c r="P788" s="582"/>
      <c r="Q788" s="582"/>
      <c r="R788" s="582"/>
      <c r="S788" s="582"/>
      <c r="T788" s="582"/>
      <c r="U788" s="582"/>
      <c r="V788" s="582"/>
      <c r="W788" s="582"/>
      <c r="X788" s="582"/>
      <c r="Y788" s="582"/>
      <c r="Z788" s="582"/>
      <c r="AA788" s="582"/>
      <c r="AB788" s="582"/>
      <c r="AC788" s="582"/>
      <c r="AD788" s="582"/>
      <c r="AE788" s="582"/>
      <c r="AF788" s="1069"/>
    </row>
    <row r="789">
      <c r="A789" s="582"/>
      <c r="B789" s="582"/>
      <c r="C789" s="582"/>
      <c r="D789" s="582"/>
      <c r="E789" s="582"/>
      <c r="F789" s="582"/>
      <c r="G789" s="582"/>
      <c r="H789" s="582"/>
      <c r="I789" s="582"/>
      <c r="J789" s="582"/>
      <c r="K789" s="582"/>
      <c r="L789" s="582"/>
      <c r="M789" s="582"/>
      <c r="N789" s="582"/>
      <c r="O789" s="582"/>
      <c r="P789" s="582"/>
      <c r="Q789" s="582"/>
      <c r="R789" s="582"/>
      <c r="S789" s="582"/>
      <c r="T789" s="582"/>
      <c r="U789" s="582"/>
      <c r="V789" s="582"/>
      <c r="W789" s="582"/>
      <c r="X789" s="582"/>
      <c r="Y789" s="582"/>
      <c r="Z789" s="582"/>
      <c r="AA789" s="582"/>
      <c r="AB789" s="582"/>
      <c r="AC789" s="582"/>
      <c r="AD789" s="582"/>
      <c r="AE789" s="582"/>
      <c r="AF789" s="1069"/>
    </row>
    <row r="790">
      <c r="A790" s="582"/>
      <c r="B790" s="582"/>
      <c r="C790" s="582"/>
      <c r="D790" s="582"/>
      <c r="E790" s="582"/>
      <c r="F790" s="582"/>
      <c r="G790" s="582"/>
      <c r="H790" s="582"/>
      <c r="I790" s="582"/>
      <c r="J790" s="582"/>
      <c r="K790" s="582"/>
      <c r="L790" s="582"/>
      <c r="M790" s="582"/>
      <c r="N790" s="582"/>
      <c r="O790" s="582"/>
      <c r="P790" s="582"/>
      <c r="Q790" s="582"/>
      <c r="R790" s="582"/>
      <c r="S790" s="582"/>
      <c r="T790" s="582"/>
      <c r="U790" s="582"/>
      <c r="V790" s="582"/>
      <c r="W790" s="582"/>
      <c r="X790" s="582"/>
      <c r="Y790" s="582"/>
      <c r="Z790" s="582"/>
      <c r="AA790" s="582"/>
      <c r="AB790" s="582"/>
      <c r="AC790" s="582"/>
      <c r="AD790" s="582"/>
      <c r="AE790" s="582"/>
      <c r="AF790" s="1069"/>
    </row>
    <row r="791">
      <c r="A791" s="582"/>
      <c r="B791" s="582"/>
      <c r="C791" s="582"/>
      <c r="D791" s="582"/>
      <c r="E791" s="582"/>
      <c r="F791" s="582"/>
      <c r="G791" s="582"/>
      <c r="H791" s="582"/>
      <c r="I791" s="582"/>
      <c r="J791" s="582"/>
      <c r="K791" s="582"/>
      <c r="L791" s="582"/>
      <c r="M791" s="582"/>
      <c r="N791" s="582"/>
      <c r="O791" s="582"/>
      <c r="P791" s="582"/>
      <c r="Q791" s="582"/>
      <c r="R791" s="582"/>
      <c r="S791" s="582"/>
      <c r="T791" s="582"/>
      <c r="U791" s="582"/>
      <c r="V791" s="582"/>
      <c r="W791" s="582"/>
      <c r="X791" s="582"/>
      <c r="Y791" s="582"/>
      <c r="Z791" s="582"/>
      <c r="AA791" s="582"/>
      <c r="AB791" s="582"/>
      <c r="AC791" s="582"/>
      <c r="AD791" s="582"/>
      <c r="AE791" s="582"/>
      <c r="AF791" s="1069"/>
    </row>
    <row r="792">
      <c r="A792" s="582"/>
      <c r="B792" s="582"/>
      <c r="C792" s="582"/>
      <c r="D792" s="582"/>
      <c r="E792" s="582"/>
      <c r="F792" s="582"/>
      <c r="G792" s="582"/>
      <c r="H792" s="582"/>
      <c r="I792" s="582"/>
      <c r="J792" s="582"/>
      <c r="K792" s="582"/>
      <c r="L792" s="582"/>
      <c r="M792" s="582"/>
      <c r="N792" s="582"/>
      <c r="O792" s="582"/>
      <c r="P792" s="582"/>
      <c r="Q792" s="582"/>
      <c r="R792" s="582"/>
      <c r="S792" s="582"/>
      <c r="T792" s="582"/>
      <c r="U792" s="582"/>
      <c r="V792" s="582"/>
      <c r="W792" s="582"/>
      <c r="X792" s="582"/>
      <c r="Y792" s="582"/>
      <c r="Z792" s="582"/>
      <c r="AA792" s="582"/>
      <c r="AB792" s="582"/>
      <c r="AC792" s="582"/>
      <c r="AD792" s="582"/>
      <c r="AE792" s="582"/>
      <c r="AF792" s="1069"/>
    </row>
    <row r="793">
      <c r="A793" s="582"/>
      <c r="B793" s="582"/>
      <c r="C793" s="582"/>
      <c r="D793" s="582"/>
      <c r="E793" s="582"/>
      <c r="F793" s="582"/>
      <c r="G793" s="582"/>
      <c r="H793" s="582"/>
      <c r="I793" s="582"/>
      <c r="J793" s="582"/>
      <c r="K793" s="582"/>
      <c r="L793" s="582"/>
      <c r="M793" s="582"/>
      <c r="N793" s="582"/>
      <c r="O793" s="582"/>
      <c r="P793" s="582"/>
      <c r="Q793" s="582"/>
      <c r="R793" s="582"/>
      <c r="S793" s="582"/>
      <c r="T793" s="582"/>
      <c r="U793" s="582"/>
      <c r="V793" s="582"/>
      <c r="W793" s="582"/>
      <c r="X793" s="582"/>
      <c r="Y793" s="582"/>
      <c r="Z793" s="582"/>
      <c r="AA793" s="582"/>
      <c r="AB793" s="582"/>
      <c r="AC793" s="582"/>
      <c r="AD793" s="582"/>
      <c r="AE793" s="582"/>
      <c r="AF793" s="1069"/>
    </row>
    <row r="794">
      <c r="A794" s="582"/>
      <c r="B794" s="582"/>
      <c r="C794" s="582"/>
      <c r="D794" s="582"/>
      <c r="E794" s="582"/>
      <c r="F794" s="582"/>
      <c r="G794" s="582"/>
      <c r="H794" s="582"/>
      <c r="I794" s="582"/>
      <c r="J794" s="582"/>
      <c r="K794" s="582"/>
      <c r="L794" s="582"/>
      <c r="M794" s="582"/>
      <c r="N794" s="582"/>
      <c r="O794" s="582"/>
      <c r="P794" s="582"/>
      <c r="Q794" s="582"/>
      <c r="R794" s="582"/>
      <c r="S794" s="582"/>
      <c r="T794" s="582"/>
      <c r="U794" s="582"/>
      <c r="V794" s="582"/>
      <c r="W794" s="582"/>
      <c r="X794" s="582"/>
      <c r="Y794" s="582"/>
      <c r="Z794" s="582"/>
      <c r="AA794" s="582"/>
      <c r="AB794" s="582"/>
      <c r="AC794" s="582"/>
      <c r="AD794" s="582"/>
      <c r="AE794" s="582"/>
      <c r="AF794" s="1069"/>
    </row>
    <row r="795">
      <c r="A795" s="582"/>
      <c r="B795" s="582"/>
      <c r="C795" s="582"/>
      <c r="D795" s="582"/>
      <c r="E795" s="582"/>
      <c r="F795" s="582"/>
      <c r="G795" s="582"/>
      <c r="H795" s="582"/>
      <c r="I795" s="582"/>
      <c r="J795" s="582"/>
      <c r="K795" s="582"/>
      <c r="L795" s="582"/>
      <c r="M795" s="582"/>
      <c r="N795" s="582"/>
      <c r="O795" s="582"/>
      <c r="P795" s="582"/>
      <c r="Q795" s="582"/>
      <c r="R795" s="582"/>
      <c r="S795" s="582"/>
      <c r="T795" s="582"/>
      <c r="U795" s="582"/>
      <c r="V795" s="582"/>
      <c r="W795" s="582"/>
      <c r="X795" s="582"/>
      <c r="Y795" s="582"/>
      <c r="Z795" s="582"/>
      <c r="AA795" s="582"/>
      <c r="AB795" s="582"/>
      <c r="AC795" s="582"/>
      <c r="AD795" s="582"/>
      <c r="AE795" s="582"/>
      <c r="AF795" s="1069"/>
    </row>
    <row r="796">
      <c r="A796" s="582"/>
      <c r="B796" s="582"/>
      <c r="C796" s="582"/>
      <c r="D796" s="582"/>
      <c r="E796" s="582"/>
      <c r="F796" s="582"/>
      <c r="G796" s="582"/>
      <c r="H796" s="582"/>
      <c r="I796" s="582"/>
      <c r="J796" s="582"/>
      <c r="K796" s="582"/>
      <c r="L796" s="582"/>
      <c r="M796" s="582"/>
      <c r="N796" s="582"/>
      <c r="O796" s="582"/>
      <c r="P796" s="582"/>
      <c r="Q796" s="582"/>
      <c r="R796" s="582"/>
      <c r="S796" s="582"/>
      <c r="T796" s="582"/>
      <c r="U796" s="582"/>
      <c r="V796" s="582"/>
      <c r="W796" s="582"/>
      <c r="X796" s="582"/>
      <c r="Y796" s="582"/>
      <c r="Z796" s="582"/>
      <c r="AA796" s="582"/>
      <c r="AB796" s="582"/>
      <c r="AC796" s="582"/>
      <c r="AD796" s="582"/>
      <c r="AE796" s="582"/>
      <c r="AF796" s="1069"/>
    </row>
    <row r="797">
      <c r="A797" s="582"/>
      <c r="B797" s="582"/>
      <c r="C797" s="582"/>
      <c r="D797" s="582"/>
      <c r="E797" s="582"/>
      <c r="F797" s="582"/>
      <c r="G797" s="582"/>
      <c r="H797" s="582"/>
      <c r="I797" s="582"/>
      <c r="J797" s="582"/>
      <c r="K797" s="582"/>
      <c r="L797" s="582"/>
      <c r="M797" s="582"/>
      <c r="N797" s="582"/>
      <c r="O797" s="582"/>
      <c r="P797" s="582"/>
      <c r="Q797" s="582"/>
      <c r="R797" s="582"/>
      <c r="S797" s="582"/>
      <c r="T797" s="582"/>
      <c r="U797" s="582"/>
      <c r="V797" s="582"/>
      <c r="W797" s="582"/>
      <c r="X797" s="582"/>
      <c r="Y797" s="582"/>
      <c r="Z797" s="582"/>
      <c r="AA797" s="582"/>
      <c r="AB797" s="582"/>
      <c r="AC797" s="582"/>
      <c r="AD797" s="582"/>
      <c r="AE797" s="582"/>
      <c r="AF797" s="1069"/>
    </row>
    <row r="798">
      <c r="A798" s="582"/>
      <c r="B798" s="582"/>
      <c r="C798" s="582"/>
      <c r="D798" s="582"/>
      <c r="E798" s="582"/>
      <c r="F798" s="582"/>
      <c r="G798" s="582"/>
      <c r="H798" s="582"/>
      <c r="I798" s="582"/>
      <c r="J798" s="582"/>
      <c r="K798" s="582"/>
      <c r="L798" s="582"/>
      <c r="M798" s="582"/>
      <c r="N798" s="582"/>
      <c r="O798" s="582"/>
      <c r="P798" s="582"/>
      <c r="Q798" s="582"/>
      <c r="R798" s="582"/>
      <c r="S798" s="582"/>
      <c r="T798" s="582"/>
      <c r="U798" s="582"/>
      <c r="V798" s="582"/>
      <c r="W798" s="582"/>
      <c r="X798" s="582"/>
      <c r="Y798" s="582"/>
      <c r="Z798" s="582"/>
      <c r="AA798" s="582"/>
      <c r="AB798" s="582"/>
      <c r="AC798" s="582"/>
      <c r="AD798" s="582"/>
      <c r="AE798" s="582"/>
      <c r="AF798" s="1069"/>
    </row>
    <row r="799">
      <c r="A799" s="582"/>
      <c r="B799" s="582"/>
      <c r="C799" s="582"/>
      <c r="D799" s="582"/>
      <c r="E799" s="582"/>
      <c r="F799" s="582"/>
      <c r="G799" s="582"/>
      <c r="H799" s="582"/>
      <c r="I799" s="582"/>
      <c r="J799" s="582"/>
      <c r="K799" s="582"/>
      <c r="L799" s="582"/>
      <c r="M799" s="582"/>
      <c r="N799" s="582"/>
      <c r="O799" s="582"/>
      <c r="P799" s="582"/>
      <c r="Q799" s="582"/>
      <c r="R799" s="582"/>
      <c r="S799" s="582"/>
      <c r="T799" s="582"/>
      <c r="U799" s="582"/>
      <c r="V799" s="582"/>
      <c r="W799" s="582"/>
      <c r="X799" s="582"/>
      <c r="Y799" s="582"/>
      <c r="Z799" s="582"/>
      <c r="AA799" s="582"/>
      <c r="AB799" s="582"/>
      <c r="AC799" s="582"/>
      <c r="AD799" s="582"/>
      <c r="AE799" s="582"/>
      <c r="AF799" s="1069"/>
    </row>
    <row r="800">
      <c r="A800" s="582"/>
      <c r="B800" s="582"/>
      <c r="C800" s="582"/>
      <c r="D800" s="582"/>
      <c r="E800" s="582"/>
      <c r="F800" s="582"/>
      <c r="G800" s="582"/>
      <c r="H800" s="582"/>
      <c r="I800" s="582"/>
      <c r="J800" s="582"/>
      <c r="K800" s="582"/>
      <c r="L800" s="582"/>
      <c r="M800" s="582"/>
      <c r="N800" s="582"/>
      <c r="O800" s="582"/>
      <c r="P800" s="582"/>
      <c r="Q800" s="582"/>
      <c r="R800" s="582"/>
      <c r="S800" s="582"/>
      <c r="T800" s="582"/>
      <c r="U800" s="582"/>
      <c r="V800" s="582"/>
      <c r="W800" s="582"/>
      <c r="X800" s="582"/>
      <c r="Y800" s="582"/>
      <c r="Z800" s="582"/>
      <c r="AA800" s="582"/>
      <c r="AB800" s="582"/>
      <c r="AC800" s="582"/>
      <c r="AD800" s="582"/>
      <c r="AE800" s="582"/>
      <c r="AF800" s="1069"/>
    </row>
    <row r="801">
      <c r="A801" s="582"/>
      <c r="B801" s="582"/>
      <c r="C801" s="582"/>
      <c r="D801" s="582"/>
      <c r="E801" s="582"/>
      <c r="F801" s="582"/>
      <c r="G801" s="582"/>
      <c r="H801" s="582"/>
      <c r="I801" s="582"/>
      <c r="J801" s="582"/>
      <c r="K801" s="582"/>
      <c r="L801" s="582"/>
      <c r="M801" s="582"/>
      <c r="N801" s="582"/>
      <c r="O801" s="582"/>
      <c r="P801" s="582"/>
      <c r="Q801" s="582"/>
      <c r="R801" s="582"/>
      <c r="S801" s="582"/>
      <c r="T801" s="582"/>
      <c r="U801" s="582"/>
      <c r="V801" s="582"/>
      <c r="W801" s="582"/>
      <c r="X801" s="582"/>
      <c r="Y801" s="582"/>
      <c r="Z801" s="582"/>
      <c r="AA801" s="582"/>
      <c r="AB801" s="582"/>
      <c r="AC801" s="582"/>
      <c r="AD801" s="582"/>
      <c r="AE801" s="582"/>
      <c r="AF801" s="1069"/>
    </row>
    <row r="802">
      <c r="A802" s="582"/>
      <c r="B802" s="582"/>
      <c r="C802" s="582"/>
      <c r="D802" s="582"/>
      <c r="E802" s="582"/>
      <c r="F802" s="582"/>
      <c r="G802" s="582"/>
      <c r="H802" s="582"/>
      <c r="I802" s="582"/>
      <c r="J802" s="582"/>
      <c r="K802" s="582"/>
      <c r="L802" s="582"/>
      <c r="M802" s="582"/>
      <c r="N802" s="582"/>
      <c r="O802" s="582"/>
      <c r="P802" s="582"/>
      <c r="Q802" s="582"/>
      <c r="R802" s="582"/>
      <c r="S802" s="582"/>
      <c r="T802" s="582"/>
      <c r="U802" s="582"/>
      <c r="V802" s="582"/>
      <c r="W802" s="582"/>
      <c r="X802" s="582"/>
      <c r="Y802" s="582"/>
      <c r="Z802" s="582"/>
      <c r="AA802" s="582"/>
      <c r="AB802" s="582"/>
      <c r="AC802" s="582"/>
      <c r="AD802" s="582"/>
      <c r="AE802" s="582"/>
      <c r="AF802" s="1069"/>
    </row>
    <row r="803">
      <c r="A803" s="582"/>
      <c r="B803" s="582"/>
      <c r="C803" s="582"/>
      <c r="D803" s="582"/>
      <c r="E803" s="582"/>
      <c r="F803" s="582"/>
      <c r="G803" s="582"/>
      <c r="H803" s="582"/>
      <c r="I803" s="582"/>
      <c r="J803" s="582"/>
      <c r="K803" s="582"/>
      <c r="L803" s="582"/>
      <c r="M803" s="582"/>
      <c r="N803" s="582"/>
      <c r="O803" s="582"/>
      <c r="P803" s="582"/>
      <c r="Q803" s="582"/>
      <c r="R803" s="582"/>
      <c r="S803" s="582"/>
      <c r="T803" s="582"/>
      <c r="U803" s="582"/>
      <c r="V803" s="582"/>
      <c r="W803" s="582"/>
      <c r="X803" s="582"/>
      <c r="Y803" s="582"/>
      <c r="Z803" s="582"/>
      <c r="AA803" s="582"/>
      <c r="AB803" s="582"/>
      <c r="AC803" s="582"/>
      <c r="AD803" s="582"/>
      <c r="AE803" s="582"/>
      <c r="AF803" s="1069"/>
    </row>
    <row r="804">
      <c r="A804" s="582"/>
      <c r="B804" s="582"/>
      <c r="C804" s="582"/>
      <c r="D804" s="582"/>
      <c r="E804" s="582"/>
      <c r="F804" s="582"/>
      <c r="G804" s="582"/>
      <c r="H804" s="582"/>
      <c r="I804" s="582"/>
      <c r="J804" s="582"/>
      <c r="K804" s="582"/>
      <c r="L804" s="582"/>
      <c r="M804" s="582"/>
      <c r="N804" s="582"/>
      <c r="O804" s="582"/>
      <c r="P804" s="582"/>
      <c r="Q804" s="582"/>
      <c r="R804" s="582"/>
      <c r="S804" s="582"/>
      <c r="T804" s="582"/>
      <c r="U804" s="582"/>
      <c r="V804" s="582"/>
      <c r="W804" s="582"/>
      <c r="X804" s="582"/>
      <c r="Y804" s="582"/>
      <c r="Z804" s="582"/>
      <c r="AA804" s="582"/>
      <c r="AB804" s="582"/>
      <c r="AC804" s="582"/>
      <c r="AD804" s="582"/>
      <c r="AE804" s="582"/>
      <c r="AF804" s="1069"/>
    </row>
    <row r="805">
      <c r="A805" s="582"/>
      <c r="B805" s="582"/>
      <c r="C805" s="582"/>
      <c r="D805" s="582"/>
      <c r="E805" s="582"/>
      <c r="F805" s="582"/>
      <c r="G805" s="582"/>
      <c r="H805" s="582"/>
      <c r="I805" s="582"/>
      <c r="J805" s="582"/>
      <c r="K805" s="582"/>
      <c r="L805" s="582"/>
      <c r="M805" s="582"/>
      <c r="N805" s="582"/>
      <c r="O805" s="582"/>
      <c r="P805" s="582"/>
      <c r="Q805" s="582"/>
      <c r="R805" s="582"/>
      <c r="S805" s="582"/>
      <c r="T805" s="582"/>
      <c r="U805" s="582"/>
      <c r="V805" s="582"/>
      <c r="W805" s="582"/>
      <c r="X805" s="582"/>
      <c r="Y805" s="582"/>
      <c r="Z805" s="582"/>
      <c r="AA805" s="582"/>
      <c r="AB805" s="582"/>
      <c r="AC805" s="582"/>
      <c r="AD805" s="582"/>
      <c r="AE805" s="582"/>
      <c r="AF805" s="1069"/>
    </row>
    <row r="806">
      <c r="A806" s="582"/>
      <c r="B806" s="582"/>
      <c r="C806" s="582"/>
      <c r="D806" s="582"/>
      <c r="E806" s="582"/>
      <c r="F806" s="582"/>
      <c r="G806" s="582"/>
      <c r="H806" s="582"/>
      <c r="I806" s="582"/>
      <c r="J806" s="582"/>
      <c r="K806" s="582"/>
      <c r="L806" s="582"/>
      <c r="M806" s="582"/>
      <c r="N806" s="582"/>
      <c r="O806" s="582"/>
      <c r="P806" s="582"/>
      <c r="Q806" s="582"/>
      <c r="R806" s="582"/>
      <c r="S806" s="582"/>
      <c r="T806" s="582"/>
      <c r="U806" s="582"/>
      <c r="V806" s="582"/>
      <c r="W806" s="582"/>
      <c r="X806" s="582"/>
      <c r="Y806" s="582"/>
      <c r="Z806" s="582"/>
      <c r="AA806" s="582"/>
      <c r="AB806" s="582"/>
      <c r="AC806" s="582"/>
      <c r="AD806" s="582"/>
      <c r="AE806" s="582"/>
      <c r="AF806" s="1069"/>
    </row>
    <row r="807">
      <c r="A807" s="582"/>
      <c r="B807" s="582"/>
      <c r="C807" s="582"/>
      <c r="D807" s="582"/>
      <c r="E807" s="582"/>
      <c r="F807" s="582"/>
      <c r="G807" s="582"/>
      <c r="H807" s="582"/>
      <c r="I807" s="582"/>
      <c r="J807" s="582"/>
      <c r="K807" s="582"/>
      <c r="L807" s="582"/>
      <c r="M807" s="582"/>
      <c r="N807" s="582"/>
      <c r="O807" s="582"/>
      <c r="P807" s="582"/>
      <c r="Q807" s="582"/>
      <c r="R807" s="582"/>
      <c r="S807" s="582"/>
      <c r="T807" s="582"/>
      <c r="U807" s="582"/>
      <c r="V807" s="582"/>
      <c r="W807" s="582"/>
      <c r="X807" s="582"/>
      <c r="Y807" s="582"/>
      <c r="Z807" s="582"/>
      <c r="AA807" s="582"/>
      <c r="AB807" s="582"/>
      <c r="AC807" s="582"/>
      <c r="AD807" s="582"/>
      <c r="AE807" s="582"/>
      <c r="AF807" s="1069"/>
    </row>
    <row r="808">
      <c r="A808" s="582"/>
      <c r="B808" s="582"/>
      <c r="C808" s="582"/>
      <c r="D808" s="582"/>
      <c r="E808" s="582"/>
      <c r="F808" s="582"/>
      <c r="G808" s="582"/>
      <c r="H808" s="582"/>
      <c r="I808" s="582"/>
      <c r="J808" s="582"/>
      <c r="K808" s="582"/>
      <c r="L808" s="582"/>
      <c r="M808" s="582"/>
      <c r="N808" s="582"/>
      <c r="O808" s="582"/>
      <c r="P808" s="582"/>
      <c r="Q808" s="582"/>
      <c r="R808" s="582"/>
      <c r="S808" s="582"/>
      <c r="T808" s="582"/>
      <c r="U808" s="582"/>
      <c r="V808" s="582"/>
      <c r="W808" s="582"/>
      <c r="X808" s="582"/>
      <c r="Y808" s="582"/>
      <c r="Z808" s="582"/>
      <c r="AA808" s="582"/>
      <c r="AB808" s="582"/>
      <c r="AC808" s="582"/>
      <c r="AD808" s="582"/>
      <c r="AE808" s="582"/>
      <c r="AF808" s="1069"/>
    </row>
    <row r="809">
      <c r="A809" s="582"/>
      <c r="B809" s="582"/>
      <c r="C809" s="582"/>
      <c r="D809" s="582"/>
      <c r="E809" s="582"/>
      <c r="F809" s="582"/>
      <c r="G809" s="582"/>
      <c r="H809" s="582"/>
      <c r="I809" s="582"/>
      <c r="J809" s="582"/>
      <c r="K809" s="582"/>
      <c r="L809" s="582"/>
      <c r="M809" s="582"/>
      <c r="N809" s="582"/>
      <c r="O809" s="582"/>
      <c r="P809" s="582"/>
      <c r="Q809" s="582"/>
      <c r="R809" s="582"/>
      <c r="S809" s="582"/>
      <c r="T809" s="582"/>
      <c r="U809" s="582"/>
      <c r="V809" s="582"/>
      <c r="W809" s="582"/>
      <c r="X809" s="582"/>
      <c r="Y809" s="582"/>
      <c r="Z809" s="582"/>
      <c r="AA809" s="582"/>
      <c r="AB809" s="582"/>
      <c r="AC809" s="582"/>
      <c r="AD809" s="582"/>
      <c r="AE809" s="582"/>
      <c r="AF809" s="1069"/>
    </row>
    <row r="810">
      <c r="A810" s="582"/>
      <c r="B810" s="582"/>
      <c r="C810" s="582"/>
      <c r="D810" s="582"/>
      <c r="E810" s="582"/>
      <c r="F810" s="582"/>
      <c r="G810" s="582"/>
      <c r="H810" s="582"/>
      <c r="I810" s="582"/>
      <c r="J810" s="582"/>
      <c r="K810" s="582"/>
      <c r="L810" s="582"/>
      <c r="M810" s="582"/>
      <c r="N810" s="582"/>
      <c r="O810" s="582"/>
      <c r="P810" s="582"/>
      <c r="Q810" s="582"/>
      <c r="R810" s="582"/>
      <c r="S810" s="582"/>
      <c r="T810" s="582"/>
      <c r="U810" s="582"/>
      <c r="V810" s="582"/>
      <c r="W810" s="582"/>
      <c r="X810" s="582"/>
      <c r="Y810" s="582"/>
      <c r="Z810" s="582"/>
      <c r="AA810" s="582"/>
      <c r="AB810" s="582"/>
      <c r="AC810" s="582"/>
      <c r="AD810" s="582"/>
      <c r="AE810" s="582"/>
      <c r="AF810" s="1069"/>
    </row>
    <row r="811">
      <c r="A811" s="582"/>
      <c r="B811" s="582"/>
      <c r="C811" s="582"/>
      <c r="D811" s="582"/>
      <c r="E811" s="582"/>
      <c r="F811" s="582"/>
      <c r="G811" s="582"/>
      <c r="H811" s="582"/>
      <c r="I811" s="582"/>
      <c r="J811" s="582"/>
      <c r="K811" s="582"/>
      <c r="L811" s="582"/>
      <c r="M811" s="582"/>
      <c r="N811" s="582"/>
      <c r="O811" s="582"/>
      <c r="P811" s="582"/>
      <c r="Q811" s="582"/>
      <c r="R811" s="582"/>
      <c r="S811" s="582"/>
      <c r="T811" s="582"/>
      <c r="U811" s="582"/>
      <c r="V811" s="582"/>
      <c r="W811" s="582"/>
      <c r="X811" s="582"/>
      <c r="Y811" s="582"/>
      <c r="Z811" s="582"/>
      <c r="AA811" s="582"/>
      <c r="AB811" s="582"/>
      <c r="AC811" s="582"/>
      <c r="AD811" s="582"/>
      <c r="AE811" s="582"/>
      <c r="AF811" s="1069"/>
    </row>
    <row r="812">
      <c r="A812" s="582"/>
      <c r="B812" s="582"/>
      <c r="C812" s="582"/>
      <c r="D812" s="582"/>
      <c r="E812" s="582"/>
      <c r="F812" s="582"/>
      <c r="G812" s="582"/>
      <c r="H812" s="582"/>
      <c r="I812" s="582"/>
      <c r="J812" s="582"/>
      <c r="K812" s="582"/>
      <c r="L812" s="582"/>
      <c r="M812" s="582"/>
      <c r="N812" s="582"/>
      <c r="O812" s="582"/>
      <c r="P812" s="582"/>
      <c r="Q812" s="582"/>
      <c r="R812" s="582"/>
      <c r="S812" s="582"/>
      <c r="T812" s="582"/>
      <c r="U812" s="582"/>
      <c r="V812" s="582"/>
      <c r="W812" s="582"/>
      <c r="X812" s="582"/>
      <c r="Y812" s="582"/>
      <c r="Z812" s="582"/>
      <c r="AA812" s="582"/>
      <c r="AB812" s="582"/>
      <c r="AC812" s="582"/>
      <c r="AD812" s="582"/>
      <c r="AE812" s="582"/>
      <c r="AF812" s="1069"/>
    </row>
    <row r="813">
      <c r="A813" s="582"/>
      <c r="B813" s="582"/>
      <c r="C813" s="582"/>
      <c r="D813" s="582"/>
      <c r="E813" s="582"/>
      <c r="F813" s="582"/>
      <c r="G813" s="582"/>
      <c r="H813" s="582"/>
      <c r="I813" s="582"/>
      <c r="J813" s="582"/>
      <c r="K813" s="582"/>
      <c r="L813" s="582"/>
      <c r="M813" s="582"/>
      <c r="N813" s="582"/>
      <c r="O813" s="582"/>
      <c r="P813" s="582"/>
      <c r="Q813" s="582"/>
      <c r="R813" s="582"/>
      <c r="S813" s="582"/>
      <c r="T813" s="582"/>
      <c r="U813" s="582"/>
      <c r="V813" s="582"/>
      <c r="W813" s="582"/>
      <c r="X813" s="582"/>
      <c r="Y813" s="582"/>
      <c r="Z813" s="582"/>
      <c r="AA813" s="582"/>
      <c r="AB813" s="582"/>
      <c r="AC813" s="582"/>
      <c r="AD813" s="582"/>
      <c r="AE813" s="582"/>
      <c r="AF813" s="1069"/>
    </row>
    <row r="814">
      <c r="A814" s="582"/>
      <c r="B814" s="582"/>
      <c r="C814" s="582"/>
      <c r="D814" s="582"/>
      <c r="E814" s="582"/>
      <c r="F814" s="582"/>
      <c r="G814" s="582"/>
      <c r="H814" s="582"/>
      <c r="I814" s="582"/>
      <c r="J814" s="582"/>
      <c r="K814" s="582"/>
      <c r="L814" s="582"/>
      <c r="M814" s="582"/>
      <c r="N814" s="582"/>
      <c r="O814" s="582"/>
      <c r="P814" s="582"/>
      <c r="Q814" s="582"/>
      <c r="R814" s="582"/>
      <c r="S814" s="582"/>
      <c r="T814" s="582"/>
      <c r="U814" s="582"/>
      <c r="V814" s="582"/>
      <c r="W814" s="582"/>
      <c r="X814" s="582"/>
      <c r="Y814" s="582"/>
      <c r="Z814" s="582"/>
      <c r="AA814" s="582"/>
      <c r="AB814" s="582"/>
      <c r="AC814" s="582"/>
      <c r="AD814" s="582"/>
      <c r="AE814" s="582"/>
      <c r="AF814" s="1069"/>
    </row>
    <row r="815">
      <c r="A815" s="582"/>
      <c r="B815" s="582"/>
      <c r="C815" s="582"/>
      <c r="D815" s="582"/>
      <c r="E815" s="582"/>
      <c r="F815" s="582"/>
      <c r="G815" s="582"/>
      <c r="H815" s="582"/>
      <c r="I815" s="582"/>
      <c r="J815" s="582"/>
      <c r="K815" s="582"/>
      <c r="L815" s="582"/>
      <c r="M815" s="582"/>
      <c r="N815" s="582"/>
      <c r="O815" s="582"/>
      <c r="P815" s="582"/>
      <c r="Q815" s="582"/>
      <c r="R815" s="582"/>
      <c r="S815" s="582"/>
      <c r="T815" s="582"/>
      <c r="U815" s="582"/>
      <c r="V815" s="582"/>
      <c r="W815" s="582"/>
      <c r="X815" s="582"/>
      <c r="Y815" s="582"/>
      <c r="Z815" s="582"/>
      <c r="AA815" s="582"/>
      <c r="AB815" s="582"/>
      <c r="AC815" s="582"/>
      <c r="AD815" s="582"/>
      <c r="AE815" s="582"/>
      <c r="AF815" s="1069"/>
    </row>
    <row r="816">
      <c r="A816" s="582"/>
      <c r="B816" s="582"/>
      <c r="C816" s="582"/>
      <c r="D816" s="582"/>
      <c r="E816" s="582"/>
      <c r="F816" s="582"/>
      <c r="G816" s="582"/>
      <c r="H816" s="582"/>
      <c r="I816" s="582"/>
      <c r="J816" s="582"/>
      <c r="K816" s="582"/>
      <c r="L816" s="582"/>
      <c r="M816" s="582"/>
      <c r="N816" s="582"/>
      <c r="O816" s="582"/>
      <c r="P816" s="582"/>
      <c r="Q816" s="582"/>
      <c r="R816" s="582"/>
      <c r="S816" s="582"/>
      <c r="T816" s="582"/>
      <c r="U816" s="582"/>
      <c r="V816" s="582"/>
      <c r="W816" s="582"/>
      <c r="X816" s="582"/>
      <c r="Y816" s="582"/>
      <c r="Z816" s="582"/>
      <c r="AA816" s="582"/>
      <c r="AB816" s="582"/>
      <c r="AC816" s="582"/>
      <c r="AD816" s="582"/>
      <c r="AE816" s="582"/>
      <c r="AF816" s="1069"/>
    </row>
    <row r="817">
      <c r="A817" s="582"/>
      <c r="B817" s="582"/>
      <c r="C817" s="582"/>
      <c r="D817" s="582"/>
      <c r="E817" s="582"/>
      <c r="F817" s="582"/>
      <c r="G817" s="582"/>
      <c r="H817" s="582"/>
      <c r="I817" s="582"/>
      <c r="J817" s="582"/>
      <c r="K817" s="582"/>
      <c r="L817" s="582"/>
      <c r="M817" s="582"/>
      <c r="N817" s="582"/>
      <c r="O817" s="582"/>
      <c r="P817" s="582"/>
      <c r="Q817" s="582"/>
      <c r="R817" s="582"/>
      <c r="S817" s="582"/>
      <c r="T817" s="582"/>
      <c r="U817" s="582"/>
      <c r="V817" s="582"/>
      <c r="W817" s="582"/>
      <c r="X817" s="582"/>
      <c r="Y817" s="582"/>
      <c r="Z817" s="582"/>
      <c r="AA817" s="582"/>
      <c r="AB817" s="582"/>
      <c r="AC817" s="582"/>
      <c r="AD817" s="582"/>
      <c r="AE817" s="582"/>
      <c r="AF817" s="1069"/>
    </row>
    <row r="818">
      <c r="A818" s="582"/>
      <c r="B818" s="582"/>
      <c r="C818" s="582"/>
      <c r="D818" s="582"/>
      <c r="E818" s="582"/>
      <c r="F818" s="582"/>
      <c r="G818" s="582"/>
      <c r="H818" s="582"/>
      <c r="I818" s="582"/>
      <c r="J818" s="582"/>
      <c r="K818" s="582"/>
      <c r="L818" s="582"/>
      <c r="M818" s="582"/>
      <c r="N818" s="582"/>
      <c r="O818" s="582"/>
      <c r="P818" s="582"/>
      <c r="Q818" s="582"/>
      <c r="R818" s="582"/>
      <c r="S818" s="582"/>
      <c r="T818" s="582"/>
      <c r="U818" s="582"/>
      <c r="V818" s="582"/>
      <c r="W818" s="582"/>
      <c r="X818" s="582"/>
      <c r="Y818" s="582"/>
      <c r="Z818" s="582"/>
      <c r="AA818" s="582"/>
      <c r="AB818" s="582"/>
      <c r="AC818" s="582"/>
      <c r="AD818" s="582"/>
      <c r="AE818" s="582"/>
      <c r="AF818" s="1069"/>
    </row>
    <row r="819">
      <c r="A819" s="582"/>
      <c r="B819" s="582"/>
      <c r="C819" s="582"/>
      <c r="D819" s="582"/>
      <c r="E819" s="582"/>
      <c r="F819" s="582"/>
      <c r="G819" s="582"/>
      <c r="H819" s="582"/>
      <c r="I819" s="582"/>
      <c r="J819" s="582"/>
      <c r="K819" s="582"/>
      <c r="L819" s="582"/>
      <c r="M819" s="582"/>
      <c r="N819" s="582"/>
      <c r="O819" s="582"/>
      <c r="P819" s="582"/>
      <c r="Q819" s="582"/>
      <c r="R819" s="582"/>
      <c r="S819" s="582"/>
      <c r="T819" s="582"/>
      <c r="U819" s="582"/>
      <c r="V819" s="582"/>
      <c r="W819" s="582"/>
      <c r="X819" s="582"/>
      <c r="Y819" s="582"/>
      <c r="Z819" s="582"/>
      <c r="AA819" s="582"/>
      <c r="AB819" s="582"/>
      <c r="AC819" s="582"/>
      <c r="AD819" s="582"/>
      <c r="AE819" s="582"/>
      <c r="AF819" s="1069"/>
    </row>
    <row r="820">
      <c r="A820" s="582"/>
      <c r="B820" s="582"/>
      <c r="C820" s="582"/>
      <c r="D820" s="582"/>
      <c r="E820" s="582"/>
      <c r="F820" s="582"/>
      <c r="G820" s="582"/>
      <c r="H820" s="582"/>
      <c r="I820" s="582"/>
      <c r="J820" s="582"/>
      <c r="K820" s="582"/>
      <c r="L820" s="582"/>
      <c r="M820" s="582"/>
      <c r="N820" s="582"/>
      <c r="O820" s="582"/>
      <c r="P820" s="582"/>
      <c r="Q820" s="582"/>
      <c r="R820" s="582"/>
      <c r="S820" s="582"/>
      <c r="T820" s="582"/>
      <c r="U820" s="582"/>
      <c r="V820" s="582"/>
      <c r="W820" s="582"/>
      <c r="X820" s="582"/>
      <c r="Y820" s="582"/>
      <c r="Z820" s="582"/>
      <c r="AA820" s="582"/>
      <c r="AB820" s="582"/>
      <c r="AC820" s="582"/>
      <c r="AD820" s="582"/>
      <c r="AE820" s="582"/>
      <c r="AF820" s="1069"/>
    </row>
    <row r="821">
      <c r="A821" s="582"/>
      <c r="B821" s="582"/>
      <c r="C821" s="582"/>
      <c r="D821" s="582"/>
      <c r="E821" s="582"/>
      <c r="F821" s="582"/>
      <c r="G821" s="582"/>
      <c r="H821" s="582"/>
      <c r="I821" s="582"/>
      <c r="J821" s="582"/>
      <c r="K821" s="582"/>
      <c r="L821" s="582"/>
      <c r="M821" s="582"/>
      <c r="N821" s="582"/>
      <c r="O821" s="582"/>
      <c r="P821" s="582"/>
      <c r="Q821" s="582"/>
      <c r="R821" s="582"/>
      <c r="S821" s="582"/>
      <c r="T821" s="582"/>
      <c r="U821" s="582"/>
      <c r="V821" s="582"/>
      <c r="W821" s="582"/>
      <c r="X821" s="582"/>
      <c r="Y821" s="582"/>
      <c r="Z821" s="582"/>
      <c r="AA821" s="582"/>
      <c r="AB821" s="582"/>
      <c r="AC821" s="582"/>
      <c r="AD821" s="582"/>
      <c r="AE821" s="582"/>
      <c r="AF821" s="1069"/>
    </row>
    <row r="822">
      <c r="A822" s="582"/>
      <c r="B822" s="582"/>
      <c r="C822" s="582"/>
      <c r="D822" s="582"/>
      <c r="E822" s="582"/>
      <c r="F822" s="582"/>
      <c r="G822" s="582"/>
      <c r="H822" s="582"/>
      <c r="I822" s="582"/>
      <c r="J822" s="582"/>
      <c r="K822" s="582"/>
      <c r="L822" s="582"/>
      <c r="M822" s="582"/>
      <c r="N822" s="582"/>
      <c r="O822" s="582"/>
      <c r="P822" s="582"/>
      <c r="Q822" s="582"/>
      <c r="R822" s="582"/>
      <c r="S822" s="582"/>
      <c r="T822" s="582"/>
      <c r="U822" s="582"/>
      <c r="V822" s="582"/>
      <c r="W822" s="582"/>
      <c r="X822" s="582"/>
      <c r="Y822" s="582"/>
      <c r="Z822" s="582"/>
      <c r="AA822" s="582"/>
      <c r="AB822" s="582"/>
      <c r="AC822" s="582"/>
      <c r="AD822" s="582"/>
      <c r="AE822" s="582"/>
      <c r="AF822" s="1069"/>
    </row>
    <row r="823">
      <c r="A823" s="582"/>
      <c r="B823" s="582"/>
      <c r="C823" s="582"/>
      <c r="D823" s="582"/>
      <c r="E823" s="582"/>
      <c r="F823" s="582"/>
      <c r="G823" s="582"/>
      <c r="H823" s="582"/>
      <c r="I823" s="582"/>
      <c r="J823" s="582"/>
      <c r="K823" s="582"/>
      <c r="L823" s="582"/>
      <c r="M823" s="582"/>
      <c r="N823" s="582"/>
      <c r="O823" s="582"/>
      <c r="P823" s="582"/>
      <c r="Q823" s="582"/>
      <c r="R823" s="582"/>
      <c r="S823" s="582"/>
      <c r="T823" s="582"/>
      <c r="U823" s="582"/>
      <c r="V823" s="582"/>
      <c r="W823" s="582"/>
      <c r="X823" s="582"/>
      <c r="Y823" s="582"/>
      <c r="Z823" s="582"/>
      <c r="AA823" s="582"/>
      <c r="AB823" s="582"/>
      <c r="AC823" s="582"/>
      <c r="AD823" s="582"/>
      <c r="AE823" s="582"/>
      <c r="AF823" s="1069"/>
    </row>
    <row r="824">
      <c r="A824" s="582"/>
      <c r="B824" s="582"/>
      <c r="C824" s="582"/>
      <c r="D824" s="582"/>
      <c r="E824" s="582"/>
      <c r="F824" s="582"/>
      <c r="G824" s="582"/>
      <c r="H824" s="582"/>
      <c r="I824" s="582"/>
      <c r="J824" s="582"/>
      <c r="K824" s="582"/>
      <c r="L824" s="582"/>
      <c r="M824" s="582"/>
      <c r="N824" s="582"/>
      <c r="O824" s="582"/>
      <c r="P824" s="582"/>
      <c r="Q824" s="582"/>
      <c r="R824" s="582"/>
      <c r="S824" s="582"/>
      <c r="T824" s="582"/>
      <c r="U824" s="582"/>
      <c r="V824" s="582"/>
      <c r="W824" s="582"/>
      <c r="X824" s="582"/>
      <c r="Y824" s="582"/>
      <c r="Z824" s="582"/>
      <c r="AA824" s="582"/>
      <c r="AB824" s="582"/>
      <c r="AC824" s="582"/>
      <c r="AD824" s="582"/>
      <c r="AE824" s="582"/>
      <c r="AF824" s="1069"/>
    </row>
    <row r="825">
      <c r="A825" s="582"/>
      <c r="B825" s="582"/>
      <c r="C825" s="582"/>
      <c r="D825" s="582"/>
      <c r="E825" s="582"/>
      <c r="F825" s="582"/>
      <c r="G825" s="582"/>
      <c r="H825" s="582"/>
      <c r="I825" s="582"/>
      <c r="J825" s="582"/>
      <c r="K825" s="582"/>
      <c r="L825" s="582"/>
      <c r="M825" s="582"/>
      <c r="N825" s="582"/>
      <c r="O825" s="582"/>
      <c r="P825" s="582"/>
      <c r="Q825" s="582"/>
      <c r="R825" s="582"/>
      <c r="S825" s="582"/>
      <c r="T825" s="582"/>
      <c r="U825" s="582"/>
      <c r="V825" s="582"/>
      <c r="W825" s="582"/>
      <c r="X825" s="582"/>
      <c r="Y825" s="582"/>
      <c r="Z825" s="582"/>
      <c r="AA825" s="582"/>
      <c r="AB825" s="582"/>
      <c r="AC825" s="582"/>
      <c r="AD825" s="582"/>
      <c r="AE825" s="582"/>
      <c r="AF825" s="1069"/>
    </row>
    <row r="826">
      <c r="A826" s="582"/>
      <c r="B826" s="582"/>
      <c r="C826" s="582"/>
      <c r="D826" s="582"/>
      <c r="E826" s="582"/>
      <c r="F826" s="582"/>
      <c r="G826" s="582"/>
      <c r="H826" s="582"/>
      <c r="I826" s="582"/>
      <c r="J826" s="582"/>
      <c r="K826" s="582"/>
      <c r="L826" s="582"/>
      <c r="M826" s="582"/>
      <c r="N826" s="582"/>
      <c r="O826" s="582"/>
      <c r="P826" s="582"/>
      <c r="Q826" s="582"/>
      <c r="R826" s="582"/>
      <c r="S826" s="582"/>
      <c r="T826" s="582"/>
      <c r="U826" s="582"/>
      <c r="V826" s="582"/>
      <c r="W826" s="582"/>
      <c r="X826" s="582"/>
      <c r="Y826" s="582"/>
      <c r="Z826" s="582"/>
      <c r="AA826" s="582"/>
      <c r="AB826" s="582"/>
      <c r="AC826" s="582"/>
      <c r="AD826" s="582"/>
      <c r="AE826" s="582"/>
      <c r="AF826" s="1069"/>
    </row>
    <row r="827">
      <c r="A827" s="582"/>
      <c r="B827" s="582"/>
      <c r="C827" s="582"/>
      <c r="D827" s="582"/>
      <c r="E827" s="582"/>
      <c r="F827" s="582"/>
      <c r="G827" s="582"/>
      <c r="H827" s="582"/>
      <c r="I827" s="582"/>
      <c r="J827" s="582"/>
      <c r="K827" s="582"/>
      <c r="L827" s="582"/>
      <c r="M827" s="582"/>
      <c r="N827" s="582"/>
      <c r="O827" s="582"/>
      <c r="P827" s="582"/>
      <c r="Q827" s="582"/>
      <c r="R827" s="582"/>
      <c r="S827" s="582"/>
      <c r="T827" s="582"/>
      <c r="U827" s="582"/>
      <c r="V827" s="582"/>
      <c r="W827" s="582"/>
      <c r="X827" s="582"/>
      <c r="Y827" s="582"/>
      <c r="Z827" s="582"/>
      <c r="AA827" s="582"/>
      <c r="AB827" s="582"/>
      <c r="AC827" s="582"/>
      <c r="AD827" s="582"/>
      <c r="AE827" s="582"/>
      <c r="AF827" s="1069"/>
    </row>
    <row r="828">
      <c r="A828" s="582"/>
      <c r="B828" s="582"/>
      <c r="C828" s="582"/>
      <c r="D828" s="582"/>
      <c r="E828" s="582"/>
      <c r="F828" s="582"/>
      <c r="G828" s="582"/>
      <c r="H828" s="582"/>
      <c r="I828" s="582"/>
      <c r="J828" s="582"/>
      <c r="K828" s="582"/>
      <c r="L828" s="582"/>
      <c r="M828" s="582"/>
      <c r="N828" s="582"/>
      <c r="O828" s="582"/>
      <c r="P828" s="582"/>
      <c r="Q828" s="582"/>
      <c r="R828" s="582"/>
      <c r="S828" s="582"/>
      <c r="T828" s="582"/>
      <c r="U828" s="582"/>
      <c r="V828" s="582"/>
      <c r="W828" s="582"/>
      <c r="X828" s="582"/>
      <c r="Y828" s="582"/>
      <c r="Z828" s="582"/>
      <c r="AA828" s="582"/>
      <c r="AB828" s="582"/>
      <c r="AC828" s="582"/>
      <c r="AD828" s="582"/>
      <c r="AE828" s="582"/>
      <c r="AF828" s="1069"/>
    </row>
    <row r="829">
      <c r="A829" s="582"/>
      <c r="B829" s="582"/>
      <c r="C829" s="582"/>
      <c r="D829" s="582"/>
      <c r="E829" s="582"/>
      <c r="F829" s="582"/>
      <c r="G829" s="582"/>
      <c r="H829" s="582"/>
      <c r="I829" s="582"/>
      <c r="J829" s="582"/>
      <c r="K829" s="582"/>
      <c r="L829" s="582"/>
      <c r="M829" s="582"/>
      <c r="N829" s="582"/>
      <c r="O829" s="582"/>
      <c r="P829" s="582"/>
      <c r="Q829" s="582"/>
      <c r="R829" s="582"/>
      <c r="S829" s="582"/>
      <c r="T829" s="582"/>
      <c r="U829" s="582"/>
      <c r="V829" s="582"/>
      <c r="W829" s="582"/>
      <c r="X829" s="582"/>
      <c r="Y829" s="582"/>
      <c r="Z829" s="582"/>
      <c r="AA829" s="582"/>
      <c r="AB829" s="582"/>
      <c r="AC829" s="582"/>
      <c r="AD829" s="582"/>
      <c r="AE829" s="582"/>
      <c r="AF829" s="1069"/>
    </row>
    <row r="830">
      <c r="A830" s="582"/>
      <c r="B830" s="582"/>
      <c r="C830" s="582"/>
      <c r="D830" s="582"/>
      <c r="E830" s="582"/>
      <c r="F830" s="582"/>
      <c r="G830" s="582"/>
      <c r="H830" s="582"/>
      <c r="I830" s="582"/>
      <c r="J830" s="582"/>
      <c r="K830" s="582"/>
      <c r="L830" s="582"/>
      <c r="M830" s="582"/>
      <c r="N830" s="582"/>
      <c r="O830" s="582"/>
      <c r="P830" s="582"/>
      <c r="Q830" s="582"/>
      <c r="R830" s="582"/>
      <c r="S830" s="582"/>
      <c r="T830" s="582"/>
      <c r="U830" s="582"/>
      <c r="V830" s="582"/>
      <c r="W830" s="582"/>
      <c r="X830" s="582"/>
      <c r="Y830" s="582"/>
      <c r="Z830" s="582"/>
      <c r="AA830" s="582"/>
      <c r="AB830" s="582"/>
      <c r="AC830" s="582"/>
      <c r="AD830" s="582"/>
      <c r="AE830" s="582"/>
      <c r="AF830" s="1069"/>
    </row>
    <row r="831">
      <c r="A831" s="582"/>
      <c r="B831" s="582"/>
      <c r="C831" s="582"/>
      <c r="D831" s="582"/>
      <c r="E831" s="582"/>
      <c r="F831" s="582"/>
      <c r="G831" s="582"/>
      <c r="H831" s="582"/>
      <c r="I831" s="582"/>
      <c r="J831" s="582"/>
      <c r="K831" s="582"/>
      <c r="L831" s="582"/>
      <c r="M831" s="582"/>
      <c r="N831" s="582"/>
      <c r="O831" s="582"/>
      <c r="P831" s="582"/>
      <c r="Q831" s="582"/>
      <c r="R831" s="582"/>
      <c r="S831" s="582"/>
      <c r="T831" s="582"/>
      <c r="U831" s="582"/>
      <c r="V831" s="582"/>
      <c r="W831" s="582"/>
      <c r="X831" s="582"/>
      <c r="Y831" s="582"/>
      <c r="Z831" s="582"/>
      <c r="AA831" s="582"/>
      <c r="AB831" s="582"/>
      <c r="AC831" s="582"/>
      <c r="AD831" s="582"/>
      <c r="AE831" s="582"/>
      <c r="AF831" s="1069"/>
    </row>
    <row r="832">
      <c r="A832" s="582"/>
      <c r="B832" s="582"/>
      <c r="C832" s="582"/>
      <c r="D832" s="582"/>
      <c r="E832" s="582"/>
      <c r="F832" s="582"/>
      <c r="G832" s="582"/>
      <c r="H832" s="582"/>
      <c r="I832" s="582"/>
      <c r="J832" s="582"/>
      <c r="K832" s="582"/>
      <c r="L832" s="582"/>
      <c r="M832" s="582"/>
      <c r="N832" s="582"/>
      <c r="O832" s="582"/>
      <c r="P832" s="582"/>
      <c r="Q832" s="582"/>
      <c r="R832" s="582"/>
      <c r="S832" s="582"/>
      <c r="T832" s="582"/>
      <c r="U832" s="582"/>
      <c r="V832" s="582"/>
      <c r="W832" s="582"/>
      <c r="X832" s="582"/>
      <c r="Y832" s="582"/>
      <c r="Z832" s="582"/>
      <c r="AA832" s="582"/>
      <c r="AB832" s="582"/>
      <c r="AC832" s="582"/>
      <c r="AD832" s="582"/>
      <c r="AE832" s="582"/>
      <c r="AF832" s="1069"/>
    </row>
    <row r="833">
      <c r="A833" s="582"/>
      <c r="B833" s="582"/>
      <c r="C833" s="582"/>
      <c r="D833" s="582"/>
      <c r="E833" s="582"/>
      <c r="F833" s="582"/>
      <c r="G833" s="582"/>
      <c r="H833" s="582"/>
      <c r="I833" s="582"/>
      <c r="J833" s="582"/>
      <c r="K833" s="582"/>
      <c r="L833" s="582"/>
      <c r="M833" s="582"/>
      <c r="N833" s="582"/>
      <c r="O833" s="582"/>
      <c r="P833" s="582"/>
      <c r="Q833" s="582"/>
      <c r="R833" s="582"/>
      <c r="S833" s="582"/>
      <c r="T833" s="582"/>
      <c r="U833" s="582"/>
      <c r="V833" s="582"/>
      <c r="W833" s="582"/>
      <c r="X833" s="582"/>
      <c r="Y833" s="582"/>
      <c r="Z833" s="582"/>
      <c r="AA833" s="582"/>
      <c r="AB833" s="582"/>
      <c r="AC833" s="582"/>
      <c r="AD833" s="582"/>
      <c r="AE833" s="582"/>
      <c r="AF833" s="1069"/>
    </row>
    <row r="834">
      <c r="A834" s="582"/>
      <c r="B834" s="582"/>
      <c r="C834" s="582"/>
      <c r="D834" s="582"/>
      <c r="E834" s="582"/>
      <c r="F834" s="582"/>
      <c r="G834" s="582"/>
      <c r="H834" s="582"/>
      <c r="I834" s="582"/>
      <c r="J834" s="582"/>
      <c r="K834" s="582"/>
      <c r="L834" s="582"/>
      <c r="M834" s="582"/>
      <c r="N834" s="582"/>
      <c r="O834" s="582"/>
      <c r="P834" s="582"/>
      <c r="Q834" s="582"/>
      <c r="R834" s="582"/>
      <c r="S834" s="582"/>
      <c r="T834" s="582"/>
      <c r="U834" s="582"/>
      <c r="V834" s="582"/>
      <c r="W834" s="582"/>
      <c r="X834" s="582"/>
      <c r="Y834" s="582"/>
      <c r="Z834" s="582"/>
      <c r="AA834" s="582"/>
      <c r="AB834" s="582"/>
      <c r="AC834" s="582"/>
      <c r="AD834" s="582"/>
      <c r="AE834" s="582"/>
      <c r="AF834" s="1069"/>
    </row>
    <row r="835">
      <c r="A835" s="582"/>
      <c r="B835" s="582"/>
      <c r="C835" s="582"/>
      <c r="D835" s="582"/>
      <c r="E835" s="582"/>
      <c r="F835" s="582"/>
      <c r="G835" s="582"/>
      <c r="H835" s="582"/>
      <c r="I835" s="582"/>
      <c r="J835" s="582"/>
      <c r="K835" s="582"/>
      <c r="L835" s="582"/>
      <c r="M835" s="582"/>
      <c r="N835" s="582"/>
      <c r="O835" s="582"/>
      <c r="P835" s="582"/>
      <c r="Q835" s="582"/>
      <c r="R835" s="582"/>
      <c r="S835" s="582"/>
      <c r="T835" s="582"/>
      <c r="U835" s="582"/>
      <c r="V835" s="582"/>
      <c r="W835" s="582"/>
      <c r="X835" s="582"/>
      <c r="Y835" s="582"/>
      <c r="Z835" s="582"/>
      <c r="AA835" s="582"/>
      <c r="AB835" s="582"/>
      <c r="AC835" s="582"/>
      <c r="AD835" s="582"/>
      <c r="AE835" s="582"/>
      <c r="AF835" s="1069"/>
    </row>
    <row r="836">
      <c r="A836" s="582"/>
      <c r="B836" s="582"/>
      <c r="C836" s="582"/>
      <c r="D836" s="582"/>
      <c r="E836" s="582"/>
      <c r="F836" s="582"/>
      <c r="G836" s="582"/>
      <c r="H836" s="582"/>
      <c r="I836" s="582"/>
      <c r="J836" s="582"/>
      <c r="K836" s="582"/>
      <c r="L836" s="582"/>
      <c r="M836" s="582"/>
      <c r="N836" s="582"/>
      <c r="O836" s="582"/>
      <c r="P836" s="582"/>
      <c r="Q836" s="582"/>
      <c r="R836" s="582"/>
      <c r="S836" s="582"/>
      <c r="T836" s="582"/>
      <c r="U836" s="582"/>
      <c r="V836" s="582"/>
      <c r="W836" s="582"/>
      <c r="X836" s="582"/>
      <c r="Y836" s="582"/>
      <c r="Z836" s="582"/>
      <c r="AA836" s="582"/>
      <c r="AB836" s="582"/>
      <c r="AC836" s="582"/>
      <c r="AD836" s="582"/>
      <c r="AE836" s="582"/>
      <c r="AF836" s="1069"/>
    </row>
    <row r="837">
      <c r="A837" s="582"/>
      <c r="B837" s="582"/>
      <c r="C837" s="582"/>
      <c r="D837" s="582"/>
      <c r="E837" s="582"/>
      <c r="F837" s="582"/>
      <c r="G837" s="582"/>
      <c r="H837" s="582"/>
      <c r="I837" s="582"/>
      <c r="J837" s="582"/>
      <c r="K837" s="582"/>
      <c r="L837" s="582"/>
      <c r="M837" s="582"/>
      <c r="N837" s="582"/>
      <c r="O837" s="582"/>
      <c r="P837" s="582"/>
      <c r="Q837" s="582"/>
      <c r="R837" s="582"/>
      <c r="S837" s="582"/>
      <c r="T837" s="582"/>
      <c r="U837" s="582"/>
      <c r="V837" s="582"/>
      <c r="W837" s="582"/>
      <c r="X837" s="582"/>
      <c r="Y837" s="582"/>
      <c r="Z837" s="582"/>
      <c r="AA837" s="582"/>
      <c r="AB837" s="582"/>
      <c r="AC837" s="582"/>
      <c r="AD837" s="582"/>
      <c r="AE837" s="582"/>
      <c r="AF837" s="1069"/>
    </row>
    <row r="838">
      <c r="A838" s="582"/>
      <c r="B838" s="582"/>
      <c r="C838" s="582"/>
      <c r="D838" s="582"/>
      <c r="E838" s="582"/>
      <c r="F838" s="582"/>
      <c r="G838" s="582"/>
      <c r="H838" s="582"/>
      <c r="I838" s="582"/>
      <c r="J838" s="582"/>
      <c r="K838" s="582"/>
      <c r="L838" s="582"/>
      <c r="M838" s="582"/>
      <c r="N838" s="582"/>
      <c r="O838" s="582"/>
      <c r="P838" s="582"/>
      <c r="Q838" s="582"/>
      <c r="R838" s="582"/>
      <c r="S838" s="582"/>
      <c r="T838" s="582"/>
      <c r="U838" s="582"/>
      <c r="V838" s="582"/>
      <c r="W838" s="582"/>
      <c r="X838" s="582"/>
      <c r="Y838" s="582"/>
      <c r="Z838" s="582"/>
      <c r="AA838" s="582"/>
      <c r="AB838" s="582"/>
      <c r="AC838" s="582"/>
      <c r="AD838" s="582"/>
      <c r="AE838" s="582"/>
      <c r="AF838" s="1069"/>
    </row>
    <row r="839">
      <c r="A839" s="582"/>
      <c r="B839" s="582"/>
      <c r="C839" s="582"/>
      <c r="D839" s="582"/>
      <c r="E839" s="582"/>
      <c r="F839" s="582"/>
      <c r="G839" s="582"/>
      <c r="H839" s="582"/>
      <c r="I839" s="582"/>
      <c r="J839" s="582"/>
      <c r="K839" s="582"/>
      <c r="L839" s="582"/>
      <c r="M839" s="582"/>
      <c r="N839" s="582"/>
      <c r="O839" s="582"/>
      <c r="P839" s="582"/>
      <c r="Q839" s="582"/>
      <c r="R839" s="582"/>
      <c r="S839" s="582"/>
      <c r="T839" s="582"/>
      <c r="U839" s="582"/>
      <c r="V839" s="582"/>
      <c r="W839" s="582"/>
      <c r="X839" s="582"/>
      <c r="Y839" s="582"/>
      <c r="Z839" s="582"/>
      <c r="AA839" s="582"/>
      <c r="AB839" s="582"/>
      <c r="AC839" s="582"/>
      <c r="AD839" s="582"/>
      <c r="AE839" s="582"/>
      <c r="AF839" s="1069"/>
    </row>
    <row r="840">
      <c r="A840" s="582"/>
      <c r="B840" s="582"/>
      <c r="C840" s="582"/>
      <c r="D840" s="582"/>
      <c r="E840" s="582"/>
      <c r="F840" s="582"/>
      <c r="G840" s="582"/>
      <c r="H840" s="582"/>
      <c r="I840" s="582"/>
      <c r="J840" s="582"/>
      <c r="K840" s="582"/>
      <c r="L840" s="582"/>
      <c r="M840" s="582"/>
      <c r="N840" s="582"/>
      <c r="O840" s="582"/>
      <c r="P840" s="582"/>
      <c r="Q840" s="582"/>
      <c r="R840" s="582"/>
      <c r="S840" s="582"/>
      <c r="T840" s="582"/>
      <c r="U840" s="582"/>
      <c r="V840" s="582"/>
      <c r="W840" s="582"/>
      <c r="X840" s="582"/>
      <c r="Y840" s="582"/>
      <c r="Z840" s="582"/>
      <c r="AA840" s="582"/>
      <c r="AB840" s="582"/>
      <c r="AC840" s="582"/>
      <c r="AD840" s="582"/>
      <c r="AE840" s="582"/>
      <c r="AF840" s="1069"/>
    </row>
    <row r="841">
      <c r="A841" s="582"/>
      <c r="B841" s="582"/>
      <c r="C841" s="582"/>
      <c r="D841" s="582"/>
      <c r="E841" s="582"/>
      <c r="F841" s="582"/>
      <c r="G841" s="582"/>
      <c r="H841" s="582"/>
      <c r="I841" s="582"/>
      <c r="J841" s="582"/>
      <c r="K841" s="582"/>
      <c r="L841" s="582"/>
      <c r="M841" s="582"/>
      <c r="N841" s="582"/>
      <c r="O841" s="582"/>
      <c r="P841" s="582"/>
      <c r="Q841" s="582"/>
      <c r="R841" s="582"/>
      <c r="S841" s="582"/>
      <c r="T841" s="582"/>
      <c r="U841" s="582"/>
      <c r="V841" s="582"/>
      <c r="W841" s="582"/>
      <c r="X841" s="582"/>
      <c r="Y841" s="582"/>
      <c r="Z841" s="582"/>
      <c r="AA841" s="582"/>
      <c r="AB841" s="582"/>
      <c r="AC841" s="582"/>
      <c r="AD841" s="582"/>
      <c r="AE841" s="582"/>
      <c r="AF841" s="1069"/>
    </row>
    <row r="842">
      <c r="A842" s="582"/>
      <c r="B842" s="582"/>
      <c r="C842" s="582"/>
      <c r="D842" s="582"/>
      <c r="E842" s="582"/>
      <c r="F842" s="582"/>
      <c r="G842" s="582"/>
      <c r="H842" s="582"/>
      <c r="I842" s="582"/>
      <c r="J842" s="582"/>
      <c r="K842" s="582"/>
      <c r="L842" s="582"/>
      <c r="M842" s="582"/>
      <c r="N842" s="582"/>
      <c r="O842" s="582"/>
      <c r="P842" s="582"/>
      <c r="Q842" s="582"/>
      <c r="R842" s="582"/>
      <c r="S842" s="582"/>
      <c r="T842" s="582"/>
      <c r="U842" s="582"/>
      <c r="V842" s="582"/>
      <c r="W842" s="582"/>
      <c r="X842" s="582"/>
      <c r="Y842" s="582"/>
      <c r="Z842" s="582"/>
      <c r="AA842" s="582"/>
      <c r="AB842" s="582"/>
      <c r="AC842" s="582"/>
      <c r="AD842" s="582"/>
      <c r="AE842" s="582"/>
      <c r="AF842" s="1069"/>
    </row>
    <row r="843">
      <c r="A843" s="582"/>
      <c r="B843" s="582"/>
      <c r="C843" s="582"/>
      <c r="D843" s="582"/>
      <c r="E843" s="582"/>
      <c r="F843" s="582"/>
      <c r="G843" s="582"/>
      <c r="H843" s="582"/>
      <c r="I843" s="582"/>
      <c r="J843" s="582"/>
      <c r="K843" s="582"/>
      <c r="L843" s="582"/>
      <c r="M843" s="582"/>
      <c r="N843" s="582"/>
      <c r="O843" s="582"/>
      <c r="P843" s="582"/>
      <c r="Q843" s="582"/>
      <c r="R843" s="582"/>
      <c r="S843" s="582"/>
      <c r="T843" s="582"/>
      <c r="U843" s="582"/>
      <c r="V843" s="582"/>
      <c r="W843" s="582"/>
      <c r="X843" s="582"/>
      <c r="Y843" s="582"/>
      <c r="Z843" s="582"/>
      <c r="AA843" s="582"/>
      <c r="AB843" s="582"/>
      <c r="AC843" s="582"/>
      <c r="AD843" s="582"/>
      <c r="AE843" s="582"/>
      <c r="AF843" s="1069"/>
    </row>
    <row r="844">
      <c r="A844" s="582"/>
      <c r="B844" s="582"/>
      <c r="C844" s="582"/>
      <c r="D844" s="582"/>
      <c r="E844" s="582"/>
      <c r="F844" s="582"/>
      <c r="G844" s="582"/>
      <c r="H844" s="582"/>
      <c r="I844" s="582"/>
      <c r="J844" s="582"/>
      <c r="K844" s="582"/>
      <c r="L844" s="582"/>
      <c r="M844" s="582"/>
      <c r="N844" s="582"/>
      <c r="O844" s="582"/>
      <c r="P844" s="582"/>
      <c r="Q844" s="582"/>
      <c r="R844" s="582"/>
      <c r="S844" s="582"/>
      <c r="T844" s="582"/>
      <c r="U844" s="582"/>
      <c r="V844" s="582"/>
      <c r="W844" s="582"/>
      <c r="X844" s="582"/>
      <c r="Y844" s="582"/>
      <c r="Z844" s="582"/>
      <c r="AA844" s="582"/>
      <c r="AB844" s="582"/>
      <c r="AC844" s="582"/>
      <c r="AD844" s="582"/>
      <c r="AE844" s="582"/>
      <c r="AF844" s="1069"/>
    </row>
    <row r="845">
      <c r="A845" s="582"/>
      <c r="B845" s="582"/>
      <c r="C845" s="582"/>
      <c r="D845" s="582"/>
      <c r="E845" s="582"/>
      <c r="F845" s="582"/>
      <c r="G845" s="582"/>
      <c r="H845" s="582"/>
      <c r="I845" s="582"/>
      <c r="J845" s="582"/>
      <c r="K845" s="582"/>
      <c r="L845" s="582"/>
      <c r="M845" s="582"/>
      <c r="N845" s="582"/>
      <c r="O845" s="582"/>
      <c r="P845" s="582"/>
      <c r="Q845" s="582"/>
      <c r="R845" s="582"/>
      <c r="S845" s="582"/>
      <c r="T845" s="582"/>
      <c r="U845" s="582"/>
      <c r="V845" s="582"/>
      <c r="W845" s="582"/>
      <c r="X845" s="582"/>
      <c r="Y845" s="582"/>
      <c r="Z845" s="582"/>
      <c r="AA845" s="582"/>
      <c r="AB845" s="582"/>
      <c r="AC845" s="582"/>
      <c r="AD845" s="582"/>
      <c r="AE845" s="582"/>
      <c r="AF845" s="1069"/>
    </row>
    <row r="846">
      <c r="A846" s="582"/>
      <c r="B846" s="582"/>
      <c r="C846" s="582"/>
      <c r="D846" s="582"/>
      <c r="E846" s="582"/>
      <c r="F846" s="582"/>
      <c r="G846" s="582"/>
      <c r="H846" s="582"/>
      <c r="I846" s="582"/>
      <c r="J846" s="582"/>
      <c r="K846" s="582"/>
      <c r="L846" s="582"/>
      <c r="M846" s="582"/>
      <c r="N846" s="582"/>
      <c r="O846" s="582"/>
      <c r="P846" s="582"/>
      <c r="Q846" s="582"/>
      <c r="R846" s="582"/>
      <c r="S846" s="582"/>
      <c r="T846" s="582"/>
      <c r="U846" s="582"/>
      <c r="V846" s="582"/>
      <c r="W846" s="582"/>
      <c r="X846" s="582"/>
      <c r="Y846" s="582"/>
      <c r="Z846" s="582"/>
      <c r="AA846" s="582"/>
      <c r="AB846" s="582"/>
      <c r="AC846" s="582"/>
      <c r="AD846" s="582"/>
      <c r="AE846" s="582"/>
      <c r="AF846" s="1069"/>
    </row>
    <row r="847">
      <c r="A847" s="582"/>
      <c r="B847" s="582"/>
      <c r="C847" s="582"/>
      <c r="D847" s="582"/>
      <c r="E847" s="582"/>
      <c r="F847" s="582"/>
      <c r="G847" s="582"/>
      <c r="H847" s="582"/>
      <c r="I847" s="582"/>
      <c r="J847" s="582"/>
      <c r="K847" s="582"/>
      <c r="L847" s="582"/>
      <c r="M847" s="582"/>
      <c r="N847" s="582"/>
      <c r="O847" s="582"/>
      <c r="P847" s="582"/>
      <c r="Q847" s="582"/>
      <c r="R847" s="582"/>
      <c r="S847" s="582"/>
      <c r="T847" s="582"/>
      <c r="U847" s="582"/>
      <c r="V847" s="582"/>
      <c r="W847" s="582"/>
      <c r="X847" s="582"/>
      <c r="Y847" s="582"/>
      <c r="Z847" s="582"/>
      <c r="AA847" s="582"/>
      <c r="AB847" s="582"/>
      <c r="AC847" s="582"/>
      <c r="AD847" s="582"/>
      <c r="AE847" s="582"/>
      <c r="AF847" s="1069"/>
    </row>
    <row r="848">
      <c r="A848" s="582"/>
      <c r="B848" s="582"/>
      <c r="C848" s="582"/>
      <c r="D848" s="582"/>
      <c r="E848" s="582"/>
      <c r="F848" s="582"/>
      <c r="G848" s="582"/>
      <c r="H848" s="582"/>
      <c r="I848" s="582"/>
      <c r="J848" s="582"/>
      <c r="K848" s="582"/>
      <c r="L848" s="582"/>
      <c r="M848" s="582"/>
      <c r="N848" s="582"/>
      <c r="O848" s="582"/>
      <c r="P848" s="582"/>
      <c r="Q848" s="582"/>
      <c r="R848" s="582"/>
      <c r="S848" s="582"/>
      <c r="T848" s="582"/>
      <c r="U848" s="582"/>
      <c r="V848" s="582"/>
      <c r="W848" s="582"/>
      <c r="X848" s="582"/>
      <c r="Y848" s="582"/>
      <c r="Z848" s="582"/>
      <c r="AA848" s="582"/>
      <c r="AB848" s="582"/>
      <c r="AC848" s="582"/>
      <c r="AD848" s="582"/>
      <c r="AE848" s="582"/>
      <c r="AF848" s="1069"/>
    </row>
    <row r="849">
      <c r="A849" s="582"/>
      <c r="B849" s="582"/>
      <c r="C849" s="582"/>
      <c r="D849" s="582"/>
      <c r="E849" s="582"/>
      <c r="F849" s="582"/>
      <c r="G849" s="582"/>
      <c r="H849" s="582"/>
      <c r="I849" s="582"/>
      <c r="J849" s="582"/>
      <c r="K849" s="582"/>
      <c r="L849" s="582"/>
      <c r="M849" s="582"/>
      <c r="N849" s="582"/>
      <c r="O849" s="582"/>
      <c r="P849" s="582"/>
      <c r="Q849" s="582"/>
      <c r="R849" s="582"/>
      <c r="S849" s="582"/>
      <c r="T849" s="582"/>
      <c r="U849" s="582"/>
      <c r="V849" s="582"/>
      <c r="W849" s="582"/>
      <c r="X849" s="582"/>
      <c r="Y849" s="582"/>
      <c r="Z849" s="582"/>
      <c r="AA849" s="582"/>
      <c r="AB849" s="582"/>
      <c r="AC849" s="582"/>
      <c r="AD849" s="582"/>
      <c r="AE849" s="582"/>
      <c r="AF849" s="1069"/>
    </row>
    <row r="850">
      <c r="A850" s="582"/>
      <c r="B850" s="582"/>
      <c r="C850" s="582"/>
      <c r="D850" s="582"/>
      <c r="E850" s="582"/>
      <c r="F850" s="582"/>
      <c r="G850" s="582"/>
      <c r="H850" s="582"/>
      <c r="I850" s="582"/>
      <c r="J850" s="582"/>
      <c r="K850" s="582"/>
      <c r="L850" s="582"/>
      <c r="M850" s="582"/>
      <c r="N850" s="582"/>
      <c r="O850" s="582"/>
      <c r="P850" s="582"/>
      <c r="Q850" s="582"/>
      <c r="R850" s="582"/>
      <c r="S850" s="582"/>
      <c r="T850" s="582"/>
      <c r="U850" s="582"/>
      <c r="V850" s="582"/>
      <c r="W850" s="582"/>
      <c r="X850" s="582"/>
      <c r="Y850" s="582"/>
      <c r="Z850" s="582"/>
      <c r="AA850" s="582"/>
      <c r="AB850" s="582"/>
      <c r="AC850" s="582"/>
      <c r="AD850" s="582"/>
      <c r="AE850" s="582"/>
      <c r="AF850" s="1069"/>
    </row>
    <row r="851">
      <c r="A851" s="582"/>
      <c r="B851" s="582"/>
      <c r="C851" s="582"/>
      <c r="D851" s="582"/>
      <c r="E851" s="582"/>
      <c r="F851" s="582"/>
      <c r="G851" s="582"/>
      <c r="H851" s="582"/>
      <c r="I851" s="582"/>
      <c r="J851" s="582"/>
      <c r="K851" s="582"/>
      <c r="L851" s="582"/>
      <c r="M851" s="582"/>
      <c r="N851" s="582"/>
      <c r="O851" s="582"/>
      <c r="P851" s="582"/>
      <c r="Q851" s="582"/>
      <c r="R851" s="582"/>
      <c r="S851" s="582"/>
      <c r="T851" s="582"/>
      <c r="U851" s="582"/>
      <c r="V851" s="582"/>
      <c r="W851" s="582"/>
      <c r="X851" s="582"/>
      <c r="Y851" s="582"/>
      <c r="Z851" s="582"/>
      <c r="AA851" s="582"/>
      <c r="AB851" s="582"/>
      <c r="AC851" s="582"/>
      <c r="AD851" s="582"/>
      <c r="AE851" s="582"/>
      <c r="AF851" s="1069"/>
    </row>
    <row r="852">
      <c r="A852" s="582"/>
      <c r="B852" s="582"/>
      <c r="C852" s="582"/>
      <c r="D852" s="582"/>
      <c r="E852" s="582"/>
      <c r="F852" s="582"/>
      <c r="G852" s="582"/>
      <c r="H852" s="582"/>
      <c r="I852" s="582"/>
      <c r="J852" s="582"/>
      <c r="K852" s="582"/>
      <c r="L852" s="582"/>
      <c r="M852" s="582"/>
      <c r="N852" s="582"/>
      <c r="O852" s="582"/>
      <c r="P852" s="582"/>
      <c r="Q852" s="582"/>
      <c r="R852" s="582"/>
      <c r="S852" s="582"/>
      <c r="T852" s="582"/>
      <c r="U852" s="582"/>
      <c r="V852" s="582"/>
      <c r="W852" s="582"/>
      <c r="X852" s="582"/>
      <c r="Y852" s="582"/>
      <c r="Z852" s="582"/>
      <c r="AA852" s="582"/>
      <c r="AB852" s="582"/>
      <c r="AC852" s="582"/>
      <c r="AD852" s="582"/>
      <c r="AE852" s="582"/>
      <c r="AF852" s="1069"/>
    </row>
    <row r="853">
      <c r="A853" s="582"/>
      <c r="B853" s="582"/>
      <c r="C853" s="582"/>
      <c r="D853" s="582"/>
      <c r="E853" s="582"/>
      <c r="F853" s="582"/>
      <c r="G853" s="582"/>
      <c r="H853" s="582"/>
      <c r="I853" s="582"/>
      <c r="J853" s="582"/>
      <c r="K853" s="582"/>
      <c r="L853" s="582"/>
      <c r="M853" s="582"/>
      <c r="N853" s="582"/>
      <c r="O853" s="582"/>
      <c r="P853" s="582"/>
      <c r="Q853" s="582"/>
      <c r="R853" s="582"/>
      <c r="S853" s="582"/>
      <c r="T853" s="582"/>
      <c r="U853" s="582"/>
      <c r="V853" s="582"/>
      <c r="W853" s="582"/>
      <c r="X853" s="582"/>
      <c r="Y853" s="582"/>
      <c r="Z853" s="582"/>
      <c r="AA853" s="582"/>
      <c r="AB853" s="582"/>
      <c r="AC853" s="582"/>
      <c r="AD853" s="582"/>
      <c r="AE853" s="582"/>
      <c r="AF853" s="1069"/>
    </row>
    <row r="854">
      <c r="A854" s="582"/>
      <c r="B854" s="582"/>
      <c r="C854" s="582"/>
      <c r="D854" s="582"/>
      <c r="E854" s="582"/>
      <c r="F854" s="582"/>
      <c r="G854" s="582"/>
      <c r="H854" s="582"/>
      <c r="I854" s="582"/>
      <c r="J854" s="582"/>
      <c r="K854" s="582"/>
      <c r="L854" s="582"/>
      <c r="M854" s="582"/>
      <c r="N854" s="582"/>
      <c r="O854" s="582"/>
      <c r="P854" s="582"/>
      <c r="Q854" s="582"/>
      <c r="R854" s="582"/>
      <c r="S854" s="582"/>
      <c r="T854" s="582"/>
      <c r="U854" s="582"/>
      <c r="V854" s="582"/>
      <c r="W854" s="582"/>
      <c r="X854" s="582"/>
      <c r="Y854" s="582"/>
      <c r="Z854" s="582"/>
      <c r="AA854" s="582"/>
      <c r="AB854" s="582"/>
      <c r="AC854" s="582"/>
      <c r="AD854" s="582"/>
      <c r="AE854" s="582"/>
      <c r="AF854" s="1069"/>
    </row>
    <row r="855">
      <c r="A855" s="582"/>
      <c r="B855" s="582"/>
      <c r="C855" s="582"/>
      <c r="D855" s="582"/>
      <c r="E855" s="582"/>
      <c r="F855" s="582"/>
      <c r="G855" s="582"/>
      <c r="H855" s="582"/>
      <c r="I855" s="582"/>
      <c r="J855" s="582"/>
      <c r="K855" s="582"/>
      <c r="L855" s="582"/>
      <c r="M855" s="582"/>
      <c r="N855" s="582"/>
      <c r="O855" s="582"/>
      <c r="P855" s="582"/>
      <c r="Q855" s="582"/>
      <c r="R855" s="582"/>
      <c r="S855" s="582"/>
      <c r="T855" s="582"/>
      <c r="U855" s="582"/>
      <c r="V855" s="582"/>
      <c r="W855" s="582"/>
      <c r="X855" s="582"/>
      <c r="Y855" s="582"/>
      <c r="Z855" s="582"/>
      <c r="AA855" s="582"/>
      <c r="AB855" s="582"/>
      <c r="AC855" s="582"/>
      <c r="AD855" s="582"/>
      <c r="AE855" s="582"/>
      <c r="AF855" s="1069"/>
    </row>
    <row r="856">
      <c r="A856" s="582"/>
      <c r="B856" s="582"/>
      <c r="C856" s="582"/>
      <c r="D856" s="582"/>
      <c r="E856" s="582"/>
      <c r="F856" s="582"/>
      <c r="G856" s="582"/>
      <c r="H856" s="582"/>
      <c r="I856" s="582"/>
      <c r="J856" s="582"/>
      <c r="K856" s="582"/>
      <c r="L856" s="582"/>
      <c r="M856" s="582"/>
      <c r="N856" s="582"/>
      <c r="O856" s="582"/>
      <c r="P856" s="582"/>
      <c r="Q856" s="582"/>
      <c r="R856" s="582"/>
      <c r="S856" s="582"/>
      <c r="T856" s="582"/>
      <c r="U856" s="582"/>
      <c r="V856" s="582"/>
      <c r="W856" s="582"/>
      <c r="X856" s="582"/>
      <c r="Y856" s="582"/>
      <c r="Z856" s="582"/>
      <c r="AA856" s="582"/>
      <c r="AB856" s="582"/>
      <c r="AC856" s="582"/>
      <c r="AD856" s="582"/>
      <c r="AE856" s="582"/>
      <c r="AF856" s="1069"/>
    </row>
    <row r="857">
      <c r="A857" s="582"/>
      <c r="B857" s="582"/>
      <c r="C857" s="582"/>
      <c r="D857" s="582"/>
      <c r="E857" s="582"/>
      <c r="F857" s="582"/>
      <c r="G857" s="582"/>
      <c r="H857" s="582"/>
      <c r="I857" s="582"/>
      <c r="J857" s="582"/>
      <c r="K857" s="582"/>
      <c r="L857" s="582"/>
      <c r="M857" s="582"/>
      <c r="N857" s="582"/>
      <c r="O857" s="582"/>
      <c r="P857" s="582"/>
      <c r="Q857" s="582"/>
      <c r="R857" s="582"/>
      <c r="S857" s="582"/>
      <c r="T857" s="582"/>
      <c r="U857" s="582"/>
      <c r="V857" s="582"/>
      <c r="W857" s="582"/>
      <c r="X857" s="582"/>
      <c r="Y857" s="582"/>
      <c r="Z857" s="582"/>
      <c r="AA857" s="582"/>
      <c r="AB857" s="582"/>
      <c r="AC857" s="582"/>
      <c r="AD857" s="582"/>
      <c r="AE857" s="582"/>
      <c r="AF857" s="1069"/>
    </row>
    <row r="858">
      <c r="A858" s="582"/>
      <c r="B858" s="582"/>
      <c r="C858" s="582"/>
      <c r="D858" s="582"/>
      <c r="E858" s="582"/>
      <c r="F858" s="582"/>
      <c r="G858" s="582"/>
      <c r="H858" s="582"/>
      <c r="I858" s="582"/>
      <c r="J858" s="582"/>
      <c r="K858" s="582"/>
      <c r="L858" s="582"/>
      <c r="M858" s="582"/>
      <c r="N858" s="582"/>
      <c r="O858" s="582"/>
      <c r="P858" s="582"/>
      <c r="Q858" s="582"/>
      <c r="R858" s="582"/>
      <c r="S858" s="582"/>
      <c r="T858" s="582"/>
      <c r="U858" s="582"/>
      <c r="V858" s="582"/>
      <c r="W858" s="582"/>
      <c r="X858" s="582"/>
      <c r="Y858" s="582"/>
      <c r="Z858" s="582"/>
      <c r="AA858" s="582"/>
      <c r="AB858" s="582"/>
      <c r="AC858" s="582"/>
      <c r="AD858" s="582"/>
      <c r="AE858" s="582"/>
      <c r="AF858" s="1069"/>
    </row>
    <row r="859">
      <c r="A859" s="582"/>
      <c r="B859" s="582"/>
      <c r="C859" s="582"/>
      <c r="D859" s="582"/>
      <c r="E859" s="582"/>
      <c r="F859" s="582"/>
      <c r="G859" s="582"/>
      <c r="H859" s="582"/>
      <c r="I859" s="582"/>
      <c r="J859" s="582"/>
      <c r="K859" s="582"/>
      <c r="L859" s="582"/>
      <c r="M859" s="582"/>
      <c r="N859" s="582"/>
      <c r="O859" s="582"/>
      <c r="P859" s="582"/>
      <c r="Q859" s="582"/>
      <c r="R859" s="582"/>
      <c r="S859" s="582"/>
      <c r="T859" s="582"/>
      <c r="U859" s="582"/>
      <c r="V859" s="582"/>
      <c r="W859" s="582"/>
      <c r="X859" s="582"/>
      <c r="Y859" s="582"/>
      <c r="Z859" s="582"/>
      <c r="AA859" s="582"/>
      <c r="AB859" s="582"/>
      <c r="AC859" s="582"/>
      <c r="AD859" s="582"/>
      <c r="AE859" s="582"/>
      <c r="AF859" s="1069"/>
    </row>
    <row r="860">
      <c r="A860" s="582"/>
      <c r="B860" s="582"/>
      <c r="C860" s="582"/>
      <c r="D860" s="582"/>
      <c r="E860" s="582"/>
      <c r="F860" s="582"/>
      <c r="G860" s="582"/>
      <c r="H860" s="582"/>
      <c r="I860" s="582"/>
      <c r="J860" s="582"/>
      <c r="K860" s="582"/>
      <c r="L860" s="582"/>
      <c r="M860" s="582"/>
      <c r="N860" s="582"/>
      <c r="O860" s="582"/>
      <c r="P860" s="582"/>
      <c r="Q860" s="582"/>
      <c r="R860" s="582"/>
      <c r="S860" s="582"/>
      <c r="T860" s="582"/>
      <c r="U860" s="582"/>
      <c r="V860" s="582"/>
      <c r="W860" s="582"/>
      <c r="X860" s="582"/>
      <c r="Y860" s="582"/>
      <c r="Z860" s="582"/>
      <c r="AA860" s="582"/>
      <c r="AB860" s="582"/>
      <c r="AC860" s="582"/>
      <c r="AD860" s="582"/>
      <c r="AE860" s="582"/>
      <c r="AF860" s="1069"/>
    </row>
    <row r="861">
      <c r="A861" s="582"/>
      <c r="B861" s="582"/>
      <c r="C861" s="582"/>
      <c r="D861" s="582"/>
      <c r="E861" s="582"/>
      <c r="F861" s="582"/>
      <c r="G861" s="582"/>
      <c r="H861" s="582"/>
      <c r="I861" s="582"/>
      <c r="J861" s="582"/>
      <c r="K861" s="582"/>
      <c r="L861" s="582"/>
      <c r="M861" s="582"/>
      <c r="N861" s="582"/>
      <c r="O861" s="582"/>
      <c r="P861" s="582"/>
      <c r="Q861" s="582"/>
      <c r="R861" s="582"/>
      <c r="S861" s="582"/>
      <c r="T861" s="582"/>
      <c r="U861" s="582"/>
      <c r="V861" s="582"/>
      <c r="W861" s="582"/>
      <c r="X861" s="582"/>
      <c r="Y861" s="582"/>
      <c r="Z861" s="582"/>
      <c r="AA861" s="582"/>
      <c r="AB861" s="582"/>
      <c r="AC861" s="582"/>
      <c r="AD861" s="582"/>
      <c r="AE861" s="582"/>
      <c r="AF861" s="1069"/>
    </row>
    <row r="862">
      <c r="A862" s="582"/>
      <c r="B862" s="582"/>
      <c r="C862" s="582"/>
      <c r="D862" s="582"/>
      <c r="E862" s="582"/>
      <c r="F862" s="582"/>
      <c r="G862" s="582"/>
      <c r="H862" s="582"/>
      <c r="I862" s="582"/>
      <c r="J862" s="582"/>
      <c r="K862" s="582"/>
      <c r="L862" s="582"/>
      <c r="M862" s="582"/>
      <c r="N862" s="582"/>
      <c r="O862" s="582"/>
      <c r="P862" s="582"/>
      <c r="Q862" s="582"/>
      <c r="R862" s="582"/>
      <c r="S862" s="582"/>
      <c r="T862" s="582"/>
      <c r="U862" s="582"/>
      <c r="V862" s="582"/>
      <c r="W862" s="582"/>
      <c r="X862" s="582"/>
      <c r="Y862" s="582"/>
      <c r="Z862" s="582"/>
      <c r="AA862" s="582"/>
      <c r="AB862" s="582"/>
      <c r="AC862" s="582"/>
      <c r="AD862" s="582"/>
      <c r="AE862" s="582"/>
      <c r="AF862" s="1069"/>
    </row>
    <row r="863">
      <c r="A863" s="582"/>
      <c r="B863" s="582"/>
      <c r="C863" s="582"/>
      <c r="D863" s="582"/>
      <c r="E863" s="582"/>
      <c r="F863" s="582"/>
      <c r="G863" s="582"/>
      <c r="H863" s="582"/>
      <c r="I863" s="582"/>
      <c r="J863" s="582"/>
      <c r="K863" s="582"/>
      <c r="L863" s="582"/>
      <c r="M863" s="582"/>
      <c r="N863" s="582"/>
      <c r="O863" s="582"/>
      <c r="P863" s="582"/>
      <c r="Q863" s="582"/>
      <c r="R863" s="582"/>
      <c r="S863" s="582"/>
      <c r="T863" s="582"/>
      <c r="U863" s="582"/>
      <c r="V863" s="582"/>
      <c r="W863" s="582"/>
      <c r="X863" s="582"/>
      <c r="Y863" s="582"/>
      <c r="Z863" s="582"/>
      <c r="AA863" s="582"/>
      <c r="AB863" s="582"/>
      <c r="AC863" s="582"/>
      <c r="AD863" s="582"/>
      <c r="AE863" s="582"/>
      <c r="AF863" s="1069"/>
    </row>
    <row r="864">
      <c r="A864" s="582"/>
      <c r="B864" s="582"/>
      <c r="C864" s="582"/>
      <c r="D864" s="582"/>
      <c r="E864" s="582"/>
      <c r="F864" s="582"/>
      <c r="G864" s="582"/>
      <c r="H864" s="582"/>
      <c r="I864" s="582"/>
      <c r="J864" s="582"/>
      <c r="K864" s="582"/>
      <c r="L864" s="582"/>
      <c r="M864" s="582"/>
      <c r="N864" s="582"/>
      <c r="O864" s="582"/>
      <c r="P864" s="582"/>
      <c r="Q864" s="582"/>
      <c r="R864" s="582"/>
      <c r="S864" s="582"/>
      <c r="T864" s="582"/>
      <c r="U864" s="582"/>
      <c r="V864" s="582"/>
      <c r="W864" s="582"/>
      <c r="X864" s="582"/>
      <c r="Y864" s="582"/>
      <c r="Z864" s="582"/>
      <c r="AA864" s="582"/>
      <c r="AB864" s="582"/>
      <c r="AC864" s="582"/>
      <c r="AD864" s="582"/>
      <c r="AE864" s="582"/>
      <c r="AF864" s="1069"/>
    </row>
    <row r="865">
      <c r="A865" s="582"/>
      <c r="B865" s="582"/>
      <c r="C865" s="582"/>
      <c r="D865" s="582"/>
      <c r="E865" s="582"/>
      <c r="F865" s="582"/>
      <c r="G865" s="582"/>
      <c r="H865" s="582"/>
      <c r="I865" s="582"/>
      <c r="J865" s="582"/>
      <c r="K865" s="582"/>
      <c r="L865" s="582"/>
      <c r="M865" s="582"/>
      <c r="N865" s="582"/>
      <c r="O865" s="582"/>
      <c r="P865" s="582"/>
      <c r="Q865" s="582"/>
      <c r="R865" s="582"/>
      <c r="S865" s="582"/>
      <c r="T865" s="582"/>
      <c r="U865" s="582"/>
      <c r="V865" s="582"/>
      <c r="W865" s="582"/>
      <c r="X865" s="582"/>
      <c r="Y865" s="582"/>
      <c r="Z865" s="582"/>
      <c r="AA865" s="582"/>
      <c r="AB865" s="582"/>
      <c r="AC865" s="582"/>
      <c r="AD865" s="582"/>
      <c r="AE865" s="582"/>
      <c r="AF865" s="1069"/>
    </row>
    <row r="866">
      <c r="A866" s="582"/>
      <c r="B866" s="582"/>
      <c r="C866" s="582"/>
      <c r="D866" s="582"/>
      <c r="E866" s="582"/>
      <c r="F866" s="582"/>
      <c r="G866" s="582"/>
      <c r="H866" s="582"/>
      <c r="I866" s="582"/>
      <c r="J866" s="582"/>
      <c r="K866" s="582"/>
      <c r="L866" s="582"/>
      <c r="M866" s="582"/>
      <c r="N866" s="582"/>
      <c r="O866" s="582"/>
      <c r="P866" s="582"/>
      <c r="Q866" s="582"/>
      <c r="R866" s="582"/>
      <c r="S866" s="582"/>
      <c r="T866" s="582"/>
      <c r="U866" s="582"/>
      <c r="V866" s="582"/>
      <c r="W866" s="582"/>
      <c r="X866" s="582"/>
      <c r="Y866" s="582"/>
      <c r="Z866" s="582"/>
      <c r="AA866" s="582"/>
      <c r="AB866" s="582"/>
      <c r="AC866" s="582"/>
      <c r="AD866" s="582"/>
      <c r="AE866" s="582"/>
      <c r="AF866" s="1069"/>
    </row>
    <row r="867">
      <c r="A867" s="582"/>
      <c r="B867" s="582"/>
      <c r="C867" s="582"/>
      <c r="D867" s="582"/>
      <c r="E867" s="582"/>
      <c r="F867" s="582"/>
      <c r="G867" s="582"/>
      <c r="H867" s="582"/>
      <c r="I867" s="582"/>
      <c r="J867" s="582"/>
      <c r="K867" s="582"/>
      <c r="L867" s="582"/>
      <c r="M867" s="582"/>
      <c r="N867" s="582"/>
      <c r="O867" s="582"/>
      <c r="P867" s="582"/>
      <c r="Q867" s="582"/>
      <c r="R867" s="582"/>
      <c r="S867" s="582"/>
      <c r="T867" s="582"/>
      <c r="U867" s="582"/>
      <c r="V867" s="582"/>
      <c r="W867" s="582"/>
      <c r="X867" s="582"/>
      <c r="Y867" s="582"/>
      <c r="Z867" s="582"/>
      <c r="AA867" s="582"/>
      <c r="AB867" s="582"/>
      <c r="AC867" s="582"/>
      <c r="AD867" s="582"/>
      <c r="AE867" s="582"/>
      <c r="AF867" s="1069"/>
    </row>
    <row r="868">
      <c r="A868" s="582"/>
      <c r="B868" s="582"/>
      <c r="C868" s="582"/>
      <c r="D868" s="582"/>
      <c r="E868" s="582"/>
      <c r="F868" s="582"/>
      <c r="G868" s="582"/>
      <c r="H868" s="582"/>
      <c r="I868" s="582"/>
      <c r="J868" s="582"/>
      <c r="K868" s="582"/>
      <c r="L868" s="582"/>
      <c r="M868" s="582"/>
      <c r="N868" s="582"/>
      <c r="O868" s="582"/>
      <c r="P868" s="582"/>
      <c r="Q868" s="582"/>
      <c r="R868" s="582"/>
      <c r="S868" s="582"/>
      <c r="T868" s="582"/>
      <c r="U868" s="582"/>
      <c r="V868" s="582"/>
      <c r="W868" s="582"/>
      <c r="X868" s="582"/>
      <c r="Y868" s="582"/>
      <c r="Z868" s="582"/>
      <c r="AA868" s="582"/>
      <c r="AB868" s="582"/>
      <c r="AC868" s="582"/>
      <c r="AD868" s="582"/>
      <c r="AE868" s="582"/>
      <c r="AF868" s="1069"/>
    </row>
    <row r="869">
      <c r="A869" s="582"/>
      <c r="B869" s="582"/>
      <c r="C869" s="582"/>
      <c r="D869" s="582"/>
      <c r="E869" s="582"/>
      <c r="F869" s="582"/>
      <c r="G869" s="582"/>
      <c r="H869" s="582"/>
      <c r="I869" s="582"/>
      <c r="J869" s="582"/>
      <c r="K869" s="582"/>
      <c r="L869" s="582"/>
      <c r="M869" s="582"/>
      <c r="N869" s="582"/>
      <c r="O869" s="582"/>
      <c r="P869" s="582"/>
      <c r="Q869" s="582"/>
      <c r="R869" s="582"/>
      <c r="S869" s="582"/>
      <c r="T869" s="582"/>
      <c r="U869" s="582"/>
      <c r="V869" s="582"/>
      <c r="W869" s="582"/>
      <c r="X869" s="582"/>
      <c r="Y869" s="582"/>
      <c r="Z869" s="582"/>
      <c r="AA869" s="582"/>
      <c r="AB869" s="582"/>
      <c r="AC869" s="582"/>
      <c r="AD869" s="582"/>
      <c r="AE869" s="582"/>
      <c r="AF869" s="1069"/>
    </row>
    <row r="870">
      <c r="A870" s="582"/>
      <c r="B870" s="582"/>
      <c r="C870" s="582"/>
      <c r="D870" s="582"/>
      <c r="E870" s="582"/>
      <c r="F870" s="582"/>
      <c r="G870" s="582"/>
      <c r="H870" s="582"/>
      <c r="I870" s="582"/>
      <c r="J870" s="582"/>
      <c r="K870" s="582"/>
      <c r="L870" s="582"/>
      <c r="M870" s="582"/>
      <c r="N870" s="582"/>
      <c r="O870" s="582"/>
      <c r="P870" s="582"/>
      <c r="Q870" s="582"/>
      <c r="R870" s="582"/>
      <c r="S870" s="582"/>
      <c r="T870" s="582"/>
      <c r="U870" s="582"/>
      <c r="V870" s="582"/>
      <c r="W870" s="582"/>
      <c r="X870" s="582"/>
      <c r="Y870" s="582"/>
      <c r="Z870" s="582"/>
      <c r="AA870" s="582"/>
      <c r="AB870" s="582"/>
      <c r="AC870" s="582"/>
      <c r="AD870" s="582"/>
      <c r="AE870" s="582"/>
      <c r="AF870" s="1069"/>
    </row>
    <row r="871">
      <c r="A871" s="582"/>
      <c r="B871" s="582"/>
      <c r="C871" s="582"/>
      <c r="D871" s="582"/>
      <c r="E871" s="582"/>
      <c r="F871" s="582"/>
      <c r="G871" s="582"/>
      <c r="H871" s="582"/>
      <c r="I871" s="582"/>
      <c r="J871" s="582"/>
      <c r="K871" s="582"/>
      <c r="L871" s="582"/>
      <c r="M871" s="582"/>
      <c r="N871" s="582"/>
      <c r="O871" s="582"/>
      <c r="P871" s="582"/>
      <c r="Q871" s="582"/>
      <c r="R871" s="582"/>
      <c r="S871" s="582"/>
      <c r="T871" s="582"/>
      <c r="U871" s="582"/>
      <c r="V871" s="582"/>
      <c r="W871" s="582"/>
      <c r="X871" s="582"/>
      <c r="Y871" s="582"/>
      <c r="Z871" s="582"/>
      <c r="AA871" s="582"/>
      <c r="AB871" s="582"/>
      <c r="AC871" s="582"/>
      <c r="AD871" s="582"/>
      <c r="AE871" s="582"/>
      <c r="AF871" s="1069"/>
    </row>
    <row r="872">
      <c r="A872" s="582"/>
      <c r="B872" s="582"/>
      <c r="C872" s="582"/>
      <c r="D872" s="582"/>
      <c r="E872" s="582"/>
      <c r="F872" s="582"/>
      <c r="G872" s="582"/>
      <c r="H872" s="582"/>
      <c r="I872" s="582"/>
      <c r="J872" s="582"/>
      <c r="K872" s="582"/>
      <c r="L872" s="582"/>
      <c r="M872" s="582"/>
      <c r="N872" s="582"/>
      <c r="O872" s="582"/>
      <c r="P872" s="582"/>
      <c r="Q872" s="582"/>
      <c r="R872" s="582"/>
      <c r="S872" s="582"/>
      <c r="T872" s="582"/>
      <c r="U872" s="582"/>
      <c r="V872" s="582"/>
      <c r="W872" s="582"/>
      <c r="X872" s="582"/>
      <c r="Y872" s="582"/>
      <c r="Z872" s="582"/>
      <c r="AA872" s="582"/>
      <c r="AB872" s="582"/>
      <c r="AC872" s="582"/>
      <c r="AD872" s="582"/>
      <c r="AE872" s="582"/>
      <c r="AF872" s="1069"/>
    </row>
    <row r="873">
      <c r="A873" s="582"/>
      <c r="B873" s="582"/>
      <c r="C873" s="582"/>
      <c r="D873" s="582"/>
      <c r="E873" s="582"/>
      <c r="F873" s="582"/>
      <c r="G873" s="582"/>
      <c r="H873" s="582"/>
      <c r="I873" s="582"/>
      <c r="J873" s="582"/>
      <c r="K873" s="582"/>
      <c r="L873" s="582"/>
      <c r="M873" s="582"/>
      <c r="N873" s="582"/>
      <c r="O873" s="582"/>
      <c r="P873" s="582"/>
      <c r="Q873" s="582"/>
      <c r="R873" s="582"/>
      <c r="S873" s="582"/>
      <c r="T873" s="582"/>
      <c r="U873" s="582"/>
      <c r="V873" s="582"/>
      <c r="W873" s="582"/>
      <c r="X873" s="582"/>
      <c r="Y873" s="582"/>
      <c r="Z873" s="582"/>
      <c r="AA873" s="582"/>
      <c r="AB873" s="582"/>
      <c r="AC873" s="582"/>
      <c r="AD873" s="582"/>
      <c r="AE873" s="582"/>
      <c r="AF873" s="1069"/>
    </row>
    <row r="874">
      <c r="A874" s="582"/>
      <c r="B874" s="582"/>
      <c r="C874" s="582"/>
      <c r="D874" s="582"/>
      <c r="E874" s="582"/>
      <c r="F874" s="582"/>
      <c r="G874" s="582"/>
      <c r="H874" s="582"/>
      <c r="I874" s="582"/>
      <c r="J874" s="582"/>
      <c r="K874" s="582"/>
      <c r="L874" s="582"/>
      <c r="M874" s="582"/>
      <c r="N874" s="582"/>
      <c r="O874" s="582"/>
      <c r="P874" s="582"/>
      <c r="Q874" s="582"/>
      <c r="R874" s="582"/>
      <c r="S874" s="582"/>
      <c r="T874" s="582"/>
      <c r="U874" s="582"/>
      <c r="V874" s="582"/>
      <c r="W874" s="582"/>
      <c r="X874" s="582"/>
      <c r="Y874" s="582"/>
      <c r="Z874" s="582"/>
      <c r="AA874" s="582"/>
      <c r="AB874" s="582"/>
      <c r="AC874" s="582"/>
      <c r="AD874" s="582"/>
      <c r="AE874" s="582"/>
      <c r="AF874" s="1069"/>
    </row>
    <row r="875">
      <c r="A875" s="582"/>
      <c r="B875" s="582"/>
      <c r="C875" s="582"/>
      <c r="D875" s="582"/>
      <c r="E875" s="582"/>
      <c r="F875" s="582"/>
      <c r="G875" s="582"/>
      <c r="H875" s="582"/>
      <c r="I875" s="582"/>
      <c r="J875" s="582"/>
      <c r="K875" s="582"/>
      <c r="L875" s="582"/>
      <c r="M875" s="582"/>
      <c r="N875" s="582"/>
      <c r="O875" s="582"/>
      <c r="P875" s="582"/>
      <c r="Q875" s="582"/>
      <c r="R875" s="582"/>
      <c r="S875" s="582"/>
      <c r="T875" s="582"/>
      <c r="U875" s="582"/>
      <c r="V875" s="582"/>
      <c r="W875" s="582"/>
      <c r="X875" s="582"/>
      <c r="Y875" s="582"/>
      <c r="Z875" s="582"/>
      <c r="AA875" s="582"/>
      <c r="AB875" s="582"/>
      <c r="AC875" s="582"/>
      <c r="AD875" s="582"/>
      <c r="AE875" s="582"/>
      <c r="AF875" s="1069"/>
    </row>
    <row r="876">
      <c r="A876" s="582"/>
      <c r="B876" s="582"/>
      <c r="C876" s="582"/>
      <c r="D876" s="582"/>
      <c r="E876" s="582"/>
      <c r="F876" s="582"/>
      <c r="G876" s="582"/>
      <c r="H876" s="582"/>
      <c r="I876" s="582"/>
      <c r="J876" s="582"/>
      <c r="K876" s="582"/>
      <c r="L876" s="582"/>
      <c r="M876" s="582"/>
      <c r="N876" s="582"/>
      <c r="O876" s="582"/>
      <c r="P876" s="582"/>
      <c r="Q876" s="582"/>
      <c r="R876" s="582"/>
      <c r="S876" s="582"/>
      <c r="T876" s="582"/>
      <c r="U876" s="582"/>
      <c r="V876" s="582"/>
      <c r="W876" s="582"/>
      <c r="X876" s="582"/>
      <c r="Y876" s="582"/>
      <c r="Z876" s="582"/>
      <c r="AA876" s="582"/>
      <c r="AB876" s="582"/>
      <c r="AC876" s="582"/>
      <c r="AD876" s="582"/>
      <c r="AE876" s="582"/>
      <c r="AF876" s="1069"/>
    </row>
    <row r="877">
      <c r="A877" s="582"/>
      <c r="B877" s="582"/>
      <c r="C877" s="582"/>
      <c r="D877" s="582"/>
      <c r="E877" s="582"/>
      <c r="F877" s="582"/>
      <c r="G877" s="582"/>
      <c r="H877" s="582"/>
      <c r="I877" s="582"/>
      <c r="J877" s="582"/>
      <c r="K877" s="582"/>
      <c r="L877" s="582"/>
      <c r="M877" s="582"/>
      <c r="N877" s="582"/>
      <c r="O877" s="582"/>
      <c r="P877" s="582"/>
      <c r="Q877" s="582"/>
      <c r="R877" s="582"/>
      <c r="S877" s="582"/>
      <c r="T877" s="582"/>
      <c r="U877" s="582"/>
      <c r="V877" s="582"/>
      <c r="W877" s="582"/>
      <c r="X877" s="582"/>
      <c r="Y877" s="582"/>
      <c r="Z877" s="582"/>
      <c r="AA877" s="582"/>
      <c r="AB877" s="582"/>
      <c r="AC877" s="582"/>
      <c r="AD877" s="582"/>
      <c r="AE877" s="582"/>
      <c r="AF877" s="1069"/>
    </row>
    <row r="878">
      <c r="A878" s="582"/>
      <c r="B878" s="582"/>
      <c r="C878" s="582"/>
      <c r="D878" s="582"/>
      <c r="E878" s="582"/>
      <c r="F878" s="582"/>
      <c r="G878" s="582"/>
      <c r="H878" s="582"/>
      <c r="I878" s="582"/>
      <c r="J878" s="582"/>
      <c r="K878" s="582"/>
      <c r="L878" s="582"/>
      <c r="M878" s="582"/>
      <c r="N878" s="582"/>
      <c r="O878" s="582"/>
      <c r="P878" s="582"/>
      <c r="Q878" s="582"/>
      <c r="R878" s="582"/>
      <c r="S878" s="582"/>
      <c r="T878" s="582"/>
      <c r="U878" s="582"/>
      <c r="V878" s="582"/>
      <c r="W878" s="582"/>
      <c r="X878" s="582"/>
      <c r="Y878" s="582"/>
      <c r="Z878" s="582"/>
      <c r="AA878" s="582"/>
      <c r="AB878" s="582"/>
      <c r="AC878" s="582"/>
      <c r="AD878" s="582"/>
      <c r="AE878" s="582"/>
      <c r="AF878" s="1069"/>
    </row>
    <row r="879">
      <c r="A879" s="582"/>
      <c r="B879" s="582"/>
      <c r="C879" s="582"/>
      <c r="D879" s="582"/>
      <c r="E879" s="582"/>
      <c r="F879" s="582"/>
      <c r="G879" s="582"/>
      <c r="H879" s="582"/>
      <c r="I879" s="582"/>
      <c r="J879" s="582"/>
      <c r="K879" s="582"/>
      <c r="L879" s="582"/>
      <c r="M879" s="582"/>
      <c r="N879" s="582"/>
      <c r="O879" s="582"/>
      <c r="P879" s="582"/>
      <c r="Q879" s="582"/>
      <c r="R879" s="582"/>
      <c r="S879" s="582"/>
      <c r="T879" s="582"/>
      <c r="U879" s="582"/>
      <c r="V879" s="582"/>
      <c r="W879" s="582"/>
      <c r="X879" s="582"/>
      <c r="Y879" s="582"/>
      <c r="Z879" s="582"/>
      <c r="AA879" s="582"/>
      <c r="AB879" s="582"/>
      <c r="AC879" s="582"/>
      <c r="AD879" s="582"/>
      <c r="AE879" s="582"/>
      <c r="AF879" s="1069"/>
    </row>
    <row r="880">
      <c r="A880" s="582"/>
      <c r="B880" s="582"/>
      <c r="C880" s="582"/>
      <c r="D880" s="582"/>
      <c r="E880" s="582"/>
      <c r="F880" s="582"/>
      <c r="G880" s="582"/>
      <c r="H880" s="582"/>
      <c r="I880" s="582"/>
      <c r="J880" s="582"/>
      <c r="K880" s="582"/>
      <c r="L880" s="582"/>
      <c r="M880" s="582"/>
      <c r="N880" s="582"/>
      <c r="O880" s="582"/>
      <c r="P880" s="582"/>
      <c r="Q880" s="582"/>
      <c r="R880" s="582"/>
      <c r="S880" s="582"/>
      <c r="T880" s="582"/>
      <c r="U880" s="582"/>
      <c r="V880" s="582"/>
      <c r="W880" s="582"/>
      <c r="X880" s="582"/>
      <c r="Y880" s="582"/>
      <c r="Z880" s="582"/>
      <c r="AA880" s="582"/>
      <c r="AB880" s="582"/>
      <c r="AC880" s="582"/>
      <c r="AD880" s="582"/>
      <c r="AE880" s="582"/>
      <c r="AF880" s="1069"/>
    </row>
    <row r="881">
      <c r="A881" s="582"/>
      <c r="B881" s="582"/>
      <c r="C881" s="582"/>
      <c r="D881" s="582"/>
      <c r="E881" s="582"/>
      <c r="F881" s="582"/>
      <c r="G881" s="582"/>
      <c r="H881" s="582"/>
      <c r="I881" s="582"/>
      <c r="J881" s="582"/>
      <c r="K881" s="582"/>
      <c r="L881" s="582"/>
      <c r="M881" s="582"/>
      <c r="N881" s="582"/>
      <c r="O881" s="582"/>
      <c r="P881" s="582"/>
      <c r="Q881" s="582"/>
      <c r="R881" s="582"/>
      <c r="S881" s="582"/>
      <c r="T881" s="582"/>
      <c r="U881" s="582"/>
      <c r="V881" s="582"/>
      <c r="W881" s="582"/>
      <c r="X881" s="582"/>
      <c r="Y881" s="582"/>
      <c r="Z881" s="582"/>
      <c r="AA881" s="582"/>
      <c r="AB881" s="582"/>
      <c r="AC881" s="582"/>
      <c r="AD881" s="582"/>
      <c r="AE881" s="582"/>
      <c r="AF881" s="1069"/>
    </row>
    <row r="882">
      <c r="A882" s="582"/>
      <c r="B882" s="582"/>
      <c r="C882" s="582"/>
      <c r="D882" s="582"/>
      <c r="E882" s="582"/>
      <c r="F882" s="582"/>
      <c r="G882" s="582"/>
      <c r="H882" s="582"/>
      <c r="I882" s="582"/>
      <c r="J882" s="582"/>
      <c r="K882" s="582"/>
      <c r="L882" s="582"/>
      <c r="M882" s="582"/>
      <c r="N882" s="582"/>
      <c r="O882" s="582"/>
      <c r="P882" s="582"/>
      <c r="Q882" s="582"/>
      <c r="R882" s="582"/>
      <c r="S882" s="582"/>
      <c r="T882" s="582"/>
      <c r="U882" s="582"/>
      <c r="V882" s="582"/>
      <c r="W882" s="582"/>
      <c r="X882" s="582"/>
      <c r="Y882" s="582"/>
      <c r="Z882" s="582"/>
      <c r="AA882" s="582"/>
      <c r="AB882" s="582"/>
      <c r="AC882" s="582"/>
      <c r="AD882" s="582"/>
      <c r="AE882" s="582"/>
      <c r="AF882" s="1069"/>
    </row>
    <row r="883">
      <c r="A883" s="582"/>
      <c r="B883" s="582"/>
      <c r="C883" s="582"/>
      <c r="D883" s="582"/>
      <c r="E883" s="582"/>
      <c r="F883" s="582"/>
      <c r="G883" s="582"/>
      <c r="H883" s="582"/>
      <c r="I883" s="582"/>
      <c r="J883" s="582"/>
      <c r="K883" s="582"/>
      <c r="L883" s="582"/>
      <c r="M883" s="582"/>
      <c r="N883" s="582"/>
      <c r="O883" s="582"/>
      <c r="P883" s="582"/>
      <c r="Q883" s="582"/>
      <c r="R883" s="582"/>
      <c r="S883" s="582"/>
      <c r="T883" s="582"/>
      <c r="U883" s="582"/>
      <c r="V883" s="582"/>
      <c r="W883" s="582"/>
      <c r="X883" s="582"/>
      <c r="Y883" s="582"/>
      <c r="Z883" s="582"/>
      <c r="AA883" s="582"/>
      <c r="AB883" s="582"/>
      <c r="AC883" s="582"/>
      <c r="AD883" s="582"/>
      <c r="AE883" s="582"/>
      <c r="AF883" s="1069"/>
    </row>
    <row r="884">
      <c r="A884" s="582"/>
      <c r="B884" s="582"/>
      <c r="C884" s="582"/>
      <c r="D884" s="582"/>
      <c r="E884" s="582"/>
      <c r="F884" s="582"/>
      <c r="G884" s="582"/>
      <c r="H884" s="582"/>
      <c r="I884" s="582"/>
      <c r="J884" s="582"/>
      <c r="K884" s="582"/>
      <c r="L884" s="582"/>
      <c r="M884" s="582"/>
      <c r="N884" s="582"/>
      <c r="O884" s="582"/>
      <c r="P884" s="582"/>
      <c r="Q884" s="582"/>
      <c r="R884" s="582"/>
      <c r="S884" s="582"/>
      <c r="T884" s="582"/>
      <c r="U884" s="582"/>
      <c r="V884" s="582"/>
      <c r="W884" s="582"/>
      <c r="X884" s="582"/>
      <c r="Y884" s="582"/>
      <c r="Z884" s="582"/>
      <c r="AA884" s="582"/>
      <c r="AB884" s="582"/>
      <c r="AC884" s="582"/>
      <c r="AD884" s="582"/>
      <c r="AE884" s="582"/>
      <c r="AF884" s="1069"/>
    </row>
    <row r="885">
      <c r="A885" s="582"/>
      <c r="B885" s="582"/>
      <c r="C885" s="582"/>
      <c r="D885" s="582"/>
      <c r="E885" s="582"/>
      <c r="F885" s="582"/>
      <c r="G885" s="582"/>
      <c r="H885" s="582"/>
      <c r="I885" s="582"/>
      <c r="J885" s="582"/>
      <c r="K885" s="582"/>
      <c r="L885" s="582"/>
      <c r="M885" s="582"/>
      <c r="N885" s="582"/>
      <c r="O885" s="582"/>
      <c r="P885" s="582"/>
      <c r="Q885" s="582"/>
      <c r="R885" s="582"/>
      <c r="S885" s="582"/>
      <c r="T885" s="582"/>
      <c r="U885" s="582"/>
      <c r="V885" s="582"/>
      <c r="W885" s="582"/>
      <c r="X885" s="582"/>
      <c r="Y885" s="582"/>
      <c r="Z885" s="582"/>
      <c r="AA885" s="582"/>
      <c r="AB885" s="582"/>
      <c r="AC885" s="582"/>
      <c r="AD885" s="582"/>
      <c r="AE885" s="582"/>
      <c r="AF885" s="1069"/>
    </row>
    <row r="886">
      <c r="A886" s="582"/>
      <c r="B886" s="582"/>
      <c r="C886" s="582"/>
      <c r="D886" s="582"/>
      <c r="E886" s="582"/>
      <c r="F886" s="582"/>
      <c r="G886" s="582"/>
      <c r="H886" s="582"/>
      <c r="I886" s="582"/>
      <c r="J886" s="582"/>
      <c r="K886" s="582"/>
      <c r="L886" s="582"/>
      <c r="M886" s="582"/>
      <c r="N886" s="582"/>
      <c r="O886" s="582"/>
      <c r="P886" s="582"/>
      <c r="Q886" s="582"/>
      <c r="R886" s="582"/>
      <c r="S886" s="582"/>
      <c r="T886" s="582"/>
      <c r="U886" s="582"/>
      <c r="V886" s="582"/>
      <c r="W886" s="582"/>
      <c r="X886" s="582"/>
      <c r="Y886" s="582"/>
      <c r="Z886" s="582"/>
      <c r="AA886" s="582"/>
      <c r="AB886" s="582"/>
      <c r="AC886" s="582"/>
      <c r="AD886" s="582"/>
      <c r="AE886" s="582"/>
      <c r="AF886" s="1069"/>
    </row>
    <row r="887">
      <c r="A887" s="582"/>
      <c r="B887" s="582"/>
      <c r="C887" s="582"/>
      <c r="D887" s="582"/>
      <c r="E887" s="582"/>
      <c r="F887" s="582"/>
      <c r="G887" s="582"/>
      <c r="H887" s="582"/>
      <c r="I887" s="582"/>
      <c r="J887" s="582"/>
      <c r="K887" s="582"/>
      <c r="L887" s="582"/>
      <c r="M887" s="582"/>
      <c r="N887" s="582"/>
      <c r="O887" s="582"/>
      <c r="P887" s="582"/>
      <c r="Q887" s="582"/>
      <c r="R887" s="582"/>
      <c r="S887" s="582"/>
      <c r="T887" s="582"/>
      <c r="U887" s="582"/>
      <c r="V887" s="582"/>
      <c r="W887" s="582"/>
      <c r="X887" s="582"/>
      <c r="Y887" s="582"/>
      <c r="Z887" s="582"/>
      <c r="AA887" s="582"/>
      <c r="AB887" s="582"/>
      <c r="AC887" s="582"/>
      <c r="AD887" s="582"/>
      <c r="AE887" s="582"/>
      <c r="AF887" s="1069"/>
    </row>
    <row r="888">
      <c r="A888" s="582"/>
      <c r="B888" s="582"/>
      <c r="C888" s="582"/>
      <c r="D888" s="582"/>
      <c r="E888" s="582"/>
      <c r="F888" s="582"/>
      <c r="G888" s="582"/>
      <c r="H888" s="582"/>
      <c r="I888" s="582"/>
      <c r="J888" s="582"/>
      <c r="K888" s="582"/>
      <c r="L888" s="582"/>
      <c r="M888" s="582"/>
      <c r="N888" s="582"/>
      <c r="O888" s="582"/>
      <c r="P888" s="582"/>
      <c r="Q888" s="582"/>
      <c r="R888" s="582"/>
      <c r="S888" s="582"/>
      <c r="T888" s="582"/>
      <c r="U888" s="582"/>
      <c r="V888" s="582"/>
      <c r="W888" s="582"/>
      <c r="X888" s="582"/>
      <c r="Y888" s="582"/>
      <c r="Z888" s="582"/>
      <c r="AA888" s="582"/>
      <c r="AB888" s="582"/>
      <c r="AC888" s="582"/>
      <c r="AD888" s="582"/>
      <c r="AE888" s="582"/>
      <c r="AF888" s="1069"/>
    </row>
    <row r="889">
      <c r="A889" s="582"/>
      <c r="B889" s="582"/>
      <c r="C889" s="582"/>
      <c r="D889" s="582"/>
      <c r="E889" s="582"/>
      <c r="F889" s="582"/>
      <c r="G889" s="582"/>
      <c r="H889" s="582"/>
      <c r="I889" s="582"/>
      <c r="J889" s="582"/>
      <c r="K889" s="582"/>
      <c r="L889" s="582"/>
      <c r="M889" s="582"/>
      <c r="N889" s="582"/>
      <c r="O889" s="582"/>
      <c r="P889" s="582"/>
      <c r="Q889" s="582"/>
      <c r="R889" s="582"/>
      <c r="S889" s="582"/>
      <c r="T889" s="582"/>
      <c r="U889" s="582"/>
      <c r="V889" s="582"/>
      <c r="W889" s="582"/>
      <c r="X889" s="582"/>
      <c r="Y889" s="582"/>
      <c r="Z889" s="582"/>
      <c r="AA889" s="582"/>
      <c r="AB889" s="582"/>
      <c r="AC889" s="582"/>
      <c r="AD889" s="582"/>
      <c r="AE889" s="582"/>
      <c r="AF889" s="1069"/>
    </row>
    <row r="890">
      <c r="A890" s="582"/>
      <c r="B890" s="582"/>
      <c r="C890" s="582"/>
      <c r="D890" s="582"/>
      <c r="E890" s="582"/>
      <c r="F890" s="582"/>
      <c r="G890" s="582"/>
      <c r="H890" s="582"/>
      <c r="I890" s="582"/>
      <c r="J890" s="582"/>
      <c r="K890" s="582"/>
      <c r="L890" s="582"/>
      <c r="M890" s="582"/>
      <c r="N890" s="582"/>
      <c r="O890" s="582"/>
      <c r="P890" s="582"/>
      <c r="Q890" s="582"/>
      <c r="R890" s="582"/>
      <c r="S890" s="582"/>
      <c r="T890" s="582"/>
      <c r="U890" s="582"/>
      <c r="V890" s="582"/>
      <c r="W890" s="582"/>
      <c r="X890" s="582"/>
      <c r="Y890" s="582"/>
      <c r="Z890" s="582"/>
      <c r="AA890" s="582"/>
      <c r="AB890" s="582"/>
      <c r="AC890" s="582"/>
      <c r="AD890" s="582"/>
      <c r="AE890" s="582"/>
      <c r="AF890" s="1069"/>
    </row>
    <row r="891">
      <c r="A891" s="582"/>
      <c r="B891" s="582"/>
      <c r="C891" s="582"/>
      <c r="D891" s="582"/>
      <c r="E891" s="582"/>
      <c r="F891" s="582"/>
      <c r="G891" s="582"/>
      <c r="H891" s="582"/>
      <c r="I891" s="582"/>
      <c r="J891" s="582"/>
      <c r="K891" s="582"/>
      <c r="L891" s="582"/>
      <c r="M891" s="582"/>
      <c r="N891" s="582"/>
      <c r="O891" s="582"/>
      <c r="P891" s="582"/>
      <c r="Q891" s="582"/>
      <c r="R891" s="582"/>
      <c r="S891" s="582"/>
      <c r="T891" s="582"/>
      <c r="U891" s="582"/>
      <c r="V891" s="582"/>
      <c r="W891" s="582"/>
      <c r="X891" s="582"/>
      <c r="Y891" s="582"/>
      <c r="Z891" s="582"/>
      <c r="AA891" s="582"/>
      <c r="AB891" s="582"/>
      <c r="AC891" s="582"/>
      <c r="AD891" s="582"/>
      <c r="AE891" s="582"/>
      <c r="AF891" s="1069"/>
    </row>
    <row r="892">
      <c r="A892" s="582"/>
      <c r="B892" s="582"/>
      <c r="C892" s="582"/>
      <c r="D892" s="582"/>
      <c r="E892" s="582"/>
      <c r="F892" s="582"/>
      <c r="G892" s="582"/>
      <c r="H892" s="582"/>
      <c r="I892" s="582"/>
      <c r="J892" s="582"/>
      <c r="K892" s="582"/>
      <c r="L892" s="582"/>
      <c r="M892" s="582"/>
      <c r="N892" s="582"/>
      <c r="O892" s="582"/>
      <c r="P892" s="582"/>
      <c r="Q892" s="582"/>
      <c r="R892" s="582"/>
      <c r="S892" s="582"/>
      <c r="T892" s="582"/>
      <c r="U892" s="582"/>
      <c r="V892" s="582"/>
      <c r="W892" s="582"/>
      <c r="X892" s="582"/>
      <c r="Y892" s="582"/>
      <c r="Z892" s="582"/>
      <c r="AA892" s="582"/>
      <c r="AB892" s="582"/>
      <c r="AC892" s="582"/>
      <c r="AD892" s="582"/>
      <c r="AE892" s="582"/>
      <c r="AF892" s="1069"/>
    </row>
    <row r="893">
      <c r="A893" s="582"/>
      <c r="B893" s="582"/>
      <c r="C893" s="582"/>
      <c r="D893" s="582"/>
      <c r="E893" s="582"/>
      <c r="F893" s="582"/>
      <c r="G893" s="582"/>
      <c r="H893" s="582"/>
      <c r="I893" s="582"/>
      <c r="J893" s="582"/>
      <c r="K893" s="582"/>
      <c r="L893" s="582"/>
      <c r="M893" s="582"/>
      <c r="N893" s="582"/>
      <c r="O893" s="582"/>
      <c r="P893" s="582"/>
      <c r="Q893" s="582"/>
      <c r="R893" s="582"/>
      <c r="S893" s="582"/>
      <c r="T893" s="582"/>
      <c r="U893" s="582"/>
      <c r="V893" s="582"/>
      <c r="W893" s="582"/>
      <c r="X893" s="582"/>
      <c r="Y893" s="582"/>
      <c r="Z893" s="582"/>
      <c r="AA893" s="582"/>
      <c r="AB893" s="582"/>
      <c r="AC893" s="582"/>
      <c r="AD893" s="582"/>
      <c r="AE893" s="582"/>
      <c r="AF893" s="1069"/>
    </row>
    <row r="894">
      <c r="A894" s="582"/>
      <c r="B894" s="582"/>
      <c r="C894" s="582"/>
      <c r="D894" s="582"/>
      <c r="E894" s="582"/>
      <c r="F894" s="582"/>
      <c r="G894" s="582"/>
      <c r="H894" s="582"/>
      <c r="I894" s="582"/>
      <c r="J894" s="582"/>
      <c r="K894" s="582"/>
      <c r="L894" s="582"/>
      <c r="M894" s="582"/>
      <c r="N894" s="582"/>
      <c r="O894" s="582"/>
      <c r="P894" s="582"/>
      <c r="Q894" s="582"/>
      <c r="R894" s="582"/>
      <c r="S894" s="582"/>
      <c r="T894" s="582"/>
      <c r="U894" s="582"/>
      <c r="V894" s="582"/>
      <c r="W894" s="582"/>
      <c r="X894" s="582"/>
      <c r="Y894" s="582"/>
      <c r="Z894" s="582"/>
      <c r="AA894" s="582"/>
      <c r="AB894" s="582"/>
      <c r="AC894" s="582"/>
      <c r="AD894" s="582"/>
      <c r="AE894" s="582"/>
      <c r="AF894" s="1069"/>
    </row>
    <row r="895">
      <c r="A895" s="582"/>
      <c r="B895" s="582"/>
      <c r="C895" s="582"/>
      <c r="D895" s="582"/>
      <c r="E895" s="582"/>
      <c r="F895" s="582"/>
      <c r="G895" s="582"/>
      <c r="H895" s="582"/>
      <c r="I895" s="582"/>
      <c r="J895" s="582"/>
      <c r="K895" s="582"/>
      <c r="L895" s="582"/>
      <c r="M895" s="582"/>
      <c r="N895" s="582"/>
      <c r="O895" s="582"/>
      <c r="P895" s="582"/>
      <c r="Q895" s="582"/>
      <c r="R895" s="582"/>
      <c r="S895" s="582"/>
      <c r="T895" s="582"/>
      <c r="U895" s="582"/>
      <c r="V895" s="582"/>
      <c r="W895" s="582"/>
      <c r="X895" s="582"/>
      <c r="Y895" s="582"/>
      <c r="Z895" s="582"/>
      <c r="AA895" s="582"/>
      <c r="AB895" s="582"/>
      <c r="AC895" s="582"/>
      <c r="AD895" s="582"/>
      <c r="AE895" s="582"/>
      <c r="AF895" s="1069"/>
    </row>
    <row r="896">
      <c r="A896" s="582"/>
      <c r="B896" s="582"/>
      <c r="C896" s="582"/>
      <c r="D896" s="582"/>
      <c r="E896" s="582"/>
      <c r="F896" s="582"/>
      <c r="G896" s="582"/>
      <c r="H896" s="582"/>
      <c r="I896" s="582"/>
      <c r="J896" s="582"/>
      <c r="K896" s="582"/>
      <c r="L896" s="582"/>
      <c r="M896" s="582"/>
      <c r="N896" s="582"/>
      <c r="O896" s="582"/>
      <c r="P896" s="582"/>
      <c r="Q896" s="582"/>
      <c r="R896" s="582"/>
      <c r="S896" s="582"/>
      <c r="T896" s="582"/>
      <c r="U896" s="582"/>
      <c r="V896" s="582"/>
      <c r="W896" s="582"/>
      <c r="X896" s="582"/>
      <c r="Y896" s="582"/>
      <c r="Z896" s="582"/>
      <c r="AA896" s="582"/>
      <c r="AB896" s="582"/>
      <c r="AC896" s="582"/>
      <c r="AD896" s="582"/>
      <c r="AE896" s="582"/>
      <c r="AF896" s="1069"/>
    </row>
    <row r="897">
      <c r="A897" s="582"/>
      <c r="B897" s="582"/>
      <c r="C897" s="582"/>
      <c r="D897" s="582"/>
      <c r="E897" s="582"/>
      <c r="F897" s="582"/>
      <c r="G897" s="582"/>
      <c r="H897" s="582"/>
      <c r="I897" s="582"/>
      <c r="J897" s="582"/>
      <c r="K897" s="582"/>
      <c r="L897" s="582"/>
      <c r="M897" s="582"/>
      <c r="N897" s="582"/>
      <c r="O897" s="582"/>
      <c r="P897" s="582"/>
      <c r="Q897" s="582"/>
      <c r="R897" s="582"/>
      <c r="S897" s="582"/>
      <c r="T897" s="582"/>
      <c r="U897" s="582"/>
      <c r="V897" s="582"/>
      <c r="W897" s="582"/>
      <c r="X897" s="582"/>
      <c r="Y897" s="582"/>
      <c r="Z897" s="582"/>
      <c r="AA897" s="582"/>
      <c r="AB897" s="582"/>
      <c r="AC897" s="582"/>
      <c r="AD897" s="582"/>
      <c r="AE897" s="582"/>
      <c r="AF897" s="1069"/>
    </row>
    <row r="898">
      <c r="A898" s="582"/>
      <c r="B898" s="582"/>
      <c r="C898" s="582"/>
      <c r="D898" s="582"/>
      <c r="E898" s="582"/>
      <c r="F898" s="582"/>
      <c r="G898" s="582"/>
      <c r="H898" s="582"/>
      <c r="I898" s="582"/>
      <c r="J898" s="582"/>
      <c r="K898" s="582"/>
      <c r="L898" s="582"/>
      <c r="M898" s="582"/>
      <c r="N898" s="582"/>
      <c r="O898" s="582"/>
      <c r="P898" s="582"/>
      <c r="Q898" s="582"/>
      <c r="R898" s="582"/>
      <c r="S898" s="582"/>
      <c r="T898" s="582"/>
      <c r="U898" s="582"/>
      <c r="V898" s="582"/>
      <c r="W898" s="582"/>
      <c r="X898" s="582"/>
      <c r="Y898" s="582"/>
      <c r="Z898" s="582"/>
      <c r="AA898" s="582"/>
      <c r="AB898" s="582"/>
      <c r="AC898" s="582"/>
      <c r="AD898" s="582"/>
      <c r="AE898" s="582"/>
      <c r="AF898" s="1069"/>
    </row>
    <row r="899">
      <c r="A899" s="582"/>
      <c r="B899" s="582"/>
      <c r="C899" s="582"/>
      <c r="D899" s="582"/>
      <c r="E899" s="582"/>
      <c r="F899" s="582"/>
      <c r="G899" s="582"/>
      <c r="H899" s="582"/>
      <c r="I899" s="582"/>
      <c r="J899" s="582"/>
      <c r="K899" s="582"/>
      <c r="L899" s="582"/>
      <c r="M899" s="582"/>
      <c r="N899" s="582"/>
      <c r="O899" s="582"/>
      <c r="P899" s="582"/>
      <c r="Q899" s="582"/>
      <c r="R899" s="582"/>
      <c r="S899" s="582"/>
      <c r="T899" s="582"/>
      <c r="U899" s="582"/>
      <c r="V899" s="582"/>
      <c r="W899" s="582"/>
      <c r="X899" s="582"/>
      <c r="Y899" s="582"/>
      <c r="Z899" s="582"/>
      <c r="AA899" s="582"/>
      <c r="AB899" s="582"/>
      <c r="AC899" s="582"/>
      <c r="AD899" s="582"/>
      <c r="AE899" s="582"/>
      <c r="AF899" s="1069"/>
    </row>
    <row r="900">
      <c r="A900" s="582"/>
      <c r="B900" s="582"/>
      <c r="C900" s="582"/>
      <c r="D900" s="582"/>
      <c r="E900" s="582"/>
      <c r="F900" s="582"/>
      <c r="G900" s="582"/>
      <c r="H900" s="582"/>
      <c r="I900" s="582"/>
      <c r="J900" s="582"/>
      <c r="K900" s="582"/>
      <c r="L900" s="582"/>
      <c r="M900" s="582"/>
      <c r="N900" s="582"/>
      <c r="O900" s="582"/>
      <c r="P900" s="582"/>
      <c r="Q900" s="582"/>
      <c r="R900" s="582"/>
      <c r="S900" s="582"/>
      <c r="T900" s="582"/>
      <c r="U900" s="582"/>
      <c r="V900" s="582"/>
      <c r="W900" s="582"/>
      <c r="X900" s="582"/>
      <c r="Y900" s="582"/>
      <c r="Z900" s="582"/>
      <c r="AA900" s="582"/>
      <c r="AB900" s="582"/>
      <c r="AC900" s="582"/>
      <c r="AD900" s="582"/>
      <c r="AE900" s="582"/>
      <c r="AF900" s="1069"/>
    </row>
    <row r="901">
      <c r="A901" s="582"/>
      <c r="B901" s="582"/>
      <c r="C901" s="582"/>
      <c r="D901" s="582"/>
      <c r="E901" s="582"/>
      <c r="F901" s="582"/>
      <c r="G901" s="582"/>
      <c r="H901" s="582"/>
      <c r="I901" s="582"/>
      <c r="J901" s="582"/>
      <c r="K901" s="582"/>
      <c r="L901" s="582"/>
      <c r="M901" s="582"/>
      <c r="N901" s="582"/>
      <c r="O901" s="582"/>
      <c r="P901" s="582"/>
      <c r="Q901" s="582"/>
      <c r="R901" s="582"/>
      <c r="S901" s="582"/>
      <c r="T901" s="582"/>
      <c r="U901" s="582"/>
      <c r="V901" s="582"/>
      <c r="W901" s="582"/>
      <c r="X901" s="582"/>
      <c r="Y901" s="582"/>
      <c r="Z901" s="582"/>
      <c r="AA901" s="582"/>
      <c r="AB901" s="582"/>
      <c r="AC901" s="582"/>
      <c r="AD901" s="582"/>
      <c r="AE901" s="582"/>
      <c r="AF901" s="1069"/>
    </row>
    <row r="902">
      <c r="A902" s="582"/>
      <c r="B902" s="582"/>
      <c r="C902" s="582"/>
      <c r="D902" s="582"/>
      <c r="E902" s="582"/>
      <c r="F902" s="582"/>
      <c r="G902" s="582"/>
      <c r="H902" s="582"/>
      <c r="I902" s="582"/>
      <c r="J902" s="582"/>
      <c r="K902" s="582"/>
      <c r="L902" s="582"/>
      <c r="M902" s="582"/>
      <c r="N902" s="582"/>
      <c r="O902" s="582"/>
      <c r="P902" s="582"/>
      <c r="Q902" s="582"/>
      <c r="R902" s="582"/>
      <c r="S902" s="582"/>
      <c r="T902" s="582"/>
      <c r="U902" s="582"/>
      <c r="V902" s="582"/>
      <c r="W902" s="582"/>
      <c r="X902" s="582"/>
      <c r="Y902" s="582"/>
      <c r="Z902" s="582"/>
      <c r="AA902" s="582"/>
      <c r="AB902" s="582"/>
      <c r="AC902" s="582"/>
      <c r="AD902" s="582"/>
      <c r="AE902" s="582"/>
      <c r="AF902" s="1069"/>
    </row>
    <row r="903">
      <c r="A903" s="582"/>
      <c r="B903" s="582"/>
      <c r="C903" s="582"/>
      <c r="D903" s="582"/>
      <c r="E903" s="582"/>
      <c r="F903" s="582"/>
      <c r="G903" s="582"/>
      <c r="H903" s="582"/>
      <c r="I903" s="582"/>
      <c r="J903" s="582"/>
      <c r="K903" s="582"/>
      <c r="L903" s="582"/>
      <c r="M903" s="582"/>
      <c r="N903" s="582"/>
      <c r="O903" s="582"/>
      <c r="P903" s="582"/>
      <c r="Q903" s="582"/>
      <c r="R903" s="582"/>
      <c r="S903" s="582"/>
      <c r="T903" s="582"/>
      <c r="U903" s="582"/>
      <c r="V903" s="582"/>
      <c r="W903" s="582"/>
      <c r="X903" s="582"/>
      <c r="Y903" s="582"/>
      <c r="Z903" s="582"/>
      <c r="AA903" s="582"/>
      <c r="AB903" s="582"/>
      <c r="AC903" s="582"/>
      <c r="AD903" s="582"/>
      <c r="AE903" s="582"/>
      <c r="AF903" s="1069"/>
    </row>
    <row r="904">
      <c r="A904" s="582"/>
      <c r="B904" s="582"/>
      <c r="C904" s="582"/>
      <c r="D904" s="582"/>
      <c r="E904" s="582"/>
      <c r="F904" s="582"/>
      <c r="G904" s="582"/>
      <c r="H904" s="582"/>
      <c r="I904" s="582"/>
      <c r="J904" s="582"/>
      <c r="K904" s="582"/>
      <c r="L904" s="582"/>
      <c r="M904" s="582"/>
      <c r="N904" s="582"/>
      <c r="O904" s="582"/>
      <c r="P904" s="582"/>
      <c r="Q904" s="582"/>
      <c r="R904" s="582"/>
      <c r="S904" s="582"/>
      <c r="T904" s="582"/>
      <c r="U904" s="582"/>
      <c r="V904" s="582"/>
      <c r="W904" s="582"/>
      <c r="X904" s="582"/>
      <c r="Y904" s="582"/>
      <c r="Z904" s="582"/>
      <c r="AA904" s="582"/>
      <c r="AB904" s="582"/>
      <c r="AC904" s="582"/>
      <c r="AD904" s="582"/>
      <c r="AE904" s="582"/>
      <c r="AF904" s="1069"/>
    </row>
    <row r="905">
      <c r="A905" s="582"/>
      <c r="B905" s="582"/>
      <c r="C905" s="582"/>
      <c r="D905" s="582"/>
      <c r="E905" s="582"/>
      <c r="F905" s="582"/>
      <c r="G905" s="582"/>
      <c r="H905" s="582"/>
      <c r="I905" s="582"/>
      <c r="J905" s="582"/>
      <c r="K905" s="582"/>
      <c r="L905" s="582"/>
      <c r="M905" s="582"/>
      <c r="N905" s="582"/>
      <c r="O905" s="582"/>
      <c r="P905" s="582"/>
      <c r="Q905" s="582"/>
      <c r="R905" s="582"/>
      <c r="S905" s="582"/>
      <c r="T905" s="582"/>
      <c r="U905" s="582"/>
      <c r="V905" s="582"/>
      <c r="W905" s="582"/>
      <c r="X905" s="582"/>
      <c r="Y905" s="582"/>
      <c r="Z905" s="582"/>
      <c r="AA905" s="582"/>
      <c r="AB905" s="582"/>
      <c r="AC905" s="582"/>
      <c r="AD905" s="582"/>
      <c r="AE905" s="582"/>
      <c r="AF905" s="1069"/>
    </row>
    <row r="906">
      <c r="A906" s="582"/>
      <c r="B906" s="582"/>
      <c r="C906" s="582"/>
      <c r="D906" s="582"/>
      <c r="E906" s="582"/>
      <c r="F906" s="582"/>
      <c r="G906" s="582"/>
      <c r="H906" s="582"/>
      <c r="I906" s="582"/>
      <c r="J906" s="582"/>
      <c r="K906" s="582"/>
      <c r="L906" s="582"/>
      <c r="M906" s="582"/>
      <c r="N906" s="582"/>
      <c r="O906" s="582"/>
      <c r="P906" s="582"/>
      <c r="Q906" s="582"/>
      <c r="R906" s="582"/>
      <c r="S906" s="582"/>
      <c r="T906" s="582"/>
      <c r="U906" s="582"/>
      <c r="V906" s="582"/>
      <c r="W906" s="582"/>
      <c r="X906" s="582"/>
      <c r="Y906" s="582"/>
      <c r="Z906" s="582"/>
      <c r="AA906" s="582"/>
      <c r="AB906" s="582"/>
      <c r="AC906" s="582"/>
      <c r="AD906" s="582"/>
      <c r="AE906" s="582"/>
      <c r="AF906" s="1069"/>
    </row>
    <row r="907">
      <c r="A907" s="582"/>
      <c r="B907" s="582"/>
      <c r="C907" s="582"/>
      <c r="D907" s="582"/>
      <c r="E907" s="582"/>
      <c r="F907" s="582"/>
      <c r="G907" s="582"/>
      <c r="H907" s="582"/>
      <c r="I907" s="582"/>
      <c r="J907" s="582"/>
      <c r="K907" s="582"/>
      <c r="L907" s="582"/>
      <c r="M907" s="582"/>
      <c r="N907" s="582"/>
      <c r="O907" s="582"/>
      <c r="P907" s="582"/>
      <c r="Q907" s="582"/>
      <c r="R907" s="582"/>
      <c r="S907" s="582"/>
      <c r="T907" s="582"/>
      <c r="U907" s="582"/>
      <c r="V907" s="582"/>
      <c r="W907" s="582"/>
      <c r="X907" s="582"/>
      <c r="Y907" s="582"/>
      <c r="Z907" s="582"/>
      <c r="AA907" s="582"/>
      <c r="AB907" s="582"/>
      <c r="AC907" s="582"/>
      <c r="AD907" s="582"/>
      <c r="AE907" s="582"/>
      <c r="AF907" s="1069"/>
    </row>
    <row r="908">
      <c r="A908" s="582"/>
      <c r="B908" s="582"/>
      <c r="C908" s="582"/>
      <c r="D908" s="582"/>
      <c r="E908" s="582"/>
      <c r="F908" s="582"/>
      <c r="G908" s="582"/>
      <c r="H908" s="582"/>
      <c r="I908" s="582"/>
      <c r="J908" s="582"/>
      <c r="K908" s="582"/>
      <c r="L908" s="582"/>
      <c r="M908" s="582"/>
      <c r="N908" s="582"/>
      <c r="O908" s="582"/>
      <c r="P908" s="582"/>
      <c r="Q908" s="582"/>
      <c r="R908" s="582"/>
      <c r="S908" s="582"/>
      <c r="T908" s="582"/>
      <c r="U908" s="582"/>
      <c r="V908" s="582"/>
      <c r="W908" s="582"/>
      <c r="X908" s="582"/>
      <c r="Y908" s="582"/>
      <c r="Z908" s="582"/>
      <c r="AA908" s="582"/>
      <c r="AB908" s="582"/>
      <c r="AC908" s="582"/>
      <c r="AD908" s="582"/>
      <c r="AE908" s="582"/>
      <c r="AF908" s="1069"/>
    </row>
    <row r="909">
      <c r="A909" s="582"/>
      <c r="B909" s="582"/>
      <c r="C909" s="582"/>
      <c r="D909" s="582"/>
      <c r="E909" s="582"/>
      <c r="F909" s="582"/>
      <c r="G909" s="582"/>
      <c r="H909" s="582"/>
      <c r="I909" s="582"/>
      <c r="J909" s="582"/>
      <c r="K909" s="582"/>
      <c r="L909" s="582"/>
      <c r="M909" s="582"/>
      <c r="N909" s="582"/>
      <c r="O909" s="582"/>
      <c r="P909" s="582"/>
      <c r="Q909" s="582"/>
      <c r="R909" s="582"/>
      <c r="S909" s="582"/>
      <c r="T909" s="582"/>
      <c r="U909" s="582"/>
      <c r="V909" s="582"/>
      <c r="W909" s="582"/>
      <c r="X909" s="582"/>
      <c r="Y909" s="582"/>
      <c r="Z909" s="582"/>
      <c r="AA909" s="582"/>
      <c r="AB909" s="582"/>
      <c r="AC909" s="582"/>
      <c r="AD909" s="582"/>
      <c r="AE909" s="582"/>
      <c r="AF909" s="1069"/>
    </row>
    <row r="910">
      <c r="A910" s="582"/>
      <c r="B910" s="582"/>
      <c r="C910" s="582"/>
      <c r="D910" s="582"/>
      <c r="E910" s="582"/>
      <c r="F910" s="582"/>
      <c r="G910" s="582"/>
      <c r="H910" s="582"/>
      <c r="I910" s="582"/>
      <c r="J910" s="582"/>
      <c r="K910" s="582"/>
      <c r="L910" s="582"/>
      <c r="M910" s="582"/>
      <c r="N910" s="582"/>
      <c r="O910" s="582"/>
      <c r="P910" s="582"/>
      <c r="Q910" s="582"/>
      <c r="R910" s="582"/>
      <c r="S910" s="582"/>
      <c r="T910" s="582"/>
      <c r="U910" s="582"/>
      <c r="V910" s="582"/>
      <c r="W910" s="582"/>
      <c r="X910" s="582"/>
      <c r="Y910" s="582"/>
      <c r="Z910" s="582"/>
      <c r="AA910" s="582"/>
      <c r="AB910" s="582"/>
      <c r="AC910" s="582"/>
      <c r="AD910" s="582"/>
      <c r="AE910" s="582"/>
      <c r="AF910" s="1069"/>
    </row>
    <row r="911">
      <c r="A911" s="582"/>
      <c r="B911" s="582"/>
      <c r="C911" s="582"/>
      <c r="D911" s="582"/>
      <c r="E911" s="582"/>
      <c r="F911" s="582"/>
      <c r="G911" s="582"/>
      <c r="H911" s="582"/>
      <c r="I911" s="582"/>
      <c r="J911" s="582"/>
      <c r="K911" s="582"/>
      <c r="L911" s="582"/>
      <c r="M911" s="582"/>
      <c r="N911" s="582"/>
      <c r="O911" s="582"/>
      <c r="P911" s="582"/>
      <c r="Q911" s="582"/>
      <c r="R911" s="582"/>
      <c r="S911" s="582"/>
      <c r="T911" s="582"/>
      <c r="U911" s="582"/>
      <c r="V911" s="582"/>
      <c r="W911" s="582"/>
      <c r="X911" s="582"/>
      <c r="Y911" s="582"/>
      <c r="Z911" s="582"/>
      <c r="AA911" s="582"/>
      <c r="AB911" s="582"/>
      <c r="AC911" s="582"/>
      <c r="AD911" s="582"/>
      <c r="AE911" s="582"/>
      <c r="AF911" s="1069"/>
    </row>
    <row r="912">
      <c r="A912" s="582"/>
      <c r="B912" s="582"/>
      <c r="C912" s="582"/>
      <c r="D912" s="582"/>
      <c r="E912" s="582"/>
      <c r="F912" s="582"/>
      <c r="G912" s="582"/>
      <c r="H912" s="582"/>
      <c r="I912" s="582"/>
      <c r="J912" s="582"/>
      <c r="K912" s="582"/>
      <c r="L912" s="582"/>
      <c r="M912" s="582"/>
      <c r="N912" s="582"/>
      <c r="O912" s="582"/>
      <c r="P912" s="582"/>
      <c r="Q912" s="582"/>
      <c r="R912" s="582"/>
      <c r="S912" s="582"/>
      <c r="T912" s="582"/>
      <c r="U912" s="582"/>
      <c r="V912" s="582"/>
      <c r="W912" s="582"/>
      <c r="X912" s="582"/>
      <c r="Y912" s="582"/>
      <c r="Z912" s="582"/>
      <c r="AA912" s="582"/>
      <c r="AB912" s="582"/>
      <c r="AC912" s="582"/>
      <c r="AD912" s="582"/>
      <c r="AE912" s="582"/>
      <c r="AF912" s="1069"/>
    </row>
    <row r="913">
      <c r="A913" s="582"/>
      <c r="B913" s="582"/>
      <c r="C913" s="582"/>
      <c r="D913" s="582"/>
      <c r="E913" s="582"/>
      <c r="F913" s="582"/>
      <c r="G913" s="582"/>
      <c r="H913" s="582"/>
      <c r="I913" s="582"/>
      <c r="J913" s="582"/>
      <c r="K913" s="582"/>
      <c r="L913" s="582"/>
      <c r="M913" s="582"/>
      <c r="N913" s="582"/>
      <c r="O913" s="582"/>
      <c r="P913" s="582"/>
      <c r="Q913" s="582"/>
      <c r="R913" s="582"/>
      <c r="S913" s="582"/>
      <c r="T913" s="582"/>
      <c r="U913" s="582"/>
      <c r="V913" s="582"/>
      <c r="W913" s="582"/>
      <c r="X913" s="582"/>
      <c r="Y913" s="582"/>
      <c r="Z913" s="582"/>
      <c r="AA913" s="582"/>
      <c r="AB913" s="582"/>
      <c r="AC913" s="582"/>
      <c r="AD913" s="582"/>
      <c r="AE913" s="582"/>
      <c r="AF913" s="1069"/>
    </row>
    <row r="914">
      <c r="A914" s="582"/>
      <c r="B914" s="582"/>
      <c r="C914" s="582"/>
      <c r="D914" s="582"/>
      <c r="E914" s="582"/>
      <c r="F914" s="582"/>
      <c r="G914" s="582"/>
      <c r="H914" s="582"/>
      <c r="I914" s="582"/>
      <c r="J914" s="582"/>
      <c r="K914" s="582"/>
      <c r="L914" s="582"/>
      <c r="M914" s="582"/>
      <c r="N914" s="582"/>
      <c r="O914" s="582"/>
      <c r="P914" s="582"/>
      <c r="Q914" s="582"/>
      <c r="R914" s="582"/>
      <c r="S914" s="582"/>
      <c r="T914" s="582"/>
      <c r="U914" s="582"/>
      <c r="V914" s="582"/>
      <c r="W914" s="582"/>
      <c r="X914" s="582"/>
      <c r="Y914" s="582"/>
      <c r="Z914" s="582"/>
      <c r="AA914" s="582"/>
      <c r="AB914" s="582"/>
      <c r="AC914" s="582"/>
      <c r="AD914" s="582"/>
      <c r="AE914" s="582"/>
      <c r="AF914" s="1069"/>
    </row>
    <row r="915">
      <c r="A915" s="582"/>
      <c r="B915" s="582"/>
      <c r="C915" s="582"/>
      <c r="D915" s="582"/>
      <c r="E915" s="582"/>
      <c r="F915" s="582"/>
      <c r="G915" s="582"/>
      <c r="H915" s="582"/>
      <c r="I915" s="582"/>
      <c r="J915" s="582"/>
      <c r="K915" s="582"/>
      <c r="L915" s="582"/>
      <c r="M915" s="582"/>
      <c r="N915" s="582"/>
      <c r="O915" s="582"/>
      <c r="P915" s="582"/>
      <c r="Q915" s="582"/>
      <c r="R915" s="582"/>
      <c r="S915" s="582"/>
      <c r="T915" s="582"/>
      <c r="U915" s="582"/>
      <c r="V915" s="582"/>
      <c r="W915" s="582"/>
      <c r="X915" s="582"/>
      <c r="Y915" s="582"/>
      <c r="Z915" s="582"/>
      <c r="AA915" s="582"/>
      <c r="AB915" s="582"/>
      <c r="AC915" s="582"/>
      <c r="AD915" s="582"/>
      <c r="AE915" s="582"/>
      <c r="AF915" s="1069"/>
    </row>
    <row r="916">
      <c r="A916" s="582"/>
      <c r="B916" s="582"/>
      <c r="C916" s="582"/>
      <c r="D916" s="582"/>
      <c r="E916" s="582"/>
      <c r="F916" s="582"/>
      <c r="G916" s="582"/>
      <c r="H916" s="582"/>
      <c r="I916" s="582"/>
      <c r="J916" s="582"/>
      <c r="K916" s="582"/>
      <c r="L916" s="582"/>
      <c r="M916" s="582"/>
      <c r="N916" s="582"/>
      <c r="O916" s="582"/>
      <c r="P916" s="582"/>
      <c r="Q916" s="582"/>
      <c r="R916" s="582"/>
      <c r="S916" s="582"/>
      <c r="T916" s="582"/>
      <c r="U916" s="582"/>
      <c r="V916" s="582"/>
      <c r="W916" s="582"/>
      <c r="X916" s="582"/>
      <c r="Y916" s="582"/>
      <c r="Z916" s="582"/>
      <c r="AA916" s="582"/>
      <c r="AB916" s="582"/>
      <c r="AC916" s="582"/>
      <c r="AD916" s="582"/>
      <c r="AE916" s="582"/>
      <c r="AF916" s="1069"/>
    </row>
    <row r="917">
      <c r="A917" s="582"/>
      <c r="B917" s="582"/>
      <c r="C917" s="582"/>
      <c r="D917" s="582"/>
      <c r="E917" s="582"/>
      <c r="F917" s="582"/>
      <c r="G917" s="582"/>
      <c r="H917" s="582"/>
      <c r="I917" s="582"/>
      <c r="J917" s="582"/>
      <c r="K917" s="582"/>
      <c r="L917" s="582"/>
      <c r="M917" s="582"/>
      <c r="N917" s="582"/>
      <c r="O917" s="582"/>
      <c r="P917" s="582"/>
      <c r="Q917" s="582"/>
      <c r="R917" s="582"/>
      <c r="S917" s="582"/>
      <c r="T917" s="582"/>
      <c r="U917" s="582"/>
      <c r="V917" s="582"/>
      <c r="W917" s="582"/>
      <c r="X917" s="582"/>
      <c r="Y917" s="582"/>
      <c r="Z917" s="582"/>
      <c r="AA917" s="582"/>
      <c r="AB917" s="582"/>
      <c r="AC917" s="582"/>
      <c r="AD917" s="582"/>
      <c r="AE917" s="582"/>
      <c r="AF917" s="1069"/>
    </row>
    <row r="918">
      <c r="A918" s="582"/>
      <c r="B918" s="582"/>
      <c r="C918" s="582"/>
      <c r="D918" s="582"/>
      <c r="E918" s="582"/>
      <c r="F918" s="582"/>
      <c r="G918" s="582"/>
      <c r="H918" s="582"/>
      <c r="I918" s="582"/>
      <c r="J918" s="582"/>
      <c r="K918" s="582"/>
      <c r="L918" s="582"/>
      <c r="M918" s="582"/>
      <c r="N918" s="582"/>
      <c r="O918" s="582"/>
      <c r="P918" s="582"/>
      <c r="Q918" s="582"/>
      <c r="R918" s="582"/>
      <c r="S918" s="582"/>
      <c r="T918" s="582"/>
      <c r="U918" s="582"/>
      <c r="V918" s="582"/>
      <c r="W918" s="582"/>
      <c r="X918" s="582"/>
      <c r="Y918" s="582"/>
      <c r="Z918" s="582"/>
      <c r="AA918" s="582"/>
      <c r="AB918" s="582"/>
      <c r="AC918" s="582"/>
      <c r="AD918" s="582"/>
      <c r="AE918" s="582"/>
      <c r="AF918" s="1069"/>
    </row>
    <row r="919">
      <c r="A919" s="582"/>
      <c r="B919" s="582"/>
      <c r="C919" s="582"/>
      <c r="D919" s="582"/>
      <c r="E919" s="582"/>
      <c r="F919" s="582"/>
      <c r="G919" s="582"/>
      <c r="H919" s="582"/>
      <c r="I919" s="582"/>
      <c r="J919" s="582"/>
      <c r="K919" s="582"/>
      <c r="L919" s="582"/>
      <c r="M919" s="582"/>
      <c r="N919" s="582"/>
      <c r="O919" s="582"/>
      <c r="P919" s="582"/>
      <c r="Q919" s="582"/>
      <c r="R919" s="582"/>
      <c r="S919" s="582"/>
      <c r="T919" s="582"/>
      <c r="U919" s="582"/>
      <c r="V919" s="582"/>
      <c r="W919" s="582"/>
      <c r="X919" s="582"/>
      <c r="Y919" s="582"/>
      <c r="Z919" s="582"/>
      <c r="AA919" s="582"/>
      <c r="AB919" s="582"/>
      <c r="AC919" s="582"/>
      <c r="AD919" s="582"/>
      <c r="AE919" s="582"/>
      <c r="AF919" s="1069"/>
    </row>
    <row r="920">
      <c r="A920" s="582"/>
      <c r="B920" s="582"/>
      <c r="C920" s="582"/>
      <c r="D920" s="582"/>
      <c r="E920" s="582"/>
      <c r="F920" s="582"/>
      <c r="G920" s="582"/>
      <c r="H920" s="582"/>
      <c r="I920" s="582"/>
      <c r="J920" s="582"/>
      <c r="K920" s="582"/>
      <c r="L920" s="582"/>
      <c r="M920" s="582"/>
      <c r="N920" s="582"/>
      <c r="O920" s="582"/>
      <c r="P920" s="582"/>
      <c r="Q920" s="582"/>
      <c r="R920" s="582"/>
      <c r="S920" s="582"/>
      <c r="T920" s="582"/>
      <c r="U920" s="582"/>
      <c r="V920" s="582"/>
      <c r="W920" s="582"/>
      <c r="X920" s="582"/>
      <c r="Y920" s="582"/>
      <c r="Z920" s="582"/>
      <c r="AA920" s="582"/>
      <c r="AB920" s="582"/>
      <c r="AC920" s="582"/>
      <c r="AD920" s="582"/>
      <c r="AE920" s="582"/>
      <c r="AF920" s="1069"/>
    </row>
    <row r="921">
      <c r="A921" s="582"/>
      <c r="B921" s="582"/>
      <c r="C921" s="582"/>
      <c r="D921" s="582"/>
      <c r="E921" s="582"/>
      <c r="F921" s="582"/>
      <c r="G921" s="582"/>
      <c r="H921" s="582"/>
      <c r="I921" s="582"/>
      <c r="J921" s="582"/>
      <c r="K921" s="582"/>
      <c r="L921" s="582"/>
      <c r="M921" s="582"/>
      <c r="N921" s="582"/>
      <c r="O921" s="582"/>
      <c r="P921" s="582"/>
      <c r="Q921" s="582"/>
      <c r="R921" s="582"/>
      <c r="S921" s="582"/>
      <c r="T921" s="582"/>
      <c r="U921" s="582"/>
      <c r="V921" s="582"/>
      <c r="W921" s="582"/>
      <c r="X921" s="582"/>
      <c r="Y921" s="582"/>
      <c r="Z921" s="582"/>
      <c r="AA921" s="582"/>
      <c r="AB921" s="582"/>
      <c r="AC921" s="582"/>
      <c r="AD921" s="582"/>
      <c r="AE921" s="582"/>
      <c r="AF921" s="1069"/>
    </row>
    <row r="922">
      <c r="A922" s="582"/>
      <c r="B922" s="582"/>
      <c r="C922" s="582"/>
      <c r="D922" s="582"/>
      <c r="E922" s="582"/>
      <c r="F922" s="582"/>
      <c r="G922" s="582"/>
      <c r="H922" s="582"/>
      <c r="I922" s="582"/>
      <c r="J922" s="582"/>
      <c r="K922" s="582"/>
      <c r="L922" s="582"/>
      <c r="M922" s="582"/>
      <c r="N922" s="582"/>
      <c r="O922" s="582"/>
      <c r="P922" s="582"/>
      <c r="Q922" s="582"/>
      <c r="R922" s="582"/>
      <c r="S922" s="582"/>
      <c r="T922" s="582"/>
      <c r="U922" s="582"/>
      <c r="V922" s="582"/>
      <c r="W922" s="582"/>
      <c r="X922" s="582"/>
      <c r="Y922" s="582"/>
      <c r="Z922" s="582"/>
      <c r="AA922" s="582"/>
      <c r="AB922" s="582"/>
      <c r="AC922" s="582"/>
      <c r="AD922" s="582"/>
      <c r="AE922" s="582"/>
      <c r="AF922" s="1069"/>
    </row>
    <row r="923">
      <c r="A923" s="582"/>
      <c r="B923" s="582"/>
      <c r="C923" s="582"/>
      <c r="D923" s="582"/>
      <c r="E923" s="582"/>
      <c r="F923" s="582"/>
      <c r="G923" s="582"/>
      <c r="H923" s="582"/>
      <c r="I923" s="582"/>
      <c r="J923" s="582"/>
      <c r="K923" s="582"/>
      <c r="L923" s="582"/>
      <c r="M923" s="582"/>
      <c r="N923" s="582"/>
      <c r="O923" s="582"/>
      <c r="P923" s="582"/>
      <c r="Q923" s="582"/>
      <c r="R923" s="582"/>
      <c r="S923" s="582"/>
      <c r="T923" s="582"/>
      <c r="U923" s="582"/>
      <c r="V923" s="582"/>
      <c r="W923" s="582"/>
      <c r="X923" s="582"/>
      <c r="Y923" s="582"/>
      <c r="Z923" s="582"/>
      <c r="AA923" s="582"/>
      <c r="AB923" s="582"/>
      <c r="AC923" s="582"/>
      <c r="AD923" s="582"/>
      <c r="AE923" s="582"/>
      <c r="AF923" s="1069"/>
    </row>
    <row r="924">
      <c r="A924" s="582"/>
      <c r="B924" s="582"/>
      <c r="C924" s="582"/>
      <c r="D924" s="582"/>
      <c r="E924" s="582"/>
      <c r="F924" s="582"/>
      <c r="G924" s="582"/>
      <c r="H924" s="582"/>
      <c r="I924" s="582"/>
      <c r="J924" s="582"/>
      <c r="K924" s="582"/>
      <c r="L924" s="582"/>
      <c r="M924" s="582"/>
      <c r="N924" s="582"/>
      <c r="O924" s="582"/>
      <c r="P924" s="582"/>
      <c r="Q924" s="582"/>
      <c r="R924" s="582"/>
      <c r="S924" s="582"/>
      <c r="T924" s="582"/>
      <c r="U924" s="582"/>
      <c r="V924" s="582"/>
      <c r="W924" s="582"/>
      <c r="X924" s="582"/>
      <c r="Y924" s="582"/>
      <c r="Z924" s="582"/>
      <c r="AA924" s="582"/>
      <c r="AB924" s="582"/>
      <c r="AC924" s="582"/>
      <c r="AD924" s="582"/>
      <c r="AE924" s="582"/>
      <c r="AF924" s="1069"/>
    </row>
    <row r="925">
      <c r="A925" s="582"/>
      <c r="B925" s="582"/>
      <c r="C925" s="582"/>
      <c r="D925" s="582"/>
      <c r="E925" s="582"/>
      <c r="F925" s="582"/>
      <c r="G925" s="582"/>
      <c r="H925" s="582"/>
      <c r="I925" s="582"/>
      <c r="J925" s="582"/>
      <c r="K925" s="582"/>
      <c r="L925" s="582"/>
      <c r="M925" s="582"/>
      <c r="N925" s="582"/>
      <c r="O925" s="582"/>
      <c r="P925" s="582"/>
      <c r="Q925" s="582"/>
      <c r="R925" s="582"/>
      <c r="S925" s="582"/>
      <c r="T925" s="582"/>
      <c r="U925" s="582"/>
      <c r="V925" s="582"/>
      <c r="W925" s="582"/>
      <c r="X925" s="582"/>
      <c r="Y925" s="582"/>
      <c r="Z925" s="582"/>
      <c r="AA925" s="582"/>
      <c r="AB925" s="582"/>
      <c r="AC925" s="582"/>
      <c r="AD925" s="582"/>
      <c r="AE925" s="582"/>
      <c r="AF925" s="1069"/>
    </row>
    <row r="926">
      <c r="A926" s="582"/>
      <c r="B926" s="582"/>
      <c r="C926" s="582"/>
      <c r="D926" s="582"/>
      <c r="E926" s="582"/>
      <c r="F926" s="582"/>
      <c r="G926" s="582"/>
      <c r="H926" s="582"/>
      <c r="I926" s="582"/>
      <c r="J926" s="582"/>
      <c r="K926" s="582"/>
      <c r="L926" s="582"/>
      <c r="M926" s="582"/>
      <c r="N926" s="582"/>
      <c r="O926" s="582"/>
      <c r="P926" s="582"/>
      <c r="Q926" s="582"/>
      <c r="R926" s="582"/>
      <c r="S926" s="582"/>
      <c r="T926" s="582"/>
      <c r="U926" s="582"/>
      <c r="V926" s="582"/>
      <c r="W926" s="582"/>
      <c r="X926" s="582"/>
      <c r="Y926" s="582"/>
      <c r="Z926" s="582"/>
      <c r="AA926" s="582"/>
      <c r="AB926" s="582"/>
      <c r="AC926" s="582"/>
      <c r="AD926" s="582"/>
      <c r="AE926" s="582"/>
      <c r="AF926" s="1069"/>
    </row>
    <row r="927">
      <c r="A927" s="582"/>
      <c r="B927" s="582"/>
      <c r="C927" s="582"/>
      <c r="D927" s="582"/>
      <c r="E927" s="582"/>
      <c r="F927" s="582"/>
      <c r="G927" s="582"/>
      <c r="H927" s="582"/>
      <c r="I927" s="582"/>
      <c r="J927" s="582"/>
      <c r="K927" s="582"/>
      <c r="L927" s="582"/>
      <c r="M927" s="582"/>
      <c r="N927" s="582"/>
      <c r="O927" s="582"/>
      <c r="P927" s="582"/>
      <c r="Q927" s="582"/>
      <c r="R927" s="582"/>
      <c r="S927" s="582"/>
      <c r="T927" s="582"/>
      <c r="U927" s="582"/>
      <c r="V927" s="582"/>
      <c r="W927" s="582"/>
      <c r="X927" s="582"/>
      <c r="Y927" s="582"/>
      <c r="Z927" s="582"/>
      <c r="AA927" s="582"/>
      <c r="AB927" s="582"/>
      <c r="AC927" s="582"/>
      <c r="AD927" s="582"/>
      <c r="AE927" s="582"/>
      <c r="AF927" s="1069"/>
    </row>
    <row r="928">
      <c r="A928" s="582"/>
      <c r="B928" s="582"/>
      <c r="C928" s="582"/>
      <c r="D928" s="582"/>
      <c r="E928" s="582"/>
      <c r="F928" s="582"/>
      <c r="G928" s="582"/>
      <c r="H928" s="582"/>
      <c r="I928" s="582"/>
      <c r="J928" s="582"/>
      <c r="K928" s="582"/>
      <c r="L928" s="582"/>
      <c r="M928" s="582"/>
      <c r="N928" s="582"/>
      <c r="O928" s="582"/>
      <c r="P928" s="582"/>
      <c r="Q928" s="582"/>
      <c r="R928" s="582"/>
      <c r="S928" s="582"/>
      <c r="T928" s="582"/>
      <c r="U928" s="582"/>
      <c r="V928" s="582"/>
      <c r="W928" s="582"/>
      <c r="X928" s="582"/>
      <c r="Y928" s="582"/>
      <c r="Z928" s="582"/>
      <c r="AA928" s="582"/>
      <c r="AB928" s="582"/>
      <c r="AC928" s="582"/>
      <c r="AD928" s="582"/>
      <c r="AE928" s="582"/>
      <c r="AF928" s="1069"/>
    </row>
    <row r="929">
      <c r="A929" s="582"/>
      <c r="B929" s="582"/>
      <c r="C929" s="582"/>
      <c r="D929" s="582"/>
      <c r="E929" s="582"/>
      <c r="F929" s="582"/>
      <c r="G929" s="582"/>
      <c r="H929" s="582"/>
      <c r="I929" s="582"/>
      <c r="J929" s="582"/>
      <c r="K929" s="582"/>
      <c r="L929" s="582"/>
      <c r="M929" s="582"/>
      <c r="N929" s="582"/>
      <c r="O929" s="582"/>
      <c r="P929" s="582"/>
      <c r="Q929" s="582"/>
      <c r="R929" s="582"/>
      <c r="S929" s="582"/>
      <c r="T929" s="582"/>
      <c r="U929" s="582"/>
      <c r="V929" s="582"/>
      <c r="W929" s="582"/>
      <c r="X929" s="582"/>
      <c r="Y929" s="582"/>
      <c r="Z929" s="582"/>
      <c r="AA929" s="582"/>
      <c r="AB929" s="582"/>
      <c r="AC929" s="582"/>
      <c r="AD929" s="582"/>
      <c r="AE929" s="582"/>
      <c r="AF929" s="1069"/>
    </row>
    <row r="930">
      <c r="A930" s="582"/>
      <c r="B930" s="582"/>
      <c r="C930" s="582"/>
      <c r="D930" s="582"/>
      <c r="E930" s="582"/>
      <c r="F930" s="582"/>
      <c r="G930" s="582"/>
      <c r="H930" s="582"/>
      <c r="I930" s="582"/>
      <c r="J930" s="582"/>
      <c r="K930" s="582"/>
      <c r="L930" s="582"/>
      <c r="M930" s="582"/>
      <c r="N930" s="582"/>
      <c r="O930" s="582"/>
      <c r="P930" s="582"/>
      <c r="Q930" s="582"/>
      <c r="R930" s="582"/>
      <c r="S930" s="582"/>
      <c r="T930" s="582"/>
      <c r="U930" s="582"/>
      <c r="V930" s="582"/>
      <c r="W930" s="582"/>
      <c r="X930" s="582"/>
      <c r="Y930" s="582"/>
      <c r="Z930" s="582"/>
      <c r="AA930" s="582"/>
      <c r="AB930" s="582"/>
      <c r="AC930" s="582"/>
      <c r="AD930" s="582"/>
      <c r="AE930" s="582"/>
      <c r="AF930" s="1069"/>
    </row>
    <row r="931">
      <c r="A931" s="582"/>
      <c r="B931" s="582"/>
      <c r="C931" s="582"/>
      <c r="D931" s="582"/>
      <c r="E931" s="582"/>
      <c r="F931" s="582"/>
      <c r="G931" s="582"/>
      <c r="H931" s="582"/>
      <c r="I931" s="582"/>
      <c r="J931" s="582"/>
      <c r="K931" s="582"/>
      <c r="L931" s="582"/>
      <c r="M931" s="582"/>
      <c r="N931" s="582"/>
      <c r="O931" s="582"/>
      <c r="P931" s="582"/>
      <c r="Q931" s="582"/>
      <c r="R931" s="582"/>
      <c r="S931" s="582"/>
      <c r="T931" s="582"/>
      <c r="U931" s="582"/>
      <c r="V931" s="582"/>
      <c r="W931" s="582"/>
      <c r="X931" s="582"/>
      <c r="Y931" s="582"/>
      <c r="Z931" s="582"/>
      <c r="AA931" s="582"/>
      <c r="AB931" s="582"/>
      <c r="AC931" s="582"/>
      <c r="AD931" s="582"/>
      <c r="AE931" s="582"/>
      <c r="AF931" s="1069"/>
    </row>
    <row r="932">
      <c r="A932" s="582"/>
      <c r="B932" s="582"/>
      <c r="C932" s="582"/>
      <c r="D932" s="582"/>
      <c r="E932" s="582"/>
      <c r="F932" s="582"/>
      <c r="G932" s="582"/>
      <c r="H932" s="582"/>
      <c r="I932" s="582"/>
      <c r="J932" s="582"/>
      <c r="K932" s="582"/>
      <c r="L932" s="582"/>
      <c r="M932" s="582"/>
      <c r="N932" s="582"/>
      <c r="O932" s="582"/>
      <c r="P932" s="582"/>
      <c r="Q932" s="582"/>
      <c r="R932" s="582"/>
      <c r="S932" s="582"/>
      <c r="T932" s="582"/>
      <c r="U932" s="582"/>
      <c r="V932" s="582"/>
      <c r="W932" s="582"/>
      <c r="X932" s="582"/>
      <c r="Y932" s="582"/>
      <c r="Z932" s="582"/>
      <c r="AA932" s="582"/>
      <c r="AB932" s="582"/>
      <c r="AC932" s="582"/>
      <c r="AD932" s="582"/>
      <c r="AE932" s="582"/>
      <c r="AF932" s="1069"/>
    </row>
    <row r="933">
      <c r="A933" s="582"/>
      <c r="B933" s="582"/>
      <c r="C933" s="582"/>
      <c r="D933" s="582"/>
      <c r="E933" s="582"/>
      <c r="F933" s="582"/>
      <c r="G933" s="582"/>
      <c r="H933" s="582"/>
      <c r="I933" s="582"/>
      <c r="J933" s="582"/>
      <c r="K933" s="582"/>
      <c r="L933" s="582"/>
      <c r="M933" s="582"/>
      <c r="N933" s="582"/>
      <c r="O933" s="582"/>
      <c r="P933" s="582"/>
      <c r="Q933" s="582"/>
      <c r="R933" s="582"/>
      <c r="S933" s="582"/>
      <c r="T933" s="582"/>
      <c r="U933" s="582"/>
      <c r="V933" s="582"/>
      <c r="W933" s="582"/>
      <c r="X933" s="582"/>
      <c r="Y933" s="582"/>
      <c r="Z933" s="582"/>
      <c r="AA933" s="582"/>
      <c r="AB933" s="582"/>
      <c r="AC933" s="582"/>
      <c r="AD933" s="582"/>
      <c r="AE933" s="582"/>
      <c r="AF933" s="1069"/>
    </row>
    <row r="934">
      <c r="A934" s="582"/>
      <c r="B934" s="582"/>
      <c r="C934" s="582"/>
      <c r="D934" s="582"/>
      <c r="E934" s="582"/>
      <c r="F934" s="582"/>
      <c r="G934" s="582"/>
      <c r="H934" s="582"/>
      <c r="I934" s="582"/>
      <c r="J934" s="582"/>
      <c r="K934" s="582"/>
      <c r="L934" s="582"/>
      <c r="M934" s="582"/>
      <c r="N934" s="582"/>
      <c r="O934" s="582"/>
      <c r="P934" s="582"/>
      <c r="Q934" s="582"/>
      <c r="R934" s="582"/>
      <c r="S934" s="582"/>
      <c r="T934" s="582"/>
      <c r="U934" s="582"/>
      <c r="V934" s="582"/>
      <c r="W934" s="582"/>
      <c r="X934" s="582"/>
      <c r="Y934" s="582"/>
      <c r="Z934" s="582"/>
      <c r="AA934" s="582"/>
      <c r="AB934" s="582"/>
      <c r="AC934" s="582"/>
      <c r="AD934" s="582"/>
      <c r="AE934" s="582"/>
      <c r="AF934" s="1069"/>
    </row>
    <row r="935">
      <c r="A935" s="582"/>
      <c r="B935" s="582"/>
      <c r="C935" s="582"/>
      <c r="D935" s="582"/>
      <c r="E935" s="582"/>
      <c r="F935" s="582"/>
      <c r="G935" s="582"/>
      <c r="H935" s="582"/>
      <c r="I935" s="582"/>
      <c r="J935" s="582"/>
      <c r="K935" s="582"/>
      <c r="L935" s="582"/>
      <c r="M935" s="582"/>
      <c r="N935" s="582"/>
      <c r="O935" s="582"/>
      <c r="P935" s="582"/>
      <c r="Q935" s="582"/>
      <c r="R935" s="582"/>
      <c r="S935" s="582"/>
      <c r="T935" s="582"/>
      <c r="U935" s="582"/>
      <c r="V935" s="582"/>
      <c r="W935" s="582"/>
      <c r="X935" s="582"/>
      <c r="Y935" s="582"/>
      <c r="Z935" s="582"/>
      <c r="AA935" s="582"/>
      <c r="AB935" s="582"/>
      <c r="AC935" s="582"/>
      <c r="AD935" s="582"/>
      <c r="AE935" s="582"/>
      <c r="AF935" s="1069"/>
    </row>
    <row r="936">
      <c r="A936" s="582"/>
      <c r="B936" s="582"/>
      <c r="C936" s="582"/>
      <c r="D936" s="582"/>
      <c r="E936" s="582"/>
      <c r="F936" s="582"/>
      <c r="G936" s="582"/>
      <c r="H936" s="582"/>
      <c r="I936" s="582"/>
      <c r="J936" s="582"/>
      <c r="K936" s="582"/>
      <c r="L936" s="582"/>
      <c r="M936" s="582"/>
      <c r="N936" s="582"/>
      <c r="O936" s="582"/>
      <c r="P936" s="582"/>
      <c r="Q936" s="582"/>
      <c r="R936" s="582"/>
      <c r="S936" s="582"/>
      <c r="T936" s="582"/>
      <c r="U936" s="582"/>
      <c r="V936" s="582"/>
      <c r="W936" s="582"/>
      <c r="X936" s="582"/>
      <c r="Y936" s="582"/>
      <c r="Z936" s="582"/>
      <c r="AA936" s="582"/>
      <c r="AB936" s="582"/>
      <c r="AC936" s="582"/>
      <c r="AD936" s="582"/>
      <c r="AE936" s="582"/>
      <c r="AF936" s="1069"/>
    </row>
    <row r="937">
      <c r="A937" s="582"/>
      <c r="B937" s="582"/>
      <c r="C937" s="582"/>
      <c r="D937" s="582"/>
      <c r="E937" s="582"/>
      <c r="F937" s="582"/>
      <c r="G937" s="582"/>
      <c r="H937" s="582"/>
      <c r="I937" s="582"/>
      <c r="J937" s="582"/>
      <c r="K937" s="582"/>
      <c r="L937" s="582"/>
      <c r="M937" s="582"/>
      <c r="N937" s="582"/>
      <c r="O937" s="582"/>
      <c r="P937" s="582"/>
      <c r="Q937" s="582"/>
      <c r="R937" s="582"/>
      <c r="S937" s="582"/>
      <c r="T937" s="582"/>
      <c r="U937" s="582"/>
      <c r="V937" s="582"/>
      <c r="W937" s="582"/>
      <c r="X937" s="582"/>
      <c r="Y937" s="582"/>
      <c r="Z937" s="582"/>
      <c r="AA937" s="582"/>
      <c r="AB937" s="582"/>
      <c r="AC937" s="582"/>
      <c r="AD937" s="582"/>
      <c r="AE937" s="582"/>
      <c r="AF937" s="1069"/>
    </row>
    <row r="938">
      <c r="A938" s="582"/>
      <c r="B938" s="582"/>
      <c r="C938" s="582"/>
      <c r="D938" s="582"/>
      <c r="E938" s="582"/>
      <c r="F938" s="582"/>
      <c r="G938" s="582"/>
      <c r="H938" s="582"/>
      <c r="I938" s="582"/>
      <c r="J938" s="582"/>
      <c r="K938" s="582"/>
      <c r="L938" s="582"/>
      <c r="M938" s="582"/>
      <c r="N938" s="582"/>
      <c r="O938" s="582"/>
      <c r="P938" s="582"/>
      <c r="Q938" s="582"/>
      <c r="R938" s="582"/>
      <c r="S938" s="582"/>
      <c r="T938" s="582"/>
      <c r="U938" s="582"/>
      <c r="V938" s="582"/>
      <c r="W938" s="582"/>
      <c r="X938" s="582"/>
      <c r="Y938" s="582"/>
      <c r="Z938" s="582"/>
      <c r="AA938" s="582"/>
      <c r="AB938" s="582"/>
      <c r="AC938" s="582"/>
      <c r="AD938" s="582"/>
      <c r="AE938" s="582"/>
      <c r="AF938" s="1069"/>
    </row>
    <row r="939">
      <c r="A939" s="582"/>
      <c r="B939" s="582"/>
      <c r="C939" s="582"/>
      <c r="D939" s="582"/>
      <c r="E939" s="582"/>
      <c r="F939" s="582"/>
      <c r="G939" s="582"/>
      <c r="H939" s="582"/>
      <c r="I939" s="582"/>
      <c r="J939" s="582"/>
      <c r="K939" s="582"/>
      <c r="L939" s="582"/>
      <c r="M939" s="582"/>
      <c r="N939" s="582"/>
      <c r="O939" s="582"/>
      <c r="P939" s="582"/>
      <c r="Q939" s="582"/>
      <c r="R939" s="582"/>
      <c r="S939" s="582"/>
      <c r="T939" s="582"/>
      <c r="U939" s="582"/>
      <c r="V939" s="582"/>
      <c r="W939" s="582"/>
      <c r="X939" s="582"/>
      <c r="Y939" s="582"/>
      <c r="Z939" s="582"/>
      <c r="AA939" s="582"/>
      <c r="AB939" s="582"/>
      <c r="AC939" s="582"/>
      <c r="AD939" s="582"/>
      <c r="AE939" s="582"/>
      <c r="AF939" s="1069"/>
    </row>
    <row r="940">
      <c r="A940" s="582"/>
      <c r="B940" s="582"/>
      <c r="C940" s="582"/>
      <c r="D940" s="582"/>
      <c r="E940" s="582"/>
      <c r="F940" s="582"/>
      <c r="G940" s="582"/>
      <c r="H940" s="582"/>
      <c r="I940" s="582"/>
      <c r="J940" s="582"/>
      <c r="K940" s="582"/>
      <c r="L940" s="582"/>
      <c r="M940" s="582"/>
      <c r="N940" s="582"/>
      <c r="O940" s="582"/>
      <c r="P940" s="582"/>
      <c r="Q940" s="582"/>
      <c r="R940" s="582"/>
      <c r="S940" s="582"/>
      <c r="T940" s="582"/>
      <c r="U940" s="582"/>
      <c r="V940" s="582"/>
      <c r="W940" s="582"/>
      <c r="X940" s="582"/>
      <c r="Y940" s="582"/>
      <c r="Z940" s="582"/>
      <c r="AA940" s="582"/>
      <c r="AB940" s="582"/>
      <c r="AC940" s="582"/>
      <c r="AD940" s="582"/>
      <c r="AE940" s="582"/>
      <c r="AF940" s="1069"/>
    </row>
    <row r="941">
      <c r="A941" s="582"/>
      <c r="B941" s="582"/>
      <c r="C941" s="582"/>
      <c r="D941" s="582"/>
      <c r="E941" s="582"/>
      <c r="F941" s="582"/>
      <c r="G941" s="582"/>
      <c r="H941" s="582"/>
      <c r="I941" s="582"/>
      <c r="J941" s="582"/>
      <c r="K941" s="582"/>
      <c r="L941" s="582"/>
      <c r="M941" s="582"/>
      <c r="N941" s="582"/>
      <c r="O941" s="582"/>
      <c r="P941" s="582"/>
      <c r="Q941" s="582"/>
      <c r="R941" s="582"/>
      <c r="S941" s="582"/>
      <c r="T941" s="582"/>
      <c r="U941" s="582"/>
      <c r="V941" s="582"/>
      <c r="W941" s="582"/>
      <c r="X941" s="582"/>
      <c r="Y941" s="582"/>
      <c r="Z941" s="582"/>
      <c r="AA941" s="582"/>
      <c r="AB941" s="582"/>
      <c r="AC941" s="582"/>
      <c r="AD941" s="582"/>
      <c r="AE941" s="582"/>
      <c r="AF941" s="1069"/>
    </row>
    <row r="942">
      <c r="A942" s="582"/>
      <c r="B942" s="582"/>
      <c r="C942" s="582"/>
      <c r="D942" s="582"/>
      <c r="E942" s="582"/>
      <c r="F942" s="582"/>
      <c r="G942" s="582"/>
      <c r="H942" s="582"/>
      <c r="I942" s="582"/>
      <c r="J942" s="582"/>
      <c r="K942" s="582"/>
      <c r="L942" s="582"/>
      <c r="M942" s="582"/>
      <c r="N942" s="582"/>
      <c r="O942" s="582"/>
      <c r="P942" s="582"/>
      <c r="Q942" s="582"/>
      <c r="R942" s="582"/>
      <c r="S942" s="582"/>
      <c r="T942" s="582"/>
      <c r="U942" s="582"/>
      <c r="V942" s="582"/>
      <c r="W942" s="582"/>
      <c r="X942" s="582"/>
      <c r="Y942" s="582"/>
      <c r="Z942" s="582"/>
      <c r="AA942" s="582"/>
      <c r="AB942" s="582"/>
      <c r="AC942" s="582"/>
      <c r="AD942" s="582"/>
      <c r="AE942" s="582"/>
      <c r="AF942" s="1069"/>
    </row>
    <row r="943">
      <c r="A943" s="582"/>
      <c r="B943" s="582"/>
      <c r="C943" s="582"/>
      <c r="D943" s="582"/>
      <c r="E943" s="582"/>
      <c r="F943" s="582"/>
      <c r="G943" s="582"/>
      <c r="H943" s="582"/>
      <c r="I943" s="582"/>
      <c r="J943" s="582"/>
      <c r="K943" s="582"/>
      <c r="L943" s="582"/>
      <c r="M943" s="582"/>
      <c r="N943" s="582"/>
      <c r="O943" s="582"/>
      <c r="P943" s="582"/>
      <c r="Q943" s="582"/>
      <c r="R943" s="582"/>
      <c r="S943" s="582"/>
      <c r="T943" s="582"/>
      <c r="U943" s="582"/>
      <c r="V943" s="582"/>
      <c r="W943" s="582"/>
      <c r="X943" s="582"/>
      <c r="Y943" s="582"/>
      <c r="Z943" s="582"/>
      <c r="AA943" s="582"/>
      <c r="AB943" s="582"/>
      <c r="AC943" s="582"/>
      <c r="AD943" s="582"/>
      <c r="AE943" s="582"/>
      <c r="AF943" s="1069"/>
    </row>
    <row r="944">
      <c r="A944" s="582"/>
      <c r="B944" s="582"/>
      <c r="C944" s="582"/>
      <c r="D944" s="582"/>
      <c r="E944" s="582"/>
      <c r="F944" s="582"/>
      <c r="G944" s="582"/>
      <c r="H944" s="582"/>
      <c r="I944" s="582"/>
      <c r="J944" s="582"/>
      <c r="K944" s="582"/>
      <c r="L944" s="582"/>
      <c r="M944" s="582"/>
      <c r="N944" s="582"/>
      <c r="O944" s="582"/>
      <c r="P944" s="582"/>
      <c r="Q944" s="582"/>
      <c r="R944" s="582"/>
      <c r="S944" s="582"/>
      <c r="T944" s="582"/>
      <c r="U944" s="582"/>
      <c r="V944" s="582"/>
      <c r="W944" s="582"/>
      <c r="X944" s="582"/>
      <c r="Y944" s="582"/>
      <c r="Z944" s="582"/>
      <c r="AA944" s="582"/>
      <c r="AB944" s="582"/>
      <c r="AC944" s="582"/>
      <c r="AD944" s="582"/>
      <c r="AE944" s="582"/>
      <c r="AF944" s="1069"/>
    </row>
    <row r="945">
      <c r="A945" s="582"/>
      <c r="B945" s="582"/>
      <c r="C945" s="582"/>
      <c r="D945" s="582"/>
      <c r="E945" s="582"/>
      <c r="F945" s="582"/>
      <c r="G945" s="582"/>
      <c r="H945" s="582"/>
      <c r="I945" s="582"/>
      <c r="J945" s="582"/>
      <c r="K945" s="582"/>
      <c r="L945" s="582"/>
      <c r="M945" s="582"/>
      <c r="N945" s="582"/>
      <c r="O945" s="582"/>
      <c r="P945" s="582"/>
      <c r="Q945" s="582"/>
      <c r="R945" s="582"/>
      <c r="S945" s="582"/>
      <c r="T945" s="582"/>
      <c r="U945" s="582"/>
      <c r="V945" s="582"/>
      <c r="W945" s="582"/>
      <c r="X945" s="582"/>
      <c r="Y945" s="582"/>
      <c r="Z945" s="582"/>
      <c r="AA945" s="582"/>
      <c r="AB945" s="582"/>
      <c r="AC945" s="582"/>
      <c r="AD945" s="582"/>
      <c r="AE945" s="582"/>
      <c r="AF945" s="1069"/>
    </row>
    <row r="946">
      <c r="A946" s="582"/>
      <c r="B946" s="582"/>
      <c r="C946" s="582"/>
      <c r="D946" s="582"/>
      <c r="E946" s="582"/>
      <c r="F946" s="582"/>
      <c r="G946" s="582"/>
      <c r="H946" s="582"/>
      <c r="I946" s="582"/>
      <c r="J946" s="582"/>
      <c r="K946" s="582"/>
      <c r="L946" s="582"/>
      <c r="M946" s="582"/>
      <c r="N946" s="582"/>
      <c r="O946" s="582"/>
      <c r="P946" s="582"/>
      <c r="Q946" s="582"/>
      <c r="R946" s="582"/>
      <c r="S946" s="582"/>
      <c r="T946" s="582"/>
      <c r="U946" s="582"/>
      <c r="V946" s="582"/>
      <c r="W946" s="582"/>
      <c r="X946" s="582"/>
      <c r="Y946" s="582"/>
      <c r="Z946" s="582"/>
      <c r="AA946" s="582"/>
      <c r="AB946" s="582"/>
      <c r="AC946" s="582"/>
      <c r="AD946" s="582"/>
      <c r="AE946" s="582"/>
      <c r="AF946" s="1069"/>
    </row>
    <row r="947">
      <c r="A947" s="582"/>
      <c r="B947" s="582"/>
      <c r="C947" s="582"/>
      <c r="D947" s="582"/>
      <c r="E947" s="582"/>
      <c r="F947" s="582"/>
      <c r="G947" s="582"/>
      <c r="H947" s="582"/>
      <c r="I947" s="582"/>
      <c r="J947" s="582"/>
      <c r="K947" s="582"/>
      <c r="L947" s="582"/>
      <c r="M947" s="582"/>
      <c r="N947" s="582"/>
      <c r="O947" s="582"/>
      <c r="P947" s="582"/>
      <c r="Q947" s="582"/>
      <c r="R947" s="582"/>
      <c r="S947" s="582"/>
      <c r="T947" s="582"/>
      <c r="U947" s="582"/>
      <c r="V947" s="582"/>
      <c r="W947" s="582"/>
      <c r="X947" s="582"/>
      <c r="Y947" s="582"/>
      <c r="Z947" s="582"/>
      <c r="AA947" s="582"/>
      <c r="AB947" s="582"/>
      <c r="AC947" s="582"/>
      <c r="AD947" s="582"/>
      <c r="AE947" s="582"/>
      <c r="AF947" s="1069"/>
    </row>
    <row r="948">
      <c r="A948" s="582"/>
      <c r="B948" s="582"/>
      <c r="C948" s="582"/>
      <c r="D948" s="582"/>
      <c r="E948" s="582"/>
      <c r="F948" s="582"/>
      <c r="G948" s="582"/>
      <c r="H948" s="582"/>
      <c r="I948" s="582"/>
      <c r="J948" s="582"/>
      <c r="K948" s="582"/>
      <c r="L948" s="582"/>
      <c r="M948" s="582"/>
      <c r="N948" s="582"/>
      <c r="O948" s="582"/>
      <c r="P948" s="582"/>
      <c r="Q948" s="582"/>
      <c r="R948" s="582"/>
      <c r="S948" s="582"/>
      <c r="T948" s="582"/>
      <c r="U948" s="582"/>
      <c r="V948" s="582"/>
      <c r="W948" s="582"/>
      <c r="X948" s="582"/>
      <c r="Y948" s="582"/>
      <c r="Z948" s="582"/>
      <c r="AA948" s="582"/>
      <c r="AB948" s="582"/>
      <c r="AC948" s="582"/>
      <c r="AD948" s="582"/>
      <c r="AE948" s="582"/>
      <c r="AF948" s="1069"/>
    </row>
    <row r="949">
      <c r="A949" s="582"/>
      <c r="B949" s="582"/>
      <c r="C949" s="582"/>
      <c r="D949" s="582"/>
      <c r="E949" s="582"/>
      <c r="F949" s="582"/>
      <c r="G949" s="582"/>
      <c r="H949" s="582"/>
      <c r="I949" s="582"/>
      <c r="J949" s="582"/>
      <c r="K949" s="582"/>
      <c r="L949" s="582"/>
      <c r="M949" s="582"/>
      <c r="N949" s="582"/>
      <c r="O949" s="582"/>
      <c r="P949" s="582"/>
      <c r="Q949" s="582"/>
      <c r="R949" s="582"/>
      <c r="S949" s="582"/>
      <c r="T949" s="582"/>
      <c r="U949" s="582"/>
      <c r="V949" s="582"/>
      <c r="W949" s="582"/>
      <c r="X949" s="582"/>
      <c r="Y949" s="582"/>
      <c r="Z949" s="582"/>
      <c r="AA949" s="582"/>
      <c r="AB949" s="582"/>
      <c r="AC949" s="582"/>
      <c r="AD949" s="582"/>
      <c r="AE949" s="582"/>
      <c r="AF949" s="1069"/>
    </row>
    <row r="950">
      <c r="A950" s="582"/>
      <c r="B950" s="582"/>
      <c r="C950" s="582"/>
      <c r="D950" s="582"/>
      <c r="E950" s="582"/>
      <c r="F950" s="582"/>
      <c r="G950" s="582"/>
      <c r="H950" s="582"/>
      <c r="I950" s="582"/>
      <c r="J950" s="582"/>
      <c r="K950" s="582"/>
      <c r="L950" s="582"/>
      <c r="M950" s="582"/>
      <c r="N950" s="582"/>
      <c r="O950" s="582"/>
      <c r="P950" s="582"/>
      <c r="Q950" s="582"/>
      <c r="R950" s="582"/>
      <c r="S950" s="582"/>
      <c r="T950" s="582"/>
      <c r="U950" s="582"/>
      <c r="V950" s="582"/>
      <c r="W950" s="582"/>
      <c r="X950" s="582"/>
      <c r="Y950" s="582"/>
      <c r="Z950" s="582"/>
      <c r="AA950" s="582"/>
      <c r="AB950" s="582"/>
      <c r="AC950" s="582"/>
      <c r="AD950" s="582"/>
      <c r="AE950" s="582"/>
      <c r="AF950" s="1069"/>
    </row>
    <row r="951">
      <c r="A951" s="582"/>
      <c r="B951" s="582"/>
      <c r="C951" s="582"/>
      <c r="D951" s="582"/>
      <c r="E951" s="582"/>
      <c r="F951" s="582"/>
      <c r="G951" s="582"/>
      <c r="H951" s="582"/>
      <c r="I951" s="582"/>
      <c r="J951" s="582"/>
      <c r="K951" s="582"/>
      <c r="L951" s="582"/>
      <c r="M951" s="582"/>
      <c r="N951" s="582"/>
      <c r="O951" s="582"/>
      <c r="P951" s="582"/>
      <c r="Q951" s="582"/>
      <c r="R951" s="582"/>
      <c r="S951" s="582"/>
      <c r="T951" s="582"/>
      <c r="U951" s="582"/>
      <c r="V951" s="582"/>
      <c r="W951" s="582"/>
      <c r="X951" s="582"/>
      <c r="Y951" s="582"/>
      <c r="Z951" s="582"/>
      <c r="AA951" s="582"/>
      <c r="AB951" s="582"/>
      <c r="AC951" s="582"/>
      <c r="AD951" s="582"/>
      <c r="AE951" s="582"/>
      <c r="AF951" s="1069"/>
    </row>
    <row r="952">
      <c r="A952" s="582"/>
      <c r="B952" s="582"/>
      <c r="C952" s="582"/>
      <c r="D952" s="582"/>
      <c r="E952" s="582"/>
      <c r="F952" s="582"/>
      <c r="G952" s="582"/>
      <c r="H952" s="582"/>
      <c r="I952" s="582"/>
      <c r="J952" s="582"/>
      <c r="K952" s="582"/>
      <c r="L952" s="582"/>
      <c r="M952" s="582"/>
      <c r="N952" s="582"/>
      <c r="O952" s="582"/>
      <c r="P952" s="582"/>
      <c r="Q952" s="582"/>
      <c r="R952" s="582"/>
      <c r="S952" s="582"/>
      <c r="T952" s="582"/>
      <c r="U952" s="582"/>
      <c r="V952" s="582"/>
      <c r="W952" s="582"/>
      <c r="X952" s="582"/>
      <c r="Y952" s="582"/>
      <c r="Z952" s="582"/>
      <c r="AA952" s="582"/>
      <c r="AB952" s="582"/>
      <c r="AC952" s="582"/>
      <c r="AD952" s="582"/>
      <c r="AE952" s="582"/>
      <c r="AF952" s="1069"/>
    </row>
    <row r="953">
      <c r="A953" s="582"/>
      <c r="B953" s="582"/>
      <c r="C953" s="582"/>
      <c r="D953" s="582"/>
      <c r="E953" s="582"/>
      <c r="F953" s="582"/>
      <c r="G953" s="582"/>
      <c r="H953" s="582"/>
      <c r="I953" s="582"/>
      <c r="J953" s="582"/>
      <c r="K953" s="582"/>
      <c r="L953" s="582"/>
      <c r="M953" s="582"/>
      <c r="N953" s="582"/>
      <c r="O953" s="582"/>
      <c r="P953" s="582"/>
      <c r="Q953" s="582"/>
      <c r="R953" s="582"/>
      <c r="S953" s="582"/>
      <c r="T953" s="582"/>
      <c r="U953" s="582"/>
      <c r="V953" s="582"/>
      <c r="W953" s="582"/>
      <c r="X953" s="582"/>
      <c r="Y953" s="582"/>
      <c r="Z953" s="582"/>
      <c r="AA953" s="582"/>
      <c r="AB953" s="582"/>
      <c r="AC953" s="582"/>
      <c r="AD953" s="582"/>
      <c r="AE953" s="582"/>
      <c r="AF953" s="1069"/>
    </row>
    <row r="954">
      <c r="A954" s="582"/>
      <c r="B954" s="582"/>
      <c r="C954" s="582"/>
      <c r="D954" s="582"/>
      <c r="E954" s="582"/>
      <c r="F954" s="582"/>
      <c r="G954" s="582"/>
      <c r="H954" s="582"/>
      <c r="I954" s="582"/>
      <c r="J954" s="582"/>
      <c r="K954" s="582"/>
      <c r="L954" s="582"/>
      <c r="M954" s="582"/>
      <c r="N954" s="582"/>
      <c r="O954" s="582"/>
      <c r="P954" s="582"/>
      <c r="Q954" s="582"/>
      <c r="R954" s="582"/>
      <c r="S954" s="582"/>
      <c r="T954" s="582"/>
      <c r="U954" s="582"/>
      <c r="V954" s="582"/>
      <c r="W954" s="582"/>
      <c r="X954" s="582"/>
      <c r="Y954" s="582"/>
      <c r="Z954" s="582"/>
      <c r="AA954" s="582"/>
      <c r="AB954" s="582"/>
      <c r="AC954" s="582"/>
      <c r="AD954" s="582"/>
      <c r="AE954" s="582"/>
      <c r="AF954" s="1069"/>
    </row>
    <row r="955">
      <c r="A955" s="582"/>
      <c r="B955" s="582"/>
      <c r="C955" s="582"/>
      <c r="D955" s="582"/>
      <c r="E955" s="582"/>
      <c r="F955" s="582"/>
      <c r="G955" s="582"/>
      <c r="H955" s="582"/>
      <c r="I955" s="582"/>
      <c r="J955" s="582"/>
      <c r="K955" s="582"/>
      <c r="L955" s="582"/>
      <c r="M955" s="582"/>
      <c r="N955" s="582"/>
      <c r="O955" s="582"/>
      <c r="P955" s="582"/>
      <c r="Q955" s="582"/>
      <c r="R955" s="582"/>
      <c r="S955" s="582"/>
      <c r="T955" s="582"/>
      <c r="U955" s="582"/>
      <c r="V955" s="582"/>
      <c r="W955" s="582"/>
      <c r="X955" s="582"/>
      <c r="Y955" s="582"/>
      <c r="Z955" s="582"/>
      <c r="AA955" s="582"/>
      <c r="AB955" s="582"/>
      <c r="AC955" s="582"/>
      <c r="AD955" s="582"/>
      <c r="AE955" s="582"/>
      <c r="AF955" s="1069"/>
    </row>
    <row r="956">
      <c r="A956" s="582"/>
      <c r="B956" s="582"/>
      <c r="C956" s="582"/>
      <c r="D956" s="582"/>
      <c r="E956" s="582"/>
      <c r="F956" s="582"/>
      <c r="G956" s="582"/>
      <c r="H956" s="582"/>
      <c r="I956" s="582"/>
      <c r="J956" s="582"/>
      <c r="K956" s="582"/>
      <c r="L956" s="582"/>
      <c r="M956" s="582"/>
      <c r="N956" s="582"/>
      <c r="O956" s="582"/>
      <c r="P956" s="582"/>
      <c r="Q956" s="582"/>
      <c r="R956" s="582"/>
      <c r="S956" s="582"/>
      <c r="T956" s="582"/>
      <c r="U956" s="582"/>
      <c r="V956" s="582"/>
      <c r="W956" s="582"/>
      <c r="X956" s="582"/>
      <c r="Y956" s="582"/>
      <c r="Z956" s="582"/>
      <c r="AA956" s="582"/>
      <c r="AB956" s="582"/>
      <c r="AC956" s="582"/>
      <c r="AD956" s="582"/>
      <c r="AE956" s="582"/>
      <c r="AF956" s="1069"/>
    </row>
    <row r="957">
      <c r="A957" s="582"/>
      <c r="B957" s="582"/>
      <c r="C957" s="582"/>
      <c r="D957" s="582"/>
      <c r="E957" s="582"/>
      <c r="F957" s="582"/>
      <c r="G957" s="582"/>
      <c r="H957" s="582"/>
      <c r="I957" s="582"/>
      <c r="J957" s="582"/>
      <c r="K957" s="582"/>
      <c r="L957" s="582"/>
      <c r="M957" s="582"/>
      <c r="N957" s="582"/>
      <c r="O957" s="582"/>
      <c r="P957" s="582"/>
      <c r="Q957" s="582"/>
      <c r="R957" s="582"/>
      <c r="S957" s="582"/>
      <c r="T957" s="582"/>
      <c r="U957" s="582"/>
      <c r="V957" s="582"/>
      <c r="W957" s="582"/>
      <c r="X957" s="582"/>
      <c r="Y957" s="582"/>
      <c r="Z957" s="582"/>
      <c r="AA957" s="582"/>
      <c r="AB957" s="582"/>
      <c r="AC957" s="582"/>
      <c r="AD957" s="582"/>
      <c r="AE957" s="582"/>
      <c r="AF957" s="1069"/>
    </row>
    <row r="958">
      <c r="A958" s="582"/>
      <c r="B958" s="582"/>
      <c r="C958" s="582"/>
      <c r="D958" s="582"/>
      <c r="E958" s="582"/>
      <c r="F958" s="582"/>
      <c r="G958" s="582"/>
      <c r="H958" s="582"/>
      <c r="I958" s="582"/>
      <c r="J958" s="582"/>
      <c r="K958" s="582"/>
      <c r="L958" s="582"/>
      <c r="M958" s="582"/>
      <c r="N958" s="582"/>
      <c r="O958" s="582"/>
      <c r="P958" s="582"/>
      <c r="Q958" s="582"/>
      <c r="R958" s="582"/>
      <c r="S958" s="582"/>
      <c r="T958" s="582"/>
      <c r="U958" s="582"/>
      <c r="V958" s="582"/>
      <c r="W958" s="582"/>
      <c r="X958" s="582"/>
      <c r="Y958" s="582"/>
      <c r="Z958" s="582"/>
      <c r="AA958" s="582"/>
      <c r="AB958" s="582"/>
      <c r="AC958" s="582"/>
      <c r="AD958" s="582"/>
      <c r="AE958" s="582"/>
      <c r="AF958" s="1069"/>
    </row>
    <row r="959">
      <c r="A959" s="582"/>
      <c r="B959" s="582"/>
      <c r="C959" s="582"/>
      <c r="D959" s="582"/>
      <c r="E959" s="582"/>
      <c r="F959" s="582"/>
      <c r="G959" s="582"/>
      <c r="H959" s="582"/>
      <c r="I959" s="582"/>
      <c r="J959" s="582"/>
      <c r="K959" s="582"/>
      <c r="L959" s="582"/>
      <c r="M959" s="582"/>
      <c r="N959" s="582"/>
      <c r="O959" s="582"/>
      <c r="P959" s="582"/>
      <c r="Q959" s="582"/>
      <c r="R959" s="582"/>
      <c r="S959" s="582"/>
      <c r="T959" s="582"/>
      <c r="U959" s="582"/>
      <c r="V959" s="582"/>
      <c r="W959" s="582"/>
      <c r="X959" s="582"/>
      <c r="Y959" s="582"/>
      <c r="Z959" s="582"/>
      <c r="AA959" s="582"/>
      <c r="AB959" s="582"/>
      <c r="AC959" s="582"/>
      <c r="AD959" s="582"/>
      <c r="AE959" s="582"/>
      <c r="AF959" s="1069"/>
    </row>
    <row r="960">
      <c r="A960" s="582"/>
      <c r="B960" s="582"/>
      <c r="C960" s="582"/>
      <c r="D960" s="582"/>
      <c r="E960" s="582"/>
      <c r="F960" s="582"/>
      <c r="G960" s="582"/>
      <c r="H960" s="582"/>
      <c r="I960" s="582"/>
      <c r="J960" s="582"/>
      <c r="K960" s="582"/>
      <c r="L960" s="582"/>
      <c r="M960" s="582"/>
      <c r="N960" s="582"/>
      <c r="O960" s="582"/>
      <c r="P960" s="582"/>
      <c r="Q960" s="582"/>
      <c r="R960" s="582"/>
      <c r="S960" s="582"/>
      <c r="T960" s="582"/>
      <c r="U960" s="582"/>
      <c r="V960" s="582"/>
      <c r="W960" s="582"/>
      <c r="X960" s="582"/>
      <c r="Y960" s="582"/>
      <c r="Z960" s="582"/>
      <c r="AA960" s="582"/>
      <c r="AB960" s="582"/>
      <c r="AC960" s="582"/>
      <c r="AD960" s="582"/>
      <c r="AE960" s="582"/>
      <c r="AF960" s="1069"/>
    </row>
    <row r="961">
      <c r="A961" s="582"/>
      <c r="B961" s="582"/>
      <c r="C961" s="582"/>
      <c r="D961" s="582"/>
      <c r="E961" s="582"/>
      <c r="F961" s="582"/>
      <c r="G961" s="582"/>
      <c r="H961" s="582"/>
      <c r="I961" s="582"/>
      <c r="J961" s="582"/>
      <c r="K961" s="582"/>
      <c r="L961" s="582"/>
      <c r="M961" s="582"/>
      <c r="N961" s="582"/>
      <c r="O961" s="582"/>
      <c r="P961" s="582"/>
      <c r="Q961" s="582"/>
      <c r="R961" s="582"/>
      <c r="S961" s="582"/>
      <c r="T961" s="582"/>
      <c r="U961" s="582"/>
      <c r="V961" s="582"/>
      <c r="W961" s="582"/>
      <c r="X961" s="582"/>
      <c r="Y961" s="582"/>
      <c r="Z961" s="582"/>
      <c r="AA961" s="582"/>
      <c r="AB961" s="582"/>
      <c r="AC961" s="582"/>
      <c r="AD961" s="582"/>
      <c r="AE961" s="582"/>
      <c r="AF961" s="1069"/>
    </row>
    <row r="962">
      <c r="A962" s="582"/>
      <c r="B962" s="582"/>
      <c r="C962" s="582"/>
      <c r="D962" s="582"/>
      <c r="E962" s="582"/>
      <c r="F962" s="582"/>
      <c r="G962" s="582"/>
      <c r="H962" s="582"/>
      <c r="I962" s="582"/>
      <c r="J962" s="582"/>
      <c r="K962" s="582"/>
      <c r="L962" s="582"/>
      <c r="M962" s="582"/>
      <c r="N962" s="582"/>
      <c r="O962" s="582"/>
      <c r="P962" s="582"/>
      <c r="Q962" s="582"/>
      <c r="R962" s="582"/>
      <c r="S962" s="582"/>
      <c r="T962" s="582"/>
      <c r="U962" s="582"/>
      <c r="V962" s="582"/>
      <c r="W962" s="582"/>
      <c r="X962" s="582"/>
      <c r="Y962" s="582"/>
      <c r="Z962" s="582"/>
      <c r="AA962" s="582"/>
      <c r="AB962" s="582"/>
      <c r="AC962" s="582"/>
      <c r="AD962" s="582"/>
      <c r="AE962" s="582"/>
      <c r="AF962" s="1069"/>
    </row>
    <row r="963">
      <c r="A963" s="582"/>
      <c r="B963" s="582"/>
      <c r="C963" s="582"/>
      <c r="D963" s="582"/>
      <c r="E963" s="582"/>
      <c r="F963" s="582"/>
      <c r="G963" s="582"/>
      <c r="H963" s="582"/>
      <c r="I963" s="582"/>
      <c r="J963" s="582"/>
      <c r="K963" s="582"/>
      <c r="L963" s="582"/>
      <c r="M963" s="582"/>
      <c r="N963" s="582"/>
      <c r="O963" s="582"/>
      <c r="P963" s="582"/>
      <c r="Q963" s="582"/>
      <c r="R963" s="582"/>
      <c r="S963" s="582"/>
      <c r="T963" s="582"/>
      <c r="U963" s="582"/>
      <c r="V963" s="582"/>
      <c r="W963" s="582"/>
      <c r="X963" s="582"/>
      <c r="Y963" s="582"/>
      <c r="Z963" s="582"/>
      <c r="AA963" s="582"/>
      <c r="AB963" s="582"/>
      <c r="AC963" s="582"/>
      <c r="AD963" s="582"/>
      <c r="AE963" s="582"/>
      <c r="AF963" s="1069"/>
    </row>
    <row r="964">
      <c r="A964" s="582"/>
      <c r="B964" s="582"/>
      <c r="C964" s="582"/>
      <c r="D964" s="582"/>
      <c r="E964" s="582"/>
      <c r="F964" s="582"/>
      <c r="G964" s="582"/>
      <c r="H964" s="582"/>
      <c r="I964" s="582"/>
      <c r="J964" s="582"/>
      <c r="K964" s="582"/>
      <c r="L964" s="582"/>
      <c r="M964" s="582"/>
      <c r="N964" s="582"/>
      <c r="O964" s="582"/>
      <c r="P964" s="582"/>
      <c r="Q964" s="582"/>
      <c r="R964" s="582"/>
      <c r="S964" s="582"/>
      <c r="T964" s="582"/>
      <c r="U964" s="582"/>
      <c r="V964" s="582"/>
      <c r="W964" s="582"/>
      <c r="X964" s="582"/>
      <c r="Y964" s="582"/>
      <c r="Z964" s="582"/>
      <c r="AA964" s="582"/>
      <c r="AB964" s="582"/>
      <c r="AC964" s="582"/>
      <c r="AD964" s="582"/>
      <c r="AE964" s="582"/>
      <c r="AF964" s="1069"/>
    </row>
    <row r="965">
      <c r="A965" s="582"/>
      <c r="B965" s="582"/>
      <c r="C965" s="582"/>
      <c r="D965" s="582"/>
      <c r="E965" s="582"/>
      <c r="F965" s="582"/>
      <c r="G965" s="582"/>
      <c r="H965" s="582"/>
      <c r="I965" s="582"/>
      <c r="J965" s="582"/>
      <c r="K965" s="582"/>
      <c r="L965" s="582"/>
      <c r="M965" s="582"/>
      <c r="N965" s="582"/>
      <c r="O965" s="582"/>
      <c r="P965" s="582"/>
      <c r="Q965" s="582"/>
      <c r="R965" s="582"/>
      <c r="S965" s="582"/>
      <c r="T965" s="582"/>
      <c r="U965" s="582"/>
      <c r="V965" s="582"/>
      <c r="W965" s="582"/>
      <c r="X965" s="582"/>
      <c r="Y965" s="582"/>
      <c r="Z965" s="582"/>
      <c r="AA965" s="582"/>
      <c r="AB965" s="582"/>
      <c r="AC965" s="582"/>
      <c r="AD965" s="582"/>
      <c r="AE965" s="582"/>
      <c r="AF965" s="1069"/>
    </row>
    <row r="966">
      <c r="A966" s="582"/>
      <c r="B966" s="582"/>
      <c r="C966" s="582"/>
      <c r="D966" s="582"/>
      <c r="E966" s="582"/>
      <c r="F966" s="582"/>
      <c r="G966" s="582"/>
      <c r="H966" s="582"/>
      <c r="I966" s="582"/>
      <c r="J966" s="582"/>
      <c r="K966" s="582"/>
      <c r="L966" s="582"/>
      <c r="M966" s="582"/>
      <c r="N966" s="582"/>
      <c r="O966" s="582"/>
      <c r="P966" s="582"/>
      <c r="Q966" s="582"/>
      <c r="R966" s="582"/>
      <c r="S966" s="582"/>
      <c r="T966" s="582"/>
      <c r="U966" s="582"/>
      <c r="V966" s="582"/>
      <c r="W966" s="582"/>
      <c r="X966" s="582"/>
      <c r="Y966" s="582"/>
      <c r="Z966" s="582"/>
      <c r="AA966" s="582"/>
      <c r="AB966" s="582"/>
      <c r="AC966" s="582"/>
      <c r="AD966" s="582"/>
      <c r="AE966" s="582"/>
      <c r="AF966" s="1069"/>
    </row>
    <row r="967">
      <c r="A967" s="582"/>
      <c r="B967" s="582"/>
      <c r="C967" s="582"/>
      <c r="D967" s="582"/>
      <c r="E967" s="582"/>
      <c r="F967" s="582"/>
      <c r="G967" s="582"/>
      <c r="H967" s="582"/>
      <c r="I967" s="582"/>
      <c r="J967" s="582"/>
      <c r="K967" s="582"/>
      <c r="L967" s="582"/>
      <c r="M967" s="582"/>
      <c r="N967" s="582"/>
      <c r="O967" s="582"/>
      <c r="P967" s="582"/>
      <c r="Q967" s="582"/>
      <c r="R967" s="582"/>
      <c r="S967" s="582"/>
      <c r="T967" s="582"/>
      <c r="U967" s="582"/>
      <c r="V967" s="582"/>
      <c r="W967" s="582"/>
      <c r="X967" s="582"/>
      <c r="Y967" s="582"/>
      <c r="Z967" s="582"/>
      <c r="AA967" s="582"/>
      <c r="AB967" s="582"/>
      <c r="AC967" s="582"/>
      <c r="AD967" s="582"/>
      <c r="AE967" s="582"/>
      <c r="AF967" s="1069"/>
    </row>
    <row r="968">
      <c r="A968" s="582"/>
      <c r="B968" s="582"/>
      <c r="C968" s="582"/>
      <c r="D968" s="582"/>
      <c r="E968" s="582"/>
      <c r="F968" s="582"/>
      <c r="G968" s="582"/>
      <c r="H968" s="582"/>
      <c r="I968" s="582"/>
      <c r="J968" s="582"/>
      <c r="K968" s="582"/>
      <c r="L968" s="582"/>
      <c r="M968" s="582"/>
      <c r="N968" s="582"/>
      <c r="O968" s="582"/>
      <c r="P968" s="582"/>
      <c r="Q968" s="582"/>
      <c r="R968" s="582"/>
      <c r="S968" s="582"/>
      <c r="T968" s="582"/>
      <c r="U968" s="582"/>
      <c r="V968" s="582"/>
      <c r="W968" s="582"/>
      <c r="X968" s="582"/>
      <c r="Y968" s="582"/>
      <c r="Z968" s="582"/>
      <c r="AA968" s="582"/>
      <c r="AB968" s="582"/>
      <c r="AC968" s="582"/>
      <c r="AD968" s="582"/>
      <c r="AE968" s="582"/>
      <c r="AF968" s="1069"/>
    </row>
    <row r="969">
      <c r="A969" s="582"/>
      <c r="B969" s="582"/>
      <c r="C969" s="582"/>
      <c r="D969" s="582"/>
      <c r="E969" s="582"/>
      <c r="F969" s="582"/>
      <c r="G969" s="582"/>
      <c r="H969" s="582"/>
      <c r="I969" s="582"/>
      <c r="J969" s="582"/>
      <c r="K969" s="582"/>
      <c r="L969" s="582"/>
      <c r="M969" s="582"/>
      <c r="N969" s="582"/>
      <c r="O969" s="582"/>
      <c r="P969" s="582"/>
      <c r="Q969" s="582"/>
      <c r="R969" s="582"/>
      <c r="S969" s="582"/>
      <c r="T969" s="582"/>
      <c r="U969" s="582"/>
      <c r="V969" s="582"/>
      <c r="W969" s="582"/>
      <c r="X969" s="582"/>
      <c r="Y969" s="582"/>
      <c r="Z969" s="582"/>
      <c r="AA969" s="582"/>
      <c r="AB969" s="582"/>
      <c r="AC969" s="582"/>
      <c r="AD969" s="582"/>
      <c r="AE969" s="582"/>
      <c r="AF969" s="1069"/>
    </row>
    <row r="970">
      <c r="A970" s="582"/>
      <c r="B970" s="582"/>
      <c r="C970" s="582"/>
      <c r="D970" s="582"/>
      <c r="E970" s="582"/>
      <c r="F970" s="582"/>
      <c r="G970" s="582"/>
      <c r="H970" s="582"/>
      <c r="I970" s="582"/>
      <c r="J970" s="582"/>
      <c r="K970" s="582"/>
      <c r="L970" s="582"/>
      <c r="M970" s="582"/>
      <c r="N970" s="582"/>
      <c r="O970" s="582"/>
      <c r="P970" s="582"/>
      <c r="Q970" s="582"/>
      <c r="R970" s="582"/>
      <c r="S970" s="582"/>
      <c r="T970" s="582"/>
      <c r="U970" s="582"/>
      <c r="V970" s="582"/>
      <c r="W970" s="582"/>
      <c r="X970" s="582"/>
      <c r="Y970" s="582"/>
      <c r="Z970" s="582"/>
      <c r="AA970" s="582"/>
      <c r="AB970" s="582"/>
      <c r="AC970" s="582"/>
      <c r="AD970" s="582"/>
      <c r="AE970" s="582"/>
      <c r="AF970" s="1069"/>
    </row>
    <row r="971">
      <c r="A971" s="582"/>
      <c r="B971" s="582"/>
      <c r="C971" s="582"/>
      <c r="D971" s="582"/>
      <c r="E971" s="582"/>
      <c r="F971" s="582"/>
      <c r="G971" s="582"/>
      <c r="H971" s="582"/>
      <c r="I971" s="582"/>
      <c r="J971" s="582"/>
      <c r="K971" s="582"/>
      <c r="L971" s="582"/>
      <c r="M971" s="582"/>
      <c r="N971" s="582"/>
      <c r="O971" s="582"/>
      <c r="P971" s="582"/>
      <c r="Q971" s="582"/>
      <c r="R971" s="582"/>
      <c r="S971" s="582"/>
      <c r="T971" s="582"/>
      <c r="U971" s="582"/>
      <c r="V971" s="582"/>
      <c r="W971" s="582"/>
      <c r="X971" s="582"/>
      <c r="Y971" s="582"/>
      <c r="Z971" s="582"/>
      <c r="AA971" s="582"/>
      <c r="AB971" s="582"/>
      <c r="AC971" s="582"/>
      <c r="AD971" s="582"/>
      <c r="AE971" s="582"/>
      <c r="AF971" s="1069"/>
    </row>
    <row r="972">
      <c r="A972" s="582"/>
      <c r="B972" s="582"/>
      <c r="C972" s="582"/>
      <c r="D972" s="582"/>
      <c r="E972" s="582"/>
      <c r="F972" s="582"/>
      <c r="G972" s="582"/>
      <c r="H972" s="582"/>
      <c r="I972" s="582"/>
      <c r="J972" s="582"/>
      <c r="K972" s="582"/>
      <c r="L972" s="582"/>
      <c r="M972" s="582"/>
      <c r="N972" s="582"/>
      <c r="O972" s="582"/>
      <c r="P972" s="582"/>
      <c r="Q972" s="582"/>
      <c r="R972" s="582"/>
      <c r="S972" s="582"/>
      <c r="T972" s="582"/>
      <c r="U972" s="582"/>
      <c r="V972" s="582"/>
      <c r="W972" s="582"/>
      <c r="X972" s="582"/>
      <c r="Y972" s="582"/>
      <c r="Z972" s="582"/>
      <c r="AA972" s="582"/>
      <c r="AB972" s="582"/>
      <c r="AC972" s="582"/>
      <c r="AD972" s="582"/>
      <c r="AE972" s="582"/>
      <c r="AF972" s="1069"/>
    </row>
    <row r="973">
      <c r="A973" s="582"/>
      <c r="B973" s="582"/>
      <c r="C973" s="582"/>
      <c r="D973" s="582"/>
      <c r="E973" s="582"/>
      <c r="F973" s="582"/>
      <c r="G973" s="582"/>
      <c r="H973" s="582"/>
      <c r="I973" s="582"/>
      <c r="J973" s="582"/>
      <c r="K973" s="582"/>
      <c r="L973" s="582"/>
      <c r="M973" s="582"/>
      <c r="N973" s="582"/>
      <c r="O973" s="582"/>
      <c r="P973" s="582"/>
      <c r="Q973" s="582"/>
      <c r="R973" s="582"/>
      <c r="S973" s="582"/>
      <c r="T973" s="582"/>
      <c r="U973" s="582"/>
      <c r="V973" s="582"/>
      <c r="W973" s="582"/>
      <c r="X973" s="582"/>
      <c r="Y973" s="582"/>
      <c r="Z973" s="582"/>
      <c r="AA973" s="582"/>
      <c r="AB973" s="582"/>
      <c r="AC973" s="582"/>
      <c r="AD973" s="582"/>
      <c r="AE973" s="582"/>
      <c r="AF973" s="1069"/>
    </row>
    <row r="974">
      <c r="A974" s="582"/>
      <c r="B974" s="582"/>
      <c r="C974" s="582"/>
      <c r="D974" s="582"/>
      <c r="E974" s="582"/>
      <c r="F974" s="582"/>
      <c r="G974" s="582"/>
      <c r="H974" s="582"/>
      <c r="I974" s="582"/>
      <c r="J974" s="582"/>
      <c r="K974" s="582"/>
      <c r="L974" s="582"/>
      <c r="M974" s="582"/>
      <c r="N974" s="582"/>
      <c r="O974" s="582"/>
      <c r="P974" s="582"/>
      <c r="Q974" s="582"/>
      <c r="R974" s="582"/>
      <c r="S974" s="582"/>
      <c r="T974" s="582"/>
      <c r="U974" s="582"/>
      <c r="V974" s="582"/>
      <c r="W974" s="582"/>
      <c r="X974" s="582"/>
      <c r="Y974" s="582"/>
      <c r="Z974" s="582"/>
      <c r="AA974" s="582"/>
      <c r="AB974" s="582"/>
      <c r="AC974" s="582"/>
      <c r="AD974" s="582"/>
      <c r="AE974" s="582"/>
      <c r="AF974" s="1069"/>
    </row>
    <row r="975">
      <c r="A975" s="582"/>
      <c r="B975" s="582"/>
      <c r="C975" s="582"/>
      <c r="D975" s="582"/>
      <c r="E975" s="582"/>
      <c r="F975" s="582"/>
      <c r="G975" s="582"/>
      <c r="H975" s="582"/>
      <c r="I975" s="582"/>
      <c r="J975" s="582"/>
      <c r="K975" s="582"/>
      <c r="L975" s="582"/>
      <c r="M975" s="582"/>
      <c r="N975" s="582"/>
      <c r="O975" s="582"/>
      <c r="P975" s="582"/>
      <c r="Q975" s="582"/>
      <c r="R975" s="582"/>
      <c r="S975" s="582"/>
      <c r="T975" s="582"/>
      <c r="U975" s="582"/>
      <c r="V975" s="582"/>
      <c r="W975" s="582"/>
      <c r="X975" s="582"/>
      <c r="Y975" s="582"/>
      <c r="Z975" s="582"/>
      <c r="AA975" s="582"/>
      <c r="AB975" s="582"/>
      <c r="AC975" s="582"/>
      <c r="AD975" s="582"/>
      <c r="AE975" s="582"/>
      <c r="AF975" s="1069"/>
    </row>
    <row r="976">
      <c r="A976" s="582"/>
      <c r="B976" s="582"/>
      <c r="C976" s="582"/>
      <c r="D976" s="582"/>
      <c r="E976" s="582"/>
      <c r="F976" s="582"/>
      <c r="G976" s="582"/>
      <c r="H976" s="582"/>
      <c r="I976" s="582"/>
      <c r="J976" s="582"/>
      <c r="K976" s="582"/>
      <c r="L976" s="582"/>
      <c r="M976" s="582"/>
      <c r="N976" s="582"/>
      <c r="O976" s="582"/>
      <c r="P976" s="582"/>
      <c r="Q976" s="582"/>
      <c r="R976" s="582"/>
      <c r="S976" s="582"/>
      <c r="T976" s="582"/>
      <c r="U976" s="582"/>
      <c r="V976" s="582"/>
      <c r="W976" s="582"/>
      <c r="X976" s="582"/>
      <c r="Y976" s="582"/>
      <c r="Z976" s="582"/>
      <c r="AA976" s="582"/>
      <c r="AB976" s="582"/>
      <c r="AC976" s="582"/>
      <c r="AD976" s="582"/>
      <c r="AE976" s="582"/>
      <c r="AF976" s="1069"/>
    </row>
    <row r="977">
      <c r="A977" s="582"/>
      <c r="B977" s="582"/>
      <c r="C977" s="582"/>
      <c r="D977" s="582"/>
      <c r="E977" s="582"/>
      <c r="F977" s="582"/>
      <c r="G977" s="582"/>
      <c r="H977" s="582"/>
      <c r="I977" s="582"/>
      <c r="J977" s="582"/>
      <c r="K977" s="582"/>
      <c r="L977" s="582"/>
      <c r="M977" s="582"/>
      <c r="N977" s="582"/>
      <c r="O977" s="582"/>
      <c r="P977" s="582"/>
      <c r="Q977" s="582"/>
      <c r="R977" s="582"/>
      <c r="S977" s="582"/>
      <c r="T977" s="582"/>
      <c r="U977" s="582"/>
      <c r="V977" s="582"/>
      <c r="W977" s="582"/>
      <c r="X977" s="582"/>
      <c r="Y977" s="582"/>
      <c r="Z977" s="582"/>
      <c r="AA977" s="582"/>
      <c r="AB977" s="582"/>
      <c r="AC977" s="582"/>
      <c r="AD977" s="582"/>
      <c r="AE977" s="582"/>
      <c r="AF977" s="1069"/>
    </row>
    <row r="978">
      <c r="A978" s="582"/>
      <c r="B978" s="582"/>
      <c r="C978" s="582"/>
      <c r="D978" s="582"/>
      <c r="E978" s="582"/>
      <c r="F978" s="582"/>
      <c r="G978" s="582"/>
      <c r="H978" s="582"/>
      <c r="I978" s="582"/>
      <c r="J978" s="582"/>
      <c r="K978" s="582"/>
      <c r="L978" s="582"/>
      <c r="M978" s="582"/>
      <c r="N978" s="582"/>
      <c r="O978" s="582"/>
      <c r="P978" s="582"/>
      <c r="Q978" s="582"/>
      <c r="R978" s="582"/>
      <c r="S978" s="582"/>
      <c r="T978" s="582"/>
      <c r="U978" s="582"/>
      <c r="V978" s="582"/>
      <c r="W978" s="582"/>
      <c r="X978" s="582"/>
      <c r="Y978" s="582"/>
      <c r="Z978" s="582"/>
      <c r="AA978" s="582"/>
      <c r="AB978" s="582"/>
      <c r="AC978" s="582"/>
      <c r="AD978" s="582"/>
      <c r="AE978" s="582"/>
      <c r="AF978" s="1069"/>
    </row>
    <row r="979">
      <c r="A979" s="582"/>
      <c r="B979" s="582"/>
      <c r="C979" s="582"/>
      <c r="D979" s="582"/>
      <c r="E979" s="582"/>
      <c r="F979" s="582"/>
      <c r="G979" s="582"/>
      <c r="H979" s="582"/>
      <c r="I979" s="582"/>
      <c r="J979" s="582"/>
      <c r="K979" s="582"/>
      <c r="L979" s="582"/>
      <c r="M979" s="582"/>
      <c r="N979" s="582"/>
      <c r="O979" s="582"/>
      <c r="P979" s="582"/>
      <c r="Q979" s="582"/>
      <c r="R979" s="582"/>
      <c r="S979" s="582"/>
      <c r="T979" s="582"/>
      <c r="U979" s="582"/>
      <c r="V979" s="582"/>
      <c r="W979" s="582"/>
      <c r="X979" s="582"/>
      <c r="Y979" s="582"/>
      <c r="Z979" s="582"/>
      <c r="AA979" s="582"/>
      <c r="AB979" s="582"/>
      <c r="AC979" s="582"/>
      <c r="AD979" s="582"/>
      <c r="AE979" s="582"/>
      <c r="AF979" s="1069"/>
    </row>
    <row r="980">
      <c r="A980" s="582"/>
      <c r="B980" s="582"/>
      <c r="C980" s="582"/>
      <c r="D980" s="582"/>
      <c r="E980" s="582"/>
      <c r="F980" s="582"/>
      <c r="G980" s="582"/>
      <c r="H980" s="582"/>
      <c r="I980" s="582"/>
      <c r="J980" s="582"/>
      <c r="K980" s="582"/>
      <c r="L980" s="582"/>
      <c r="M980" s="582"/>
      <c r="N980" s="582"/>
      <c r="O980" s="582"/>
      <c r="P980" s="582"/>
      <c r="Q980" s="582"/>
      <c r="R980" s="582"/>
      <c r="S980" s="582"/>
      <c r="T980" s="582"/>
      <c r="U980" s="582"/>
      <c r="V980" s="582"/>
      <c r="W980" s="582"/>
      <c r="X980" s="582"/>
      <c r="Y980" s="582"/>
      <c r="Z980" s="582"/>
      <c r="AA980" s="582"/>
      <c r="AB980" s="582"/>
      <c r="AC980" s="582"/>
      <c r="AD980" s="582"/>
      <c r="AE980" s="582"/>
      <c r="AF980" s="1069"/>
    </row>
    <row r="981">
      <c r="A981" s="582"/>
      <c r="B981" s="582"/>
      <c r="C981" s="582"/>
      <c r="D981" s="582"/>
      <c r="E981" s="582"/>
      <c r="F981" s="582"/>
      <c r="G981" s="582"/>
      <c r="H981" s="582"/>
      <c r="I981" s="582"/>
      <c r="J981" s="582"/>
      <c r="K981" s="582"/>
      <c r="L981" s="582"/>
      <c r="M981" s="582"/>
      <c r="N981" s="582"/>
      <c r="O981" s="582"/>
      <c r="P981" s="582"/>
      <c r="Q981" s="582"/>
      <c r="R981" s="582"/>
      <c r="S981" s="582"/>
      <c r="T981" s="582"/>
      <c r="U981" s="582"/>
      <c r="V981" s="582"/>
      <c r="W981" s="582"/>
      <c r="X981" s="582"/>
      <c r="Y981" s="582"/>
      <c r="Z981" s="582"/>
      <c r="AA981" s="582"/>
      <c r="AB981" s="582"/>
      <c r="AC981" s="582"/>
      <c r="AD981" s="582"/>
      <c r="AE981" s="582"/>
      <c r="AF981" s="1069"/>
    </row>
    <row r="982">
      <c r="A982" s="582"/>
      <c r="B982" s="582"/>
      <c r="C982" s="582"/>
      <c r="D982" s="582"/>
      <c r="E982" s="582"/>
      <c r="F982" s="582"/>
      <c r="G982" s="582"/>
      <c r="H982" s="582"/>
      <c r="I982" s="582"/>
      <c r="J982" s="582"/>
      <c r="K982" s="582"/>
      <c r="L982" s="582"/>
      <c r="M982" s="582"/>
      <c r="N982" s="582"/>
      <c r="O982" s="582"/>
      <c r="P982" s="582"/>
      <c r="Q982" s="582"/>
      <c r="R982" s="582"/>
      <c r="S982" s="582"/>
      <c r="T982" s="582"/>
      <c r="U982" s="582"/>
      <c r="V982" s="582"/>
      <c r="W982" s="582"/>
      <c r="X982" s="582"/>
      <c r="Y982" s="582"/>
      <c r="Z982" s="582"/>
      <c r="AA982" s="582"/>
      <c r="AB982" s="582"/>
      <c r="AC982" s="582"/>
      <c r="AD982" s="582"/>
      <c r="AE982" s="582"/>
      <c r="AF982" s="1069"/>
    </row>
    <row r="983">
      <c r="A983" s="582"/>
      <c r="B983" s="582"/>
      <c r="C983" s="582"/>
      <c r="D983" s="582"/>
      <c r="E983" s="582"/>
      <c r="F983" s="582"/>
      <c r="G983" s="582"/>
      <c r="H983" s="582"/>
      <c r="I983" s="582"/>
      <c r="J983" s="582"/>
      <c r="K983" s="582"/>
      <c r="L983" s="582"/>
      <c r="M983" s="582"/>
      <c r="N983" s="582"/>
      <c r="O983" s="582"/>
      <c r="P983" s="582"/>
      <c r="Q983" s="582"/>
      <c r="R983" s="582"/>
      <c r="S983" s="582"/>
      <c r="T983" s="582"/>
      <c r="U983" s="582"/>
      <c r="V983" s="582"/>
      <c r="W983" s="582"/>
      <c r="X983" s="582"/>
      <c r="Y983" s="582"/>
      <c r="Z983" s="582"/>
      <c r="AA983" s="582"/>
      <c r="AB983" s="582"/>
      <c r="AC983" s="582"/>
      <c r="AD983" s="582"/>
      <c r="AE983" s="582"/>
      <c r="AF983" s="1069"/>
    </row>
    <row r="984">
      <c r="A984" s="582"/>
      <c r="B984" s="582"/>
      <c r="C984" s="582"/>
      <c r="D984" s="582"/>
      <c r="E984" s="582"/>
      <c r="F984" s="582"/>
      <c r="G984" s="582"/>
      <c r="H984" s="582"/>
      <c r="I984" s="582"/>
      <c r="J984" s="582"/>
      <c r="K984" s="582"/>
      <c r="L984" s="582"/>
      <c r="M984" s="582"/>
      <c r="N984" s="582"/>
      <c r="O984" s="582"/>
      <c r="P984" s="582"/>
      <c r="Q984" s="582"/>
      <c r="R984" s="582"/>
      <c r="S984" s="582"/>
      <c r="T984" s="582"/>
      <c r="U984" s="582"/>
      <c r="V984" s="582"/>
      <c r="W984" s="582"/>
      <c r="X984" s="582"/>
      <c r="Y984" s="582"/>
      <c r="Z984" s="582"/>
      <c r="AA984" s="582"/>
      <c r="AB984" s="582"/>
      <c r="AC984" s="582"/>
      <c r="AD984" s="582"/>
      <c r="AE984" s="582"/>
      <c r="AF984" s="1069"/>
    </row>
    <row r="985">
      <c r="A985" s="582"/>
      <c r="B985" s="582"/>
      <c r="C985" s="582"/>
      <c r="D985" s="582"/>
      <c r="E985" s="582"/>
      <c r="F985" s="582"/>
      <c r="G985" s="582"/>
      <c r="H985" s="582"/>
      <c r="I985" s="582"/>
      <c r="J985" s="582"/>
      <c r="K985" s="582"/>
      <c r="L985" s="582"/>
      <c r="M985" s="582"/>
      <c r="N985" s="582"/>
      <c r="O985" s="582"/>
      <c r="P985" s="582"/>
      <c r="Q985" s="582"/>
      <c r="R985" s="582"/>
      <c r="S985" s="582"/>
      <c r="T985" s="582"/>
      <c r="U985" s="582"/>
      <c r="V985" s="582"/>
      <c r="W985" s="582"/>
      <c r="X985" s="582"/>
      <c r="Y985" s="582"/>
      <c r="Z985" s="582"/>
      <c r="AA985" s="582"/>
      <c r="AB985" s="582"/>
      <c r="AC985" s="582"/>
      <c r="AD985" s="582"/>
      <c r="AE985" s="582"/>
      <c r="AF985" s="1069"/>
    </row>
    <row r="986">
      <c r="A986" s="582"/>
      <c r="B986" s="582"/>
      <c r="C986" s="582"/>
      <c r="D986" s="582"/>
      <c r="E986" s="582"/>
      <c r="F986" s="582"/>
      <c r="G986" s="582"/>
      <c r="H986" s="582"/>
      <c r="I986" s="582"/>
      <c r="J986" s="582"/>
      <c r="K986" s="582"/>
      <c r="L986" s="582"/>
      <c r="M986" s="582"/>
      <c r="N986" s="582"/>
      <c r="O986" s="582"/>
      <c r="P986" s="582"/>
      <c r="Q986" s="582"/>
      <c r="R986" s="582"/>
      <c r="S986" s="582"/>
      <c r="T986" s="582"/>
      <c r="U986" s="582"/>
      <c r="V986" s="582"/>
      <c r="W986" s="582"/>
      <c r="X986" s="582"/>
      <c r="Y986" s="582"/>
      <c r="Z986" s="582"/>
      <c r="AA986" s="582"/>
      <c r="AB986" s="582"/>
      <c r="AC986" s="582"/>
      <c r="AD986" s="582"/>
      <c r="AE986" s="582"/>
      <c r="AF986" s="1069"/>
    </row>
    <row r="987">
      <c r="A987" s="582"/>
      <c r="B987" s="582"/>
      <c r="C987" s="582"/>
      <c r="D987" s="582"/>
      <c r="E987" s="582"/>
      <c r="F987" s="582"/>
      <c r="G987" s="582"/>
      <c r="H987" s="582"/>
      <c r="I987" s="582"/>
      <c r="J987" s="582"/>
      <c r="K987" s="582"/>
      <c r="L987" s="582"/>
      <c r="M987" s="582"/>
      <c r="N987" s="582"/>
      <c r="O987" s="582"/>
      <c r="P987" s="582"/>
      <c r="Q987" s="582"/>
      <c r="R987" s="582"/>
      <c r="S987" s="582"/>
      <c r="T987" s="582"/>
      <c r="U987" s="582"/>
      <c r="V987" s="582"/>
      <c r="W987" s="582"/>
      <c r="X987" s="582"/>
      <c r="Y987" s="582"/>
      <c r="Z987" s="582"/>
      <c r="AA987" s="582"/>
      <c r="AB987" s="582"/>
      <c r="AC987" s="582"/>
      <c r="AD987" s="582"/>
      <c r="AE987" s="582"/>
      <c r="AF987" s="1069"/>
    </row>
    <row r="988">
      <c r="A988" s="582"/>
      <c r="B988" s="582"/>
      <c r="C988" s="582"/>
      <c r="D988" s="582"/>
      <c r="E988" s="582"/>
      <c r="F988" s="582"/>
      <c r="G988" s="582"/>
      <c r="H988" s="582"/>
      <c r="I988" s="582"/>
      <c r="J988" s="582"/>
      <c r="K988" s="582"/>
      <c r="L988" s="582"/>
      <c r="M988" s="582"/>
      <c r="N988" s="582"/>
      <c r="O988" s="582"/>
      <c r="P988" s="582"/>
      <c r="Q988" s="582"/>
      <c r="R988" s="582"/>
      <c r="S988" s="582"/>
      <c r="T988" s="582"/>
      <c r="U988" s="582"/>
      <c r="V988" s="582"/>
      <c r="W988" s="582"/>
      <c r="X988" s="582"/>
      <c r="Y988" s="582"/>
      <c r="Z988" s="582"/>
      <c r="AA988" s="582"/>
      <c r="AB988" s="582"/>
      <c r="AC988" s="582"/>
      <c r="AD988" s="582"/>
      <c r="AE988" s="582"/>
      <c r="AF988" s="1069"/>
    </row>
    <row r="989">
      <c r="A989" s="582"/>
      <c r="B989" s="582"/>
      <c r="C989" s="582"/>
      <c r="D989" s="582"/>
      <c r="E989" s="582"/>
      <c r="F989" s="582"/>
      <c r="G989" s="582"/>
      <c r="H989" s="582"/>
      <c r="I989" s="582"/>
      <c r="J989" s="582"/>
      <c r="K989" s="582"/>
      <c r="L989" s="582"/>
      <c r="M989" s="582"/>
      <c r="N989" s="582"/>
      <c r="O989" s="582"/>
      <c r="P989" s="582"/>
      <c r="Q989" s="582"/>
      <c r="R989" s="582"/>
      <c r="S989" s="582"/>
      <c r="T989" s="582"/>
      <c r="U989" s="582"/>
      <c r="V989" s="582"/>
      <c r="W989" s="582"/>
      <c r="X989" s="582"/>
      <c r="Y989" s="582"/>
      <c r="Z989" s="582"/>
      <c r="AA989" s="582"/>
      <c r="AB989" s="582"/>
      <c r="AC989" s="582"/>
      <c r="AD989" s="582"/>
      <c r="AE989" s="582"/>
      <c r="AF989" s="1069"/>
    </row>
    <row r="990">
      <c r="A990" s="582"/>
      <c r="B990" s="582"/>
      <c r="C990" s="582"/>
      <c r="D990" s="582"/>
      <c r="E990" s="582"/>
      <c r="F990" s="582"/>
      <c r="G990" s="582"/>
      <c r="H990" s="582"/>
      <c r="I990" s="582"/>
      <c r="J990" s="582"/>
      <c r="K990" s="582"/>
      <c r="L990" s="582"/>
      <c r="M990" s="582"/>
      <c r="N990" s="582"/>
      <c r="O990" s="582"/>
      <c r="P990" s="582"/>
      <c r="Q990" s="582"/>
      <c r="R990" s="582"/>
      <c r="S990" s="582"/>
      <c r="T990" s="582"/>
      <c r="U990" s="582"/>
      <c r="V990" s="582"/>
      <c r="W990" s="582"/>
      <c r="X990" s="582"/>
      <c r="Y990" s="582"/>
      <c r="Z990" s="582"/>
      <c r="AA990" s="582"/>
      <c r="AB990" s="582"/>
      <c r="AC990" s="582"/>
      <c r="AD990" s="582"/>
      <c r="AE990" s="582"/>
      <c r="AF990" s="1069"/>
    </row>
    <row r="991">
      <c r="A991" s="582"/>
      <c r="B991" s="582"/>
      <c r="C991" s="582"/>
      <c r="D991" s="582"/>
      <c r="E991" s="582"/>
      <c r="F991" s="582"/>
      <c r="G991" s="582"/>
      <c r="H991" s="582"/>
      <c r="I991" s="582"/>
      <c r="J991" s="582"/>
      <c r="K991" s="582"/>
      <c r="L991" s="582"/>
      <c r="M991" s="582"/>
      <c r="N991" s="582"/>
      <c r="O991" s="582"/>
      <c r="P991" s="582"/>
      <c r="Q991" s="582"/>
      <c r="R991" s="582"/>
      <c r="S991" s="582"/>
      <c r="T991" s="582"/>
      <c r="U991" s="582"/>
      <c r="V991" s="582"/>
      <c r="W991" s="582"/>
      <c r="X991" s="582"/>
      <c r="Y991" s="582"/>
      <c r="Z991" s="582"/>
      <c r="AA991" s="582"/>
      <c r="AB991" s="582"/>
      <c r="AC991" s="582"/>
      <c r="AD991" s="582"/>
      <c r="AE991" s="582"/>
      <c r="AF991" s="1069"/>
    </row>
    <row r="992">
      <c r="A992" s="582"/>
      <c r="B992" s="582"/>
      <c r="C992" s="582"/>
      <c r="D992" s="582"/>
      <c r="E992" s="582"/>
      <c r="F992" s="582"/>
      <c r="G992" s="582"/>
      <c r="H992" s="582"/>
      <c r="I992" s="582"/>
      <c r="J992" s="582"/>
      <c r="K992" s="582"/>
      <c r="L992" s="582"/>
      <c r="M992" s="582"/>
      <c r="N992" s="582"/>
      <c r="O992" s="582"/>
      <c r="P992" s="582"/>
      <c r="Q992" s="582"/>
      <c r="R992" s="582"/>
      <c r="S992" s="582"/>
      <c r="T992" s="582"/>
      <c r="U992" s="582"/>
      <c r="V992" s="582"/>
      <c r="W992" s="582"/>
      <c r="X992" s="582"/>
      <c r="Y992" s="582"/>
      <c r="Z992" s="582"/>
      <c r="AA992" s="582"/>
      <c r="AB992" s="582"/>
      <c r="AC992" s="582"/>
      <c r="AD992" s="582"/>
      <c r="AE992" s="582"/>
      <c r="AF992" s="1069"/>
    </row>
    <row r="993">
      <c r="A993" s="582"/>
      <c r="B993" s="582"/>
      <c r="C993" s="582"/>
      <c r="D993" s="582"/>
      <c r="E993" s="582"/>
      <c r="F993" s="582"/>
      <c r="G993" s="582"/>
      <c r="H993" s="582"/>
      <c r="I993" s="582"/>
      <c r="J993" s="582"/>
      <c r="K993" s="582"/>
      <c r="L993" s="582"/>
      <c r="M993" s="582"/>
      <c r="N993" s="582"/>
      <c r="O993" s="582"/>
      <c r="P993" s="582"/>
      <c r="Q993" s="582"/>
      <c r="R993" s="582"/>
      <c r="S993" s="582"/>
      <c r="T993" s="582"/>
      <c r="U993" s="582"/>
      <c r="V993" s="582"/>
      <c r="W993" s="582"/>
      <c r="X993" s="582"/>
      <c r="Y993" s="582"/>
      <c r="Z993" s="582"/>
      <c r="AA993" s="582"/>
      <c r="AB993" s="582"/>
      <c r="AC993" s="582"/>
      <c r="AD993" s="582"/>
      <c r="AE993" s="582"/>
      <c r="AF993" s="1069"/>
    </row>
    <row r="994">
      <c r="A994" s="582"/>
      <c r="B994" s="582"/>
      <c r="C994" s="582"/>
      <c r="D994" s="582"/>
      <c r="E994" s="582"/>
      <c r="F994" s="582"/>
      <c r="G994" s="582"/>
      <c r="H994" s="582"/>
      <c r="I994" s="582"/>
      <c r="J994" s="582"/>
      <c r="K994" s="582"/>
      <c r="L994" s="582"/>
      <c r="M994" s="582"/>
      <c r="N994" s="582"/>
      <c r="O994" s="582"/>
      <c r="P994" s="582"/>
      <c r="Q994" s="582"/>
      <c r="R994" s="582"/>
      <c r="S994" s="582"/>
      <c r="T994" s="582"/>
      <c r="U994" s="582"/>
      <c r="V994" s="582"/>
      <c r="W994" s="582"/>
      <c r="X994" s="582"/>
      <c r="Y994" s="582"/>
      <c r="Z994" s="582"/>
      <c r="AA994" s="582"/>
      <c r="AB994" s="582"/>
      <c r="AC994" s="582"/>
      <c r="AD994" s="582"/>
      <c r="AE994" s="582"/>
      <c r="AF994" s="1069"/>
    </row>
    <row r="995">
      <c r="A995" s="582"/>
      <c r="B995" s="582"/>
      <c r="C995" s="582"/>
      <c r="D995" s="582"/>
      <c r="E995" s="582"/>
      <c r="F995" s="582"/>
      <c r="G995" s="582"/>
      <c r="H995" s="582"/>
      <c r="I995" s="582"/>
      <c r="J995" s="582"/>
      <c r="K995" s="582"/>
      <c r="L995" s="582"/>
      <c r="M995" s="582"/>
      <c r="N995" s="582"/>
      <c r="O995" s="582"/>
      <c r="P995" s="582"/>
      <c r="Q995" s="582"/>
      <c r="R995" s="582"/>
      <c r="S995" s="582"/>
      <c r="T995" s="582"/>
      <c r="U995" s="582"/>
      <c r="V995" s="582"/>
      <c r="W995" s="582"/>
      <c r="X995" s="582"/>
      <c r="Y995" s="582"/>
      <c r="Z995" s="582"/>
      <c r="AA995" s="582"/>
      <c r="AB995" s="582"/>
      <c r="AC995" s="582"/>
      <c r="AD995" s="582"/>
      <c r="AE995" s="582"/>
      <c r="AF995" s="1069"/>
    </row>
    <row r="996">
      <c r="A996" s="582"/>
      <c r="B996" s="582"/>
      <c r="C996" s="582"/>
      <c r="D996" s="582"/>
      <c r="E996" s="582"/>
      <c r="F996" s="582"/>
      <c r="G996" s="582"/>
      <c r="H996" s="582"/>
      <c r="I996" s="582"/>
      <c r="J996" s="582"/>
      <c r="K996" s="582"/>
      <c r="L996" s="582"/>
      <c r="M996" s="582"/>
      <c r="N996" s="582"/>
      <c r="O996" s="582"/>
      <c r="P996" s="582"/>
      <c r="Q996" s="582"/>
      <c r="R996" s="582"/>
      <c r="S996" s="582"/>
      <c r="T996" s="582"/>
      <c r="U996" s="582"/>
      <c r="V996" s="582"/>
      <c r="W996" s="582"/>
      <c r="X996" s="582"/>
      <c r="Y996" s="582"/>
      <c r="Z996" s="582"/>
      <c r="AA996" s="582"/>
      <c r="AB996" s="582"/>
      <c r="AC996" s="582"/>
      <c r="AD996" s="582"/>
      <c r="AE996" s="582"/>
      <c r="AF996" s="1069"/>
    </row>
    <row r="997">
      <c r="A997" s="582"/>
      <c r="B997" s="582"/>
      <c r="C997" s="582"/>
      <c r="D997" s="582"/>
      <c r="E997" s="582"/>
      <c r="F997" s="582"/>
      <c r="G997" s="582"/>
      <c r="H997" s="582"/>
      <c r="I997" s="582"/>
      <c r="J997" s="582"/>
      <c r="K997" s="582"/>
      <c r="L997" s="582"/>
      <c r="M997" s="582"/>
      <c r="N997" s="582"/>
      <c r="O997" s="582"/>
      <c r="P997" s="582"/>
      <c r="Q997" s="582"/>
      <c r="R997" s="582"/>
      <c r="S997" s="582"/>
      <c r="T997" s="582"/>
      <c r="U997" s="582"/>
      <c r="V997" s="582"/>
      <c r="W997" s="582"/>
      <c r="X997" s="582"/>
      <c r="Y997" s="582"/>
      <c r="Z997" s="582"/>
      <c r="AA997" s="582"/>
      <c r="AB997" s="582"/>
      <c r="AC997" s="582"/>
      <c r="AD997" s="582"/>
      <c r="AE997" s="582"/>
      <c r="AF997" s="1069"/>
    </row>
    <row r="998">
      <c r="A998" s="582"/>
      <c r="B998" s="582"/>
      <c r="C998" s="582"/>
      <c r="D998" s="582"/>
      <c r="E998" s="582"/>
      <c r="F998" s="582"/>
      <c r="G998" s="582"/>
      <c r="H998" s="582"/>
      <c r="I998" s="582"/>
      <c r="J998" s="582"/>
      <c r="K998" s="582"/>
      <c r="L998" s="582"/>
      <c r="M998" s="582"/>
      <c r="N998" s="582"/>
      <c r="O998" s="582"/>
      <c r="P998" s="582"/>
      <c r="Q998" s="582"/>
      <c r="R998" s="582"/>
      <c r="S998" s="582"/>
      <c r="T998" s="582"/>
      <c r="U998" s="582"/>
      <c r="V998" s="582"/>
      <c r="W998" s="582"/>
      <c r="X998" s="582"/>
      <c r="Y998" s="582"/>
      <c r="Z998" s="582"/>
      <c r="AA998" s="582"/>
      <c r="AB998" s="582"/>
      <c r="AC998" s="582"/>
      <c r="AD998" s="582"/>
      <c r="AE998" s="582"/>
      <c r="AF998" s="1069"/>
    </row>
    <row r="999">
      <c r="A999" s="582"/>
      <c r="B999" s="582"/>
      <c r="C999" s="582"/>
      <c r="D999" s="582"/>
      <c r="E999" s="582"/>
      <c r="F999" s="582"/>
      <c r="G999" s="582"/>
      <c r="H999" s="582"/>
      <c r="I999" s="582"/>
      <c r="J999" s="582"/>
      <c r="K999" s="582"/>
      <c r="L999" s="582"/>
      <c r="M999" s="582"/>
      <c r="N999" s="582"/>
      <c r="O999" s="582"/>
      <c r="P999" s="582"/>
      <c r="Q999" s="582"/>
      <c r="R999" s="582"/>
      <c r="S999" s="582"/>
      <c r="T999" s="582"/>
      <c r="U999" s="582"/>
      <c r="V999" s="582"/>
      <c r="W999" s="582"/>
      <c r="X999" s="582"/>
      <c r="Y999" s="582"/>
      <c r="Z999" s="582"/>
      <c r="AA999" s="582"/>
      <c r="AB999" s="582"/>
      <c r="AC999" s="582"/>
      <c r="AD999" s="582"/>
      <c r="AE999" s="582"/>
      <c r="AF999" s="1069"/>
    </row>
    <row r="1000">
      <c r="A1000" s="582"/>
      <c r="B1000" s="582"/>
      <c r="C1000" s="582"/>
      <c r="D1000" s="582"/>
      <c r="E1000" s="582"/>
      <c r="F1000" s="582"/>
      <c r="G1000" s="582"/>
      <c r="H1000" s="582"/>
      <c r="I1000" s="582"/>
      <c r="J1000" s="582"/>
      <c r="K1000" s="582"/>
      <c r="L1000" s="582"/>
      <c r="M1000" s="582"/>
      <c r="N1000" s="582"/>
      <c r="O1000" s="582"/>
      <c r="P1000" s="582"/>
      <c r="Q1000" s="582"/>
      <c r="R1000" s="582"/>
      <c r="S1000" s="582"/>
      <c r="T1000" s="582"/>
      <c r="U1000" s="582"/>
      <c r="V1000" s="582"/>
      <c r="W1000" s="582"/>
      <c r="X1000" s="582"/>
      <c r="Y1000" s="582"/>
      <c r="Z1000" s="582"/>
      <c r="AA1000" s="582"/>
      <c r="AB1000" s="582"/>
      <c r="AC1000" s="582"/>
      <c r="AD1000" s="582"/>
      <c r="AE1000" s="582"/>
      <c r="AF1000" s="1069"/>
    </row>
    <row r="1001">
      <c r="A1001" s="582"/>
      <c r="B1001" s="582"/>
      <c r="C1001" s="582"/>
      <c r="D1001" s="582"/>
      <c r="E1001" s="582"/>
      <c r="F1001" s="582"/>
      <c r="G1001" s="582"/>
      <c r="H1001" s="582"/>
      <c r="I1001" s="582"/>
      <c r="J1001" s="582"/>
      <c r="K1001" s="582"/>
      <c r="L1001" s="582"/>
      <c r="M1001" s="582"/>
      <c r="N1001" s="582"/>
      <c r="O1001" s="582"/>
      <c r="P1001" s="582"/>
      <c r="Q1001" s="582"/>
      <c r="R1001" s="582"/>
      <c r="S1001" s="582"/>
      <c r="T1001" s="582"/>
      <c r="U1001" s="582"/>
      <c r="V1001" s="582"/>
      <c r="W1001" s="582"/>
      <c r="X1001" s="582"/>
      <c r="Y1001" s="582"/>
      <c r="Z1001" s="582"/>
      <c r="AA1001" s="582"/>
      <c r="AB1001" s="582"/>
      <c r="AC1001" s="582"/>
      <c r="AD1001" s="582"/>
      <c r="AE1001" s="582"/>
      <c r="AF1001" s="1069"/>
    </row>
    <row r="1002">
      <c r="A1002" s="582"/>
      <c r="B1002" s="582"/>
      <c r="C1002" s="582"/>
      <c r="D1002" s="582"/>
      <c r="E1002" s="582"/>
      <c r="F1002" s="582"/>
      <c r="G1002" s="582"/>
      <c r="H1002" s="582"/>
      <c r="I1002" s="582"/>
      <c r="J1002" s="582"/>
      <c r="K1002" s="582"/>
      <c r="L1002" s="582"/>
      <c r="M1002" s="582"/>
      <c r="N1002" s="582"/>
      <c r="O1002" s="582"/>
      <c r="P1002" s="582"/>
      <c r="Q1002" s="582"/>
      <c r="R1002" s="582"/>
      <c r="S1002" s="582"/>
      <c r="T1002" s="582"/>
      <c r="U1002" s="582"/>
      <c r="V1002" s="582"/>
      <c r="W1002" s="582"/>
      <c r="X1002" s="582"/>
      <c r="Y1002" s="582"/>
      <c r="Z1002" s="582"/>
      <c r="AA1002" s="582"/>
      <c r="AB1002" s="582"/>
      <c r="AC1002" s="582"/>
      <c r="AD1002" s="582"/>
      <c r="AE1002" s="582"/>
      <c r="AF1002" s="1069"/>
    </row>
    <row r="1003">
      <c r="A1003" s="582"/>
      <c r="B1003" s="582"/>
      <c r="C1003" s="582"/>
      <c r="D1003" s="582"/>
      <c r="E1003" s="582"/>
      <c r="F1003" s="582"/>
      <c r="G1003" s="582"/>
      <c r="H1003" s="582"/>
      <c r="I1003" s="582"/>
      <c r="J1003" s="582"/>
      <c r="K1003" s="582"/>
      <c r="L1003" s="582"/>
      <c r="M1003" s="582"/>
      <c r="N1003" s="582"/>
      <c r="O1003" s="582"/>
      <c r="P1003" s="582"/>
      <c r="Q1003" s="582"/>
      <c r="R1003" s="582"/>
      <c r="S1003" s="582"/>
      <c r="T1003" s="582"/>
      <c r="U1003" s="582"/>
      <c r="V1003" s="582"/>
      <c r="W1003" s="582"/>
      <c r="X1003" s="582"/>
      <c r="Y1003" s="582"/>
      <c r="Z1003" s="582"/>
      <c r="AA1003" s="582"/>
      <c r="AB1003" s="582"/>
      <c r="AC1003" s="582"/>
      <c r="AD1003" s="582"/>
      <c r="AE1003" s="582"/>
      <c r="AF1003" s="1069"/>
    </row>
    <row r="1004">
      <c r="A1004" s="582"/>
      <c r="B1004" s="582"/>
      <c r="C1004" s="582"/>
      <c r="D1004" s="582"/>
      <c r="E1004" s="582"/>
      <c r="F1004" s="582"/>
      <c r="G1004" s="582"/>
      <c r="H1004" s="582"/>
      <c r="I1004" s="582"/>
      <c r="J1004" s="582"/>
      <c r="K1004" s="582"/>
      <c r="L1004" s="582"/>
      <c r="M1004" s="582"/>
      <c r="N1004" s="582"/>
      <c r="O1004" s="582"/>
      <c r="P1004" s="582"/>
      <c r="Q1004" s="582"/>
      <c r="R1004" s="582"/>
      <c r="S1004" s="582"/>
      <c r="T1004" s="582"/>
      <c r="U1004" s="582"/>
      <c r="V1004" s="582"/>
      <c r="W1004" s="582"/>
      <c r="X1004" s="582"/>
      <c r="Y1004" s="582"/>
      <c r="Z1004" s="582"/>
      <c r="AA1004" s="582"/>
      <c r="AB1004" s="582"/>
      <c r="AC1004" s="582"/>
      <c r="AD1004" s="582"/>
      <c r="AE1004" s="582"/>
      <c r="AF1004" s="1069"/>
    </row>
    <row r="1005">
      <c r="A1005" s="582"/>
      <c r="B1005" s="582"/>
      <c r="C1005" s="582"/>
      <c r="D1005" s="582"/>
      <c r="E1005" s="582"/>
      <c r="F1005" s="582"/>
      <c r="G1005" s="582"/>
      <c r="H1005" s="582"/>
      <c r="I1005" s="582"/>
      <c r="J1005" s="582"/>
      <c r="K1005" s="582"/>
      <c r="L1005" s="582"/>
      <c r="M1005" s="582"/>
      <c r="N1005" s="582"/>
      <c r="O1005" s="582"/>
      <c r="P1005" s="582"/>
      <c r="Q1005" s="582"/>
      <c r="R1005" s="582"/>
      <c r="S1005" s="582"/>
      <c r="T1005" s="582"/>
      <c r="U1005" s="582"/>
      <c r="V1005" s="582"/>
      <c r="W1005" s="582"/>
      <c r="X1005" s="582"/>
      <c r="Y1005" s="582"/>
      <c r="Z1005" s="582"/>
      <c r="AA1005" s="582"/>
      <c r="AB1005" s="582"/>
      <c r="AC1005" s="582"/>
      <c r="AD1005" s="582"/>
      <c r="AE1005" s="582"/>
      <c r="AF1005" s="1069"/>
    </row>
    <row r="1006">
      <c r="A1006" s="582"/>
      <c r="B1006" s="582"/>
      <c r="C1006" s="582"/>
      <c r="D1006" s="582"/>
      <c r="E1006" s="582"/>
      <c r="F1006" s="582"/>
      <c r="G1006" s="582"/>
      <c r="H1006" s="582"/>
      <c r="I1006" s="582"/>
      <c r="J1006" s="582"/>
      <c r="K1006" s="582"/>
      <c r="L1006" s="582"/>
      <c r="M1006" s="582"/>
      <c r="N1006" s="582"/>
      <c r="O1006" s="582"/>
      <c r="P1006" s="582"/>
      <c r="Q1006" s="582"/>
      <c r="R1006" s="582"/>
      <c r="S1006" s="582"/>
      <c r="T1006" s="582"/>
      <c r="U1006" s="582"/>
      <c r="V1006" s="582"/>
      <c r="W1006" s="582"/>
      <c r="X1006" s="582"/>
      <c r="Y1006" s="582"/>
      <c r="Z1006" s="582"/>
      <c r="AA1006" s="582"/>
      <c r="AB1006" s="582"/>
      <c r="AC1006" s="582"/>
      <c r="AD1006" s="582"/>
      <c r="AE1006" s="582"/>
      <c r="AF1006" s="1069"/>
    </row>
    <row r="1007">
      <c r="A1007" s="582"/>
      <c r="B1007" s="582"/>
      <c r="C1007" s="582"/>
      <c r="D1007" s="582"/>
      <c r="E1007" s="582"/>
      <c r="F1007" s="582"/>
      <c r="G1007" s="582"/>
      <c r="H1007" s="582"/>
      <c r="I1007" s="582"/>
      <c r="J1007" s="582"/>
      <c r="K1007" s="582"/>
      <c r="L1007" s="582"/>
      <c r="M1007" s="582"/>
      <c r="N1007" s="582"/>
      <c r="O1007" s="582"/>
      <c r="P1007" s="582"/>
      <c r="Q1007" s="582"/>
      <c r="R1007" s="582"/>
      <c r="S1007" s="582"/>
      <c r="T1007" s="582"/>
      <c r="U1007" s="582"/>
      <c r="V1007" s="582"/>
      <c r="W1007" s="582"/>
      <c r="X1007" s="582"/>
      <c r="Y1007" s="582"/>
      <c r="Z1007" s="582"/>
      <c r="AA1007" s="582"/>
      <c r="AB1007" s="582"/>
      <c r="AC1007" s="582"/>
      <c r="AD1007" s="582"/>
      <c r="AE1007" s="582"/>
      <c r="AF1007" s="1069"/>
    </row>
    <row r="1008">
      <c r="A1008" s="582"/>
      <c r="B1008" s="582"/>
      <c r="C1008" s="582"/>
      <c r="D1008" s="582"/>
      <c r="E1008" s="582"/>
      <c r="F1008" s="582"/>
      <c r="G1008" s="582"/>
      <c r="H1008" s="582"/>
      <c r="I1008" s="582"/>
      <c r="J1008" s="582"/>
      <c r="K1008" s="582"/>
      <c r="L1008" s="582"/>
      <c r="M1008" s="582"/>
      <c r="N1008" s="582"/>
      <c r="O1008" s="582"/>
      <c r="P1008" s="582"/>
      <c r="Q1008" s="582"/>
      <c r="R1008" s="582"/>
      <c r="S1008" s="582"/>
      <c r="T1008" s="582"/>
      <c r="U1008" s="582"/>
      <c r="V1008" s="582"/>
      <c r="W1008" s="582"/>
      <c r="X1008" s="582"/>
      <c r="Y1008" s="582"/>
      <c r="Z1008" s="582"/>
      <c r="AA1008" s="582"/>
      <c r="AB1008" s="582"/>
      <c r="AC1008" s="582"/>
      <c r="AD1008" s="582"/>
      <c r="AE1008" s="582"/>
      <c r="AF1008" s="1069"/>
    </row>
    <row r="1009">
      <c r="A1009" s="582"/>
      <c r="B1009" s="582"/>
      <c r="C1009" s="582"/>
      <c r="D1009" s="582"/>
      <c r="E1009" s="582"/>
      <c r="F1009" s="582"/>
      <c r="G1009" s="582"/>
      <c r="H1009" s="582"/>
      <c r="I1009" s="582"/>
      <c r="J1009" s="582"/>
      <c r="K1009" s="582"/>
      <c r="L1009" s="582"/>
      <c r="M1009" s="582"/>
      <c r="N1009" s="582"/>
      <c r="O1009" s="582"/>
      <c r="P1009" s="582"/>
      <c r="Q1009" s="582"/>
      <c r="R1009" s="582"/>
      <c r="S1009" s="582"/>
      <c r="T1009" s="582"/>
      <c r="U1009" s="582"/>
      <c r="V1009" s="582"/>
      <c r="W1009" s="582"/>
      <c r="X1009" s="582"/>
      <c r="Y1009" s="582"/>
      <c r="Z1009" s="582"/>
      <c r="AA1009" s="582"/>
      <c r="AB1009" s="582"/>
      <c r="AC1009" s="582"/>
      <c r="AD1009" s="582"/>
      <c r="AE1009" s="582"/>
      <c r="AF1009" s="1069"/>
    </row>
    <row r="1010">
      <c r="A1010" s="582"/>
      <c r="B1010" s="582"/>
      <c r="C1010" s="582"/>
      <c r="D1010" s="582"/>
      <c r="E1010" s="582"/>
      <c r="F1010" s="582"/>
      <c r="G1010" s="582"/>
      <c r="H1010" s="582"/>
      <c r="I1010" s="582"/>
      <c r="J1010" s="582"/>
      <c r="K1010" s="582"/>
      <c r="L1010" s="582"/>
      <c r="M1010" s="582"/>
      <c r="N1010" s="582"/>
      <c r="O1010" s="582"/>
      <c r="P1010" s="582"/>
      <c r="Q1010" s="582"/>
      <c r="R1010" s="582"/>
      <c r="S1010" s="582"/>
      <c r="T1010" s="582"/>
      <c r="U1010" s="582"/>
      <c r="V1010" s="582"/>
      <c r="W1010" s="582"/>
      <c r="X1010" s="582"/>
      <c r="Y1010" s="582"/>
      <c r="Z1010" s="582"/>
      <c r="AA1010" s="582"/>
      <c r="AB1010" s="582"/>
      <c r="AC1010" s="582"/>
      <c r="AD1010" s="582"/>
      <c r="AE1010" s="582"/>
      <c r="AF1010" s="1069"/>
    </row>
    <row r="1011">
      <c r="A1011" s="582"/>
      <c r="B1011" s="582"/>
      <c r="C1011" s="582"/>
      <c r="D1011" s="582"/>
      <c r="E1011" s="582"/>
      <c r="F1011" s="582"/>
      <c r="G1011" s="582"/>
      <c r="H1011" s="582"/>
      <c r="I1011" s="582"/>
      <c r="J1011" s="582"/>
      <c r="K1011" s="582"/>
      <c r="L1011" s="582"/>
      <c r="M1011" s="582"/>
      <c r="N1011" s="582"/>
      <c r="O1011" s="582"/>
      <c r="P1011" s="582"/>
      <c r="Q1011" s="582"/>
      <c r="R1011" s="582"/>
      <c r="S1011" s="582"/>
      <c r="T1011" s="582"/>
      <c r="U1011" s="582"/>
      <c r="V1011" s="582"/>
      <c r="W1011" s="582"/>
      <c r="X1011" s="582"/>
      <c r="Y1011" s="582"/>
      <c r="Z1011" s="582"/>
      <c r="AA1011" s="582"/>
      <c r="AB1011" s="582"/>
      <c r="AC1011" s="582"/>
      <c r="AD1011" s="582"/>
      <c r="AE1011" s="582"/>
      <c r="AF1011" s="1069"/>
    </row>
    <row r="1012">
      <c r="A1012" s="582"/>
      <c r="B1012" s="582"/>
      <c r="C1012" s="582"/>
      <c r="D1012" s="582"/>
      <c r="E1012" s="582"/>
      <c r="F1012" s="582"/>
      <c r="G1012" s="582"/>
      <c r="H1012" s="582"/>
      <c r="I1012" s="582"/>
      <c r="J1012" s="582"/>
      <c r="K1012" s="582"/>
      <c r="L1012" s="582"/>
      <c r="M1012" s="582"/>
      <c r="N1012" s="582"/>
      <c r="O1012" s="582"/>
      <c r="P1012" s="582"/>
      <c r="Q1012" s="582"/>
      <c r="R1012" s="582"/>
      <c r="S1012" s="582"/>
      <c r="T1012" s="582"/>
      <c r="U1012" s="582"/>
      <c r="V1012" s="582"/>
      <c r="W1012" s="582"/>
      <c r="X1012" s="582"/>
      <c r="Y1012" s="582"/>
      <c r="Z1012" s="582"/>
      <c r="AA1012" s="582"/>
      <c r="AB1012" s="582"/>
      <c r="AC1012" s="582"/>
      <c r="AD1012" s="582"/>
      <c r="AE1012" s="582"/>
      <c r="AF1012" s="1069"/>
    </row>
    <row r="1013">
      <c r="A1013" s="582"/>
      <c r="B1013" s="582"/>
      <c r="C1013" s="582"/>
      <c r="D1013" s="582"/>
      <c r="E1013" s="582"/>
      <c r="F1013" s="582"/>
      <c r="G1013" s="582"/>
      <c r="H1013" s="582"/>
      <c r="I1013" s="582"/>
      <c r="J1013" s="582"/>
      <c r="K1013" s="582"/>
      <c r="L1013" s="582"/>
      <c r="M1013" s="582"/>
      <c r="N1013" s="582"/>
      <c r="O1013" s="582"/>
      <c r="P1013" s="582"/>
      <c r="Q1013" s="582"/>
      <c r="R1013" s="582"/>
      <c r="S1013" s="582"/>
      <c r="T1013" s="582"/>
      <c r="U1013" s="582"/>
      <c r="V1013" s="582"/>
      <c r="W1013" s="582"/>
      <c r="X1013" s="582"/>
      <c r="Y1013" s="582"/>
      <c r="Z1013" s="582"/>
      <c r="AA1013" s="582"/>
      <c r="AB1013" s="582"/>
      <c r="AC1013" s="582"/>
      <c r="AD1013" s="582"/>
      <c r="AE1013" s="582"/>
      <c r="AF1013" s="1069"/>
    </row>
    <row r="1014">
      <c r="A1014" s="582"/>
      <c r="B1014" s="582"/>
      <c r="C1014" s="582"/>
      <c r="D1014" s="582"/>
      <c r="E1014" s="582"/>
      <c r="F1014" s="582"/>
      <c r="G1014" s="582"/>
      <c r="H1014" s="582"/>
      <c r="I1014" s="582"/>
      <c r="J1014" s="582"/>
      <c r="K1014" s="582"/>
      <c r="L1014" s="582"/>
      <c r="M1014" s="582"/>
      <c r="N1014" s="582"/>
      <c r="O1014" s="582"/>
      <c r="P1014" s="582"/>
      <c r="Q1014" s="582"/>
      <c r="R1014" s="582"/>
      <c r="S1014" s="582"/>
      <c r="T1014" s="582"/>
      <c r="U1014" s="582"/>
      <c r="V1014" s="582"/>
      <c r="W1014" s="582"/>
      <c r="X1014" s="582"/>
      <c r="Y1014" s="582"/>
      <c r="Z1014" s="582"/>
      <c r="AA1014" s="582"/>
      <c r="AB1014" s="582"/>
      <c r="AC1014" s="582"/>
      <c r="AD1014" s="582"/>
      <c r="AE1014" s="582"/>
      <c r="AF1014" s="1069"/>
    </row>
    <row r="1015">
      <c r="A1015" s="582"/>
      <c r="B1015" s="582"/>
      <c r="C1015" s="582"/>
      <c r="D1015" s="582"/>
      <c r="E1015" s="582"/>
      <c r="F1015" s="582"/>
      <c r="G1015" s="582"/>
      <c r="H1015" s="582"/>
      <c r="I1015" s="582"/>
      <c r="J1015" s="582"/>
      <c r="K1015" s="582"/>
      <c r="L1015" s="582"/>
      <c r="M1015" s="582"/>
      <c r="N1015" s="582"/>
      <c r="O1015" s="582"/>
      <c r="P1015" s="582"/>
      <c r="Q1015" s="582"/>
      <c r="R1015" s="582"/>
      <c r="S1015" s="582"/>
      <c r="T1015" s="582"/>
      <c r="U1015" s="582"/>
      <c r="V1015" s="582"/>
      <c r="W1015" s="582"/>
      <c r="X1015" s="582"/>
      <c r="Y1015" s="582"/>
      <c r="Z1015" s="582"/>
      <c r="AA1015" s="582"/>
      <c r="AB1015" s="582"/>
      <c r="AC1015" s="582"/>
      <c r="AD1015" s="582"/>
      <c r="AE1015" s="582"/>
      <c r="AF1015" s="1069"/>
    </row>
    <row r="1016">
      <c r="A1016" s="582"/>
      <c r="B1016" s="582"/>
      <c r="C1016" s="582"/>
      <c r="D1016" s="582"/>
      <c r="E1016" s="582"/>
      <c r="F1016" s="582"/>
      <c r="G1016" s="582"/>
      <c r="H1016" s="582"/>
      <c r="I1016" s="582"/>
      <c r="J1016" s="582"/>
      <c r="K1016" s="582"/>
      <c r="L1016" s="582"/>
      <c r="M1016" s="582"/>
      <c r="N1016" s="582"/>
      <c r="O1016" s="582"/>
      <c r="P1016" s="582"/>
      <c r="Q1016" s="582"/>
      <c r="R1016" s="582"/>
      <c r="S1016" s="582"/>
      <c r="T1016" s="582"/>
      <c r="U1016" s="582"/>
      <c r="V1016" s="582"/>
      <c r="W1016" s="582"/>
      <c r="X1016" s="582"/>
      <c r="Y1016" s="582"/>
      <c r="Z1016" s="582"/>
      <c r="AA1016" s="582"/>
      <c r="AB1016" s="582"/>
      <c r="AC1016" s="582"/>
      <c r="AD1016" s="582"/>
      <c r="AE1016" s="582"/>
      <c r="AF1016" s="1069"/>
    </row>
    <row r="1017">
      <c r="A1017" s="582"/>
      <c r="B1017" s="582"/>
      <c r="C1017" s="582"/>
      <c r="D1017" s="582"/>
      <c r="E1017" s="582"/>
      <c r="F1017" s="582"/>
      <c r="G1017" s="582"/>
      <c r="H1017" s="582"/>
      <c r="I1017" s="582"/>
      <c r="J1017" s="582"/>
      <c r="K1017" s="582"/>
      <c r="L1017" s="582"/>
      <c r="M1017" s="582"/>
      <c r="N1017" s="582"/>
      <c r="O1017" s="582"/>
      <c r="P1017" s="582"/>
      <c r="Q1017" s="582"/>
      <c r="R1017" s="582"/>
      <c r="S1017" s="582"/>
      <c r="T1017" s="582"/>
      <c r="U1017" s="582"/>
      <c r="V1017" s="582"/>
      <c r="W1017" s="582"/>
      <c r="X1017" s="582"/>
      <c r="Y1017" s="582"/>
      <c r="Z1017" s="582"/>
      <c r="AA1017" s="582"/>
      <c r="AB1017" s="582"/>
      <c r="AC1017" s="582"/>
      <c r="AD1017" s="582"/>
      <c r="AE1017" s="582"/>
      <c r="AF1017" s="1069"/>
    </row>
    <row r="1018">
      <c r="A1018" s="582"/>
      <c r="B1018" s="582"/>
      <c r="C1018" s="582"/>
      <c r="D1018" s="582"/>
      <c r="E1018" s="582"/>
      <c r="F1018" s="582"/>
      <c r="G1018" s="582"/>
      <c r="H1018" s="582"/>
      <c r="I1018" s="582"/>
      <c r="J1018" s="582"/>
      <c r="K1018" s="582"/>
      <c r="L1018" s="582"/>
      <c r="M1018" s="582"/>
      <c r="N1018" s="582"/>
      <c r="O1018" s="582"/>
      <c r="P1018" s="582"/>
      <c r="Q1018" s="582"/>
      <c r="R1018" s="582"/>
      <c r="S1018" s="582"/>
      <c r="T1018" s="582"/>
      <c r="U1018" s="582"/>
      <c r="V1018" s="582"/>
      <c r="W1018" s="582"/>
      <c r="X1018" s="582"/>
      <c r="Y1018" s="582"/>
      <c r="Z1018" s="582"/>
      <c r="AA1018" s="582"/>
      <c r="AB1018" s="582"/>
      <c r="AC1018" s="582"/>
      <c r="AD1018" s="582"/>
      <c r="AE1018" s="582"/>
      <c r="AF1018" s="1069"/>
    </row>
    <row r="1019">
      <c r="A1019" s="582"/>
      <c r="B1019" s="582"/>
      <c r="C1019" s="582"/>
      <c r="D1019" s="582"/>
      <c r="E1019" s="582"/>
      <c r="F1019" s="582"/>
      <c r="G1019" s="582"/>
      <c r="H1019" s="582"/>
      <c r="I1019" s="582"/>
      <c r="J1019" s="582"/>
      <c r="K1019" s="582"/>
      <c r="L1019" s="582"/>
      <c r="M1019" s="582"/>
      <c r="N1019" s="582"/>
      <c r="O1019" s="582"/>
      <c r="P1019" s="582"/>
      <c r="Q1019" s="582"/>
      <c r="R1019" s="582"/>
      <c r="S1019" s="582"/>
      <c r="T1019" s="582"/>
      <c r="U1019" s="582"/>
      <c r="V1019" s="582"/>
      <c r="W1019" s="582"/>
      <c r="X1019" s="582"/>
      <c r="Y1019" s="582"/>
      <c r="Z1019" s="582"/>
      <c r="AA1019" s="582"/>
      <c r="AB1019" s="582"/>
      <c r="AC1019" s="582"/>
      <c r="AD1019" s="582"/>
      <c r="AE1019" s="582"/>
      <c r="AF1019" s="1069"/>
    </row>
    <row r="1020">
      <c r="A1020" s="582"/>
      <c r="B1020" s="582"/>
      <c r="C1020" s="582"/>
      <c r="D1020" s="582"/>
      <c r="E1020" s="582"/>
      <c r="F1020" s="582"/>
      <c r="G1020" s="582"/>
      <c r="H1020" s="582"/>
      <c r="I1020" s="582"/>
      <c r="J1020" s="582"/>
      <c r="K1020" s="582"/>
      <c r="L1020" s="582"/>
      <c r="M1020" s="582"/>
      <c r="N1020" s="582"/>
      <c r="O1020" s="582"/>
      <c r="P1020" s="582"/>
      <c r="Q1020" s="582"/>
      <c r="R1020" s="582"/>
      <c r="S1020" s="582"/>
      <c r="T1020" s="582"/>
      <c r="U1020" s="582"/>
      <c r="V1020" s="582"/>
      <c r="W1020" s="582"/>
      <c r="X1020" s="582"/>
      <c r="Y1020" s="582"/>
      <c r="Z1020" s="582"/>
      <c r="AA1020" s="582"/>
      <c r="AB1020" s="582"/>
      <c r="AC1020" s="582"/>
      <c r="AD1020" s="582"/>
      <c r="AE1020" s="582"/>
      <c r="AF1020" s="1069"/>
    </row>
    <row r="1021">
      <c r="A1021" s="582"/>
      <c r="B1021" s="582"/>
      <c r="C1021" s="582"/>
      <c r="D1021" s="582"/>
      <c r="E1021" s="582"/>
      <c r="F1021" s="582"/>
      <c r="G1021" s="582"/>
      <c r="H1021" s="582"/>
      <c r="I1021" s="582"/>
      <c r="J1021" s="582"/>
      <c r="K1021" s="582"/>
      <c r="L1021" s="582"/>
      <c r="M1021" s="582"/>
      <c r="N1021" s="582"/>
      <c r="O1021" s="582"/>
      <c r="P1021" s="582"/>
      <c r="Q1021" s="582"/>
      <c r="R1021" s="582"/>
      <c r="S1021" s="582"/>
      <c r="T1021" s="582"/>
      <c r="U1021" s="582"/>
      <c r="V1021" s="582"/>
      <c r="W1021" s="582"/>
      <c r="X1021" s="582"/>
      <c r="Y1021" s="582"/>
      <c r="Z1021" s="582"/>
      <c r="AA1021" s="582"/>
      <c r="AB1021" s="582"/>
      <c r="AC1021" s="582"/>
      <c r="AD1021" s="582"/>
      <c r="AE1021" s="582"/>
      <c r="AF1021" s="1069"/>
    </row>
    <row r="1022">
      <c r="A1022" s="582"/>
      <c r="B1022" s="582"/>
      <c r="C1022" s="582"/>
      <c r="D1022" s="582"/>
      <c r="E1022" s="582"/>
      <c r="F1022" s="582"/>
      <c r="G1022" s="582"/>
      <c r="H1022" s="582"/>
      <c r="I1022" s="582"/>
      <c r="J1022" s="582"/>
      <c r="K1022" s="582"/>
      <c r="L1022" s="582"/>
      <c r="M1022" s="582"/>
      <c r="N1022" s="582"/>
      <c r="O1022" s="582"/>
      <c r="P1022" s="582"/>
      <c r="Q1022" s="582"/>
      <c r="R1022" s="582"/>
      <c r="S1022" s="582"/>
      <c r="T1022" s="582"/>
      <c r="U1022" s="582"/>
      <c r="V1022" s="582"/>
      <c r="W1022" s="582"/>
      <c r="X1022" s="582"/>
      <c r="Y1022" s="582"/>
      <c r="Z1022" s="582"/>
      <c r="AA1022" s="582"/>
      <c r="AB1022" s="582"/>
      <c r="AC1022" s="582"/>
      <c r="AD1022" s="582"/>
      <c r="AE1022" s="582"/>
      <c r="AF1022" s="1069"/>
    </row>
    <row r="1023">
      <c r="A1023" s="582"/>
      <c r="B1023" s="582"/>
      <c r="C1023" s="582"/>
      <c r="D1023" s="582"/>
      <c r="E1023" s="582"/>
      <c r="F1023" s="582"/>
      <c r="G1023" s="582"/>
      <c r="H1023" s="582"/>
      <c r="I1023" s="582"/>
      <c r="J1023" s="582"/>
      <c r="K1023" s="582"/>
      <c r="L1023" s="582"/>
      <c r="M1023" s="582"/>
      <c r="N1023" s="582"/>
      <c r="O1023" s="582"/>
      <c r="P1023" s="582"/>
      <c r="Q1023" s="582"/>
      <c r="R1023" s="582"/>
      <c r="S1023" s="582"/>
      <c r="T1023" s="582"/>
      <c r="U1023" s="582"/>
      <c r="V1023" s="582"/>
      <c r="W1023" s="582"/>
      <c r="X1023" s="582"/>
      <c r="Y1023" s="582"/>
      <c r="Z1023" s="582"/>
      <c r="AA1023" s="582"/>
      <c r="AB1023" s="582"/>
      <c r="AC1023" s="582"/>
      <c r="AD1023" s="582"/>
      <c r="AE1023" s="582"/>
      <c r="AF1023" s="1069"/>
    </row>
    <row r="1024">
      <c r="A1024" s="582"/>
      <c r="B1024" s="582"/>
      <c r="C1024" s="582"/>
      <c r="D1024" s="582"/>
      <c r="E1024" s="582"/>
      <c r="F1024" s="582"/>
      <c r="G1024" s="582"/>
      <c r="H1024" s="582"/>
      <c r="I1024" s="582"/>
      <c r="J1024" s="582"/>
      <c r="K1024" s="582"/>
      <c r="L1024" s="582"/>
      <c r="M1024" s="582"/>
      <c r="N1024" s="582"/>
      <c r="O1024" s="582"/>
      <c r="P1024" s="582"/>
      <c r="Q1024" s="582"/>
      <c r="R1024" s="582"/>
      <c r="S1024" s="582"/>
      <c r="T1024" s="582"/>
      <c r="U1024" s="582"/>
      <c r="V1024" s="582"/>
      <c r="W1024" s="582"/>
      <c r="X1024" s="582"/>
      <c r="Y1024" s="582"/>
      <c r="Z1024" s="582"/>
      <c r="AA1024" s="582"/>
      <c r="AB1024" s="582"/>
      <c r="AC1024" s="582"/>
      <c r="AD1024" s="582"/>
      <c r="AE1024" s="582"/>
      <c r="AF1024" s="1069"/>
    </row>
    <row r="1025">
      <c r="A1025" s="582"/>
      <c r="B1025" s="582"/>
      <c r="C1025" s="582"/>
      <c r="D1025" s="582"/>
      <c r="E1025" s="582"/>
      <c r="F1025" s="582"/>
      <c r="G1025" s="582"/>
      <c r="H1025" s="582"/>
      <c r="I1025" s="582"/>
      <c r="J1025" s="582"/>
      <c r="K1025" s="582"/>
      <c r="L1025" s="582"/>
      <c r="M1025" s="582"/>
      <c r="N1025" s="582"/>
      <c r="O1025" s="582"/>
      <c r="P1025" s="582"/>
      <c r="Q1025" s="582"/>
      <c r="R1025" s="582"/>
      <c r="S1025" s="582"/>
      <c r="T1025" s="582"/>
      <c r="U1025" s="582"/>
      <c r="V1025" s="582"/>
      <c r="W1025" s="582"/>
      <c r="X1025" s="582"/>
      <c r="Y1025" s="582"/>
      <c r="Z1025" s="582"/>
      <c r="AA1025" s="582"/>
      <c r="AB1025" s="582"/>
      <c r="AC1025" s="582"/>
      <c r="AD1025" s="582"/>
      <c r="AE1025" s="582"/>
      <c r="AF1025" s="1069"/>
    </row>
    <row r="1026">
      <c r="A1026" s="582"/>
      <c r="B1026" s="582"/>
      <c r="C1026" s="582"/>
      <c r="D1026" s="582"/>
      <c r="E1026" s="582"/>
      <c r="F1026" s="582"/>
      <c r="G1026" s="582"/>
      <c r="H1026" s="582"/>
      <c r="I1026" s="582"/>
      <c r="J1026" s="582"/>
      <c r="K1026" s="582"/>
      <c r="L1026" s="582"/>
      <c r="M1026" s="582"/>
      <c r="N1026" s="582"/>
      <c r="O1026" s="582"/>
      <c r="P1026" s="582"/>
      <c r="Q1026" s="582"/>
      <c r="R1026" s="582"/>
      <c r="S1026" s="582"/>
      <c r="T1026" s="582"/>
      <c r="U1026" s="582"/>
      <c r="V1026" s="582"/>
      <c r="W1026" s="582"/>
      <c r="X1026" s="582"/>
      <c r="Y1026" s="582"/>
      <c r="Z1026" s="582"/>
      <c r="AA1026" s="582"/>
      <c r="AB1026" s="582"/>
      <c r="AC1026" s="582"/>
      <c r="AD1026" s="582"/>
      <c r="AE1026" s="582"/>
      <c r="AF1026" s="1069"/>
    </row>
    <row r="1027">
      <c r="A1027" s="582"/>
      <c r="B1027" s="582"/>
      <c r="C1027" s="582"/>
      <c r="D1027" s="582"/>
      <c r="E1027" s="582"/>
      <c r="F1027" s="582"/>
      <c r="G1027" s="582"/>
      <c r="H1027" s="582"/>
      <c r="I1027" s="582"/>
      <c r="J1027" s="582"/>
      <c r="K1027" s="582"/>
      <c r="L1027" s="582"/>
      <c r="M1027" s="582"/>
      <c r="N1027" s="582"/>
      <c r="O1027" s="582"/>
      <c r="P1027" s="582"/>
      <c r="Q1027" s="582"/>
      <c r="R1027" s="582"/>
      <c r="S1027" s="582"/>
      <c r="T1027" s="582"/>
      <c r="U1027" s="582"/>
      <c r="V1027" s="582"/>
      <c r="W1027" s="582"/>
      <c r="X1027" s="582"/>
      <c r="Y1027" s="582"/>
      <c r="Z1027" s="582"/>
      <c r="AA1027" s="582"/>
      <c r="AB1027" s="582"/>
      <c r="AC1027" s="582"/>
      <c r="AD1027" s="582"/>
      <c r="AE1027" s="582"/>
      <c r="AF1027" s="1069"/>
    </row>
    <row r="1028">
      <c r="A1028" s="582"/>
      <c r="B1028" s="582"/>
      <c r="C1028" s="582"/>
      <c r="D1028" s="582"/>
      <c r="E1028" s="582"/>
      <c r="F1028" s="582"/>
      <c r="G1028" s="582"/>
      <c r="H1028" s="582"/>
      <c r="I1028" s="582"/>
      <c r="J1028" s="582"/>
      <c r="K1028" s="582"/>
      <c r="L1028" s="582"/>
      <c r="M1028" s="582"/>
      <c r="N1028" s="582"/>
      <c r="O1028" s="582"/>
      <c r="P1028" s="582"/>
      <c r="Q1028" s="582"/>
      <c r="R1028" s="582"/>
      <c r="S1028" s="582"/>
      <c r="T1028" s="582"/>
      <c r="U1028" s="582"/>
      <c r="V1028" s="582"/>
      <c r="W1028" s="582"/>
      <c r="X1028" s="582"/>
      <c r="Y1028" s="582"/>
      <c r="Z1028" s="582"/>
      <c r="AA1028" s="582"/>
      <c r="AB1028" s="582"/>
      <c r="AC1028" s="582"/>
      <c r="AD1028" s="582"/>
      <c r="AE1028" s="582"/>
      <c r="AF1028" s="1069"/>
    </row>
    <row r="1029">
      <c r="A1029" s="582"/>
      <c r="B1029" s="582"/>
      <c r="C1029" s="582"/>
      <c r="D1029" s="582"/>
      <c r="E1029" s="582"/>
      <c r="F1029" s="582"/>
      <c r="G1029" s="582"/>
      <c r="H1029" s="582"/>
      <c r="I1029" s="582"/>
      <c r="J1029" s="582"/>
      <c r="K1029" s="582"/>
      <c r="L1029" s="582"/>
      <c r="M1029" s="582"/>
      <c r="N1029" s="582"/>
      <c r="O1029" s="582"/>
      <c r="P1029" s="582"/>
      <c r="Q1029" s="582"/>
      <c r="R1029" s="582"/>
      <c r="S1029" s="582"/>
      <c r="T1029" s="582"/>
      <c r="U1029" s="582"/>
      <c r="V1029" s="582"/>
      <c r="W1029" s="582"/>
      <c r="X1029" s="582"/>
      <c r="Y1029" s="582"/>
      <c r="Z1029" s="582"/>
      <c r="AA1029" s="582"/>
      <c r="AB1029" s="582"/>
      <c r="AC1029" s="582"/>
      <c r="AD1029" s="582"/>
      <c r="AE1029" s="582"/>
      <c r="AF1029" s="1069"/>
    </row>
    <row r="1030">
      <c r="A1030" s="582"/>
      <c r="B1030" s="582"/>
      <c r="C1030" s="582"/>
      <c r="D1030" s="582"/>
      <c r="E1030" s="582"/>
      <c r="F1030" s="582"/>
      <c r="G1030" s="582"/>
      <c r="H1030" s="582"/>
      <c r="I1030" s="582"/>
      <c r="J1030" s="582"/>
      <c r="K1030" s="582"/>
      <c r="L1030" s="582"/>
      <c r="M1030" s="582"/>
      <c r="N1030" s="582"/>
      <c r="O1030" s="582"/>
      <c r="P1030" s="582"/>
      <c r="Q1030" s="582"/>
      <c r="R1030" s="582"/>
      <c r="S1030" s="582"/>
      <c r="T1030" s="582"/>
      <c r="U1030" s="582"/>
      <c r="V1030" s="582"/>
      <c r="W1030" s="582"/>
      <c r="X1030" s="582"/>
      <c r="Y1030" s="582"/>
      <c r="Z1030" s="582"/>
      <c r="AA1030" s="582"/>
      <c r="AB1030" s="582"/>
      <c r="AC1030" s="582"/>
      <c r="AD1030" s="582"/>
      <c r="AE1030" s="582"/>
      <c r="AF1030" s="1069"/>
    </row>
    <row r="1031">
      <c r="A1031" s="582"/>
      <c r="B1031" s="582"/>
      <c r="C1031" s="582"/>
      <c r="D1031" s="582"/>
      <c r="E1031" s="582"/>
      <c r="F1031" s="582"/>
      <c r="G1031" s="582"/>
      <c r="H1031" s="582"/>
      <c r="I1031" s="582"/>
      <c r="J1031" s="582"/>
      <c r="K1031" s="582"/>
      <c r="L1031" s="582"/>
      <c r="M1031" s="582"/>
      <c r="N1031" s="582"/>
      <c r="O1031" s="582"/>
      <c r="P1031" s="582"/>
      <c r="Q1031" s="582"/>
      <c r="R1031" s="582"/>
      <c r="S1031" s="582"/>
      <c r="T1031" s="582"/>
      <c r="U1031" s="582"/>
      <c r="V1031" s="582"/>
      <c r="W1031" s="582"/>
      <c r="X1031" s="582"/>
      <c r="Y1031" s="582"/>
      <c r="Z1031" s="582"/>
      <c r="AA1031" s="582"/>
      <c r="AB1031" s="582"/>
      <c r="AC1031" s="582"/>
      <c r="AD1031" s="582"/>
      <c r="AE1031" s="582"/>
      <c r="AF1031" s="1069"/>
    </row>
    <row r="1032">
      <c r="A1032" s="582"/>
      <c r="B1032" s="582"/>
      <c r="C1032" s="582"/>
      <c r="D1032" s="582"/>
      <c r="E1032" s="582"/>
      <c r="F1032" s="582"/>
      <c r="G1032" s="582"/>
      <c r="H1032" s="582"/>
      <c r="I1032" s="582"/>
      <c r="J1032" s="582"/>
      <c r="K1032" s="582"/>
      <c r="L1032" s="582"/>
      <c r="M1032" s="582"/>
      <c r="N1032" s="582"/>
      <c r="O1032" s="582"/>
      <c r="P1032" s="582"/>
      <c r="Q1032" s="582"/>
      <c r="R1032" s="582"/>
      <c r="S1032" s="582"/>
      <c r="T1032" s="582"/>
      <c r="U1032" s="582"/>
      <c r="V1032" s="582"/>
      <c r="W1032" s="582"/>
      <c r="X1032" s="582"/>
      <c r="Y1032" s="582"/>
      <c r="Z1032" s="582"/>
      <c r="AA1032" s="582"/>
      <c r="AB1032" s="582"/>
      <c r="AC1032" s="582"/>
      <c r="AD1032" s="582"/>
      <c r="AE1032" s="582"/>
      <c r="AF1032" s="1069"/>
    </row>
    <row r="1033">
      <c r="A1033" s="582"/>
      <c r="B1033" s="582"/>
      <c r="C1033" s="582"/>
      <c r="D1033" s="582"/>
      <c r="E1033" s="582"/>
      <c r="F1033" s="582"/>
      <c r="G1033" s="582"/>
      <c r="H1033" s="582"/>
      <c r="I1033" s="582"/>
      <c r="J1033" s="582"/>
      <c r="K1033" s="582"/>
      <c r="L1033" s="582"/>
      <c r="M1033" s="582"/>
      <c r="N1033" s="582"/>
      <c r="O1033" s="582"/>
      <c r="P1033" s="582"/>
      <c r="Q1033" s="582"/>
      <c r="R1033" s="582"/>
      <c r="S1033" s="582"/>
      <c r="T1033" s="582"/>
      <c r="U1033" s="582"/>
      <c r="V1033" s="582"/>
      <c r="W1033" s="582"/>
      <c r="X1033" s="582"/>
      <c r="Y1033" s="582"/>
      <c r="Z1033" s="582"/>
      <c r="AA1033" s="582"/>
      <c r="AB1033" s="582"/>
      <c r="AC1033" s="582"/>
      <c r="AD1033" s="582"/>
      <c r="AE1033" s="582"/>
      <c r="AF1033" s="1069"/>
    </row>
    <row r="1034">
      <c r="A1034" s="582"/>
      <c r="B1034" s="582"/>
      <c r="C1034" s="582"/>
      <c r="D1034" s="582"/>
      <c r="E1034" s="582"/>
      <c r="F1034" s="582"/>
      <c r="G1034" s="582"/>
      <c r="H1034" s="582"/>
      <c r="I1034" s="582"/>
      <c r="J1034" s="582"/>
      <c r="K1034" s="582"/>
      <c r="L1034" s="582"/>
      <c r="M1034" s="582"/>
      <c r="N1034" s="582"/>
      <c r="O1034" s="582"/>
      <c r="P1034" s="582"/>
      <c r="Q1034" s="582"/>
      <c r="R1034" s="582"/>
      <c r="S1034" s="582"/>
      <c r="T1034" s="582"/>
      <c r="U1034" s="582"/>
      <c r="V1034" s="582"/>
      <c r="W1034" s="582"/>
      <c r="X1034" s="582"/>
      <c r="Y1034" s="582"/>
      <c r="Z1034" s="582"/>
      <c r="AA1034" s="582"/>
      <c r="AB1034" s="582"/>
      <c r="AC1034" s="582"/>
      <c r="AD1034" s="582"/>
      <c r="AE1034" s="582"/>
      <c r="AF1034" s="1069"/>
    </row>
    <row r="1035">
      <c r="A1035" s="582"/>
      <c r="B1035" s="582"/>
      <c r="C1035" s="582"/>
      <c r="D1035" s="582"/>
      <c r="E1035" s="582"/>
      <c r="F1035" s="582"/>
      <c r="G1035" s="582"/>
      <c r="H1035" s="582"/>
      <c r="I1035" s="582"/>
      <c r="J1035" s="582"/>
      <c r="K1035" s="582"/>
      <c r="L1035" s="582"/>
      <c r="M1035" s="582"/>
      <c r="N1035" s="582"/>
      <c r="O1035" s="582"/>
      <c r="P1035" s="582"/>
      <c r="Q1035" s="582"/>
      <c r="R1035" s="582"/>
      <c r="S1035" s="582"/>
      <c r="T1035" s="582"/>
      <c r="U1035" s="582"/>
      <c r="V1035" s="582"/>
      <c r="W1035" s="582"/>
      <c r="X1035" s="582"/>
      <c r="Y1035" s="582"/>
      <c r="Z1035" s="582"/>
      <c r="AA1035" s="582"/>
      <c r="AB1035" s="582"/>
      <c r="AC1035" s="582"/>
      <c r="AD1035" s="582"/>
      <c r="AE1035" s="582"/>
      <c r="AF1035" s="1069"/>
    </row>
    <row r="1036">
      <c r="A1036" s="582"/>
      <c r="B1036" s="582"/>
      <c r="C1036" s="582"/>
      <c r="D1036" s="582"/>
      <c r="E1036" s="582"/>
      <c r="F1036" s="582"/>
      <c r="G1036" s="582"/>
      <c r="H1036" s="582"/>
      <c r="I1036" s="582"/>
      <c r="J1036" s="582"/>
      <c r="K1036" s="582"/>
      <c r="L1036" s="582"/>
      <c r="M1036" s="582"/>
      <c r="N1036" s="582"/>
      <c r="O1036" s="582"/>
      <c r="P1036" s="582"/>
      <c r="Q1036" s="582"/>
      <c r="R1036" s="582"/>
      <c r="S1036" s="582"/>
      <c r="T1036" s="582"/>
      <c r="U1036" s="582"/>
      <c r="V1036" s="582"/>
      <c r="W1036" s="582"/>
      <c r="X1036" s="582"/>
      <c r="Y1036" s="582"/>
      <c r="Z1036" s="582"/>
      <c r="AA1036" s="582"/>
      <c r="AB1036" s="582"/>
      <c r="AC1036" s="582"/>
      <c r="AD1036" s="582"/>
      <c r="AE1036" s="582"/>
      <c r="AF1036" s="1069"/>
    </row>
    <row r="1037">
      <c r="A1037" s="582"/>
      <c r="B1037" s="582"/>
      <c r="C1037" s="582"/>
      <c r="D1037" s="582"/>
      <c r="E1037" s="582"/>
      <c r="F1037" s="582"/>
      <c r="G1037" s="582"/>
      <c r="H1037" s="582"/>
      <c r="I1037" s="582"/>
      <c r="J1037" s="582"/>
      <c r="K1037" s="582"/>
      <c r="L1037" s="582"/>
      <c r="M1037" s="582"/>
      <c r="N1037" s="582"/>
      <c r="O1037" s="582"/>
      <c r="P1037" s="582"/>
      <c r="Q1037" s="582"/>
      <c r="R1037" s="582"/>
      <c r="S1037" s="582"/>
      <c r="T1037" s="582"/>
      <c r="U1037" s="582"/>
      <c r="V1037" s="582"/>
      <c r="W1037" s="582"/>
      <c r="X1037" s="582"/>
      <c r="Y1037" s="582"/>
      <c r="Z1037" s="582"/>
      <c r="AA1037" s="582"/>
      <c r="AB1037" s="582"/>
      <c r="AC1037" s="582"/>
      <c r="AD1037" s="582"/>
      <c r="AE1037" s="582"/>
      <c r="AF1037" s="1069"/>
    </row>
    <row r="1038">
      <c r="A1038" s="582"/>
      <c r="B1038" s="582"/>
      <c r="C1038" s="582"/>
      <c r="D1038" s="582"/>
      <c r="E1038" s="582"/>
      <c r="F1038" s="582"/>
      <c r="G1038" s="582"/>
      <c r="H1038" s="582"/>
      <c r="I1038" s="582"/>
      <c r="J1038" s="582"/>
      <c r="K1038" s="582"/>
      <c r="L1038" s="582"/>
      <c r="M1038" s="582"/>
      <c r="N1038" s="582"/>
      <c r="O1038" s="582"/>
      <c r="P1038" s="582"/>
      <c r="Q1038" s="582"/>
      <c r="R1038" s="582"/>
      <c r="S1038" s="582"/>
      <c r="T1038" s="582"/>
      <c r="U1038" s="582"/>
      <c r="V1038" s="582"/>
      <c r="W1038" s="582"/>
      <c r="X1038" s="582"/>
      <c r="Y1038" s="582"/>
      <c r="Z1038" s="582"/>
      <c r="AA1038" s="582"/>
      <c r="AB1038" s="582"/>
      <c r="AC1038" s="582"/>
      <c r="AD1038" s="582"/>
      <c r="AE1038" s="582"/>
      <c r="AF1038" s="1069"/>
    </row>
    <row r="1039">
      <c r="A1039" s="582"/>
      <c r="B1039" s="582"/>
      <c r="C1039" s="582"/>
      <c r="D1039" s="582"/>
      <c r="E1039" s="582"/>
      <c r="F1039" s="582"/>
      <c r="G1039" s="582"/>
      <c r="H1039" s="582"/>
      <c r="I1039" s="582"/>
      <c r="J1039" s="582"/>
      <c r="K1039" s="582"/>
      <c r="L1039" s="582"/>
      <c r="M1039" s="582"/>
      <c r="N1039" s="582"/>
      <c r="O1039" s="582"/>
      <c r="P1039" s="582"/>
      <c r="Q1039" s="582"/>
      <c r="R1039" s="582"/>
      <c r="S1039" s="582"/>
      <c r="T1039" s="582"/>
      <c r="U1039" s="582"/>
      <c r="V1039" s="582"/>
      <c r="W1039" s="582"/>
      <c r="X1039" s="582"/>
      <c r="Y1039" s="582"/>
      <c r="Z1039" s="582"/>
      <c r="AA1039" s="582"/>
      <c r="AB1039" s="582"/>
      <c r="AC1039" s="582"/>
      <c r="AD1039" s="582"/>
      <c r="AE1039" s="582"/>
      <c r="AF1039" s="1069"/>
    </row>
    <row r="1040">
      <c r="A1040" s="582"/>
      <c r="B1040" s="582"/>
      <c r="C1040" s="582"/>
      <c r="D1040" s="582"/>
      <c r="E1040" s="582"/>
      <c r="F1040" s="582"/>
      <c r="G1040" s="582"/>
      <c r="H1040" s="582"/>
      <c r="I1040" s="582"/>
      <c r="J1040" s="582"/>
      <c r="K1040" s="582"/>
      <c r="L1040" s="582"/>
      <c r="M1040" s="582"/>
      <c r="N1040" s="582"/>
      <c r="O1040" s="582"/>
      <c r="P1040" s="582"/>
      <c r="Q1040" s="582"/>
      <c r="R1040" s="582"/>
      <c r="S1040" s="582"/>
      <c r="T1040" s="582"/>
      <c r="U1040" s="582"/>
      <c r="V1040" s="582"/>
      <c r="W1040" s="582"/>
      <c r="X1040" s="582"/>
      <c r="Y1040" s="582"/>
      <c r="Z1040" s="582"/>
      <c r="AA1040" s="582"/>
      <c r="AB1040" s="582"/>
      <c r="AC1040" s="582"/>
      <c r="AD1040" s="582"/>
      <c r="AE1040" s="582"/>
      <c r="AF1040" s="1069"/>
    </row>
    <row r="1041">
      <c r="A1041" s="582"/>
      <c r="B1041" s="582"/>
      <c r="C1041" s="582"/>
      <c r="D1041" s="582"/>
      <c r="E1041" s="582"/>
      <c r="F1041" s="582"/>
      <c r="G1041" s="582"/>
      <c r="H1041" s="582"/>
      <c r="I1041" s="582"/>
      <c r="J1041" s="582"/>
      <c r="K1041" s="582"/>
      <c r="L1041" s="582"/>
      <c r="M1041" s="582"/>
      <c r="N1041" s="582"/>
      <c r="O1041" s="582"/>
      <c r="P1041" s="582"/>
      <c r="Q1041" s="582"/>
      <c r="R1041" s="582"/>
      <c r="S1041" s="582"/>
      <c r="T1041" s="582"/>
      <c r="U1041" s="582"/>
      <c r="V1041" s="582"/>
      <c r="W1041" s="582"/>
      <c r="X1041" s="582"/>
      <c r="Y1041" s="582"/>
      <c r="Z1041" s="582"/>
      <c r="AA1041" s="582"/>
      <c r="AB1041" s="582"/>
      <c r="AC1041" s="582"/>
      <c r="AD1041" s="582"/>
      <c r="AE1041" s="582"/>
      <c r="AF1041" s="106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1.0"/>
    <col customWidth="1" min="5" max="5" width="19.38"/>
    <col customWidth="1" min="8" max="8" width="31.0"/>
    <col customWidth="1" min="11" max="11" width="20.75"/>
  </cols>
  <sheetData>
    <row r="1">
      <c r="A1" s="700"/>
      <c r="B1" s="702" t="s">
        <v>613</v>
      </c>
      <c r="C1" s="703"/>
      <c r="D1" s="703"/>
      <c r="E1" s="703"/>
      <c r="F1" s="703"/>
      <c r="G1" s="703"/>
      <c r="H1" s="703"/>
      <c r="I1" s="703"/>
      <c r="J1" s="703"/>
      <c r="K1" s="703"/>
      <c r="L1" s="703"/>
      <c r="M1" s="703"/>
      <c r="N1" s="703"/>
      <c r="O1" s="703"/>
      <c r="P1" s="703"/>
      <c r="Q1" s="703"/>
      <c r="R1" s="703"/>
      <c r="S1" s="704"/>
      <c r="T1" s="705"/>
      <c r="U1" s="705"/>
      <c r="V1" s="704"/>
    </row>
    <row r="2">
      <c r="A2" s="706" t="s">
        <v>614</v>
      </c>
      <c r="B2" s="707" t="s">
        <v>615</v>
      </c>
      <c r="C2" s="708"/>
      <c r="D2" s="24"/>
      <c r="E2" s="707" t="s">
        <v>616</v>
      </c>
      <c r="F2" s="708"/>
      <c r="G2" s="709"/>
      <c r="H2" s="707" t="s">
        <v>617</v>
      </c>
      <c r="I2" s="708"/>
      <c r="J2" s="709"/>
      <c r="K2" s="707" t="s">
        <v>618</v>
      </c>
      <c r="L2" s="708"/>
      <c r="M2" s="24"/>
      <c r="N2" s="707" t="s">
        <v>619</v>
      </c>
      <c r="O2" s="708"/>
      <c r="P2" s="24"/>
      <c r="Q2" s="707" t="s">
        <v>620</v>
      </c>
      <c r="R2" s="708"/>
      <c r="S2" s="709"/>
      <c r="T2" s="707" t="s">
        <v>621</v>
      </c>
      <c r="U2" s="708"/>
      <c r="V2" s="107"/>
    </row>
    <row r="3">
      <c r="A3" s="710"/>
      <c r="B3" s="711" t="s">
        <v>622</v>
      </c>
      <c r="C3" s="712">
        <v>86.9</v>
      </c>
      <c r="D3" s="713">
        <v>86.9</v>
      </c>
      <c r="E3" s="682" t="s">
        <v>623</v>
      </c>
      <c r="F3" s="715">
        <f>(('DTC - P&amp;L'!AF83+'DTC - P&amp;L'!AF84)/'DTC - P&amp;L'!AF77)</f>
        <v>0.07907596624</v>
      </c>
      <c r="G3" s="710"/>
      <c r="H3" s="682" t="s">
        <v>615</v>
      </c>
      <c r="I3" s="712">
        <f>(C3*F9)+(C4*F8)+(C5*F3)+(C6*F4)+(C7*F5)+(C8*F6)+(C9*F7)+(C10*F10)</f>
        <v>102.9665926</v>
      </c>
      <c r="J3" s="719">
        <f>(D3*F9)+(D4*F8)+(D5*F3)+(D6*F4)+(D7*F5)+(D8*F6)+(D9*F7)</f>
        <v>99.38151932</v>
      </c>
      <c r="K3" s="711" t="s">
        <v>625</v>
      </c>
      <c r="L3" s="720">
        <v>0.029</v>
      </c>
      <c r="M3" s="24"/>
      <c r="N3" s="711" t="s">
        <v>627</v>
      </c>
      <c r="O3" s="715">
        <v>0.22</v>
      </c>
      <c r="P3" s="24"/>
      <c r="Q3" s="682" t="s">
        <v>628</v>
      </c>
      <c r="R3" s="721">
        <v>15.0</v>
      </c>
      <c r="S3" s="722"/>
      <c r="T3" s="723" t="s">
        <v>629</v>
      </c>
      <c r="U3" s="715">
        <v>0.0614</v>
      </c>
      <c r="V3" s="724" t="s">
        <v>614</v>
      </c>
    </row>
    <row r="4">
      <c r="A4" s="710"/>
      <c r="B4" s="711" t="s">
        <v>630</v>
      </c>
      <c r="C4" s="712">
        <v>97.61</v>
      </c>
      <c r="D4" s="713">
        <v>97.61</v>
      </c>
      <c r="E4" s="682" t="s">
        <v>147</v>
      </c>
      <c r="F4" s="715">
        <f>('DTC - P&amp;L'!AF79/'DTC - P&amp;L'!AF77)</f>
        <v>0.335406486</v>
      </c>
      <c r="G4" s="710"/>
      <c r="H4" s="682" t="s">
        <v>631</v>
      </c>
      <c r="I4" s="712">
        <f>C38+('DTC - P&amp;L'!AF87/'DTC - P&amp;L'!AF77)*D38</f>
        <v>14.12214349</v>
      </c>
      <c r="J4" s="709"/>
      <c r="K4" s="682" t="s">
        <v>632</v>
      </c>
      <c r="L4" s="715">
        <v>0.034</v>
      </c>
      <c r="M4" s="24"/>
      <c r="N4" s="711" t="s">
        <v>633</v>
      </c>
      <c r="O4" s="715">
        <v>0.13</v>
      </c>
      <c r="P4" s="24"/>
      <c r="Q4" s="682" t="s">
        <v>634</v>
      </c>
      <c r="R4" s="721">
        <v>40.0</v>
      </c>
      <c r="S4" s="725"/>
      <c r="T4" s="725"/>
      <c r="U4" s="725"/>
      <c r="V4" s="725"/>
    </row>
    <row r="5">
      <c r="A5" s="710"/>
      <c r="B5" s="711" t="s">
        <v>635</v>
      </c>
      <c r="C5" s="712">
        <v>13.44</v>
      </c>
      <c r="D5" s="713">
        <v>13.44</v>
      </c>
      <c r="E5" s="726" t="s">
        <v>636</v>
      </c>
      <c r="F5" s="728">
        <v>0.0</v>
      </c>
      <c r="G5" s="710"/>
      <c r="H5" s="711" t="s">
        <v>637</v>
      </c>
      <c r="I5" s="712">
        <f>C34+('DTC - P&amp;L'!AF87/'DTC - P&amp;L'!AF77)*D34</f>
        <v>21.29964682</v>
      </c>
      <c r="J5" s="24"/>
      <c r="K5" s="682" t="s">
        <v>638</v>
      </c>
      <c r="L5" s="715">
        <v>0.075</v>
      </c>
      <c r="M5" s="24"/>
      <c r="N5" s="711" t="s">
        <v>639</v>
      </c>
      <c r="O5" s="729"/>
      <c r="P5" s="24"/>
      <c r="Q5" s="682" t="s">
        <v>640</v>
      </c>
      <c r="R5" s="721">
        <v>20.0</v>
      </c>
      <c r="S5" s="725"/>
      <c r="T5" s="725"/>
      <c r="U5" s="725"/>
      <c r="V5" s="725"/>
    </row>
    <row r="6">
      <c r="A6" s="710"/>
      <c r="B6" s="711" t="s">
        <v>147</v>
      </c>
      <c r="C6" s="712">
        <v>5.49</v>
      </c>
      <c r="D6" s="713">
        <v>5.49</v>
      </c>
      <c r="E6" s="682" t="s">
        <v>150</v>
      </c>
      <c r="F6" s="715">
        <f>('DTC - P&amp;L'!AF80)/'DTC - P&amp;L'!AF77</f>
        <v>0.2305641937</v>
      </c>
      <c r="G6" s="710"/>
      <c r="H6" s="711" t="s">
        <v>642</v>
      </c>
      <c r="I6" s="712">
        <v>16.81</v>
      </c>
      <c r="J6" s="24"/>
      <c r="K6" s="682" t="s">
        <v>643</v>
      </c>
      <c r="L6" s="730">
        <v>0.00125</v>
      </c>
      <c r="M6" s="17"/>
      <c r="N6" s="17"/>
      <c r="O6" s="17"/>
      <c r="P6" s="24"/>
      <c r="Q6" s="682" t="s">
        <v>644</v>
      </c>
      <c r="R6" s="731">
        <v>1.0</v>
      </c>
      <c r="S6" s="732"/>
      <c r="T6" s="732"/>
      <c r="U6" s="732"/>
      <c r="V6" s="732"/>
    </row>
    <row r="7">
      <c r="A7" s="710"/>
      <c r="B7" s="726" t="s">
        <v>636</v>
      </c>
      <c r="C7" s="733">
        <v>6.37</v>
      </c>
      <c r="D7" s="24"/>
      <c r="E7" s="682" t="s">
        <v>645</v>
      </c>
      <c r="F7" s="715">
        <f>('DTC - P&amp;L'!AF81+'DTC - P&amp;L'!AF82)/'DTC - P&amp;L'!AF77</f>
        <v>0.2780986228</v>
      </c>
      <c r="G7" s="710"/>
      <c r="H7" s="682" t="s">
        <v>646</v>
      </c>
      <c r="I7" s="712">
        <v>0.0</v>
      </c>
      <c r="J7" s="24"/>
      <c r="K7" s="682" t="s">
        <v>647</v>
      </c>
      <c r="L7" s="734">
        <v>0.003464</v>
      </c>
      <c r="M7" s="17"/>
      <c r="N7" s="204"/>
      <c r="O7" s="735"/>
      <c r="P7" s="17"/>
      <c r="Q7" s="17"/>
      <c r="R7" s="17"/>
      <c r="S7" s="17"/>
      <c r="T7" s="17"/>
      <c r="U7" s="17"/>
      <c r="V7" s="17"/>
    </row>
    <row r="8">
      <c r="A8" s="710"/>
      <c r="B8" s="711" t="s">
        <v>150</v>
      </c>
      <c r="C8" s="712">
        <v>1.19</v>
      </c>
      <c r="D8" s="713">
        <v>1.19</v>
      </c>
      <c r="E8" s="682" t="s">
        <v>649</v>
      </c>
      <c r="F8" s="715">
        <f>('DTC - P&amp;L'!AF75+'DTC - P&amp;L'!AF76)/'DTC - P&amp;L'!AF77</f>
        <v>0.6956908041</v>
      </c>
      <c r="G8" s="710"/>
      <c r="H8" s="682" t="s">
        <v>650</v>
      </c>
      <c r="I8" s="712">
        <v>0.0</v>
      </c>
      <c r="J8" s="24"/>
      <c r="K8" s="682" t="s">
        <v>651</v>
      </c>
      <c r="L8" s="715">
        <v>0.075</v>
      </c>
      <c r="M8" s="17"/>
      <c r="N8" s="204"/>
      <c r="O8" s="735"/>
      <c r="P8" s="17"/>
      <c r="Q8" s="17"/>
      <c r="R8" s="17"/>
      <c r="S8" s="17"/>
      <c r="T8" s="17"/>
      <c r="U8" s="17"/>
      <c r="V8" s="17"/>
    </row>
    <row r="9">
      <c r="A9" s="710"/>
      <c r="B9" s="711" t="s">
        <v>653</v>
      </c>
      <c r="C9" s="712">
        <v>6.66</v>
      </c>
      <c r="D9" s="713">
        <v>6.66</v>
      </c>
      <c r="E9" s="682" t="s">
        <v>622</v>
      </c>
      <c r="F9" s="715">
        <f>1-F8</f>
        <v>0.3043091959</v>
      </c>
      <c r="G9" s="710"/>
      <c r="H9" s="711" t="s">
        <v>654</v>
      </c>
      <c r="I9" s="712">
        <f>Summary!B109*L3</f>
        <v>6.15132768</v>
      </c>
      <c r="J9" s="24"/>
      <c r="K9" s="682" t="s">
        <v>655</v>
      </c>
      <c r="L9" s="715">
        <v>0.025</v>
      </c>
      <c r="M9" s="17"/>
      <c r="N9" s="17"/>
      <c r="O9" s="17"/>
      <c r="P9" s="17"/>
      <c r="Q9" s="17"/>
      <c r="R9" s="17"/>
      <c r="S9" s="17"/>
      <c r="T9" s="17"/>
      <c r="U9" s="17"/>
      <c r="V9" s="17"/>
    </row>
    <row r="10">
      <c r="A10" s="736"/>
      <c r="B10" s="737" t="s">
        <v>657</v>
      </c>
      <c r="C10" s="738">
        <v>6.0</v>
      </c>
      <c r="D10" s="24"/>
      <c r="E10" s="682" t="s">
        <v>657</v>
      </c>
      <c r="F10" s="715">
        <f>('DTC - P&amp;L'!AF85+'DTC - P&amp;L'!AF86)/'DTC - P&amp;L'!AF77</f>
        <v>0.5975122168</v>
      </c>
      <c r="G10" s="24"/>
      <c r="H10" s="682" t="s">
        <v>658</v>
      </c>
      <c r="I10" s="712">
        <f>0.3</f>
        <v>0.3</v>
      </c>
      <c r="J10" s="24"/>
      <c r="K10" s="682" t="s">
        <v>659</v>
      </c>
      <c r="L10" s="712">
        <v>15.0</v>
      </c>
      <c r="M10" s="17"/>
      <c r="N10" s="17"/>
      <c r="O10" s="17"/>
      <c r="P10" s="17"/>
      <c r="Q10" s="17"/>
      <c r="R10" s="17"/>
      <c r="S10" s="17"/>
      <c r="T10" s="17"/>
      <c r="U10" s="17"/>
      <c r="V10" s="17"/>
    </row>
    <row r="11">
      <c r="A11" s="24"/>
      <c r="B11" s="682" t="s">
        <v>661</v>
      </c>
      <c r="C11" s="712">
        <v>3.94</v>
      </c>
      <c r="D11" s="709"/>
      <c r="E11" s="682" t="s">
        <v>662</v>
      </c>
      <c r="F11" s="729"/>
      <c r="G11" s="24"/>
      <c r="H11" s="682" t="s">
        <v>663</v>
      </c>
      <c r="I11" s="729"/>
      <c r="J11" s="17"/>
      <c r="K11" s="601"/>
      <c r="L11" s="601"/>
      <c r="M11" s="17"/>
      <c r="N11" s="17"/>
      <c r="O11" s="204"/>
      <c r="P11" s="739"/>
      <c r="Q11" s="17"/>
      <c r="R11" s="17"/>
      <c r="S11" s="17"/>
      <c r="T11" s="17"/>
      <c r="U11" s="17"/>
      <c r="V11" s="17"/>
    </row>
    <row r="12">
      <c r="A12" s="736"/>
      <c r="B12" s="682" t="s">
        <v>665</v>
      </c>
      <c r="C12" s="740">
        <v>14.79</v>
      </c>
      <c r="D12" s="710"/>
      <c r="E12" s="682" t="s">
        <v>666</v>
      </c>
      <c r="F12" s="729"/>
      <c r="G12" s="24"/>
      <c r="H12" s="682" t="s">
        <v>662</v>
      </c>
      <c r="I12" s="729"/>
      <c r="J12" s="24"/>
      <c r="K12" s="682" t="s">
        <v>667</v>
      </c>
      <c r="L12" s="715">
        <v>0.95</v>
      </c>
      <c r="M12" s="17"/>
      <c r="N12" s="17"/>
      <c r="O12" s="741"/>
      <c r="Q12" s="742"/>
      <c r="R12" s="17"/>
      <c r="S12" s="17"/>
      <c r="T12" s="17"/>
      <c r="U12" s="17"/>
      <c r="V12" s="17"/>
    </row>
    <row r="13">
      <c r="A13" s="736"/>
      <c r="B13" s="682" t="s">
        <v>668</v>
      </c>
      <c r="C13" s="729"/>
      <c r="D13" s="710"/>
      <c r="E13" s="682" t="s">
        <v>669</v>
      </c>
      <c r="F13" s="729"/>
      <c r="G13" s="24"/>
      <c r="H13" s="682" t="s">
        <v>666</v>
      </c>
      <c r="I13" s="729"/>
      <c r="J13" s="24"/>
      <c r="K13" s="682" t="s">
        <v>670</v>
      </c>
      <c r="L13" s="715">
        <v>0.05</v>
      </c>
      <c r="M13" s="17"/>
      <c r="N13" s="17"/>
      <c r="O13" s="204"/>
      <c r="Q13" s="17"/>
      <c r="R13" s="17"/>
      <c r="S13" s="17"/>
      <c r="T13" s="17"/>
      <c r="U13" s="17"/>
      <c r="V13" s="17"/>
    </row>
    <row r="14">
      <c r="A14" s="24"/>
      <c r="B14" s="682" t="s">
        <v>671</v>
      </c>
      <c r="C14" s="729"/>
      <c r="D14" s="710"/>
      <c r="E14" s="682" t="s">
        <v>672</v>
      </c>
      <c r="F14" s="729"/>
      <c r="G14" s="24"/>
      <c r="H14" s="682" t="s">
        <v>669</v>
      </c>
      <c r="I14" s="729"/>
      <c r="J14" s="24"/>
      <c r="K14" s="682" t="s">
        <v>673</v>
      </c>
      <c r="L14" s="715">
        <v>0.0579</v>
      </c>
      <c r="M14" s="17"/>
      <c r="N14" s="17"/>
      <c r="O14" s="17"/>
      <c r="P14" s="17"/>
      <c r="Q14" s="17"/>
      <c r="R14" s="17"/>
      <c r="S14" s="17"/>
      <c r="T14" s="17"/>
      <c r="U14" s="17"/>
      <c r="V14" s="17"/>
    </row>
    <row r="15">
      <c r="A15" s="17"/>
      <c r="B15" s="107"/>
      <c r="C15" s="107"/>
      <c r="D15" s="107"/>
      <c r="E15" s="107"/>
      <c r="F15" s="741"/>
      <c r="G15" s="24"/>
      <c r="H15" s="682" t="s">
        <v>95</v>
      </c>
      <c r="I15" s="744">
        <f>SUM(I3:I14)</f>
        <v>161.6497106</v>
      </c>
      <c r="J15" s="24"/>
      <c r="K15" s="682" t="s">
        <v>674</v>
      </c>
      <c r="L15" s="712">
        <v>0.3</v>
      </c>
      <c r="M15" s="17"/>
      <c r="N15" s="17"/>
      <c r="O15" s="17"/>
      <c r="P15" s="17"/>
      <c r="Q15" s="17"/>
      <c r="R15" s="17"/>
      <c r="S15" s="17"/>
      <c r="T15" s="17"/>
      <c r="U15" s="17"/>
      <c r="V15" s="17"/>
    </row>
    <row r="16">
      <c r="A16" s="17"/>
      <c r="B16" s="107"/>
      <c r="C16" s="107"/>
      <c r="D16" s="107"/>
      <c r="E16" s="107"/>
      <c r="F16" s="741"/>
      <c r="G16" s="17"/>
      <c r="H16" s="17"/>
      <c r="I16" s="17"/>
      <c r="J16" s="17"/>
      <c r="K16" s="17"/>
      <c r="L16" s="204"/>
      <c r="M16" s="17"/>
      <c r="N16" s="17"/>
      <c r="O16" s="17"/>
      <c r="P16" s="17"/>
      <c r="Q16" s="17"/>
      <c r="R16" s="17"/>
      <c r="S16" s="17"/>
      <c r="T16" s="17"/>
      <c r="U16" s="17"/>
      <c r="V16" s="17"/>
    </row>
    <row r="17">
      <c r="A17" s="17"/>
      <c r="B17" s="107"/>
      <c r="C17" s="107"/>
      <c r="D17" s="107"/>
      <c r="E17" s="107"/>
      <c r="F17" s="741"/>
      <c r="G17" s="17"/>
      <c r="H17" s="17"/>
      <c r="I17" s="17"/>
      <c r="J17" s="17"/>
      <c r="K17" s="17"/>
      <c r="L17" s="204"/>
      <c r="M17" s="17"/>
      <c r="N17" s="17"/>
      <c r="O17" s="17"/>
      <c r="P17" s="17"/>
      <c r="Q17" s="17"/>
      <c r="R17" s="17"/>
      <c r="S17" s="17"/>
      <c r="T17" s="17"/>
      <c r="U17" s="17"/>
      <c r="V17" s="17"/>
    </row>
    <row r="18">
      <c r="A18" s="17"/>
      <c r="B18" s="107"/>
      <c r="C18" s="107"/>
      <c r="D18" s="107"/>
      <c r="E18" s="107"/>
      <c r="F18" s="741"/>
      <c r="G18" s="17"/>
      <c r="H18" s="17"/>
      <c r="I18" s="17"/>
      <c r="J18" s="17"/>
      <c r="K18" s="17"/>
      <c r="L18" s="204"/>
      <c r="M18" s="17"/>
      <c r="N18" s="17"/>
      <c r="O18" s="17"/>
      <c r="P18" s="17"/>
      <c r="Q18" s="17"/>
      <c r="R18" s="17"/>
      <c r="S18" s="17"/>
      <c r="T18" s="17"/>
      <c r="U18" s="17"/>
      <c r="V18" s="17"/>
    </row>
    <row r="19">
      <c r="A19" s="17"/>
      <c r="B19" s="107"/>
      <c r="C19" s="107"/>
      <c r="D19" s="107"/>
      <c r="E19" s="107"/>
      <c r="F19" s="741"/>
      <c r="G19" s="17"/>
      <c r="H19" s="17"/>
      <c r="I19" s="17"/>
      <c r="J19" s="17"/>
      <c r="K19" s="17"/>
      <c r="L19" s="204"/>
      <c r="M19" s="17"/>
      <c r="N19" s="17"/>
      <c r="O19" s="17"/>
      <c r="P19" s="17"/>
      <c r="Q19" s="17"/>
      <c r="R19" s="17"/>
      <c r="S19" s="17"/>
      <c r="T19" s="17"/>
      <c r="U19" s="17"/>
      <c r="V19" s="17"/>
    </row>
    <row r="20">
      <c r="A20" s="17"/>
      <c r="B20" s="107"/>
      <c r="C20" s="107"/>
      <c r="D20" s="107"/>
      <c r="E20" s="107"/>
      <c r="F20" s="741"/>
      <c r="G20" s="17"/>
      <c r="H20" s="17"/>
      <c r="I20" s="17"/>
      <c r="J20" s="17"/>
      <c r="K20" s="17"/>
      <c r="L20" s="204"/>
      <c r="M20" s="17"/>
      <c r="N20" s="17"/>
      <c r="O20" s="17"/>
      <c r="P20" s="17"/>
      <c r="Q20" s="17"/>
      <c r="R20" s="17"/>
      <c r="S20" s="17"/>
      <c r="T20" s="17"/>
      <c r="U20" s="17"/>
      <c r="V20" s="17"/>
    </row>
    <row r="21">
      <c r="A21" s="17"/>
      <c r="B21" s="745"/>
      <c r="C21" s="745"/>
      <c r="D21" s="745"/>
      <c r="E21" s="745"/>
      <c r="F21" s="741"/>
      <c r="G21" s="17"/>
      <c r="H21" s="17"/>
      <c r="I21" s="17"/>
      <c r="J21" s="17"/>
      <c r="K21" s="17"/>
      <c r="L21" s="204"/>
      <c r="M21" s="17"/>
      <c r="N21" s="17"/>
      <c r="O21" s="17"/>
      <c r="P21" s="17"/>
      <c r="Q21" s="17"/>
      <c r="R21" s="17"/>
      <c r="S21" s="17"/>
      <c r="T21" s="17"/>
      <c r="U21" s="17"/>
      <c r="V21" s="17"/>
    </row>
    <row r="22">
      <c r="A22" s="24"/>
      <c r="B22" s="746" t="s">
        <v>677</v>
      </c>
      <c r="C22" s="747" t="s">
        <v>678</v>
      </c>
      <c r="D22" s="747" t="s">
        <v>679</v>
      </c>
      <c r="E22" s="747" t="s">
        <v>680</v>
      </c>
      <c r="F22" s="741"/>
      <c r="G22" s="17"/>
      <c r="H22" s="601"/>
      <c r="I22" s="601"/>
      <c r="J22" s="17"/>
      <c r="K22" s="17"/>
      <c r="L22" s="17"/>
      <c r="M22" s="17"/>
      <c r="N22" s="17"/>
      <c r="O22" s="17"/>
      <c r="P22" s="17"/>
      <c r="Q22" s="17"/>
      <c r="R22" s="17"/>
      <c r="S22" s="17"/>
      <c r="T22" s="17"/>
      <c r="U22" s="17"/>
      <c r="V22" s="17"/>
    </row>
    <row r="23">
      <c r="A23" s="24" t="s">
        <v>681</v>
      </c>
      <c r="B23" s="682" t="s">
        <v>682</v>
      </c>
      <c r="C23" s="712">
        <v>11.94</v>
      </c>
      <c r="D23" s="712">
        <v>6.155</v>
      </c>
      <c r="E23" s="712">
        <v>5.4</v>
      </c>
      <c r="F23" s="741"/>
      <c r="G23" s="24"/>
      <c r="H23" s="707" t="s">
        <v>684</v>
      </c>
      <c r="I23" s="708"/>
      <c r="J23" s="17"/>
      <c r="K23" s="17"/>
      <c r="L23" s="17"/>
      <c r="M23" s="17"/>
      <c r="N23" s="204"/>
      <c r="O23" s="17"/>
      <c r="P23" s="17"/>
      <c r="Q23" s="17"/>
      <c r="R23" s="17"/>
      <c r="S23" s="17"/>
      <c r="T23" s="17"/>
      <c r="U23" s="17"/>
      <c r="V23" s="17"/>
    </row>
    <row r="24">
      <c r="A24" s="24"/>
      <c r="B24" s="682" t="s">
        <v>685</v>
      </c>
      <c r="C24" s="740">
        <v>11.94</v>
      </c>
      <c r="D24" s="740">
        <v>6.16</v>
      </c>
      <c r="E24" s="107"/>
      <c r="F24" s="741"/>
      <c r="G24" s="24"/>
      <c r="H24" s="711" t="s">
        <v>686</v>
      </c>
      <c r="I24" s="748">
        <v>0.8</v>
      </c>
      <c r="J24" s="17"/>
      <c r="K24" s="17"/>
      <c r="L24" s="749"/>
      <c r="M24" s="17"/>
      <c r="N24" s="17"/>
      <c r="O24" s="17"/>
      <c r="P24" s="17"/>
      <c r="Q24" s="17"/>
      <c r="R24" s="17"/>
      <c r="S24" s="17"/>
      <c r="T24" s="17"/>
      <c r="U24" s="17"/>
      <c r="V24" s="17"/>
    </row>
    <row r="25">
      <c r="A25" s="24"/>
      <c r="B25" s="682" t="s">
        <v>688</v>
      </c>
      <c r="C25" s="740">
        <v>11.94</v>
      </c>
      <c r="D25" s="740">
        <v>6.16</v>
      </c>
      <c r="E25" s="107"/>
      <c r="F25" s="741"/>
      <c r="G25" s="24"/>
      <c r="H25" s="711" t="s">
        <v>689</v>
      </c>
      <c r="I25" s="748">
        <v>0.2</v>
      </c>
      <c r="J25" s="17"/>
      <c r="K25" s="17"/>
      <c r="L25" s="17"/>
      <c r="M25" s="17"/>
      <c r="N25" s="17"/>
      <c r="O25" s="17"/>
      <c r="P25" s="17"/>
      <c r="Q25" s="17"/>
      <c r="R25" s="17"/>
      <c r="S25" s="17"/>
      <c r="T25" s="17"/>
      <c r="U25" s="17"/>
      <c r="V25" s="17"/>
    </row>
    <row r="26">
      <c r="A26" s="706" t="s">
        <v>614</v>
      </c>
      <c r="B26" s="682" t="s">
        <v>691</v>
      </c>
      <c r="C26" s="750">
        <v>0.0</v>
      </c>
      <c r="D26" s="750">
        <v>0.0</v>
      </c>
      <c r="E26" s="17"/>
      <c r="F26" s="17"/>
      <c r="G26" s="17"/>
      <c r="H26" s="17"/>
      <c r="I26" s="17"/>
      <c r="J26" s="17"/>
      <c r="K26" s="17"/>
      <c r="L26" s="17"/>
      <c r="M26" s="17"/>
      <c r="N26" s="17"/>
      <c r="O26" s="17"/>
      <c r="P26" s="17"/>
      <c r="Q26" s="17"/>
      <c r="R26" s="17"/>
      <c r="S26" s="17"/>
      <c r="T26" s="17"/>
      <c r="U26" s="17"/>
      <c r="V26" s="17"/>
    </row>
    <row r="27">
      <c r="A27" s="24"/>
      <c r="B27" s="682" t="s">
        <v>693</v>
      </c>
      <c r="C27" s="751"/>
      <c r="D27" s="751"/>
      <c r="E27" s="107"/>
      <c r="F27" s="741"/>
      <c r="G27" s="17"/>
      <c r="H27" s="17"/>
      <c r="I27" s="17"/>
      <c r="J27" s="17"/>
      <c r="K27" s="17"/>
      <c r="L27" s="17"/>
      <c r="M27" s="17"/>
      <c r="N27" s="17"/>
      <c r="O27" s="17"/>
      <c r="P27" s="17"/>
      <c r="Q27" s="17"/>
      <c r="R27" s="17"/>
      <c r="S27" s="17"/>
      <c r="T27" s="17"/>
      <c r="U27" s="17"/>
      <c r="V27" s="17"/>
    </row>
    <row r="28">
      <c r="A28" s="24"/>
      <c r="B28" s="682" t="s">
        <v>695</v>
      </c>
      <c r="C28" s="712">
        <v>0.1</v>
      </c>
      <c r="D28" s="712">
        <v>0.0</v>
      </c>
      <c r="E28" s="107"/>
      <c r="F28" s="741"/>
      <c r="G28" s="17"/>
      <c r="H28" s="17"/>
      <c r="I28" s="17"/>
      <c r="J28" s="17"/>
      <c r="K28" s="17"/>
      <c r="L28" s="17"/>
      <c r="M28" s="17"/>
      <c r="N28" s="17"/>
      <c r="O28" s="17"/>
      <c r="P28" s="17"/>
      <c r="Q28" s="17"/>
      <c r="R28" s="17"/>
      <c r="S28" s="17"/>
      <c r="T28" s="17"/>
      <c r="U28" s="17"/>
      <c r="V28" s="17"/>
    </row>
    <row r="29">
      <c r="A29" s="24"/>
      <c r="B29" s="682" t="s">
        <v>696</v>
      </c>
      <c r="C29" s="712">
        <v>0.31</v>
      </c>
      <c r="D29" s="712">
        <v>0.31</v>
      </c>
      <c r="E29" s="107"/>
      <c r="F29" s="741"/>
      <c r="G29" s="17"/>
      <c r="H29" s="17"/>
      <c r="I29" s="17"/>
      <c r="J29" s="17"/>
      <c r="K29" s="17"/>
      <c r="L29" s="17"/>
      <c r="M29" s="17"/>
      <c r="N29" s="17"/>
      <c r="O29" s="17"/>
      <c r="P29" s="17"/>
      <c r="Q29" s="17"/>
      <c r="R29" s="17"/>
      <c r="S29" s="17"/>
      <c r="T29" s="17"/>
      <c r="U29" s="17"/>
      <c r="V29" s="17"/>
    </row>
    <row r="30">
      <c r="A30" s="24"/>
      <c r="B30" s="682" t="s">
        <v>697</v>
      </c>
      <c r="C30" s="712">
        <v>0.0</v>
      </c>
      <c r="D30" s="712">
        <v>0.0</v>
      </c>
      <c r="E30" s="107"/>
      <c r="F30" s="741"/>
      <c r="G30" s="17"/>
      <c r="H30" s="17"/>
      <c r="I30" s="17"/>
      <c r="J30" s="17"/>
      <c r="K30" s="17"/>
      <c r="L30" s="17"/>
      <c r="M30" s="17"/>
      <c r="N30" s="17"/>
      <c r="O30" s="17"/>
      <c r="P30" s="17"/>
      <c r="Q30" s="17"/>
      <c r="R30" s="17"/>
      <c r="S30" s="17"/>
      <c r="T30" s="17"/>
      <c r="U30" s="17"/>
      <c r="V30" s="17"/>
    </row>
    <row r="31">
      <c r="A31" s="24"/>
      <c r="B31" s="682" t="s">
        <v>698</v>
      </c>
      <c r="C31" s="712">
        <v>0.35</v>
      </c>
      <c r="D31" s="712">
        <v>0.35</v>
      </c>
      <c r="E31" s="107"/>
      <c r="F31" s="741"/>
      <c r="G31" s="17"/>
      <c r="H31" s="17"/>
      <c r="I31" s="17"/>
      <c r="J31" s="17"/>
      <c r="K31" s="17"/>
      <c r="L31" s="17"/>
      <c r="M31" s="17"/>
      <c r="N31" s="17"/>
      <c r="O31" s="17"/>
      <c r="P31" s="17"/>
      <c r="Q31" s="17"/>
      <c r="R31" s="17"/>
      <c r="S31" s="17"/>
      <c r="T31" s="17"/>
      <c r="U31" s="17"/>
      <c r="V31" s="17"/>
    </row>
    <row r="32">
      <c r="A32" s="24"/>
      <c r="B32" s="682" t="s">
        <v>699</v>
      </c>
      <c r="C32" s="712">
        <v>0.0</v>
      </c>
      <c r="D32" s="712">
        <v>0.0</v>
      </c>
      <c r="E32" s="107"/>
      <c r="F32" s="741"/>
      <c r="G32" s="17"/>
      <c r="H32" s="17"/>
      <c r="I32" s="17"/>
      <c r="J32" s="17"/>
      <c r="K32" s="17"/>
      <c r="L32" s="17"/>
      <c r="M32" s="17"/>
      <c r="N32" s="17"/>
      <c r="O32" s="17"/>
      <c r="P32" s="17"/>
      <c r="Q32" s="17"/>
      <c r="R32" s="17"/>
      <c r="S32" s="17"/>
      <c r="T32" s="17"/>
      <c r="U32" s="17"/>
      <c r="V32" s="17"/>
    </row>
    <row r="33">
      <c r="A33" s="24"/>
      <c r="B33" s="682" t="s">
        <v>700</v>
      </c>
      <c r="C33" s="712">
        <v>1.65</v>
      </c>
      <c r="D33" s="712">
        <v>0.71</v>
      </c>
      <c r="E33" s="107"/>
      <c r="F33" s="741"/>
      <c r="G33" s="17"/>
      <c r="H33" s="17"/>
      <c r="I33" s="17"/>
      <c r="J33" s="17"/>
      <c r="K33" s="17"/>
      <c r="L33" s="17"/>
      <c r="M33" s="17"/>
      <c r="N33" s="17"/>
      <c r="O33" s="17"/>
      <c r="P33" s="17"/>
      <c r="Q33" s="17"/>
      <c r="R33" s="17"/>
      <c r="S33" s="17"/>
      <c r="T33" s="17"/>
      <c r="U33" s="17"/>
      <c r="V33" s="17"/>
    </row>
    <row r="34">
      <c r="A34" s="24"/>
      <c r="B34" s="753" t="s">
        <v>702</v>
      </c>
      <c r="C34" s="755">
        <f t="shared" ref="C34:D34" si="1">C26+C23-C27</f>
        <v>11.94</v>
      </c>
      <c r="D34" s="755">
        <f t="shared" si="1"/>
        <v>6.155</v>
      </c>
      <c r="E34" s="17"/>
      <c r="F34" s="17"/>
      <c r="G34" s="17"/>
      <c r="H34" s="17"/>
      <c r="I34" s="17"/>
      <c r="J34" s="17"/>
      <c r="K34" s="17"/>
      <c r="L34" s="17"/>
      <c r="M34" s="17"/>
      <c r="N34" s="17"/>
      <c r="O34" s="17"/>
      <c r="P34" s="17"/>
      <c r="Q34" s="17"/>
      <c r="R34" s="17"/>
      <c r="S34" s="17"/>
      <c r="T34" s="17"/>
      <c r="U34" s="17"/>
      <c r="V34" s="17"/>
    </row>
    <row r="35">
      <c r="A35" s="24"/>
      <c r="B35" s="753" t="s">
        <v>704</v>
      </c>
      <c r="C35" s="740">
        <v>15.06</v>
      </c>
      <c r="D35" s="738">
        <f>D27+D24-D28</f>
        <v>6.16</v>
      </c>
      <c r="E35" s="107"/>
      <c r="F35" s="741"/>
      <c r="G35" s="17"/>
      <c r="H35" s="17"/>
      <c r="I35" s="17"/>
      <c r="J35" s="17"/>
      <c r="K35" s="17"/>
      <c r="L35" s="17"/>
      <c r="M35" s="17"/>
      <c r="N35" s="17"/>
      <c r="O35" s="17"/>
      <c r="P35" s="17"/>
      <c r="Q35" s="17"/>
      <c r="R35" s="17"/>
      <c r="S35" s="17"/>
      <c r="T35" s="17"/>
      <c r="U35" s="17"/>
      <c r="V35" s="17"/>
    </row>
    <row r="36">
      <c r="A36" s="24"/>
      <c r="B36" s="759" t="s">
        <v>706</v>
      </c>
      <c r="C36" s="733">
        <v>20.0</v>
      </c>
      <c r="D36" s="760"/>
      <c r="E36" s="107"/>
      <c r="F36" s="741"/>
      <c r="G36" s="17"/>
      <c r="H36" s="17"/>
      <c r="I36" s="17"/>
      <c r="J36" s="17"/>
      <c r="K36" s="17"/>
      <c r="L36" s="17"/>
      <c r="M36" s="17"/>
      <c r="N36" s="17"/>
      <c r="O36" s="17"/>
      <c r="P36" s="17"/>
      <c r="Q36" s="17"/>
      <c r="R36" s="17"/>
      <c r="S36" s="17"/>
      <c r="T36" s="17"/>
      <c r="U36" s="17"/>
      <c r="V36" s="17"/>
    </row>
    <row r="37">
      <c r="A37" s="761" t="s">
        <v>614</v>
      </c>
      <c r="B37" s="746" t="s">
        <v>710</v>
      </c>
      <c r="C37" s="747" t="s">
        <v>678</v>
      </c>
      <c r="D37" s="747" t="s">
        <v>679</v>
      </c>
      <c r="E37" s="17"/>
      <c r="F37" s="17"/>
      <c r="G37" s="17"/>
      <c r="H37" s="17"/>
      <c r="I37" s="17"/>
      <c r="J37" s="17"/>
      <c r="K37" s="17"/>
      <c r="L37" s="17"/>
      <c r="M37" s="17"/>
      <c r="N37" s="17"/>
      <c r="O37" s="17"/>
      <c r="P37" s="17"/>
      <c r="Q37" s="17"/>
      <c r="R37" s="17"/>
      <c r="S37" s="17"/>
      <c r="T37" s="17"/>
      <c r="U37" s="17"/>
      <c r="V37" s="17"/>
    </row>
    <row r="38">
      <c r="A38" s="24"/>
      <c r="B38" s="711" t="s">
        <v>712</v>
      </c>
      <c r="C38" s="712">
        <v>11.94</v>
      </c>
      <c r="D38" s="712">
        <v>1.435</v>
      </c>
      <c r="E38" s="17"/>
      <c r="F38" s="17"/>
      <c r="G38" s="17"/>
      <c r="H38" s="17"/>
      <c r="I38" s="17"/>
      <c r="J38" s="17"/>
      <c r="K38" s="17"/>
      <c r="L38" s="17"/>
      <c r="M38" s="17"/>
      <c r="N38" s="17"/>
      <c r="O38" s="17"/>
      <c r="P38" s="17"/>
      <c r="Q38" s="17"/>
      <c r="R38" s="17"/>
      <c r="S38" s="17"/>
      <c r="T38" s="17"/>
      <c r="U38" s="17"/>
      <c r="V38" s="17"/>
    </row>
    <row r="39">
      <c r="A39" s="24"/>
      <c r="B39" s="711" t="s">
        <v>713</v>
      </c>
      <c r="C39" s="712">
        <v>11.94</v>
      </c>
      <c r="D39" s="712">
        <v>1.44</v>
      </c>
      <c r="E39" s="107"/>
      <c r="F39" s="107"/>
      <c r="G39" s="17"/>
      <c r="H39" s="17"/>
      <c r="I39" s="17"/>
      <c r="J39" s="17"/>
      <c r="K39" s="17"/>
      <c r="L39" s="17"/>
      <c r="M39" s="17"/>
      <c r="N39" s="17"/>
      <c r="O39" s="17"/>
      <c r="P39" s="17"/>
      <c r="Q39" s="17"/>
      <c r="R39" s="17"/>
      <c r="S39" s="17"/>
      <c r="T39" s="17"/>
      <c r="U39" s="17"/>
      <c r="V39" s="17"/>
    </row>
    <row r="40">
      <c r="A40" s="24"/>
      <c r="B40" s="726" t="s">
        <v>714</v>
      </c>
      <c r="C40" s="733">
        <v>11.94</v>
      </c>
      <c r="D40" s="733">
        <v>1.44</v>
      </c>
      <c r="E40" s="107"/>
      <c r="F40" s="725"/>
      <c r="G40" s="17"/>
      <c r="H40" s="17"/>
      <c r="I40" s="17"/>
      <c r="J40" s="17"/>
      <c r="K40" s="17"/>
      <c r="L40" s="17"/>
      <c r="M40" s="17"/>
      <c r="N40" s="17"/>
      <c r="O40" s="17"/>
      <c r="P40" s="17"/>
      <c r="Q40" s="17"/>
      <c r="R40" s="17"/>
      <c r="S40" s="17"/>
      <c r="T40" s="17"/>
      <c r="U40" s="17"/>
      <c r="V40" s="17"/>
    </row>
    <row r="41">
      <c r="A41" s="17"/>
      <c r="B41" s="745"/>
      <c r="C41" s="762"/>
      <c r="D41" s="601"/>
      <c r="E41" s="107"/>
      <c r="F41" s="725"/>
      <c r="G41" s="17"/>
      <c r="H41" s="17"/>
      <c r="I41" s="17"/>
      <c r="J41" s="17"/>
      <c r="K41" s="17"/>
      <c r="L41" s="17"/>
      <c r="M41" s="17"/>
      <c r="N41" s="17"/>
      <c r="O41" s="17"/>
      <c r="P41" s="17"/>
      <c r="Q41" s="17"/>
      <c r="R41" s="17"/>
      <c r="S41" s="17"/>
      <c r="T41" s="17"/>
      <c r="U41" s="17"/>
      <c r="V41" s="17"/>
    </row>
    <row r="42">
      <c r="A42" s="24"/>
      <c r="B42" s="746" t="s">
        <v>716</v>
      </c>
      <c r="C42" s="747" t="s">
        <v>678</v>
      </c>
      <c r="D42" s="707" t="s">
        <v>679</v>
      </c>
      <c r="E42" s="107"/>
      <c r="F42" s="725"/>
      <c r="G42" s="17"/>
      <c r="H42" s="17"/>
      <c r="I42" s="17"/>
      <c r="J42" s="17"/>
      <c r="K42" s="17"/>
      <c r="L42" s="17"/>
      <c r="M42" s="17"/>
      <c r="N42" s="17"/>
      <c r="O42" s="17"/>
      <c r="P42" s="17"/>
      <c r="Q42" s="17"/>
      <c r="R42" s="17"/>
      <c r="S42" s="17"/>
      <c r="T42" s="17"/>
      <c r="U42" s="17"/>
      <c r="V42" s="17"/>
    </row>
    <row r="43">
      <c r="A43" s="761" t="s">
        <v>717</v>
      </c>
      <c r="B43" s="711" t="s">
        <v>718</v>
      </c>
      <c r="C43" s="763">
        <v>11.94</v>
      </c>
      <c r="D43" s="764">
        <v>1.435</v>
      </c>
      <c r="E43" s="107"/>
      <c r="F43" s="765"/>
      <c r="G43" s="17"/>
      <c r="H43" s="17"/>
      <c r="I43" s="17"/>
      <c r="J43" s="17"/>
      <c r="K43" s="17"/>
      <c r="L43" s="17"/>
      <c r="M43" s="17"/>
      <c r="N43" s="17"/>
      <c r="O43" s="17"/>
      <c r="P43" s="17"/>
      <c r="Q43" s="17"/>
      <c r="R43" s="17"/>
      <c r="S43" s="17"/>
      <c r="T43" s="17"/>
      <c r="U43" s="17"/>
      <c r="V43" s="17"/>
    </row>
    <row r="44">
      <c r="A44" s="713">
        <f>sum(C43:C44)</f>
        <v>12.18</v>
      </c>
      <c r="B44" s="711" t="s">
        <v>720</v>
      </c>
      <c r="C44" s="763">
        <v>0.24</v>
      </c>
      <c r="D44" s="766">
        <v>0.24</v>
      </c>
      <c r="E44" s="107"/>
      <c r="F44" s="765"/>
      <c r="G44" s="17"/>
      <c r="H44" s="17"/>
      <c r="I44" s="17"/>
      <c r="J44" s="17"/>
      <c r="K44" s="17"/>
      <c r="L44" s="17"/>
      <c r="M44" s="17"/>
      <c r="N44" s="17"/>
      <c r="O44" s="17"/>
      <c r="P44" s="17"/>
      <c r="Q44" s="17"/>
      <c r="R44" s="17"/>
      <c r="S44" s="17"/>
      <c r="T44" s="17"/>
      <c r="U44" s="17"/>
      <c r="V44" s="17"/>
    </row>
    <row r="45">
      <c r="A45" s="767">
        <f>C46</f>
        <v>12.94</v>
      </c>
      <c r="B45" s="746" t="s">
        <v>721</v>
      </c>
      <c r="C45" s="747" t="s">
        <v>678</v>
      </c>
      <c r="D45" s="17"/>
      <c r="E45" s="107"/>
      <c r="F45" s="765"/>
      <c r="G45" s="17"/>
      <c r="H45" s="17"/>
      <c r="I45" s="17"/>
      <c r="J45" s="17"/>
      <c r="K45" s="17"/>
      <c r="L45" s="17"/>
      <c r="M45" s="17"/>
      <c r="N45" s="17"/>
      <c r="O45" s="17"/>
      <c r="P45" s="17"/>
      <c r="Q45" s="17"/>
      <c r="R45" s="17"/>
      <c r="S45" s="17"/>
      <c r="T45" s="17"/>
      <c r="U45" s="17"/>
      <c r="V45" s="17"/>
    </row>
    <row r="46">
      <c r="A46" s="713">
        <f>sum(F43:F45)</f>
        <v>0</v>
      </c>
      <c r="B46" s="711" t="s">
        <v>723</v>
      </c>
      <c r="C46" s="768">
        <v>12.94</v>
      </c>
      <c r="D46" s="17"/>
      <c r="E46" s="107"/>
      <c r="F46" s="739"/>
      <c r="G46" s="17"/>
      <c r="H46" s="17"/>
      <c r="I46" s="17"/>
      <c r="J46" s="17"/>
      <c r="K46" s="421"/>
      <c r="L46" s="17"/>
      <c r="M46" s="17"/>
      <c r="N46" s="17"/>
      <c r="O46" s="17"/>
      <c r="P46" s="17"/>
      <c r="Q46" s="17"/>
      <c r="R46" s="17"/>
      <c r="S46" s="17"/>
      <c r="T46" s="17"/>
      <c r="U46" s="17"/>
      <c r="V46" s="17"/>
    </row>
    <row r="47">
      <c r="A47" s="24"/>
      <c r="B47" s="682" t="s">
        <v>726</v>
      </c>
      <c r="C47" s="768">
        <v>5.7</v>
      </c>
      <c r="D47" s="17"/>
      <c r="E47" s="107"/>
      <c r="F47" s="739"/>
      <c r="G47" s="17"/>
      <c r="H47" s="17"/>
      <c r="I47" s="17"/>
      <c r="J47" s="17"/>
      <c r="K47" s="421"/>
      <c r="L47" s="17"/>
      <c r="M47" s="769"/>
      <c r="N47" s="17"/>
      <c r="O47" s="421"/>
      <c r="P47" s="17"/>
      <c r="Q47" s="17"/>
      <c r="R47" s="17"/>
      <c r="S47" s="17"/>
      <c r="T47" s="17"/>
      <c r="U47" s="17"/>
      <c r="V47" s="17"/>
    </row>
    <row r="48">
      <c r="A48" s="770">
        <f>C38</f>
        <v>11.94</v>
      </c>
      <c r="B48" s="682" t="s">
        <v>729</v>
      </c>
      <c r="C48" s="771">
        <v>0.15</v>
      </c>
      <c r="D48" s="17"/>
      <c r="E48" s="107"/>
      <c r="F48" s="739"/>
      <c r="G48" s="17"/>
      <c r="H48" s="17"/>
      <c r="I48" s="17"/>
      <c r="J48" s="17"/>
      <c r="K48" s="421"/>
      <c r="L48" s="334"/>
      <c r="M48" s="769"/>
      <c r="N48" s="17"/>
      <c r="O48" s="421"/>
      <c r="P48" s="17"/>
      <c r="Q48" s="17"/>
      <c r="R48" s="17"/>
      <c r="S48" s="17"/>
      <c r="T48" s="17"/>
      <c r="U48" s="17"/>
      <c r="V48" s="17"/>
    </row>
    <row r="49">
      <c r="A49" s="24"/>
      <c r="B49" s="746" t="s">
        <v>731</v>
      </c>
      <c r="C49" s="747" t="s">
        <v>678</v>
      </c>
      <c r="D49" s="17"/>
      <c r="E49" s="107"/>
      <c r="F49" s="739"/>
      <c r="G49" s="17"/>
      <c r="H49" s="17"/>
      <c r="I49" s="17"/>
      <c r="J49" s="17"/>
      <c r="K49" s="421"/>
      <c r="L49" s="334"/>
      <c r="M49" s="769"/>
      <c r="N49" s="17"/>
      <c r="O49" s="421"/>
      <c r="P49" s="17"/>
      <c r="Q49" s="17"/>
      <c r="R49" s="17"/>
      <c r="S49" s="17"/>
      <c r="T49" s="17"/>
      <c r="U49" s="17"/>
      <c r="V49" s="17"/>
    </row>
    <row r="50">
      <c r="A50" s="772">
        <f>sum(A43:A48)</f>
        <v>37.06</v>
      </c>
      <c r="B50" s="682" t="s">
        <v>732</v>
      </c>
      <c r="C50" s="773">
        <v>11.0</v>
      </c>
      <c r="D50" s="17"/>
      <c r="E50" s="107"/>
      <c r="F50" s="739"/>
      <c r="G50" s="17"/>
      <c r="H50" s="17"/>
      <c r="I50" s="17"/>
      <c r="J50" s="17"/>
      <c r="K50" s="421"/>
      <c r="L50" s="334"/>
      <c r="M50" s="769"/>
      <c r="N50" s="17"/>
      <c r="O50" s="421"/>
      <c r="P50" s="17"/>
      <c r="Q50" s="17"/>
      <c r="R50" s="17"/>
      <c r="S50" s="17"/>
      <c r="T50" s="17"/>
      <c r="U50" s="17"/>
      <c r="V50" s="17"/>
    </row>
    <row r="51">
      <c r="A51" s="24"/>
      <c r="B51" s="682" t="s">
        <v>733</v>
      </c>
      <c r="C51" s="774">
        <v>6.155</v>
      </c>
      <c r="D51" s="17"/>
      <c r="E51" s="17"/>
      <c r="F51" s="17"/>
      <c r="G51" s="17"/>
      <c r="H51" s="17"/>
      <c r="I51" s="17"/>
      <c r="J51" s="17"/>
      <c r="K51" s="421"/>
      <c r="L51" s="334"/>
      <c r="M51" s="769"/>
      <c r="N51" s="17"/>
      <c r="O51" s="421"/>
      <c r="P51" s="17"/>
      <c r="Q51" s="17"/>
      <c r="R51" s="17"/>
      <c r="S51" s="17"/>
      <c r="T51" s="17"/>
      <c r="U51" s="17"/>
      <c r="V51" s="17"/>
    </row>
    <row r="52">
      <c r="A52" s="17"/>
      <c r="B52" s="601"/>
      <c r="C52" s="601"/>
      <c r="D52" s="17"/>
      <c r="E52" s="17"/>
      <c r="F52" s="17"/>
      <c r="G52" s="17"/>
      <c r="H52" s="17"/>
      <c r="I52" s="17"/>
      <c r="J52" s="17"/>
      <c r="K52" s="421"/>
      <c r="L52" s="334"/>
      <c r="M52" s="769"/>
      <c r="N52" s="17"/>
      <c r="O52" s="421"/>
      <c r="P52" s="17"/>
      <c r="Q52" s="17"/>
      <c r="R52" s="17"/>
      <c r="S52" s="17"/>
      <c r="T52" s="17"/>
      <c r="U52" s="17"/>
      <c r="V52" s="17"/>
    </row>
    <row r="53">
      <c r="A53" s="775"/>
      <c r="B53" s="746" t="s">
        <v>735</v>
      </c>
      <c r="C53" s="682"/>
      <c r="D53" s="17"/>
      <c r="E53" s="17"/>
      <c r="F53" s="17"/>
      <c r="G53" s="17"/>
      <c r="H53" s="17"/>
      <c r="I53" s="17"/>
      <c r="J53" s="17"/>
      <c r="K53" s="421"/>
      <c r="L53" s="334"/>
      <c r="M53" s="769"/>
      <c r="N53" s="17"/>
      <c r="O53" s="421"/>
      <c r="P53" s="17"/>
      <c r="Q53" s="17"/>
      <c r="R53" s="17"/>
      <c r="S53" s="17"/>
      <c r="T53" s="17"/>
      <c r="U53" s="17"/>
      <c r="V53" s="17"/>
    </row>
    <row r="54">
      <c r="A54" s="24"/>
      <c r="B54" s="682" t="s">
        <v>736</v>
      </c>
      <c r="C54" s="777">
        <v>0.25</v>
      </c>
      <c r="D54" s="17"/>
      <c r="E54" s="17"/>
      <c r="F54" s="17"/>
      <c r="G54" s="17"/>
      <c r="H54" s="17"/>
      <c r="I54" s="17"/>
      <c r="J54" s="17"/>
      <c r="K54" s="421"/>
      <c r="L54" s="334"/>
      <c r="M54" s="769"/>
      <c r="N54" s="17"/>
      <c r="O54" s="421"/>
      <c r="P54" s="17"/>
      <c r="Q54" s="17"/>
      <c r="R54" s="17"/>
      <c r="S54" s="17"/>
      <c r="T54" s="17"/>
      <c r="U54" s="17"/>
      <c r="V54" s="17"/>
    </row>
    <row r="55">
      <c r="A55" s="24"/>
      <c r="B55" s="682" t="s">
        <v>737</v>
      </c>
      <c r="C55" s="777">
        <v>0.1</v>
      </c>
      <c r="D55" s="17"/>
      <c r="E55" s="17"/>
      <c r="F55" s="17"/>
      <c r="G55" s="17"/>
      <c r="H55" s="17"/>
      <c r="I55" s="17"/>
      <c r="J55" s="17"/>
      <c r="K55" s="17"/>
      <c r="L55" s="17"/>
      <c r="M55" s="17"/>
      <c r="N55" s="17"/>
      <c r="O55" s="17"/>
      <c r="P55" s="17"/>
      <c r="Q55" s="17"/>
      <c r="R55" s="17"/>
      <c r="S55" s="17"/>
      <c r="T55" s="17"/>
      <c r="U55" s="17"/>
      <c r="V55" s="17"/>
    </row>
    <row r="56">
      <c r="A56" s="17"/>
      <c r="B56" s="601"/>
      <c r="C56" s="601"/>
      <c r="D56" s="17"/>
      <c r="E56" s="17"/>
      <c r="F56" s="17"/>
      <c r="G56" s="17"/>
      <c r="H56" s="17"/>
      <c r="I56" s="17"/>
      <c r="J56" s="17"/>
      <c r="K56" s="17"/>
      <c r="L56" s="17"/>
      <c r="M56" s="17"/>
      <c r="N56" s="17"/>
      <c r="O56" s="17"/>
      <c r="P56" s="17"/>
      <c r="Q56" s="17"/>
      <c r="R56" s="17"/>
      <c r="S56" s="17"/>
      <c r="T56" s="17"/>
      <c r="U56" s="17"/>
      <c r="V56" s="17"/>
    </row>
    <row r="57">
      <c r="A57" s="24"/>
      <c r="B57" s="746" t="s">
        <v>738</v>
      </c>
      <c r="C57" s="682"/>
      <c r="D57" s="17"/>
      <c r="E57" s="17"/>
      <c r="F57" s="17"/>
      <c r="G57" s="17"/>
      <c r="H57" s="17"/>
      <c r="I57" s="17"/>
      <c r="J57" s="17"/>
      <c r="K57" s="17"/>
      <c r="L57" s="17"/>
      <c r="M57" s="17"/>
      <c r="N57" s="17"/>
      <c r="O57" s="17"/>
      <c r="P57" s="17"/>
      <c r="Q57" s="17"/>
      <c r="R57" s="17"/>
      <c r="S57" s="17"/>
      <c r="T57" s="17"/>
      <c r="U57" s="17"/>
      <c r="V57" s="17"/>
    </row>
    <row r="58">
      <c r="A58" s="24"/>
      <c r="B58" s="682" t="s">
        <v>736</v>
      </c>
      <c r="C58" s="777">
        <v>0.5644</v>
      </c>
      <c r="D58" s="17"/>
      <c r="E58" s="17"/>
      <c r="F58" s="17"/>
      <c r="G58" s="17"/>
      <c r="H58" s="17"/>
      <c r="I58" s="17"/>
      <c r="J58" s="17"/>
      <c r="K58" s="17"/>
      <c r="L58" s="17"/>
      <c r="M58" s="17"/>
      <c r="N58" s="17"/>
      <c r="O58" s="17"/>
      <c r="P58" s="17"/>
      <c r="Q58" s="17"/>
      <c r="R58" s="17"/>
      <c r="S58" s="17"/>
      <c r="T58" s="17"/>
      <c r="U58" s="17"/>
      <c r="V58" s="17"/>
    </row>
    <row r="59">
      <c r="A59" s="24"/>
      <c r="B59" s="682" t="s">
        <v>737</v>
      </c>
      <c r="C59" s="777">
        <v>0.4603</v>
      </c>
      <c r="D59" s="17"/>
      <c r="E59" s="17"/>
      <c r="F59" s="17"/>
      <c r="G59" s="17"/>
      <c r="H59" s="17"/>
      <c r="I59" s="17"/>
      <c r="J59" s="17"/>
      <c r="K59" s="17"/>
      <c r="L59" s="17"/>
      <c r="M59" s="17"/>
      <c r="N59" s="17"/>
      <c r="O59" s="17"/>
      <c r="P59" s="17"/>
      <c r="Q59" s="17"/>
      <c r="R59" s="17"/>
      <c r="S59" s="17"/>
      <c r="T59" s="17"/>
      <c r="U59" s="17"/>
      <c r="V59" s="17"/>
    </row>
    <row r="60">
      <c r="A60" s="17"/>
      <c r="B60" s="601"/>
      <c r="C60" s="601"/>
      <c r="D60" s="17"/>
      <c r="E60" s="17"/>
      <c r="F60" s="17"/>
      <c r="G60" s="17"/>
      <c r="H60" s="17"/>
      <c r="I60" s="17"/>
      <c r="J60" s="17"/>
      <c r="K60" s="17"/>
      <c r="L60" s="17"/>
      <c r="M60" s="17"/>
      <c r="N60" s="17"/>
      <c r="O60" s="17"/>
      <c r="P60" s="17"/>
      <c r="Q60" s="17"/>
      <c r="R60" s="17"/>
      <c r="S60" s="17"/>
      <c r="T60" s="17"/>
      <c r="U60" s="17"/>
      <c r="V60" s="17"/>
    </row>
    <row r="61">
      <c r="A61" s="24"/>
      <c r="B61" s="746" t="s">
        <v>739</v>
      </c>
      <c r="C61" s="682"/>
      <c r="D61" s="17"/>
      <c r="E61" s="17"/>
      <c r="F61" s="17"/>
      <c r="G61" s="17"/>
      <c r="H61" s="17"/>
      <c r="I61" s="17"/>
      <c r="J61" s="17"/>
      <c r="K61" s="17"/>
      <c r="L61" s="17"/>
      <c r="M61" s="17"/>
      <c r="N61" s="17"/>
      <c r="O61" s="17"/>
      <c r="P61" s="17"/>
      <c r="Q61" s="17"/>
      <c r="R61" s="17"/>
      <c r="S61" s="17"/>
      <c r="T61" s="17"/>
      <c r="U61" s="17"/>
      <c r="V61" s="17"/>
    </row>
    <row r="62">
      <c r="A62" s="24"/>
      <c r="B62" s="682" t="s">
        <v>740</v>
      </c>
      <c r="C62" s="773">
        <v>5.56</v>
      </c>
      <c r="D62" s="17"/>
      <c r="E62" s="17"/>
      <c r="F62" s="17"/>
      <c r="G62" s="17"/>
      <c r="H62" s="17"/>
      <c r="I62" s="17"/>
      <c r="J62" s="17"/>
      <c r="K62" s="17"/>
      <c r="L62" s="17"/>
      <c r="M62" s="17"/>
      <c r="N62" s="17"/>
      <c r="O62" s="17"/>
      <c r="P62" s="17"/>
      <c r="Q62" s="17"/>
      <c r="R62" s="17"/>
      <c r="S62" s="17"/>
      <c r="T62" s="17"/>
      <c r="U62" s="17"/>
      <c r="V62" s="17"/>
    </row>
    <row r="63">
      <c r="A63" s="24"/>
      <c r="B63" s="682" t="s">
        <v>679</v>
      </c>
      <c r="C63" s="773">
        <v>2.2</v>
      </c>
      <c r="D63" s="17"/>
      <c r="E63" s="17"/>
      <c r="F63" s="17"/>
      <c r="G63" s="17"/>
      <c r="H63" s="17"/>
      <c r="I63" s="17"/>
      <c r="J63" s="17"/>
      <c r="K63" s="17"/>
      <c r="L63" s="17"/>
      <c r="M63" s="17"/>
      <c r="N63" s="17"/>
      <c r="O63" s="17"/>
      <c r="P63" s="17"/>
      <c r="Q63" s="17"/>
      <c r="R63" s="17"/>
      <c r="S63" s="17"/>
      <c r="T63" s="17"/>
      <c r="U63" s="17"/>
      <c r="V63" s="17"/>
    </row>
    <row r="64">
      <c r="A64" s="17"/>
      <c r="B64" s="17"/>
      <c r="C64" s="17"/>
      <c r="D64" s="17"/>
      <c r="E64" s="17"/>
      <c r="F64" s="17"/>
      <c r="G64" s="17"/>
      <c r="H64" s="17"/>
      <c r="I64" s="17"/>
      <c r="J64" s="17"/>
      <c r="K64" s="17"/>
      <c r="L64" s="17"/>
      <c r="M64" s="17"/>
      <c r="N64" s="17"/>
      <c r="O64" s="17"/>
      <c r="P64" s="17"/>
      <c r="Q64" s="17"/>
      <c r="R64" s="17"/>
      <c r="S64" s="17"/>
      <c r="T64" s="17"/>
      <c r="U64" s="17"/>
      <c r="V64" s="17"/>
    </row>
    <row r="65">
      <c r="A65" s="17"/>
      <c r="B65" s="17"/>
      <c r="C65" s="17"/>
      <c r="D65" s="17"/>
      <c r="E65" s="17"/>
      <c r="F65" s="17"/>
      <c r="G65" s="17"/>
      <c r="H65" s="17"/>
      <c r="I65" s="17"/>
      <c r="J65" s="17"/>
      <c r="K65" s="17"/>
      <c r="L65" s="17"/>
      <c r="M65" s="17"/>
      <c r="N65" s="17"/>
      <c r="O65" s="17"/>
      <c r="P65" s="17"/>
      <c r="Q65" s="17"/>
      <c r="R65" s="17"/>
      <c r="S65" s="17"/>
      <c r="T65" s="17"/>
      <c r="U65" s="17"/>
      <c r="V65" s="17"/>
    </row>
    <row r="66">
      <c r="A66" s="784" t="s">
        <v>741</v>
      </c>
      <c r="B66" s="785" t="s">
        <v>742</v>
      </c>
      <c r="C66" s="17"/>
      <c r="D66" s="17"/>
      <c r="E66" s="17"/>
      <c r="F66" s="17"/>
      <c r="G66" s="17"/>
      <c r="H66" s="17"/>
      <c r="I66" s="17"/>
      <c r="J66" s="17"/>
      <c r="K66" s="17"/>
      <c r="L66" s="17"/>
      <c r="M66" s="17"/>
      <c r="N66" s="17"/>
      <c r="O66" s="17"/>
      <c r="P66" s="17"/>
      <c r="Q66" s="17"/>
      <c r="R66" s="17"/>
      <c r="S66" s="17"/>
      <c r="T66" s="17"/>
      <c r="U66" s="17"/>
      <c r="V66" s="17"/>
    </row>
    <row r="67">
      <c r="A67" s="17"/>
      <c r="B67" s="17"/>
      <c r="C67" s="17"/>
      <c r="D67" s="17"/>
      <c r="E67" s="17"/>
      <c r="F67" s="17"/>
      <c r="G67" s="17"/>
      <c r="H67" s="17"/>
      <c r="I67" s="17"/>
      <c r="J67" s="17"/>
      <c r="K67" s="17"/>
      <c r="L67" s="17"/>
      <c r="M67" s="17"/>
      <c r="N67" s="17"/>
      <c r="O67" s="17"/>
      <c r="P67" s="17"/>
      <c r="Q67" s="17"/>
      <c r="R67" s="17"/>
      <c r="S67" s="17"/>
      <c r="T67" s="17"/>
      <c r="U67" s="17"/>
      <c r="V67" s="17"/>
    </row>
    <row r="68">
      <c r="A68" s="784" t="s">
        <v>743</v>
      </c>
      <c r="B68" s="788" t="s">
        <v>744</v>
      </c>
      <c r="C68" s="17"/>
      <c r="D68" s="17"/>
      <c r="E68" s="17"/>
      <c r="F68" s="17"/>
      <c r="G68" s="17"/>
      <c r="H68" s="17"/>
      <c r="I68" s="17"/>
      <c r="J68" s="17"/>
      <c r="K68" s="17"/>
      <c r="L68" s="17"/>
      <c r="M68" s="17"/>
      <c r="N68" s="17"/>
      <c r="O68" s="17"/>
      <c r="P68" s="17"/>
      <c r="Q68" s="17"/>
      <c r="R68" s="17"/>
      <c r="S68" s="17"/>
      <c r="T68" s="17"/>
      <c r="U68" s="17"/>
      <c r="V68" s="17"/>
    </row>
    <row r="69">
      <c r="A69" s="17"/>
      <c r="B69" s="785" t="s">
        <v>746</v>
      </c>
      <c r="C69" s="17"/>
      <c r="D69" s="17"/>
      <c r="E69" s="17"/>
      <c r="F69" s="17"/>
      <c r="G69" s="17"/>
      <c r="H69" s="17"/>
      <c r="I69" s="17"/>
      <c r="J69" s="17"/>
      <c r="K69" s="17"/>
      <c r="L69" s="17"/>
      <c r="M69" s="17"/>
      <c r="N69" s="17"/>
      <c r="O69" s="17"/>
      <c r="P69" s="17"/>
      <c r="Q69" s="17"/>
      <c r="R69" s="17"/>
      <c r="S69" s="17"/>
      <c r="T69" s="17"/>
      <c r="U69" s="17"/>
      <c r="V69" s="17"/>
    </row>
    <row r="70">
      <c r="A70" s="17"/>
      <c r="B70" s="17" t="s">
        <v>747</v>
      </c>
      <c r="C70" s="789">
        <v>17.58</v>
      </c>
      <c r="D70" s="17"/>
      <c r="E70" s="17"/>
      <c r="F70" s="17"/>
      <c r="G70" s="17"/>
      <c r="H70" s="17"/>
      <c r="I70" s="17"/>
      <c r="J70" s="17"/>
      <c r="K70" s="17"/>
      <c r="L70" s="17"/>
      <c r="M70" s="17"/>
      <c r="N70" s="17"/>
      <c r="O70" s="17"/>
      <c r="P70" s="17"/>
      <c r="Q70" s="17"/>
      <c r="R70" s="17"/>
      <c r="S70" s="17"/>
      <c r="T70" s="17"/>
      <c r="U70" s="17"/>
      <c r="V70" s="17"/>
    </row>
    <row r="71">
      <c r="A71" s="17"/>
      <c r="B71" s="17" t="s">
        <v>749</v>
      </c>
      <c r="C71" s="789">
        <v>0.29</v>
      </c>
      <c r="D71" s="17"/>
      <c r="E71" s="17"/>
      <c r="F71" s="17"/>
      <c r="G71" s="17"/>
      <c r="H71" s="17"/>
      <c r="I71" s="17"/>
      <c r="J71" s="17"/>
      <c r="K71" s="17"/>
      <c r="L71" s="17"/>
      <c r="M71" s="17"/>
      <c r="N71" s="17"/>
      <c r="O71" s="17"/>
      <c r="P71" s="17"/>
      <c r="Q71" s="17"/>
      <c r="R71" s="17"/>
      <c r="S71" s="17"/>
      <c r="T71" s="17"/>
      <c r="U71" s="17"/>
      <c r="V71" s="17"/>
    </row>
    <row r="72">
      <c r="A72" s="17"/>
      <c r="B72" s="17" t="s">
        <v>750</v>
      </c>
      <c r="C72" s="789">
        <v>0.0</v>
      </c>
      <c r="D72" s="17"/>
      <c r="E72" s="17"/>
      <c r="F72" s="17"/>
      <c r="G72" s="17"/>
      <c r="H72" s="17"/>
      <c r="I72" s="789">
        <v>17.58</v>
      </c>
      <c r="J72" s="789">
        <v>0.29</v>
      </c>
      <c r="K72" s="789">
        <v>0.0</v>
      </c>
      <c r="L72" s="789">
        <v>0.17</v>
      </c>
      <c r="M72" s="789">
        <v>0.01</v>
      </c>
      <c r="N72" s="17"/>
      <c r="O72" s="17"/>
      <c r="P72" s="17"/>
      <c r="Q72" s="17"/>
      <c r="R72" s="17"/>
      <c r="S72" s="17"/>
      <c r="T72" s="17"/>
      <c r="U72" s="17"/>
      <c r="V72" s="17"/>
    </row>
    <row r="73">
      <c r="A73" s="17"/>
      <c r="B73" s="17" t="s">
        <v>751</v>
      </c>
      <c r="C73" s="789">
        <v>0.17</v>
      </c>
      <c r="D73" s="17"/>
      <c r="E73" s="17"/>
      <c r="F73" s="17"/>
      <c r="G73" s="17"/>
      <c r="H73" s="17"/>
      <c r="I73" s="793"/>
      <c r="J73" s="793"/>
      <c r="K73" s="793"/>
      <c r="L73" s="793"/>
      <c r="M73" s="793"/>
      <c r="N73" s="17"/>
      <c r="O73" s="17"/>
      <c r="P73" s="17"/>
      <c r="Q73" s="17"/>
      <c r="R73" s="17"/>
      <c r="S73" s="17"/>
      <c r="T73" s="17"/>
      <c r="U73" s="17"/>
      <c r="V73" s="17"/>
    </row>
    <row r="74">
      <c r="A74" s="17"/>
      <c r="B74" s="17" t="s">
        <v>753</v>
      </c>
      <c r="C74" s="789">
        <v>0.01</v>
      </c>
      <c r="D74" s="17"/>
      <c r="E74" s="17"/>
      <c r="F74" s="17"/>
      <c r="G74" s="17"/>
      <c r="H74" s="17"/>
      <c r="I74" s="793"/>
      <c r="J74" s="793"/>
      <c r="K74" s="793"/>
      <c r="L74" s="793"/>
      <c r="M74" s="793"/>
      <c r="N74" s="17"/>
      <c r="O74" s="17"/>
      <c r="P74" s="17"/>
      <c r="Q74" s="17"/>
      <c r="R74" s="17"/>
      <c r="S74" s="17"/>
      <c r="T74" s="17"/>
      <c r="U74" s="17"/>
      <c r="V74" s="17"/>
    </row>
    <row r="75">
      <c r="A75" s="17"/>
      <c r="B75" s="17" t="s">
        <v>754</v>
      </c>
      <c r="C75" s="789">
        <v>2.44</v>
      </c>
      <c r="D75" s="17"/>
      <c r="E75" s="17"/>
      <c r="F75" s="17"/>
      <c r="G75" s="17"/>
      <c r="H75" s="17"/>
      <c r="I75" s="17"/>
      <c r="J75" s="17"/>
      <c r="K75" s="17"/>
      <c r="L75" s="17"/>
      <c r="M75" s="17"/>
      <c r="N75" s="17"/>
      <c r="O75" s="17"/>
      <c r="P75" s="17"/>
      <c r="Q75" s="17"/>
      <c r="R75" s="17"/>
      <c r="S75" s="17"/>
      <c r="T75" s="17"/>
      <c r="U75" s="17"/>
      <c r="V75" s="17"/>
    </row>
    <row r="76">
      <c r="A76" s="17"/>
      <c r="B76" s="17" t="s">
        <v>756</v>
      </c>
      <c r="C76" s="789">
        <v>0.21</v>
      </c>
      <c r="D76" s="17"/>
      <c r="E76" s="17"/>
      <c r="F76" s="17"/>
      <c r="G76" s="17"/>
      <c r="H76" s="17"/>
      <c r="I76" s="17"/>
      <c r="J76" s="17"/>
      <c r="K76" s="17"/>
      <c r="L76" s="17"/>
      <c r="M76" s="17"/>
      <c r="N76" s="17"/>
      <c r="O76" s="17"/>
      <c r="P76" s="17"/>
      <c r="Q76" s="17"/>
      <c r="R76" s="17"/>
      <c r="S76" s="17"/>
      <c r="T76" s="17"/>
      <c r="U76" s="17"/>
      <c r="V76" s="17"/>
    </row>
    <row r="77">
      <c r="A77" s="17"/>
      <c r="B77" s="17"/>
      <c r="C77" s="17"/>
      <c r="D77" s="17"/>
      <c r="E77" s="17"/>
      <c r="F77" s="17"/>
      <c r="G77" s="17"/>
      <c r="H77" s="17"/>
      <c r="I77" s="17"/>
      <c r="J77" s="17"/>
      <c r="K77" s="17"/>
      <c r="L77" s="17"/>
      <c r="M77" s="17"/>
      <c r="N77" s="17"/>
      <c r="O77" s="17"/>
      <c r="P77" s="17"/>
      <c r="Q77" s="17"/>
      <c r="R77" s="17"/>
      <c r="S77" s="17"/>
      <c r="T77" s="17"/>
      <c r="U77" s="17"/>
      <c r="V77" s="17"/>
    </row>
    <row r="78">
      <c r="A78" s="17"/>
      <c r="B78" s="17"/>
      <c r="C78" s="17"/>
      <c r="D78" s="17"/>
      <c r="E78" s="17"/>
      <c r="F78" s="17"/>
      <c r="G78" s="17"/>
      <c r="H78" s="17"/>
      <c r="I78" s="17"/>
      <c r="J78" s="17"/>
      <c r="K78" s="17"/>
      <c r="L78" s="17"/>
      <c r="M78" s="17"/>
      <c r="N78" s="17"/>
      <c r="O78" s="17"/>
      <c r="P78" s="17"/>
      <c r="Q78" s="17"/>
      <c r="R78" s="17"/>
      <c r="S78" s="17"/>
      <c r="T78" s="17"/>
      <c r="U78" s="17"/>
      <c r="V78" s="17"/>
    </row>
    <row r="79">
      <c r="A79" s="17"/>
      <c r="B79" s="17" t="s">
        <v>758</v>
      </c>
      <c r="C79" s="17"/>
      <c r="D79" s="17"/>
      <c r="E79" s="17"/>
      <c r="F79" s="17"/>
      <c r="G79" s="17"/>
      <c r="H79" s="17"/>
      <c r="I79" s="17"/>
      <c r="J79" s="17"/>
      <c r="K79" s="17"/>
      <c r="L79" s="17"/>
      <c r="M79" s="17"/>
      <c r="N79" s="17"/>
      <c r="O79" s="17"/>
      <c r="P79" s="17"/>
      <c r="Q79" s="17"/>
      <c r="R79" s="17"/>
      <c r="S79" s="17"/>
      <c r="T79" s="17"/>
      <c r="U79" s="17"/>
      <c r="V79" s="17"/>
    </row>
    <row r="80">
      <c r="A80" s="17"/>
      <c r="B80" s="17" t="s">
        <v>759</v>
      </c>
      <c r="C80" s="803">
        <v>0.05</v>
      </c>
      <c r="D80" s="17" t="s">
        <v>760</v>
      </c>
      <c r="E80" s="17"/>
      <c r="F80" s="17"/>
      <c r="G80" s="17"/>
      <c r="H80" s="17"/>
      <c r="I80" s="17"/>
      <c r="J80" s="17"/>
      <c r="K80" s="17"/>
      <c r="L80" s="17"/>
      <c r="M80" s="17"/>
      <c r="N80" s="17"/>
      <c r="O80" s="17"/>
      <c r="P80" s="17"/>
      <c r="Q80" s="17"/>
      <c r="R80" s="17"/>
      <c r="S80" s="17"/>
      <c r="T80" s="17"/>
      <c r="U80" s="17"/>
      <c r="V80" s="17"/>
    </row>
    <row r="81">
      <c r="A81" s="17"/>
      <c r="B81" s="17" t="s">
        <v>761</v>
      </c>
      <c r="C81" s="17" t="s">
        <v>762</v>
      </c>
      <c r="D81" s="17"/>
      <c r="E81" s="17"/>
      <c r="F81" s="17"/>
      <c r="G81" s="17"/>
      <c r="H81" s="17"/>
      <c r="I81" s="17"/>
      <c r="J81" s="17"/>
      <c r="K81" s="17"/>
      <c r="L81" s="17"/>
      <c r="M81" s="17"/>
      <c r="N81" s="17"/>
      <c r="O81" s="17"/>
      <c r="P81" s="17"/>
      <c r="Q81" s="17"/>
      <c r="R81" s="17"/>
      <c r="S81" s="17"/>
      <c r="T81" s="17"/>
      <c r="U81" s="17"/>
      <c r="V81" s="17"/>
    </row>
    <row r="82">
      <c r="A82" s="17"/>
      <c r="B82" s="17"/>
      <c r="C82" s="17"/>
      <c r="D82" s="17"/>
      <c r="E82" s="17"/>
      <c r="F82" s="17"/>
      <c r="G82" s="17"/>
      <c r="H82" s="17"/>
      <c r="I82" s="17"/>
      <c r="J82" s="17"/>
      <c r="K82" s="17"/>
      <c r="L82" s="17"/>
      <c r="M82" s="17"/>
      <c r="N82" s="17"/>
      <c r="O82" s="17"/>
      <c r="P82" s="17"/>
      <c r="Q82" s="17"/>
      <c r="R82" s="17"/>
      <c r="S82" s="17"/>
      <c r="T82" s="17"/>
      <c r="U82" s="17"/>
      <c r="V82" s="17"/>
    </row>
    <row r="83">
      <c r="A83" s="17"/>
      <c r="B83" s="17"/>
      <c r="C83" s="17"/>
      <c r="D83" s="17"/>
      <c r="E83" s="17"/>
      <c r="F83" s="17"/>
      <c r="G83" s="17"/>
      <c r="H83" s="17"/>
      <c r="I83" s="17"/>
      <c r="J83" s="17"/>
      <c r="K83" s="17"/>
      <c r="L83" s="17"/>
      <c r="M83" s="17"/>
      <c r="N83" s="17"/>
      <c r="O83" s="17"/>
      <c r="P83" s="17"/>
      <c r="Q83" s="17"/>
      <c r="R83" s="17"/>
      <c r="S83" s="17"/>
      <c r="T83" s="17"/>
      <c r="U83" s="17"/>
      <c r="V83" s="17"/>
    </row>
    <row r="84">
      <c r="A84" s="17"/>
      <c r="B84" s="17"/>
      <c r="C84" s="17"/>
      <c r="D84" s="17"/>
      <c r="E84" s="17"/>
      <c r="F84" s="17"/>
      <c r="G84" s="17"/>
      <c r="H84" s="17"/>
      <c r="I84" s="17"/>
      <c r="J84" s="17"/>
      <c r="K84" s="17"/>
      <c r="L84" s="17"/>
      <c r="M84" s="17"/>
      <c r="N84" s="17"/>
      <c r="O84" s="17"/>
      <c r="P84" s="17"/>
      <c r="Q84" s="17"/>
      <c r="R84" s="17"/>
      <c r="S84" s="17"/>
      <c r="T84" s="17"/>
      <c r="U84" s="17"/>
      <c r="V84" s="17"/>
    </row>
    <row r="85">
      <c r="A85" s="17"/>
      <c r="B85" s="17"/>
      <c r="C85" s="17"/>
      <c r="D85" s="17"/>
      <c r="E85" s="17"/>
      <c r="F85" s="17"/>
      <c r="G85" s="17"/>
      <c r="H85" s="17"/>
      <c r="I85" s="17"/>
      <c r="J85" s="17"/>
      <c r="K85" s="17"/>
      <c r="L85" s="17"/>
      <c r="M85" s="17"/>
      <c r="N85" s="17"/>
      <c r="O85" s="17"/>
      <c r="P85" s="17"/>
      <c r="Q85" s="17"/>
      <c r="R85" s="17"/>
      <c r="S85" s="17"/>
      <c r="T85" s="17"/>
      <c r="U85" s="17"/>
      <c r="V85" s="17"/>
    </row>
    <row r="86">
      <c r="A86" s="17"/>
      <c r="B86" s="17"/>
      <c r="C86" s="17"/>
      <c r="D86" s="17"/>
      <c r="E86" s="17"/>
      <c r="F86" s="17"/>
      <c r="G86" s="17"/>
      <c r="H86" s="17"/>
      <c r="I86" s="17"/>
      <c r="J86" s="17"/>
      <c r="K86" s="17"/>
      <c r="L86" s="17"/>
      <c r="M86" s="17"/>
      <c r="N86" s="17"/>
      <c r="O86" s="17"/>
      <c r="P86" s="17"/>
      <c r="Q86" s="17"/>
      <c r="R86" s="17"/>
      <c r="S86" s="17"/>
      <c r="T86" s="17"/>
      <c r="U86" s="17"/>
      <c r="V86" s="17"/>
    </row>
    <row r="87">
      <c r="A87" s="17"/>
      <c r="B87" s="17"/>
      <c r="C87" s="17"/>
      <c r="D87" s="17"/>
      <c r="E87" s="17"/>
      <c r="F87" s="17"/>
      <c r="G87" s="17"/>
      <c r="H87" s="17"/>
      <c r="I87" s="17"/>
      <c r="J87" s="17"/>
      <c r="K87" s="17"/>
      <c r="L87" s="17"/>
      <c r="M87" s="17"/>
      <c r="N87" s="17"/>
      <c r="O87" s="17"/>
      <c r="P87" s="17"/>
      <c r="Q87" s="17"/>
      <c r="R87" s="17"/>
      <c r="S87" s="17"/>
      <c r="T87" s="17"/>
      <c r="U87" s="17"/>
      <c r="V87" s="17"/>
    </row>
    <row r="88">
      <c r="A88" s="17"/>
      <c r="B88" s="17"/>
      <c r="C88" s="17"/>
      <c r="D88" s="17"/>
      <c r="E88" s="17"/>
      <c r="F88" s="17"/>
      <c r="G88" s="17"/>
      <c r="H88" s="17"/>
      <c r="I88" s="17"/>
      <c r="J88" s="17"/>
      <c r="K88" s="17"/>
      <c r="L88" s="17"/>
      <c r="M88" s="17"/>
      <c r="N88" s="17"/>
      <c r="O88" s="17"/>
      <c r="P88" s="17"/>
      <c r="Q88" s="17"/>
      <c r="R88" s="17"/>
      <c r="S88" s="17"/>
      <c r="T88" s="17"/>
      <c r="U88" s="17"/>
      <c r="V88" s="17"/>
    </row>
    <row r="89">
      <c r="A89" s="17"/>
      <c r="B89" s="17"/>
      <c r="C89" s="17"/>
      <c r="D89" s="17"/>
      <c r="E89" s="17"/>
      <c r="F89" s="17"/>
      <c r="G89" s="17"/>
      <c r="H89" s="17"/>
      <c r="I89" s="17"/>
      <c r="J89" s="17"/>
      <c r="K89" s="17"/>
      <c r="L89" s="17"/>
      <c r="M89" s="17"/>
      <c r="N89" s="17"/>
      <c r="O89" s="17"/>
      <c r="P89" s="17"/>
      <c r="Q89" s="17"/>
      <c r="R89" s="17"/>
      <c r="S89" s="17"/>
      <c r="T89" s="17"/>
      <c r="U89" s="17"/>
      <c r="V89" s="17"/>
    </row>
    <row r="90">
      <c r="A90" s="17"/>
      <c r="B90" s="17"/>
      <c r="C90" s="17"/>
      <c r="D90" s="17"/>
      <c r="E90" s="17"/>
      <c r="F90" s="17"/>
      <c r="G90" s="17"/>
      <c r="H90" s="17"/>
      <c r="I90" s="17"/>
      <c r="J90" s="17"/>
      <c r="K90" s="17"/>
      <c r="L90" s="17"/>
      <c r="M90" s="17"/>
      <c r="N90" s="17"/>
      <c r="O90" s="17"/>
      <c r="P90" s="17"/>
      <c r="Q90" s="17"/>
      <c r="R90" s="17"/>
      <c r="S90" s="17"/>
      <c r="T90" s="17"/>
      <c r="U90" s="17"/>
      <c r="V90" s="17"/>
    </row>
    <row r="91">
      <c r="A91" s="17"/>
      <c r="B91" s="17"/>
      <c r="C91" s="17"/>
      <c r="D91" s="17"/>
      <c r="E91" s="17"/>
      <c r="F91" s="17"/>
      <c r="G91" s="17"/>
      <c r="H91" s="17"/>
      <c r="I91" s="17"/>
      <c r="J91" s="17"/>
      <c r="K91" s="17"/>
      <c r="L91" s="17"/>
      <c r="M91" s="17"/>
      <c r="N91" s="17"/>
      <c r="O91" s="17"/>
      <c r="P91" s="17"/>
      <c r="Q91" s="17"/>
      <c r="R91" s="17"/>
      <c r="S91" s="17"/>
      <c r="T91" s="17"/>
      <c r="U91" s="17"/>
      <c r="V91" s="17"/>
    </row>
    <row r="92">
      <c r="A92" s="17"/>
      <c r="B92" s="17"/>
      <c r="C92" s="17"/>
      <c r="D92" s="17"/>
      <c r="E92" s="17"/>
      <c r="F92" s="17"/>
      <c r="G92" s="17"/>
      <c r="H92" s="17"/>
      <c r="I92" s="17"/>
      <c r="J92" s="17"/>
      <c r="K92" s="17"/>
      <c r="L92" s="17"/>
      <c r="M92" s="17"/>
      <c r="N92" s="17"/>
      <c r="O92" s="17"/>
      <c r="P92" s="17"/>
      <c r="Q92" s="17"/>
      <c r="R92" s="17"/>
      <c r="S92" s="17"/>
      <c r="T92" s="17"/>
      <c r="U92" s="17"/>
      <c r="V92" s="17"/>
    </row>
    <row r="93">
      <c r="A93" s="17"/>
      <c r="B93" s="17"/>
      <c r="C93" s="17"/>
      <c r="D93" s="17"/>
      <c r="E93" s="17"/>
      <c r="F93" s="17"/>
      <c r="G93" s="17"/>
      <c r="H93" s="17"/>
      <c r="I93" s="17"/>
      <c r="J93" s="17"/>
      <c r="K93" s="17"/>
      <c r="L93" s="17"/>
      <c r="M93" s="17"/>
      <c r="N93" s="17"/>
      <c r="O93" s="17"/>
      <c r="P93" s="17"/>
      <c r="Q93" s="17"/>
      <c r="R93" s="17"/>
      <c r="S93" s="17"/>
      <c r="T93" s="17"/>
      <c r="U93" s="17"/>
      <c r="V93" s="17"/>
    </row>
    <row r="94">
      <c r="A94" s="17"/>
      <c r="B94" s="17"/>
      <c r="C94" s="17"/>
      <c r="D94" s="17"/>
      <c r="E94" s="17"/>
      <c r="F94" s="17"/>
      <c r="G94" s="17"/>
      <c r="H94" s="17"/>
      <c r="I94" s="17"/>
      <c r="J94" s="17"/>
      <c r="K94" s="17"/>
      <c r="L94" s="17"/>
      <c r="M94" s="17"/>
      <c r="N94" s="17"/>
      <c r="O94" s="17"/>
      <c r="P94" s="17"/>
      <c r="Q94" s="17"/>
      <c r="R94" s="17"/>
      <c r="S94" s="17"/>
      <c r="T94" s="17"/>
      <c r="U94" s="17"/>
      <c r="V94" s="17"/>
    </row>
    <row r="95">
      <c r="A95" s="17"/>
      <c r="B95" s="17"/>
      <c r="C95" s="17"/>
      <c r="D95" s="17"/>
      <c r="E95" s="17"/>
      <c r="F95" s="17"/>
      <c r="G95" s="17"/>
      <c r="H95" s="17"/>
      <c r="I95" s="17"/>
      <c r="J95" s="17"/>
      <c r="K95" s="17"/>
      <c r="L95" s="17"/>
      <c r="M95" s="17"/>
      <c r="N95" s="17"/>
      <c r="O95" s="17"/>
      <c r="P95" s="17"/>
      <c r="Q95" s="17"/>
      <c r="R95" s="17"/>
      <c r="S95" s="17"/>
      <c r="T95" s="17"/>
      <c r="U95" s="17"/>
      <c r="V95" s="17"/>
    </row>
    <row r="96">
      <c r="A96" s="17"/>
      <c r="B96" s="17"/>
      <c r="C96" s="17"/>
      <c r="D96" s="17"/>
      <c r="E96" s="17"/>
      <c r="F96" s="17"/>
      <c r="G96" s="17"/>
      <c r="H96" s="17"/>
      <c r="I96" s="17"/>
      <c r="J96" s="17"/>
      <c r="K96" s="17"/>
      <c r="L96" s="17"/>
      <c r="M96" s="17"/>
      <c r="N96" s="17"/>
      <c r="O96" s="17"/>
      <c r="P96" s="17"/>
      <c r="Q96" s="17"/>
      <c r="R96" s="17"/>
      <c r="S96" s="17"/>
      <c r="T96" s="17"/>
      <c r="U96" s="17"/>
      <c r="V96" s="17"/>
    </row>
    <row r="97">
      <c r="A97" s="17"/>
      <c r="B97" s="17"/>
      <c r="C97" s="17"/>
      <c r="D97" s="17"/>
      <c r="E97" s="17"/>
      <c r="F97" s="17"/>
      <c r="G97" s="17"/>
      <c r="H97" s="17"/>
      <c r="I97" s="17"/>
      <c r="J97" s="17"/>
      <c r="K97" s="17"/>
      <c r="L97" s="17"/>
      <c r="M97" s="17"/>
      <c r="N97" s="17"/>
      <c r="O97" s="17"/>
      <c r="P97" s="17"/>
      <c r="Q97" s="17"/>
      <c r="R97" s="17"/>
      <c r="S97" s="17"/>
      <c r="T97" s="17"/>
      <c r="U97" s="17"/>
      <c r="V97" s="17"/>
    </row>
    <row r="98">
      <c r="A98" s="17"/>
      <c r="B98" s="17"/>
      <c r="C98" s="17"/>
      <c r="D98" s="17"/>
      <c r="E98" s="17"/>
      <c r="F98" s="17"/>
      <c r="G98" s="17"/>
      <c r="H98" s="17"/>
      <c r="I98" s="17"/>
      <c r="J98" s="17"/>
      <c r="K98" s="17"/>
      <c r="L98" s="17"/>
      <c r="M98" s="17"/>
      <c r="N98" s="17"/>
      <c r="O98" s="17"/>
      <c r="P98" s="17"/>
      <c r="Q98" s="17"/>
      <c r="R98" s="17"/>
      <c r="S98" s="17"/>
      <c r="T98" s="17"/>
      <c r="U98" s="17"/>
      <c r="V98" s="17"/>
    </row>
    <row r="99">
      <c r="A99" s="17"/>
      <c r="B99" s="17"/>
      <c r="C99" s="17"/>
      <c r="D99" s="17"/>
      <c r="E99" s="17"/>
      <c r="F99" s="17"/>
      <c r="G99" s="17"/>
      <c r="H99" s="17"/>
      <c r="I99" s="17"/>
      <c r="J99" s="17"/>
      <c r="K99" s="17"/>
      <c r="L99" s="17"/>
      <c r="M99" s="17"/>
      <c r="N99" s="17"/>
      <c r="O99" s="17"/>
      <c r="P99" s="17"/>
      <c r="Q99" s="17"/>
      <c r="R99" s="17"/>
      <c r="S99" s="17"/>
      <c r="T99" s="17"/>
      <c r="U99" s="17"/>
      <c r="V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row>
  </sheetData>
  <mergeCells count="10">
    <mergeCell ref="Q2:R2"/>
    <mergeCell ref="P11:P13"/>
    <mergeCell ref="H23:I23"/>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6.25"/>
    <col customWidth="1" min="2" max="2" width="11.75"/>
    <col customWidth="1" min="3" max="6" width="10.25"/>
    <col customWidth="1" min="7" max="7" width="11.0"/>
    <col customWidth="1" min="8" max="13" width="10.25"/>
    <col customWidth="1" min="14" max="14" width="11.25"/>
    <col customWidth="1" min="15" max="31" width="10.25"/>
  </cols>
  <sheetData>
    <row r="1">
      <c r="A1" s="3">
        <v>45170.0</v>
      </c>
      <c r="B1" s="5">
        <v>45170.0</v>
      </c>
      <c r="C1" s="5">
        <v>45171.0</v>
      </c>
      <c r="D1" s="5">
        <v>45172.0</v>
      </c>
      <c r="E1" s="5">
        <v>45173.0</v>
      </c>
      <c r="F1" s="5">
        <v>45174.0</v>
      </c>
      <c r="G1" s="5">
        <v>45175.0</v>
      </c>
      <c r="H1" s="5">
        <v>45176.0</v>
      </c>
      <c r="I1" s="5">
        <v>45177.0</v>
      </c>
      <c r="J1" s="5">
        <v>45178.0</v>
      </c>
      <c r="K1" s="5">
        <v>45179.0</v>
      </c>
      <c r="L1" s="5">
        <v>45180.0</v>
      </c>
      <c r="M1" s="5">
        <v>45181.0</v>
      </c>
      <c r="N1" s="5">
        <v>45182.0</v>
      </c>
      <c r="O1" s="5">
        <v>45183.0</v>
      </c>
      <c r="P1" s="5">
        <v>45184.0</v>
      </c>
      <c r="Q1" s="5">
        <v>45185.0</v>
      </c>
      <c r="R1" s="5">
        <v>45186.0</v>
      </c>
      <c r="S1" s="5">
        <v>45187.0</v>
      </c>
      <c r="T1" s="5">
        <v>45188.0</v>
      </c>
      <c r="U1" s="5">
        <v>45189.0</v>
      </c>
      <c r="V1" s="5">
        <v>45190.0</v>
      </c>
      <c r="W1" s="5">
        <v>45191.0</v>
      </c>
      <c r="X1" s="5">
        <v>45192.0</v>
      </c>
      <c r="Y1" s="5">
        <v>45193.0</v>
      </c>
      <c r="Z1" s="5">
        <v>45194.0</v>
      </c>
      <c r="AA1" s="5">
        <v>45195.0</v>
      </c>
      <c r="AB1" s="5">
        <v>45196.0</v>
      </c>
      <c r="AC1" s="5">
        <v>45197.0</v>
      </c>
      <c r="AD1" s="5">
        <v>45198.0</v>
      </c>
      <c r="AE1" s="5">
        <v>45199.0</v>
      </c>
    </row>
    <row r="2">
      <c r="B2" s="15" t="s">
        <v>46</v>
      </c>
      <c r="C2" s="15" t="s">
        <v>48</v>
      </c>
      <c r="D2" s="15" t="s">
        <v>51</v>
      </c>
      <c r="E2" s="15" t="s">
        <v>52</v>
      </c>
      <c r="F2" s="15" t="s">
        <v>55</v>
      </c>
      <c r="G2" s="15" t="s">
        <v>57</v>
      </c>
      <c r="H2" s="15" t="s">
        <v>58</v>
      </c>
      <c r="I2" s="15" t="s">
        <v>46</v>
      </c>
      <c r="J2" s="15" t="s">
        <v>48</v>
      </c>
      <c r="K2" s="15" t="s">
        <v>51</v>
      </c>
      <c r="L2" s="15" t="s">
        <v>52</v>
      </c>
      <c r="M2" s="15" t="s">
        <v>55</v>
      </c>
      <c r="N2" s="15" t="s">
        <v>57</v>
      </c>
      <c r="O2" s="15" t="s">
        <v>58</v>
      </c>
      <c r="P2" s="15" t="s">
        <v>46</v>
      </c>
      <c r="Q2" s="15" t="s">
        <v>48</v>
      </c>
      <c r="R2" s="15" t="s">
        <v>51</v>
      </c>
      <c r="S2" s="15" t="s">
        <v>52</v>
      </c>
      <c r="T2" s="15" t="s">
        <v>55</v>
      </c>
      <c r="U2" s="15" t="s">
        <v>57</v>
      </c>
      <c r="V2" s="15" t="s">
        <v>58</v>
      </c>
      <c r="W2" s="15" t="s">
        <v>46</v>
      </c>
      <c r="X2" s="15" t="s">
        <v>48</v>
      </c>
      <c r="Y2" s="15" t="s">
        <v>51</v>
      </c>
      <c r="Z2" s="15" t="s">
        <v>52</v>
      </c>
      <c r="AA2" s="15" t="s">
        <v>55</v>
      </c>
      <c r="AB2" s="15" t="s">
        <v>57</v>
      </c>
      <c r="AC2" s="15" t="s">
        <v>58</v>
      </c>
      <c r="AD2" s="15" t="s">
        <v>46</v>
      </c>
      <c r="AE2" s="15" t="s">
        <v>48</v>
      </c>
    </row>
    <row r="3">
      <c r="A3" s="1" t="s">
        <v>71</v>
      </c>
      <c r="C3" s="1" t="s">
        <v>72</v>
      </c>
      <c r="D3" s="21" t="s">
        <v>72</v>
      </c>
      <c r="E3" s="21"/>
      <c r="J3" s="1" t="s">
        <v>72</v>
      </c>
      <c r="K3" s="21" t="s">
        <v>72</v>
      </c>
      <c r="Q3" s="1" t="s">
        <v>75</v>
      </c>
      <c r="R3" s="1" t="s">
        <v>75</v>
      </c>
      <c r="X3" s="1" t="s">
        <v>75</v>
      </c>
      <c r="Y3" s="1" t="s">
        <v>75</v>
      </c>
      <c r="Z3" s="21"/>
      <c r="AE3" s="1" t="s">
        <v>72</v>
      </c>
    </row>
    <row r="4">
      <c r="A4" s="1205"/>
      <c r="B4" s="27"/>
      <c r="C4" s="27"/>
      <c r="D4" s="27"/>
      <c r="E4" s="27"/>
      <c r="F4" s="27"/>
      <c r="G4" s="27"/>
      <c r="H4" s="27"/>
      <c r="I4" s="27"/>
      <c r="J4" s="27"/>
      <c r="K4" s="27"/>
      <c r="L4" s="27"/>
      <c r="M4" s="27"/>
      <c r="N4" s="27"/>
      <c r="O4" s="27"/>
      <c r="P4" s="27"/>
      <c r="Q4" s="27"/>
      <c r="R4" s="27"/>
      <c r="S4" s="29" t="s">
        <v>81</v>
      </c>
      <c r="T4" s="27"/>
      <c r="U4" s="27"/>
      <c r="V4" s="30"/>
      <c r="W4" s="30"/>
      <c r="X4" s="31" t="s">
        <v>82</v>
      </c>
      <c r="AE4" s="32"/>
    </row>
    <row r="5" ht="15.75" customHeight="1">
      <c r="A5" s="1205"/>
      <c r="B5" s="29" t="s">
        <v>83</v>
      </c>
      <c r="H5" s="34"/>
      <c r="I5" s="34"/>
      <c r="J5" s="34"/>
      <c r="K5" s="34"/>
      <c r="L5" s="34"/>
      <c r="M5" s="34"/>
      <c r="N5" s="29" t="s">
        <v>85</v>
      </c>
      <c r="S5" s="29" t="s">
        <v>86</v>
      </c>
      <c r="T5" s="34"/>
      <c r="U5" s="36"/>
      <c r="V5" s="34"/>
      <c r="W5" s="34"/>
      <c r="X5" s="34"/>
      <c r="Y5" s="34"/>
      <c r="Z5" s="34"/>
      <c r="AA5" s="34"/>
      <c r="AB5" s="34"/>
      <c r="AC5" s="34"/>
      <c r="AD5" s="34"/>
      <c r="AE5" s="34"/>
    </row>
    <row r="6">
      <c r="A6" s="1205"/>
      <c r="B6" s="34"/>
      <c r="C6" s="34"/>
      <c r="D6" s="34"/>
      <c r="E6" s="34"/>
      <c r="F6" s="34"/>
      <c r="G6" s="31" t="s">
        <v>87</v>
      </c>
      <c r="H6" s="34"/>
      <c r="I6" s="34"/>
      <c r="J6" s="34"/>
      <c r="K6" s="34"/>
      <c r="L6" s="34"/>
      <c r="M6" s="34"/>
      <c r="N6" s="34"/>
      <c r="O6" s="34"/>
      <c r="P6" s="34"/>
      <c r="Q6" s="34"/>
      <c r="R6" s="34"/>
      <c r="S6" s="29" t="s">
        <v>89</v>
      </c>
      <c r="T6" s="34"/>
      <c r="U6" s="34"/>
      <c r="V6" s="34"/>
      <c r="W6" s="34"/>
      <c r="X6" s="34"/>
      <c r="Y6" s="34"/>
      <c r="Z6" s="34"/>
      <c r="AA6" s="34"/>
      <c r="AB6" s="38" t="s">
        <v>90</v>
      </c>
      <c r="AC6" s="34"/>
      <c r="AD6" s="34"/>
      <c r="AE6" s="34"/>
    </row>
    <row r="7">
      <c r="V7" s="30"/>
    </row>
    <row r="8" collapsed="1">
      <c r="A8" s="1206" t="s">
        <v>92</v>
      </c>
      <c r="B8" s="1207">
        <v>17265.68</v>
      </c>
      <c r="C8" s="1207">
        <v>23737.329999999998</v>
      </c>
      <c r="D8" s="1207">
        <v>31027.91</v>
      </c>
      <c r="E8" s="1207">
        <v>38624.27</v>
      </c>
      <c r="F8" s="1207">
        <v>32334.229999999996</v>
      </c>
      <c r="G8" s="1207">
        <v>25523.42</v>
      </c>
      <c r="H8" s="1207">
        <v>16513.050000000003</v>
      </c>
      <c r="I8" s="1207">
        <v>16047.62</v>
      </c>
      <c r="J8" s="1207">
        <v>16896.239999999998</v>
      </c>
      <c r="K8" s="1207">
        <v>25310.440000000002</v>
      </c>
      <c r="L8" s="1207">
        <v>19069.47</v>
      </c>
      <c r="M8" s="1207">
        <v>17658.35</v>
      </c>
      <c r="N8" s="1207">
        <v>16855.53</v>
      </c>
      <c r="O8" s="1207">
        <v>21866.399999999998</v>
      </c>
      <c r="P8" s="1207">
        <v>19818.81</v>
      </c>
      <c r="Q8" s="1207">
        <v>20289.019999999997</v>
      </c>
      <c r="R8" s="1207">
        <v>20492.89</v>
      </c>
      <c r="S8" s="1207">
        <v>54783.26</v>
      </c>
      <c r="T8" s="1207">
        <v>32668.33</v>
      </c>
      <c r="U8" s="1207">
        <v>24173.379999999997</v>
      </c>
      <c r="V8" s="1207">
        <v>23765.13</v>
      </c>
      <c r="W8" s="1207">
        <v>20293.989999999998</v>
      </c>
      <c r="X8" s="1207">
        <v>23532.559999999998</v>
      </c>
      <c r="Y8" s="1207">
        <v>25409.48</v>
      </c>
      <c r="Z8" s="1207">
        <v>24613.92</v>
      </c>
      <c r="AA8" s="1207">
        <v>16571.82</v>
      </c>
      <c r="AB8" s="1207">
        <v>28234.49</v>
      </c>
      <c r="AC8" s="1207">
        <v>22796.27</v>
      </c>
      <c r="AD8" s="1207">
        <v>23841.8</v>
      </c>
      <c r="AE8" s="1207">
        <v>21795.85</v>
      </c>
    </row>
    <row r="9" hidden="1" outlineLevel="1">
      <c r="A9" s="1208" t="s">
        <v>1086</v>
      </c>
      <c r="B9" s="1209">
        <v>14026.9</v>
      </c>
      <c r="C9" s="1210">
        <v>18793.1</v>
      </c>
      <c r="D9" s="1210">
        <v>24511.2</v>
      </c>
      <c r="E9" s="1210">
        <v>31197.45</v>
      </c>
      <c r="F9" s="1210">
        <v>26437.6</v>
      </c>
      <c r="G9" s="1210">
        <v>20504.1</v>
      </c>
      <c r="H9" s="1210">
        <v>13104.1</v>
      </c>
      <c r="I9" s="1210">
        <v>13302.0</v>
      </c>
      <c r="J9" s="1210">
        <v>13850.8</v>
      </c>
      <c r="K9" s="1210">
        <v>19907.55</v>
      </c>
      <c r="L9" s="1210">
        <v>15207.8</v>
      </c>
      <c r="M9" s="1210">
        <v>14622.3</v>
      </c>
      <c r="N9" s="1210">
        <v>13822.0</v>
      </c>
      <c r="O9" s="1210">
        <v>17737.0</v>
      </c>
      <c r="P9" s="1210">
        <v>15812.3</v>
      </c>
      <c r="Q9" s="1211">
        <v>15992.1</v>
      </c>
      <c r="R9" s="1211">
        <v>16698.6</v>
      </c>
      <c r="S9" s="1210">
        <v>20269.56</v>
      </c>
      <c r="T9" s="1210">
        <v>16381.86</v>
      </c>
      <c r="U9" s="1210">
        <v>15554.46</v>
      </c>
      <c r="V9" s="1210">
        <v>15454.66</v>
      </c>
      <c r="W9" s="1210">
        <v>13552.46</v>
      </c>
      <c r="X9" s="1210">
        <v>16245.43</v>
      </c>
      <c r="Y9" s="1212">
        <v>17145.66</v>
      </c>
      <c r="Z9" s="1210">
        <v>17990.3</v>
      </c>
      <c r="AA9" s="1210">
        <v>11982.08</v>
      </c>
      <c r="AB9" s="1210">
        <v>21447.09</v>
      </c>
      <c r="AC9" s="1210">
        <v>16473.96</v>
      </c>
      <c r="AD9" s="1210">
        <v>18216.46</v>
      </c>
      <c r="AE9" s="1210">
        <v>16990.16</v>
      </c>
    </row>
    <row r="10" hidden="1" outlineLevel="1">
      <c r="A10" s="1208" t="s">
        <v>1087</v>
      </c>
      <c r="B10" s="1209">
        <v>1138.6</v>
      </c>
      <c r="C10" s="1210">
        <v>1939.8</v>
      </c>
      <c r="D10" s="1210">
        <v>2670.2</v>
      </c>
      <c r="E10" s="1210">
        <v>2579.4</v>
      </c>
      <c r="F10" s="1210">
        <v>2048.8</v>
      </c>
      <c r="G10" s="1210">
        <v>1858.0</v>
      </c>
      <c r="H10" s="1210">
        <v>1400.5</v>
      </c>
      <c r="I10" s="1210">
        <v>989.0</v>
      </c>
      <c r="J10" s="1210">
        <v>1135.5</v>
      </c>
      <c r="K10" s="1210">
        <v>2415.4</v>
      </c>
      <c r="L10" s="1210">
        <v>1591.5</v>
      </c>
      <c r="M10" s="1210">
        <v>1134.0</v>
      </c>
      <c r="N10" s="1210">
        <v>1119.5</v>
      </c>
      <c r="O10" s="1210">
        <v>1517.6</v>
      </c>
      <c r="P10" s="1210">
        <v>1613.7</v>
      </c>
      <c r="Q10" s="1211">
        <v>1853.0</v>
      </c>
      <c r="R10" s="1211">
        <v>1399.5</v>
      </c>
      <c r="S10" s="1210">
        <v>23372.34</v>
      </c>
      <c r="T10" s="1210">
        <v>10539.34</v>
      </c>
      <c r="U10" s="1210">
        <v>5133.34</v>
      </c>
      <c r="V10" s="1210">
        <v>4937.34</v>
      </c>
      <c r="W10" s="1210">
        <v>3861.34</v>
      </c>
      <c r="X10" s="1210">
        <v>4131.17</v>
      </c>
      <c r="Y10" s="1212">
        <v>4750.34</v>
      </c>
      <c r="Z10" s="1210">
        <v>3417.8</v>
      </c>
      <c r="AA10" s="1210">
        <v>2401.9</v>
      </c>
      <c r="AB10" s="1210">
        <v>3390.5</v>
      </c>
      <c r="AC10" s="1210">
        <v>3394.84</v>
      </c>
      <c r="AD10" s="1210">
        <v>2819.54</v>
      </c>
      <c r="AE10" s="1210">
        <v>2141.19</v>
      </c>
    </row>
    <row r="11" hidden="1" outlineLevel="1">
      <c r="A11" s="1208" t="s">
        <v>1088</v>
      </c>
      <c r="B11" s="1209">
        <v>0.0</v>
      </c>
      <c r="C11" s="1210">
        <v>0.0</v>
      </c>
      <c r="D11" s="1210">
        <v>0.0</v>
      </c>
      <c r="E11" s="1210">
        <v>0.0</v>
      </c>
      <c r="F11" s="1210">
        <v>0.0</v>
      </c>
      <c r="G11" s="1210">
        <v>0.0</v>
      </c>
      <c r="H11" s="1210">
        <v>0.0</v>
      </c>
      <c r="I11" s="1210">
        <v>0.0</v>
      </c>
      <c r="J11" s="1210">
        <v>0.0</v>
      </c>
      <c r="K11" s="1210">
        <v>0.0</v>
      </c>
      <c r="L11" s="1210">
        <v>0.0</v>
      </c>
      <c r="M11" s="1210">
        <v>0.0</v>
      </c>
      <c r="N11" s="1210">
        <v>0.0</v>
      </c>
      <c r="O11" s="1210">
        <v>0.0</v>
      </c>
      <c r="P11" s="1210">
        <v>0.0</v>
      </c>
      <c r="Q11" s="1211">
        <v>0.0</v>
      </c>
      <c r="R11" s="1211">
        <v>0.0</v>
      </c>
      <c r="S11" s="1210">
        <v>0.0</v>
      </c>
      <c r="T11" s="1210">
        <v>0.0</v>
      </c>
      <c r="U11" s="1210">
        <v>0.0</v>
      </c>
      <c r="V11" s="1210">
        <v>0.0</v>
      </c>
      <c r="W11" s="1210">
        <v>0.0</v>
      </c>
      <c r="X11" s="1210">
        <v>0.0</v>
      </c>
      <c r="Y11" s="1212">
        <v>0.0</v>
      </c>
      <c r="Z11" s="1210">
        <v>0.0</v>
      </c>
      <c r="AA11" s="1210">
        <v>0.0</v>
      </c>
      <c r="AB11" s="1210">
        <v>0.0</v>
      </c>
      <c r="AC11" s="1210">
        <v>0.0</v>
      </c>
      <c r="AD11" s="1210">
        <v>0.0</v>
      </c>
      <c r="AE11" s="1210">
        <v>0.0</v>
      </c>
    </row>
    <row r="12" hidden="1" outlineLevel="1">
      <c r="A12" s="1208" t="s">
        <v>1089</v>
      </c>
      <c r="B12" s="1209">
        <v>885.18</v>
      </c>
      <c r="C12" s="1210">
        <v>1219.43</v>
      </c>
      <c r="D12" s="1210">
        <v>1651.51</v>
      </c>
      <c r="E12" s="1210">
        <v>2027.42</v>
      </c>
      <c r="F12" s="1210">
        <v>1707.83</v>
      </c>
      <c r="G12" s="1210">
        <v>1391.32</v>
      </c>
      <c r="H12" s="1210">
        <v>843.45</v>
      </c>
      <c r="I12" s="1210">
        <v>726.62</v>
      </c>
      <c r="J12" s="1210">
        <v>964.94</v>
      </c>
      <c r="K12" s="1210">
        <v>1342.49</v>
      </c>
      <c r="L12" s="1210">
        <v>1050.17</v>
      </c>
      <c r="M12" s="1210">
        <v>902.05</v>
      </c>
      <c r="N12" s="1210">
        <v>854.03</v>
      </c>
      <c r="O12" s="1210">
        <v>1081.8</v>
      </c>
      <c r="P12" s="1210">
        <v>1017.81</v>
      </c>
      <c r="Q12" s="1211">
        <v>1118.92</v>
      </c>
      <c r="R12" s="1211">
        <v>1169.79</v>
      </c>
      <c r="S12" s="1210">
        <v>2776.36</v>
      </c>
      <c r="T12" s="1210">
        <v>1602.13</v>
      </c>
      <c r="U12" s="1210">
        <v>1190.58</v>
      </c>
      <c r="V12" s="1210">
        <v>1198.13</v>
      </c>
      <c r="W12" s="1210">
        <v>1070.19</v>
      </c>
      <c r="X12" s="1210">
        <v>1150.96</v>
      </c>
      <c r="Y12" s="1212">
        <v>1318.48</v>
      </c>
      <c r="Z12" s="1210">
        <v>1125.82</v>
      </c>
      <c r="AA12" s="1210">
        <v>802.84</v>
      </c>
      <c r="AB12" s="1210">
        <v>1606.9</v>
      </c>
      <c r="AC12" s="1210">
        <v>1117.47</v>
      </c>
      <c r="AD12" s="1210">
        <v>1335.8</v>
      </c>
      <c r="AE12" s="1210">
        <v>1164.5</v>
      </c>
    </row>
    <row r="13" hidden="1" outlineLevel="1">
      <c r="A13" s="1208" t="s">
        <v>1090</v>
      </c>
      <c r="B13" s="1209">
        <v>1215.0</v>
      </c>
      <c r="C13" s="1210">
        <v>1785.0</v>
      </c>
      <c r="D13" s="1210">
        <v>2195.0</v>
      </c>
      <c r="E13" s="1210">
        <v>2820.0</v>
      </c>
      <c r="F13" s="1210">
        <v>2140.0</v>
      </c>
      <c r="G13" s="1210">
        <v>1770.0</v>
      </c>
      <c r="H13" s="1210">
        <v>1165.0</v>
      </c>
      <c r="I13" s="1210">
        <v>1030.0</v>
      </c>
      <c r="J13" s="1210">
        <v>945.0</v>
      </c>
      <c r="K13" s="1210">
        <v>1645.0</v>
      </c>
      <c r="L13" s="1210">
        <v>1220.0</v>
      </c>
      <c r="M13" s="1210">
        <v>1000.0</v>
      </c>
      <c r="N13" s="1210">
        <v>1060.0</v>
      </c>
      <c r="O13" s="1210">
        <v>1530.0</v>
      </c>
      <c r="P13" s="1210">
        <v>1375.0</v>
      </c>
      <c r="Q13" s="1211">
        <v>1325.0</v>
      </c>
      <c r="R13" s="1211">
        <v>1225.0</v>
      </c>
      <c r="S13" s="1210">
        <v>8365.0</v>
      </c>
      <c r="T13" s="1210">
        <v>4145.0</v>
      </c>
      <c r="U13" s="1210">
        <v>2295.0</v>
      </c>
      <c r="V13" s="1210">
        <v>2175.0</v>
      </c>
      <c r="W13" s="1210">
        <v>1810.0</v>
      </c>
      <c r="X13" s="1210">
        <v>2005.0</v>
      </c>
      <c r="Y13" s="1212">
        <v>2195.0</v>
      </c>
      <c r="Z13" s="1210">
        <v>2080.0</v>
      </c>
      <c r="AA13" s="1210">
        <v>1385.0</v>
      </c>
      <c r="AB13" s="1210">
        <v>1790.0</v>
      </c>
      <c r="AC13" s="1210">
        <v>1810.0</v>
      </c>
      <c r="AD13" s="1210">
        <v>1470.0</v>
      </c>
      <c r="AE13" s="1210">
        <v>1500.0</v>
      </c>
    </row>
    <row r="14">
      <c r="A14" s="1206" t="s">
        <v>1091</v>
      </c>
      <c r="B14" s="1214">
        <v>0.0</v>
      </c>
      <c r="C14" s="1214">
        <v>0.0</v>
      </c>
      <c r="D14" s="1214">
        <v>0.0</v>
      </c>
      <c r="E14" s="1214">
        <v>0.0</v>
      </c>
      <c r="F14" s="1214">
        <v>0.0</v>
      </c>
      <c r="G14" s="1207">
        <v>1337.0</v>
      </c>
      <c r="H14" s="1207">
        <v>1675.0</v>
      </c>
      <c r="I14" s="1207">
        <v>3815.0</v>
      </c>
      <c r="J14" s="1207">
        <v>4507.0</v>
      </c>
      <c r="K14" s="1207">
        <v>3017.0</v>
      </c>
      <c r="L14" s="1207">
        <v>4996.0</v>
      </c>
      <c r="M14" s="1207">
        <v>4733.0</v>
      </c>
      <c r="N14" s="1207">
        <v>2268.0</v>
      </c>
      <c r="O14" s="1207">
        <v>1933.0</v>
      </c>
      <c r="P14" s="1207">
        <v>3188.0</v>
      </c>
      <c r="Q14" s="1207">
        <v>4965.0</v>
      </c>
      <c r="R14" s="1207">
        <v>974.0</v>
      </c>
      <c r="S14" s="1207">
        <v>1317.0</v>
      </c>
      <c r="T14" s="1207">
        <v>2533.0</v>
      </c>
      <c r="U14" s="1207">
        <v>1389.0</v>
      </c>
      <c r="V14" s="1207">
        <v>403.0</v>
      </c>
      <c r="W14" s="1207">
        <v>0.0</v>
      </c>
      <c r="X14" s="1207">
        <v>283.0</v>
      </c>
      <c r="Y14" s="1207">
        <v>283.0</v>
      </c>
      <c r="Z14" s="1207">
        <v>0.0</v>
      </c>
      <c r="AA14" s="1207">
        <v>283.0</v>
      </c>
      <c r="AB14" s="1207">
        <v>967.0</v>
      </c>
      <c r="AC14" s="1207">
        <v>0.0</v>
      </c>
      <c r="AD14" s="1207">
        <v>309.0</v>
      </c>
      <c r="AE14" s="1207">
        <v>974.0</v>
      </c>
    </row>
    <row r="15" collapsed="1">
      <c r="A15" s="1206" t="s">
        <v>104</v>
      </c>
      <c r="B15" s="1207">
        <v>3069.0</v>
      </c>
      <c r="C15" s="1207">
        <v>2511.0</v>
      </c>
      <c r="D15" s="1207">
        <v>4185.0</v>
      </c>
      <c r="E15" s="1207">
        <v>5580.0</v>
      </c>
      <c r="F15" s="1207">
        <v>5580.0</v>
      </c>
      <c r="G15" s="1207">
        <v>4464.0</v>
      </c>
      <c r="H15" s="1207">
        <v>3627.0</v>
      </c>
      <c r="I15" s="1207">
        <v>2790.0</v>
      </c>
      <c r="J15" s="1207">
        <v>6975.0</v>
      </c>
      <c r="K15" s="1207">
        <v>6138.0</v>
      </c>
      <c r="L15" s="1207">
        <v>6138.0</v>
      </c>
      <c r="M15" s="1207">
        <v>6696.0</v>
      </c>
      <c r="N15" s="1207">
        <v>7533.0</v>
      </c>
      <c r="O15" s="1215">
        <v>8370.0</v>
      </c>
      <c r="P15" s="1207">
        <v>4185.0</v>
      </c>
      <c r="Q15" s="1207">
        <v>5859.0</v>
      </c>
      <c r="R15" s="1207">
        <v>7254.0</v>
      </c>
      <c r="S15" s="1207">
        <v>6975.0</v>
      </c>
      <c r="T15" s="1207">
        <v>13113.0</v>
      </c>
      <c r="U15" s="1207">
        <v>8928.0</v>
      </c>
      <c r="V15" s="1207">
        <v>8649.0</v>
      </c>
      <c r="W15" s="1207">
        <v>10881.0</v>
      </c>
      <c r="X15" s="1207">
        <v>5580.0</v>
      </c>
      <c r="Y15" s="1207">
        <v>10602.0</v>
      </c>
      <c r="Z15" s="1207">
        <v>8928.0</v>
      </c>
      <c r="AA15" s="1207">
        <v>10881.0</v>
      </c>
      <c r="AB15" s="1207">
        <v>7812.0</v>
      </c>
      <c r="AC15" s="1207">
        <v>11160.0</v>
      </c>
      <c r="AD15" s="1207">
        <v>9765.0</v>
      </c>
      <c r="AE15" s="1207">
        <v>7254.0</v>
      </c>
    </row>
    <row r="16" hidden="1" outlineLevel="1">
      <c r="A16" s="1208" t="s">
        <v>1086</v>
      </c>
      <c r="B16" s="1209">
        <v>3069.0</v>
      </c>
      <c r="C16" s="1209">
        <v>2511.0</v>
      </c>
      <c r="D16" s="1209">
        <v>4185.0</v>
      </c>
      <c r="E16" s="1209">
        <v>5580.0</v>
      </c>
      <c r="F16" s="1209">
        <v>5580.0</v>
      </c>
      <c r="G16" s="1209">
        <v>4464.0</v>
      </c>
      <c r="H16" s="1209">
        <v>3627.0</v>
      </c>
      <c r="I16" s="1209">
        <v>2790.0</v>
      </c>
      <c r="J16" s="1209">
        <v>6975.0</v>
      </c>
      <c r="K16" s="1209">
        <v>6138.0</v>
      </c>
      <c r="L16" s="1209">
        <v>6138.0</v>
      </c>
      <c r="M16" s="1209">
        <v>6696.0</v>
      </c>
      <c r="N16" s="1209">
        <v>7533.0</v>
      </c>
      <c r="O16" s="1216">
        <v>8370.0</v>
      </c>
      <c r="P16" s="1209">
        <v>4185.0</v>
      </c>
      <c r="Q16" s="1209">
        <v>5859.0</v>
      </c>
      <c r="R16" s="1209">
        <v>5022.0</v>
      </c>
      <c r="S16" s="1209">
        <v>6975.0</v>
      </c>
      <c r="T16" s="1209">
        <v>13113.0</v>
      </c>
      <c r="U16" s="1209">
        <v>8928.0</v>
      </c>
      <c r="V16" s="1209">
        <v>8649.0</v>
      </c>
      <c r="W16" s="1209">
        <v>10881.0</v>
      </c>
      <c r="X16" s="1209">
        <v>5580.0</v>
      </c>
      <c r="Y16" s="1209">
        <v>10602.0</v>
      </c>
      <c r="Z16" s="1209">
        <v>8928.0</v>
      </c>
      <c r="AA16" s="1209">
        <v>10044.0</v>
      </c>
      <c r="AB16" s="1209">
        <v>7812.0</v>
      </c>
      <c r="AC16" s="1209">
        <v>11160.0</v>
      </c>
      <c r="AD16" s="1209">
        <v>9765.0</v>
      </c>
      <c r="AE16" s="1209">
        <v>7254.0</v>
      </c>
    </row>
    <row r="17" hidden="1" outlineLevel="1">
      <c r="A17" s="1208" t="s">
        <v>1087</v>
      </c>
      <c r="B17" s="1209">
        <v>0.0</v>
      </c>
      <c r="C17" s="1209">
        <v>0.0</v>
      </c>
      <c r="D17" s="1209">
        <v>0.0</v>
      </c>
      <c r="E17" s="1209">
        <v>0.0</v>
      </c>
      <c r="F17" s="1209">
        <v>0.0</v>
      </c>
      <c r="G17" s="1209">
        <v>0.0</v>
      </c>
      <c r="H17" s="1209">
        <v>0.0</v>
      </c>
      <c r="I17" s="1209">
        <v>0.0</v>
      </c>
      <c r="J17" s="1209">
        <v>0.0</v>
      </c>
      <c r="K17" s="1209">
        <v>0.0</v>
      </c>
      <c r="L17" s="1209">
        <v>0.0</v>
      </c>
      <c r="M17" s="1209">
        <v>0.0</v>
      </c>
      <c r="N17" s="1209">
        <v>0.0</v>
      </c>
      <c r="O17" s="1217">
        <v>0.0</v>
      </c>
      <c r="P17" s="1209">
        <v>0.0</v>
      </c>
      <c r="Q17" s="1209">
        <v>0.0</v>
      </c>
      <c r="R17" s="1209">
        <v>0.0</v>
      </c>
      <c r="S17" s="1209">
        <v>0.0</v>
      </c>
      <c r="T17" s="1209">
        <v>0.0</v>
      </c>
      <c r="U17" s="1209">
        <v>0.0</v>
      </c>
      <c r="V17" s="1209">
        <v>0.0</v>
      </c>
      <c r="W17" s="1209">
        <v>0.0</v>
      </c>
      <c r="X17" s="1209">
        <v>0.0</v>
      </c>
      <c r="Y17" s="1209">
        <v>0.0</v>
      </c>
      <c r="Z17" s="1209">
        <v>0.0</v>
      </c>
      <c r="AA17" s="1209">
        <v>0.0</v>
      </c>
      <c r="AB17" s="1209">
        <v>0.0</v>
      </c>
      <c r="AC17" s="1209">
        <v>0.0</v>
      </c>
      <c r="AD17" s="1209">
        <v>0.0</v>
      </c>
      <c r="AE17" s="1209">
        <v>0.0</v>
      </c>
    </row>
    <row r="18" hidden="1" outlineLevel="1">
      <c r="A18" s="1208" t="s">
        <v>1092</v>
      </c>
      <c r="B18" s="1209">
        <v>205.77</v>
      </c>
      <c r="C18" s="1209">
        <v>192.79</v>
      </c>
      <c r="D18" s="1209">
        <v>285.04</v>
      </c>
      <c r="E18" s="1209">
        <v>405.54</v>
      </c>
      <c r="F18" s="1209">
        <v>410.82</v>
      </c>
      <c r="G18" s="1209">
        <v>293.47</v>
      </c>
      <c r="H18" s="1209">
        <v>221.96</v>
      </c>
      <c r="I18" s="1209">
        <v>195.94</v>
      </c>
      <c r="J18" s="1209">
        <v>507.02</v>
      </c>
      <c r="K18" s="1209">
        <v>451.31</v>
      </c>
      <c r="L18" s="1209">
        <v>392.02</v>
      </c>
      <c r="M18" s="1209">
        <v>446.49</v>
      </c>
      <c r="N18" s="1209">
        <v>554.7</v>
      </c>
      <c r="O18" s="1216">
        <v>565.94</v>
      </c>
      <c r="P18" s="1209">
        <v>320.37</v>
      </c>
      <c r="Q18" s="1209">
        <v>382.52</v>
      </c>
      <c r="R18" s="1209">
        <v>342.06</v>
      </c>
      <c r="S18" s="1209">
        <v>506.38</v>
      </c>
      <c r="T18" s="1209">
        <v>953.83</v>
      </c>
      <c r="U18" s="1209">
        <v>581.41</v>
      </c>
      <c r="V18" s="1209">
        <v>602.81</v>
      </c>
      <c r="W18" s="1209">
        <v>777.74</v>
      </c>
      <c r="X18" s="1209">
        <v>424.74</v>
      </c>
      <c r="Y18" s="1209">
        <v>778.18</v>
      </c>
      <c r="Z18" s="1209">
        <v>629.32</v>
      </c>
      <c r="AA18" s="1209">
        <v>699.27</v>
      </c>
      <c r="AB18" s="1209">
        <v>520.57</v>
      </c>
      <c r="AC18" s="1209">
        <v>805.58</v>
      </c>
      <c r="AD18" s="1209">
        <v>670.12</v>
      </c>
      <c r="AE18" s="1209">
        <v>520.9</v>
      </c>
    </row>
    <row r="19" hidden="1" outlineLevel="1">
      <c r="A19" s="1208" t="s">
        <v>1090</v>
      </c>
      <c r="B19" s="1209">
        <v>6.99</v>
      </c>
      <c r="C19" s="1209">
        <v>0.0</v>
      </c>
      <c r="D19" s="1209">
        <v>13.46</v>
      </c>
      <c r="E19" s="1209">
        <v>0.0</v>
      </c>
      <c r="F19" s="1209">
        <v>0.0</v>
      </c>
      <c r="G19" s="1209">
        <v>0.0</v>
      </c>
      <c r="H19" s="1209">
        <v>0.0</v>
      </c>
      <c r="I19" s="1209">
        <v>0.0</v>
      </c>
      <c r="J19" s="1209">
        <v>0.0</v>
      </c>
      <c r="K19" s="1209">
        <v>0.0</v>
      </c>
      <c r="L19" s="1209">
        <v>6.99</v>
      </c>
      <c r="M19" s="1209">
        <v>5.28</v>
      </c>
      <c r="N19" s="1209">
        <v>11.79</v>
      </c>
      <c r="O19" s="1216">
        <v>6.99</v>
      </c>
      <c r="P19" s="1209">
        <v>0.0</v>
      </c>
      <c r="Q19" s="1209">
        <v>0.0</v>
      </c>
      <c r="R19" s="1209">
        <v>0.0</v>
      </c>
      <c r="S19" s="1209">
        <v>0.0</v>
      </c>
      <c r="T19" s="1209">
        <v>0.0</v>
      </c>
      <c r="U19" s="1209">
        <v>6.99</v>
      </c>
      <c r="V19" s="1209">
        <v>0.0</v>
      </c>
      <c r="W19" s="1209">
        <v>0.0</v>
      </c>
      <c r="X19" s="1209">
        <v>4.48</v>
      </c>
      <c r="Y19" s="1209">
        <v>0.0</v>
      </c>
      <c r="Z19" s="1209">
        <v>0.0</v>
      </c>
      <c r="AA19" s="1209">
        <v>0.0</v>
      </c>
      <c r="AB19" s="1209">
        <v>0.0</v>
      </c>
      <c r="AC19" s="1209">
        <v>6.99</v>
      </c>
      <c r="AD19" s="1209">
        <v>0.0</v>
      </c>
      <c r="AE19" s="1209">
        <v>0.0</v>
      </c>
    </row>
    <row r="20" hidden="1" outlineLevel="1">
      <c r="A20" s="1208" t="s">
        <v>1093</v>
      </c>
      <c r="B20" s="1209">
        <v>0.0</v>
      </c>
      <c r="C20" s="1209">
        <v>0.0</v>
      </c>
      <c r="D20" s="1209">
        <v>4.49</v>
      </c>
      <c r="E20" s="1209">
        <v>4.49</v>
      </c>
      <c r="F20" s="1209">
        <v>8.98</v>
      </c>
      <c r="G20" s="1209">
        <v>8.98</v>
      </c>
      <c r="H20" s="1209">
        <v>0.0</v>
      </c>
      <c r="I20" s="1209">
        <v>0.0</v>
      </c>
      <c r="J20" s="1209">
        <v>0.0</v>
      </c>
      <c r="K20" s="1209">
        <v>4.49</v>
      </c>
      <c r="L20" s="1209">
        <v>4.49</v>
      </c>
      <c r="M20" s="1209">
        <v>13.47</v>
      </c>
      <c r="N20" s="1209">
        <v>13.47</v>
      </c>
      <c r="O20" s="1216">
        <v>8.98</v>
      </c>
      <c r="P20" s="1209">
        <v>8.98</v>
      </c>
      <c r="Q20" s="1209">
        <v>0.0</v>
      </c>
      <c r="R20" s="1209">
        <v>8.98</v>
      </c>
      <c r="S20" s="1209">
        <v>0.0</v>
      </c>
      <c r="T20" s="1209">
        <v>4.49</v>
      </c>
      <c r="U20" s="1209">
        <v>4.49</v>
      </c>
      <c r="V20" s="1209">
        <v>0.0</v>
      </c>
      <c r="W20" s="1209">
        <v>4.49</v>
      </c>
      <c r="X20" s="1209">
        <v>4.49</v>
      </c>
      <c r="Y20" s="1209">
        <v>8.98</v>
      </c>
      <c r="Z20" s="1209">
        <v>0.0</v>
      </c>
      <c r="AA20" s="1209">
        <v>0.0</v>
      </c>
      <c r="AB20" s="1209">
        <v>4.49</v>
      </c>
      <c r="AC20" s="1209">
        <v>8.98</v>
      </c>
      <c r="AD20" s="1209">
        <v>8.98</v>
      </c>
      <c r="AE20" s="1209">
        <v>4.49</v>
      </c>
    </row>
    <row r="21">
      <c r="A21" s="1206" t="s">
        <v>1094</v>
      </c>
      <c r="B21" s="1214"/>
      <c r="C21" s="1214"/>
      <c r="D21" s="1214"/>
      <c r="E21" s="1214"/>
      <c r="F21" s="1214"/>
      <c r="G21" s="1214"/>
      <c r="H21" s="1214"/>
      <c r="I21" s="1214"/>
      <c r="J21" s="1214"/>
      <c r="K21" s="1214"/>
      <c r="L21" s="1214"/>
      <c r="M21" s="1214"/>
      <c r="N21" s="1214"/>
      <c r="O21" s="1218"/>
      <c r="P21" s="1214"/>
      <c r="Q21" s="1214"/>
      <c r="R21" s="1214"/>
      <c r="S21" s="1214"/>
      <c r="T21" s="1214"/>
      <c r="U21" s="1214"/>
      <c r="V21" s="1214"/>
      <c r="W21" s="1214"/>
      <c r="X21" s="1214"/>
      <c r="Y21" s="1214"/>
      <c r="Z21" s="1214"/>
      <c r="AA21" s="1214"/>
      <c r="AB21" s="1214"/>
      <c r="AC21" s="1207">
        <v>8188.24</v>
      </c>
      <c r="AD21" s="1207">
        <v>5806.09</v>
      </c>
      <c r="AE21" s="1207">
        <v>1039.0</v>
      </c>
    </row>
    <row r="22">
      <c r="A22" s="1206" t="s">
        <v>1095</v>
      </c>
      <c r="B22" s="1214">
        <v>0.0</v>
      </c>
      <c r="C22" s="1214">
        <v>0.0</v>
      </c>
      <c r="D22" s="1214">
        <v>0.0</v>
      </c>
      <c r="E22" s="1214">
        <v>0.0</v>
      </c>
      <c r="F22" s="1214">
        <v>0.0</v>
      </c>
      <c r="G22" s="1214">
        <v>0.0</v>
      </c>
      <c r="H22" s="1214">
        <v>0.0</v>
      </c>
      <c r="I22" s="1214">
        <v>0.0</v>
      </c>
      <c r="J22" s="1214">
        <v>0.0</v>
      </c>
      <c r="K22" s="1214">
        <v>0.0</v>
      </c>
      <c r="L22" s="1214">
        <v>0.0</v>
      </c>
      <c r="M22" s="1214">
        <v>0.0</v>
      </c>
      <c r="N22" s="1214">
        <v>0.0</v>
      </c>
      <c r="O22" s="1214">
        <v>0.0</v>
      </c>
      <c r="P22" s="1214">
        <v>0.0</v>
      </c>
      <c r="Q22" s="1214">
        <v>0.0</v>
      </c>
      <c r="R22" s="1214">
        <v>0.0</v>
      </c>
      <c r="S22" s="1143">
        <v>7726.0</v>
      </c>
      <c r="T22" s="1143">
        <v>9063.0</v>
      </c>
      <c r="U22" s="1143">
        <v>5576.0</v>
      </c>
      <c r="V22" s="1143">
        <v>4328.0</v>
      </c>
      <c r="W22" s="1143">
        <v>2975.0</v>
      </c>
      <c r="X22" s="1143">
        <v>2918.0</v>
      </c>
      <c r="Y22" s="1143">
        <v>2611.0</v>
      </c>
      <c r="Z22" s="1143">
        <v>1872.0</v>
      </c>
      <c r="AA22" s="1143">
        <v>1985.0</v>
      </c>
      <c r="AB22" s="1143">
        <v>1409.0</v>
      </c>
      <c r="AC22" s="1143">
        <v>1402.0</v>
      </c>
      <c r="AD22" s="1143">
        <v>7004.0</v>
      </c>
      <c r="AE22" s="1143">
        <v>7498.0</v>
      </c>
    </row>
    <row r="23">
      <c r="A23" s="1219" t="s">
        <v>127</v>
      </c>
      <c r="B23" s="1220">
        <f t="shared" ref="B23:AE23" si="1">SUM(B8+B14+B15+B21+B22)</f>
        <v>20334.68</v>
      </c>
      <c r="C23" s="1220">
        <f t="shared" si="1"/>
        <v>26248.33</v>
      </c>
      <c r="D23" s="1220">
        <f t="shared" si="1"/>
        <v>35212.91</v>
      </c>
      <c r="E23" s="1220">
        <f t="shared" si="1"/>
        <v>44204.27</v>
      </c>
      <c r="F23" s="1220">
        <f t="shared" si="1"/>
        <v>37914.23</v>
      </c>
      <c r="G23" s="1220">
        <f t="shared" si="1"/>
        <v>31324.42</v>
      </c>
      <c r="H23" s="1220">
        <f t="shared" si="1"/>
        <v>21815.05</v>
      </c>
      <c r="I23" s="1220">
        <f t="shared" si="1"/>
        <v>22652.62</v>
      </c>
      <c r="J23" s="1220">
        <f t="shared" si="1"/>
        <v>28378.24</v>
      </c>
      <c r="K23" s="1220">
        <f t="shared" si="1"/>
        <v>34465.44</v>
      </c>
      <c r="L23" s="1220">
        <f t="shared" si="1"/>
        <v>30203.47</v>
      </c>
      <c r="M23" s="1220">
        <f t="shared" si="1"/>
        <v>29087.35</v>
      </c>
      <c r="N23" s="1220">
        <f t="shared" si="1"/>
        <v>26656.53</v>
      </c>
      <c r="O23" s="1220">
        <f t="shared" si="1"/>
        <v>32169.4</v>
      </c>
      <c r="P23" s="1220">
        <f t="shared" si="1"/>
        <v>27191.81</v>
      </c>
      <c r="Q23" s="1220">
        <f t="shared" si="1"/>
        <v>31113.02</v>
      </c>
      <c r="R23" s="1220">
        <f t="shared" si="1"/>
        <v>28720.89</v>
      </c>
      <c r="S23" s="1220">
        <f t="shared" si="1"/>
        <v>70801.26</v>
      </c>
      <c r="T23" s="1220">
        <f t="shared" si="1"/>
        <v>57377.33</v>
      </c>
      <c r="U23" s="1220">
        <f t="shared" si="1"/>
        <v>40066.38</v>
      </c>
      <c r="V23" s="1220">
        <f t="shared" si="1"/>
        <v>37145.13</v>
      </c>
      <c r="W23" s="1220">
        <f t="shared" si="1"/>
        <v>34149.99</v>
      </c>
      <c r="X23" s="1220">
        <f t="shared" si="1"/>
        <v>32313.56</v>
      </c>
      <c r="Y23" s="1220">
        <f t="shared" si="1"/>
        <v>38905.48</v>
      </c>
      <c r="Z23" s="1220">
        <f t="shared" si="1"/>
        <v>35413.92</v>
      </c>
      <c r="AA23" s="1220">
        <f t="shared" si="1"/>
        <v>29720.82</v>
      </c>
      <c r="AB23" s="1220">
        <f t="shared" si="1"/>
        <v>38422.49</v>
      </c>
      <c r="AC23" s="1220">
        <f t="shared" si="1"/>
        <v>43546.51</v>
      </c>
      <c r="AD23" s="1220">
        <f t="shared" si="1"/>
        <v>46725.89</v>
      </c>
      <c r="AE23" s="1220">
        <f t="shared" si="1"/>
        <v>38560.85</v>
      </c>
    </row>
    <row r="25" collapsed="1">
      <c r="A25" s="1206" t="s">
        <v>149</v>
      </c>
      <c r="B25" s="1221">
        <v>79.0</v>
      </c>
      <c r="C25" s="1">
        <v>110.0</v>
      </c>
      <c r="D25" s="1">
        <v>135.0</v>
      </c>
      <c r="E25" s="1">
        <v>165.0</v>
      </c>
      <c r="F25" s="1">
        <v>149.0</v>
      </c>
      <c r="G25" s="1">
        <v>121.0</v>
      </c>
      <c r="H25" s="1">
        <v>79.0</v>
      </c>
      <c r="I25" s="1">
        <v>52.0</v>
      </c>
      <c r="J25" s="1">
        <v>63.0</v>
      </c>
      <c r="K25" s="1">
        <v>93.0</v>
      </c>
      <c r="L25" s="1">
        <v>84.0</v>
      </c>
      <c r="M25" s="1">
        <v>69.0</v>
      </c>
      <c r="N25" s="1">
        <v>64.0</v>
      </c>
      <c r="O25" s="1">
        <v>79.0</v>
      </c>
      <c r="P25" s="1">
        <v>91.0</v>
      </c>
      <c r="Q25" s="1">
        <v>86.0</v>
      </c>
      <c r="R25" s="1">
        <v>82.0</v>
      </c>
      <c r="S25" s="1">
        <v>587.0</v>
      </c>
      <c r="T25" s="1">
        <v>307.0</v>
      </c>
      <c r="U25" s="1">
        <v>173.0</v>
      </c>
      <c r="V25" s="1">
        <v>135.0</v>
      </c>
      <c r="W25" s="1">
        <v>119.0</v>
      </c>
      <c r="X25" s="1">
        <v>123.0</v>
      </c>
      <c r="Y25" s="1">
        <v>132.0</v>
      </c>
      <c r="Z25" s="1">
        <v>119.0</v>
      </c>
      <c r="AA25" s="1">
        <v>98.0</v>
      </c>
      <c r="AB25" s="1">
        <v>114.0</v>
      </c>
      <c r="AC25" s="1">
        <v>103.0</v>
      </c>
      <c r="AD25" s="1">
        <v>100.0</v>
      </c>
      <c r="AE25" s="1">
        <v>102.0</v>
      </c>
    </row>
    <row r="26" hidden="1" outlineLevel="1">
      <c r="A26" s="1208" t="s">
        <v>1096</v>
      </c>
      <c r="B26" s="1222">
        <v>68.0</v>
      </c>
      <c r="C26" s="1208">
        <v>93.0</v>
      </c>
      <c r="D26" s="1208">
        <v>119.0</v>
      </c>
      <c r="E26" s="1208">
        <v>158.0</v>
      </c>
      <c r="F26" s="1208">
        <v>126.0</v>
      </c>
      <c r="G26" s="1208">
        <v>102.0</v>
      </c>
      <c r="H26" s="1208">
        <v>57.0</v>
      </c>
      <c r="I26" s="1208">
        <v>54.0</v>
      </c>
      <c r="J26" s="1208">
        <v>52.0</v>
      </c>
      <c r="K26" s="1208">
        <v>80.0</v>
      </c>
      <c r="L26" s="1208">
        <v>61.0</v>
      </c>
      <c r="M26" s="1208">
        <v>62.0</v>
      </c>
      <c r="N26" s="1208">
        <v>61.0</v>
      </c>
      <c r="O26" s="1208">
        <v>75.0</v>
      </c>
      <c r="P26" s="1208">
        <v>71.0</v>
      </c>
      <c r="Q26" s="1208">
        <v>71.0</v>
      </c>
      <c r="R26" s="1208">
        <v>76.0</v>
      </c>
      <c r="S26" s="1208">
        <v>84.0</v>
      </c>
      <c r="T26" s="1208">
        <v>68.0</v>
      </c>
      <c r="U26" s="1208">
        <v>65.0</v>
      </c>
      <c r="V26" s="1208">
        <v>62.0</v>
      </c>
      <c r="W26" s="1208">
        <v>56.0</v>
      </c>
      <c r="X26" s="1208">
        <v>62.0</v>
      </c>
      <c r="Y26" s="1208">
        <v>69.0</v>
      </c>
      <c r="Z26" s="1208">
        <v>72.0</v>
      </c>
      <c r="AA26" s="1208">
        <v>51.0</v>
      </c>
      <c r="AB26" s="1208">
        <v>88.0</v>
      </c>
      <c r="AC26" s="1208">
        <v>70.0</v>
      </c>
      <c r="AD26" s="1208">
        <v>72.0</v>
      </c>
      <c r="AE26" s="1208">
        <v>68.0</v>
      </c>
    </row>
    <row r="27" hidden="1" outlineLevel="1">
      <c r="A27" s="1208" t="s">
        <v>1097</v>
      </c>
      <c r="B27" s="1222">
        <v>50.0</v>
      </c>
      <c r="C27" s="1208">
        <v>83.0</v>
      </c>
      <c r="D27" s="1208">
        <v>117.0</v>
      </c>
      <c r="E27" s="1208">
        <v>119.0</v>
      </c>
      <c r="F27" s="1208">
        <v>89.0</v>
      </c>
      <c r="G27" s="1208">
        <v>75.0</v>
      </c>
      <c r="H27" s="1208">
        <v>59.0</v>
      </c>
      <c r="I27" s="1208">
        <v>39.0</v>
      </c>
      <c r="J27" s="1208">
        <v>43.0</v>
      </c>
      <c r="K27" s="1208">
        <v>88.0</v>
      </c>
      <c r="L27" s="1208">
        <v>58.0</v>
      </c>
      <c r="M27" s="1208">
        <v>43.0</v>
      </c>
      <c r="N27" s="1208">
        <v>47.0</v>
      </c>
      <c r="O27" s="1208">
        <v>55.0</v>
      </c>
      <c r="P27" s="1208">
        <v>57.0</v>
      </c>
      <c r="Q27" s="1208">
        <v>73.0</v>
      </c>
      <c r="R27" s="1208">
        <v>51.0</v>
      </c>
      <c r="S27" s="1208">
        <v>739.0</v>
      </c>
      <c r="T27" s="1208">
        <v>352.0</v>
      </c>
      <c r="U27" s="1208">
        <v>164.0</v>
      </c>
      <c r="V27" s="1208">
        <v>153.0</v>
      </c>
      <c r="W27" s="1208">
        <v>123.0</v>
      </c>
      <c r="X27" s="1208">
        <v>138.0</v>
      </c>
      <c r="Y27" s="1208">
        <v>162.0</v>
      </c>
      <c r="Z27" s="1208">
        <v>120.0</v>
      </c>
      <c r="AA27" s="1208">
        <v>87.0</v>
      </c>
      <c r="AB27" s="1208">
        <v>124.0</v>
      </c>
      <c r="AC27" s="1208">
        <v>115.0</v>
      </c>
      <c r="AD27" s="1208">
        <v>96.0</v>
      </c>
      <c r="AE27" s="1208">
        <v>81.0</v>
      </c>
    </row>
    <row r="28" hidden="1" outlineLevel="1">
      <c r="A28" s="1208" t="s">
        <v>1098</v>
      </c>
      <c r="B28" s="1222">
        <v>0.0</v>
      </c>
      <c r="C28" s="1208">
        <v>0.0</v>
      </c>
      <c r="D28" s="1208">
        <v>0.0</v>
      </c>
      <c r="E28" s="1208">
        <v>0.0</v>
      </c>
      <c r="F28" s="1208">
        <v>0.0</v>
      </c>
      <c r="G28" s="1208">
        <v>0.0</v>
      </c>
      <c r="H28" s="1208">
        <v>0.0</v>
      </c>
      <c r="I28" s="1208">
        <v>0.0</v>
      </c>
      <c r="J28" s="1208">
        <v>0.0</v>
      </c>
      <c r="K28" s="1208">
        <v>0.0</v>
      </c>
      <c r="L28" s="1208">
        <v>0.0</v>
      </c>
      <c r="M28" s="1208">
        <v>0.0</v>
      </c>
      <c r="N28" s="1208">
        <v>0.0</v>
      </c>
      <c r="O28" s="1208">
        <v>0.0</v>
      </c>
      <c r="P28" s="1208">
        <v>0.0</v>
      </c>
      <c r="Q28" s="1208">
        <v>0.0</v>
      </c>
      <c r="R28" s="1208">
        <v>0.0</v>
      </c>
      <c r="S28" s="1208">
        <v>0.0</v>
      </c>
      <c r="T28" s="1208">
        <v>0.0</v>
      </c>
      <c r="U28" s="1208">
        <v>0.0</v>
      </c>
      <c r="V28" s="1208">
        <v>0.0</v>
      </c>
      <c r="W28" s="1208">
        <v>0.0</v>
      </c>
      <c r="X28" s="1208">
        <v>0.0</v>
      </c>
      <c r="Y28" s="1208">
        <v>0.0</v>
      </c>
      <c r="Z28" s="1208">
        <v>0.0</v>
      </c>
      <c r="AA28" s="1208">
        <v>0.0</v>
      </c>
      <c r="AB28" s="1208">
        <v>0.0</v>
      </c>
      <c r="AC28" s="1208">
        <v>0.0</v>
      </c>
      <c r="AD28" s="1208">
        <v>0.0</v>
      </c>
      <c r="AE28" s="1208">
        <v>0.0</v>
      </c>
    </row>
    <row r="29">
      <c r="A29" s="1206" t="s">
        <v>169</v>
      </c>
      <c r="B29" s="1">
        <v>0.0</v>
      </c>
      <c r="C29" s="1">
        <v>0.0</v>
      </c>
      <c r="D29" s="1">
        <v>0.0</v>
      </c>
      <c r="E29" s="1">
        <v>0.0</v>
      </c>
      <c r="F29" s="1">
        <v>0.0</v>
      </c>
      <c r="G29" s="1">
        <v>4.0</v>
      </c>
      <c r="H29" s="1">
        <v>6.0</v>
      </c>
      <c r="I29" s="1">
        <v>11.0</v>
      </c>
      <c r="J29" s="1">
        <v>13.0</v>
      </c>
      <c r="K29" s="1">
        <v>12.0</v>
      </c>
      <c r="L29" s="1">
        <v>15.0</v>
      </c>
      <c r="M29" s="1">
        <v>13.0</v>
      </c>
      <c r="N29" s="1">
        <v>8.0</v>
      </c>
      <c r="O29" s="1">
        <v>7.0</v>
      </c>
      <c r="P29" s="1">
        <v>8.0</v>
      </c>
      <c r="Q29" s="1">
        <v>13.0</v>
      </c>
      <c r="R29" s="1">
        <v>4.0</v>
      </c>
      <c r="S29" s="1">
        <v>2.0</v>
      </c>
      <c r="T29" s="1">
        <v>7.0</v>
      </c>
      <c r="U29" s="1">
        <v>4.0</v>
      </c>
      <c r="V29" s="1">
        <v>1.0</v>
      </c>
      <c r="W29" s="1">
        <v>0.0</v>
      </c>
      <c r="X29" s="1">
        <v>1.0</v>
      </c>
      <c r="Y29" s="1">
        <v>1.0</v>
      </c>
      <c r="Z29" s="1">
        <v>0.0</v>
      </c>
      <c r="AA29" s="1">
        <v>1.0</v>
      </c>
      <c r="AB29" s="1">
        <v>1.0</v>
      </c>
      <c r="AC29" s="1">
        <v>0.0</v>
      </c>
      <c r="AD29" s="1">
        <v>1.0</v>
      </c>
      <c r="AE29" s="1">
        <v>4.0</v>
      </c>
    </row>
    <row r="30">
      <c r="A30" s="1206" t="s">
        <v>120</v>
      </c>
      <c r="B30" s="1">
        <v>14.0</v>
      </c>
      <c r="C30" s="1">
        <v>7.0</v>
      </c>
      <c r="D30" s="1">
        <v>19.0</v>
      </c>
      <c r="E30" s="1224">
        <v>23.0</v>
      </c>
      <c r="F30" s="1">
        <v>16.0</v>
      </c>
      <c r="G30" s="1">
        <v>20.0</v>
      </c>
      <c r="H30" s="1">
        <v>12.0</v>
      </c>
      <c r="I30" s="1">
        <v>12.0</v>
      </c>
      <c r="J30" s="1">
        <v>28.0</v>
      </c>
      <c r="K30" s="1">
        <v>19.0</v>
      </c>
      <c r="L30" s="1">
        <v>22.0</v>
      </c>
      <c r="M30" s="1">
        <v>25.0</v>
      </c>
      <c r="N30" s="1">
        <v>26.0</v>
      </c>
      <c r="O30" s="1">
        <v>27.0</v>
      </c>
      <c r="P30" s="1">
        <v>15.0</v>
      </c>
      <c r="Q30" s="1">
        <v>21.0</v>
      </c>
      <c r="R30" s="1">
        <v>26.0</v>
      </c>
      <c r="S30" s="1">
        <v>28.0</v>
      </c>
      <c r="T30" s="1">
        <v>38.0</v>
      </c>
      <c r="U30" s="1">
        <v>36.0</v>
      </c>
      <c r="V30" s="1">
        <v>36.0</v>
      </c>
      <c r="W30" s="1">
        <v>30.0</v>
      </c>
      <c r="X30" s="1">
        <v>25.0</v>
      </c>
      <c r="Y30" s="1">
        <v>33.0</v>
      </c>
      <c r="Z30" s="1">
        <v>32.0</v>
      </c>
      <c r="AA30" s="1">
        <v>39.0</v>
      </c>
      <c r="AB30" s="1">
        <v>28.0</v>
      </c>
      <c r="AC30" s="1">
        <v>40.0</v>
      </c>
      <c r="AD30" s="1">
        <v>31.0</v>
      </c>
      <c r="AE30" s="1">
        <v>30.0</v>
      </c>
    </row>
    <row r="31">
      <c r="A31" s="1206" t="s">
        <v>164</v>
      </c>
      <c r="B31" s="1214"/>
      <c r="C31" s="1214"/>
      <c r="D31" s="1214"/>
      <c r="E31" s="1214"/>
      <c r="F31" s="1214"/>
      <c r="G31" s="1214"/>
      <c r="H31" s="1214"/>
      <c r="I31" s="1214"/>
      <c r="J31" s="1214"/>
      <c r="K31" s="1214"/>
      <c r="L31" s="1214"/>
      <c r="M31" s="1214"/>
      <c r="N31" s="1214"/>
      <c r="O31" s="1218"/>
      <c r="P31" s="1214"/>
      <c r="Q31" s="1214"/>
      <c r="R31" s="1214"/>
      <c r="S31" s="1214"/>
      <c r="T31" s="1214"/>
      <c r="U31" s="1214"/>
      <c r="V31" s="1214"/>
      <c r="W31" s="1214"/>
      <c r="X31" s="1214"/>
      <c r="Y31" s="1214"/>
      <c r="Z31" s="1214"/>
      <c r="AA31" s="1214"/>
      <c r="AB31" s="1214"/>
      <c r="AC31" s="1">
        <v>38.0</v>
      </c>
      <c r="AD31" s="1">
        <v>26.0</v>
      </c>
      <c r="AE31" s="1">
        <v>5.0</v>
      </c>
    </row>
    <row r="32">
      <c r="A32" s="1206" t="s">
        <v>1099</v>
      </c>
      <c r="B32" s="1225"/>
      <c r="C32" s="1225"/>
      <c r="D32" s="1225"/>
      <c r="E32" s="1225"/>
      <c r="F32" s="1225"/>
      <c r="G32" s="1225"/>
      <c r="H32" s="1225"/>
      <c r="I32" s="1225"/>
      <c r="J32" s="1225"/>
      <c r="K32" s="1225"/>
      <c r="L32" s="1225"/>
      <c r="M32" s="1225"/>
      <c r="N32" s="1225"/>
      <c r="O32" s="1225"/>
      <c r="P32" s="1225"/>
      <c r="Q32" s="1225"/>
      <c r="R32" s="1225"/>
      <c r="S32" s="1226">
        <v>520.0</v>
      </c>
      <c r="T32" s="1226">
        <v>574.0</v>
      </c>
      <c r="U32" s="1226">
        <v>358.0</v>
      </c>
      <c r="V32" s="1226">
        <v>280.0</v>
      </c>
      <c r="W32" s="1226">
        <v>191.0</v>
      </c>
      <c r="X32" s="1226">
        <v>190.0</v>
      </c>
      <c r="Y32" s="1227">
        <v>171.0</v>
      </c>
      <c r="Z32" s="1">
        <v>133.0</v>
      </c>
      <c r="AA32" s="1228">
        <f>2574-2419</f>
        <v>155</v>
      </c>
      <c r="AB32" s="1228">
        <f>2679-2574</f>
        <v>105</v>
      </c>
      <c r="AC32" s="1228">
        <f>2782-2679</f>
        <v>103</v>
      </c>
      <c r="AD32" s="1">
        <v>468.0</v>
      </c>
      <c r="AE32" s="1">
        <v>498.0</v>
      </c>
    </row>
    <row r="33">
      <c r="A33" s="1219" t="s">
        <v>173</v>
      </c>
      <c r="B33" s="1229">
        <f>SUM(B25:B32)</f>
        <v>211</v>
      </c>
      <c r="C33" s="1219">
        <f t="shared" ref="C33:Y33" si="2">SUM(C25:C30)</f>
        <v>293</v>
      </c>
      <c r="D33" s="1219">
        <f t="shared" si="2"/>
        <v>390</v>
      </c>
      <c r="E33" s="1219">
        <f t="shared" si="2"/>
        <v>465</v>
      </c>
      <c r="F33" s="1219">
        <f t="shared" si="2"/>
        <v>380</v>
      </c>
      <c r="G33" s="1219">
        <f t="shared" si="2"/>
        <v>322</v>
      </c>
      <c r="H33" s="1219">
        <f t="shared" si="2"/>
        <v>213</v>
      </c>
      <c r="I33" s="1219">
        <f t="shared" si="2"/>
        <v>168</v>
      </c>
      <c r="J33" s="1219">
        <f t="shared" si="2"/>
        <v>199</v>
      </c>
      <c r="K33" s="1219">
        <f t="shared" si="2"/>
        <v>292</v>
      </c>
      <c r="L33" s="1219">
        <f t="shared" si="2"/>
        <v>240</v>
      </c>
      <c r="M33" s="1219">
        <f t="shared" si="2"/>
        <v>212</v>
      </c>
      <c r="N33" s="1219">
        <f t="shared" si="2"/>
        <v>206</v>
      </c>
      <c r="O33" s="1219">
        <f t="shared" si="2"/>
        <v>243</v>
      </c>
      <c r="P33" s="1219">
        <f t="shared" si="2"/>
        <v>242</v>
      </c>
      <c r="Q33" s="1219">
        <f t="shared" si="2"/>
        <v>264</v>
      </c>
      <c r="R33" s="1219">
        <f t="shared" si="2"/>
        <v>239</v>
      </c>
      <c r="S33" s="1219">
        <f t="shared" si="2"/>
        <v>1440</v>
      </c>
      <c r="T33" s="1219">
        <f t="shared" si="2"/>
        <v>772</v>
      </c>
      <c r="U33" s="1219">
        <f t="shared" si="2"/>
        <v>442</v>
      </c>
      <c r="V33" s="1219">
        <f t="shared" si="2"/>
        <v>387</v>
      </c>
      <c r="W33" s="1219">
        <f t="shared" si="2"/>
        <v>328</v>
      </c>
      <c r="X33" s="1219">
        <f t="shared" si="2"/>
        <v>349</v>
      </c>
      <c r="Y33" s="1219">
        <f t="shared" si="2"/>
        <v>397</v>
      </c>
      <c r="Z33" s="1219">
        <f>SUM(Z25:Z32)</f>
        <v>476</v>
      </c>
      <c r="AA33" s="1219">
        <f t="shared" ref="AA33:AE33" si="3">SUM(AA25:AA30)</f>
        <v>276</v>
      </c>
      <c r="AB33" s="1219">
        <f t="shared" si="3"/>
        <v>355</v>
      </c>
      <c r="AC33" s="1219">
        <f t="shared" si="3"/>
        <v>328</v>
      </c>
      <c r="AD33" s="1219">
        <f t="shared" si="3"/>
        <v>300</v>
      </c>
      <c r="AE33" s="1219">
        <f t="shared" si="3"/>
        <v>285</v>
      </c>
    </row>
    <row r="35">
      <c r="A35" s="1208" t="s">
        <v>1100</v>
      </c>
      <c r="B35" s="1143">
        <f>5148.04+212.45</f>
        <v>5360.49</v>
      </c>
      <c r="C35" s="1143">
        <f>4523.38+213.8</f>
        <v>4737.18</v>
      </c>
      <c r="D35" s="1143">
        <f>6281.28+214.38</f>
        <v>6495.66</v>
      </c>
      <c r="E35" s="1143">
        <f>7130.14+314.25</f>
        <v>7444.39</v>
      </c>
      <c r="F35" s="1143">
        <f>9523.05+425.64</f>
        <v>9948.69</v>
      </c>
      <c r="G35" s="1143">
        <f>10243.07+411.17</f>
        <v>10654.24</v>
      </c>
      <c r="H35" s="1143">
        <f>4678.28+192.12</f>
        <v>4870.4</v>
      </c>
      <c r="I35" s="1143">
        <v>2686.43</v>
      </c>
      <c r="J35" s="1143">
        <v>4453.73</v>
      </c>
      <c r="K35" s="1143">
        <v>7934.61</v>
      </c>
      <c r="L35" s="1143">
        <v>7938.61</v>
      </c>
      <c r="M35" s="1143">
        <v>7224.58</v>
      </c>
      <c r="N35" s="1143">
        <v>6434.49</v>
      </c>
      <c r="O35" s="1143">
        <v>4665.45</v>
      </c>
      <c r="P35" s="1143">
        <v>5085.26</v>
      </c>
      <c r="Q35" s="1207">
        <v>5306.87</v>
      </c>
      <c r="R35" s="1143">
        <v>5557.57</v>
      </c>
      <c r="S35" s="1143">
        <v>5291.59</v>
      </c>
      <c r="T35" s="1143">
        <v>5637.88</v>
      </c>
      <c r="U35" s="1143">
        <v>4633.57</v>
      </c>
      <c r="V35" s="1143">
        <v>4778.31</v>
      </c>
      <c r="W35" s="1143">
        <v>5026.69</v>
      </c>
      <c r="X35" s="1143">
        <v>6492.73</v>
      </c>
      <c r="Y35" s="1143">
        <v>8338.56</v>
      </c>
      <c r="Z35" s="1143">
        <v>7339.68</v>
      </c>
      <c r="AA35" s="1143">
        <v>6794.39</v>
      </c>
      <c r="AB35" s="1143">
        <v>4723.67</v>
      </c>
      <c r="AC35" s="1143">
        <v>3688.31</v>
      </c>
      <c r="AD35" s="1143">
        <v>4859.14</v>
      </c>
      <c r="AE35" s="1143">
        <v>5765.64</v>
      </c>
    </row>
    <row r="36">
      <c r="A36" s="1208" t="s">
        <v>1101</v>
      </c>
      <c r="B36" s="1143">
        <v>1211.12</v>
      </c>
      <c r="C36" s="1143">
        <v>1401.64</v>
      </c>
      <c r="D36" s="1143">
        <v>1710.2</v>
      </c>
      <c r="E36" s="1143">
        <v>1317.0</v>
      </c>
      <c r="F36" s="1143">
        <v>1357.2</v>
      </c>
      <c r="G36" s="1143">
        <v>1340.41</v>
      </c>
      <c r="H36" s="1143">
        <v>1379.91</v>
      </c>
      <c r="I36" s="1143">
        <v>1350.77</v>
      </c>
      <c r="J36" s="1143">
        <v>1446.61</v>
      </c>
      <c r="K36" s="1143">
        <v>1925.14</v>
      </c>
      <c r="L36" s="1143">
        <v>1897.8</v>
      </c>
      <c r="M36" s="1143">
        <v>1863.85</v>
      </c>
      <c r="N36" s="1143">
        <v>2181.78</v>
      </c>
      <c r="O36" s="1143">
        <v>1588.03</v>
      </c>
      <c r="P36" s="1143">
        <v>2151.14</v>
      </c>
      <c r="Q36" s="1143">
        <v>2408.3</v>
      </c>
      <c r="R36" s="1143">
        <v>2606.98</v>
      </c>
      <c r="S36" s="1143">
        <v>2845.1</v>
      </c>
      <c r="T36" s="1143">
        <v>2751.55</v>
      </c>
      <c r="U36" s="1143">
        <v>2266.0</v>
      </c>
      <c r="V36" s="1143">
        <v>2050.31</v>
      </c>
      <c r="W36" s="1143">
        <v>1949.0</v>
      </c>
      <c r="X36" s="1143">
        <v>2011.34</v>
      </c>
      <c r="Y36" s="1143">
        <v>2159.48</v>
      </c>
      <c r="Z36" s="1143">
        <v>1935.34</v>
      </c>
      <c r="AA36" s="1143">
        <v>1646.91</v>
      </c>
      <c r="AB36" s="1143">
        <v>1733.42</v>
      </c>
      <c r="AC36" s="1143">
        <v>2080.01</v>
      </c>
      <c r="AD36" s="1143">
        <v>1795.19</v>
      </c>
      <c r="AE36" s="1143">
        <v>2141.16</v>
      </c>
    </row>
    <row r="37">
      <c r="A37" s="1208" t="s">
        <v>1102</v>
      </c>
      <c r="B37" s="1143">
        <v>183.94</v>
      </c>
      <c r="C37" s="1143">
        <v>172.98</v>
      </c>
      <c r="D37" s="1143">
        <v>228.88</v>
      </c>
      <c r="E37" s="1143">
        <v>223.48</v>
      </c>
      <c r="F37" s="1143">
        <v>230.68</v>
      </c>
      <c r="G37" s="1143">
        <v>226.06</v>
      </c>
      <c r="H37" s="1143">
        <v>224.23</v>
      </c>
      <c r="I37" s="1143">
        <v>191.43</v>
      </c>
      <c r="J37" s="1143">
        <v>355.52</v>
      </c>
      <c r="K37" s="1143">
        <v>218.82</v>
      </c>
      <c r="L37" s="1143">
        <v>224.14</v>
      </c>
      <c r="M37" s="1143">
        <v>217.46</v>
      </c>
      <c r="N37" s="1143">
        <v>212.7</v>
      </c>
      <c r="O37" s="1143">
        <v>216.39</v>
      </c>
      <c r="P37" s="1143">
        <v>191.06</v>
      </c>
      <c r="Q37" s="1143">
        <v>221.71</v>
      </c>
      <c r="R37" s="1143">
        <v>486.58</v>
      </c>
      <c r="S37" s="1143">
        <v>238.96</v>
      </c>
      <c r="T37" s="1143">
        <v>212.46</v>
      </c>
      <c r="U37" s="1143">
        <v>207.49</v>
      </c>
      <c r="V37" s="1143">
        <v>199.05</v>
      </c>
      <c r="W37" s="1143">
        <v>212.03</v>
      </c>
      <c r="X37" s="1143">
        <v>212.05</v>
      </c>
      <c r="Y37" s="1143">
        <v>197.44</v>
      </c>
      <c r="Z37" s="1143">
        <v>62.73</v>
      </c>
      <c r="AA37" s="1143">
        <v>20.31</v>
      </c>
      <c r="AB37" s="1143">
        <v>0.0</v>
      </c>
      <c r="AC37" s="1143">
        <v>0.0</v>
      </c>
      <c r="AD37" s="1143">
        <v>161.76</v>
      </c>
      <c r="AE37" s="1143">
        <v>464.33</v>
      </c>
    </row>
    <row r="38">
      <c r="A38" s="1208" t="s">
        <v>1103</v>
      </c>
      <c r="B38" s="1230">
        <v>0.0</v>
      </c>
      <c r="C38" s="1230">
        <v>0.0</v>
      </c>
      <c r="D38" s="1230">
        <v>0.0</v>
      </c>
      <c r="E38" s="1143">
        <v>0.0</v>
      </c>
      <c r="F38" s="1230">
        <v>0.0</v>
      </c>
      <c r="G38" s="1230">
        <v>0.0</v>
      </c>
      <c r="H38" s="1230">
        <v>0.0</v>
      </c>
      <c r="I38" s="1230">
        <v>0.0</v>
      </c>
      <c r="J38" s="1230">
        <v>0.0</v>
      </c>
      <c r="K38" s="1230">
        <v>0.0</v>
      </c>
      <c r="L38" s="1230">
        <v>0.0</v>
      </c>
      <c r="M38" s="1230">
        <v>0.0</v>
      </c>
      <c r="N38" s="1230">
        <v>0.0</v>
      </c>
      <c r="O38" s="1230">
        <v>0.0</v>
      </c>
      <c r="P38" s="1230">
        <v>0.0</v>
      </c>
      <c r="Q38" s="1143">
        <v>0.0</v>
      </c>
      <c r="R38" s="1143">
        <v>0.0</v>
      </c>
      <c r="S38" s="1143">
        <v>0.0</v>
      </c>
      <c r="T38" s="1143">
        <v>0.0</v>
      </c>
      <c r="U38" s="1143">
        <v>0.0</v>
      </c>
      <c r="V38" s="1143">
        <v>0.0</v>
      </c>
      <c r="W38" s="1143">
        <v>0.0</v>
      </c>
      <c r="X38" s="1143">
        <v>0.0</v>
      </c>
      <c r="Y38" s="1143">
        <v>0.0</v>
      </c>
      <c r="Z38" s="1143">
        <v>0.0</v>
      </c>
      <c r="AA38" s="1143">
        <v>0.0</v>
      </c>
      <c r="AB38" s="1143">
        <v>0.0</v>
      </c>
      <c r="AC38" s="1143">
        <v>0.0</v>
      </c>
      <c r="AD38" s="1143">
        <v>0.0</v>
      </c>
      <c r="AE38" s="1143">
        <v>0.0</v>
      </c>
    </row>
    <row r="39">
      <c r="A39" s="1208" t="s">
        <v>106</v>
      </c>
      <c r="B39" s="1143">
        <v>1276.67</v>
      </c>
      <c r="C39" s="1207">
        <v>1876.55</v>
      </c>
      <c r="D39" s="1143">
        <v>2182.61</v>
      </c>
      <c r="E39" s="1143">
        <v>1886.24</v>
      </c>
      <c r="F39" s="1143">
        <v>1401.31</v>
      </c>
      <c r="G39" s="1143">
        <v>1491.07</v>
      </c>
      <c r="H39" s="1143">
        <v>1448.93</v>
      </c>
      <c r="I39" s="1143">
        <v>1479.75</v>
      </c>
      <c r="J39" s="1143">
        <v>1888.27</v>
      </c>
      <c r="K39" s="1143">
        <v>2296.89</v>
      </c>
      <c r="L39" s="1143">
        <v>1797.51</v>
      </c>
      <c r="M39" s="1143">
        <v>1678.5</v>
      </c>
      <c r="N39" s="1143">
        <v>1662.46</v>
      </c>
      <c r="O39" s="1143">
        <v>1696.47</v>
      </c>
      <c r="P39" s="1143">
        <v>1674.55</v>
      </c>
      <c r="Q39" s="1143">
        <v>2303.3</v>
      </c>
      <c r="R39" s="1143">
        <v>2443.56</v>
      </c>
      <c r="S39" s="1143">
        <v>2161.34</v>
      </c>
      <c r="T39" s="1143">
        <v>2309.42</v>
      </c>
      <c r="U39" s="1143">
        <v>2091.87</v>
      </c>
      <c r="V39" s="1143">
        <v>1920.72</v>
      </c>
      <c r="W39" s="1143">
        <v>1492.52</v>
      </c>
      <c r="X39" s="1143">
        <v>1881.18</v>
      </c>
      <c r="Y39" s="1143">
        <v>2255.79</v>
      </c>
      <c r="Z39" s="1143">
        <v>1672.88</v>
      </c>
      <c r="AA39" s="1143">
        <v>1771.38</v>
      </c>
      <c r="AB39" s="1143">
        <v>2743.88</v>
      </c>
      <c r="AC39" s="1143">
        <v>3792.92</v>
      </c>
      <c r="AD39" s="1143">
        <v>2832.22</v>
      </c>
      <c r="AE39" s="1143">
        <v>3932.81</v>
      </c>
    </row>
    <row r="40">
      <c r="A40" s="1208" t="s">
        <v>219</v>
      </c>
      <c r="B40" s="1231">
        <v>0.0</v>
      </c>
      <c r="C40" s="1231">
        <v>0.0</v>
      </c>
      <c r="D40" s="1231">
        <v>0.0</v>
      </c>
      <c r="E40" s="1231">
        <v>0.0</v>
      </c>
      <c r="F40" s="1231">
        <v>0.0</v>
      </c>
      <c r="G40" s="1231">
        <v>0.0</v>
      </c>
      <c r="H40" s="1231">
        <v>0.0</v>
      </c>
      <c r="I40" s="1231">
        <v>0.0</v>
      </c>
      <c r="J40" s="1231">
        <v>0.0</v>
      </c>
      <c r="K40" s="1231">
        <v>0.0</v>
      </c>
      <c r="L40" s="1143">
        <v>190.92</v>
      </c>
      <c r="M40" s="1143">
        <v>184.37</v>
      </c>
      <c r="N40" s="1143">
        <v>347.34</v>
      </c>
      <c r="O40" s="1143">
        <v>400.58</v>
      </c>
      <c r="P40" s="1143">
        <v>527.61</v>
      </c>
      <c r="Q40" s="1143">
        <v>503.39</v>
      </c>
      <c r="R40" s="1143">
        <v>504.5</v>
      </c>
      <c r="S40" s="1143">
        <v>501.28</v>
      </c>
      <c r="T40" s="1143">
        <v>501.22</v>
      </c>
      <c r="U40" s="1204">
        <v>335.16</v>
      </c>
      <c r="V40" s="1204">
        <v>468.16</v>
      </c>
      <c r="W40" s="1204">
        <v>377.74</v>
      </c>
      <c r="X40" s="1204">
        <v>403.1</v>
      </c>
      <c r="Y40" s="1204">
        <v>403.0</v>
      </c>
      <c r="Z40" s="1143">
        <v>403.6</v>
      </c>
      <c r="AA40" s="1204">
        <v>402.86</v>
      </c>
      <c r="AB40" s="1204">
        <v>402.38</v>
      </c>
      <c r="AC40" s="1204">
        <v>388.24</v>
      </c>
      <c r="AD40" s="1143">
        <v>0.02</v>
      </c>
      <c r="AE40" s="1225"/>
    </row>
    <row r="41">
      <c r="A41" s="1208" t="s">
        <v>221</v>
      </c>
      <c r="B41" s="1231">
        <v>0.0</v>
      </c>
      <c r="C41" s="1231">
        <v>0.0</v>
      </c>
      <c r="D41" s="1231">
        <v>0.0</v>
      </c>
      <c r="E41" s="1231">
        <v>0.0</v>
      </c>
      <c r="F41" s="1231">
        <v>0.0</v>
      </c>
      <c r="G41" s="1230">
        <v>337.21</v>
      </c>
      <c r="H41" s="1230">
        <v>523.13</v>
      </c>
      <c r="I41" s="1230">
        <v>709.35</v>
      </c>
      <c r="J41" s="1143">
        <v>891.68</v>
      </c>
      <c r="K41" s="1230">
        <v>1344.44</v>
      </c>
      <c r="L41" s="1143">
        <v>1615.86</v>
      </c>
      <c r="M41" s="1143">
        <v>1999.78</v>
      </c>
      <c r="N41" s="1143">
        <v>2425.6</v>
      </c>
      <c r="O41" s="1143">
        <v>2195.19</v>
      </c>
      <c r="P41" s="1143">
        <v>1864.98</v>
      </c>
      <c r="Q41" s="1143">
        <v>1526.04</v>
      </c>
      <c r="R41" s="1143">
        <v>1583.49</v>
      </c>
      <c r="S41" s="1143">
        <v>1406.57</v>
      </c>
      <c r="T41" s="1143">
        <v>955.18</v>
      </c>
      <c r="U41" s="1143">
        <v>90.8</v>
      </c>
      <c r="V41" s="1143">
        <v>0.0</v>
      </c>
      <c r="W41" s="1143">
        <v>0.0</v>
      </c>
      <c r="X41" s="1143">
        <v>0.0</v>
      </c>
      <c r="Y41" s="1143">
        <v>0.0</v>
      </c>
      <c r="Z41" s="1143">
        <v>0.0</v>
      </c>
      <c r="AA41" s="1143">
        <v>0.0</v>
      </c>
      <c r="AB41" s="1143">
        <v>0.0</v>
      </c>
      <c r="AC41" s="1143">
        <v>0.0</v>
      </c>
      <c r="AD41" s="1143">
        <v>0.0</v>
      </c>
      <c r="AE41" s="1143">
        <v>453.31</v>
      </c>
    </row>
    <row r="42">
      <c r="A42" s="1208" t="s">
        <v>1104</v>
      </c>
      <c r="B42" s="1143">
        <v>0.0</v>
      </c>
      <c r="C42" s="1143">
        <v>0.0</v>
      </c>
      <c r="D42" s="1143">
        <v>0.0</v>
      </c>
      <c r="E42" s="1143">
        <v>47.81</v>
      </c>
      <c r="F42" s="1143">
        <v>113.06</v>
      </c>
      <c r="G42" s="1230">
        <v>62.55</v>
      </c>
      <c r="H42" s="1230">
        <v>0.0</v>
      </c>
      <c r="I42" s="1230">
        <v>0.0</v>
      </c>
      <c r="J42" s="1143">
        <v>0.0</v>
      </c>
      <c r="K42" s="1230">
        <v>149.78</v>
      </c>
      <c r="L42" s="1143">
        <v>0.0</v>
      </c>
      <c r="M42" s="1143">
        <v>0.0</v>
      </c>
      <c r="N42" s="1143">
        <v>0.0</v>
      </c>
      <c r="O42" s="1143">
        <v>139.61</v>
      </c>
      <c r="P42" s="1143">
        <v>53.32</v>
      </c>
      <c r="Q42" s="1143">
        <v>59.92</v>
      </c>
      <c r="R42" s="1143">
        <v>53.62</v>
      </c>
      <c r="S42" s="1143">
        <v>15.48</v>
      </c>
      <c r="T42" s="1143">
        <v>59.05</v>
      </c>
      <c r="U42" s="1143">
        <v>57.04</v>
      </c>
      <c r="V42" s="1143">
        <v>0.0</v>
      </c>
      <c r="W42" s="1143">
        <v>57.16</v>
      </c>
      <c r="X42" s="1143">
        <v>0.0</v>
      </c>
      <c r="Y42" s="1143">
        <v>26.91</v>
      </c>
      <c r="Z42" s="1143">
        <v>0.0</v>
      </c>
      <c r="AA42" s="1143">
        <v>0.0</v>
      </c>
      <c r="AB42" s="1143">
        <v>0.0</v>
      </c>
      <c r="AC42" s="1143">
        <v>0.0</v>
      </c>
      <c r="AD42" s="1143">
        <v>0.0</v>
      </c>
      <c r="AE42" s="1143">
        <v>0.0</v>
      </c>
    </row>
    <row r="43">
      <c r="A43" s="1232" t="s">
        <v>1105</v>
      </c>
      <c r="B43" s="1233">
        <f t="shared" ref="B43:AE43" si="4">B35+B36+B37+B38+B40+B42</f>
        <v>6755.55</v>
      </c>
      <c r="C43" s="1233">
        <f t="shared" si="4"/>
        <v>6311.8</v>
      </c>
      <c r="D43" s="1233">
        <f t="shared" si="4"/>
        <v>8434.74</v>
      </c>
      <c r="E43" s="1233">
        <f t="shared" si="4"/>
        <v>9032.68</v>
      </c>
      <c r="F43" s="1233">
        <f t="shared" si="4"/>
        <v>11649.63</v>
      </c>
      <c r="G43" s="1233">
        <f t="shared" si="4"/>
        <v>12283.26</v>
      </c>
      <c r="H43" s="1233">
        <f t="shared" si="4"/>
        <v>6474.54</v>
      </c>
      <c r="I43" s="1233">
        <f t="shared" si="4"/>
        <v>4228.63</v>
      </c>
      <c r="J43" s="1233">
        <f t="shared" si="4"/>
        <v>6255.86</v>
      </c>
      <c r="K43" s="1233">
        <f t="shared" si="4"/>
        <v>10228.35</v>
      </c>
      <c r="L43" s="1233">
        <f t="shared" si="4"/>
        <v>10251.47</v>
      </c>
      <c r="M43" s="1233">
        <f t="shared" si="4"/>
        <v>9490.26</v>
      </c>
      <c r="N43" s="1233">
        <f t="shared" si="4"/>
        <v>9176.31</v>
      </c>
      <c r="O43" s="1233">
        <f t="shared" si="4"/>
        <v>7010.06</v>
      </c>
      <c r="P43" s="1233">
        <f t="shared" si="4"/>
        <v>8008.39</v>
      </c>
      <c r="Q43" s="1233">
        <f t="shared" si="4"/>
        <v>8500.19</v>
      </c>
      <c r="R43" s="1233">
        <f t="shared" si="4"/>
        <v>9209.25</v>
      </c>
      <c r="S43" s="1233">
        <f t="shared" si="4"/>
        <v>8892.41</v>
      </c>
      <c r="T43" s="1233">
        <f t="shared" si="4"/>
        <v>9162.16</v>
      </c>
      <c r="U43" s="1233">
        <f t="shared" si="4"/>
        <v>7499.26</v>
      </c>
      <c r="V43" s="1233">
        <f t="shared" si="4"/>
        <v>7495.83</v>
      </c>
      <c r="W43" s="1233">
        <f t="shared" si="4"/>
        <v>7622.62</v>
      </c>
      <c r="X43" s="1233">
        <f t="shared" si="4"/>
        <v>9119.22</v>
      </c>
      <c r="Y43" s="1233">
        <f t="shared" si="4"/>
        <v>11125.39</v>
      </c>
      <c r="Z43" s="1233">
        <f t="shared" si="4"/>
        <v>9741.35</v>
      </c>
      <c r="AA43" s="1233">
        <f t="shared" si="4"/>
        <v>8864.47</v>
      </c>
      <c r="AB43" s="1233">
        <f t="shared" si="4"/>
        <v>6859.47</v>
      </c>
      <c r="AC43" s="1233">
        <f t="shared" si="4"/>
        <v>6156.56</v>
      </c>
      <c r="AD43" s="1233">
        <f t="shared" si="4"/>
        <v>6816.11</v>
      </c>
      <c r="AE43" s="1233">
        <f t="shared" si="4"/>
        <v>8371.13</v>
      </c>
    </row>
    <row r="44">
      <c r="A44" s="1234" t="s">
        <v>240</v>
      </c>
      <c r="B44" s="1235">
        <f t="shared" ref="B44:K44" si="5">SUM(B35:B42)</f>
        <v>8032.22</v>
      </c>
      <c r="C44" s="1235">
        <f t="shared" si="5"/>
        <v>8188.35</v>
      </c>
      <c r="D44" s="1235">
        <f t="shared" si="5"/>
        <v>10617.35</v>
      </c>
      <c r="E44" s="1235">
        <f t="shared" si="5"/>
        <v>10918.92</v>
      </c>
      <c r="F44" s="1235">
        <f t="shared" si="5"/>
        <v>13050.94</v>
      </c>
      <c r="G44" s="1235">
        <f t="shared" si="5"/>
        <v>14111.54</v>
      </c>
      <c r="H44" s="1235">
        <f t="shared" si="5"/>
        <v>8446.6</v>
      </c>
      <c r="I44" s="1235">
        <f t="shared" si="5"/>
        <v>6417.73</v>
      </c>
      <c r="J44" s="1235">
        <f t="shared" si="5"/>
        <v>9035.81</v>
      </c>
      <c r="K44" s="1235">
        <f t="shared" si="5"/>
        <v>13869.68</v>
      </c>
      <c r="L44" s="1235">
        <f>SUM(L35:L42)+190.92
</f>
        <v>13855.76</v>
      </c>
      <c r="M44" s="1235">
        <f>SUM(M35:M42)+184.37</f>
        <v>13352.91</v>
      </c>
      <c r="N44" s="1235">
        <f>SUM(N35:N42)+317.91
</f>
        <v>13582.28</v>
      </c>
      <c r="O44" s="1235">
        <f t="shared" ref="O44:AE44" si="6">SUM(O35:O42)</f>
        <v>10901.72</v>
      </c>
      <c r="P44" s="1235">
        <f t="shared" si="6"/>
        <v>11547.92</v>
      </c>
      <c r="Q44" s="1235">
        <f t="shared" si="6"/>
        <v>12329.53</v>
      </c>
      <c r="R44" s="1235">
        <f t="shared" si="6"/>
        <v>13236.3</v>
      </c>
      <c r="S44" s="1235">
        <f t="shared" si="6"/>
        <v>12460.32</v>
      </c>
      <c r="T44" s="1235">
        <f t="shared" si="6"/>
        <v>12426.76</v>
      </c>
      <c r="U44" s="1235">
        <f t="shared" si="6"/>
        <v>9681.93</v>
      </c>
      <c r="V44" s="1235">
        <f t="shared" si="6"/>
        <v>9416.55</v>
      </c>
      <c r="W44" s="1235">
        <f t="shared" si="6"/>
        <v>9115.14</v>
      </c>
      <c r="X44" s="1235">
        <f t="shared" si="6"/>
        <v>11000.4</v>
      </c>
      <c r="Y44" s="1235">
        <f t="shared" si="6"/>
        <v>13381.18</v>
      </c>
      <c r="Z44" s="1235">
        <f t="shared" si="6"/>
        <v>11414.23</v>
      </c>
      <c r="AA44" s="1235">
        <f t="shared" si="6"/>
        <v>10635.85</v>
      </c>
      <c r="AB44" s="1235">
        <f t="shared" si="6"/>
        <v>9603.35</v>
      </c>
      <c r="AC44" s="1235">
        <f t="shared" si="6"/>
        <v>9949.48</v>
      </c>
      <c r="AD44" s="1235">
        <f t="shared" si="6"/>
        <v>9648.33</v>
      </c>
      <c r="AE44" s="1235">
        <f t="shared" si="6"/>
        <v>12757.25</v>
      </c>
    </row>
    <row r="46">
      <c r="A46" s="1236" t="s">
        <v>249</v>
      </c>
      <c r="B46" s="1237">
        <f t="shared" ref="B46:AE46" si="7">B23/B44</f>
        <v>2.531638825</v>
      </c>
      <c r="C46" s="1237">
        <f t="shared" si="7"/>
        <v>3.205570109</v>
      </c>
      <c r="D46" s="1237">
        <f t="shared" si="7"/>
        <v>3.316544147</v>
      </c>
      <c r="E46" s="1237">
        <f t="shared" si="7"/>
        <v>4.048410466</v>
      </c>
      <c r="F46" s="1237">
        <f t="shared" si="7"/>
        <v>2.905095725</v>
      </c>
      <c r="G46" s="1237">
        <f t="shared" si="7"/>
        <v>2.21977332</v>
      </c>
      <c r="H46" s="1237">
        <f t="shared" si="7"/>
        <v>2.582701916</v>
      </c>
      <c r="I46" s="1237">
        <f t="shared" si="7"/>
        <v>3.529693521</v>
      </c>
      <c r="J46" s="1237">
        <f t="shared" si="7"/>
        <v>3.140641514</v>
      </c>
      <c r="K46" s="1237">
        <f t="shared" si="7"/>
        <v>2.484948463</v>
      </c>
      <c r="L46" s="1237">
        <f t="shared" si="7"/>
        <v>2.179849391</v>
      </c>
      <c r="M46" s="1237">
        <f t="shared" si="7"/>
        <v>2.178352883</v>
      </c>
      <c r="N46" s="1237">
        <f t="shared" si="7"/>
        <v>1.962596118</v>
      </c>
      <c r="O46" s="1237">
        <f t="shared" si="7"/>
        <v>2.950855461</v>
      </c>
      <c r="P46" s="1237">
        <f t="shared" si="7"/>
        <v>2.354693313</v>
      </c>
      <c r="Q46" s="1237">
        <f t="shared" si="7"/>
        <v>2.523455476</v>
      </c>
      <c r="R46" s="1237">
        <f t="shared" si="7"/>
        <v>2.169857891</v>
      </c>
      <c r="S46" s="1237">
        <f t="shared" si="7"/>
        <v>5.682138179</v>
      </c>
      <c r="T46" s="1237">
        <f t="shared" si="7"/>
        <v>4.617239731</v>
      </c>
      <c r="U46" s="1237">
        <f t="shared" si="7"/>
        <v>4.138263755</v>
      </c>
      <c r="V46" s="1237">
        <f t="shared" si="7"/>
        <v>3.944664447</v>
      </c>
      <c r="W46" s="1237">
        <f t="shared" si="7"/>
        <v>3.746512944</v>
      </c>
      <c r="X46" s="1237">
        <f t="shared" si="7"/>
        <v>2.937489546</v>
      </c>
      <c r="Y46" s="1237">
        <f t="shared" si="7"/>
        <v>2.907477517</v>
      </c>
      <c r="Z46" s="1237">
        <f t="shared" si="7"/>
        <v>3.102611389</v>
      </c>
      <c r="AA46" s="1237">
        <f t="shared" si="7"/>
        <v>2.794400071</v>
      </c>
      <c r="AB46" s="1237">
        <f t="shared" si="7"/>
        <v>4.000946545</v>
      </c>
      <c r="AC46" s="1237">
        <f t="shared" si="7"/>
        <v>4.376762404</v>
      </c>
      <c r="AD46" s="1237">
        <f t="shared" si="7"/>
        <v>4.842899237</v>
      </c>
      <c r="AE46" s="1237">
        <f t="shared" si="7"/>
        <v>3.022661624</v>
      </c>
    </row>
    <row r="47">
      <c r="A47" s="1208" t="s">
        <v>255</v>
      </c>
      <c r="B47" s="1237">
        <f t="shared" ref="B47:AE47" si="8">B8/B43</f>
        <v>2.555777102</v>
      </c>
      <c r="C47" s="1237">
        <f t="shared" si="8"/>
        <v>3.760786147</v>
      </c>
      <c r="D47" s="1237">
        <f t="shared" si="8"/>
        <v>3.678585232</v>
      </c>
      <c r="E47" s="1237">
        <f t="shared" si="8"/>
        <v>4.276058711</v>
      </c>
      <c r="F47" s="1237">
        <f t="shared" si="8"/>
        <v>2.775558537</v>
      </c>
      <c r="G47" s="1237">
        <f t="shared" si="8"/>
        <v>2.077902772</v>
      </c>
      <c r="H47" s="1237">
        <f t="shared" si="8"/>
        <v>2.550459183</v>
      </c>
      <c r="I47" s="1237">
        <f t="shared" si="8"/>
        <v>3.794992704</v>
      </c>
      <c r="J47" s="1237">
        <f t="shared" si="8"/>
        <v>2.700866068</v>
      </c>
      <c r="K47" s="1237">
        <f t="shared" si="8"/>
        <v>2.474537926</v>
      </c>
      <c r="L47" s="1237">
        <f t="shared" si="8"/>
        <v>1.860169322</v>
      </c>
      <c r="M47" s="1237">
        <f t="shared" si="8"/>
        <v>1.860681372</v>
      </c>
      <c r="N47" s="1237">
        <f t="shared" si="8"/>
        <v>1.836852722</v>
      </c>
      <c r="O47" s="1237">
        <f t="shared" si="8"/>
        <v>3.119288565</v>
      </c>
      <c r="P47" s="1237">
        <f t="shared" si="8"/>
        <v>2.47475585</v>
      </c>
      <c r="Q47" s="1237">
        <f t="shared" si="8"/>
        <v>2.386890175</v>
      </c>
      <c r="R47" s="1237">
        <f t="shared" si="8"/>
        <v>2.225250699</v>
      </c>
      <c r="S47" s="1237">
        <f t="shared" si="8"/>
        <v>6.160676352</v>
      </c>
      <c r="T47" s="1237">
        <f t="shared" si="8"/>
        <v>3.565570782</v>
      </c>
      <c r="U47" s="1237">
        <f t="shared" si="8"/>
        <v>3.223435379</v>
      </c>
      <c r="V47" s="1237">
        <f t="shared" si="8"/>
        <v>3.170446768</v>
      </c>
      <c r="W47" s="1237">
        <f t="shared" si="8"/>
        <v>2.662337884</v>
      </c>
      <c r="X47" s="1237">
        <f t="shared" si="8"/>
        <v>2.580545266</v>
      </c>
      <c r="Y47" s="1237">
        <f t="shared" si="8"/>
        <v>2.283918137</v>
      </c>
      <c r="Z47" s="1237">
        <f t="shared" si="8"/>
        <v>2.526746293</v>
      </c>
      <c r="AA47" s="1237">
        <f t="shared" si="8"/>
        <v>1.869465405</v>
      </c>
      <c r="AB47" s="1237">
        <f t="shared" si="8"/>
        <v>4.116132879</v>
      </c>
      <c r="AC47" s="1237">
        <f t="shared" si="8"/>
        <v>3.702760957</v>
      </c>
      <c r="AD47" s="1237">
        <f t="shared" si="8"/>
        <v>3.497860216</v>
      </c>
      <c r="AE47" s="1237">
        <f t="shared" si="8"/>
        <v>2.603692691</v>
      </c>
    </row>
    <row r="48">
      <c r="A48" s="1208" t="s">
        <v>260</v>
      </c>
      <c r="B48" s="1237">
        <f t="shared" ref="B48:AE48" si="9">B15/B39</f>
        <v>2.403910173</v>
      </c>
      <c r="C48" s="1237">
        <f t="shared" si="9"/>
        <v>1.338093842</v>
      </c>
      <c r="D48" s="1237">
        <f t="shared" si="9"/>
        <v>1.917429133</v>
      </c>
      <c r="E48" s="1237">
        <f t="shared" si="9"/>
        <v>2.95826618</v>
      </c>
      <c r="F48" s="1237">
        <f t="shared" si="9"/>
        <v>3.981988282</v>
      </c>
      <c r="G48" s="1237">
        <f t="shared" si="9"/>
        <v>2.993823228</v>
      </c>
      <c r="H48" s="1237">
        <f t="shared" si="9"/>
        <v>2.503226519</v>
      </c>
      <c r="I48" s="1237">
        <f t="shared" si="9"/>
        <v>1.885453624</v>
      </c>
      <c r="J48" s="1237">
        <f t="shared" si="9"/>
        <v>3.69385734</v>
      </c>
      <c r="K48" s="1237">
        <f t="shared" si="9"/>
        <v>2.672309079</v>
      </c>
      <c r="L48" s="1237">
        <f t="shared" si="9"/>
        <v>3.414723701</v>
      </c>
      <c r="M48" s="1237">
        <f t="shared" si="9"/>
        <v>3.989276139</v>
      </c>
      <c r="N48" s="1237">
        <f t="shared" si="9"/>
        <v>4.531236842</v>
      </c>
      <c r="O48" s="1237">
        <f t="shared" si="9"/>
        <v>4.933774249</v>
      </c>
      <c r="P48" s="1237">
        <f t="shared" si="9"/>
        <v>2.499178884</v>
      </c>
      <c r="Q48" s="1237">
        <f t="shared" si="9"/>
        <v>2.543741588</v>
      </c>
      <c r="R48" s="1237">
        <f t="shared" si="9"/>
        <v>2.968619555</v>
      </c>
      <c r="S48" s="1237">
        <f t="shared" si="9"/>
        <v>3.227164629</v>
      </c>
      <c r="T48" s="1237">
        <f t="shared" si="9"/>
        <v>5.678049034</v>
      </c>
      <c r="U48" s="1237">
        <f t="shared" si="9"/>
        <v>4.267951641</v>
      </c>
      <c r="V48" s="1237">
        <f t="shared" si="9"/>
        <v>4.502998875</v>
      </c>
      <c r="W48" s="1237">
        <f t="shared" si="9"/>
        <v>7.290354568</v>
      </c>
      <c r="X48" s="1237">
        <f t="shared" si="9"/>
        <v>2.966223328</v>
      </c>
      <c r="Y48" s="1237">
        <f t="shared" si="9"/>
        <v>4.699905576</v>
      </c>
      <c r="Z48" s="1237">
        <f t="shared" si="9"/>
        <v>5.336904022</v>
      </c>
      <c r="AA48" s="1237">
        <f t="shared" si="9"/>
        <v>6.142668428</v>
      </c>
      <c r="AB48" s="1237">
        <f t="shared" si="9"/>
        <v>2.847063283</v>
      </c>
      <c r="AC48" s="1237">
        <f t="shared" si="9"/>
        <v>2.94232412</v>
      </c>
      <c r="AD48" s="1237">
        <f t="shared" si="9"/>
        <v>3.447825381</v>
      </c>
      <c r="AE48" s="1237">
        <f t="shared" si="9"/>
        <v>1.844482698</v>
      </c>
    </row>
    <row r="49">
      <c r="A49" s="1" t="s">
        <v>1106</v>
      </c>
      <c r="B49" s="1208"/>
      <c r="C49" s="1208"/>
      <c r="D49" s="1208"/>
      <c r="E49" s="1208"/>
      <c r="F49" s="1208"/>
      <c r="G49" s="1237">
        <f t="shared" ref="G49:AE49" si="10">G14/G41</f>
        <v>3.964888349</v>
      </c>
      <c r="H49" s="1237">
        <f t="shared" si="10"/>
        <v>3.201880986</v>
      </c>
      <c r="I49" s="1237">
        <f t="shared" si="10"/>
        <v>5.378163107</v>
      </c>
      <c r="J49" s="1237">
        <f t="shared" si="10"/>
        <v>5.054503858</v>
      </c>
      <c r="K49" s="1237">
        <f t="shared" si="10"/>
        <v>2.244057005</v>
      </c>
      <c r="L49" s="1237">
        <f t="shared" si="10"/>
        <v>3.091852017</v>
      </c>
      <c r="M49" s="1237">
        <f t="shared" si="10"/>
        <v>2.366760344</v>
      </c>
      <c r="N49" s="1237">
        <f t="shared" si="10"/>
        <v>0.9350263852</v>
      </c>
      <c r="O49" s="1237">
        <f t="shared" si="10"/>
        <v>0.8805615915</v>
      </c>
      <c r="P49" s="1237">
        <f t="shared" si="10"/>
        <v>1.709401709</v>
      </c>
      <c r="Q49" s="1237">
        <f t="shared" si="10"/>
        <v>3.253518912</v>
      </c>
      <c r="R49" s="1237">
        <f t="shared" si="10"/>
        <v>0.6150970325</v>
      </c>
      <c r="S49" s="1237">
        <f t="shared" si="10"/>
        <v>0.9363202685</v>
      </c>
      <c r="T49" s="1237">
        <f t="shared" si="10"/>
        <v>2.651856195</v>
      </c>
      <c r="U49" s="1237">
        <f t="shared" si="10"/>
        <v>15.29735683</v>
      </c>
      <c r="V49" s="1237" t="str">
        <f t="shared" si="10"/>
        <v>#DIV/0!</v>
      </c>
      <c r="W49" s="1237" t="str">
        <f t="shared" si="10"/>
        <v>#DIV/0!</v>
      </c>
      <c r="X49" s="1237" t="str">
        <f t="shared" si="10"/>
        <v>#DIV/0!</v>
      </c>
      <c r="Y49" s="1237" t="str">
        <f t="shared" si="10"/>
        <v>#DIV/0!</v>
      </c>
      <c r="Z49" s="1237" t="str">
        <f t="shared" si="10"/>
        <v>#DIV/0!</v>
      </c>
      <c r="AA49" s="1237" t="str">
        <f t="shared" si="10"/>
        <v>#DIV/0!</v>
      </c>
      <c r="AB49" s="1237" t="str">
        <f t="shared" si="10"/>
        <v>#DIV/0!</v>
      </c>
      <c r="AC49" s="1237" t="str">
        <f t="shared" si="10"/>
        <v>#DIV/0!</v>
      </c>
      <c r="AD49" s="1237" t="str">
        <f t="shared" si="10"/>
        <v>#DIV/0!</v>
      </c>
      <c r="AE49" s="1237">
        <f t="shared" si="10"/>
        <v>2.148640004</v>
      </c>
    </row>
    <row r="51">
      <c r="A51" s="1236" t="s">
        <v>1107</v>
      </c>
      <c r="B51" s="1255">
        <f t="shared" ref="B51:AE51" si="11">B44/B33</f>
        <v>38.06739336</v>
      </c>
      <c r="C51" s="1255">
        <f t="shared" si="11"/>
        <v>27.94658703</v>
      </c>
      <c r="D51" s="1255">
        <f t="shared" si="11"/>
        <v>27.22397436</v>
      </c>
      <c r="E51" s="1255">
        <f t="shared" si="11"/>
        <v>23.48154839</v>
      </c>
      <c r="F51" s="1255">
        <f t="shared" si="11"/>
        <v>34.34457895</v>
      </c>
      <c r="G51" s="1255">
        <f t="shared" si="11"/>
        <v>43.82465839</v>
      </c>
      <c r="H51" s="1255">
        <f t="shared" si="11"/>
        <v>39.65539906</v>
      </c>
      <c r="I51" s="1255">
        <f t="shared" si="11"/>
        <v>38.20077381</v>
      </c>
      <c r="J51" s="1255">
        <f t="shared" si="11"/>
        <v>45.4060804</v>
      </c>
      <c r="K51" s="1255">
        <f t="shared" si="11"/>
        <v>47.49890411</v>
      </c>
      <c r="L51" s="1255">
        <f t="shared" si="11"/>
        <v>57.73233333</v>
      </c>
      <c r="M51" s="1255">
        <f t="shared" si="11"/>
        <v>62.98542453</v>
      </c>
      <c r="N51" s="1255">
        <f t="shared" si="11"/>
        <v>65.93339806</v>
      </c>
      <c r="O51" s="1255">
        <f t="shared" si="11"/>
        <v>44.86304527</v>
      </c>
      <c r="P51" s="1255">
        <f t="shared" si="11"/>
        <v>47.71867769</v>
      </c>
      <c r="Q51" s="1255">
        <f t="shared" si="11"/>
        <v>46.70276515</v>
      </c>
      <c r="R51" s="1255">
        <f t="shared" si="11"/>
        <v>55.38200837</v>
      </c>
      <c r="S51" s="1255">
        <f t="shared" si="11"/>
        <v>8.653</v>
      </c>
      <c r="T51" s="1255">
        <f t="shared" si="11"/>
        <v>16.09683938</v>
      </c>
      <c r="U51" s="1255">
        <f t="shared" si="11"/>
        <v>21.904819</v>
      </c>
      <c r="V51" s="1255">
        <f t="shared" si="11"/>
        <v>24.33217054</v>
      </c>
      <c r="W51" s="1255">
        <f t="shared" si="11"/>
        <v>27.79006098</v>
      </c>
      <c r="X51" s="1255">
        <f t="shared" si="11"/>
        <v>31.51977077</v>
      </c>
      <c r="Y51" s="1255">
        <f t="shared" si="11"/>
        <v>33.70574307</v>
      </c>
      <c r="Z51" s="1255">
        <f t="shared" si="11"/>
        <v>23.97947479</v>
      </c>
      <c r="AA51" s="1255">
        <f t="shared" si="11"/>
        <v>38.53568841</v>
      </c>
      <c r="AB51" s="1255">
        <f t="shared" si="11"/>
        <v>27.05169014</v>
      </c>
      <c r="AC51" s="1255">
        <f t="shared" si="11"/>
        <v>30.33378049</v>
      </c>
      <c r="AD51" s="1255">
        <f t="shared" si="11"/>
        <v>32.1611</v>
      </c>
      <c r="AE51" s="1255">
        <f t="shared" si="11"/>
        <v>44.7622807</v>
      </c>
    </row>
    <row r="52">
      <c r="A52" s="1208" t="s">
        <v>1108</v>
      </c>
      <c r="B52" s="1255">
        <f t="shared" ref="B52:AE52" si="12">B43/B25</f>
        <v>85.51329114</v>
      </c>
      <c r="C52" s="1255">
        <f t="shared" si="12"/>
        <v>57.38</v>
      </c>
      <c r="D52" s="1255">
        <f t="shared" si="12"/>
        <v>62.47955556</v>
      </c>
      <c r="E52" s="1255">
        <f t="shared" si="12"/>
        <v>54.74351515</v>
      </c>
      <c r="F52" s="1255">
        <f t="shared" si="12"/>
        <v>78.18543624</v>
      </c>
      <c r="G52" s="1255">
        <f t="shared" si="12"/>
        <v>101.5145455</v>
      </c>
      <c r="H52" s="1255">
        <f t="shared" si="12"/>
        <v>81.95620253</v>
      </c>
      <c r="I52" s="1255">
        <f t="shared" si="12"/>
        <v>81.31980769</v>
      </c>
      <c r="J52" s="1255">
        <f t="shared" si="12"/>
        <v>99.29936508</v>
      </c>
      <c r="K52" s="1255">
        <f t="shared" si="12"/>
        <v>109.9822581</v>
      </c>
      <c r="L52" s="1255">
        <f t="shared" si="12"/>
        <v>122.0413095</v>
      </c>
      <c r="M52" s="1255">
        <f t="shared" si="12"/>
        <v>137.54</v>
      </c>
      <c r="N52" s="1255">
        <f t="shared" si="12"/>
        <v>143.3798438</v>
      </c>
      <c r="O52" s="1255">
        <f t="shared" si="12"/>
        <v>88.73493671</v>
      </c>
      <c r="P52" s="1255">
        <f t="shared" si="12"/>
        <v>88.00428571</v>
      </c>
      <c r="Q52" s="1255">
        <f t="shared" si="12"/>
        <v>98.8394186</v>
      </c>
      <c r="R52" s="1255">
        <f t="shared" si="12"/>
        <v>112.3079268</v>
      </c>
      <c r="S52" s="1255">
        <f t="shared" si="12"/>
        <v>15.14890971</v>
      </c>
      <c r="T52" s="1255">
        <f t="shared" si="12"/>
        <v>29.84416938</v>
      </c>
      <c r="U52" s="1255">
        <f t="shared" si="12"/>
        <v>43.3483237</v>
      </c>
      <c r="V52" s="1255">
        <f t="shared" si="12"/>
        <v>55.52466667</v>
      </c>
      <c r="W52" s="1255">
        <f t="shared" si="12"/>
        <v>64.05563025</v>
      </c>
      <c r="X52" s="1255">
        <f t="shared" si="12"/>
        <v>74.14</v>
      </c>
      <c r="Y52" s="1255">
        <f t="shared" si="12"/>
        <v>84.28325758</v>
      </c>
      <c r="Z52" s="1255">
        <f t="shared" si="12"/>
        <v>81.86008403</v>
      </c>
      <c r="AA52" s="1255">
        <f t="shared" si="12"/>
        <v>90.45377551</v>
      </c>
      <c r="AB52" s="1255">
        <f t="shared" si="12"/>
        <v>60.17078947</v>
      </c>
      <c r="AC52" s="1255">
        <f t="shared" si="12"/>
        <v>59.77242718</v>
      </c>
      <c r="AD52" s="1255">
        <f t="shared" si="12"/>
        <v>68.1611</v>
      </c>
      <c r="AE52" s="1255">
        <f t="shared" si="12"/>
        <v>82.06990196</v>
      </c>
    </row>
    <row r="53">
      <c r="A53" s="1208" t="s">
        <v>1109</v>
      </c>
      <c r="B53" s="1255">
        <f t="shared" ref="B53:AE53" si="13">B39/B30</f>
        <v>91.19071429</v>
      </c>
      <c r="C53" s="1255">
        <f t="shared" si="13"/>
        <v>268.0785714</v>
      </c>
      <c r="D53" s="1255">
        <f t="shared" si="13"/>
        <v>114.8742105</v>
      </c>
      <c r="E53" s="1255">
        <f t="shared" si="13"/>
        <v>82.01043478</v>
      </c>
      <c r="F53" s="1255">
        <f t="shared" si="13"/>
        <v>87.581875</v>
      </c>
      <c r="G53" s="1255">
        <f t="shared" si="13"/>
        <v>74.5535</v>
      </c>
      <c r="H53" s="1255">
        <f t="shared" si="13"/>
        <v>120.7441667</v>
      </c>
      <c r="I53" s="1255">
        <f t="shared" si="13"/>
        <v>123.3125</v>
      </c>
      <c r="J53" s="1255">
        <f t="shared" si="13"/>
        <v>67.43821429</v>
      </c>
      <c r="K53" s="1255">
        <f t="shared" si="13"/>
        <v>120.8889474</v>
      </c>
      <c r="L53" s="1255">
        <f t="shared" si="13"/>
        <v>81.705</v>
      </c>
      <c r="M53" s="1255">
        <f t="shared" si="13"/>
        <v>67.14</v>
      </c>
      <c r="N53" s="1255">
        <f t="shared" si="13"/>
        <v>63.94076923</v>
      </c>
      <c r="O53" s="1255">
        <f t="shared" si="13"/>
        <v>62.83222222</v>
      </c>
      <c r="P53" s="1255">
        <f t="shared" si="13"/>
        <v>111.6366667</v>
      </c>
      <c r="Q53" s="1255">
        <f t="shared" si="13"/>
        <v>109.6809524</v>
      </c>
      <c r="R53" s="1255">
        <f t="shared" si="13"/>
        <v>93.98307692</v>
      </c>
      <c r="S53" s="1255">
        <f t="shared" si="13"/>
        <v>77.19071429</v>
      </c>
      <c r="T53" s="1255">
        <f t="shared" si="13"/>
        <v>60.77421053</v>
      </c>
      <c r="U53" s="1255">
        <f t="shared" si="13"/>
        <v>58.1075</v>
      </c>
      <c r="V53" s="1255">
        <f t="shared" si="13"/>
        <v>53.35333333</v>
      </c>
      <c r="W53" s="1255">
        <f t="shared" si="13"/>
        <v>49.75066667</v>
      </c>
      <c r="X53" s="1255">
        <f t="shared" si="13"/>
        <v>75.2472</v>
      </c>
      <c r="Y53" s="1255">
        <f t="shared" si="13"/>
        <v>68.35727273</v>
      </c>
      <c r="Z53" s="1255">
        <f t="shared" si="13"/>
        <v>52.2775</v>
      </c>
      <c r="AA53" s="1255">
        <f t="shared" si="13"/>
        <v>45.42</v>
      </c>
      <c r="AB53" s="1255">
        <f t="shared" si="13"/>
        <v>97.99571429</v>
      </c>
      <c r="AC53" s="1255">
        <f t="shared" si="13"/>
        <v>94.823</v>
      </c>
      <c r="AD53" s="1255">
        <f t="shared" si="13"/>
        <v>91.36193548</v>
      </c>
      <c r="AE53" s="1255">
        <f t="shared" si="13"/>
        <v>131.0936667</v>
      </c>
    </row>
    <row r="54">
      <c r="A54" s="1" t="s">
        <v>1111</v>
      </c>
      <c r="B54" s="1208"/>
      <c r="C54" s="1208"/>
      <c r="D54" s="1208"/>
      <c r="E54" s="1208"/>
      <c r="F54" s="1208"/>
      <c r="G54" s="1255">
        <f t="shared" ref="G54:AE54" si="14">G41/G29</f>
        <v>84.3025</v>
      </c>
      <c r="H54" s="1255">
        <f t="shared" si="14"/>
        <v>87.18833333</v>
      </c>
      <c r="I54" s="1255">
        <f t="shared" si="14"/>
        <v>64.48636364</v>
      </c>
      <c r="J54" s="1255">
        <f t="shared" si="14"/>
        <v>68.59076923</v>
      </c>
      <c r="K54" s="1255">
        <f t="shared" si="14"/>
        <v>112.0366667</v>
      </c>
      <c r="L54" s="1255">
        <f t="shared" si="14"/>
        <v>107.724</v>
      </c>
      <c r="M54" s="1255">
        <f t="shared" si="14"/>
        <v>153.8292308</v>
      </c>
      <c r="N54" s="1255">
        <f t="shared" si="14"/>
        <v>303.2</v>
      </c>
      <c r="O54" s="1255">
        <f t="shared" si="14"/>
        <v>313.5985714</v>
      </c>
      <c r="P54" s="1255">
        <f t="shared" si="14"/>
        <v>233.1225</v>
      </c>
      <c r="Q54" s="1255">
        <f t="shared" si="14"/>
        <v>117.3876923</v>
      </c>
      <c r="R54" s="1255">
        <f t="shared" si="14"/>
        <v>395.8725</v>
      </c>
      <c r="S54" s="1255">
        <f t="shared" si="14"/>
        <v>703.285</v>
      </c>
      <c r="T54" s="1255">
        <f t="shared" si="14"/>
        <v>136.4542857</v>
      </c>
      <c r="U54" s="1255">
        <f t="shared" si="14"/>
        <v>22.7</v>
      </c>
      <c r="V54" s="1255">
        <f t="shared" si="14"/>
        <v>0</v>
      </c>
      <c r="W54" s="1228" t="str">
        <f t="shared" si="14"/>
        <v>#DIV/0!</v>
      </c>
      <c r="X54" s="1255">
        <f t="shared" si="14"/>
        <v>0</v>
      </c>
      <c r="Y54" s="1255">
        <f t="shared" si="14"/>
        <v>0</v>
      </c>
      <c r="Z54" s="1228" t="str">
        <f t="shared" si="14"/>
        <v>#DIV/0!</v>
      </c>
      <c r="AA54" s="1255">
        <f t="shared" si="14"/>
        <v>0</v>
      </c>
      <c r="AB54" s="1255">
        <f t="shared" si="14"/>
        <v>0</v>
      </c>
      <c r="AC54" s="1228" t="str">
        <f t="shared" si="14"/>
        <v>#DIV/0!</v>
      </c>
      <c r="AD54" s="1255">
        <f t="shared" si="14"/>
        <v>0</v>
      </c>
      <c r="AE54" s="1255">
        <f t="shared" si="14"/>
        <v>113.3275</v>
      </c>
    </row>
    <row r="56">
      <c r="A56" s="1208" t="s">
        <v>299</v>
      </c>
      <c r="B56" s="1258">
        <v>0.0098</v>
      </c>
      <c r="C56" s="1258">
        <v>0.0073</v>
      </c>
      <c r="D56" s="1258">
        <v>0.0125</v>
      </c>
      <c r="E56" s="1258">
        <v>0.0167</v>
      </c>
      <c r="F56" s="1258">
        <v>0.0166</v>
      </c>
      <c r="G56" s="1258">
        <v>0.0131</v>
      </c>
      <c r="H56" s="1258">
        <v>0.0117</v>
      </c>
      <c r="I56" s="1258">
        <v>0.0122</v>
      </c>
      <c r="J56" s="1258">
        <v>0.0109</v>
      </c>
      <c r="K56" s="1258">
        <v>0.0112</v>
      </c>
      <c r="L56" s="1258">
        <v>0.0094</v>
      </c>
      <c r="M56" s="1258">
        <v>0.0083</v>
      </c>
      <c r="N56" s="1258">
        <v>0.0116</v>
      </c>
      <c r="O56" s="1258">
        <v>0.0175</v>
      </c>
      <c r="P56" s="1258">
        <v>0.0169</v>
      </c>
      <c r="Q56" s="1258">
        <v>0.0127</v>
      </c>
      <c r="R56" s="1258">
        <v>0.0137</v>
      </c>
      <c r="S56" s="1258">
        <v>0.0528</v>
      </c>
      <c r="T56" s="1258">
        <v>0.0163</v>
      </c>
      <c r="U56" s="1258">
        <v>0.013</v>
      </c>
      <c r="V56" s="1258">
        <v>0.0112</v>
      </c>
      <c r="W56" s="1258">
        <v>0.013</v>
      </c>
      <c r="X56" s="1258">
        <v>0.0142</v>
      </c>
      <c r="Y56" s="1258">
        <v>0.0123</v>
      </c>
      <c r="Z56" s="1258">
        <v>0.0158</v>
      </c>
      <c r="AA56" s="1258">
        <v>0.012</v>
      </c>
      <c r="AB56" s="1258">
        <v>0.0183</v>
      </c>
      <c r="AC56" s="1258">
        <v>0.0122</v>
      </c>
      <c r="AD56" s="1258">
        <v>0.0125</v>
      </c>
      <c r="AE56" s="1258">
        <v>0.0129</v>
      </c>
    </row>
    <row r="57">
      <c r="A57" s="1208" t="s">
        <v>305</v>
      </c>
      <c r="B57" s="1143">
        <f t="shared" ref="B57:AE57" si="15">B8/B25</f>
        <v>218.5529114</v>
      </c>
      <c r="C57" s="1143">
        <f t="shared" si="15"/>
        <v>215.7939091</v>
      </c>
      <c r="D57" s="1143">
        <f t="shared" si="15"/>
        <v>229.8363704</v>
      </c>
      <c r="E57" s="1143">
        <f t="shared" si="15"/>
        <v>234.0864848</v>
      </c>
      <c r="F57" s="1143">
        <f t="shared" si="15"/>
        <v>217.008255</v>
      </c>
      <c r="G57" s="1143">
        <f t="shared" si="15"/>
        <v>210.9373554</v>
      </c>
      <c r="H57" s="1143">
        <f t="shared" si="15"/>
        <v>209.0259494</v>
      </c>
      <c r="I57" s="1143">
        <f t="shared" si="15"/>
        <v>308.6080769</v>
      </c>
      <c r="J57" s="1143">
        <f t="shared" si="15"/>
        <v>268.1942857</v>
      </c>
      <c r="K57" s="1143">
        <f t="shared" si="15"/>
        <v>272.1552688</v>
      </c>
      <c r="L57" s="1143">
        <f t="shared" si="15"/>
        <v>227.0175</v>
      </c>
      <c r="M57" s="1143">
        <f t="shared" si="15"/>
        <v>255.9181159</v>
      </c>
      <c r="N57" s="1143">
        <f t="shared" si="15"/>
        <v>263.3676563</v>
      </c>
      <c r="O57" s="1143">
        <f t="shared" si="15"/>
        <v>276.7898734</v>
      </c>
      <c r="P57" s="1143">
        <f t="shared" si="15"/>
        <v>217.7891209</v>
      </c>
      <c r="Q57" s="1143">
        <f t="shared" si="15"/>
        <v>235.9188372</v>
      </c>
      <c r="R57" s="1143">
        <f t="shared" si="15"/>
        <v>249.9132927</v>
      </c>
      <c r="S57" s="1143">
        <f t="shared" si="15"/>
        <v>93.32752981</v>
      </c>
      <c r="T57" s="1143">
        <f t="shared" si="15"/>
        <v>106.4114984</v>
      </c>
      <c r="U57" s="1143">
        <f t="shared" si="15"/>
        <v>139.7305202</v>
      </c>
      <c r="V57" s="1143">
        <f t="shared" si="15"/>
        <v>176.038</v>
      </c>
      <c r="W57" s="1143">
        <f t="shared" si="15"/>
        <v>170.5377311</v>
      </c>
      <c r="X57" s="1143">
        <f t="shared" si="15"/>
        <v>191.321626</v>
      </c>
      <c r="Y57" s="1143">
        <f t="shared" si="15"/>
        <v>192.4960606</v>
      </c>
      <c r="Z57" s="1143">
        <f t="shared" si="15"/>
        <v>206.8396639</v>
      </c>
      <c r="AA57" s="1143">
        <f t="shared" si="15"/>
        <v>169.1002041</v>
      </c>
      <c r="AB57" s="1143">
        <f t="shared" si="15"/>
        <v>247.6709649</v>
      </c>
      <c r="AC57" s="1143">
        <f t="shared" si="15"/>
        <v>221.3230097</v>
      </c>
      <c r="AD57" s="1143">
        <f t="shared" si="15"/>
        <v>238.418</v>
      </c>
      <c r="AE57" s="1143">
        <f t="shared" si="15"/>
        <v>213.6848039</v>
      </c>
    </row>
    <row r="58">
      <c r="A58" s="1208" t="s">
        <v>307</v>
      </c>
      <c r="B58" s="1259">
        <v>189.6</v>
      </c>
      <c r="C58" s="1143">
        <v>194.16</v>
      </c>
      <c r="D58" s="1230">
        <v>198.48</v>
      </c>
      <c r="E58" s="1230">
        <v>196.24</v>
      </c>
      <c r="F58" s="1143">
        <v>195.17</v>
      </c>
      <c r="G58" s="1143">
        <v>185.41</v>
      </c>
      <c r="H58" s="1143">
        <v>207.92</v>
      </c>
      <c r="I58" s="1143">
        <v>244.25</v>
      </c>
      <c r="J58" s="1143">
        <v>251.37</v>
      </c>
      <c r="K58" s="1143">
        <v>227.1</v>
      </c>
      <c r="L58" s="1143">
        <v>215.46</v>
      </c>
      <c r="M58" s="1143">
        <v>231.35</v>
      </c>
      <c r="N58" s="1143">
        <v>230.3</v>
      </c>
      <c r="O58" s="1143">
        <v>231.34</v>
      </c>
      <c r="P58" s="1143">
        <v>207.68</v>
      </c>
      <c r="Q58" s="1143">
        <v>209.88</v>
      </c>
      <c r="R58" s="1204">
        <v>214.07</v>
      </c>
      <c r="S58" s="1143">
        <v>72.46</v>
      </c>
      <c r="T58" s="1143">
        <v>95.3</v>
      </c>
      <c r="U58" s="1143">
        <v>130.22</v>
      </c>
      <c r="V58" s="1143">
        <v>145.66</v>
      </c>
      <c r="W58" s="1143">
        <v>148.39</v>
      </c>
      <c r="X58" s="1143">
        <v>158.58</v>
      </c>
      <c r="Y58" s="1143">
        <v>163.4</v>
      </c>
      <c r="Z58" s="1143">
        <v>182.68</v>
      </c>
      <c r="AA58" s="1143">
        <v>153.45</v>
      </c>
      <c r="AB58" s="1143">
        <v>191.57</v>
      </c>
      <c r="AC58" s="1143">
        <v>179.23</v>
      </c>
      <c r="AD58" s="1143">
        <v>213.57</v>
      </c>
      <c r="AE58" s="1143">
        <v>220.43</v>
      </c>
    </row>
    <row r="59">
      <c r="A59" s="1208" t="s">
        <v>310</v>
      </c>
      <c r="B59" s="1143">
        <v>109.88</v>
      </c>
      <c r="C59" s="1143">
        <v>124.0</v>
      </c>
      <c r="D59" s="1230">
        <v>93.26</v>
      </c>
      <c r="E59" s="1230">
        <v>80.73</v>
      </c>
      <c r="F59" s="1143">
        <v>149.37</v>
      </c>
      <c r="G59" s="1143">
        <v>162.04</v>
      </c>
      <c r="H59" s="1143">
        <v>89.83</v>
      </c>
      <c r="I59" s="1143">
        <v>53.0</v>
      </c>
      <c r="J59" s="1143">
        <v>41.5</v>
      </c>
      <c r="K59" s="1143">
        <v>181.17</v>
      </c>
      <c r="L59" s="1143">
        <v>138.8</v>
      </c>
      <c r="M59" s="1143">
        <v>191.19</v>
      </c>
      <c r="N59" s="1143">
        <v>0.0</v>
      </c>
      <c r="O59" s="1143">
        <v>179.17</v>
      </c>
      <c r="P59" s="1143">
        <v>123.39</v>
      </c>
      <c r="Q59" s="1261">
        <v>45.0</v>
      </c>
      <c r="R59" s="1143">
        <v>278.55</v>
      </c>
      <c r="S59" s="1143">
        <v>51.8</v>
      </c>
      <c r="T59" s="1143">
        <v>68.0</v>
      </c>
      <c r="U59" s="1143">
        <v>42.57</v>
      </c>
      <c r="V59" s="1143">
        <v>68.4</v>
      </c>
      <c r="W59" s="1143">
        <v>95.69</v>
      </c>
      <c r="X59" s="1143">
        <v>46.33</v>
      </c>
      <c r="Y59" s="1143">
        <v>108.67</v>
      </c>
      <c r="Z59" s="1143">
        <v>107.48</v>
      </c>
      <c r="AA59" s="1143">
        <v>116.05</v>
      </c>
      <c r="AB59" s="1143">
        <v>261.56</v>
      </c>
      <c r="AC59" s="1143">
        <v>117.37</v>
      </c>
      <c r="AD59" s="1143">
        <v>109.41</v>
      </c>
      <c r="AE59" s="1143">
        <v>110.32</v>
      </c>
    </row>
    <row r="61">
      <c r="A61" s="1208" t="s">
        <v>314</v>
      </c>
    </row>
    <row r="62">
      <c r="A62" s="1258" t="s">
        <v>316</v>
      </c>
      <c r="B62" s="1258">
        <v>0.0633</v>
      </c>
      <c r="C62" s="1258">
        <v>0.0727</v>
      </c>
      <c r="D62" s="1258">
        <v>0.1037</v>
      </c>
      <c r="E62" s="1258">
        <v>0.0667</v>
      </c>
      <c r="F62" s="1258">
        <v>0.047</v>
      </c>
      <c r="G62" s="1258">
        <v>0.0744</v>
      </c>
      <c r="H62" s="1258">
        <v>0.038</v>
      </c>
      <c r="I62" s="1258">
        <v>0.0192</v>
      </c>
      <c r="J62" s="1258">
        <v>0.0192</v>
      </c>
      <c r="K62" s="1258">
        <v>0.0645</v>
      </c>
      <c r="L62" s="1258">
        <v>0.0595</v>
      </c>
      <c r="M62" s="1258">
        <v>0.1014</v>
      </c>
      <c r="N62" s="1258">
        <v>0.0</v>
      </c>
      <c r="O62" s="1258">
        <v>0.038</v>
      </c>
      <c r="P62" s="1258">
        <v>0.1099</v>
      </c>
      <c r="Q62" s="1258">
        <v>0.0581</v>
      </c>
      <c r="R62" s="1258">
        <v>0.0244</v>
      </c>
      <c r="S62" s="1258">
        <v>0.1482</v>
      </c>
      <c r="T62" s="1258">
        <v>0.1042</v>
      </c>
      <c r="U62" s="1258">
        <v>0.1214</v>
      </c>
      <c r="V62" s="1258">
        <v>0.0741</v>
      </c>
      <c r="W62" s="1258">
        <v>0.1092</v>
      </c>
      <c r="X62" s="1258">
        <v>0.0976</v>
      </c>
      <c r="Y62" s="1258">
        <v>0.0682</v>
      </c>
      <c r="Z62" s="1258">
        <v>0.1765</v>
      </c>
      <c r="AA62" s="1258">
        <v>0.1327</v>
      </c>
      <c r="AB62" s="1258">
        <v>0.1667</v>
      </c>
      <c r="AC62" s="1258">
        <v>0.1262</v>
      </c>
      <c r="AD62" s="1262">
        <v>0.09</v>
      </c>
      <c r="AE62" s="1258">
        <v>0.098</v>
      </c>
    </row>
    <row r="63">
      <c r="A63" s="1" t="s">
        <v>319</v>
      </c>
      <c r="B63" s="1258">
        <f t="shared" ref="B63:AE63" si="16">1-B62</f>
        <v>0.9367</v>
      </c>
      <c r="C63" s="1258">
        <f t="shared" si="16"/>
        <v>0.9273</v>
      </c>
      <c r="D63" s="1258">
        <f t="shared" si="16"/>
        <v>0.8963</v>
      </c>
      <c r="E63" s="1258">
        <f t="shared" si="16"/>
        <v>0.9333</v>
      </c>
      <c r="F63" s="1258">
        <f t="shared" si="16"/>
        <v>0.953</v>
      </c>
      <c r="G63" s="1258">
        <f t="shared" si="16"/>
        <v>0.9256</v>
      </c>
      <c r="H63" s="1258">
        <f t="shared" si="16"/>
        <v>0.962</v>
      </c>
      <c r="I63" s="1258">
        <f t="shared" si="16"/>
        <v>0.9808</v>
      </c>
      <c r="J63" s="1258">
        <f t="shared" si="16"/>
        <v>0.9808</v>
      </c>
      <c r="K63" s="1258">
        <f t="shared" si="16"/>
        <v>0.9355</v>
      </c>
      <c r="L63" s="1258">
        <f t="shared" si="16"/>
        <v>0.9405</v>
      </c>
      <c r="M63" s="1258">
        <f t="shared" si="16"/>
        <v>0.8986</v>
      </c>
      <c r="N63" s="1258">
        <f t="shared" si="16"/>
        <v>1</v>
      </c>
      <c r="O63" s="1258">
        <f t="shared" si="16"/>
        <v>0.962</v>
      </c>
      <c r="P63" s="1258">
        <f t="shared" si="16"/>
        <v>0.8901</v>
      </c>
      <c r="Q63" s="1258">
        <f t="shared" si="16"/>
        <v>0.9419</v>
      </c>
      <c r="R63" s="1258">
        <f t="shared" si="16"/>
        <v>0.9756</v>
      </c>
      <c r="S63" s="1258">
        <f t="shared" si="16"/>
        <v>0.8518</v>
      </c>
      <c r="T63" s="1258">
        <f t="shared" si="16"/>
        <v>0.8958</v>
      </c>
      <c r="U63" s="1258">
        <f t="shared" si="16"/>
        <v>0.8786</v>
      </c>
      <c r="V63" s="1258">
        <f t="shared" si="16"/>
        <v>0.9259</v>
      </c>
      <c r="W63" s="1258">
        <f t="shared" si="16"/>
        <v>0.8908</v>
      </c>
      <c r="X63" s="1258">
        <f t="shared" si="16"/>
        <v>0.9024</v>
      </c>
      <c r="Y63" s="1258">
        <f t="shared" si="16"/>
        <v>0.9318</v>
      </c>
      <c r="Z63" s="1258">
        <f t="shared" si="16"/>
        <v>0.8235</v>
      </c>
      <c r="AA63" s="1258">
        <f t="shared" si="16"/>
        <v>0.8673</v>
      </c>
      <c r="AB63" s="1258">
        <f t="shared" si="16"/>
        <v>0.8333</v>
      </c>
      <c r="AC63" s="1258">
        <f t="shared" si="16"/>
        <v>0.8738</v>
      </c>
      <c r="AD63" s="1258">
        <f t="shared" si="16"/>
        <v>0.91</v>
      </c>
      <c r="AE63" s="1258">
        <f t="shared" si="16"/>
        <v>0.902</v>
      </c>
    </row>
    <row r="65">
      <c r="A65" s="1208" t="s">
        <v>1059</v>
      </c>
      <c r="Z65" s="1258"/>
    </row>
    <row r="66">
      <c r="A66" s="1" t="s">
        <v>1061</v>
      </c>
      <c r="B66" s="1263">
        <f>'OLD  Formulas'!U13</f>
        <v>0.2727272727</v>
      </c>
      <c r="C66" s="1263">
        <f>'OLD  Formulas'!V13</f>
        <v>0.2957746479</v>
      </c>
      <c r="D66" s="1263">
        <f>'OLD  Formulas'!W13</f>
        <v>0.3571428571</v>
      </c>
      <c r="E66" s="1263">
        <f>'OLD  Formulas'!X13</f>
        <v>0.3131313131</v>
      </c>
      <c r="F66" s="1263">
        <f>'OLD  Formulas'!Y13</f>
        <v>0.2025</v>
      </c>
      <c r="G66" s="1263">
        <f>'OLD  Formulas'!Z13</f>
        <v>0.380952381</v>
      </c>
      <c r="H66" s="1263">
        <f>'OLD  Formulas'!AA13</f>
        <v>0.3529411765</v>
      </c>
      <c r="I66" s="1263">
        <f>'OLD  Formulas'!AB13</f>
        <v>0.4054054054</v>
      </c>
      <c r="J66" s="1263">
        <f>'OLD  Formulas'!AC13</f>
        <v>0.3409090909</v>
      </c>
      <c r="K66" s="1263">
        <f>'OLD  Formulas'!AD13</f>
        <v>0.3666666667</v>
      </c>
      <c r="L66" s="1263">
        <f>'OLD  Formulas'!AE13</f>
        <v>0.4461538462</v>
      </c>
      <c r="M66" s="1263">
        <f>'OLD  Formulas'!AF13</f>
        <v>0.3673469388</v>
      </c>
      <c r="N66" s="1263">
        <f>'OLD  Formulas'!AG13</f>
        <v>0.4509803922</v>
      </c>
      <c r="O66" s="1263">
        <f>'OLD  Formulas'!AH13</f>
        <v>0.28</v>
      </c>
      <c r="P66" s="1263">
        <f>'OLD  Formulas'!AI13</f>
        <v>0.4</v>
      </c>
      <c r="Q66" s="1263">
        <f>'OLD  Formulas'!AJ13</f>
        <v>0.4193548387</v>
      </c>
      <c r="R66" s="1263">
        <f>'OLD  Formulas'!AK13</f>
        <v>0.3333333333</v>
      </c>
      <c r="S66" s="1263">
        <f>'OLD  Formulas'!AL13</f>
        <v>0.3713355049</v>
      </c>
      <c r="T66" s="1263">
        <f>'OLD  Formulas'!AM13</f>
        <v>0.2608695652</v>
      </c>
      <c r="U66" s="1263">
        <f>'OLD  Formulas'!AN13</f>
        <v>0.3949579832</v>
      </c>
      <c r="V66" s="1263">
        <f>'OLD  Formulas'!AO13</f>
        <v>0.4805194805</v>
      </c>
      <c r="W66" s="1263">
        <f>'OLD  Formulas'!AP13</f>
        <v>0.4507042254</v>
      </c>
      <c r="X66" s="1263">
        <f>'OLD  Formulas'!AQ13</f>
        <v>0.4102564103</v>
      </c>
      <c r="Y66" s="1263">
        <f>'OLD  Formulas'!AR13</f>
        <v>0.397260274</v>
      </c>
      <c r="Z66" s="1263">
        <f>'OLD  Formulas'!AS13</f>
        <v>0.28</v>
      </c>
      <c r="AA66" s="1263">
        <f>'OLD  Formulas'!AT13</f>
        <v>0</v>
      </c>
      <c r="AB66" s="1263">
        <f>'OLD  Formulas'!AU13</f>
        <v>0</v>
      </c>
      <c r="AC66" s="1263">
        <f>'OLD  Formulas'!AV13</f>
        <v>0.2727272727</v>
      </c>
      <c r="AD66" s="1263">
        <f>'OLD  Formulas'!AW13</f>
        <v>0.3733333333</v>
      </c>
      <c r="AE66" s="1263">
        <f>'OLD  Formulas'!AX13</f>
        <v>0.4305555556</v>
      </c>
    </row>
    <row r="67">
      <c r="A67" s="1" t="s">
        <v>1062</v>
      </c>
      <c r="B67" s="1263">
        <f>'OLD  Formulas'!U14</f>
        <v>0.5636363636</v>
      </c>
      <c r="C67" s="1263">
        <f>'OLD  Formulas'!V14</f>
        <v>0.5070422535</v>
      </c>
      <c r="D67" s="1263">
        <f>'OLD  Formulas'!W14</f>
        <v>0.5612244898</v>
      </c>
      <c r="E67" s="1263">
        <f>'OLD  Formulas'!X14</f>
        <v>0.3535353535</v>
      </c>
      <c r="F67" s="1263">
        <f>'OLD  Formulas'!Y14</f>
        <v>0.4425</v>
      </c>
      <c r="G67" s="1263">
        <f>'OLD  Formulas'!Z14</f>
        <v>0.5357142857</v>
      </c>
      <c r="H67" s="1263">
        <f>'OLD  Formulas'!AA14</f>
        <v>0.5098039216</v>
      </c>
      <c r="I67" s="1263">
        <f>'OLD  Formulas'!AB14</f>
        <v>0.5135135135</v>
      </c>
      <c r="J67" s="1263">
        <f>'OLD  Formulas'!AC14</f>
        <v>0.5909090909</v>
      </c>
      <c r="K67" s="1263">
        <f>'OLD  Formulas'!AD14</f>
        <v>0.5666666667</v>
      </c>
      <c r="L67" s="1263">
        <f>'OLD  Formulas'!AE14</f>
        <v>0.4</v>
      </c>
      <c r="M67" s="1263">
        <f>'OLD  Formulas'!AF14</f>
        <v>0.5714285714</v>
      </c>
      <c r="N67" s="1263">
        <f>'OLD  Formulas'!AG14</f>
        <v>0.4117647059</v>
      </c>
      <c r="O67" s="1263">
        <f>'OLD  Formulas'!AH14</f>
        <v>0.56</v>
      </c>
      <c r="P67" s="1263">
        <f>'OLD  Formulas'!AI14</f>
        <v>0.4363636364</v>
      </c>
      <c r="Q67" s="1263">
        <f>'OLD  Formulas'!AJ14</f>
        <v>0.435483871</v>
      </c>
      <c r="R67" s="1263">
        <f>'OLD  Formulas'!AK14</f>
        <v>0.5490196078</v>
      </c>
      <c r="S67" s="1263">
        <f>'OLD  Formulas'!AL14</f>
        <v>0.4299674267</v>
      </c>
      <c r="T67" s="1263">
        <f>'OLD  Formulas'!AM14</f>
        <v>0.6086956522</v>
      </c>
      <c r="U67" s="1263">
        <f>'OLD  Formulas'!AN14</f>
        <v>0.487394958</v>
      </c>
      <c r="V67" s="1263">
        <f>'OLD  Formulas'!AO14</f>
        <v>0.3246753247</v>
      </c>
      <c r="W67" s="1263">
        <f>'OLD  Formulas'!AP14</f>
        <v>0.3943661972</v>
      </c>
      <c r="X67" s="1263">
        <f>'OLD  Formulas'!AQ14</f>
        <v>0.4358974359</v>
      </c>
      <c r="Y67" s="1263">
        <f>'OLD  Formulas'!AR14</f>
        <v>0.5616438356</v>
      </c>
      <c r="Z67" s="1263">
        <f>'OLD  Formulas'!AS14</f>
        <v>0.64</v>
      </c>
      <c r="AA67" s="1263">
        <f>'OLD  Formulas'!AT14</f>
        <v>0</v>
      </c>
      <c r="AB67" s="1263">
        <f>'OLD  Formulas'!AU14</f>
        <v>0</v>
      </c>
      <c r="AC67" s="1263">
        <f>'OLD  Formulas'!AV14</f>
        <v>0.5151515152</v>
      </c>
      <c r="AD67" s="1263">
        <f>'OLD  Formulas'!AW14</f>
        <v>0.44</v>
      </c>
      <c r="AE67" s="1263">
        <f>'OLD  Formulas'!AX14</f>
        <v>0.4305555556</v>
      </c>
    </row>
    <row r="68">
      <c r="A68" s="1" t="s">
        <v>88</v>
      </c>
      <c r="B68" s="1263">
        <f>'OLD  Formulas'!U15</f>
        <v>0.01818181818</v>
      </c>
      <c r="C68" s="1263">
        <f>'OLD  Formulas'!V15</f>
        <v>0.01408450704</v>
      </c>
      <c r="D68" s="1263">
        <f>'OLD  Formulas'!W15</f>
        <v>0</v>
      </c>
      <c r="E68" s="1263">
        <f>'OLD  Formulas'!X15</f>
        <v>0.06565656566</v>
      </c>
      <c r="F68" s="1263">
        <f>'OLD  Formulas'!Y15</f>
        <v>0.0675</v>
      </c>
      <c r="G68" s="1263">
        <f>'OLD  Formulas'!Z15</f>
        <v>0</v>
      </c>
      <c r="H68" s="1263">
        <f>'OLD  Formulas'!AA15</f>
        <v>0.03921568627</v>
      </c>
      <c r="I68" s="1263">
        <f>'OLD  Formulas'!AB15</f>
        <v>0</v>
      </c>
      <c r="J68" s="1263">
        <f>'OLD  Formulas'!AC15</f>
        <v>0</v>
      </c>
      <c r="K68" s="1263">
        <f>'OLD  Formulas'!AD15</f>
        <v>0.01666666667</v>
      </c>
      <c r="L68" s="1263">
        <f>'OLD  Formulas'!AE15</f>
        <v>0.01538461538</v>
      </c>
      <c r="M68" s="1263">
        <f>'OLD  Formulas'!AF15</f>
        <v>0</v>
      </c>
      <c r="N68" s="1263">
        <f>'OLD  Formulas'!AG15</f>
        <v>0.01960784314</v>
      </c>
      <c r="O68" s="1263">
        <f>'OLD  Formulas'!AH15</f>
        <v>0</v>
      </c>
      <c r="P68" s="1263">
        <f>'OLD  Formulas'!AI15</f>
        <v>0</v>
      </c>
      <c r="Q68" s="1263">
        <f>'OLD  Formulas'!AJ15</f>
        <v>0.01612903226</v>
      </c>
      <c r="R68" s="1263">
        <f>'OLD  Formulas'!AK15</f>
        <v>0</v>
      </c>
      <c r="S68" s="1263">
        <f>'OLD  Formulas'!AL15</f>
        <v>0.00651465798</v>
      </c>
      <c r="T68" s="1263">
        <f>'OLD  Formulas'!AM15</f>
        <v>0</v>
      </c>
      <c r="U68" s="1263">
        <f>'OLD  Formulas'!AN15</f>
        <v>0.008403361345</v>
      </c>
      <c r="V68" s="1263">
        <f>'OLD  Formulas'!AO15</f>
        <v>0</v>
      </c>
      <c r="W68" s="1263">
        <f>'OLD  Formulas'!AP15</f>
        <v>0.01408450704</v>
      </c>
      <c r="X68" s="1263">
        <f>'OLD  Formulas'!AQ15</f>
        <v>0.02564102564</v>
      </c>
      <c r="Y68" s="1263">
        <f>'OLD  Formulas'!AR15</f>
        <v>0</v>
      </c>
      <c r="Z68" s="1263">
        <f>'OLD  Formulas'!AS15</f>
        <v>0.04</v>
      </c>
      <c r="AA68" s="1263">
        <f>'OLD  Formulas'!AT15</f>
        <v>0</v>
      </c>
      <c r="AB68" s="1263">
        <f>'OLD  Formulas'!AU15</f>
        <v>0</v>
      </c>
      <c r="AC68" s="1263">
        <f>'OLD  Formulas'!AV15</f>
        <v>0</v>
      </c>
      <c r="AD68" s="1263">
        <f>'OLD  Formulas'!AW15</f>
        <v>0.01333333333</v>
      </c>
      <c r="AE68" s="1263">
        <f>'OLD  Formulas'!AX15</f>
        <v>0</v>
      </c>
    </row>
    <row r="69">
      <c r="A69" s="1" t="s">
        <v>1064</v>
      </c>
      <c r="B69" s="1263">
        <f>'OLD  Formulas'!U16</f>
        <v>0.01818181818</v>
      </c>
      <c r="C69" s="1263">
        <f>'OLD  Formulas'!V16</f>
        <v>0</v>
      </c>
      <c r="D69" s="1263">
        <f>'OLD  Formulas'!W16</f>
        <v>0.02040816327</v>
      </c>
      <c r="E69" s="1263">
        <f>'OLD  Formulas'!X16</f>
        <v>0</v>
      </c>
      <c r="F69" s="1263">
        <f>'OLD  Formulas'!Y16</f>
        <v>0.2025</v>
      </c>
      <c r="G69" s="1263">
        <f>'OLD  Formulas'!Z16</f>
        <v>0.0119047619</v>
      </c>
      <c r="H69" s="1263">
        <f>'OLD  Formulas'!AA16</f>
        <v>0.01960784314</v>
      </c>
      <c r="I69" s="1263">
        <f>'OLD  Formulas'!AB16</f>
        <v>0</v>
      </c>
      <c r="J69" s="1263">
        <f>'OLD  Formulas'!AC16</f>
        <v>0</v>
      </c>
      <c r="K69" s="1263">
        <f>'OLD  Formulas'!AD16</f>
        <v>0</v>
      </c>
      <c r="L69" s="1263">
        <f>'OLD  Formulas'!AE16</f>
        <v>0</v>
      </c>
      <c r="M69" s="1263">
        <f>'OLD  Formulas'!AF16</f>
        <v>0</v>
      </c>
      <c r="N69" s="1263">
        <f>'OLD  Formulas'!AG16</f>
        <v>0</v>
      </c>
      <c r="O69" s="1263">
        <f>'OLD  Formulas'!AH16</f>
        <v>0.02</v>
      </c>
      <c r="P69" s="1263">
        <f>'OLD  Formulas'!AI16</f>
        <v>0</v>
      </c>
      <c r="Q69" s="1263">
        <f>'OLD  Formulas'!AJ16</f>
        <v>0</v>
      </c>
      <c r="R69" s="1263">
        <f>'OLD  Formulas'!AK16</f>
        <v>0.03921568627</v>
      </c>
      <c r="S69" s="1263">
        <f>'OLD  Formulas'!AL16</f>
        <v>0</v>
      </c>
      <c r="T69" s="1263">
        <f>'OLD  Formulas'!AM16</f>
        <v>0</v>
      </c>
      <c r="U69" s="1263">
        <f>'OLD  Formulas'!AN16</f>
        <v>0.008403361345</v>
      </c>
      <c r="V69" s="1263">
        <f>'OLD  Formulas'!AO16</f>
        <v>0.02597402597</v>
      </c>
      <c r="W69" s="1263">
        <f>'OLD  Formulas'!AP16</f>
        <v>0.02816901408</v>
      </c>
      <c r="X69" s="1263">
        <f>'OLD  Formulas'!AQ16</f>
        <v>0.01282051282</v>
      </c>
      <c r="Y69" s="1263">
        <f>'OLD  Formulas'!AR16</f>
        <v>0</v>
      </c>
      <c r="Z69" s="1263">
        <f>'OLD  Formulas'!AS16</f>
        <v>0</v>
      </c>
      <c r="AA69" s="1263">
        <f>'OLD  Formulas'!AT16</f>
        <v>0</v>
      </c>
      <c r="AB69" s="1263">
        <f>'OLD  Formulas'!AU16</f>
        <v>0</v>
      </c>
      <c r="AC69" s="1263">
        <f>'OLD  Formulas'!AV16</f>
        <v>0</v>
      </c>
      <c r="AD69" s="1263">
        <f>'OLD  Formulas'!AW16</f>
        <v>0</v>
      </c>
      <c r="AE69" s="1263">
        <f>'OLD  Formulas'!AX16</f>
        <v>0.01388888889</v>
      </c>
    </row>
    <row r="70">
      <c r="A70" s="1" t="s">
        <v>1066</v>
      </c>
      <c r="B70" s="1263">
        <f>'OLD  Formulas'!U17</f>
        <v>0.01818181818</v>
      </c>
      <c r="C70" s="1263">
        <f>'OLD  Formulas'!V17</f>
        <v>0.05633802817</v>
      </c>
      <c r="D70" s="1263">
        <f>'OLD  Formulas'!W17</f>
        <v>0.04081632653</v>
      </c>
      <c r="E70" s="1263">
        <f>'OLD  Formulas'!X17</f>
        <v>0.1868686869</v>
      </c>
      <c r="F70" s="1263">
        <f>'OLD  Formulas'!Y17</f>
        <v>0.07</v>
      </c>
      <c r="G70" s="1263">
        <f>'OLD  Formulas'!Z17</f>
        <v>0.03571428571</v>
      </c>
      <c r="H70" s="1263">
        <f>'OLD  Formulas'!AA17</f>
        <v>0.01960784314</v>
      </c>
      <c r="I70" s="1263">
        <f>'OLD  Formulas'!AB17</f>
        <v>0.02702702703</v>
      </c>
      <c r="J70" s="1263">
        <f>'OLD  Formulas'!AC17</f>
        <v>0</v>
      </c>
      <c r="K70" s="1263">
        <f>'OLD  Formulas'!AD17</f>
        <v>0.01666666667</v>
      </c>
      <c r="L70" s="1263">
        <f>'OLD  Formulas'!AE17</f>
        <v>0.04615384615</v>
      </c>
      <c r="M70" s="1263">
        <f>'OLD  Formulas'!AF17</f>
        <v>0.02040816327</v>
      </c>
      <c r="N70" s="1263">
        <f>'OLD  Formulas'!AG17</f>
        <v>0</v>
      </c>
      <c r="O70" s="1263">
        <f>'OLD  Formulas'!AH17</f>
        <v>0.02</v>
      </c>
      <c r="P70" s="1263">
        <f>'OLD  Formulas'!AI17</f>
        <v>0.07272727273</v>
      </c>
      <c r="Q70" s="1263">
        <f>'OLD  Formulas'!AJ17</f>
        <v>0.03225806452</v>
      </c>
      <c r="R70" s="1263">
        <f>'OLD  Formulas'!AK17</f>
        <v>0.03921568627</v>
      </c>
      <c r="S70" s="1263">
        <f>'OLD  Formulas'!AL17</f>
        <v>0.1140065147</v>
      </c>
      <c r="T70" s="1263">
        <f>'OLD  Formulas'!AM17</f>
        <v>0.01449275362</v>
      </c>
      <c r="U70" s="1263">
        <f>'OLD  Formulas'!AN17</f>
        <v>0.05042016807</v>
      </c>
      <c r="V70" s="1263">
        <f>'OLD  Formulas'!AO17</f>
        <v>0.07792207792</v>
      </c>
      <c r="W70" s="1263">
        <f>'OLD  Formulas'!AP17</f>
        <v>0.01408450704</v>
      </c>
      <c r="X70" s="1263">
        <f>'OLD  Formulas'!AQ17</f>
        <v>0.08974358974</v>
      </c>
      <c r="Y70" s="1263">
        <f>'OLD  Formulas'!AR17</f>
        <v>0.02739726027</v>
      </c>
      <c r="Z70" s="1263">
        <f>'OLD  Formulas'!AS17</f>
        <v>0.04</v>
      </c>
      <c r="AA70" s="1263">
        <f>'OLD  Formulas'!AT17</f>
        <v>0</v>
      </c>
      <c r="AB70" s="1263">
        <f>'OLD  Formulas'!AU17</f>
        <v>0</v>
      </c>
      <c r="AC70" s="1263">
        <f>'OLD  Formulas'!AV17</f>
        <v>0.0303030303</v>
      </c>
      <c r="AD70" s="1263">
        <f>'OLD  Formulas'!AW17</f>
        <v>0.08</v>
      </c>
      <c r="AE70" s="1263">
        <f>'OLD  Formulas'!AX17</f>
        <v>0.04166666667</v>
      </c>
    </row>
    <row r="71">
      <c r="A71" s="1" t="s">
        <v>1069</v>
      </c>
      <c r="B71" s="1263">
        <f>'OLD  Formulas'!U18</f>
        <v>0</v>
      </c>
      <c r="C71" s="1263">
        <f>'OLD  Formulas'!V18</f>
        <v>0</v>
      </c>
      <c r="D71" s="1263">
        <f>'OLD  Formulas'!W18</f>
        <v>0</v>
      </c>
      <c r="E71" s="1263">
        <f>'OLD  Formulas'!X18</f>
        <v>0</v>
      </c>
      <c r="F71" s="1263">
        <f>'OLD  Formulas'!Y18</f>
        <v>0.0025</v>
      </c>
      <c r="G71" s="1263">
        <f>'OLD  Formulas'!Z18</f>
        <v>0.02380952381</v>
      </c>
      <c r="H71" s="1263">
        <f>'OLD  Formulas'!AA18</f>
        <v>0.01960784314</v>
      </c>
      <c r="I71" s="1263">
        <f>'OLD  Formulas'!AB18</f>
        <v>0.02702702703</v>
      </c>
      <c r="J71" s="1263">
        <f>'OLD  Formulas'!AC18</f>
        <v>0</v>
      </c>
      <c r="K71" s="1263">
        <f>'OLD  Formulas'!AD18</f>
        <v>0</v>
      </c>
      <c r="L71" s="1263">
        <f>'OLD  Formulas'!AE18</f>
        <v>0</v>
      </c>
      <c r="M71" s="1263">
        <f>'OLD  Formulas'!AF18</f>
        <v>0</v>
      </c>
      <c r="N71" s="1263">
        <f>'OLD  Formulas'!AG18</f>
        <v>0.01960784314</v>
      </c>
      <c r="O71" s="1263">
        <f>'OLD  Formulas'!AH18</f>
        <v>0</v>
      </c>
      <c r="P71" s="1263">
        <f>'OLD  Formulas'!AI18</f>
        <v>0.01818181818</v>
      </c>
      <c r="Q71" s="1263">
        <f>'OLD  Formulas'!AJ18</f>
        <v>0</v>
      </c>
      <c r="R71" s="1263">
        <f>'OLD  Formulas'!AK18</f>
        <v>0</v>
      </c>
      <c r="S71" s="1263">
        <f>'OLD  Formulas'!AL18</f>
        <v>0.009771986971</v>
      </c>
      <c r="T71" s="1263">
        <f>'OLD  Formulas'!AM18</f>
        <v>0</v>
      </c>
      <c r="U71" s="1263">
        <f>'OLD  Formulas'!AN18</f>
        <v>0</v>
      </c>
      <c r="V71" s="1263">
        <f>'OLD  Formulas'!AO18</f>
        <v>0.01298701299</v>
      </c>
      <c r="W71" s="1263">
        <f>'OLD  Formulas'!AP18</f>
        <v>0.01408450704</v>
      </c>
      <c r="X71" s="1263">
        <f>'OLD  Formulas'!AQ18</f>
        <v>0</v>
      </c>
      <c r="Y71" s="1263">
        <f>'OLD  Formulas'!AR18</f>
        <v>0</v>
      </c>
      <c r="Z71" s="1263">
        <f>'OLD  Formulas'!AS18</f>
        <v>0</v>
      </c>
      <c r="AA71" s="1263">
        <f>'OLD  Formulas'!AT18</f>
        <v>0</v>
      </c>
      <c r="AB71" s="1263">
        <f>'OLD  Formulas'!AU18</f>
        <v>0</v>
      </c>
      <c r="AC71" s="1263">
        <f>'OLD  Formulas'!AV18</f>
        <v>0.0303030303</v>
      </c>
      <c r="AD71" s="1263">
        <f>'OLD  Formulas'!AW18</f>
        <v>0</v>
      </c>
      <c r="AE71" s="1263">
        <f>'OLD  Formulas'!AX18</f>
        <v>0</v>
      </c>
    </row>
    <row r="72">
      <c r="A72" s="1" t="s">
        <v>1070</v>
      </c>
      <c r="B72" s="1263">
        <f>'OLD  Formulas'!U19</f>
        <v>0.09090909091</v>
      </c>
      <c r="C72" s="1263">
        <f>'OLD  Formulas'!V19</f>
        <v>0.1267605634</v>
      </c>
      <c r="D72" s="1263">
        <f>'OLD  Formulas'!W19</f>
        <v>0.02040816327</v>
      </c>
      <c r="E72" s="1263">
        <f>'OLD  Formulas'!X19</f>
        <v>0.08080808081</v>
      </c>
      <c r="F72" s="1263">
        <f>'OLD  Formulas'!Y19</f>
        <v>0.01</v>
      </c>
      <c r="G72" s="1263">
        <f>'OLD  Formulas'!Z19</f>
        <v>0.0119047619</v>
      </c>
      <c r="H72" s="1263">
        <f>'OLD  Formulas'!AA19</f>
        <v>0.03921568627</v>
      </c>
      <c r="I72" s="1263">
        <f>'OLD  Formulas'!AB19</f>
        <v>0.02702702703</v>
      </c>
      <c r="J72" s="1263">
        <f>'OLD  Formulas'!AC19</f>
        <v>0.06818181818</v>
      </c>
      <c r="K72" s="1263">
        <f>'OLD  Formulas'!AD19</f>
        <v>0.03333333333</v>
      </c>
      <c r="L72" s="1263">
        <f>'OLD  Formulas'!AE19</f>
        <v>0.07692307692</v>
      </c>
      <c r="M72" s="1263">
        <f>'OLD  Formulas'!AF19</f>
        <v>0.04081632653</v>
      </c>
      <c r="N72" s="1263">
        <f>'OLD  Formulas'!AG19</f>
        <v>0.09803921569</v>
      </c>
      <c r="O72" s="1263">
        <f>'OLD  Formulas'!AH19</f>
        <v>0.1</v>
      </c>
      <c r="P72" s="1263">
        <f>'OLD  Formulas'!AI19</f>
        <v>0.07272727273</v>
      </c>
      <c r="Q72" s="1263">
        <f>'OLD  Formulas'!AJ19</f>
        <v>0.09677419355</v>
      </c>
      <c r="R72" s="1263">
        <f>'OLD  Formulas'!AK19</f>
        <v>0.03921568627</v>
      </c>
      <c r="S72" s="1263">
        <f>'OLD  Formulas'!AL19</f>
        <v>0.06188925081</v>
      </c>
      <c r="T72" s="1263">
        <f>'OLD  Formulas'!AM19</f>
        <v>0.1014492754</v>
      </c>
      <c r="U72" s="1263">
        <f>'OLD  Formulas'!AN19</f>
        <v>0.05042016807</v>
      </c>
      <c r="V72" s="1263">
        <f>'OLD  Formulas'!AO19</f>
        <v>0.07792207792</v>
      </c>
      <c r="W72" s="1263">
        <f>'OLD  Formulas'!AP19</f>
        <v>0.07042253521</v>
      </c>
      <c r="X72" s="1263">
        <f>'OLD  Formulas'!AQ19</f>
        <v>0.02564102564</v>
      </c>
      <c r="Y72" s="1263">
        <f>'OLD  Formulas'!AR19</f>
        <v>0.01369863014</v>
      </c>
      <c r="Z72" s="1263">
        <f>'OLD  Formulas'!AS19</f>
        <v>0</v>
      </c>
      <c r="AA72" s="1263">
        <f>'OLD  Formulas'!AT19</f>
        <v>0</v>
      </c>
      <c r="AB72" s="1263">
        <f>'OLD  Formulas'!AU19</f>
        <v>0</v>
      </c>
      <c r="AC72" s="1263">
        <f>'OLD  Formulas'!AV19</f>
        <v>0.1515151515</v>
      </c>
      <c r="AD72" s="1263">
        <f>'OLD  Formulas'!AW19</f>
        <v>0.09333333333</v>
      </c>
      <c r="AE72" s="1263">
        <f>'OLD  Formulas'!AX19</f>
        <v>0.05555555556</v>
      </c>
    </row>
    <row r="73">
      <c r="A73" s="1" t="s">
        <v>1071</v>
      </c>
      <c r="B73" s="1263">
        <f>'OLD  Formulas'!U20</f>
        <v>0.01818181818</v>
      </c>
      <c r="C73" s="1263">
        <f>'OLD  Formulas'!V20</f>
        <v>0</v>
      </c>
      <c r="D73" s="1263">
        <f>'OLD  Formulas'!W20</f>
        <v>0</v>
      </c>
      <c r="E73" s="1263">
        <f>'OLD  Formulas'!X20</f>
        <v>0</v>
      </c>
      <c r="F73" s="1263">
        <f>'OLD  Formulas'!Y20</f>
        <v>0.0025</v>
      </c>
      <c r="G73" s="1263">
        <f>'OLD  Formulas'!Z20</f>
        <v>0</v>
      </c>
      <c r="H73" s="1263">
        <f>'OLD  Formulas'!AA20</f>
        <v>0</v>
      </c>
      <c r="I73" s="1263">
        <f>'OLD  Formulas'!AB20</f>
        <v>0</v>
      </c>
      <c r="J73" s="1263">
        <f>'OLD  Formulas'!AC20</f>
        <v>0</v>
      </c>
      <c r="K73" s="1263">
        <f>'OLD  Formulas'!AD20</f>
        <v>0</v>
      </c>
      <c r="L73" s="1263">
        <f>'OLD  Formulas'!AE20</f>
        <v>0.01538461538</v>
      </c>
      <c r="M73" s="1263">
        <f>'OLD  Formulas'!AF20</f>
        <v>0</v>
      </c>
      <c r="N73" s="1263">
        <f>'OLD  Formulas'!AG20</f>
        <v>0</v>
      </c>
      <c r="O73" s="1263">
        <f>'OLD  Formulas'!AH20</f>
        <v>0.02</v>
      </c>
      <c r="P73" s="1263">
        <f>'OLD  Formulas'!AI20</f>
        <v>0</v>
      </c>
      <c r="Q73" s="1263">
        <f>'OLD  Formulas'!AJ20</f>
        <v>0</v>
      </c>
      <c r="R73" s="1263">
        <f>'OLD  Formulas'!AK20</f>
        <v>0</v>
      </c>
      <c r="S73" s="1263">
        <f>'OLD  Formulas'!AL20</f>
        <v>0.00651465798</v>
      </c>
      <c r="T73" s="1263">
        <f>'OLD  Formulas'!AM20</f>
        <v>0.01449275362</v>
      </c>
      <c r="U73" s="1263">
        <f>'OLD  Formulas'!AN20</f>
        <v>0</v>
      </c>
      <c r="V73" s="1263">
        <f>'OLD  Formulas'!AO20</f>
        <v>0</v>
      </c>
      <c r="W73" s="1263">
        <f>'OLD  Formulas'!AP20</f>
        <v>0.01408450704</v>
      </c>
      <c r="X73" s="1263">
        <f>'OLD  Formulas'!AQ20</f>
        <v>0</v>
      </c>
      <c r="Y73" s="1263">
        <f>'OLD  Formulas'!AR20</f>
        <v>0</v>
      </c>
      <c r="Z73" s="1263">
        <f>'OLD  Formulas'!AS20</f>
        <v>0</v>
      </c>
      <c r="AA73" s="1263">
        <f>'OLD  Formulas'!AT20</f>
        <v>0</v>
      </c>
      <c r="AB73" s="1263">
        <f>'OLD  Formulas'!AU20</f>
        <v>0</v>
      </c>
      <c r="AC73" s="1263">
        <f>'OLD  Formulas'!AV20</f>
        <v>0</v>
      </c>
      <c r="AD73" s="1263">
        <f>'OLD  Formulas'!AW20</f>
        <v>0</v>
      </c>
      <c r="AE73" s="1263">
        <f>'OLD  Formulas'!AX20</f>
        <v>0.02777777778</v>
      </c>
    </row>
    <row r="74">
      <c r="G74" s="1264"/>
    </row>
    <row r="75">
      <c r="B75" s="1265">
        <v>45170.0</v>
      </c>
      <c r="C75" s="1266" t="s">
        <v>322</v>
      </c>
      <c r="D75" s="1266" t="s">
        <v>323</v>
      </c>
    </row>
    <row r="76">
      <c r="A76" s="1" t="s">
        <v>98</v>
      </c>
      <c r="B76" s="1255">
        <f>SUM(B23:AE23)</f>
        <v>1050842.27</v>
      </c>
      <c r="C76" s="1267">
        <v>1450000.0</v>
      </c>
      <c r="D76" s="1268">
        <f t="shared" ref="D76:D78" si="17">B76/C76</f>
        <v>0.7247188069</v>
      </c>
      <c r="X76" s="1263"/>
      <c r="AA76" s="1237"/>
    </row>
    <row r="77">
      <c r="A77" s="1" t="s">
        <v>327</v>
      </c>
      <c r="B77" s="1255">
        <f>SUM(B44:AE44)</f>
        <v>332986.33</v>
      </c>
      <c r="C77" s="1267">
        <v>500000.0</v>
      </c>
      <c r="D77" s="1268">
        <f t="shared" si="17"/>
        <v>0.66597266</v>
      </c>
      <c r="X77" s="1263"/>
      <c r="AA77" s="1237"/>
    </row>
    <row r="78">
      <c r="A78" s="1" t="s">
        <v>328</v>
      </c>
      <c r="B78" s="1237">
        <f>B76/B77</f>
        <v>3.155812042</v>
      </c>
      <c r="C78" s="1269">
        <v>3.0</v>
      </c>
      <c r="D78" s="1268">
        <f t="shared" si="17"/>
        <v>1.051937347</v>
      </c>
    </row>
    <row r="79">
      <c r="A79" s="1" t="s">
        <v>1120</v>
      </c>
      <c r="B79" s="1255">
        <f>SUM(B44:AE44)/SUM(B33:AE33)</f>
        <v>31.07955292</v>
      </c>
      <c r="C79" s="1270"/>
      <c r="D79" s="1268"/>
      <c r="W79" s="1" t="s">
        <v>334</v>
      </c>
    </row>
    <row r="80">
      <c r="A80" s="1" t="s">
        <v>335</v>
      </c>
      <c r="B80" s="1263">
        <f>AVERAGE(B56:AE56)</f>
        <v>0.01428666667</v>
      </c>
      <c r="C80" s="1271"/>
      <c r="D80" s="1268"/>
    </row>
    <row r="81">
      <c r="A81" s="1" t="s">
        <v>337</v>
      </c>
      <c r="B81" s="1255">
        <f>B76/B84</f>
        <v>98.08122737</v>
      </c>
      <c r="C81" s="1270"/>
      <c r="D81" s="1268"/>
    </row>
    <row r="82">
      <c r="A82" s="1" t="s">
        <v>307</v>
      </c>
      <c r="B82" s="1259">
        <f t="shared" ref="B82:B83" si="18">AVERAGE(B58:AE58)</f>
        <v>189.4906667</v>
      </c>
    </row>
    <row r="83">
      <c r="A83" s="1" t="s">
        <v>310</v>
      </c>
      <c r="B83" s="1143">
        <f t="shared" si="18"/>
        <v>111.4843333</v>
      </c>
    </row>
    <row r="84">
      <c r="A84" s="1" t="s">
        <v>69</v>
      </c>
      <c r="B84" s="1272">
        <f>SUM(B33:AE33)</f>
        <v>10714</v>
      </c>
      <c r="C84" s="1273"/>
      <c r="D84" s="1268"/>
      <c r="L84" s="1" t="s">
        <v>334</v>
      </c>
    </row>
    <row r="85">
      <c r="A85" s="1" t="s">
        <v>342</v>
      </c>
      <c r="B85" s="1274">
        <f>'OLD Detailed Report'!AF149 +'OLD AMAZON Detailed Report'!AF43</f>
        <v>2958</v>
      </c>
      <c r="C85" s="1273">
        <v>3500.0</v>
      </c>
      <c r="D85" s="1268">
        <f>B85/C85</f>
        <v>0.8451428571</v>
      </c>
    </row>
    <row r="86">
      <c r="A86" s="1" t="s">
        <v>343</v>
      </c>
      <c r="B86" s="1255">
        <f>B77/B85</f>
        <v>112.5714435</v>
      </c>
      <c r="C86" s="1270"/>
      <c r="D86" s="1268"/>
    </row>
    <row r="87">
      <c r="A87" s="1" t="s">
        <v>346</v>
      </c>
      <c r="B87" s="1263">
        <f>AVERAGE(B63:AE63)</f>
        <v>0.9175666667</v>
      </c>
    </row>
    <row r="88">
      <c r="A88" s="1" t="s">
        <v>348</v>
      </c>
      <c r="B88" s="1263">
        <f>AVERAGE(B62:AE62)</f>
        <v>0.08243333333</v>
      </c>
    </row>
    <row r="98">
      <c r="Y98" s="1258"/>
      <c r="Z98" s="1258"/>
      <c r="AA98" s="1258"/>
      <c r="AB98" s="1258"/>
      <c r="AC98" s="1258"/>
      <c r="AD98" s="1258"/>
      <c r="AE98" s="1258"/>
    </row>
    <row r="99">
      <c r="Y99" s="1258"/>
      <c r="Z99" s="1258"/>
      <c r="AA99" s="1258"/>
      <c r="AB99" s="1258"/>
      <c r="AC99" s="1258"/>
      <c r="AD99" s="1258"/>
      <c r="AE99" s="1258"/>
    </row>
    <row r="100">
      <c r="Y100" s="1258"/>
      <c r="Z100" s="1258"/>
      <c r="AA100" s="1258"/>
      <c r="AB100" s="1258"/>
      <c r="AC100" s="1258"/>
      <c r="AD100" s="1258"/>
      <c r="AE100" s="1258"/>
    </row>
    <row r="101">
      <c r="Y101" s="1275"/>
      <c r="AC101" s="1258"/>
      <c r="AD101" s="1258"/>
      <c r="AE101" s="1258"/>
    </row>
    <row r="106">
      <c r="Y106" s="1" t="s">
        <v>334</v>
      </c>
    </row>
  </sheetData>
  <mergeCells count="4">
    <mergeCell ref="X4:AD4"/>
    <mergeCell ref="B5:G5"/>
    <mergeCell ref="N5:R5"/>
    <mergeCell ref="V7:Z7"/>
  </mergeCells>
  <conditionalFormatting sqref="Z65 Y98:Y101 Z98:AB100 AC98:AE101">
    <cfRule type="colorScale" priority="1">
      <colorScale>
        <cfvo type="min"/>
        <cfvo type="max"/>
        <color rgb="FFFFFFFF"/>
        <color rgb="FF57BB8A"/>
      </colorScale>
    </cfRule>
  </conditionalFormatting>
  <conditionalFormatting sqref="B62:AE62">
    <cfRule type="colorScale" priority="2">
      <colorScale>
        <cfvo type="min"/>
        <cfvo type="max"/>
        <color rgb="FFFFFFFF"/>
        <color rgb="FF57BB8A"/>
      </colorScale>
    </cfRule>
  </conditionalFormatting>
  <conditionalFormatting sqref="B66:AE73">
    <cfRule type="colorScale" priority="3">
      <colorScale>
        <cfvo type="min"/>
        <cfvo type="max"/>
        <color rgb="FFFFFFFF"/>
        <color rgb="FF57BB8A"/>
      </colorScale>
    </cfRule>
  </conditionalFormatting>
  <conditionalFormatting sqref="B51:AE51">
    <cfRule type="colorScale" priority="4">
      <colorScale>
        <cfvo type="min"/>
        <cfvo type="max"/>
        <color rgb="FF57BB8A"/>
        <color rgb="FFFFFFFF"/>
      </colorScale>
    </cfRule>
  </conditionalFormatting>
  <conditionalFormatting sqref="B46:AE46">
    <cfRule type="colorScale" priority="5">
      <colorScale>
        <cfvo type="min"/>
        <cfvo type="max"/>
        <color rgb="FFFFFFFF"/>
        <color rgb="FF57BB8A"/>
      </colorScale>
    </cfRule>
  </conditionalFormatting>
  <conditionalFormatting sqref="B56:AE56">
    <cfRule type="colorScale" priority="6">
      <colorScale>
        <cfvo type="min"/>
        <cfvo type="max"/>
        <color rgb="FFFFFFFF"/>
        <color rgb="FF57BB8A"/>
      </colorScale>
    </cfRule>
  </conditionalFormatting>
  <conditionalFormatting sqref="B57:AE57">
    <cfRule type="colorScale" priority="7">
      <colorScale>
        <cfvo type="min"/>
        <cfvo type="max"/>
        <color rgb="FFFFFFFF"/>
        <color rgb="FF57BB8A"/>
      </colorScale>
    </cfRule>
  </conditionalFormatting>
  <conditionalFormatting sqref="B25:AE28">
    <cfRule type="colorScale" priority="8">
      <colorScale>
        <cfvo type="min"/>
        <cfvo type="max"/>
        <color rgb="FFFFFFFF"/>
        <color rgb="FF57BB8A"/>
      </colorScale>
    </cfRule>
  </conditionalFormatting>
  <conditionalFormatting sqref="B30:AB30 AC30:AE32 B32:AB32">
    <cfRule type="colorScale" priority="9">
      <colorScale>
        <cfvo type="min"/>
        <cfvo type="max"/>
        <color rgb="FFFFFFFF"/>
        <color rgb="FF57BB8A"/>
      </colorScale>
    </cfRule>
  </conditionalFormatting>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8.88"/>
    <col customWidth="1" min="2" max="18" width="16.13"/>
    <col customWidth="1" min="19" max="20" width="16.63"/>
    <col customWidth="1" min="21" max="31" width="16.13"/>
    <col customWidth="1" min="32" max="32" width="16.25"/>
  </cols>
  <sheetData>
    <row r="1">
      <c r="A1" s="2" t="s">
        <v>1</v>
      </c>
      <c r="B1" s="6">
        <v>45170.0</v>
      </c>
      <c r="C1" s="6">
        <v>45171.0</v>
      </c>
      <c r="D1" s="6">
        <v>45172.0</v>
      </c>
      <c r="E1" s="6">
        <v>45173.0</v>
      </c>
      <c r="F1" s="6">
        <v>45174.0</v>
      </c>
      <c r="G1" s="6">
        <v>45175.0</v>
      </c>
      <c r="H1" s="6">
        <v>45176.0</v>
      </c>
      <c r="I1" s="6">
        <v>45177.0</v>
      </c>
      <c r="J1" s="6">
        <v>45178.0</v>
      </c>
      <c r="K1" s="6">
        <v>45179.0</v>
      </c>
      <c r="L1" s="6">
        <v>45180.0</v>
      </c>
      <c r="M1" s="6">
        <v>45181.0</v>
      </c>
      <c r="N1" s="6">
        <v>45182.0</v>
      </c>
      <c r="O1" s="6">
        <v>45183.0</v>
      </c>
      <c r="P1" s="6">
        <v>45184.0</v>
      </c>
      <c r="Q1" s="6">
        <v>45185.0</v>
      </c>
      <c r="R1" s="6">
        <v>45186.0</v>
      </c>
      <c r="S1" s="6">
        <v>45187.0</v>
      </c>
      <c r="T1" s="6">
        <v>45188.0</v>
      </c>
      <c r="U1" s="6">
        <v>45189.0</v>
      </c>
      <c r="V1" s="6">
        <v>45190.0</v>
      </c>
      <c r="W1" s="6">
        <v>45191.0</v>
      </c>
      <c r="X1" s="6">
        <v>45192.0</v>
      </c>
      <c r="Y1" s="6">
        <v>45193.0</v>
      </c>
      <c r="Z1" s="6">
        <v>45194.0</v>
      </c>
      <c r="AA1" s="6">
        <v>45195.0</v>
      </c>
      <c r="AB1" s="6">
        <v>45196.0</v>
      </c>
      <c r="AC1" s="6">
        <v>45197.0</v>
      </c>
      <c r="AD1" s="6">
        <v>45198.0</v>
      </c>
      <c r="AE1" s="6">
        <v>45199.0</v>
      </c>
      <c r="AF1" s="866"/>
    </row>
    <row r="2">
      <c r="A2" s="10" t="s">
        <v>44</v>
      </c>
      <c r="B2" s="13" t="s">
        <v>46</v>
      </c>
      <c r="C2" s="13" t="s">
        <v>48</v>
      </c>
      <c r="D2" s="13" t="s">
        <v>51</v>
      </c>
      <c r="E2" s="13" t="s">
        <v>52</v>
      </c>
      <c r="F2" s="13" t="s">
        <v>55</v>
      </c>
      <c r="G2" s="13" t="s">
        <v>57</v>
      </c>
      <c r="H2" s="13" t="s">
        <v>58</v>
      </c>
      <c r="I2" s="13" t="s">
        <v>46</v>
      </c>
      <c r="J2" s="13" t="s">
        <v>48</v>
      </c>
      <c r="K2" s="13" t="s">
        <v>51</v>
      </c>
      <c r="L2" s="13" t="s">
        <v>52</v>
      </c>
      <c r="M2" s="13" t="s">
        <v>55</v>
      </c>
      <c r="N2" s="13" t="s">
        <v>57</v>
      </c>
      <c r="O2" s="13" t="s">
        <v>58</v>
      </c>
      <c r="P2" s="13" t="s">
        <v>46</v>
      </c>
      <c r="Q2" s="13" t="s">
        <v>48</v>
      </c>
      <c r="R2" s="13" t="s">
        <v>51</v>
      </c>
      <c r="S2" s="13" t="s">
        <v>52</v>
      </c>
      <c r="T2" s="13" t="s">
        <v>55</v>
      </c>
      <c r="U2" s="13" t="s">
        <v>57</v>
      </c>
      <c r="V2" s="13" t="s">
        <v>58</v>
      </c>
      <c r="W2" s="13" t="s">
        <v>46</v>
      </c>
      <c r="X2" s="13" t="s">
        <v>48</v>
      </c>
      <c r="Y2" s="13" t="s">
        <v>51</v>
      </c>
      <c r="Z2" s="13" t="s">
        <v>52</v>
      </c>
      <c r="AA2" s="13" t="s">
        <v>55</v>
      </c>
      <c r="AB2" s="13" t="s">
        <v>57</v>
      </c>
      <c r="AC2" s="13" t="s">
        <v>58</v>
      </c>
      <c r="AD2" s="13" t="s">
        <v>46</v>
      </c>
      <c r="AE2" s="13" t="s">
        <v>48</v>
      </c>
      <c r="AF2" s="866"/>
    </row>
    <row r="3">
      <c r="A3" s="867" t="s">
        <v>65</v>
      </c>
      <c r="B3" s="582"/>
      <c r="C3" s="582"/>
      <c r="D3" s="582"/>
      <c r="E3" s="582"/>
      <c r="F3" s="582"/>
      <c r="G3" s="582"/>
      <c r="H3" s="582"/>
      <c r="I3" s="582"/>
      <c r="J3" s="582"/>
      <c r="K3" s="582"/>
      <c r="L3" s="582"/>
      <c r="M3" s="582"/>
      <c r="N3" s="582"/>
      <c r="O3" s="582"/>
      <c r="P3" s="582"/>
      <c r="Q3" s="582"/>
      <c r="R3" s="582"/>
      <c r="S3" s="582"/>
      <c r="T3" s="582"/>
      <c r="U3" s="582"/>
      <c r="V3" s="582"/>
      <c r="W3" s="582"/>
      <c r="X3" s="582"/>
      <c r="Y3" s="582"/>
      <c r="Z3" s="582"/>
      <c r="AA3" s="582"/>
      <c r="AB3" s="332"/>
      <c r="AC3" s="582"/>
      <c r="AD3" s="582"/>
      <c r="AE3" s="582"/>
      <c r="AF3" s="866"/>
    </row>
    <row r="4">
      <c r="A4" s="868" t="s">
        <v>69</v>
      </c>
      <c r="B4" s="582"/>
      <c r="C4" s="582"/>
      <c r="D4" s="582"/>
      <c r="E4" s="582"/>
      <c r="F4" s="582"/>
      <c r="G4" s="582"/>
      <c r="H4" s="582"/>
      <c r="I4" s="582"/>
      <c r="J4" s="582"/>
      <c r="K4" s="582"/>
      <c r="L4" s="582"/>
      <c r="M4" s="582"/>
      <c r="N4" s="582"/>
      <c r="O4" s="582"/>
      <c r="P4" s="582"/>
      <c r="Q4" s="582"/>
      <c r="R4" s="582"/>
      <c r="S4" s="582"/>
      <c r="T4" s="582"/>
      <c r="U4" s="582"/>
      <c r="V4" s="582"/>
      <c r="W4" s="582"/>
      <c r="X4" s="582"/>
      <c r="Y4" s="582"/>
      <c r="Z4" s="582"/>
      <c r="AA4" s="582"/>
      <c r="AB4" s="582"/>
      <c r="AC4" s="582"/>
      <c r="AD4" s="582"/>
      <c r="AE4" s="582"/>
      <c r="AF4" s="866"/>
    </row>
    <row r="5">
      <c r="A5" s="20" t="s">
        <v>827</v>
      </c>
      <c r="B5" s="869">
        <v>15.0</v>
      </c>
      <c r="C5" s="870">
        <v>22.0</v>
      </c>
      <c r="D5" s="870">
        <v>30.0</v>
      </c>
      <c r="E5" s="870">
        <v>40.0</v>
      </c>
      <c r="F5" s="870">
        <v>43.0</v>
      </c>
      <c r="G5" s="870">
        <v>38.0</v>
      </c>
      <c r="H5" s="870">
        <v>15.0</v>
      </c>
      <c r="I5" s="870">
        <v>6.0</v>
      </c>
      <c r="J5" s="870">
        <v>18.0</v>
      </c>
      <c r="K5" s="870">
        <v>22.0</v>
      </c>
      <c r="L5" s="870">
        <v>32.0</v>
      </c>
      <c r="M5" s="870">
        <v>19.0</v>
      </c>
      <c r="N5" s="870">
        <v>16.0</v>
      </c>
      <c r="O5" s="870">
        <v>18.0</v>
      </c>
      <c r="P5" s="870">
        <v>21.0</v>
      </c>
      <c r="Q5" s="870">
        <v>22.0</v>
      </c>
      <c r="R5" s="870">
        <v>15.0</v>
      </c>
      <c r="S5" s="22">
        <v>28.0</v>
      </c>
      <c r="T5" s="870">
        <v>21.0</v>
      </c>
      <c r="U5" s="22">
        <v>28.0</v>
      </c>
      <c r="V5" s="22">
        <v>14.0</v>
      </c>
      <c r="W5" s="22">
        <v>14.0</v>
      </c>
      <c r="X5" s="22">
        <v>13.0</v>
      </c>
      <c r="Y5" s="22">
        <v>21.0</v>
      </c>
      <c r="Z5" s="22">
        <v>15.0</v>
      </c>
      <c r="AA5" s="22">
        <v>14.0</v>
      </c>
      <c r="AB5" s="22">
        <v>11.0</v>
      </c>
      <c r="AC5" s="22">
        <v>13.0</v>
      </c>
      <c r="AD5" s="22">
        <v>16.0</v>
      </c>
      <c r="AE5" s="22">
        <v>16.0</v>
      </c>
      <c r="AF5" s="871">
        <f t="shared" ref="AF5:AF13" si="1">SUM(B5:AE5)</f>
        <v>616</v>
      </c>
    </row>
    <row r="6">
      <c r="A6" s="872" t="s">
        <v>84</v>
      </c>
      <c r="B6" s="869">
        <v>28.0</v>
      </c>
      <c r="C6" s="870">
        <v>29.0</v>
      </c>
      <c r="D6" s="870">
        <v>44.0</v>
      </c>
      <c r="E6" s="870">
        <v>35.0</v>
      </c>
      <c r="F6" s="870">
        <v>51.0</v>
      </c>
      <c r="G6" s="870">
        <v>40.0</v>
      </c>
      <c r="H6" s="870">
        <v>17.0</v>
      </c>
      <c r="I6" s="870">
        <v>12.0</v>
      </c>
      <c r="J6" s="870">
        <v>15.0</v>
      </c>
      <c r="K6" s="870">
        <v>19.0</v>
      </c>
      <c r="L6" s="870">
        <v>19.0</v>
      </c>
      <c r="M6" s="870">
        <v>19.0</v>
      </c>
      <c r="N6" s="870">
        <v>18.0</v>
      </c>
      <c r="O6" s="870">
        <v>17.0</v>
      </c>
      <c r="P6" s="870">
        <v>31.0</v>
      </c>
      <c r="Q6" s="870">
        <v>24.0</v>
      </c>
      <c r="R6" s="870">
        <v>24.0</v>
      </c>
      <c r="S6" s="22">
        <v>54.0</v>
      </c>
      <c r="T6" s="870">
        <v>40.0</v>
      </c>
      <c r="U6" s="22">
        <v>27.0</v>
      </c>
      <c r="V6" s="22">
        <v>25.0</v>
      </c>
      <c r="W6" s="22">
        <v>21.0</v>
      </c>
      <c r="X6" s="22">
        <v>30.0</v>
      </c>
      <c r="Y6" s="22">
        <v>25.0</v>
      </c>
      <c r="Z6" s="22">
        <v>24.0</v>
      </c>
      <c r="AA6" s="22">
        <v>16.0</v>
      </c>
      <c r="AB6" s="22">
        <v>17.0</v>
      </c>
      <c r="AC6" s="22">
        <v>18.0</v>
      </c>
      <c r="AD6" s="22">
        <v>20.0</v>
      </c>
      <c r="AE6" s="22">
        <v>27.0</v>
      </c>
      <c r="AF6" s="871">
        <f t="shared" si="1"/>
        <v>786</v>
      </c>
    </row>
    <row r="7">
      <c r="A7" s="20" t="s">
        <v>88</v>
      </c>
      <c r="B7" s="870">
        <v>0.0</v>
      </c>
      <c r="C7" s="870">
        <v>0.0</v>
      </c>
      <c r="D7" s="870">
        <v>0.0</v>
      </c>
      <c r="E7" s="870">
        <v>0.0</v>
      </c>
      <c r="F7" s="870">
        <v>0.0</v>
      </c>
      <c r="G7" s="870">
        <v>0.0</v>
      </c>
      <c r="H7" s="870">
        <v>0.0</v>
      </c>
      <c r="I7" s="870">
        <v>0.0</v>
      </c>
      <c r="J7" s="870">
        <v>0.0</v>
      </c>
      <c r="K7" s="870">
        <v>0.0</v>
      </c>
      <c r="L7" s="870">
        <v>0.0</v>
      </c>
      <c r="M7" s="870">
        <v>0.0</v>
      </c>
      <c r="N7" s="870">
        <v>0.0</v>
      </c>
      <c r="O7" s="870">
        <v>0.0</v>
      </c>
      <c r="P7" s="870">
        <v>0.0</v>
      </c>
      <c r="Q7" s="870">
        <v>0.0</v>
      </c>
      <c r="R7" s="870">
        <v>0.0</v>
      </c>
      <c r="S7" s="870">
        <v>0.0</v>
      </c>
      <c r="T7" s="870">
        <v>0.0</v>
      </c>
      <c r="U7" s="870">
        <v>0.0</v>
      </c>
      <c r="V7" s="870">
        <v>0.0</v>
      </c>
      <c r="W7" s="870">
        <v>0.0</v>
      </c>
      <c r="X7" s="870">
        <v>0.0</v>
      </c>
      <c r="Y7" s="870">
        <v>0.0</v>
      </c>
      <c r="Z7" s="870">
        <v>0.0</v>
      </c>
      <c r="AA7" s="870">
        <v>0.0</v>
      </c>
      <c r="AB7" s="870">
        <v>0.0</v>
      </c>
      <c r="AC7" s="870">
        <v>0.0</v>
      </c>
      <c r="AD7" s="870">
        <v>0.0</v>
      </c>
      <c r="AE7" s="870">
        <v>0.0</v>
      </c>
      <c r="AF7" s="871">
        <f t="shared" si="1"/>
        <v>0</v>
      </c>
    </row>
    <row r="8">
      <c r="A8" s="872" t="s">
        <v>91</v>
      </c>
      <c r="B8" s="869">
        <v>3.0</v>
      </c>
      <c r="C8" s="870">
        <v>0.0</v>
      </c>
      <c r="D8" s="870">
        <v>2.0</v>
      </c>
      <c r="E8" s="870">
        <v>2.0</v>
      </c>
      <c r="F8" s="870">
        <v>5.0</v>
      </c>
      <c r="G8" s="870">
        <v>1.0</v>
      </c>
      <c r="H8" s="870">
        <v>2.0</v>
      </c>
      <c r="I8" s="870">
        <v>2.0</v>
      </c>
      <c r="J8" s="870">
        <v>1.0</v>
      </c>
      <c r="K8" s="870">
        <v>2.0</v>
      </c>
      <c r="L8" s="870">
        <v>1.0</v>
      </c>
      <c r="M8" s="870">
        <v>0.0</v>
      </c>
      <c r="N8" s="870">
        <v>0.0</v>
      </c>
      <c r="O8" s="870">
        <v>1.0</v>
      </c>
      <c r="P8" s="870">
        <v>3.0</v>
      </c>
      <c r="Q8" s="870">
        <v>2.0</v>
      </c>
      <c r="R8" s="870">
        <v>0.0</v>
      </c>
      <c r="S8" s="22">
        <v>0.0</v>
      </c>
      <c r="T8" s="870">
        <v>0.0</v>
      </c>
      <c r="U8" s="22">
        <v>2.0</v>
      </c>
      <c r="V8" s="22">
        <v>0.0</v>
      </c>
      <c r="W8" s="22">
        <v>1.0</v>
      </c>
      <c r="X8" s="22">
        <v>1.0</v>
      </c>
      <c r="Y8" s="22">
        <v>3.0</v>
      </c>
      <c r="Z8" s="22">
        <v>0.0</v>
      </c>
      <c r="AA8" s="22">
        <v>0.0</v>
      </c>
      <c r="AB8" s="22">
        <v>0.0</v>
      </c>
      <c r="AC8" s="22">
        <v>0.0</v>
      </c>
      <c r="AD8" s="22">
        <v>1.0</v>
      </c>
      <c r="AE8" s="22">
        <v>2.0</v>
      </c>
      <c r="AF8" s="871">
        <f t="shared" si="1"/>
        <v>37</v>
      </c>
    </row>
    <row r="9">
      <c r="A9" s="872" t="s">
        <v>828</v>
      </c>
      <c r="B9" s="873"/>
      <c r="C9" s="873"/>
      <c r="D9" s="873"/>
      <c r="E9" s="873"/>
      <c r="F9" s="873"/>
      <c r="G9" s="873"/>
      <c r="H9" s="873"/>
      <c r="I9" s="873"/>
      <c r="J9" s="873"/>
      <c r="K9" s="873"/>
      <c r="L9" s="873"/>
      <c r="M9" s="873"/>
      <c r="N9" s="873"/>
      <c r="O9" s="873"/>
      <c r="P9" s="873"/>
      <c r="Q9" s="873"/>
      <c r="R9" s="873"/>
      <c r="S9" s="873"/>
      <c r="T9" s="873"/>
      <c r="U9" s="873"/>
      <c r="V9" s="873"/>
      <c r="W9" s="873"/>
      <c r="X9" s="873"/>
      <c r="Y9" s="873"/>
      <c r="Z9" s="873"/>
      <c r="AA9" s="873"/>
      <c r="AB9" s="873"/>
      <c r="AC9" s="873"/>
      <c r="AD9" s="873"/>
      <c r="AE9" s="873"/>
      <c r="AF9" s="871">
        <f t="shared" si="1"/>
        <v>0</v>
      </c>
    </row>
    <row r="10">
      <c r="A10" s="872" t="s">
        <v>94</v>
      </c>
      <c r="B10" s="870">
        <v>0.0</v>
      </c>
      <c r="C10" s="870">
        <v>0.0</v>
      </c>
      <c r="D10" s="870">
        <v>0.0</v>
      </c>
      <c r="E10" s="870">
        <v>1.0</v>
      </c>
      <c r="F10" s="870">
        <v>2.0</v>
      </c>
      <c r="G10" s="870">
        <v>1.0</v>
      </c>
      <c r="H10" s="870">
        <v>0.0</v>
      </c>
      <c r="I10" s="870">
        <v>0.0</v>
      </c>
      <c r="J10" s="870">
        <v>0.0</v>
      </c>
      <c r="K10" s="870">
        <v>2.0</v>
      </c>
      <c r="L10" s="870">
        <v>0.0</v>
      </c>
      <c r="M10" s="870">
        <v>0.0</v>
      </c>
      <c r="N10" s="870">
        <v>0.0</v>
      </c>
      <c r="O10" s="870">
        <v>2.0</v>
      </c>
      <c r="P10" s="870">
        <v>1.0</v>
      </c>
      <c r="Q10" s="870">
        <v>2.0</v>
      </c>
      <c r="R10" s="870">
        <v>1.0</v>
      </c>
      <c r="S10" s="874">
        <v>1.0</v>
      </c>
      <c r="T10" s="874">
        <v>1.0</v>
      </c>
      <c r="U10" s="874">
        <v>1.0</v>
      </c>
      <c r="V10" s="874">
        <v>0.0</v>
      </c>
      <c r="W10" s="874">
        <v>1.0</v>
      </c>
      <c r="X10" s="874">
        <v>0.0</v>
      </c>
      <c r="Y10" s="874">
        <v>1.0</v>
      </c>
      <c r="Z10" s="874">
        <v>0.0</v>
      </c>
      <c r="AA10" s="874">
        <v>0.0</v>
      </c>
      <c r="AB10" s="874">
        <v>0.0</v>
      </c>
      <c r="AC10" s="874">
        <v>0.0</v>
      </c>
      <c r="AD10" s="874">
        <v>0.0</v>
      </c>
      <c r="AE10" s="874">
        <v>0.0</v>
      </c>
      <c r="AF10" s="871">
        <f t="shared" si="1"/>
        <v>17</v>
      </c>
    </row>
    <row r="11">
      <c r="A11" s="20" t="s">
        <v>829</v>
      </c>
      <c r="B11" s="875"/>
      <c r="C11" s="875"/>
      <c r="D11" s="875"/>
      <c r="E11" s="876"/>
      <c r="F11" s="876"/>
      <c r="G11" s="876"/>
      <c r="H11" s="876"/>
      <c r="I11" s="876"/>
      <c r="J11" s="876"/>
      <c r="K11" s="876"/>
      <c r="L11" s="876"/>
      <c r="M11" s="876"/>
      <c r="N11" s="876"/>
      <c r="O11" s="876"/>
      <c r="P11" s="876"/>
      <c r="Q11" s="876"/>
      <c r="R11" s="876"/>
      <c r="S11" s="876"/>
      <c r="T11" s="876"/>
      <c r="U11" s="876"/>
      <c r="V11" s="876"/>
      <c r="W11" s="876"/>
      <c r="X11" s="876"/>
      <c r="Y11" s="876"/>
      <c r="Z11" s="876"/>
      <c r="AA11" s="876"/>
      <c r="AB11" s="876"/>
      <c r="AC11" s="876"/>
      <c r="AD11" s="876"/>
      <c r="AE11" s="876"/>
      <c r="AF11" s="877">
        <f t="shared" si="1"/>
        <v>0</v>
      </c>
    </row>
    <row r="12">
      <c r="A12" s="20" t="s">
        <v>830</v>
      </c>
      <c r="B12" s="875"/>
      <c r="C12" s="875"/>
      <c r="D12" s="875"/>
      <c r="E12" s="876"/>
      <c r="F12" s="876"/>
      <c r="G12" s="876"/>
      <c r="H12" s="876"/>
      <c r="I12" s="876"/>
      <c r="J12" s="876"/>
      <c r="K12" s="876"/>
      <c r="L12" s="876"/>
      <c r="M12" s="876"/>
      <c r="N12" s="876"/>
      <c r="O12" s="876"/>
      <c r="P12" s="876"/>
      <c r="Q12" s="876"/>
      <c r="R12" s="876"/>
      <c r="S12" s="876"/>
      <c r="T12" s="876"/>
      <c r="U12" s="876"/>
      <c r="V12" s="876"/>
      <c r="W12" s="876"/>
      <c r="X12" s="876"/>
      <c r="Y12" s="876"/>
      <c r="Z12" s="876"/>
      <c r="AA12" s="875"/>
      <c r="AB12" s="876"/>
      <c r="AC12" s="876"/>
      <c r="AD12" s="876"/>
      <c r="AE12" s="876"/>
      <c r="AF12" s="877">
        <f t="shared" si="1"/>
        <v>0</v>
      </c>
    </row>
    <row r="13">
      <c r="A13" s="878" t="s">
        <v>96</v>
      </c>
      <c r="B13" s="870">
        <v>1.0</v>
      </c>
      <c r="C13" s="870">
        <v>1.0</v>
      </c>
      <c r="D13" s="870">
        <v>1.0</v>
      </c>
      <c r="E13" s="870">
        <v>2.0</v>
      </c>
      <c r="F13" s="870">
        <v>2.0</v>
      </c>
      <c r="G13" s="870">
        <v>1.0</v>
      </c>
      <c r="H13" s="870">
        <v>0.0</v>
      </c>
      <c r="I13" s="870">
        <v>2.0</v>
      </c>
      <c r="J13" s="870">
        <v>0.0</v>
      </c>
      <c r="K13" s="870">
        <v>1.0</v>
      </c>
      <c r="L13" s="870">
        <v>2.0</v>
      </c>
      <c r="M13" s="870">
        <v>0.0</v>
      </c>
      <c r="N13" s="870">
        <v>0.0</v>
      </c>
      <c r="O13" s="870">
        <v>0.0</v>
      </c>
      <c r="P13" s="870">
        <v>0.0</v>
      </c>
      <c r="Q13" s="870">
        <v>0.0</v>
      </c>
      <c r="R13" s="870">
        <v>0.0</v>
      </c>
      <c r="S13" s="870">
        <v>100.0</v>
      </c>
      <c r="T13" s="870">
        <v>87.0</v>
      </c>
      <c r="U13" s="870">
        <v>26.0</v>
      </c>
      <c r="V13" s="870">
        <v>25.0</v>
      </c>
      <c r="W13" s="879">
        <v>21.0</v>
      </c>
      <c r="X13" s="870">
        <v>19.0</v>
      </c>
      <c r="Y13" s="870">
        <v>13.0</v>
      </c>
      <c r="Z13" s="870">
        <v>8.0</v>
      </c>
      <c r="AA13" s="870">
        <v>7.0</v>
      </c>
      <c r="AB13" s="870">
        <v>30.0</v>
      </c>
      <c r="AC13" s="870">
        <v>17.0</v>
      </c>
      <c r="AD13" s="870">
        <v>10.0</v>
      </c>
      <c r="AE13" s="870">
        <v>4.0</v>
      </c>
      <c r="AF13" s="880">
        <f t="shared" si="1"/>
        <v>380</v>
      </c>
    </row>
    <row r="14">
      <c r="A14" s="881" t="s">
        <v>79</v>
      </c>
      <c r="B14" s="882"/>
      <c r="C14" s="882"/>
      <c r="D14" s="882"/>
      <c r="E14" s="883"/>
      <c r="F14" s="883"/>
      <c r="G14" s="883"/>
      <c r="H14" s="883"/>
      <c r="I14" s="883"/>
      <c r="J14" s="883"/>
      <c r="K14" s="883"/>
      <c r="L14" s="883"/>
      <c r="M14" s="883"/>
      <c r="N14" s="883"/>
      <c r="O14" s="883"/>
      <c r="P14" s="883"/>
      <c r="Q14" s="883"/>
      <c r="R14" s="883"/>
      <c r="S14" s="883"/>
      <c r="T14" s="883"/>
      <c r="U14" s="883"/>
      <c r="V14" s="883"/>
      <c r="W14" s="883"/>
      <c r="X14" s="883"/>
      <c r="Y14" s="883"/>
      <c r="Z14" s="883"/>
      <c r="AA14" s="882"/>
      <c r="AB14" s="883"/>
      <c r="AC14" s="883"/>
      <c r="AD14" s="883"/>
      <c r="AE14" s="883"/>
      <c r="AF14" s="871"/>
    </row>
    <row r="15">
      <c r="A15" s="884" t="s">
        <v>95</v>
      </c>
      <c r="B15" s="46">
        <f t="shared" ref="B15:AE15" si="2">SUM(B5:B14)</f>
        <v>47</v>
      </c>
      <c r="C15" s="46">
        <f t="shared" si="2"/>
        <v>52</v>
      </c>
      <c r="D15" s="46">
        <f t="shared" si="2"/>
        <v>77</v>
      </c>
      <c r="E15" s="46">
        <f t="shared" si="2"/>
        <v>80</v>
      </c>
      <c r="F15" s="46">
        <f t="shared" si="2"/>
        <v>103</v>
      </c>
      <c r="G15" s="46">
        <f t="shared" si="2"/>
        <v>81</v>
      </c>
      <c r="H15" s="46">
        <f t="shared" si="2"/>
        <v>34</v>
      </c>
      <c r="I15" s="46">
        <f t="shared" si="2"/>
        <v>22</v>
      </c>
      <c r="J15" s="46">
        <f t="shared" si="2"/>
        <v>34</v>
      </c>
      <c r="K15" s="46">
        <f t="shared" si="2"/>
        <v>46</v>
      </c>
      <c r="L15" s="46">
        <f t="shared" si="2"/>
        <v>54</v>
      </c>
      <c r="M15" s="46">
        <f t="shared" si="2"/>
        <v>38</v>
      </c>
      <c r="N15" s="46">
        <f t="shared" si="2"/>
        <v>34</v>
      </c>
      <c r="O15" s="46">
        <f t="shared" si="2"/>
        <v>38</v>
      </c>
      <c r="P15" s="46">
        <f t="shared" si="2"/>
        <v>56</v>
      </c>
      <c r="Q15" s="46">
        <f t="shared" si="2"/>
        <v>50</v>
      </c>
      <c r="R15" s="46">
        <f t="shared" si="2"/>
        <v>40</v>
      </c>
      <c r="S15" s="46">
        <f t="shared" si="2"/>
        <v>183</v>
      </c>
      <c r="T15" s="46">
        <f t="shared" si="2"/>
        <v>149</v>
      </c>
      <c r="U15" s="46">
        <f t="shared" si="2"/>
        <v>84</v>
      </c>
      <c r="V15" s="46">
        <f t="shared" si="2"/>
        <v>64</v>
      </c>
      <c r="W15" s="46">
        <f t="shared" si="2"/>
        <v>58</v>
      </c>
      <c r="X15" s="46">
        <f t="shared" si="2"/>
        <v>63</v>
      </c>
      <c r="Y15" s="46">
        <f t="shared" si="2"/>
        <v>63</v>
      </c>
      <c r="Z15" s="46">
        <f t="shared" si="2"/>
        <v>47</v>
      </c>
      <c r="AA15" s="46">
        <f t="shared" si="2"/>
        <v>37</v>
      </c>
      <c r="AB15" s="46">
        <f t="shared" si="2"/>
        <v>58</v>
      </c>
      <c r="AC15" s="46">
        <f t="shared" si="2"/>
        <v>48</v>
      </c>
      <c r="AD15" s="46">
        <f t="shared" si="2"/>
        <v>47</v>
      </c>
      <c r="AE15" s="46">
        <f t="shared" si="2"/>
        <v>49</v>
      </c>
      <c r="AF15" s="877">
        <f>SUM(B15:AE15)</f>
        <v>1836</v>
      </c>
    </row>
    <row r="16">
      <c r="A16" s="20"/>
      <c r="B16" s="582"/>
      <c r="C16" s="582"/>
      <c r="D16" s="582"/>
      <c r="E16" s="582"/>
      <c r="F16" s="582"/>
      <c r="G16" s="582"/>
      <c r="H16" s="582"/>
      <c r="I16" s="582"/>
      <c r="J16" s="582"/>
      <c r="K16" s="582"/>
      <c r="L16" s="582"/>
      <c r="M16" s="582"/>
      <c r="N16" s="582"/>
      <c r="O16" s="582"/>
      <c r="P16" s="582"/>
      <c r="Q16" s="582"/>
      <c r="R16" s="582"/>
      <c r="S16" s="582"/>
      <c r="T16" s="582"/>
      <c r="U16" s="582"/>
      <c r="V16" s="582"/>
      <c r="W16" s="582"/>
      <c r="X16" s="582"/>
      <c r="Y16" s="582"/>
      <c r="Z16" s="582"/>
      <c r="AA16" s="582"/>
      <c r="AB16" s="582"/>
      <c r="AC16" s="582"/>
      <c r="AD16" s="582"/>
      <c r="AE16" s="582"/>
      <c r="AF16" s="871"/>
    </row>
    <row r="17">
      <c r="A17" s="885" t="s">
        <v>98</v>
      </c>
      <c r="B17" s="582"/>
      <c r="C17" s="582"/>
      <c r="D17" s="582"/>
      <c r="E17" s="582"/>
      <c r="F17" s="582"/>
      <c r="G17" s="582"/>
      <c r="H17" s="582"/>
      <c r="I17" s="582"/>
      <c r="J17" s="582"/>
      <c r="K17" s="582"/>
      <c r="L17" s="582"/>
      <c r="M17" s="582"/>
      <c r="N17" s="582"/>
      <c r="O17" s="582"/>
      <c r="P17" s="582"/>
      <c r="Q17" s="582"/>
      <c r="R17" s="582"/>
      <c r="S17" s="582"/>
      <c r="T17" s="582"/>
      <c r="U17" s="582"/>
      <c r="V17" s="582"/>
      <c r="W17" s="582"/>
      <c r="X17" s="582"/>
      <c r="Y17" s="582"/>
      <c r="Z17" s="582"/>
      <c r="AA17" s="582"/>
      <c r="AB17" s="582"/>
      <c r="AC17" s="582"/>
      <c r="AD17" s="582"/>
      <c r="AE17" s="582"/>
      <c r="AF17" s="871"/>
    </row>
    <row r="18">
      <c r="A18" s="20" t="s">
        <v>827</v>
      </c>
      <c r="B18" s="886">
        <v>3497.37</v>
      </c>
      <c r="C18" s="887">
        <v>5265.83</v>
      </c>
      <c r="D18" s="887">
        <v>7524.14</v>
      </c>
      <c r="E18" s="887">
        <v>10296.92</v>
      </c>
      <c r="F18" s="887">
        <v>10673.07</v>
      </c>
      <c r="G18" s="887">
        <v>7133.14</v>
      </c>
      <c r="H18" s="887">
        <v>3830.67</v>
      </c>
      <c r="I18" s="887">
        <v>1036.41</v>
      </c>
      <c r="J18" s="887">
        <v>4423.39</v>
      </c>
      <c r="K18" s="887">
        <v>5932.72</v>
      </c>
      <c r="L18" s="887">
        <v>8645.01</v>
      </c>
      <c r="M18" s="887">
        <v>5165.91</v>
      </c>
      <c r="N18" s="887">
        <v>4538.72</v>
      </c>
      <c r="O18" s="887">
        <v>4438.45</v>
      </c>
      <c r="P18" s="887">
        <v>6109.43</v>
      </c>
      <c r="Q18" s="887">
        <v>5515.95</v>
      </c>
      <c r="R18" s="887">
        <v>3565.7</v>
      </c>
      <c r="S18" s="61">
        <v>6694.41</v>
      </c>
      <c r="T18" s="887">
        <v>4099.74</v>
      </c>
      <c r="U18" s="61">
        <v>6126.12</v>
      </c>
      <c r="V18" s="61">
        <v>3225.27</v>
      </c>
      <c r="W18" s="61">
        <v>3809.63</v>
      </c>
      <c r="X18" s="61">
        <v>3668.48</v>
      </c>
      <c r="Y18" s="61">
        <v>6060.96</v>
      </c>
      <c r="Z18" s="61">
        <v>4447.05</v>
      </c>
      <c r="AA18" s="61">
        <v>3047.71</v>
      </c>
      <c r="AB18" s="887">
        <v>2761.56</v>
      </c>
      <c r="AC18" s="887">
        <v>3511.88</v>
      </c>
      <c r="AD18" s="887">
        <v>4578.1</v>
      </c>
      <c r="AE18" s="887">
        <v>4503.75</v>
      </c>
      <c r="AF18" s="888">
        <f t="shared" ref="AF18:AF26" si="3">SUM(B18:AE18)</f>
        <v>154127.49</v>
      </c>
    </row>
    <row r="19">
      <c r="A19" s="872" t="s">
        <v>84</v>
      </c>
      <c r="B19" s="886">
        <v>6181.08</v>
      </c>
      <c r="C19" s="887">
        <v>6015.66</v>
      </c>
      <c r="D19" s="887">
        <v>8762.93</v>
      </c>
      <c r="E19" s="887">
        <v>7217.28</v>
      </c>
      <c r="F19" s="887">
        <v>11706.1</v>
      </c>
      <c r="G19" s="887">
        <v>8056.21</v>
      </c>
      <c r="H19" s="887">
        <v>4202.22</v>
      </c>
      <c r="I19" s="887">
        <v>2822.74</v>
      </c>
      <c r="J19" s="887">
        <v>5155.38</v>
      </c>
      <c r="K19" s="887">
        <v>5280.71</v>
      </c>
      <c r="L19" s="887">
        <v>4378.12</v>
      </c>
      <c r="M19" s="887">
        <v>5210.25</v>
      </c>
      <c r="N19" s="887">
        <v>4370.41</v>
      </c>
      <c r="O19" s="887">
        <v>4145.34</v>
      </c>
      <c r="P19" s="887">
        <v>6701.52</v>
      </c>
      <c r="Q19" s="887">
        <v>5228.11</v>
      </c>
      <c r="R19" s="887">
        <v>5375.63</v>
      </c>
      <c r="S19" s="61">
        <v>8642.5</v>
      </c>
      <c r="T19" s="887">
        <v>6544.65</v>
      </c>
      <c r="U19" s="61">
        <v>5677.68</v>
      </c>
      <c r="V19" s="61">
        <v>6028.01</v>
      </c>
      <c r="W19" s="61">
        <v>4044.3</v>
      </c>
      <c r="X19" s="61">
        <v>6569.26</v>
      </c>
      <c r="Y19" s="61">
        <v>6028.13</v>
      </c>
      <c r="Z19" s="61">
        <v>5778.78</v>
      </c>
      <c r="AA19" s="61">
        <v>3674.95</v>
      </c>
      <c r="AB19" s="61">
        <v>3877.96</v>
      </c>
      <c r="AC19" s="61">
        <v>4371.97</v>
      </c>
      <c r="AD19" s="887">
        <v>4640.51</v>
      </c>
      <c r="AE19" s="61">
        <v>7634.69</v>
      </c>
      <c r="AF19" s="888">
        <f t="shared" si="3"/>
        <v>174323.08</v>
      </c>
    </row>
    <row r="20">
      <c r="A20" s="20" t="s">
        <v>88</v>
      </c>
      <c r="B20" s="887">
        <v>0.0</v>
      </c>
      <c r="C20" s="887">
        <v>0.0</v>
      </c>
      <c r="D20" s="887">
        <v>0.0</v>
      </c>
      <c r="E20" s="887">
        <v>0.0</v>
      </c>
      <c r="F20" s="887">
        <v>0.0</v>
      </c>
      <c r="G20" s="887">
        <v>0.0</v>
      </c>
      <c r="H20" s="887">
        <v>0.0</v>
      </c>
      <c r="I20" s="887">
        <v>0.0</v>
      </c>
      <c r="J20" s="887">
        <v>0.0</v>
      </c>
      <c r="K20" s="887">
        <v>0.0</v>
      </c>
      <c r="L20" s="887">
        <v>0.0</v>
      </c>
      <c r="M20" s="887">
        <v>0.0</v>
      </c>
      <c r="N20" s="887">
        <v>0.0</v>
      </c>
      <c r="O20" s="887">
        <v>0.0</v>
      </c>
      <c r="P20" s="887">
        <v>0.0</v>
      </c>
      <c r="Q20" s="887">
        <v>0.0</v>
      </c>
      <c r="R20" s="887">
        <v>0.0</v>
      </c>
      <c r="S20" s="887">
        <v>0.0</v>
      </c>
      <c r="T20" s="887">
        <v>0.0</v>
      </c>
      <c r="U20" s="887">
        <v>0.0</v>
      </c>
      <c r="V20" s="887">
        <v>0.0</v>
      </c>
      <c r="W20" s="887">
        <v>0.0</v>
      </c>
      <c r="X20" s="887">
        <v>0.0</v>
      </c>
      <c r="Y20" s="887">
        <v>0.0</v>
      </c>
      <c r="Z20" s="887">
        <v>0.0</v>
      </c>
      <c r="AA20" s="887">
        <v>0.0</v>
      </c>
      <c r="AB20" s="887">
        <v>0.0</v>
      </c>
      <c r="AC20" s="887">
        <v>0.0</v>
      </c>
      <c r="AD20" s="887">
        <v>0.0</v>
      </c>
      <c r="AE20" s="887">
        <v>0.0</v>
      </c>
      <c r="AF20" s="888">
        <f t="shared" si="3"/>
        <v>0</v>
      </c>
    </row>
    <row r="21">
      <c r="A21" s="332" t="s">
        <v>91</v>
      </c>
      <c r="B21" s="886">
        <v>281.14</v>
      </c>
      <c r="C21" s="887">
        <v>0.0</v>
      </c>
      <c r="D21" s="887">
        <v>507.32</v>
      </c>
      <c r="E21" s="887">
        <v>282.49</v>
      </c>
      <c r="F21" s="887">
        <v>844.05</v>
      </c>
      <c r="G21" s="887">
        <v>183.17</v>
      </c>
      <c r="H21" s="887">
        <v>310.1</v>
      </c>
      <c r="I21" s="887">
        <v>586.53</v>
      </c>
      <c r="J21" s="887">
        <v>392.99</v>
      </c>
      <c r="K21" s="887">
        <v>334.74</v>
      </c>
      <c r="L21" s="887">
        <v>111.78</v>
      </c>
      <c r="M21" s="887">
        <v>0.0</v>
      </c>
      <c r="N21" s="887">
        <v>0.0</v>
      </c>
      <c r="O21" s="887">
        <v>204.71</v>
      </c>
      <c r="P21" s="887">
        <v>581.01</v>
      </c>
      <c r="Q21" s="887">
        <v>597.07</v>
      </c>
      <c r="R21" s="887">
        <v>0.0</v>
      </c>
      <c r="S21" s="71">
        <v>0.0</v>
      </c>
      <c r="T21" s="887">
        <v>0.0</v>
      </c>
      <c r="U21" s="887">
        <v>135.28</v>
      </c>
      <c r="V21" s="61">
        <v>0.0</v>
      </c>
      <c r="W21" s="61">
        <v>303.49</v>
      </c>
      <c r="X21" s="61">
        <v>328.0</v>
      </c>
      <c r="Y21" s="61">
        <v>2259.0</v>
      </c>
      <c r="Z21" s="61">
        <v>753.0</v>
      </c>
      <c r="AA21" s="887">
        <v>251.0</v>
      </c>
      <c r="AB21" s="61">
        <v>0.0</v>
      </c>
      <c r="AC21" s="61">
        <v>0.0</v>
      </c>
      <c r="AD21" s="61">
        <v>298.53</v>
      </c>
      <c r="AE21" s="61">
        <v>337.37</v>
      </c>
      <c r="AF21" s="888">
        <f t="shared" si="3"/>
        <v>9882.77</v>
      </c>
    </row>
    <row r="22" ht="17.25" customHeight="1">
      <c r="A22" s="332" t="s">
        <v>828</v>
      </c>
      <c r="B22" s="889"/>
      <c r="C22" s="890"/>
      <c r="D22" s="891"/>
      <c r="E22" s="890"/>
      <c r="F22" s="890"/>
      <c r="G22" s="891"/>
      <c r="H22" s="891"/>
      <c r="I22" s="891"/>
      <c r="J22" s="891"/>
      <c r="K22" s="891"/>
      <c r="L22" s="891"/>
      <c r="M22" s="890"/>
      <c r="N22" s="890"/>
      <c r="O22" s="890"/>
      <c r="P22" s="890"/>
      <c r="Q22" s="890"/>
      <c r="R22" s="890"/>
      <c r="S22" s="890"/>
      <c r="T22" s="890"/>
      <c r="U22" s="890"/>
      <c r="V22" s="890"/>
      <c r="W22" s="890"/>
      <c r="X22" s="890"/>
      <c r="Y22" s="890"/>
      <c r="Z22" s="890"/>
      <c r="AA22" s="890"/>
      <c r="AB22" s="890"/>
      <c r="AC22" s="890"/>
      <c r="AD22" s="890"/>
      <c r="AE22" s="890"/>
      <c r="AF22" s="888">
        <f t="shared" si="3"/>
        <v>0</v>
      </c>
    </row>
    <row r="23">
      <c r="A23" s="872" t="s">
        <v>94</v>
      </c>
      <c r="B23" s="71">
        <v>0.0</v>
      </c>
      <c r="C23" s="71">
        <v>0.0</v>
      </c>
      <c r="D23" s="71">
        <v>0.0</v>
      </c>
      <c r="E23" s="71">
        <v>191.22</v>
      </c>
      <c r="F23" s="71">
        <v>500.33</v>
      </c>
      <c r="G23" s="71">
        <v>250.2</v>
      </c>
      <c r="H23" s="71">
        <v>0.0</v>
      </c>
      <c r="I23" s="71">
        <v>0.0</v>
      </c>
      <c r="J23" s="71">
        <v>0.0</v>
      </c>
      <c r="K23" s="71">
        <v>656.14</v>
      </c>
      <c r="L23" s="71">
        <v>0.0</v>
      </c>
      <c r="M23" s="71">
        <v>0.0</v>
      </c>
      <c r="N23" s="71">
        <v>0.0</v>
      </c>
      <c r="O23" s="71">
        <v>558.43</v>
      </c>
      <c r="P23" s="71">
        <v>266.62</v>
      </c>
      <c r="Q23" s="887">
        <v>299.58</v>
      </c>
      <c r="R23" s="71">
        <v>268.11</v>
      </c>
      <c r="S23" s="887">
        <v>77.38</v>
      </c>
      <c r="T23" s="71">
        <v>295.24</v>
      </c>
      <c r="U23" s="71">
        <v>285.19</v>
      </c>
      <c r="V23" s="71">
        <v>0.0</v>
      </c>
      <c r="W23" s="71">
        <v>285.82</v>
      </c>
      <c r="X23" s="71">
        <v>0.0</v>
      </c>
      <c r="Y23" s="71">
        <v>134.53</v>
      </c>
      <c r="Z23" s="71">
        <v>0.0</v>
      </c>
      <c r="AA23" s="71">
        <v>0.0</v>
      </c>
      <c r="AB23" s="71">
        <v>0.0</v>
      </c>
      <c r="AC23" s="71">
        <v>0.0</v>
      </c>
      <c r="AD23" s="71">
        <v>0.0</v>
      </c>
      <c r="AE23" s="71">
        <v>0.0</v>
      </c>
      <c r="AF23" s="888">
        <f t="shared" si="3"/>
        <v>4068.79</v>
      </c>
    </row>
    <row r="24">
      <c r="A24" s="20" t="s">
        <v>829</v>
      </c>
      <c r="B24" s="892"/>
      <c r="C24" s="892"/>
      <c r="D24" s="892"/>
      <c r="E24" s="893"/>
      <c r="F24" s="893"/>
      <c r="G24" s="893"/>
      <c r="H24" s="893"/>
      <c r="I24" s="893"/>
      <c r="J24" s="893"/>
      <c r="K24" s="893"/>
      <c r="L24" s="893"/>
      <c r="M24" s="893"/>
      <c r="N24" s="893"/>
      <c r="O24" s="893"/>
      <c r="P24" s="893"/>
      <c r="Q24" s="893"/>
      <c r="R24" s="893"/>
      <c r="S24" s="893"/>
      <c r="T24" s="893"/>
      <c r="U24" s="893"/>
      <c r="V24" s="893"/>
      <c r="W24" s="893"/>
      <c r="X24" s="893"/>
      <c r="Y24" s="893"/>
      <c r="Z24" s="893"/>
      <c r="AA24" s="893"/>
      <c r="AB24" s="893"/>
      <c r="AC24" s="893"/>
      <c r="AD24" s="893"/>
      <c r="AE24" s="893"/>
      <c r="AF24" s="888">
        <f t="shared" si="3"/>
        <v>0</v>
      </c>
    </row>
    <row r="25">
      <c r="A25" s="20" t="s">
        <v>830</v>
      </c>
      <c r="B25" s="894"/>
      <c r="C25" s="894"/>
      <c r="D25" s="894"/>
      <c r="E25" s="895"/>
      <c r="F25" s="895"/>
      <c r="G25" s="895"/>
      <c r="H25" s="895"/>
      <c r="I25" s="895"/>
      <c r="J25" s="894"/>
      <c r="K25" s="895"/>
      <c r="L25" s="895"/>
      <c r="M25" s="895"/>
      <c r="N25" s="895"/>
      <c r="O25" s="895"/>
      <c r="P25" s="895"/>
      <c r="Q25" s="895"/>
      <c r="R25" s="895"/>
      <c r="S25" s="895"/>
      <c r="T25" s="895"/>
      <c r="U25" s="895"/>
      <c r="V25" s="895"/>
      <c r="W25" s="895"/>
      <c r="X25" s="895"/>
      <c r="Y25" s="895"/>
      <c r="Z25" s="895"/>
      <c r="AA25" s="895"/>
      <c r="AB25" s="895"/>
      <c r="AC25" s="895"/>
      <c r="AD25" s="895"/>
      <c r="AE25" s="895"/>
      <c r="AF25" s="260">
        <f t="shared" si="3"/>
        <v>0</v>
      </c>
    </row>
    <row r="26">
      <c r="A26" s="872" t="s">
        <v>96</v>
      </c>
      <c r="B26" s="887">
        <v>31.54</v>
      </c>
      <c r="C26" s="887">
        <v>194.2</v>
      </c>
      <c r="D26" s="71">
        <v>325.4</v>
      </c>
      <c r="E26" s="887">
        <v>299.73</v>
      </c>
      <c r="F26" s="887">
        <v>758.64</v>
      </c>
      <c r="G26" s="887">
        <v>30.22</v>
      </c>
      <c r="H26" s="887">
        <v>0.0</v>
      </c>
      <c r="I26" s="887">
        <v>284.54</v>
      </c>
      <c r="J26" s="887">
        <v>0.0</v>
      </c>
      <c r="K26" s="887">
        <v>227.14</v>
      </c>
      <c r="L26" s="887">
        <v>272.9</v>
      </c>
      <c r="M26" s="887">
        <v>0.0</v>
      </c>
      <c r="N26" s="887">
        <v>0.0</v>
      </c>
      <c r="O26" s="71">
        <v>0.0</v>
      </c>
      <c r="P26" s="896">
        <v>0.0</v>
      </c>
      <c r="Q26" s="896">
        <v>0.0</v>
      </c>
      <c r="R26" s="887">
        <v>0.0</v>
      </c>
      <c r="S26" s="71">
        <v>6715.03</v>
      </c>
      <c r="T26" s="896">
        <v>4691.16</v>
      </c>
      <c r="U26" s="896">
        <v>1885.65</v>
      </c>
      <c r="V26" s="896">
        <v>2249.89</v>
      </c>
      <c r="W26" s="897">
        <v>2177.45</v>
      </c>
      <c r="X26" s="896">
        <v>912.06</v>
      </c>
      <c r="Y26" s="896">
        <v>712.15</v>
      </c>
      <c r="Z26" s="896">
        <v>731.4</v>
      </c>
      <c r="AA26" s="896">
        <v>720.45</v>
      </c>
      <c r="AB26" s="896">
        <v>8391.12</v>
      </c>
      <c r="AC26" s="896">
        <v>3445.83</v>
      </c>
      <c r="AD26" s="896">
        <v>2534.36</v>
      </c>
      <c r="AE26" s="896">
        <v>1006.28</v>
      </c>
      <c r="AF26" s="118">
        <f t="shared" si="3"/>
        <v>38597.14</v>
      </c>
    </row>
    <row r="27">
      <c r="A27" s="872" t="s">
        <v>79</v>
      </c>
      <c r="B27" s="898"/>
      <c r="C27" s="899"/>
      <c r="D27" s="899"/>
      <c r="E27" s="899"/>
      <c r="F27" s="899"/>
      <c r="G27" s="899"/>
      <c r="H27" s="899"/>
      <c r="I27" s="899"/>
      <c r="J27" s="899"/>
      <c r="K27" s="899"/>
      <c r="L27" s="899"/>
      <c r="M27" s="899"/>
      <c r="N27" s="899"/>
      <c r="O27" s="899"/>
      <c r="P27" s="899"/>
      <c r="Q27" s="899"/>
      <c r="R27" s="899"/>
      <c r="S27" s="899"/>
      <c r="T27" s="899"/>
      <c r="U27" s="899"/>
      <c r="V27" s="899"/>
      <c r="W27" s="899"/>
      <c r="X27" s="899"/>
      <c r="Y27" s="899"/>
      <c r="Z27" s="899"/>
      <c r="AA27" s="899"/>
      <c r="AB27" s="899"/>
      <c r="AC27" s="899"/>
      <c r="AD27" s="899"/>
      <c r="AE27" s="899"/>
      <c r="AF27" s="871"/>
    </row>
    <row r="28">
      <c r="A28" s="884" t="s">
        <v>95</v>
      </c>
      <c r="B28" s="63">
        <f t="shared" ref="B28:AE28" si="4">SUM(B18:B27)</f>
        <v>9991.13</v>
      </c>
      <c r="C28" s="63">
        <f t="shared" si="4"/>
        <v>11475.69</v>
      </c>
      <c r="D28" s="63">
        <f t="shared" si="4"/>
        <v>17119.79</v>
      </c>
      <c r="E28" s="63">
        <f t="shared" si="4"/>
        <v>18287.64</v>
      </c>
      <c r="F28" s="63">
        <f t="shared" si="4"/>
        <v>24482.19</v>
      </c>
      <c r="G28" s="63">
        <f t="shared" si="4"/>
        <v>15652.94</v>
      </c>
      <c r="H28" s="63">
        <f t="shared" si="4"/>
        <v>8342.99</v>
      </c>
      <c r="I28" s="63">
        <f t="shared" si="4"/>
        <v>4730.22</v>
      </c>
      <c r="J28" s="63">
        <f t="shared" si="4"/>
        <v>9971.76</v>
      </c>
      <c r="K28" s="63">
        <f t="shared" si="4"/>
        <v>12431.45</v>
      </c>
      <c r="L28" s="63">
        <f t="shared" si="4"/>
        <v>13407.81</v>
      </c>
      <c r="M28" s="63">
        <f t="shared" si="4"/>
        <v>10376.16</v>
      </c>
      <c r="N28" s="63">
        <f t="shared" si="4"/>
        <v>8909.13</v>
      </c>
      <c r="O28" s="63">
        <f t="shared" si="4"/>
        <v>9346.93</v>
      </c>
      <c r="P28" s="63">
        <f t="shared" si="4"/>
        <v>13658.58</v>
      </c>
      <c r="Q28" s="63">
        <f t="shared" si="4"/>
        <v>11640.71</v>
      </c>
      <c r="R28" s="63">
        <f t="shared" si="4"/>
        <v>9209.44</v>
      </c>
      <c r="S28" s="63">
        <f t="shared" si="4"/>
        <v>22129.32</v>
      </c>
      <c r="T28" s="63">
        <f t="shared" si="4"/>
        <v>15630.79</v>
      </c>
      <c r="U28" s="63">
        <f t="shared" si="4"/>
        <v>14109.92</v>
      </c>
      <c r="V28" s="63">
        <f t="shared" si="4"/>
        <v>11503.17</v>
      </c>
      <c r="W28" s="63">
        <f t="shared" si="4"/>
        <v>10620.69</v>
      </c>
      <c r="X28" s="63">
        <f t="shared" si="4"/>
        <v>11477.8</v>
      </c>
      <c r="Y28" s="63">
        <f t="shared" si="4"/>
        <v>15194.77</v>
      </c>
      <c r="Z28" s="63">
        <f t="shared" si="4"/>
        <v>11710.23</v>
      </c>
      <c r="AA28" s="63">
        <f t="shared" si="4"/>
        <v>7694.11</v>
      </c>
      <c r="AB28" s="63">
        <f t="shared" si="4"/>
        <v>15030.64</v>
      </c>
      <c r="AC28" s="63">
        <f t="shared" si="4"/>
        <v>11329.68</v>
      </c>
      <c r="AD28" s="63">
        <f t="shared" si="4"/>
        <v>12051.5</v>
      </c>
      <c r="AE28" s="63">
        <f t="shared" si="4"/>
        <v>13482.09</v>
      </c>
      <c r="AF28" s="900">
        <f>SUM(B28:AE28)</f>
        <v>380999.27</v>
      </c>
    </row>
    <row r="29">
      <c r="A29" s="20"/>
      <c r="B29" s="582"/>
      <c r="C29" s="582"/>
      <c r="D29" s="582"/>
      <c r="E29" s="582"/>
      <c r="F29" s="582"/>
      <c r="G29" s="582"/>
      <c r="H29" s="582"/>
      <c r="I29" s="582"/>
      <c r="J29" s="582"/>
      <c r="K29" s="582"/>
      <c r="L29" s="582"/>
      <c r="M29" s="582"/>
      <c r="N29" s="582"/>
      <c r="O29" s="582"/>
      <c r="P29" s="582"/>
      <c r="Q29" s="582"/>
      <c r="R29" s="582"/>
      <c r="S29" s="582"/>
      <c r="T29" s="582"/>
      <c r="U29" s="582"/>
      <c r="V29" s="582"/>
      <c r="W29" s="582"/>
      <c r="X29" s="582"/>
      <c r="Y29" s="582"/>
      <c r="Z29" s="582"/>
      <c r="AA29" s="582"/>
      <c r="AB29" s="582"/>
      <c r="AC29" s="582"/>
      <c r="AD29" s="582"/>
      <c r="AE29" s="582"/>
      <c r="AF29" s="871"/>
    </row>
    <row r="30">
      <c r="A30" s="901" t="s">
        <v>105</v>
      </c>
      <c r="B30" s="582"/>
      <c r="C30" s="582"/>
      <c r="D30" s="582"/>
      <c r="E30" s="582"/>
      <c r="F30" s="582"/>
      <c r="G30" s="582"/>
      <c r="H30" s="582"/>
      <c r="I30" s="582"/>
      <c r="J30" s="582"/>
      <c r="K30" s="582"/>
      <c r="L30" s="582"/>
      <c r="M30" s="582"/>
      <c r="N30" s="582"/>
      <c r="O30" s="582"/>
      <c r="P30" s="582"/>
      <c r="Q30" s="582"/>
      <c r="R30" s="582"/>
      <c r="S30" s="582"/>
      <c r="T30" s="582"/>
      <c r="U30" s="582"/>
      <c r="V30" s="582"/>
      <c r="W30" s="582"/>
      <c r="X30" s="582"/>
      <c r="Y30" s="582"/>
      <c r="Z30" s="582"/>
      <c r="AA30" s="582"/>
      <c r="AB30" s="582"/>
      <c r="AC30" s="582"/>
      <c r="AD30" s="582"/>
      <c r="AE30" s="582"/>
      <c r="AF30" s="871"/>
    </row>
    <row r="31">
      <c r="A31" s="20" t="s">
        <v>832</v>
      </c>
      <c r="B31" s="902">
        <f>'OLD Sales'!B35</f>
        <v>5360.49</v>
      </c>
      <c r="C31" s="902">
        <f>'OLD Sales'!C35</f>
        <v>4737.18</v>
      </c>
      <c r="D31" s="902">
        <f>'OLD Sales'!D35</f>
        <v>6495.66</v>
      </c>
      <c r="E31" s="902">
        <f>'OLD Sales'!E35</f>
        <v>7444.39</v>
      </c>
      <c r="F31" s="902">
        <f>'OLD Sales'!F35</f>
        <v>9948.69</v>
      </c>
      <c r="G31" s="902">
        <f>'OLD Sales'!G35</f>
        <v>10654.24</v>
      </c>
      <c r="H31" s="902">
        <f>'OLD Sales'!H35</f>
        <v>4870.4</v>
      </c>
      <c r="I31" s="902">
        <f>'OLD Sales'!I35</f>
        <v>2686.43</v>
      </c>
      <c r="J31" s="902">
        <f>'OLD Sales'!J35</f>
        <v>4453.73</v>
      </c>
      <c r="K31" s="902">
        <f>'OLD Sales'!K35</f>
        <v>7934.61</v>
      </c>
      <c r="L31" s="902">
        <f>'OLD Sales'!L35</f>
        <v>7938.61</v>
      </c>
      <c r="M31" s="902">
        <f>'OLD Sales'!M35</f>
        <v>7224.58</v>
      </c>
      <c r="N31" s="902">
        <f>'OLD Sales'!N35</f>
        <v>6434.49</v>
      </c>
      <c r="O31" s="902">
        <f>'OLD Sales'!O35</f>
        <v>4665.45</v>
      </c>
      <c r="P31" s="902">
        <f>'OLD Sales'!P35</f>
        <v>5085.26</v>
      </c>
      <c r="Q31" s="902">
        <f>'OLD Sales'!Q35</f>
        <v>5306.87</v>
      </c>
      <c r="R31" s="902">
        <f>'OLD Sales'!R35</f>
        <v>5557.57</v>
      </c>
      <c r="S31" s="902">
        <f>'OLD Sales'!S35</f>
        <v>5291.59</v>
      </c>
      <c r="T31" s="902">
        <f>'OLD Sales'!T35</f>
        <v>5637.88</v>
      </c>
      <c r="U31" s="902">
        <f>'OLD Sales'!U35</f>
        <v>4633.57</v>
      </c>
      <c r="V31" s="902">
        <f>'OLD Sales'!V35</f>
        <v>4778.31</v>
      </c>
      <c r="W31" s="902">
        <f>'OLD Sales'!W35</f>
        <v>5026.69</v>
      </c>
      <c r="X31" s="902">
        <f>'OLD Sales'!X35</f>
        <v>6492.73</v>
      </c>
      <c r="Y31" s="902">
        <f>'OLD Sales'!Y35</f>
        <v>8338.56</v>
      </c>
      <c r="Z31" s="902">
        <f>'OLD Sales'!Z35</f>
        <v>7339.68</v>
      </c>
      <c r="AA31" s="902">
        <f>'OLD Sales'!AA35</f>
        <v>6794.39</v>
      </c>
      <c r="AB31" s="902">
        <f>'OLD Sales'!AB35</f>
        <v>4723.67</v>
      </c>
      <c r="AC31" s="902">
        <f>'OLD Sales'!AC35</f>
        <v>3688.31</v>
      </c>
      <c r="AD31" s="902">
        <f>'OLD Sales'!AD35</f>
        <v>4859.14</v>
      </c>
      <c r="AE31" s="902">
        <f>'OLD Sales'!AE35</f>
        <v>5765.64</v>
      </c>
      <c r="AF31" s="900">
        <f t="shared" ref="AF31:AF42" si="5">SUM(B31:AE31)</f>
        <v>180168.81</v>
      </c>
    </row>
    <row r="32">
      <c r="A32" s="872" t="s">
        <v>211</v>
      </c>
      <c r="B32" s="902">
        <f>'OLD Sales'!B36</f>
        <v>1211.12</v>
      </c>
      <c r="C32" s="902">
        <f>'OLD Sales'!C36</f>
        <v>1401.64</v>
      </c>
      <c r="D32" s="902">
        <f>'OLD Sales'!D36</f>
        <v>1710.2</v>
      </c>
      <c r="E32" s="902">
        <f>'OLD Sales'!E36</f>
        <v>1317</v>
      </c>
      <c r="F32" s="902">
        <f>'OLD Sales'!F36</f>
        <v>1357.2</v>
      </c>
      <c r="G32" s="902">
        <f>'OLD Sales'!G36</f>
        <v>1340.41</v>
      </c>
      <c r="H32" s="902">
        <f>'OLD Sales'!H36</f>
        <v>1379.91</v>
      </c>
      <c r="I32" s="902">
        <f>'OLD Sales'!I36</f>
        <v>1350.77</v>
      </c>
      <c r="J32" s="902">
        <f>'OLD Sales'!J36</f>
        <v>1446.61</v>
      </c>
      <c r="K32" s="902">
        <f>'OLD Sales'!K36</f>
        <v>1925.14</v>
      </c>
      <c r="L32" s="902">
        <f>'OLD Sales'!L36</f>
        <v>1897.8</v>
      </c>
      <c r="M32" s="902">
        <f>'OLD Sales'!M36</f>
        <v>1863.85</v>
      </c>
      <c r="N32" s="902">
        <f>'OLD Sales'!N36</f>
        <v>2181.78</v>
      </c>
      <c r="O32" s="902">
        <f>'OLD Sales'!O36</f>
        <v>1588.03</v>
      </c>
      <c r="P32" s="902">
        <f>'OLD Sales'!P36</f>
        <v>2151.14</v>
      </c>
      <c r="Q32" s="902">
        <f>'OLD Sales'!Q36</f>
        <v>2408.3</v>
      </c>
      <c r="R32" s="902">
        <f>'OLD Sales'!R36</f>
        <v>2606.98</v>
      </c>
      <c r="S32" s="902">
        <f>'OLD Sales'!S36</f>
        <v>2845.1</v>
      </c>
      <c r="T32" s="902">
        <f>'OLD Sales'!T36</f>
        <v>2751.55</v>
      </c>
      <c r="U32" s="902">
        <f>'OLD Sales'!U36</f>
        <v>2266</v>
      </c>
      <c r="V32" s="902">
        <f>'OLD Sales'!V36</f>
        <v>2050.31</v>
      </c>
      <c r="W32" s="902">
        <f>'OLD Sales'!W36</f>
        <v>1949</v>
      </c>
      <c r="X32" s="902">
        <f>'OLD Sales'!X36</f>
        <v>2011.34</v>
      </c>
      <c r="Y32" s="902">
        <f>'OLD Sales'!Y36</f>
        <v>2159.48</v>
      </c>
      <c r="Z32" s="902">
        <f>'OLD Sales'!Z36</f>
        <v>1935.34</v>
      </c>
      <c r="AA32" s="902">
        <f>'OLD Sales'!AA36</f>
        <v>1646.91</v>
      </c>
      <c r="AB32" s="902">
        <f>'OLD Sales'!AB36</f>
        <v>1733.42</v>
      </c>
      <c r="AC32" s="902">
        <f>'OLD Sales'!AC36</f>
        <v>2080.01</v>
      </c>
      <c r="AD32" s="902">
        <f>'OLD Sales'!AD36</f>
        <v>1795.19</v>
      </c>
      <c r="AE32" s="902">
        <f>'OLD Sales'!AE36</f>
        <v>2141.16</v>
      </c>
      <c r="AF32" s="900">
        <f t="shared" si="5"/>
        <v>56502.69</v>
      </c>
    </row>
    <row r="33">
      <c r="A33" s="20" t="s">
        <v>216</v>
      </c>
      <c r="B33" s="902">
        <f>'OLD Sales'!B38</f>
        <v>0</v>
      </c>
      <c r="C33" s="902">
        <f>'OLD Sales'!C38</f>
        <v>0</v>
      </c>
      <c r="D33" s="902">
        <f>'OLD Sales'!D38</f>
        <v>0</v>
      </c>
      <c r="E33" s="902">
        <f>'OLD Sales'!E38</f>
        <v>0</v>
      </c>
      <c r="F33" s="902">
        <f>'OLD Sales'!F38</f>
        <v>0</v>
      </c>
      <c r="G33" s="902">
        <f>'OLD Sales'!G38</f>
        <v>0</v>
      </c>
      <c r="H33" s="902">
        <f>'OLD Sales'!H38</f>
        <v>0</v>
      </c>
      <c r="I33" s="902">
        <f>'OLD Sales'!I38</f>
        <v>0</v>
      </c>
      <c r="J33" s="902">
        <f>'OLD Sales'!J38</f>
        <v>0</v>
      </c>
      <c r="K33" s="902">
        <f>'OLD Sales'!K38</f>
        <v>0</v>
      </c>
      <c r="L33" s="902">
        <f>'OLD Sales'!L38</f>
        <v>0</v>
      </c>
      <c r="M33" s="902">
        <f>'OLD Sales'!M38</f>
        <v>0</v>
      </c>
      <c r="N33" s="902">
        <f>'OLD Sales'!N38</f>
        <v>0</v>
      </c>
      <c r="O33" s="902">
        <f>'OLD Sales'!O38</f>
        <v>0</v>
      </c>
      <c r="P33" s="902">
        <f>'OLD Sales'!P39</f>
        <v>1674.55</v>
      </c>
      <c r="Q33" s="902">
        <f>'OLD Sales'!Q38</f>
        <v>0</v>
      </c>
      <c r="R33" s="902">
        <f>'OLD Sales'!R38</f>
        <v>0</v>
      </c>
      <c r="S33" s="902">
        <f>'OLD Sales'!S38</f>
        <v>0</v>
      </c>
      <c r="T33" s="902">
        <f>'OLD Sales'!T38</f>
        <v>0</v>
      </c>
      <c r="U33" s="902">
        <f>'OLD Sales'!U38</f>
        <v>0</v>
      </c>
      <c r="V33" s="902">
        <f>'OLD Sales'!V38</f>
        <v>0</v>
      </c>
      <c r="W33" s="902">
        <f>'OLD Sales'!W38</f>
        <v>0</v>
      </c>
      <c r="X33" s="902">
        <f>'OLD Sales'!X38</f>
        <v>0</v>
      </c>
      <c r="Y33" s="902">
        <f>'OLD Sales'!Y38</f>
        <v>0</v>
      </c>
      <c r="Z33" s="902">
        <f>'OLD Sales'!Z38</f>
        <v>0</v>
      </c>
      <c r="AA33" s="902">
        <f>'OLD Sales'!AA38</f>
        <v>0</v>
      </c>
      <c r="AB33" s="902">
        <f>'OLD Sales'!AB38</f>
        <v>0</v>
      </c>
      <c r="AC33" s="902">
        <f>'OLD Sales'!AC38</f>
        <v>0</v>
      </c>
      <c r="AD33" s="902">
        <f>'OLD Sales'!AD38</f>
        <v>0</v>
      </c>
      <c r="AE33" s="902">
        <f>'OLD Sales'!AE38</f>
        <v>0</v>
      </c>
      <c r="AF33" s="900">
        <f t="shared" si="5"/>
        <v>1674.55</v>
      </c>
    </row>
    <row r="34">
      <c r="A34" s="872" t="s">
        <v>214</v>
      </c>
      <c r="B34" s="902">
        <f>'OLD Sales'!B37</f>
        <v>183.94</v>
      </c>
      <c r="C34" s="902">
        <f>'OLD Sales'!C37</f>
        <v>172.98</v>
      </c>
      <c r="D34" s="902">
        <f>'OLD Sales'!D37</f>
        <v>228.88</v>
      </c>
      <c r="E34" s="902">
        <f>'OLD Sales'!E37</f>
        <v>223.48</v>
      </c>
      <c r="F34" s="902">
        <f>'OLD Sales'!F37</f>
        <v>230.68</v>
      </c>
      <c r="G34" s="902">
        <f>'OLD Sales'!G37</f>
        <v>226.06</v>
      </c>
      <c r="H34" s="902">
        <f>'OLD Sales'!H37</f>
        <v>224.23</v>
      </c>
      <c r="I34" s="902">
        <f>'OLD Sales'!I37</f>
        <v>191.43</v>
      </c>
      <c r="J34" s="902">
        <f>'OLD Sales'!J37</f>
        <v>355.52</v>
      </c>
      <c r="K34" s="902">
        <f>'OLD Sales'!K37</f>
        <v>218.82</v>
      </c>
      <c r="L34" s="902">
        <f>'OLD Sales'!L37</f>
        <v>224.14</v>
      </c>
      <c r="M34" s="902">
        <f>'OLD Sales'!M37</f>
        <v>217.46</v>
      </c>
      <c r="N34" s="902">
        <f>'OLD Sales'!N37</f>
        <v>212.7</v>
      </c>
      <c r="O34" s="902">
        <f>'OLD Sales'!O37</f>
        <v>216.39</v>
      </c>
      <c r="P34" s="902">
        <f>'OLD Sales'!P37</f>
        <v>191.06</v>
      </c>
      <c r="Q34" s="902">
        <f>'OLD Sales'!Q37</f>
        <v>221.71</v>
      </c>
      <c r="R34" s="902">
        <f>'OLD Sales'!R37</f>
        <v>486.58</v>
      </c>
      <c r="S34" s="902">
        <f>'OLD Sales'!S37</f>
        <v>238.96</v>
      </c>
      <c r="T34" s="902">
        <f>'OLD Sales'!T37</f>
        <v>212.46</v>
      </c>
      <c r="U34" s="902">
        <f>'OLD Sales'!U37</f>
        <v>207.49</v>
      </c>
      <c r="V34" s="902">
        <f>'OLD Sales'!V37</f>
        <v>199.05</v>
      </c>
      <c r="W34" s="902">
        <f>'OLD Sales'!W37</f>
        <v>212.03</v>
      </c>
      <c r="X34" s="902">
        <f>'OLD Sales'!X37</f>
        <v>212.05</v>
      </c>
      <c r="Y34" s="902">
        <f>'OLD Sales'!Y37</f>
        <v>197.44</v>
      </c>
      <c r="Z34" s="902">
        <f>'OLD Sales'!Z37</f>
        <v>62.73</v>
      </c>
      <c r="AA34" s="902">
        <f>'OLD Sales'!AA37</f>
        <v>20.31</v>
      </c>
      <c r="AB34" s="902">
        <f>'OLD Sales'!AB37</f>
        <v>0</v>
      </c>
      <c r="AC34" s="902">
        <f>'OLD Sales'!AC37</f>
        <v>0</v>
      </c>
      <c r="AD34" s="902">
        <f>'OLD Sales'!AD37</f>
        <v>161.76</v>
      </c>
      <c r="AE34" s="902">
        <f>'OLD Sales'!AE37</f>
        <v>464.33</v>
      </c>
      <c r="AF34" s="900">
        <f t="shared" si="5"/>
        <v>6214.67</v>
      </c>
    </row>
    <row r="35">
      <c r="A35" s="872" t="s">
        <v>828</v>
      </c>
      <c r="B35" s="904">
        <f>'OLD Sales'!B39</f>
        <v>1276.67</v>
      </c>
      <c r="C35" s="904">
        <f>'OLD Sales'!C39</f>
        <v>1876.55</v>
      </c>
      <c r="D35" s="904">
        <f>'OLD Sales'!D39</f>
        <v>2182.61</v>
      </c>
      <c r="E35" s="904">
        <f>'OLD Sales'!E39</f>
        <v>1886.24</v>
      </c>
      <c r="F35" s="904">
        <f>'OLD Sales'!F39</f>
        <v>1401.31</v>
      </c>
      <c r="G35" s="904">
        <f>'OLD Sales'!G39</f>
        <v>1491.07</v>
      </c>
      <c r="H35" s="904">
        <f>'OLD Sales'!H39</f>
        <v>1448.93</v>
      </c>
      <c r="I35" s="904">
        <f>'OLD Sales'!I39</f>
        <v>1479.75</v>
      </c>
      <c r="J35" s="904">
        <f>'OLD Sales'!J39</f>
        <v>1888.27</v>
      </c>
      <c r="K35" s="904">
        <f>'OLD Sales'!K39</f>
        <v>2296.89</v>
      </c>
      <c r="L35" s="904">
        <f>'OLD Sales'!L39</f>
        <v>1797.51</v>
      </c>
      <c r="M35" s="904">
        <f>'OLD Sales'!M39</f>
        <v>1678.5</v>
      </c>
      <c r="N35" s="904">
        <f>'OLD Sales'!N39</f>
        <v>1662.46</v>
      </c>
      <c r="O35" s="904">
        <f>'OLD Sales'!O39</f>
        <v>1696.47</v>
      </c>
      <c r="P35" s="904"/>
      <c r="Q35" s="904">
        <f>'OLD Sales'!Q39</f>
        <v>2303.3</v>
      </c>
      <c r="R35" s="904">
        <f>'OLD Sales'!R39</f>
        <v>2443.56</v>
      </c>
      <c r="S35" s="904">
        <f>'OLD Sales'!S39</f>
        <v>2161.34</v>
      </c>
      <c r="T35" s="904">
        <f>'OLD Sales'!T39</f>
        <v>2309.42</v>
      </c>
      <c r="U35" s="904">
        <f>'OLD Sales'!U39</f>
        <v>2091.87</v>
      </c>
      <c r="V35" s="904">
        <f>'OLD Sales'!V39</f>
        <v>1920.72</v>
      </c>
      <c r="W35" s="904">
        <f>'OLD Sales'!W39</f>
        <v>1492.52</v>
      </c>
      <c r="X35" s="904">
        <f>'OLD Sales'!X39</f>
        <v>1881.18</v>
      </c>
      <c r="Y35" s="904">
        <f>'OLD Sales'!Y39</f>
        <v>2255.79</v>
      </c>
      <c r="Z35" s="904">
        <f>'OLD Sales'!Z39</f>
        <v>1672.88</v>
      </c>
      <c r="AA35" s="904">
        <f>'OLD Sales'!AA39</f>
        <v>1771.38</v>
      </c>
      <c r="AB35" s="904">
        <f>'OLD Sales'!AB39</f>
        <v>2743.88</v>
      </c>
      <c r="AC35" s="904">
        <f>'OLD Sales'!AC39</f>
        <v>3792.92</v>
      </c>
      <c r="AD35" s="904">
        <f>'OLD Sales'!AD39</f>
        <v>2832.22</v>
      </c>
      <c r="AE35" s="904">
        <f>'OLD Sales'!AE39</f>
        <v>3932.81</v>
      </c>
      <c r="AF35" s="900">
        <f t="shared" si="5"/>
        <v>59669.02</v>
      </c>
    </row>
    <row r="36">
      <c r="A36" s="872" t="s">
        <v>836</v>
      </c>
      <c r="B36" s="904">
        <f t="shared" ref="B36:S36" si="6">B22*0.15</f>
        <v>0</v>
      </c>
      <c r="C36" s="904">
        <f t="shared" si="6"/>
        <v>0</v>
      </c>
      <c r="D36" s="904">
        <f t="shared" si="6"/>
        <v>0</v>
      </c>
      <c r="E36" s="904">
        <f t="shared" si="6"/>
        <v>0</v>
      </c>
      <c r="F36" s="904">
        <f t="shared" si="6"/>
        <v>0</v>
      </c>
      <c r="G36" s="904">
        <f t="shared" si="6"/>
        <v>0</v>
      </c>
      <c r="H36" s="904">
        <f t="shared" si="6"/>
        <v>0</v>
      </c>
      <c r="I36" s="904">
        <f t="shared" si="6"/>
        <v>0</v>
      </c>
      <c r="J36" s="904">
        <f t="shared" si="6"/>
        <v>0</v>
      </c>
      <c r="K36" s="904">
        <f t="shared" si="6"/>
        <v>0</v>
      </c>
      <c r="L36" s="904">
        <f t="shared" si="6"/>
        <v>0</v>
      </c>
      <c r="M36" s="904">
        <f t="shared" si="6"/>
        <v>0</v>
      </c>
      <c r="N36" s="904">
        <f t="shared" si="6"/>
        <v>0</v>
      </c>
      <c r="O36" s="904">
        <f t="shared" si="6"/>
        <v>0</v>
      </c>
      <c r="P36" s="904">
        <f t="shared" si="6"/>
        <v>0</v>
      </c>
      <c r="Q36" s="904">
        <f t="shared" si="6"/>
        <v>0</v>
      </c>
      <c r="R36" s="904">
        <f t="shared" si="6"/>
        <v>0</v>
      </c>
      <c r="S36" s="904">
        <f t="shared" si="6"/>
        <v>0</v>
      </c>
      <c r="T36" s="904"/>
      <c r="U36" s="904">
        <f t="shared" ref="U36:AC36" si="7">U22*0.15</f>
        <v>0</v>
      </c>
      <c r="V36" s="904">
        <f t="shared" si="7"/>
        <v>0</v>
      </c>
      <c r="W36" s="904">
        <f t="shared" si="7"/>
        <v>0</v>
      </c>
      <c r="X36" s="904">
        <f t="shared" si="7"/>
        <v>0</v>
      </c>
      <c r="Y36" s="904">
        <f t="shared" si="7"/>
        <v>0</v>
      </c>
      <c r="Z36" s="904">
        <f t="shared" si="7"/>
        <v>0</v>
      </c>
      <c r="AA36" s="904">
        <f t="shared" si="7"/>
        <v>0</v>
      </c>
      <c r="AB36" s="904">
        <f t="shared" si="7"/>
        <v>0</v>
      </c>
      <c r="AC36" s="904">
        <f t="shared" si="7"/>
        <v>0</v>
      </c>
      <c r="AD36" s="904"/>
      <c r="AE36" s="904"/>
      <c r="AF36" s="900">
        <f t="shared" si="5"/>
        <v>0</v>
      </c>
    </row>
    <row r="37">
      <c r="A37" s="872" t="s">
        <v>837</v>
      </c>
      <c r="B37" s="905"/>
      <c r="C37" s="905"/>
      <c r="D37" s="905"/>
      <c r="E37" s="905"/>
      <c r="F37" s="905"/>
      <c r="G37" s="905"/>
      <c r="H37" s="905"/>
      <c r="I37" s="905"/>
      <c r="J37" s="905"/>
      <c r="K37" s="905"/>
      <c r="L37" s="905"/>
      <c r="M37" s="905"/>
      <c r="N37" s="905"/>
      <c r="O37" s="905"/>
      <c r="P37" s="905"/>
      <c r="Q37" s="905"/>
      <c r="R37" s="905"/>
      <c r="S37" s="905"/>
      <c r="T37" s="905"/>
      <c r="U37" s="905"/>
      <c r="V37" s="905"/>
      <c r="W37" s="905"/>
      <c r="X37" s="905"/>
      <c r="Y37" s="905"/>
      <c r="Z37" s="905"/>
      <c r="AA37" s="905"/>
      <c r="AB37" s="905"/>
      <c r="AC37" s="905"/>
      <c r="AD37" s="905"/>
      <c r="AE37" s="905"/>
      <c r="AF37" s="900">
        <f t="shared" si="5"/>
        <v>0</v>
      </c>
    </row>
    <row r="38">
      <c r="A38" s="906" t="s">
        <v>838</v>
      </c>
      <c r="B38" s="907"/>
      <c r="C38" s="905"/>
      <c r="D38" s="905"/>
      <c r="E38" s="905"/>
      <c r="F38" s="905"/>
      <c r="G38" s="905"/>
      <c r="H38" s="905"/>
      <c r="I38" s="905"/>
      <c r="J38" s="905"/>
      <c r="K38" s="905"/>
      <c r="L38" s="905"/>
      <c r="M38" s="905"/>
      <c r="N38" s="905"/>
      <c r="O38" s="905"/>
      <c r="P38" s="905"/>
      <c r="Q38" s="905"/>
      <c r="R38" s="905"/>
      <c r="S38" s="905"/>
      <c r="T38" s="905"/>
      <c r="U38" s="905"/>
      <c r="V38" s="905"/>
      <c r="W38" s="905"/>
      <c r="X38" s="905"/>
      <c r="Y38" s="905"/>
      <c r="Z38" s="905"/>
      <c r="AA38" s="905"/>
      <c r="AB38" s="905"/>
      <c r="AC38" s="905"/>
      <c r="AD38" s="905"/>
      <c r="AE38" s="905"/>
      <c r="AF38" s="900">
        <f t="shared" si="5"/>
        <v>0</v>
      </c>
    </row>
    <row r="39">
      <c r="A39" s="906" t="s">
        <v>839</v>
      </c>
      <c r="B39" s="908">
        <f>'OLD Sales'!B42</f>
        <v>0</v>
      </c>
      <c r="C39" s="593">
        <f>'OLD Sales'!C42</f>
        <v>0</v>
      </c>
      <c r="D39" s="593">
        <f>'OLD Sales'!D42</f>
        <v>0</v>
      </c>
      <c r="E39" s="593">
        <f>'OLD Sales'!E42</f>
        <v>47.81</v>
      </c>
      <c r="F39" s="593">
        <f>'OLD Sales'!F42</f>
        <v>113.06</v>
      </c>
      <c r="G39" s="593">
        <f>'OLD Sales'!G42</f>
        <v>62.55</v>
      </c>
      <c r="H39" s="593">
        <f>'OLD Sales'!H42</f>
        <v>0</v>
      </c>
      <c r="I39" s="593">
        <f>'OLD Sales'!I42</f>
        <v>0</v>
      </c>
      <c r="J39" s="593">
        <f>'OLD Sales'!J42</f>
        <v>0</v>
      </c>
      <c r="K39" s="593">
        <f>'OLD Sales'!K42</f>
        <v>149.78</v>
      </c>
      <c r="L39" s="593">
        <f>'OLD Sales'!L42</f>
        <v>0</v>
      </c>
      <c r="M39" s="593">
        <f>'OLD Sales'!M42</f>
        <v>0</v>
      </c>
      <c r="N39" s="593">
        <f>'OLD Sales'!N42</f>
        <v>0</v>
      </c>
      <c r="O39" s="593">
        <f>'OLD Sales'!O42</f>
        <v>139.61</v>
      </c>
      <c r="P39" s="593">
        <f>'OLD Sales'!P42</f>
        <v>53.32</v>
      </c>
      <c r="Q39" s="593">
        <f>'OLD Sales'!Q42</f>
        <v>59.92</v>
      </c>
      <c r="R39" s="593">
        <f>'OLD Sales'!R42</f>
        <v>53.62</v>
      </c>
      <c r="S39" s="593">
        <f>'OLD Sales'!S42</f>
        <v>15.48</v>
      </c>
      <c r="T39" s="593">
        <f>'OLD Sales'!T42</f>
        <v>59.05</v>
      </c>
      <c r="U39" s="593">
        <f>'OLD Sales'!U42</f>
        <v>57.04</v>
      </c>
      <c r="V39" s="593">
        <f>'OLD Sales'!V42</f>
        <v>0</v>
      </c>
      <c r="W39" s="593">
        <f>'OLD Sales'!W42</f>
        <v>57.16</v>
      </c>
      <c r="X39" s="593">
        <f>'OLD Sales'!X42</f>
        <v>0</v>
      </c>
      <c r="Y39" s="593">
        <f>'OLD Sales'!Y42</f>
        <v>26.91</v>
      </c>
      <c r="Z39" s="593">
        <f>'OLD Sales'!Z42</f>
        <v>0</v>
      </c>
      <c r="AA39" s="593">
        <f>'OLD Sales'!AA42</f>
        <v>0</v>
      </c>
      <c r="AB39" s="593">
        <f>'OLD Sales'!AB42</f>
        <v>0</v>
      </c>
      <c r="AC39" s="593">
        <f>'OLD Sales'!AC42</f>
        <v>0</v>
      </c>
      <c r="AD39" s="593">
        <f>'OLD Sales'!AD42</f>
        <v>0</v>
      </c>
      <c r="AE39" s="593">
        <f>'OLD Sales'!AE42</f>
        <v>0</v>
      </c>
      <c r="AF39" s="900">
        <f t="shared" si="5"/>
        <v>895.31</v>
      </c>
    </row>
    <row r="40">
      <c r="A40" s="20" t="s">
        <v>841</v>
      </c>
      <c r="B40" s="905"/>
      <c r="C40" s="905"/>
      <c r="D40" s="905"/>
      <c r="E40" s="905"/>
      <c r="F40" s="905"/>
      <c r="G40" s="905"/>
      <c r="H40" s="905"/>
      <c r="I40" s="905"/>
      <c r="J40" s="905"/>
      <c r="K40" s="905"/>
      <c r="L40" s="905"/>
      <c r="M40" s="905"/>
      <c r="N40" s="905"/>
      <c r="O40" s="905"/>
      <c r="P40" s="905"/>
      <c r="Q40" s="905"/>
      <c r="R40" s="905"/>
      <c r="S40" s="905"/>
      <c r="T40" s="905"/>
      <c r="U40" s="905"/>
      <c r="V40" s="905"/>
      <c r="W40" s="905"/>
      <c r="X40" s="905"/>
      <c r="Y40" s="905"/>
      <c r="Z40" s="905"/>
      <c r="AA40" s="905"/>
      <c r="AB40" s="905"/>
      <c r="AC40" s="905"/>
      <c r="AD40" s="905"/>
      <c r="AE40" s="905"/>
      <c r="AF40" s="900">
        <f t="shared" si="5"/>
        <v>0</v>
      </c>
    </row>
    <row r="41">
      <c r="A41" s="20" t="s">
        <v>842</v>
      </c>
      <c r="B41" s="905"/>
      <c r="C41" s="905"/>
      <c r="D41" s="905"/>
      <c r="E41" s="905"/>
      <c r="F41" s="905"/>
      <c r="G41" s="905"/>
      <c r="H41" s="905"/>
      <c r="I41" s="905"/>
      <c r="J41" s="905"/>
      <c r="K41" s="905"/>
      <c r="L41" s="905"/>
      <c r="M41" s="905"/>
      <c r="N41" s="905"/>
      <c r="O41" s="905"/>
      <c r="P41" s="905"/>
      <c r="Q41" s="905"/>
      <c r="R41" s="905"/>
      <c r="S41" s="905"/>
      <c r="T41" s="905"/>
      <c r="U41" s="905"/>
      <c r="V41" s="905"/>
      <c r="W41" s="905"/>
      <c r="X41" s="905"/>
      <c r="Y41" s="905"/>
      <c r="Z41" s="905"/>
      <c r="AA41" s="905"/>
      <c r="AB41" s="905"/>
      <c r="AC41" s="905"/>
      <c r="AD41" s="905"/>
      <c r="AE41" s="905"/>
      <c r="AF41" s="900">
        <f t="shared" si="5"/>
        <v>0</v>
      </c>
    </row>
    <row r="42">
      <c r="A42" s="20" t="s">
        <v>843</v>
      </c>
      <c r="B42" s="905"/>
      <c r="C42" s="905"/>
      <c r="D42" s="905"/>
      <c r="E42" s="905"/>
      <c r="F42" s="905"/>
      <c r="G42" s="905"/>
      <c r="H42" s="905"/>
      <c r="I42" s="905"/>
      <c r="J42" s="905"/>
      <c r="K42" s="905"/>
      <c r="L42" s="905"/>
      <c r="M42" s="905"/>
      <c r="N42" s="905"/>
      <c r="O42" s="905"/>
      <c r="P42" s="905"/>
      <c r="Q42" s="905"/>
      <c r="R42" s="905"/>
      <c r="S42" s="905"/>
      <c r="T42" s="905"/>
      <c r="U42" s="905"/>
      <c r="V42" s="905"/>
      <c r="W42" s="905"/>
      <c r="X42" s="905"/>
      <c r="Y42" s="905"/>
      <c r="Z42" s="905"/>
      <c r="AA42" s="905"/>
      <c r="AB42" s="905"/>
      <c r="AC42" s="905"/>
      <c r="AD42" s="905"/>
      <c r="AE42" s="905"/>
      <c r="AF42" s="900">
        <f t="shared" si="5"/>
        <v>0</v>
      </c>
    </row>
    <row r="43">
      <c r="A43" s="872" t="s">
        <v>844</v>
      </c>
      <c r="B43" s="905"/>
      <c r="C43" s="905"/>
      <c r="D43" s="905"/>
      <c r="E43" s="905"/>
      <c r="F43" s="905"/>
      <c r="G43" s="905"/>
      <c r="H43" s="905"/>
      <c r="I43" s="905"/>
      <c r="J43" s="905"/>
      <c r="K43" s="905"/>
      <c r="L43" s="905"/>
      <c r="M43" s="905"/>
      <c r="N43" s="905"/>
      <c r="O43" s="905"/>
      <c r="P43" s="905"/>
      <c r="Q43" s="905"/>
      <c r="R43" s="905"/>
      <c r="S43" s="905"/>
      <c r="T43" s="905"/>
      <c r="U43" s="905"/>
      <c r="V43" s="905"/>
      <c r="W43" s="905"/>
      <c r="X43" s="905"/>
      <c r="Y43" s="905"/>
      <c r="Z43" s="905"/>
      <c r="AA43" s="905"/>
      <c r="AB43" s="905"/>
      <c r="AC43" s="905"/>
      <c r="AD43" s="905"/>
      <c r="AE43" s="905"/>
      <c r="AF43" s="871"/>
    </row>
    <row r="44">
      <c r="A44" s="872" t="s">
        <v>845</v>
      </c>
      <c r="B44" s="905">
        <f>B27*'OLD  Formulas'!$C$41</f>
        <v>0</v>
      </c>
      <c r="C44" s="905">
        <f>C27*'OLD  Formulas'!$C$41</f>
        <v>0</v>
      </c>
      <c r="D44" s="905">
        <f>D27*'OLD  Formulas'!$C$41</f>
        <v>0</v>
      </c>
      <c r="E44" s="905">
        <f>E27*'OLD  Formulas'!$C$41</f>
        <v>0</v>
      </c>
      <c r="F44" s="905">
        <f>F27*'OLD  Formulas'!$C$41</f>
        <v>0</v>
      </c>
      <c r="G44" s="905">
        <f>G27*'OLD  Formulas'!$C$41</f>
        <v>0</v>
      </c>
      <c r="H44" s="905">
        <f>H27*'OLD  Formulas'!$C$41</f>
        <v>0</v>
      </c>
      <c r="I44" s="905">
        <f>I27*'OLD  Formulas'!$C$41</f>
        <v>0</v>
      </c>
      <c r="J44" s="905">
        <f>J27*'OLD  Formulas'!$C$41</f>
        <v>0</v>
      </c>
      <c r="K44" s="905">
        <f>K27*'OLD  Formulas'!$C$41</f>
        <v>0</v>
      </c>
      <c r="L44" s="905">
        <f>L27*'OLD  Formulas'!$C$41</f>
        <v>0</v>
      </c>
      <c r="M44" s="905">
        <f>M27*'OLD  Formulas'!$C$41</f>
        <v>0</v>
      </c>
      <c r="N44" s="905">
        <f>N27*'OLD  Formulas'!$C$41</f>
        <v>0</v>
      </c>
      <c r="O44" s="905">
        <f>O27*'OLD  Formulas'!$C$41</f>
        <v>0</v>
      </c>
      <c r="P44" s="905">
        <f>P27*'OLD  Formulas'!$C$41</f>
        <v>0</v>
      </c>
      <c r="Q44" s="905">
        <f>Q27*'OLD  Formulas'!$C$41</f>
        <v>0</v>
      </c>
      <c r="R44" s="905">
        <f>R27*'OLD  Formulas'!$C$41</f>
        <v>0</v>
      </c>
      <c r="S44" s="905">
        <f>S27*'OLD  Formulas'!$C$41</f>
        <v>0</v>
      </c>
      <c r="T44" s="905">
        <f>T27*'OLD  Formulas'!$C$41</f>
        <v>0</v>
      </c>
      <c r="U44" s="905">
        <f>U27*'OLD  Formulas'!$C$41</f>
        <v>0</v>
      </c>
      <c r="V44" s="905">
        <f>V27*'OLD  Formulas'!$C$41</f>
        <v>0</v>
      </c>
      <c r="W44" s="905">
        <f>W27*'OLD  Formulas'!$C$41</f>
        <v>0</v>
      </c>
      <c r="X44" s="905">
        <f>X27*'OLD  Formulas'!$C$41</f>
        <v>0</v>
      </c>
      <c r="Y44" s="905">
        <f>Y27*'OLD  Formulas'!$C$41</f>
        <v>0</v>
      </c>
      <c r="Z44" s="905">
        <f>Z27*'OLD  Formulas'!$C$41</f>
        <v>0</v>
      </c>
      <c r="AA44" s="905">
        <f>AA27*'OLD  Formulas'!$C$41</f>
        <v>0</v>
      </c>
      <c r="AB44" s="905">
        <f>AB27*'OLD  Formulas'!$C$41</f>
        <v>0</v>
      </c>
      <c r="AC44" s="905">
        <f>AC27*'OLD  Formulas'!$C$41</f>
        <v>0</v>
      </c>
      <c r="AD44" s="905">
        <f>AD27*'OLD  Formulas'!$C$41</f>
        <v>0</v>
      </c>
      <c r="AE44" s="905">
        <f>AE27*'OLD  Formulas'!$C$41</f>
        <v>0</v>
      </c>
      <c r="AF44" s="871"/>
    </row>
    <row r="45">
      <c r="A45" s="28" t="s">
        <v>847</v>
      </c>
      <c r="B45" s="909"/>
      <c r="C45" s="909"/>
      <c r="D45" s="909"/>
      <c r="E45" s="909"/>
      <c r="F45" s="909"/>
      <c r="G45" s="909"/>
      <c r="H45" s="909"/>
      <c r="I45" s="909"/>
      <c r="J45" s="909"/>
      <c r="K45" s="909"/>
      <c r="L45" s="909"/>
      <c r="M45" s="909"/>
      <c r="N45" s="909"/>
      <c r="O45" s="909"/>
      <c r="P45" s="909"/>
      <c r="Q45" s="909"/>
      <c r="R45" s="909"/>
      <c r="S45" s="909"/>
      <c r="T45" s="909"/>
      <c r="U45" s="909"/>
      <c r="V45" s="909"/>
      <c r="W45" s="909"/>
      <c r="X45" s="909"/>
      <c r="Y45" s="909"/>
      <c r="Z45" s="909"/>
      <c r="AA45" s="909"/>
      <c r="AB45" s="909"/>
      <c r="AC45" s="909"/>
      <c r="AD45" s="905"/>
      <c r="AE45" s="905"/>
      <c r="AF45" s="900">
        <f t="shared" ref="AF45:AF46" si="9">SUM(B45:AE45)</f>
        <v>0</v>
      </c>
    </row>
    <row r="46">
      <c r="A46" s="884" t="s">
        <v>95</v>
      </c>
      <c r="B46" s="63">
        <f t="shared" ref="B46:AE46" si="8">SUM(B31:B45)</f>
        <v>8032.22</v>
      </c>
      <c r="C46" s="63">
        <f t="shared" si="8"/>
        <v>8188.35</v>
      </c>
      <c r="D46" s="63">
        <f t="shared" si="8"/>
        <v>10617.35</v>
      </c>
      <c r="E46" s="63">
        <f t="shared" si="8"/>
        <v>10918.92</v>
      </c>
      <c r="F46" s="63">
        <f t="shared" si="8"/>
        <v>13050.94</v>
      </c>
      <c r="G46" s="63">
        <f t="shared" si="8"/>
        <v>13774.33</v>
      </c>
      <c r="H46" s="63">
        <f t="shared" si="8"/>
        <v>7923.47</v>
      </c>
      <c r="I46" s="63">
        <f t="shared" si="8"/>
        <v>5708.38</v>
      </c>
      <c r="J46" s="63">
        <f t="shared" si="8"/>
        <v>8144.13</v>
      </c>
      <c r="K46" s="63">
        <f t="shared" si="8"/>
        <v>12525.24</v>
      </c>
      <c r="L46" s="63">
        <f t="shared" si="8"/>
        <v>11858.06</v>
      </c>
      <c r="M46" s="63">
        <f t="shared" si="8"/>
        <v>10984.39</v>
      </c>
      <c r="N46" s="63">
        <f t="shared" si="8"/>
        <v>10491.43</v>
      </c>
      <c r="O46" s="63">
        <f t="shared" si="8"/>
        <v>8305.95</v>
      </c>
      <c r="P46" s="63">
        <f t="shared" si="8"/>
        <v>9155.33</v>
      </c>
      <c r="Q46" s="63">
        <f t="shared" si="8"/>
        <v>10300.1</v>
      </c>
      <c r="R46" s="63">
        <f t="shared" si="8"/>
        <v>11148.31</v>
      </c>
      <c r="S46" s="63">
        <f t="shared" si="8"/>
        <v>10552.47</v>
      </c>
      <c r="T46" s="63">
        <f t="shared" si="8"/>
        <v>10970.36</v>
      </c>
      <c r="U46" s="63">
        <f t="shared" si="8"/>
        <v>9255.97</v>
      </c>
      <c r="V46" s="63">
        <f t="shared" si="8"/>
        <v>8948.39</v>
      </c>
      <c r="W46" s="63">
        <f t="shared" si="8"/>
        <v>8737.4</v>
      </c>
      <c r="X46" s="63">
        <f t="shared" si="8"/>
        <v>10597.3</v>
      </c>
      <c r="Y46" s="63">
        <f t="shared" si="8"/>
        <v>12978.18</v>
      </c>
      <c r="Z46" s="63">
        <f t="shared" si="8"/>
        <v>11010.63</v>
      </c>
      <c r="AA46" s="63">
        <f t="shared" si="8"/>
        <v>10232.99</v>
      </c>
      <c r="AB46" s="63">
        <f t="shared" si="8"/>
        <v>9200.97</v>
      </c>
      <c r="AC46" s="63">
        <f t="shared" si="8"/>
        <v>9561.24</v>
      </c>
      <c r="AD46" s="910">
        <f t="shared" si="8"/>
        <v>9648.31</v>
      </c>
      <c r="AE46" s="910">
        <f t="shared" si="8"/>
        <v>12303.94</v>
      </c>
      <c r="AF46" s="900">
        <f t="shared" si="9"/>
        <v>305125.05</v>
      </c>
    </row>
    <row r="47">
      <c r="A47" s="20"/>
      <c r="B47" s="582"/>
      <c r="C47" s="582"/>
      <c r="D47" s="582"/>
      <c r="E47" s="582"/>
      <c r="F47" s="582"/>
      <c r="G47" s="582"/>
      <c r="H47" s="582"/>
      <c r="I47" s="582"/>
      <c r="J47" s="582"/>
      <c r="K47" s="582"/>
      <c r="L47" s="582"/>
      <c r="M47" s="582"/>
      <c r="N47" s="582"/>
      <c r="O47" s="582"/>
      <c r="P47" s="582"/>
      <c r="Q47" s="582"/>
      <c r="R47" s="582"/>
      <c r="S47" s="582"/>
      <c r="T47" s="582"/>
      <c r="U47" s="582"/>
      <c r="V47" s="582"/>
      <c r="W47" s="582"/>
      <c r="X47" s="582"/>
      <c r="Y47" s="582"/>
      <c r="Z47" s="582"/>
      <c r="AA47" s="582"/>
      <c r="AB47" s="582"/>
      <c r="AC47" s="582"/>
      <c r="AD47" s="582"/>
      <c r="AE47" s="582"/>
      <c r="AF47" s="871"/>
    </row>
    <row r="48">
      <c r="A48" s="901" t="s">
        <v>849</v>
      </c>
      <c r="B48" s="332"/>
      <c r="C48" s="582"/>
      <c r="D48" s="582"/>
      <c r="E48" s="582"/>
      <c r="F48" s="582"/>
      <c r="G48" s="582"/>
      <c r="H48" s="582"/>
      <c r="I48" s="582"/>
      <c r="J48" s="582"/>
      <c r="K48" s="582"/>
      <c r="L48" s="582"/>
      <c r="M48" s="582"/>
      <c r="N48" s="582"/>
      <c r="O48" s="582"/>
      <c r="P48" s="582"/>
      <c r="Q48" s="582"/>
      <c r="R48" s="582"/>
      <c r="S48" s="582"/>
      <c r="T48" s="582"/>
      <c r="U48" s="582"/>
      <c r="V48" s="582"/>
      <c r="W48" s="582"/>
      <c r="X48" s="582"/>
      <c r="Y48" s="582"/>
      <c r="Z48" s="582"/>
      <c r="AA48" s="582"/>
      <c r="AB48" s="582"/>
      <c r="AC48" s="582"/>
      <c r="AD48" s="582"/>
      <c r="AE48" s="582"/>
      <c r="AF48" s="871"/>
    </row>
    <row r="49">
      <c r="A49" s="872" t="s">
        <v>850</v>
      </c>
      <c r="B49" s="70">
        <f>B15*'OLD  Formulas'!$J$3</f>
        <v>4591.540262</v>
      </c>
      <c r="C49" s="70">
        <f>C15*'OLD  Formulas'!$J$3</f>
        <v>5080.001993</v>
      </c>
      <c r="D49" s="70">
        <f>D15*'OLD  Formulas'!$J$3</f>
        <v>7522.310643</v>
      </c>
      <c r="E49" s="70">
        <f>E15*'OLD  Formulas'!$J$3</f>
        <v>7815.387681</v>
      </c>
      <c r="F49" s="70">
        <f>F15*'OLD  Formulas'!$J$3</f>
        <v>10062.31164</v>
      </c>
      <c r="G49" s="70">
        <f>G15*'OLD  Formulas'!$J$3</f>
        <v>7913.080027</v>
      </c>
      <c r="H49" s="70">
        <f>H15*'OLD  Formulas'!$J$3</f>
        <v>3321.539764</v>
      </c>
      <c r="I49" s="70">
        <f>I15*'OLD  Formulas'!$J$3</f>
        <v>2149.231612</v>
      </c>
      <c r="J49" s="70">
        <f>J15*'OLD  Formulas'!$J$3</f>
        <v>3321.539764</v>
      </c>
      <c r="K49" s="70">
        <f>K15*'OLD  Formulas'!$J$3</f>
        <v>4493.847916</v>
      </c>
      <c r="L49" s="70">
        <f>L15*'OLD  Formulas'!$J$3</f>
        <v>5275.386685</v>
      </c>
      <c r="M49" s="70">
        <f>M15*'OLD  Formulas'!$J$3</f>
        <v>3712.309148</v>
      </c>
      <c r="N49" s="70">
        <f>N15*'OLD  Formulas'!$J$3</f>
        <v>3321.539764</v>
      </c>
      <c r="O49" s="70">
        <f>O15*'OLD  Formulas'!$J$3</f>
        <v>3712.309148</v>
      </c>
      <c r="P49" s="70">
        <f>P15*'OLD  Formulas'!$J$3</f>
        <v>5470.771377</v>
      </c>
      <c r="Q49" s="70">
        <f>Q15*'OLD  Formulas'!$J$3</f>
        <v>4884.6173</v>
      </c>
      <c r="R49" s="70">
        <f>R15*'OLD  Formulas'!$J$3</f>
        <v>3907.69384</v>
      </c>
      <c r="S49" s="70">
        <f>S15*'OLD  Formulas'!$J$3</f>
        <v>17877.69932</v>
      </c>
      <c r="T49" s="70">
        <f>T15*'OLD  Formulas'!$J$3</f>
        <v>14556.15956</v>
      </c>
      <c r="U49" s="70">
        <f>U15*'OLD  Formulas'!$J$3</f>
        <v>8206.157065</v>
      </c>
      <c r="V49" s="70">
        <f>V15*'OLD  Formulas'!$J$3</f>
        <v>6252.310145</v>
      </c>
      <c r="W49" s="70">
        <f>W15*'OLD  Formulas'!$J$3</f>
        <v>5666.156069</v>
      </c>
      <c r="X49" s="70">
        <f>X15*'OLD  Formulas'!$J$3</f>
        <v>6154.617799</v>
      </c>
      <c r="Y49" s="70">
        <f>Y15*'OLD  Formulas'!$J$3</f>
        <v>6154.617799</v>
      </c>
      <c r="Z49" s="70">
        <f>Z15*'OLD  Formulas'!$J$3</f>
        <v>4591.540262</v>
      </c>
      <c r="AA49" s="70">
        <f>AA15*'OLD  Formulas'!$J$3</f>
        <v>3614.616802</v>
      </c>
      <c r="AB49" s="70">
        <f>AB15*'OLD  Formulas'!$J$3</f>
        <v>5666.156069</v>
      </c>
      <c r="AC49" s="70">
        <f>AC15*'OLD  Formulas'!$J$3</f>
        <v>4689.232608</v>
      </c>
      <c r="AD49" s="70">
        <f>AD15*'OLD  Formulas'!$J$3</f>
        <v>4591.540262</v>
      </c>
      <c r="AE49" s="70">
        <f>AE15*'OLD  Formulas'!$J$3</f>
        <v>4786.924954</v>
      </c>
      <c r="AF49" s="900">
        <f t="shared" ref="AF49:AF57" si="10">SUM(B49:AE49)</f>
        <v>179363.1473</v>
      </c>
    </row>
    <row r="50">
      <c r="A50" s="332" t="s">
        <v>851</v>
      </c>
      <c r="B50" s="911">
        <f>B15*'OLD  Formulas'!$I$4</f>
        <v>613.7871</v>
      </c>
      <c r="C50" s="70">
        <f>C15*'OLD  Formulas'!$I$4</f>
        <v>679.0836</v>
      </c>
      <c r="D50" s="70">
        <f>D15*'OLD  Formulas'!$I$4</f>
        <v>1005.5661</v>
      </c>
      <c r="E50" s="70">
        <f>E15*'OLD  Formulas'!$I$4</f>
        <v>1044.744</v>
      </c>
      <c r="F50" s="70">
        <f>F15*'OLD  Formulas'!$I$4</f>
        <v>1345.1079</v>
      </c>
      <c r="G50" s="70">
        <f>G15*'OLD  Formulas'!$I$4</f>
        <v>1057.8033</v>
      </c>
      <c r="H50" s="70">
        <f>H15*'OLD  Formulas'!$I$4</f>
        <v>444.0162</v>
      </c>
      <c r="I50" s="70">
        <f>I15*'OLD  Formulas'!$I$4</f>
        <v>287.3046</v>
      </c>
      <c r="J50" s="70">
        <f>J15*'OLD  Formulas'!$I$4</f>
        <v>444.0162</v>
      </c>
      <c r="K50" s="70">
        <f>K15*'OLD  Formulas'!$I$4</f>
        <v>600.7278</v>
      </c>
      <c r="L50" s="70">
        <f>L15*'OLD  Formulas'!$I$4</f>
        <v>705.2022</v>
      </c>
      <c r="M50" s="70">
        <f>M15*'OLD  Formulas'!$I$4</f>
        <v>496.2534</v>
      </c>
      <c r="N50" s="70">
        <f>N15*'OLD  Formulas'!$I$4</f>
        <v>444.0162</v>
      </c>
      <c r="O50" s="70">
        <f>O15*'OLD  Formulas'!$I$4</f>
        <v>496.2534</v>
      </c>
      <c r="P50" s="70">
        <f>P15*'OLD  Formulas'!$I$4</f>
        <v>731.3208</v>
      </c>
      <c r="Q50" s="70">
        <f>Q15*'OLD  Formulas'!$I$4</f>
        <v>652.965</v>
      </c>
      <c r="R50" s="70">
        <f>R15*'OLD  Formulas'!$I$4</f>
        <v>522.372</v>
      </c>
      <c r="S50" s="70">
        <f>S15*'OLD  Formulas'!$I$4</f>
        <v>2389.8519</v>
      </c>
      <c r="T50" s="70">
        <f>T15*'OLD  Formulas'!$I$4</f>
        <v>1945.8357</v>
      </c>
      <c r="U50" s="70">
        <f>U15*'OLD  Formulas'!$I$4</f>
        <v>1096.9812</v>
      </c>
      <c r="V50" s="70">
        <f>V15*'OLD  Formulas'!$I$4</f>
        <v>835.7952</v>
      </c>
      <c r="W50" s="70">
        <f>W15*'OLD  Formulas'!$I$4</f>
        <v>757.4394</v>
      </c>
      <c r="X50" s="70">
        <f>X15*'OLD  Formulas'!$I$4</f>
        <v>822.7359</v>
      </c>
      <c r="Y50" s="70">
        <f>Y15*'OLD  Formulas'!$I$4</f>
        <v>822.7359</v>
      </c>
      <c r="Z50" s="70">
        <f>Z15*'OLD  Formulas'!$I$4</f>
        <v>613.7871</v>
      </c>
      <c r="AA50" s="70">
        <f>AA15*'OLD  Formulas'!$I$4</f>
        <v>483.1941</v>
      </c>
      <c r="AB50" s="70">
        <f>AB15*'OLD  Formulas'!$I$4</f>
        <v>757.4394</v>
      </c>
      <c r="AC50" s="70">
        <f>AC15*'OLD  Formulas'!$I$4</f>
        <v>626.8464</v>
      </c>
      <c r="AD50" s="70">
        <f>AD15*'OLD  Formulas'!$I$4</f>
        <v>613.7871</v>
      </c>
      <c r="AE50" s="70">
        <f>AE15*'OLD  Formulas'!$I$4</f>
        <v>639.9057</v>
      </c>
      <c r="AF50" s="260">
        <f t="shared" si="10"/>
        <v>23976.8748</v>
      </c>
    </row>
    <row r="51">
      <c r="A51" s="332" t="s">
        <v>853</v>
      </c>
      <c r="B51" s="911">
        <f>B15*'OLD  Formulas'!$I$5</f>
        <v>707.82</v>
      </c>
      <c r="C51" s="70">
        <f>C15*'OLD  Formulas'!$I$5</f>
        <v>783.12</v>
      </c>
      <c r="D51" s="70">
        <f>D15*'OLD  Formulas'!$I$5</f>
        <v>1159.62</v>
      </c>
      <c r="E51" s="70">
        <f>E15*'OLD  Formulas'!$I$5</f>
        <v>1204.8</v>
      </c>
      <c r="F51" s="70">
        <f>F15*'OLD  Formulas'!$I$5</f>
        <v>1551.18</v>
      </c>
      <c r="G51" s="70">
        <f>G15*'OLD  Formulas'!$I$5</f>
        <v>1219.86</v>
      </c>
      <c r="H51" s="70">
        <f>H15*'OLD  Formulas'!$I$5</f>
        <v>512.04</v>
      </c>
      <c r="I51" s="70">
        <f>I15*'OLD  Formulas'!$I$5</f>
        <v>331.32</v>
      </c>
      <c r="J51" s="70">
        <f>J15*'OLD  Formulas'!$I$5</f>
        <v>512.04</v>
      </c>
      <c r="K51" s="70">
        <f>K15*'OLD  Formulas'!$I$5</f>
        <v>692.76</v>
      </c>
      <c r="L51" s="70">
        <f>L15*'OLD  Formulas'!$I$5</f>
        <v>813.24</v>
      </c>
      <c r="M51" s="70">
        <f>M15*'OLD  Formulas'!$I$5</f>
        <v>572.28</v>
      </c>
      <c r="N51" s="70">
        <f>N15*'OLD  Formulas'!$I$5</f>
        <v>512.04</v>
      </c>
      <c r="O51" s="70">
        <f>O15*'OLD  Formulas'!$I$5</f>
        <v>572.28</v>
      </c>
      <c r="P51" s="70">
        <f>P15*'OLD  Formulas'!$I$5</f>
        <v>843.36</v>
      </c>
      <c r="Q51" s="70">
        <f>Q15*'OLD  Formulas'!$I$5</f>
        <v>753</v>
      </c>
      <c r="R51" s="70">
        <f>R15*'OLD  Formulas'!$I$5</f>
        <v>602.4</v>
      </c>
      <c r="S51" s="70">
        <f>S15*'OLD  Formulas'!$I$5</f>
        <v>2755.98</v>
      </c>
      <c r="T51" s="70">
        <f>T15*'OLD  Formulas'!$I$5</f>
        <v>2243.94</v>
      </c>
      <c r="U51" s="70">
        <f>U15*'OLD  Formulas'!$I$5</f>
        <v>1265.04</v>
      </c>
      <c r="V51" s="70">
        <f>V15*'OLD  Formulas'!$I$5</f>
        <v>963.84</v>
      </c>
      <c r="W51" s="70">
        <f>W15*'OLD  Formulas'!$I$5</f>
        <v>873.48</v>
      </c>
      <c r="X51" s="70">
        <f>X15*'OLD  Formulas'!$I$5</f>
        <v>948.78</v>
      </c>
      <c r="Y51" s="70">
        <f>Y15*'OLD  Formulas'!$I$5</f>
        <v>948.78</v>
      </c>
      <c r="Z51" s="70">
        <f>Z15*'OLD  Formulas'!$I$5</f>
        <v>707.82</v>
      </c>
      <c r="AA51" s="70">
        <f>AA15*'OLD  Formulas'!$I$5</f>
        <v>557.22</v>
      </c>
      <c r="AB51" s="70">
        <f>AB15*'OLD  Formulas'!$I$5</f>
        <v>873.48</v>
      </c>
      <c r="AC51" s="70">
        <f>AC15*'OLD  Formulas'!$I$5</f>
        <v>722.88</v>
      </c>
      <c r="AD51" s="70">
        <f>AD15*'OLD  Formulas'!$I$5</f>
        <v>707.82</v>
      </c>
      <c r="AE51" s="70">
        <f>AE15*'OLD  Formulas'!$I$5</f>
        <v>737.94</v>
      </c>
      <c r="AF51" s="900">
        <f t="shared" si="10"/>
        <v>27650.16</v>
      </c>
    </row>
    <row r="52">
      <c r="A52" s="332" t="s">
        <v>855</v>
      </c>
      <c r="B52" s="911">
        <f>B15*'OLD  Formulas'!$I$6</f>
        <v>790.07</v>
      </c>
      <c r="C52" s="70">
        <f>C15*'OLD  Formulas'!$I$6</f>
        <v>874.12</v>
      </c>
      <c r="D52" s="70">
        <f>D15*'OLD  Formulas'!$I$6</f>
        <v>1294.37</v>
      </c>
      <c r="E52" s="70">
        <f>E15*'OLD  Formulas'!$I$6</f>
        <v>1344.8</v>
      </c>
      <c r="F52" s="70">
        <f>F15*'OLD  Formulas'!$I$6</f>
        <v>1731.43</v>
      </c>
      <c r="G52" s="70">
        <f>G15*'OLD  Formulas'!$I$6</f>
        <v>1361.61</v>
      </c>
      <c r="H52" s="70">
        <f>H15*'OLD  Formulas'!$I$6</f>
        <v>571.54</v>
      </c>
      <c r="I52" s="70">
        <f>I15*'OLD  Formulas'!$I$6</f>
        <v>369.82</v>
      </c>
      <c r="J52" s="70">
        <f>J15*'OLD  Formulas'!$I$6</f>
        <v>571.54</v>
      </c>
      <c r="K52" s="70">
        <f>K15*'OLD  Formulas'!$I$6</f>
        <v>773.26</v>
      </c>
      <c r="L52" s="70">
        <f>L15*'OLD  Formulas'!$I$6</f>
        <v>907.74</v>
      </c>
      <c r="M52" s="70">
        <f>M15*'OLD  Formulas'!$I$6</f>
        <v>638.78</v>
      </c>
      <c r="N52" s="70">
        <f>N15*'OLD  Formulas'!$I$6</f>
        <v>571.54</v>
      </c>
      <c r="O52" s="70">
        <f>O15*'OLD  Formulas'!$I$6</f>
        <v>638.78</v>
      </c>
      <c r="P52" s="70">
        <f>P15*'OLD  Formulas'!$I$6</f>
        <v>941.36</v>
      </c>
      <c r="Q52" s="70">
        <f>Q15*'OLD  Formulas'!$I$6</f>
        <v>840.5</v>
      </c>
      <c r="R52" s="70">
        <f>R15*'OLD  Formulas'!$I$6</f>
        <v>672.4</v>
      </c>
      <c r="S52" s="70">
        <f>S15*'OLD  Formulas'!$I$6</f>
        <v>3076.23</v>
      </c>
      <c r="T52" s="70">
        <f>T15*'OLD  Formulas'!$I$6</f>
        <v>2504.69</v>
      </c>
      <c r="U52" s="70">
        <f>U15*'OLD  Formulas'!$I$6</f>
        <v>1412.04</v>
      </c>
      <c r="V52" s="70">
        <f>V15*'OLD  Formulas'!$I$6</f>
        <v>1075.84</v>
      </c>
      <c r="W52" s="70">
        <f>W15*'OLD  Formulas'!$I$6</f>
        <v>974.98</v>
      </c>
      <c r="X52" s="70">
        <f>X15*'OLD  Formulas'!$I$6</f>
        <v>1059.03</v>
      </c>
      <c r="Y52" s="70">
        <f>Y15*'OLD  Formulas'!$I$6</f>
        <v>1059.03</v>
      </c>
      <c r="Z52" s="70">
        <f>Z15*'OLD  Formulas'!$I$6</f>
        <v>790.07</v>
      </c>
      <c r="AA52" s="70">
        <f>AA15*'OLD  Formulas'!$I$6</f>
        <v>621.97</v>
      </c>
      <c r="AB52" s="70">
        <f>AB15*'OLD  Formulas'!$I$6</f>
        <v>974.98</v>
      </c>
      <c r="AC52" s="70">
        <f>AC15*'OLD  Formulas'!$I$6</f>
        <v>806.88</v>
      </c>
      <c r="AD52" s="70">
        <f>AD15*'OLD  Formulas'!$I$6</f>
        <v>790.07</v>
      </c>
      <c r="AE52" s="70">
        <f>AE15*'OLD  Formulas'!$I$6</f>
        <v>823.69</v>
      </c>
      <c r="AF52" s="900">
        <f t="shared" si="10"/>
        <v>30863.16</v>
      </c>
    </row>
    <row r="53">
      <c r="A53" s="872" t="s">
        <v>654</v>
      </c>
      <c r="B53" s="70">
        <f>B28*'OLD  Formulas'!$L$3</f>
        <v>289.74277</v>
      </c>
      <c r="C53" s="70">
        <f>C28*'OLD  Formulas'!$L$3</f>
        <v>332.79501</v>
      </c>
      <c r="D53" s="70">
        <f>D28*'OLD  Formulas'!$L$3</f>
        <v>496.47391</v>
      </c>
      <c r="E53" s="70">
        <f>E28*'OLD  Formulas'!$L$3</f>
        <v>530.34156</v>
      </c>
      <c r="F53" s="70">
        <f>F28*'OLD  Formulas'!$L$3</f>
        <v>709.98351</v>
      </c>
      <c r="G53" s="70">
        <f>G28*'OLD  Formulas'!$L$3</f>
        <v>453.93526</v>
      </c>
      <c r="H53" s="70">
        <f>H28*'OLD  Formulas'!$L$3</f>
        <v>241.94671</v>
      </c>
      <c r="I53" s="70">
        <f>I28*'OLD  Formulas'!$L$3</f>
        <v>137.17638</v>
      </c>
      <c r="J53" s="70">
        <f>J28*'OLD  Formulas'!$L$3</f>
        <v>289.18104</v>
      </c>
      <c r="K53" s="70">
        <f>K28*'OLD  Formulas'!$L$3</f>
        <v>360.51205</v>
      </c>
      <c r="L53" s="70">
        <f>L28*'OLD  Formulas'!$L$3</f>
        <v>388.82649</v>
      </c>
      <c r="M53" s="70">
        <f>M28*'OLD  Formulas'!$L$3</f>
        <v>300.90864</v>
      </c>
      <c r="N53" s="70">
        <f>N28*'OLD  Formulas'!$L$3</f>
        <v>258.36477</v>
      </c>
      <c r="O53" s="70">
        <f>O28*'OLD  Formulas'!$L$3</f>
        <v>271.06097</v>
      </c>
      <c r="P53" s="70">
        <f>P28*'OLD  Formulas'!$L$3</f>
        <v>396.09882</v>
      </c>
      <c r="Q53" s="70">
        <f>Q28*'OLD  Formulas'!$L$3</f>
        <v>337.58059</v>
      </c>
      <c r="R53" s="70">
        <f>R28*'OLD  Formulas'!$L$3</f>
        <v>267.07376</v>
      </c>
      <c r="S53" s="70">
        <f>S28*'OLD  Formulas'!$L$3</f>
        <v>641.75028</v>
      </c>
      <c r="T53" s="70">
        <f>T28*'OLD  Formulas'!$L$3</f>
        <v>453.29291</v>
      </c>
      <c r="U53" s="70">
        <f>U28*'OLD  Formulas'!$L$3</f>
        <v>409.18768</v>
      </c>
      <c r="V53" s="70">
        <f>V28*'OLD  Formulas'!$L$3</f>
        <v>333.59193</v>
      </c>
      <c r="W53" s="70">
        <f>W28*'OLD  Formulas'!$L$3</f>
        <v>308.00001</v>
      </c>
      <c r="X53" s="70">
        <f>X28*'OLD  Formulas'!$L$3</f>
        <v>332.8562</v>
      </c>
      <c r="Y53" s="70">
        <f>Y28*'OLD  Formulas'!$L$3</f>
        <v>440.64833</v>
      </c>
      <c r="Z53" s="70">
        <f>Z28*'OLD  Formulas'!$L$3</f>
        <v>339.59667</v>
      </c>
      <c r="AA53" s="70">
        <f>AA28*'OLD  Formulas'!$L$3</f>
        <v>223.12919</v>
      </c>
      <c r="AB53" s="70">
        <f>AB28*'OLD  Formulas'!$L$3</f>
        <v>435.88856</v>
      </c>
      <c r="AC53" s="70">
        <f>AC28*'OLD  Formulas'!$L$3</f>
        <v>328.56072</v>
      </c>
      <c r="AD53" s="70">
        <f>AD28*'OLD  Formulas'!$L$3</f>
        <v>349.4935</v>
      </c>
      <c r="AE53" s="70">
        <f>AE28*'OLD  Formulas'!$L$3</f>
        <v>390.98061</v>
      </c>
      <c r="AF53" s="900">
        <f t="shared" si="10"/>
        <v>11048.97883</v>
      </c>
    </row>
    <row r="54">
      <c r="A54" s="881" t="s">
        <v>658</v>
      </c>
      <c r="B54" s="81">
        <f>B15*'OLD  Formulas'!$I$10</f>
        <v>14.1</v>
      </c>
      <c r="C54" s="81">
        <f>C15*'OLD  Formulas'!$I$10</f>
        <v>15.6</v>
      </c>
      <c r="D54" s="81">
        <f>D15*'OLD  Formulas'!$I$10</f>
        <v>23.1</v>
      </c>
      <c r="E54" s="81">
        <f>E15*'OLD  Formulas'!$I$10</f>
        <v>24</v>
      </c>
      <c r="F54" s="81">
        <f>F15*'OLD  Formulas'!$I$10</f>
        <v>30.9</v>
      </c>
      <c r="G54" s="81">
        <f>G15*'OLD  Formulas'!$I$10</f>
        <v>24.3</v>
      </c>
      <c r="H54" s="81">
        <f>H15*'OLD  Formulas'!$I$10</f>
        <v>10.2</v>
      </c>
      <c r="I54" s="81">
        <f>I15*'OLD  Formulas'!$I$10</f>
        <v>6.6</v>
      </c>
      <c r="J54" s="81">
        <f>J15*'OLD  Formulas'!$I$10</f>
        <v>10.2</v>
      </c>
      <c r="K54" s="81">
        <f>K15*'OLD  Formulas'!$I$10</f>
        <v>13.8</v>
      </c>
      <c r="L54" s="81">
        <f>L15*'OLD  Formulas'!$I$10</f>
        <v>16.2</v>
      </c>
      <c r="M54" s="81">
        <f>M15*'OLD  Formulas'!$I$10</f>
        <v>11.4</v>
      </c>
      <c r="N54" s="81">
        <f>N15*'OLD  Formulas'!$I$10</f>
        <v>10.2</v>
      </c>
      <c r="O54" s="81">
        <f>O15*'OLD  Formulas'!$I$10</f>
        <v>11.4</v>
      </c>
      <c r="P54" s="81">
        <f>P15*'OLD  Formulas'!$I$10</f>
        <v>16.8</v>
      </c>
      <c r="Q54" s="81">
        <f>Q15*'OLD  Formulas'!$I$10</f>
        <v>15</v>
      </c>
      <c r="R54" s="81">
        <f>R15*'OLD  Formulas'!$I$10</f>
        <v>12</v>
      </c>
      <c r="S54" s="81">
        <f>S15*'OLD  Formulas'!$I$10</f>
        <v>54.9</v>
      </c>
      <c r="T54" s="81">
        <f>T15*'OLD  Formulas'!$I$10</f>
        <v>44.7</v>
      </c>
      <c r="U54" s="81">
        <f>U15*'OLD  Formulas'!$I$10</f>
        <v>25.2</v>
      </c>
      <c r="V54" s="81">
        <f>V15*'OLD  Formulas'!$I$10</f>
        <v>19.2</v>
      </c>
      <c r="W54" s="81">
        <f>W15*'OLD  Formulas'!$I$10</f>
        <v>17.4</v>
      </c>
      <c r="X54" s="81">
        <f>X15*'OLD  Formulas'!$I$10</f>
        <v>18.9</v>
      </c>
      <c r="Y54" s="81">
        <f>Y15*'OLD  Formulas'!$I$10</f>
        <v>18.9</v>
      </c>
      <c r="Z54" s="81">
        <f>Z15*'OLD  Formulas'!$I$10</f>
        <v>14.1</v>
      </c>
      <c r="AA54" s="81">
        <f>AA15*'OLD  Formulas'!$I$10</f>
        <v>11.1</v>
      </c>
      <c r="AB54" s="81">
        <f>AB15*'OLD  Formulas'!$I$10</f>
        <v>17.4</v>
      </c>
      <c r="AC54" s="81">
        <f>AC15*'OLD  Formulas'!$I$10</f>
        <v>14.4</v>
      </c>
      <c r="AD54" s="81">
        <f>AD15*'OLD  Formulas'!$I$10</f>
        <v>14.1</v>
      </c>
      <c r="AE54" s="81">
        <f>AE15*'OLD  Formulas'!$I$10</f>
        <v>14.7</v>
      </c>
      <c r="AF54" s="900">
        <f t="shared" si="10"/>
        <v>550.8</v>
      </c>
    </row>
    <row r="55">
      <c r="A55" s="884" t="s">
        <v>95</v>
      </c>
      <c r="B55" s="63">
        <f t="shared" ref="B55:AE55" si="11">SUM(B49:B54)</f>
        <v>7007.060132</v>
      </c>
      <c r="C55" s="63">
        <f t="shared" si="11"/>
        <v>7764.720603</v>
      </c>
      <c r="D55" s="63">
        <f t="shared" si="11"/>
        <v>11501.44065</v>
      </c>
      <c r="E55" s="63">
        <f t="shared" si="11"/>
        <v>11964.07324</v>
      </c>
      <c r="F55" s="63">
        <f t="shared" si="11"/>
        <v>15430.91305</v>
      </c>
      <c r="G55" s="63">
        <f t="shared" si="11"/>
        <v>12030.58859</v>
      </c>
      <c r="H55" s="63">
        <f t="shared" si="11"/>
        <v>5101.282674</v>
      </c>
      <c r="I55" s="63">
        <f t="shared" si="11"/>
        <v>3281.452592</v>
      </c>
      <c r="J55" s="63">
        <f t="shared" si="11"/>
        <v>5148.517004</v>
      </c>
      <c r="K55" s="63">
        <f t="shared" si="11"/>
        <v>6934.907766</v>
      </c>
      <c r="L55" s="63">
        <f t="shared" si="11"/>
        <v>8106.595375</v>
      </c>
      <c r="M55" s="63">
        <f t="shared" si="11"/>
        <v>5731.931188</v>
      </c>
      <c r="N55" s="63">
        <f t="shared" si="11"/>
        <v>5117.700734</v>
      </c>
      <c r="O55" s="63">
        <f t="shared" si="11"/>
        <v>5702.083518</v>
      </c>
      <c r="P55" s="63">
        <f t="shared" si="11"/>
        <v>8399.710997</v>
      </c>
      <c r="Q55" s="63">
        <f t="shared" si="11"/>
        <v>7483.66289</v>
      </c>
      <c r="R55" s="63">
        <f t="shared" si="11"/>
        <v>5983.9396</v>
      </c>
      <c r="S55" s="63">
        <f t="shared" si="11"/>
        <v>26796.4115</v>
      </c>
      <c r="T55" s="63">
        <f t="shared" si="11"/>
        <v>21748.61817</v>
      </c>
      <c r="U55" s="63">
        <f t="shared" si="11"/>
        <v>12414.60594</v>
      </c>
      <c r="V55" s="63">
        <f t="shared" si="11"/>
        <v>9480.577275</v>
      </c>
      <c r="W55" s="63">
        <f t="shared" si="11"/>
        <v>8597.455479</v>
      </c>
      <c r="X55" s="63">
        <f t="shared" si="11"/>
        <v>9336.919899</v>
      </c>
      <c r="Y55" s="63">
        <f t="shared" si="11"/>
        <v>9444.712029</v>
      </c>
      <c r="Z55" s="63">
        <f t="shared" si="11"/>
        <v>7056.914032</v>
      </c>
      <c r="AA55" s="63">
        <f t="shared" si="11"/>
        <v>5511.230092</v>
      </c>
      <c r="AB55" s="63">
        <f t="shared" si="11"/>
        <v>8725.344029</v>
      </c>
      <c r="AC55" s="63">
        <f t="shared" si="11"/>
        <v>7188.799728</v>
      </c>
      <c r="AD55" s="63">
        <f t="shared" si="11"/>
        <v>7066.810862</v>
      </c>
      <c r="AE55" s="63">
        <f t="shared" si="11"/>
        <v>7394.141264</v>
      </c>
      <c r="AF55" s="900">
        <f t="shared" si="10"/>
        <v>273453.1209</v>
      </c>
    </row>
    <row r="56">
      <c r="A56" s="20"/>
      <c r="B56" s="595"/>
      <c r="C56" s="595"/>
      <c r="D56" s="595"/>
      <c r="E56" s="595"/>
      <c r="F56" s="595"/>
      <c r="G56" s="595"/>
      <c r="H56" s="595"/>
      <c r="I56" s="595"/>
      <c r="J56" s="595"/>
      <c r="K56" s="595"/>
      <c r="L56" s="595"/>
      <c r="M56" s="595"/>
      <c r="N56" s="595"/>
      <c r="O56" s="595"/>
      <c r="P56" s="595"/>
      <c r="Q56" s="595"/>
      <c r="R56" s="595"/>
      <c r="S56" s="595"/>
      <c r="T56" s="595"/>
      <c r="U56" s="595"/>
      <c r="V56" s="595"/>
      <c r="W56" s="595"/>
      <c r="X56" s="595"/>
      <c r="Y56" s="595"/>
      <c r="Z56" s="595"/>
      <c r="AA56" s="595"/>
      <c r="AB56" s="595"/>
      <c r="AC56" s="595"/>
      <c r="AD56" s="595"/>
      <c r="AE56" s="595"/>
      <c r="AF56" s="900">
        <f t="shared" si="10"/>
        <v>0</v>
      </c>
    </row>
    <row r="57">
      <c r="A57" s="885" t="s">
        <v>858</v>
      </c>
      <c r="B57" s="70">
        <f t="shared" ref="B57:AE57" si="12">B28-B46-B55</f>
        <v>-5048.150132</v>
      </c>
      <c r="C57" s="70">
        <f t="shared" si="12"/>
        <v>-4477.380603</v>
      </c>
      <c r="D57" s="70">
        <f t="shared" si="12"/>
        <v>-4999.000653</v>
      </c>
      <c r="E57" s="70">
        <f t="shared" si="12"/>
        <v>-4595.353241</v>
      </c>
      <c r="F57" s="70">
        <f t="shared" si="12"/>
        <v>-3999.663049</v>
      </c>
      <c r="G57" s="70">
        <f t="shared" si="12"/>
        <v>-10151.97859</v>
      </c>
      <c r="H57" s="70">
        <f t="shared" si="12"/>
        <v>-4681.762674</v>
      </c>
      <c r="I57" s="70">
        <f t="shared" si="12"/>
        <v>-4259.612592</v>
      </c>
      <c r="J57" s="70">
        <f t="shared" si="12"/>
        <v>-3320.887004</v>
      </c>
      <c r="K57" s="70">
        <f t="shared" si="12"/>
        <v>-7028.697766</v>
      </c>
      <c r="L57" s="70">
        <f t="shared" si="12"/>
        <v>-6556.845375</v>
      </c>
      <c r="M57" s="70">
        <f t="shared" si="12"/>
        <v>-6340.161188</v>
      </c>
      <c r="N57" s="70">
        <f t="shared" si="12"/>
        <v>-6700.000734</v>
      </c>
      <c r="O57" s="70">
        <f t="shared" si="12"/>
        <v>-4661.103518</v>
      </c>
      <c r="P57" s="70">
        <f t="shared" si="12"/>
        <v>-3896.460997</v>
      </c>
      <c r="Q57" s="70">
        <f t="shared" si="12"/>
        <v>-6143.05289</v>
      </c>
      <c r="R57" s="70">
        <f t="shared" si="12"/>
        <v>-7922.8096</v>
      </c>
      <c r="S57" s="70">
        <f t="shared" si="12"/>
        <v>-15219.5615</v>
      </c>
      <c r="T57" s="70">
        <f t="shared" si="12"/>
        <v>-17088.18817</v>
      </c>
      <c r="U57" s="70">
        <f t="shared" si="12"/>
        <v>-7560.655945</v>
      </c>
      <c r="V57" s="70">
        <f t="shared" si="12"/>
        <v>-6925.797275</v>
      </c>
      <c r="W57" s="70">
        <f t="shared" si="12"/>
        <v>-6714.165479</v>
      </c>
      <c r="X57" s="70">
        <f t="shared" si="12"/>
        <v>-8456.419899</v>
      </c>
      <c r="Y57" s="70">
        <f t="shared" si="12"/>
        <v>-7228.122029</v>
      </c>
      <c r="Z57" s="70">
        <f t="shared" si="12"/>
        <v>-6357.314032</v>
      </c>
      <c r="AA57" s="70">
        <f t="shared" si="12"/>
        <v>-8050.110092</v>
      </c>
      <c r="AB57" s="70">
        <f t="shared" si="12"/>
        <v>-2895.674029</v>
      </c>
      <c r="AC57" s="70">
        <f t="shared" si="12"/>
        <v>-5420.359728</v>
      </c>
      <c r="AD57" s="70">
        <f t="shared" si="12"/>
        <v>-4663.620862</v>
      </c>
      <c r="AE57" s="70">
        <f t="shared" si="12"/>
        <v>-6215.991264</v>
      </c>
      <c r="AF57" s="900">
        <f t="shared" si="10"/>
        <v>-197578.9009</v>
      </c>
    </row>
    <row r="58">
      <c r="A58" s="74">
        <f>SUM(B57:AC57)</f>
        <v>-186699.2888</v>
      </c>
      <c r="B58" s="582"/>
      <c r="C58" s="582"/>
      <c r="D58" s="582"/>
      <c r="E58" s="582"/>
      <c r="F58" s="582"/>
      <c r="G58" s="582"/>
      <c r="H58" s="582"/>
      <c r="I58" s="582"/>
      <c r="J58" s="582"/>
      <c r="K58" s="582"/>
      <c r="L58" s="582"/>
      <c r="M58" s="582"/>
      <c r="N58" s="582"/>
      <c r="O58" s="582"/>
      <c r="P58" s="582"/>
      <c r="Q58" s="582"/>
      <c r="R58" s="582"/>
      <c r="S58" s="582"/>
      <c r="T58" s="582"/>
      <c r="U58" s="582"/>
      <c r="V58" s="582"/>
      <c r="W58" s="582"/>
      <c r="X58" s="582"/>
      <c r="Y58" s="582"/>
      <c r="Z58" s="582"/>
      <c r="AA58" s="582"/>
      <c r="AB58" s="582"/>
      <c r="AC58" s="582"/>
      <c r="AD58" s="582"/>
      <c r="AE58" s="582"/>
      <c r="AF58" s="866"/>
    </row>
    <row r="59">
      <c r="A59" s="20"/>
      <c r="B59" s="582"/>
      <c r="C59" s="582"/>
      <c r="D59" s="332"/>
      <c r="E59" s="582"/>
      <c r="F59" s="582"/>
      <c r="G59" s="582"/>
      <c r="H59" s="40"/>
      <c r="I59" s="582"/>
      <c r="J59" s="582"/>
      <c r="K59" s="582"/>
      <c r="L59" s="582"/>
      <c r="M59" s="582"/>
      <c r="N59" s="582"/>
      <c r="O59" s="582"/>
      <c r="P59" s="582"/>
      <c r="Q59" s="582"/>
      <c r="R59" s="582"/>
      <c r="S59" s="582"/>
      <c r="T59" s="582"/>
      <c r="U59" s="582"/>
      <c r="V59" s="582"/>
      <c r="W59" s="582"/>
      <c r="X59" s="582"/>
      <c r="Y59" s="582"/>
      <c r="Z59" s="582"/>
      <c r="AA59" s="582"/>
      <c r="AB59" s="582"/>
      <c r="AC59" s="582"/>
      <c r="AD59" s="582"/>
      <c r="AE59" s="582"/>
      <c r="AF59" s="866"/>
    </row>
    <row r="60">
      <c r="A60" s="913"/>
      <c r="B60" s="914"/>
      <c r="C60" s="914"/>
      <c r="D60" s="914"/>
      <c r="E60" s="914"/>
      <c r="F60" s="914"/>
      <c r="G60" s="914"/>
      <c r="H60" s="914"/>
      <c r="I60" s="914"/>
      <c r="J60" s="914"/>
      <c r="K60" s="914"/>
      <c r="L60" s="914"/>
      <c r="M60" s="914"/>
      <c r="N60" s="914"/>
      <c r="O60" s="914"/>
      <c r="P60" s="914"/>
      <c r="Q60" s="914"/>
      <c r="R60" s="914"/>
      <c r="S60" s="914"/>
      <c r="T60" s="914"/>
      <c r="U60" s="914"/>
      <c r="V60" s="914"/>
      <c r="W60" s="914"/>
      <c r="X60" s="914"/>
      <c r="Y60" s="914"/>
      <c r="Z60" s="914"/>
      <c r="AA60" s="914"/>
      <c r="AB60" s="914"/>
      <c r="AC60" s="914"/>
      <c r="AD60" s="914"/>
      <c r="AE60" s="914"/>
      <c r="AF60" s="915"/>
    </row>
    <row r="61">
      <c r="A61" s="20"/>
      <c r="B61" s="582"/>
      <c r="C61" s="582"/>
      <c r="D61" s="582"/>
      <c r="E61" s="582"/>
      <c r="F61" s="582"/>
      <c r="G61" s="582"/>
      <c r="H61" s="582"/>
      <c r="I61" s="582"/>
      <c r="J61" s="582"/>
      <c r="K61" s="582"/>
      <c r="L61" s="582"/>
      <c r="M61" s="582"/>
      <c r="N61" s="582"/>
      <c r="O61" s="582"/>
      <c r="P61" s="582"/>
      <c r="Q61" s="582"/>
      <c r="R61" s="582"/>
      <c r="S61" s="582"/>
      <c r="T61" s="582"/>
      <c r="U61" s="582"/>
      <c r="V61" s="582"/>
      <c r="W61" s="582"/>
      <c r="X61" s="582"/>
      <c r="Y61" s="582"/>
      <c r="Z61" s="582"/>
      <c r="AA61" s="582"/>
      <c r="AB61" s="582"/>
      <c r="AC61" s="582"/>
      <c r="AD61" s="582"/>
      <c r="AE61" s="582"/>
      <c r="AF61" s="866"/>
    </row>
    <row r="62">
      <c r="A62" s="10" t="s">
        <v>860</v>
      </c>
      <c r="B62" s="582"/>
      <c r="C62" s="582"/>
      <c r="D62" s="582"/>
      <c r="E62" s="582"/>
      <c r="F62" s="582"/>
      <c r="G62" s="582"/>
      <c r="H62" s="582"/>
      <c r="I62" s="582"/>
      <c r="J62" s="582"/>
      <c r="K62" s="582"/>
      <c r="L62" s="582"/>
      <c r="M62" s="582"/>
      <c r="N62" s="582"/>
      <c r="O62" s="582"/>
      <c r="P62" s="582"/>
      <c r="Q62" s="582"/>
      <c r="R62" s="582"/>
      <c r="S62" s="582"/>
      <c r="T62" s="582"/>
      <c r="U62" s="582"/>
      <c r="V62" s="582"/>
      <c r="W62" s="582"/>
      <c r="X62" s="582"/>
      <c r="Y62" s="582"/>
      <c r="Z62" s="916">
        <v>3.11</v>
      </c>
      <c r="AA62" s="917">
        <v>1.8</v>
      </c>
      <c r="AB62" s="582"/>
      <c r="AC62" s="582"/>
      <c r="AD62" s="582"/>
      <c r="AE62" s="582"/>
      <c r="AF62" s="918"/>
    </row>
    <row r="63">
      <c r="A63" s="919" t="s">
        <v>861</v>
      </c>
      <c r="B63" s="70">
        <f>B18-(B5*'OLD  Formulas'!$I$15)-B31</f>
        <v>-4053.318724</v>
      </c>
      <c r="C63" s="70">
        <f>C18-(C5*'OLD  Formulas'!$I$15)-C31</f>
        <v>-2683.641461</v>
      </c>
      <c r="D63" s="70">
        <f>D18-(D5*'OLD  Formulas'!$I$15)-D31</f>
        <v>-3351.917447</v>
      </c>
      <c r="E63" s="70">
        <f>E18-(E5*'OLD  Formulas'!$I$15)-E31</f>
        <v>-2987.99993</v>
      </c>
      <c r="F63" s="70">
        <f>F18-(F5*'OLD  Formulas'!$I$15)-F31</f>
        <v>-5554.189674</v>
      </c>
      <c r="G63" s="70">
        <f>G18-(G5*'OLD  Formulas'!$I$15)-G31</f>
        <v>-9069.603433</v>
      </c>
      <c r="H63" s="70">
        <f>H18-(H5*'OLD  Formulas'!$I$15)-H31</f>
        <v>-3229.928724</v>
      </c>
      <c r="I63" s="70">
        <f>I18-(I5*'OLD  Formulas'!$I$15)-I31</f>
        <v>-2526.099489</v>
      </c>
      <c r="J63" s="70">
        <f>J18-(J5*'OLD  Formulas'!$I$15)-J31</f>
        <v>-2658.578468</v>
      </c>
      <c r="K63" s="70">
        <f>K18-(K5*'OLD  Formulas'!$I$15)-K31</f>
        <v>-5214.181461</v>
      </c>
      <c r="L63" s="70">
        <f>L18-(L5*'OLD  Formulas'!$I$15)-L31</f>
        <v>-3966.023944</v>
      </c>
      <c r="M63" s="70">
        <f>M18-(M5*'OLD  Formulas'!$I$15)-M31</f>
        <v>-4832.921717</v>
      </c>
      <c r="N63" s="70">
        <f>N18-(N5*'OLD  Formulas'!$I$15)-N31</f>
        <v>-4231.981972</v>
      </c>
      <c r="O63" s="70">
        <f>O18-(O5*'OLD  Formulas'!$I$15)-O31</f>
        <v>-2855.238468</v>
      </c>
      <c r="P63" s="70">
        <f>P18-(P5*'OLD  Formulas'!$I$15)-P31</f>
        <v>-2042.108213</v>
      </c>
      <c r="Q63" s="70">
        <f>Q18-(Q5*'OLD  Formulas'!$I$15)-Q31</f>
        <v>-3003.211461</v>
      </c>
      <c r="R63" s="70">
        <f>R18-(R5*'OLD  Formulas'!$I$15)-R31</f>
        <v>-4182.068724</v>
      </c>
      <c r="S63" s="70">
        <f>S18-(S5*'OLD  Formulas'!$I$15)-S31</f>
        <v>-2685.550951</v>
      </c>
      <c r="T63" s="70">
        <f>T18-(T5*'OLD  Formulas'!$I$15)-T31</f>
        <v>-4604.418213</v>
      </c>
      <c r="U63" s="70">
        <f>U18-(U5*'OLD  Formulas'!$I$15)-U31</f>
        <v>-2595.820951</v>
      </c>
      <c r="V63" s="70">
        <f>V18-(V5*'OLD  Formulas'!$I$15)-V31</f>
        <v>-3597.225475</v>
      </c>
      <c r="W63" s="70">
        <f>W18-(W5*'OLD  Formulas'!$I$15)-W31</f>
        <v>-3261.245475</v>
      </c>
      <c r="X63" s="70">
        <f>X18-(X5*'OLD  Formulas'!$I$15)-X31</f>
        <v>-4722.422227</v>
      </c>
      <c r="Y63" s="70">
        <f>Y18-(Y5*'OLD  Formulas'!$I$15)-Y31</f>
        <v>-5343.878213</v>
      </c>
      <c r="Z63" s="70">
        <f>Z18-(Z5*'OLD  Formulas'!$I$15)-Z31</f>
        <v>-5082.828724</v>
      </c>
      <c r="AA63" s="70">
        <f>AA18-(AA5*'OLD  Formulas'!$I$15)-AA31</f>
        <v>-5790.865475</v>
      </c>
      <c r="AB63" s="70">
        <f>AB18-(AB5*'OLD  Formulas'!$I$15)-AB31</f>
        <v>-3568.255731</v>
      </c>
      <c r="AC63" s="70">
        <f>AC18-(AC5*'OLD  Formulas'!$I$15)-AC31</f>
        <v>-2074.602227</v>
      </c>
      <c r="AD63" s="70">
        <f>AD18-(AD5*'OLD  Formulas'!$I$15)-AD31</f>
        <v>-2617.251972</v>
      </c>
      <c r="AE63" s="70">
        <f>AE18-(AE5*'OLD  Formulas'!$I$15)-AE31</f>
        <v>-3598.101972</v>
      </c>
      <c r="AF63" s="918">
        <f>SUM(B63:AE63)</f>
        <v>-115985.4809</v>
      </c>
    </row>
    <row r="64">
      <c r="A64" s="919" t="s">
        <v>328</v>
      </c>
      <c r="B64" s="920">
        <f t="shared" ref="B64:AE64" si="13">B18/B31</f>
        <v>0.6524347588</v>
      </c>
      <c r="C64" s="920">
        <f t="shared" si="13"/>
        <v>1.111595928</v>
      </c>
      <c r="D64" s="920">
        <f t="shared" si="13"/>
        <v>1.15833341</v>
      </c>
      <c r="E64" s="920">
        <f t="shared" si="13"/>
        <v>1.383178474</v>
      </c>
      <c r="F64" s="920">
        <f t="shared" si="13"/>
        <v>1.072811596</v>
      </c>
      <c r="G64" s="920">
        <f t="shared" si="13"/>
        <v>0.6695118563</v>
      </c>
      <c r="H64" s="920">
        <f t="shared" si="13"/>
        <v>0.7865206143</v>
      </c>
      <c r="I64" s="920">
        <f t="shared" si="13"/>
        <v>0.3857945303</v>
      </c>
      <c r="J64" s="920">
        <f t="shared" si="13"/>
        <v>0.9931877325</v>
      </c>
      <c r="K64" s="920">
        <f t="shared" si="13"/>
        <v>0.7477015253</v>
      </c>
      <c r="L64" s="920">
        <f t="shared" si="13"/>
        <v>1.088982832</v>
      </c>
      <c r="M64" s="920">
        <f t="shared" si="13"/>
        <v>0.715046411</v>
      </c>
      <c r="N64" s="920">
        <f t="shared" si="13"/>
        <v>0.7053736971</v>
      </c>
      <c r="O64" s="920">
        <f t="shared" si="13"/>
        <v>0.9513444577</v>
      </c>
      <c r="P64" s="920">
        <f t="shared" si="13"/>
        <v>1.201399732</v>
      </c>
      <c r="Q64" s="920">
        <f t="shared" si="13"/>
        <v>1.039397988</v>
      </c>
      <c r="R64" s="920">
        <f t="shared" si="13"/>
        <v>0.6415933582</v>
      </c>
      <c r="S64" s="920">
        <f t="shared" si="13"/>
        <v>1.265103683</v>
      </c>
      <c r="T64" s="920">
        <f t="shared" si="13"/>
        <v>0.7271775916</v>
      </c>
      <c r="U64" s="920">
        <f t="shared" si="13"/>
        <v>1.32211664</v>
      </c>
      <c r="V64" s="920">
        <f t="shared" si="13"/>
        <v>0.6749813218</v>
      </c>
      <c r="W64" s="920">
        <f t="shared" si="13"/>
        <v>0.7578804342</v>
      </c>
      <c r="X64" s="920">
        <f t="shared" si="13"/>
        <v>0.5650134843</v>
      </c>
      <c r="Y64" s="920">
        <f t="shared" si="13"/>
        <v>0.7268593138</v>
      </c>
      <c r="Z64" s="920">
        <f t="shared" si="13"/>
        <v>0.6058915375</v>
      </c>
      <c r="AA64" s="920">
        <f t="shared" si="13"/>
        <v>0.4485627113</v>
      </c>
      <c r="AB64" s="920">
        <f t="shared" si="13"/>
        <v>0.584621703</v>
      </c>
      <c r="AC64" s="920">
        <f t="shared" si="13"/>
        <v>0.9521650837</v>
      </c>
      <c r="AD64" s="920">
        <f t="shared" si="13"/>
        <v>0.9421626049</v>
      </c>
      <c r="AE64" s="920">
        <f t="shared" si="13"/>
        <v>0.7811361792</v>
      </c>
      <c r="AF64" s="918"/>
    </row>
    <row r="65">
      <c r="A65" s="919" t="s">
        <v>863</v>
      </c>
      <c r="B65" s="921">
        <f t="shared" ref="B65:AE65" si="14">B31/B5</f>
        <v>357.366</v>
      </c>
      <c r="C65" s="921">
        <f t="shared" si="14"/>
        <v>215.3263636</v>
      </c>
      <c r="D65" s="921">
        <f t="shared" si="14"/>
        <v>216.522</v>
      </c>
      <c r="E65" s="921">
        <f t="shared" si="14"/>
        <v>186.10975</v>
      </c>
      <c r="F65" s="921">
        <f t="shared" si="14"/>
        <v>231.3648837</v>
      </c>
      <c r="G65" s="921">
        <f t="shared" si="14"/>
        <v>280.3747368</v>
      </c>
      <c r="H65" s="921">
        <f t="shared" si="14"/>
        <v>324.6933333</v>
      </c>
      <c r="I65" s="921">
        <f t="shared" si="14"/>
        <v>447.7383333</v>
      </c>
      <c r="J65" s="921">
        <f t="shared" si="14"/>
        <v>247.4294444</v>
      </c>
      <c r="K65" s="921">
        <f t="shared" si="14"/>
        <v>360.6640909</v>
      </c>
      <c r="L65" s="921">
        <f t="shared" si="14"/>
        <v>248.0815625</v>
      </c>
      <c r="M65" s="921">
        <f t="shared" si="14"/>
        <v>380.2410526</v>
      </c>
      <c r="N65" s="921">
        <f t="shared" si="14"/>
        <v>402.155625</v>
      </c>
      <c r="O65" s="921">
        <f t="shared" si="14"/>
        <v>259.1916667</v>
      </c>
      <c r="P65" s="921">
        <f t="shared" si="14"/>
        <v>242.1552381</v>
      </c>
      <c r="Q65" s="921">
        <f t="shared" si="14"/>
        <v>241.2213636</v>
      </c>
      <c r="R65" s="921">
        <f t="shared" si="14"/>
        <v>370.5046667</v>
      </c>
      <c r="S65" s="921">
        <f t="shared" si="14"/>
        <v>188.9853571</v>
      </c>
      <c r="T65" s="921">
        <f t="shared" si="14"/>
        <v>268.4704762</v>
      </c>
      <c r="U65" s="921">
        <f t="shared" si="14"/>
        <v>165.4846429</v>
      </c>
      <c r="V65" s="921">
        <f t="shared" si="14"/>
        <v>341.3078571</v>
      </c>
      <c r="W65" s="921">
        <f t="shared" si="14"/>
        <v>359.0492857</v>
      </c>
      <c r="X65" s="921">
        <f t="shared" si="14"/>
        <v>499.4407692</v>
      </c>
      <c r="Y65" s="921">
        <f t="shared" si="14"/>
        <v>397.0742857</v>
      </c>
      <c r="Z65" s="921">
        <f t="shared" si="14"/>
        <v>489.312</v>
      </c>
      <c r="AA65" s="921">
        <f t="shared" si="14"/>
        <v>485.3135714</v>
      </c>
      <c r="AB65" s="921">
        <f t="shared" si="14"/>
        <v>429.4245455</v>
      </c>
      <c r="AC65" s="921">
        <f t="shared" si="14"/>
        <v>283.7161538</v>
      </c>
      <c r="AD65" s="921">
        <f t="shared" si="14"/>
        <v>303.69625</v>
      </c>
      <c r="AE65" s="921">
        <f t="shared" si="14"/>
        <v>360.3525</v>
      </c>
      <c r="AF65" s="918"/>
    </row>
    <row r="66">
      <c r="A66" s="922" t="s">
        <v>864</v>
      </c>
      <c r="B66" s="923">
        <f>B18/('OLD  Formulas'!$I$15*B5+B31)</f>
        <v>0.463185562</v>
      </c>
      <c r="C66" s="923">
        <f>C18/('OLD  Formulas'!$I$15*C5+C31)</f>
        <v>0.6624125925</v>
      </c>
      <c r="D66" s="923">
        <f>D18/('OLD  Formulas'!$I$15*D5+D31)</f>
        <v>0.6918076736</v>
      </c>
      <c r="E66" s="923">
        <f>E18/('OLD  Formulas'!$I$15*E5+E31)</f>
        <v>0.7750833317</v>
      </c>
      <c r="F66" s="923">
        <f>F18/('OLD  Formulas'!$I$15*F5+F31)</f>
        <v>0.6577247307</v>
      </c>
      <c r="G66" s="923">
        <f>G18/('OLD  Formulas'!$I$15*G5+G31)</f>
        <v>0.4402427298</v>
      </c>
      <c r="H66" s="923">
        <f>H18/('OLD  Formulas'!$I$15*H5+H31)</f>
        <v>0.5425418084</v>
      </c>
      <c r="I66" s="923">
        <f>I18/('OLD  Formulas'!$I$15*I5+I31)</f>
        <v>0.2909213303</v>
      </c>
      <c r="J66" s="923">
        <f>J18/('OLD  Formulas'!$I$15*J5+J31)</f>
        <v>0.6245989402</v>
      </c>
      <c r="K66" s="923">
        <f>K18/('OLD  Formulas'!$I$15*K5+K31)</f>
        <v>0.5322304158</v>
      </c>
      <c r="L66" s="923">
        <f>L18/('OLD  Formulas'!$I$15*L5+L31)</f>
        <v>0.6855115955</v>
      </c>
      <c r="M66" s="923">
        <f>M18/('OLD  Formulas'!$I$15*M5+M31)</f>
        <v>0.5166513595</v>
      </c>
      <c r="N66" s="923">
        <f>N18/('OLD  Formulas'!$I$15*N5+N31)</f>
        <v>0.5174865153</v>
      </c>
      <c r="O66" s="923">
        <f>O18/('OLD  Formulas'!$I$15*O5+O31)</f>
        <v>0.6085329829</v>
      </c>
      <c r="P66" s="923">
        <f>P18/('OLD  Formulas'!$I$15*P5+P31)</f>
        <v>0.7494818573</v>
      </c>
      <c r="Q66" s="923">
        <f>Q18/('OLD  Formulas'!$I$15*Q5+Q31)</f>
        <v>0.6474756964</v>
      </c>
      <c r="R66" s="923">
        <f>R18/('OLD  Formulas'!$I$15*R5+R31)</f>
        <v>0.4602228238</v>
      </c>
      <c r="S66" s="923">
        <f>S18/('OLD  Formulas'!$I$15*S5+S31)</f>
        <v>0.7136927366</v>
      </c>
      <c r="T66" s="923">
        <f>T18/('OLD  Formulas'!$I$15*T5+T31)</f>
        <v>0.4710093612</v>
      </c>
      <c r="U66" s="923">
        <f>U18/('OLD  Formulas'!$I$15*U5+U31)</f>
        <v>0.7023803572</v>
      </c>
      <c r="V66" s="923">
        <f>V18/('OLD  Formulas'!$I$15*V5+V31)</f>
        <v>0.4727405114</v>
      </c>
      <c r="W66" s="923">
        <f>W18/('OLD  Formulas'!$I$15*W5+W31)</f>
        <v>0.5387776964</v>
      </c>
      <c r="X66" s="923">
        <f>X18/('OLD  Formulas'!$I$15*X5+X31)</f>
        <v>0.437197324</v>
      </c>
      <c r="Y66" s="923">
        <f>Y18/('OLD  Formulas'!$I$15*Y5+Y31)</f>
        <v>0.5314376133</v>
      </c>
      <c r="Z66" s="923">
        <f>Z18/('OLD  Formulas'!$I$15*Z5+Z31)</f>
        <v>0.4666428744</v>
      </c>
      <c r="AA66" s="923">
        <f>AA18/('OLD  Formulas'!$I$15*AA5+AA31)</f>
        <v>0.3448191407</v>
      </c>
      <c r="AB66" s="923">
        <f>AB18/('OLD  Formulas'!$I$15*AB5+AB31)</f>
        <v>0.4362781031</v>
      </c>
      <c r="AC66" s="923">
        <f>AC18/('OLD  Formulas'!$I$15*AC5+AC31)</f>
        <v>0.6286388925</v>
      </c>
      <c r="AD66" s="923">
        <f>AD18/('OLD  Formulas'!$I$15*AD5+AD31)</f>
        <v>0.6362579646</v>
      </c>
      <c r="AE66" s="923">
        <f>AE18/('OLD  Formulas'!$I$15*AE5+AE31)</f>
        <v>0.5558914203</v>
      </c>
      <c r="AF66" s="918"/>
    </row>
    <row r="67">
      <c r="A67" s="582"/>
      <c r="B67" s="582"/>
      <c r="C67" s="582"/>
      <c r="D67" s="582"/>
      <c r="E67" s="582"/>
      <c r="F67" s="582"/>
      <c r="G67" s="582"/>
      <c r="H67" s="582"/>
      <c r="I67" s="582"/>
      <c r="J67" s="582"/>
      <c r="K67" s="582"/>
      <c r="L67" s="582"/>
      <c r="M67" s="582"/>
      <c r="N67" s="582"/>
      <c r="O67" s="582"/>
      <c r="P67" s="582"/>
      <c r="Q67" s="582"/>
      <c r="R67" s="582"/>
      <c r="S67" s="582"/>
      <c r="T67" s="582"/>
      <c r="U67" s="582"/>
      <c r="V67" s="582"/>
      <c r="W67" s="582"/>
      <c r="X67" s="582"/>
      <c r="Y67" s="582"/>
      <c r="Z67" s="582"/>
      <c r="AA67" s="582"/>
      <c r="AB67" s="582"/>
      <c r="AC67" s="582"/>
      <c r="AD67" s="582"/>
      <c r="AE67" s="582"/>
      <c r="AF67" s="918"/>
    </row>
    <row r="68">
      <c r="A68" s="924" t="s">
        <v>866</v>
      </c>
      <c r="B68" s="582"/>
      <c r="C68" s="582"/>
      <c r="D68" s="582"/>
      <c r="E68" s="582"/>
      <c r="F68" s="582"/>
      <c r="G68" s="582"/>
      <c r="H68" s="582"/>
      <c r="I68" s="582"/>
      <c r="J68" s="582"/>
      <c r="K68" s="582"/>
      <c r="L68" s="582"/>
      <c r="M68" s="582"/>
      <c r="N68" s="582"/>
      <c r="O68" s="582"/>
      <c r="P68" s="582"/>
      <c r="Q68" s="582"/>
      <c r="R68" s="582"/>
      <c r="S68" s="582"/>
      <c r="T68" s="582"/>
      <c r="U68" s="582"/>
      <c r="V68" s="582"/>
      <c r="W68" s="582"/>
      <c r="X68" s="582"/>
      <c r="Y68" s="582"/>
      <c r="Z68" s="582"/>
      <c r="AA68" s="332"/>
      <c r="AB68" s="582"/>
      <c r="AC68" s="582"/>
      <c r="AD68" s="582"/>
      <c r="AE68" s="582"/>
      <c r="AF68" s="866"/>
    </row>
    <row r="69">
      <c r="A69" s="925" t="s">
        <v>861</v>
      </c>
      <c r="B69" s="70">
        <f>B19-(B6*'OLD  Formulas'!$I$15)-B32</f>
        <v>881.5890493</v>
      </c>
      <c r="C69" s="70">
        <f>C19-(C6*'OLD  Formulas'!$I$15)-C32</f>
        <v>379.6358011</v>
      </c>
      <c r="D69" s="70">
        <f>D19-(D6*'OLD  Formulas'!$I$15)-D32</f>
        <v>628.1470775</v>
      </c>
      <c r="E69" s="70">
        <f>E19-(E6*'OLD  Formulas'!$I$15)-E32</f>
        <v>789.8163116</v>
      </c>
      <c r="F69" s="70">
        <f>F19-(F6*'OLD  Formulas'!$I$15)-F32</f>
        <v>2902.22434</v>
      </c>
      <c r="G69" s="70">
        <f>G19-(G6*'OLD  Formulas'!$I$15)-G32</f>
        <v>875.2700704</v>
      </c>
      <c r="H69" s="70">
        <f>H19-(H6*'OLD  Formulas'!$I$15)-H32</f>
        <v>340.0847799</v>
      </c>
      <c r="I69" s="70">
        <f>I19-(I6*'OLD  Formulas'!$I$15)-I32</f>
        <v>-280.1889789</v>
      </c>
      <c r="J69" s="70">
        <f>J19-(J6*'OLD  Formulas'!$I$15)-J32</f>
        <v>1518.571276</v>
      </c>
      <c r="K69" s="70">
        <f>K19-(K6*'OLD  Formulas'!$I$15)-K32</f>
        <v>581.3182834</v>
      </c>
      <c r="L69" s="70">
        <f>L19-(L6*'OLD  Formulas'!$I$15)-L32</f>
        <v>-293.9317166</v>
      </c>
      <c r="M69" s="70">
        <f>M19-(M6*'OLD  Formulas'!$I$15)-M32</f>
        <v>572.1482834</v>
      </c>
      <c r="N69" s="70">
        <f>N19-(N6*'OLD  Formulas'!$I$15)-N32</f>
        <v>-439.6084683</v>
      </c>
      <c r="O69" s="70">
        <f>O19-(O6*'OLD  Formulas'!$I$15)-O32</f>
        <v>75.08477993</v>
      </c>
      <c r="P69" s="70">
        <f>P19-(P6*'OLD  Formulas'!$I$15)-P32</f>
        <v>23.96930457</v>
      </c>
      <c r="Q69" s="70">
        <f>Q19-(Q6*'OLD  Formulas'!$I$15)-Q32</f>
        <v>-684.5079577</v>
      </c>
      <c r="R69" s="70">
        <f>R19-(R6*'OLD  Formulas'!$I$15)-R32</f>
        <v>-735.6679577</v>
      </c>
      <c r="S69" s="70">
        <f>S19-(S6*'OLD  Formulas'!$I$15)-S32</f>
        <v>-2087.315405</v>
      </c>
      <c r="T69" s="70">
        <f>T19-(T6*'OLD  Formulas'!$I$15)-T32</f>
        <v>-2047.42993</v>
      </c>
      <c r="U69" s="70">
        <f>U19-(U6*'OLD  Formulas'!$I$15)-U32</f>
        <v>-530.6777025</v>
      </c>
      <c r="V69" s="70">
        <f>V19-(V6*'OLD  Formulas'!$I$15)-V32</f>
        <v>327.368794</v>
      </c>
      <c r="W69" s="70">
        <f>W19-(W6*'OLD  Formulas'!$I$15)-W32</f>
        <v>-970.978213</v>
      </c>
      <c r="X69" s="70">
        <f>X19-(X6*'OLD  Formulas'!$I$15)-X32</f>
        <v>177.5225528</v>
      </c>
      <c r="Y69" s="70">
        <f>Y19-(Y6*'OLD  Formulas'!$I$15)-Y32</f>
        <v>218.318794</v>
      </c>
      <c r="Z69" s="70">
        <f>Z19-(Z6*'OLD  Formulas'!$I$15)-Z32</f>
        <v>339.1220423</v>
      </c>
      <c r="AA69" s="70">
        <f>AA19-(AA6*'OLD  Formulas'!$I$15)-AA32</f>
        <v>-308.1719718</v>
      </c>
      <c r="AB69" s="70">
        <f>AB19-(AB6*'OLD  Formulas'!$I$15)-AB32</f>
        <v>-337.6852201</v>
      </c>
      <c r="AC69" s="70">
        <f>AC19-(AC6*'OLD  Formulas'!$I$15)-AC32</f>
        <v>-336.2784683</v>
      </c>
      <c r="AD69" s="70">
        <f>AD19-(AD6*'OLD  Formulas'!$I$15)-AD32</f>
        <v>-74.94496479</v>
      </c>
      <c r="AE69" s="70">
        <f>AE19-(AE6*'OLD  Formulas'!$I$15)-AE32</f>
        <v>1551.172298</v>
      </c>
      <c r="AF69" s="918">
        <f>SUM(B69:AE69)</f>
        <v>3053.976884</v>
      </c>
    </row>
    <row r="70">
      <c r="A70" s="925" t="s">
        <v>328</v>
      </c>
      <c r="B70" s="920">
        <f t="shared" ref="B70:AE70" si="15">B19/B32</f>
        <v>5.103606579</v>
      </c>
      <c r="C70" s="920">
        <f t="shared" si="15"/>
        <v>4.291872378</v>
      </c>
      <c r="D70" s="920">
        <f t="shared" si="15"/>
        <v>5.123921179</v>
      </c>
      <c r="E70" s="920">
        <f t="shared" si="15"/>
        <v>5.480091116</v>
      </c>
      <c r="F70" s="920">
        <f t="shared" si="15"/>
        <v>8.625184203</v>
      </c>
      <c r="G70" s="920">
        <f t="shared" si="15"/>
        <v>6.010258055</v>
      </c>
      <c r="H70" s="920">
        <f t="shared" si="15"/>
        <v>3.045285562</v>
      </c>
      <c r="I70" s="920">
        <f t="shared" si="15"/>
        <v>2.0897266</v>
      </c>
      <c r="J70" s="920">
        <f t="shared" si="15"/>
        <v>3.563766323</v>
      </c>
      <c r="K70" s="920">
        <f t="shared" si="15"/>
        <v>2.743026481</v>
      </c>
      <c r="L70" s="920">
        <f t="shared" si="15"/>
        <v>2.306944884</v>
      </c>
      <c r="M70" s="920">
        <f t="shared" si="15"/>
        <v>2.795423451</v>
      </c>
      <c r="N70" s="920">
        <f t="shared" si="15"/>
        <v>2.003139638</v>
      </c>
      <c r="O70" s="920">
        <f t="shared" si="15"/>
        <v>2.610366303</v>
      </c>
      <c r="P70" s="920">
        <f t="shared" si="15"/>
        <v>3.115334195</v>
      </c>
      <c r="Q70" s="920">
        <f t="shared" si="15"/>
        <v>2.170871569</v>
      </c>
      <c r="R70" s="920">
        <f t="shared" si="15"/>
        <v>2.062014285</v>
      </c>
      <c r="S70" s="920">
        <f t="shared" si="15"/>
        <v>3.037678816</v>
      </c>
      <c r="T70" s="920">
        <f t="shared" si="15"/>
        <v>2.3785321</v>
      </c>
      <c r="U70" s="920">
        <f t="shared" si="15"/>
        <v>2.505595763</v>
      </c>
      <c r="V70" s="920">
        <f t="shared" si="15"/>
        <v>2.94004809</v>
      </c>
      <c r="W70" s="920">
        <f t="shared" si="15"/>
        <v>2.075064135</v>
      </c>
      <c r="X70" s="920">
        <f t="shared" si="15"/>
        <v>3.26611115</v>
      </c>
      <c r="Y70" s="920">
        <f t="shared" si="15"/>
        <v>2.791472947</v>
      </c>
      <c r="Z70" s="920">
        <f t="shared" si="15"/>
        <v>2.985924954</v>
      </c>
      <c r="AA70" s="920">
        <f t="shared" si="15"/>
        <v>2.231421268</v>
      </c>
      <c r="AB70" s="920">
        <f t="shared" si="15"/>
        <v>2.237172757</v>
      </c>
      <c r="AC70" s="920">
        <f t="shared" si="15"/>
        <v>2.101898549</v>
      </c>
      <c r="AD70" s="920">
        <f t="shared" si="15"/>
        <v>2.584968722</v>
      </c>
      <c r="AE70" s="920">
        <f t="shared" si="15"/>
        <v>3.565679351</v>
      </c>
      <c r="AF70" s="918"/>
    </row>
    <row r="71">
      <c r="A71" s="925" t="s">
        <v>863</v>
      </c>
      <c r="B71" s="921">
        <f t="shared" ref="B71:AE71" si="16">B32/B6</f>
        <v>43.25428571</v>
      </c>
      <c r="C71" s="921">
        <f t="shared" si="16"/>
        <v>48.33241379</v>
      </c>
      <c r="D71" s="921">
        <f t="shared" si="16"/>
        <v>38.86818182</v>
      </c>
      <c r="E71" s="921">
        <f t="shared" si="16"/>
        <v>37.62857143</v>
      </c>
      <c r="F71" s="921">
        <f t="shared" si="16"/>
        <v>26.61176471</v>
      </c>
      <c r="G71" s="921">
        <f t="shared" si="16"/>
        <v>33.51025</v>
      </c>
      <c r="H71" s="921">
        <f t="shared" si="16"/>
        <v>81.17117647</v>
      </c>
      <c r="I71" s="921">
        <f t="shared" si="16"/>
        <v>112.5641667</v>
      </c>
      <c r="J71" s="921">
        <f t="shared" si="16"/>
        <v>96.44066667</v>
      </c>
      <c r="K71" s="921">
        <f t="shared" si="16"/>
        <v>101.3231579</v>
      </c>
      <c r="L71" s="921">
        <f t="shared" si="16"/>
        <v>99.88421053</v>
      </c>
      <c r="M71" s="921">
        <f t="shared" si="16"/>
        <v>98.09736842</v>
      </c>
      <c r="N71" s="921">
        <f t="shared" si="16"/>
        <v>121.21</v>
      </c>
      <c r="O71" s="921">
        <f t="shared" si="16"/>
        <v>93.41352941</v>
      </c>
      <c r="P71" s="921">
        <f t="shared" si="16"/>
        <v>69.3916129</v>
      </c>
      <c r="Q71" s="921">
        <f t="shared" si="16"/>
        <v>100.3458333</v>
      </c>
      <c r="R71" s="921">
        <f t="shared" si="16"/>
        <v>108.6241667</v>
      </c>
      <c r="S71" s="921">
        <f t="shared" si="16"/>
        <v>52.68703704</v>
      </c>
      <c r="T71" s="921">
        <f t="shared" si="16"/>
        <v>68.78875</v>
      </c>
      <c r="U71" s="921">
        <f t="shared" si="16"/>
        <v>83.92592593</v>
      </c>
      <c r="V71" s="921">
        <f t="shared" si="16"/>
        <v>82.0124</v>
      </c>
      <c r="W71" s="921">
        <f t="shared" si="16"/>
        <v>92.80952381</v>
      </c>
      <c r="X71" s="921">
        <f t="shared" si="16"/>
        <v>67.04466667</v>
      </c>
      <c r="Y71" s="921">
        <f t="shared" si="16"/>
        <v>86.3792</v>
      </c>
      <c r="Z71" s="921">
        <f t="shared" si="16"/>
        <v>80.63916667</v>
      </c>
      <c r="AA71" s="921">
        <f t="shared" si="16"/>
        <v>102.931875</v>
      </c>
      <c r="AB71" s="921">
        <f t="shared" si="16"/>
        <v>101.9658824</v>
      </c>
      <c r="AC71" s="921">
        <f t="shared" si="16"/>
        <v>115.5561111</v>
      </c>
      <c r="AD71" s="921">
        <f t="shared" si="16"/>
        <v>89.7595</v>
      </c>
      <c r="AE71" s="921">
        <f t="shared" si="16"/>
        <v>79.30222222</v>
      </c>
      <c r="AF71" s="918"/>
    </row>
    <row r="72">
      <c r="A72" s="926" t="s">
        <v>864</v>
      </c>
      <c r="B72" s="923">
        <f>B19/('OLD  Formulas'!$I$15*B6+B32)</f>
        <v>1.166353534</v>
      </c>
      <c r="C72" s="923">
        <f>C19/('OLD  Formulas'!$I$15*C6+C32)</f>
        <v>1.067358795</v>
      </c>
      <c r="D72" s="923">
        <f>D19/('OLD  Formulas'!$I$15*D6+D32)</f>
        <v>1.077217436</v>
      </c>
      <c r="E72" s="923">
        <f>E19/('OLD  Formulas'!$I$15*E6+E32)</f>
        <v>1.122881489</v>
      </c>
      <c r="F72" s="923">
        <f>F19/('OLD  Formulas'!$I$15*F6+F32)</f>
        <v>1.329653036</v>
      </c>
      <c r="G72" s="923">
        <f>G19/('OLD  Formulas'!$I$15*G6+G32)</f>
        <v>1.121887953</v>
      </c>
      <c r="H72" s="923">
        <f>H19/('OLD  Formulas'!$I$15*H6+H32)</f>
        <v>1.088056156</v>
      </c>
      <c r="I72" s="923">
        <f>I19/('OLD  Formulas'!$I$15*I6+I32)</f>
        <v>0.9097017751</v>
      </c>
      <c r="J72" s="923">
        <f>J19/('OLD  Formulas'!$I$15*J6+J32)</f>
        <v>1.417555993</v>
      </c>
      <c r="K72" s="923">
        <f>K19/('OLD  Formulas'!$I$15*K6+K32)</f>
        <v>1.123700751</v>
      </c>
      <c r="L72" s="923">
        <f>L19/('OLD  Formulas'!$I$15*L6+L32)</f>
        <v>0.9370872297</v>
      </c>
      <c r="M72" s="923">
        <f>M19/('OLD  Formulas'!$I$15*M6+M32)</f>
        <v>1.123358287</v>
      </c>
      <c r="N72" s="923">
        <f>N19/('OLD  Formulas'!$I$15*N6+N32)</f>
        <v>0.908605659</v>
      </c>
      <c r="O72" s="923">
        <f>O19/('OLD  Formulas'!$I$15*O6+O32)</f>
        <v>1.018447192</v>
      </c>
      <c r="P72" s="923">
        <f>P19/('OLD  Formulas'!$I$15*P6+P32)</f>
        <v>1.003589535</v>
      </c>
      <c r="Q72" s="923">
        <f>Q19/('OLD  Formulas'!$I$15*Q6+Q32)</f>
        <v>0.8842292936</v>
      </c>
      <c r="R72" s="923">
        <f>R19/('OLD  Formulas'!$I$15*R6+R32)</f>
        <v>0.8796216511</v>
      </c>
      <c r="S72" s="923">
        <f>S19/('OLD  Formulas'!$I$15*S6+S32)</f>
        <v>0.8054658607</v>
      </c>
      <c r="T72" s="923">
        <f>T19/('OLD  Formulas'!$I$15*T6+T32)</f>
        <v>0.7617072995</v>
      </c>
      <c r="U72" s="923">
        <f>U19/('OLD  Formulas'!$I$15*U6+U32)</f>
        <v>0.9145220479</v>
      </c>
      <c r="V72" s="923">
        <f>V19/('OLD  Formulas'!$I$15*V6+V32)</f>
        <v>1.057426662</v>
      </c>
      <c r="W72" s="923">
        <f>W19/('OLD  Formulas'!$I$15*W6+W32)</f>
        <v>0.8063959422</v>
      </c>
      <c r="X72" s="923">
        <f>X19/('OLD  Formulas'!$I$15*X6+X32)</f>
        <v>1.027773755</v>
      </c>
      <c r="Y72" s="923">
        <f>Y19/('OLD  Formulas'!$I$15*Y6+Y32)</f>
        <v>1.037577606</v>
      </c>
      <c r="Z72" s="923">
        <f>Z19/('OLD  Formulas'!$I$15*Z6+Z32)</f>
        <v>1.062342531</v>
      </c>
      <c r="AA72" s="923">
        <f>AA19/('OLD  Formulas'!$I$15*AA6+AA32)</f>
        <v>0.9226305461</v>
      </c>
      <c r="AB72" s="923">
        <f>AB19/('OLD  Formulas'!$I$15*AB6+AB32)</f>
        <v>0.9198971445</v>
      </c>
      <c r="AC72" s="923">
        <f>AC19/('OLD  Formulas'!$I$15*AC6+AC32)</f>
        <v>0.9285767371</v>
      </c>
      <c r="AD72" s="923">
        <f>AD19/('OLD  Formulas'!$I$15*AD6+AD32)</f>
        <v>0.9841065252</v>
      </c>
      <c r="AE72" s="923">
        <f>AE19/('OLD  Formulas'!$I$15*AE6+AE32)</f>
        <v>1.254979499</v>
      </c>
      <c r="AF72" s="918"/>
    </row>
    <row r="73">
      <c r="A73" s="20"/>
      <c r="B73" s="582"/>
      <c r="C73" s="582"/>
      <c r="D73" s="582"/>
      <c r="E73" s="582"/>
      <c r="F73" s="582"/>
      <c r="G73" s="582"/>
      <c r="H73" s="582"/>
      <c r="I73" s="582"/>
      <c r="J73" s="582"/>
      <c r="K73" s="582"/>
      <c r="L73" s="582"/>
      <c r="M73" s="582"/>
      <c r="N73" s="582"/>
      <c r="O73" s="582"/>
      <c r="P73" s="582"/>
      <c r="Q73" s="582"/>
      <c r="R73" s="582"/>
      <c r="S73" s="582"/>
      <c r="T73" s="582"/>
      <c r="U73" s="582"/>
      <c r="V73" s="582"/>
      <c r="W73" s="582"/>
      <c r="X73" s="582"/>
      <c r="Y73" s="582"/>
      <c r="Z73" s="582"/>
      <c r="AA73" s="582"/>
      <c r="AB73" s="582"/>
      <c r="AC73" s="582"/>
      <c r="AD73" s="582"/>
      <c r="AE73" s="582"/>
      <c r="AF73" s="918"/>
    </row>
    <row r="74">
      <c r="A74" s="927" t="s">
        <v>869</v>
      </c>
      <c r="B74" s="582"/>
      <c r="C74" s="582"/>
      <c r="D74" s="582"/>
      <c r="E74" s="582"/>
      <c r="F74" s="582"/>
      <c r="G74" s="582"/>
      <c r="H74" s="582"/>
      <c r="I74" s="582"/>
      <c r="J74" s="582"/>
      <c r="K74" s="582"/>
      <c r="L74" s="582"/>
      <c r="M74" s="582"/>
      <c r="N74" s="582"/>
      <c r="O74" s="582"/>
      <c r="P74" s="582"/>
      <c r="Q74" s="582"/>
      <c r="R74" s="582"/>
      <c r="S74" s="582"/>
      <c r="T74" s="582"/>
      <c r="U74" s="582"/>
      <c r="V74" s="582"/>
      <c r="W74" s="582"/>
      <c r="X74" s="582"/>
      <c r="Y74" s="582"/>
      <c r="Z74" s="582"/>
      <c r="AA74" s="582"/>
      <c r="AB74" s="582"/>
      <c r="AC74" s="582"/>
      <c r="AD74" s="582"/>
      <c r="AE74" s="582"/>
      <c r="AF74" s="918"/>
    </row>
    <row r="75">
      <c r="A75" s="885" t="s">
        <v>861</v>
      </c>
      <c r="B75" s="70">
        <f>B20-(B7*'OLD  Formulas'!$I$15)-B33</f>
        <v>0</v>
      </c>
      <c r="C75" s="70">
        <f>C20-(C7*'OLD  Formulas'!$I$15)-C33</f>
        <v>0</v>
      </c>
      <c r="D75" s="70">
        <f>D20-(D7*'OLD  Formulas'!$I$15)-D33</f>
        <v>0</v>
      </c>
      <c r="E75" s="70">
        <f>E20-(E7*'OLD  Formulas'!$I$15)-E33</f>
        <v>0</v>
      </c>
      <c r="F75" s="70">
        <f>F20-(F7*'OLD  Formulas'!$I$15)-F33</f>
        <v>0</v>
      </c>
      <c r="G75" s="70">
        <f>G20-(G7*'OLD  Formulas'!$I$15)-G33</f>
        <v>0</v>
      </c>
      <c r="H75" s="70">
        <f>H20-(H7*'OLD  Formulas'!$I$15)-H33</f>
        <v>0</v>
      </c>
      <c r="I75" s="70">
        <f>I20-(I7*'OLD  Formulas'!$I$15)-I33</f>
        <v>0</v>
      </c>
      <c r="J75" s="70">
        <f>J20-(J7*'OLD  Formulas'!$I$15)-J33</f>
        <v>0</v>
      </c>
      <c r="K75" s="70">
        <f>K20-(K7*'OLD  Formulas'!$I$15)-K33</f>
        <v>0</v>
      </c>
      <c r="L75" s="70">
        <f>L20-(L7*'OLD  Formulas'!$I$15)-L33</f>
        <v>0</v>
      </c>
      <c r="M75" s="70">
        <f>M20-(M7*'OLD  Formulas'!$I$15)-M33</f>
        <v>0</v>
      </c>
      <c r="N75" s="70">
        <f>N20-(N7*'OLD  Formulas'!$I$15)-N33</f>
        <v>0</v>
      </c>
      <c r="O75" s="70">
        <f>O20-(O7*'OLD  Formulas'!$I$15)-O33</f>
        <v>0</v>
      </c>
      <c r="P75" s="70">
        <f>P20-(P7*'OLD  Formulas'!$I$15)-P33</f>
        <v>-1674.55</v>
      </c>
      <c r="Q75" s="70">
        <f>Q20-(Q7*'OLD  Formulas'!$I$15)-Q33</f>
        <v>0</v>
      </c>
      <c r="R75" s="70">
        <f>R20-(R7*'OLD  Formulas'!$I$15)-R33</f>
        <v>0</v>
      </c>
      <c r="S75" s="70">
        <f>S20-(S7*'OLD  Formulas'!$I$15)-S33</f>
        <v>0</v>
      </c>
      <c r="T75" s="70">
        <f>T20-(T7*'OLD  Formulas'!$I$15)-T33</f>
        <v>0</v>
      </c>
      <c r="U75" s="70">
        <f>U20-(U7*'OLD  Formulas'!$I$15)-U33</f>
        <v>0</v>
      </c>
      <c r="V75" s="70">
        <f>V20-(V7*'OLD  Formulas'!$I$15)-V33</f>
        <v>0</v>
      </c>
      <c r="W75" s="70">
        <f>W20-(W7*'OLD  Formulas'!$I$15)-W33</f>
        <v>0</v>
      </c>
      <c r="X75" s="70">
        <f>X20-(X7*'OLD  Formulas'!$I$15)-X33</f>
        <v>0</v>
      </c>
      <c r="Y75" s="70">
        <f>Y20-(Y7*'OLD  Formulas'!$I$15)-Y33</f>
        <v>0</v>
      </c>
      <c r="Z75" s="70">
        <f>Z20-(Z7*'OLD  Formulas'!$I$15)-Z33</f>
        <v>0</v>
      </c>
      <c r="AA75" s="70">
        <f>AA20-(AA7*'OLD  Formulas'!$I$15)-AA33</f>
        <v>0</v>
      </c>
      <c r="AB75" s="70">
        <f>AB20-(AB7*'OLD  Formulas'!$I$15)-AB33</f>
        <v>0</v>
      </c>
      <c r="AC75" s="70">
        <f>AC20-(AC7*'OLD  Formulas'!$I$15)-AC33</f>
        <v>0</v>
      </c>
      <c r="AD75" s="70">
        <f>AD20-(AD7*'OLD  Formulas'!$I$15)-AD33</f>
        <v>0</v>
      </c>
      <c r="AE75" s="70">
        <f>AE20-(AE7*'OLD  Formulas'!$I$15)-AE33</f>
        <v>0</v>
      </c>
      <c r="AF75" s="918">
        <f>SUM(B75:AE75)</f>
        <v>-1674.55</v>
      </c>
    </row>
    <row r="76">
      <c r="A76" s="885" t="s">
        <v>328</v>
      </c>
      <c r="B76" s="920" t="str">
        <f t="shared" ref="B76:AE76" si="17">B20/B33</f>
        <v>#DIV/0!</v>
      </c>
      <c r="C76" s="920" t="str">
        <f t="shared" si="17"/>
        <v>#DIV/0!</v>
      </c>
      <c r="D76" s="920" t="str">
        <f t="shared" si="17"/>
        <v>#DIV/0!</v>
      </c>
      <c r="E76" s="920" t="str">
        <f t="shared" si="17"/>
        <v>#DIV/0!</v>
      </c>
      <c r="F76" s="920" t="str">
        <f t="shared" si="17"/>
        <v>#DIV/0!</v>
      </c>
      <c r="G76" s="920" t="str">
        <f t="shared" si="17"/>
        <v>#DIV/0!</v>
      </c>
      <c r="H76" s="920" t="str">
        <f t="shared" si="17"/>
        <v>#DIV/0!</v>
      </c>
      <c r="I76" s="920" t="str">
        <f t="shared" si="17"/>
        <v>#DIV/0!</v>
      </c>
      <c r="J76" s="920" t="str">
        <f t="shared" si="17"/>
        <v>#DIV/0!</v>
      </c>
      <c r="K76" s="920" t="str">
        <f t="shared" si="17"/>
        <v>#DIV/0!</v>
      </c>
      <c r="L76" s="920" t="str">
        <f t="shared" si="17"/>
        <v>#DIV/0!</v>
      </c>
      <c r="M76" s="920" t="str">
        <f t="shared" si="17"/>
        <v>#DIV/0!</v>
      </c>
      <c r="N76" s="920" t="str">
        <f t="shared" si="17"/>
        <v>#DIV/0!</v>
      </c>
      <c r="O76" s="920" t="str">
        <f t="shared" si="17"/>
        <v>#DIV/0!</v>
      </c>
      <c r="P76" s="920">
        <f t="shared" si="17"/>
        <v>0</v>
      </c>
      <c r="Q76" s="920" t="str">
        <f t="shared" si="17"/>
        <v>#DIV/0!</v>
      </c>
      <c r="R76" s="920" t="str">
        <f t="shared" si="17"/>
        <v>#DIV/0!</v>
      </c>
      <c r="S76" s="920" t="str">
        <f t="shared" si="17"/>
        <v>#DIV/0!</v>
      </c>
      <c r="T76" s="920" t="str">
        <f t="shared" si="17"/>
        <v>#DIV/0!</v>
      </c>
      <c r="U76" s="920" t="str">
        <f t="shared" si="17"/>
        <v>#DIV/0!</v>
      </c>
      <c r="V76" s="920" t="str">
        <f t="shared" si="17"/>
        <v>#DIV/0!</v>
      </c>
      <c r="W76" s="920" t="str">
        <f t="shared" si="17"/>
        <v>#DIV/0!</v>
      </c>
      <c r="X76" s="920" t="str">
        <f t="shared" si="17"/>
        <v>#DIV/0!</v>
      </c>
      <c r="Y76" s="920" t="str">
        <f t="shared" si="17"/>
        <v>#DIV/0!</v>
      </c>
      <c r="Z76" s="920" t="str">
        <f t="shared" si="17"/>
        <v>#DIV/0!</v>
      </c>
      <c r="AA76" s="920" t="str">
        <f t="shared" si="17"/>
        <v>#DIV/0!</v>
      </c>
      <c r="AB76" s="920" t="str">
        <f t="shared" si="17"/>
        <v>#DIV/0!</v>
      </c>
      <c r="AC76" s="920" t="str">
        <f t="shared" si="17"/>
        <v>#DIV/0!</v>
      </c>
      <c r="AD76" s="920" t="str">
        <f t="shared" si="17"/>
        <v>#DIV/0!</v>
      </c>
      <c r="AE76" s="920" t="str">
        <f t="shared" si="17"/>
        <v>#DIV/0!</v>
      </c>
      <c r="AF76" s="918"/>
    </row>
    <row r="77">
      <c r="A77" s="885" t="s">
        <v>863</v>
      </c>
      <c r="B77" s="921" t="str">
        <f t="shared" ref="B77:AE77" si="18">B33/B7</f>
        <v>#DIV/0!</v>
      </c>
      <c r="C77" s="921" t="str">
        <f t="shared" si="18"/>
        <v>#DIV/0!</v>
      </c>
      <c r="D77" s="921" t="str">
        <f t="shared" si="18"/>
        <v>#DIV/0!</v>
      </c>
      <c r="E77" s="921" t="str">
        <f t="shared" si="18"/>
        <v>#DIV/0!</v>
      </c>
      <c r="F77" s="921" t="str">
        <f t="shared" si="18"/>
        <v>#DIV/0!</v>
      </c>
      <c r="G77" s="921" t="str">
        <f t="shared" si="18"/>
        <v>#DIV/0!</v>
      </c>
      <c r="H77" s="921" t="str">
        <f t="shared" si="18"/>
        <v>#DIV/0!</v>
      </c>
      <c r="I77" s="921" t="str">
        <f t="shared" si="18"/>
        <v>#DIV/0!</v>
      </c>
      <c r="J77" s="921" t="str">
        <f t="shared" si="18"/>
        <v>#DIV/0!</v>
      </c>
      <c r="K77" s="921" t="str">
        <f t="shared" si="18"/>
        <v>#DIV/0!</v>
      </c>
      <c r="L77" s="921" t="str">
        <f t="shared" si="18"/>
        <v>#DIV/0!</v>
      </c>
      <c r="M77" s="921" t="str">
        <f t="shared" si="18"/>
        <v>#DIV/0!</v>
      </c>
      <c r="N77" s="921" t="str">
        <f t="shared" si="18"/>
        <v>#DIV/0!</v>
      </c>
      <c r="O77" s="921" t="str">
        <f t="shared" si="18"/>
        <v>#DIV/0!</v>
      </c>
      <c r="P77" s="921" t="str">
        <f t="shared" si="18"/>
        <v>#DIV/0!</v>
      </c>
      <c r="Q77" s="921" t="str">
        <f t="shared" si="18"/>
        <v>#DIV/0!</v>
      </c>
      <c r="R77" s="921" t="str">
        <f t="shared" si="18"/>
        <v>#DIV/0!</v>
      </c>
      <c r="S77" s="921" t="str">
        <f t="shared" si="18"/>
        <v>#DIV/0!</v>
      </c>
      <c r="T77" s="921" t="str">
        <f t="shared" si="18"/>
        <v>#DIV/0!</v>
      </c>
      <c r="U77" s="921" t="str">
        <f t="shared" si="18"/>
        <v>#DIV/0!</v>
      </c>
      <c r="V77" s="921" t="str">
        <f t="shared" si="18"/>
        <v>#DIV/0!</v>
      </c>
      <c r="W77" s="921" t="str">
        <f t="shared" si="18"/>
        <v>#DIV/0!</v>
      </c>
      <c r="X77" s="921" t="str">
        <f t="shared" si="18"/>
        <v>#DIV/0!</v>
      </c>
      <c r="Y77" s="921" t="str">
        <f t="shared" si="18"/>
        <v>#DIV/0!</v>
      </c>
      <c r="Z77" s="921" t="str">
        <f t="shared" si="18"/>
        <v>#DIV/0!</v>
      </c>
      <c r="AA77" s="921" t="str">
        <f t="shared" si="18"/>
        <v>#DIV/0!</v>
      </c>
      <c r="AB77" s="921" t="str">
        <f t="shared" si="18"/>
        <v>#DIV/0!</v>
      </c>
      <c r="AC77" s="921" t="str">
        <f t="shared" si="18"/>
        <v>#DIV/0!</v>
      </c>
      <c r="AD77" s="921" t="str">
        <f t="shared" si="18"/>
        <v>#DIV/0!</v>
      </c>
      <c r="AE77" s="921" t="str">
        <f t="shared" si="18"/>
        <v>#DIV/0!</v>
      </c>
      <c r="AF77" s="918"/>
    </row>
    <row r="78">
      <c r="A78" s="54" t="s">
        <v>864</v>
      </c>
      <c r="B78" s="923" t="str">
        <f>B20/('OLD  Formulas'!$I$15*B7+B33)</f>
        <v>#DIV/0!</v>
      </c>
      <c r="C78" s="923" t="str">
        <f>C20/('OLD  Formulas'!$I$15*C7+C33)</f>
        <v>#DIV/0!</v>
      </c>
      <c r="D78" s="923" t="str">
        <f>D20/('OLD  Formulas'!$I$15*D7+D33)</f>
        <v>#DIV/0!</v>
      </c>
      <c r="E78" s="923" t="str">
        <f>E20/('OLD  Formulas'!$I$15*E7+E33)</f>
        <v>#DIV/0!</v>
      </c>
      <c r="F78" s="923" t="str">
        <f>F20/('OLD  Formulas'!$I$15*F7+F33)</f>
        <v>#DIV/0!</v>
      </c>
      <c r="G78" s="923" t="str">
        <f>G20/('OLD  Formulas'!$I$15*G7+G33)</f>
        <v>#DIV/0!</v>
      </c>
      <c r="H78" s="923" t="str">
        <f>H20/('OLD  Formulas'!$I$15*H7+H33)</f>
        <v>#DIV/0!</v>
      </c>
      <c r="I78" s="923" t="str">
        <f>I20/('OLD  Formulas'!$I$15*I7+I33)</f>
        <v>#DIV/0!</v>
      </c>
      <c r="J78" s="923" t="str">
        <f>J20/('OLD  Formulas'!$I$15*J7+J33)</f>
        <v>#DIV/0!</v>
      </c>
      <c r="K78" s="923" t="str">
        <f>K20/('OLD  Formulas'!$I$15*K7+K33)</f>
        <v>#DIV/0!</v>
      </c>
      <c r="L78" s="923" t="str">
        <f>L20/('OLD  Formulas'!$I$15*L7+L33)</f>
        <v>#DIV/0!</v>
      </c>
      <c r="M78" s="923" t="str">
        <f>M20/('OLD  Formulas'!$I$15*M7+M33)</f>
        <v>#DIV/0!</v>
      </c>
      <c r="N78" s="923" t="str">
        <f>N20/('OLD  Formulas'!$I$15*N7+N33)</f>
        <v>#DIV/0!</v>
      </c>
      <c r="O78" s="923" t="str">
        <f>O20/('OLD  Formulas'!$I$15*O7+O33)</f>
        <v>#DIV/0!</v>
      </c>
      <c r="P78" s="923">
        <f>P20/('OLD  Formulas'!$I$15*P7+P33)</f>
        <v>0</v>
      </c>
      <c r="Q78" s="923" t="str">
        <f>Q20/('OLD  Formulas'!$I$15*Q7+Q33)</f>
        <v>#DIV/0!</v>
      </c>
      <c r="R78" s="923" t="str">
        <f>R20/('OLD  Formulas'!$I$15*R7+R33)</f>
        <v>#DIV/0!</v>
      </c>
      <c r="S78" s="923" t="str">
        <f>S20/('OLD  Formulas'!$I$15*S7+S33)</f>
        <v>#DIV/0!</v>
      </c>
      <c r="T78" s="923" t="str">
        <f>T20/('OLD  Formulas'!$I$15*T7+T33)</f>
        <v>#DIV/0!</v>
      </c>
      <c r="U78" s="923" t="str">
        <f>U20/('OLD  Formulas'!$I$15*U7+U33)</f>
        <v>#DIV/0!</v>
      </c>
      <c r="V78" s="923" t="str">
        <f>V20/('OLD  Formulas'!$I$15*V7+V33)</f>
        <v>#DIV/0!</v>
      </c>
      <c r="W78" s="923" t="str">
        <f>W20/('OLD  Formulas'!$I$15*W7+W33)</f>
        <v>#DIV/0!</v>
      </c>
      <c r="X78" s="923" t="str">
        <f>X20/('OLD  Formulas'!$I$15*X7+X33)</f>
        <v>#DIV/0!</v>
      </c>
      <c r="Y78" s="923" t="str">
        <f>Y20/('OLD  Formulas'!$I$15*Y7+Y33)</f>
        <v>#DIV/0!</v>
      </c>
      <c r="Z78" s="923" t="str">
        <f>Z20/('OLD  Formulas'!$I$15*Z7+Z33)</f>
        <v>#DIV/0!</v>
      </c>
      <c r="AA78" s="923" t="str">
        <f>AA20/('OLD  Formulas'!$I$15*AA7+AA33)</f>
        <v>#DIV/0!</v>
      </c>
      <c r="AB78" s="923" t="str">
        <f>AB20/('OLD  Formulas'!$I$15*AB7+AB33)</f>
        <v>#DIV/0!</v>
      </c>
      <c r="AC78" s="923" t="str">
        <f>AC20/('OLD  Formulas'!$I$15*AC7+AC33)</f>
        <v>#DIV/0!</v>
      </c>
      <c r="AD78" s="923" t="str">
        <f>AD20/('OLD  Formulas'!$I$15*AD7+AD33)</f>
        <v>#DIV/0!</v>
      </c>
      <c r="AE78" s="923" t="str">
        <f>AE20/('OLD  Formulas'!$I$15*AE7+AE33)</f>
        <v>#DIV/0!</v>
      </c>
      <c r="AF78" s="918"/>
    </row>
    <row r="79">
      <c r="A79" s="582"/>
      <c r="B79" s="582"/>
      <c r="C79" s="582"/>
      <c r="D79" s="582"/>
      <c r="E79" s="582"/>
      <c r="F79" s="582"/>
      <c r="G79" s="582"/>
      <c r="H79" s="582"/>
      <c r="I79" s="582"/>
      <c r="J79" s="582"/>
      <c r="K79" s="582"/>
      <c r="L79" s="582"/>
      <c r="M79" s="582"/>
      <c r="N79" s="582"/>
      <c r="O79" s="582"/>
      <c r="P79" s="582"/>
      <c r="Q79" s="582"/>
      <c r="R79" s="582"/>
      <c r="S79" s="582"/>
      <c r="T79" s="582"/>
      <c r="U79" s="582"/>
      <c r="V79" s="582"/>
      <c r="W79" s="582"/>
      <c r="X79" s="582"/>
      <c r="Y79" s="582"/>
      <c r="Z79" s="582"/>
      <c r="AA79" s="582"/>
      <c r="AB79" s="582"/>
      <c r="AC79" s="582"/>
      <c r="AD79" s="582"/>
      <c r="AE79" s="582"/>
      <c r="AF79" s="918"/>
    </row>
    <row r="80">
      <c r="A80" s="928" t="s">
        <v>872</v>
      </c>
      <c r="B80" s="651"/>
      <c r="C80" s="651"/>
      <c r="D80" s="651"/>
      <c r="E80" s="651"/>
      <c r="F80" s="651"/>
      <c r="G80" s="651"/>
      <c r="H80" s="651"/>
      <c r="I80" s="651"/>
      <c r="J80" s="651"/>
      <c r="K80" s="651"/>
      <c r="L80" s="651"/>
      <c r="M80" s="651"/>
      <c r="N80" s="651"/>
      <c r="O80" s="651"/>
      <c r="P80" s="651"/>
      <c r="Q80" s="651"/>
      <c r="R80" s="651"/>
      <c r="S80" s="651"/>
      <c r="T80" s="651"/>
      <c r="U80" s="651"/>
      <c r="V80" s="651"/>
      <c r="W80" s="651"/>
      <c r="X80" s="651"/>
      <c r="Y80" s="651"/>
      <c r="Z80" s="651"/>
      <c r="AA80" s="651"/>
      <c r="AB80" s="651"/>
      <c r="AC80" s="651"/>
      <c r="AD80" s="651"/>
      <c r="AE80" s="651"/>
      <c r="AF80" s="918"/>
    </row>
    <row r="81">
      <c r="A81" s="929" t="s">
        <v>861</v>
      </c>
      <c r="B81" s="70">
        <f>B21-(B8*'OLD  Formulas'!$I$15)-B34</f>
        <v>-340.8397447</v>
      </c>
      <c r="C81" s="70">
        <f>C21-(C8*'OLD  Formulas'!$I$15)-C34</f>
        <v>-172.98</v>
      </c>
      <c r="D81" s="70">
        <f>D21-(D8*'OLD  Formulas'!$I$15)-D34</f>
        <v>-13.58649648</v>
      </c>
      <c r="E81" s="70">
        <f>E21-(E8*'OLD  Formulas'!$I$15)-E34</f>
        <v>-233.0164965</v>
      </c>
      <c r="F81" s="70">
        <f>F21-(F8*'OLD  Formulas'!$I$15)-F34</f>
        <v>-116.6962412</v>
      </c>
      <c r="G81" s="70">
        <f>G21-(G8*'OLD  Formulas'!$I$15)-G34</f>
        <v>-188.9032482</v>
      </c>
      <c r="H81" s="70">
        <f>H21-(H8*'OLD  Formulas'!$I$15)-H34</f>
        <v>-206.1564965</v>
      </c>
      <c r="I81" s="70">
        <f>I21-(I8*'OLD  Formulas'!$I$15)-I34</f>
        <v>103.0735035</v>
      </c>
      <c r="J81" s="70">
        <f>J21-(J8*'OLD  Formulas'!$I$15)-J34</f>
        <v>-108.5432482</v>
      </c>
      <c r="K81" s="70">
        <f>K21-(K8*'OLD  Formulas'!$I$15)-K34</f>
        <v>-176.1064965</v>
      </c>
      <c r="L81" s="70">
        <f>L21-(L8*'OLD  Formulas'!$I$15)-L34</f>
        <v>-258.3732482</v>
      </c>
      <c r="M81" s="70">
        <f>M21-(M8*'OLD  Formulas'!$I$15)-M34</f>
        <v>-217.46</v>
      </c>
      <c r="N81" s="70">
        <f>N21-(N8*'OLD  Formulas'!$I$15)-N34</f>
        <v>-212.7</v>
      </c>
      <c r="O81" s="70">
        <f>O21-(O8*'OLD  Formulas'!$I$15)-O34</f>
        <v>-157.6932482</v>
      </c>
      <c r="P81" s="70">
        <f>P21-(P8*'OLD  Formulas'!$I$15)-P34</f>
        <v>-48.08974472</v>
      </c>
      <c r="Q81" s="70">
        <f>Q21-(Q8*'OLD  Formulas'!$I$15)-Q34</f>
        <v>83.33350352</v>
      </c>
      <c r="R81" s="70">
        <f>R21-(R8*'OLD  Formulas'!$I$15)-R34</f>
        <v>-486.58</v>
      </c>
      <c r="S81" s="70">
        <f>S21-(S8*'OLD  Formulas'!$I$15)-S34</f>
        <v>-238.96</v>
      </c>
      <c r="T81" s="70">
        <f>T21-(T8*'OLD  Formulas'!$I$15)-T34</f>
        <v>-212.46</v>
      </c>
      <c r="U81" s="70">
        <f>U21-(U8*'OLD  Formulas'!$I$15)-U34</f>
        <v>-364.2364965</v>
      </c>
      <c r="V81" s="70">
        <f>V21-(V8*'OLD  Formulas'!$I$15)-V34</f>
        <v>-199.05</v>
      </c>
      <c r="W81" s="70">
        <f>W21-(W8*'OLD  Formulas'!$I$15)-W34</f>
        <v>-54.55324824</v>
      </c>
      <c r="X81" s="70">
        <f>X21-(X8*'OLD  Formulas'!$I$15)-X34</f>
        <v>-30.06324824</v>
      </c>
      <c r="Y81" s="70">
        <f>Y21-(Y8*'OLD  Formulas'!$I$15)-Y34</f>
        <v>1623.520255</v>
      </c>
      <c r="Z81" s="70">
        <f>Z21-(Z8*'OLD  Formulas'!$I$15)-Z34</f>
        <v>690.27</v>
      </c>
      <c r="AA81" s="70">
        <f>AA21-(AA8*'OLD  Formulas'!$I$15)-AA34</f>
        <v>230.69</v>
      </c>
      <c r="AB81" s="70">
        <f>AB21-(AB8*'OLD  Formulas'!$I$15)-AB34</f>
        <v>0</v>
      </c>
      <c r="AC81" s="70">
        <f>AC21-(AC8*'OLD  Formulas'!$I$15)-AC34</f>
        <v>0</v>
      </c>
      <c r="AD81" s="70">
        <f>AD21-(AD8*'OLD  Formulas'!$I$15)-AD34</f>
        <v>-9.24324824</v>
      </c>
      <c r="AE81" s="70">
        <f>AE21-(AE8*'OLD  Formulas'!$I$15)-AE34</f>
        <v>-418.9864965</v>
      </c>
      <c r="AF81" s="918">
        <f>SUM(B81:AE81)</f>
        <v>-1734.390185</v>
      </c>
    </row>
    <row r="82">
      <c r="A82" s="929" t="s">
        <v>328</v>
      </c>
      <c r="B82" s="920">
        <f t="shared" ref="B82:AE82" si="19">B21/B34</f>
        <v>1.528433185</v>
      </c>
      <c r="C82" s="920">
        <f t="shared" si="19"/>
        <v>0</v>
      </c>
      <c r="D82" s="920">
        <f t="shared" si="19"/>
        <v>2.216532681</v>
      </c>
      <c r="E82" s="920">
        <f t="shared" si="19"/>
        <v>1.264050474</v>
      </c>
      <c r="F82" s="920">
        <f t="shared" si="19"/>
        <v>3.6589648</v>
      </c>
      <c r="G82" s="920">
        <f t="shared" si="19"/>
        <v>0.8102716093</v>
      </c>
      <c r="H82" s="920">
        <f t="shared" si="19"/>
        <v>1.382955002</v>
      </c>
      <c r="I82" s="920">
        <f t="shared" si="19"/>
        <v>3.063939821</v>
      </c>
      <c r="J82" s="920">
        <f t="shared" si="19"/>
        <v>1.105394914</v>
      </c>
      <c r="K82" s="920">
        <f t="shared" si="19"/>
        <v>1.52975048</v>
      </c>
      <c r="L82" s="920">
        <f t="shared" si="19"/>
        <v>0.4987061658</v>
      </c>
      <c r="M82" s="920">
        <f t="shared" si="19"/>
        <v>0</v>
      </c>
      <c r="N82" s="920">
        <f t="shared" si="19"/>
        <v>0</v>
      </c>
      <c r="O82" s="920">
        <f t="shared" si="19"/>
        <v>0.9460233837</v>
      </c>
      <c r="P82" s="920">
        <f t="shared" si="19"/>
        <v>3.040981891</v>
      </c>
      <c r="Q82" s="920">
        <f t="shared" si="19"/>
        <v>2.693022417</v>
      </c>
      <c r="R82" s="920">
        <f t="shared" si="19"/>
        <v>0</v>
      </c>
      <c r="S82" s="920">
        <f t="shared" si="19"/>
        <v>0</v>
      </c>
      <c r="T82" s="920">
        <f t="shared" si="19"/>
        <v>0</v>
      </c>
      <c r="U82" s="920">
        <f t="shared" si="19"/>
        <v>0.6519832281</v>
      </c>
      <c r="V82" s="920">
        <f t="shared" si="19"/>
        <v>0</v>
      </c>
      <c r="W82" s="920">
        <f t="shared" si="19"/>
        <v>1.431354054</v>
      </c>
      <c r="X82" s="920">
        <f t="shared" si="19"/>
        <v>1.546804999</v>
      </c>
      <c r="Y82" s="920">
        <f t="shared" si="19"/>
        <v>11.44145057</v>
      </c>
      <c r="Z82" s="920">
        <f t="shared" si="19"/>
        <v>12.00382592</v>
      </c>
      <c r="AA82" s="920">
        <f t="shared" si="19"/>
        <v>12.35844412</v>
      </c>
      <c r="AB82" s="920" t="str">
        <f t="shared" si="19"/>
        <v>#DIV/0!</v>
      </c>
      <c r="AC82" s="920" t="str">
        <f t="shared" si="19"/>
        <v>#DIV/0!</v>
      </c>
      <c r="AD82" s="920">
        <f t="shared" si="19"/>
        <v>1.845511869</v>
      </c>
      <c r="AE82" s="920">
        <f t="shared" si="19"/>
        <v>0.726573773</v>
      </c>
      <c r="AF82" s="918"/>
    </row>
    <row r="83">
      <c r="A83" s="929" t="s">
        <v>863</v>
      </c>
      <c r="B83" s="921">
        <f t="shared" ref="B83:AE83" si="20">B34/B8</f>
        <v>61.31333333</v>
      </c>
      <c r="C83" s="921" t="str">
        <f t="shared" si="20"/>
        <v>#DIV/0!</v>
      </c>
      <c r="D83" s="921">
        <f t="shared" si="20"/>
        <v>114.44</v>
      </c>
      <c r="E83" s="921">
        <f t="shared" si="20"/>
        <v>111.74</v>
      </c>
      <c r="F83" s="921">
        <f t="shared" si="20"/>
        <v>46.136</v>
      </c>
      <c r="G83" s="921">
        <f t="shared" si="20"/>
        <v>226.06</v>
      </c>
      <c r="H83" s="921">
        <f t="shared" si="20"/>
        <v>112.115</v>
      </c>
      <c r="I83" s="921">
        <f t="shared" si="20"/>
        <v>95.715</v>
      </c>
      <c r="J83" s="921">
        <f t="shared" si="20"/>
        <v>355.52</v>
      </c>
      <c r="K83" s="921">
        <f t="shared" si="20"/>
        <v>109.41</v>
      </c>
      <c r="L83" s="921">
        <f t="shared" si="20"/>
        <v>224.14</v>
      </c>
      <c r="M83" s="921" t="str">
        <f t="shared" si="20"/>
        <v>#DIV/0!</v>
      </c>
      <c r="N83" s="921" t="str">
        <f t="shared" si="20"/>
        <v>#DIV/0!</v>
      </c>
      <c r="O83" s="921">
        <f t="shared" si="20"/>
        <v>216.39</v>
      </c>
      <c r="P83" s="921">
        <f t="shared" si="20"/>
        <v>63.68666667</v>
      </c>
      <c r="Q83" s="921">
        <f t="shared" si="20"/>
        <v>110.855</v>
      </c>
      <c r="R83" s="921" t="str">
        <f t="shared" si="20"/>
        <v>#DIV/0!</v>
      </c>
      <c r="S83" s="921" t="str">
        <f t="shared" si="20"/>
        <v>#DIV/0!</v>
      </c>
      <c r="T83" s="921" t="str">
        <f t="shared" si="20"/>
        <v>#DIV/0!</v>
      </c>
      <c r="U83" s="921">
        <f t="shared" si="20"/>
        <v>103.745</v>
      </c>
      <c r="V83" s="921" t="str">
        <f t="shared" si="20"/>
        <v>#DIV/0!</v>
      </c>
      <c r="W83" s="921">
        <f t="shared" si="20"/>
        <v>212.03</v>
      </c>
      <c r="X83" s="921">
        <f t="shared" si="20"/>
        <v>212.05</v>
      </c>
      <c r="Y83" s="921">
        <f t="shared" si="20"/>
        <v>65.81333333</v>
      </c>
      <c r="Z83" s="921" t="str">
        <f t="shared" si="20"/>
        <v>#DIV/0!</v>
      </c>
      <c r="AA83" s="921" t="str">
        <f t="shared" si="20"/>
        <v>#DIV/0!</v>
      </c>
      <c r="AB83" s="921" t="str">
        <f t="shared" si="20"/>
        <v>#DIV/0!</v>
      </c>
      <c r="AC83" s="921" t="str">
        <f t="shared" si="20"/>
        <v>#DIV/0!</v>
      </c>
      <c r="AD83" s="921">
        <f t="shared" si="20"/>
        <v>161.76</v>
      </c>
      <c r="AE83" s="921">
        <f t="shared" si="20"/>
        <v>232.165</v>
      </c>
      <c r="AF83" s="918"/>
    </row>
    <row r="84">
      <c r="A84" s="930" t="s">
        <v>864</v>
      </c>
      <c r="B84" s="923">
        <f>B21/('OLD  Formulas'!$I$15*B8+B34)</f>
        <v>0.4520082887</v>
      </c>
      <c r="C84" s="923">
        <f>C21/('OLD  Formulas'!$I$15*C8+C34)</f>
        <v>0</v>
      </c>
      <c r="D84" s="923">
        <f>D21/('OLD  Formulas'!$I$15*D8+D34)</f>
        <v>0.9739175906</v>
      </c>
      <c r="E84" s="923">
        <f>E21/('OLD  Formulas'!$I$15*E8+E34)</f>
        <v>0.5479853347</v>
      </c>
      <c r="F84" s="923">
        <f>F21/('OLD  Formulas'!$I$15*F8+F34)</f>
        <v>0.8785358337</v>
      </c>
      <c r="G84" s="923">
        <f>G21/('OLD  Formulas'!$I$15*G8+G34)</f>
        <v>0.4922955382</v>
      </c>
      <c r="H84" s="923">
        <f>H21/('OLD  Formulas'!$I$15*H8+H34)</f>
        <v>0.6006704073</v>
      </c>
      <c r="I84" s="923">
        <f>I21/('OLD  Formulas'!$I$15*I8+I34)</f>
        <v>1.213201197</v>
      </c>
      <c r="J84" s="923">
        <f>J21/('OLD  Formulas'!$I$15*J8+J34)</f>
        <v>0.7835771634</v>
      </c>
      <c r="K84" s="923">
        <f>K21/('OLD  Formulas'!$I$15*K8+K34)</f>
        <v>0.6552653337</v>
      </c>
      <c r="L84" s="923">
        <f>L21/('OLD  Formulas'!$I$15*L8+L34)</f>
        <v>0.3019830314</v>
      </c>
      <c r="M84" s="923">
        <f>M21/('OLD  Formulas'!$I$15*M8+M34)</f>
        <v>0</v>
      </c>
      <c r="N84" s="923">
        <f>N21/('OLD  Formulas'!$I$15*N8+N34)</f>
        <v>0</v>
      </c>
      <c r="O84" s="923">
        <f>O21/('OLD  Formulas'!$I$15*O8+O34)</f>
        <v>0.5648680054</v>
      </c>
      <c r="P84" s="923">
        <f>P21/('OLD  Formulas'!$I$15*P8+P34)</f>
        <v>0.9235578378</v>
      </c>
      <c r="Q84" s="923">
        <f>Q21/('OLD  Formulas'!$I$15*Q8+Q34)</f>
        <v>1.162210596</v>
      </c>
      <c r="R84" s="923">
        <f>R21/('OLD  Formulas'!$I$15*R8+R34)</f>
        <v>0</v>
      </c>
      <c r="S84" s="923">
        <f>S21/('OLD  Formulas'!$I$15*S8+S34)</f>
        <v>0</v>
      </c>
      <c r="T84" s="923">
        <f>T21/('OLD  Formulas'!$I$15*T8+T34)</f>
        <v>0</v>
      </c>
      <c r="U84" s="923">
        <f>U21/('OLD  Formulas'!$I$15*U8+U34)</f>
        <v>0.2708218867</v>
      </c>
      <c r="V84" s="923">
        <f>V21/('OLD  Formulas'!$I$15*V8+V34)</f>
        <v>0</v>
      </c>
      <c r="W84" s="923">
        <f>W21/('OLD  Formulas'!$I$15*W8+W34)</f>
        <v>0.8476350315</v>
      </c>
      <c r="X84" s="923">
        <f>X21/('OLD  Formulas'!$I$15*X8+X34)</f>
        <v>0.9160392797</v>
      </c>
      <c r="Y84" s="923">
        <f>Y21/('OLD  Formulas'!$I$15*Y8+Y34)</f>
        <v>3.554794655</v>
      </c>
      <c r="Z84" s="923">
        <f>Z21/('OLD  Formulas'!$I$15*Z8+Z34)</f>
        <v>12.00382592</v>
      </c>
      <c r="AA84" s="923">
        <f>AA21/('OLD  Formulas'!$I$15*AA8+AA34)</f>
        <v>12.35844412</v>
      </c>
      <c r="AB84" s="923" t="str">
        <f>AB21/('OLD  Formulas'!$I$15*AB8+AB34)</f>
        <v>#DIV/0!</v>
      </c>
      <c r="AC84" s="923" t="str">
        <f>AC21/('OLD  Formulas'!$I$15*AC8+AC34)</f>
        <v>#DIV/0!</v>
      </c>
      <c r="AD84" s="923">
        <f>AD21/('OLD  Formulas'!$I$15*AD8+AD34)</f>
        <v>0.9699673435</v>
      </c>
      <c r="AE84" s="921" t="str">
        <f>AE35/AE9</f>
        <v>#DIV/0!</v>
      </c>
      <c r="AF84" s="918"/>
    </row>
    <row r="85">
      <c r="A85" s="582"/>
      <c r="B85" s="582"/>
      <c r="C85" s="582"/>
      <c r="D85" s="582"/>
      <c r="E85" s="582"/>
      <c r="F85" s="582"/>
      <c r="G85" s="582"/>
      <c r="H85" s="582"/>
      <c r="I85" s="582"/>
      <c r="J85" s="582"/>
      <c r="K85" s="582"/>
      <c r="L85" s="582"/>
      <c r="M85" s="582"/>
      <c r="N85" s="582"/>
      <c r="O85" s="582"/>
      <c r="P85" s="582"/>
      <c r="Q85" s="582"/>
      <c r="R85" s="582"/>
      <c r="S85" s="582"/>
      <c r="T85" s="582"/>
      <c r="U85" s="582"/>
      <c r="V85" s="582"/>
      <c r="W85" s="582"/>
      <c r="X85" s="582"/>
      <c r="Y85" s="582"/>
      <c r="Z85" s="582"/>
      <c r="AA85" s="582"/>
      <c r="AB85" s="582"/>
      <c r="AC85" s="582"/>
      <c r="AD85" s="582"/>
      <c r="AE85" s="582"/>
      <c r="AF85" s="918"/>
    </row>
    <row r="86">
      <c r="A86" s="931" t="s">
        <v>828</v>
      </c>
      <c r="B86" s="582"/>
      <c r="C86" s="582"/>
      <c r="D86" s="582"/>
      <c r="E86" s="582"/>
      <c r="F86" s="582"/>
      <c r="G86" s="582"/>
      <c r="H86" s="582"/>
      <c r="I86" s="582"/>
      <c r="J86" s="582"/>
      <c r="K86" s="582"/>
      <c r="L86" s="582"/>
      <c r="M86" s="582"/>
      <c r="N86" s="582"/>
      <c r="O86" s="582"/>
      <c r="P86" s="582"/>
      <c r="Q86" s="582"/>
      <c r="R86" s="582"/>
      <c r="S86" s="582"/>
      <c r="T86" s="582"/>
      <c r="U86" s="582"/>
      <c r="V86" s="582"/>
      <c r="W86" s="582"/>
      <c r="X86" s="582"/>
      <c r="Y86" s="582"/>
      <c r="Z86" s="582"/>
      <c r="AA86" s="582"/>
      <c r="AB86" s="582"/>
      <c r="AC86" s="582"/>
      <c r="AD86" s="582"/>
      <c r="AE86" s="582"/>
      <c r="AF86" s="918"/>
    </row>
    <row r="87">
      <c r="A87" s="932" t="s">
        <v>861</v>
      </c>
      <c r="B87" s="70" t="str">
        <f t="shared" ref="B87:AE87" si="21">B22-(B9*Formulas!$C32)-B35</f>
        <v>#REF!</v>
      </c>
      <c r="C87" s="70" t="str">
        <f t="shared" si="21"/>
        <v>#REF!</v>
      </c>
      <c r="D87" s="70" t="str">
        <f t="shared" si="21"/>
        <v>#REF!</v>
      </c>
      <c r="E87" s="70" t="str">
        <f t="shared" si="21"/>
        <v>#REF!</v>
      </c>
      <c r="F87" s="70" t="str">
        <f t="shared" si="21"/>
        <v>#REF!</v>
      </c>
      <c r="G87" s="70" t="str">
        <f t="shared" si="21"/>
        <v>#REF!</v>
      </c>
      <c r="H87" s="70" t="str">
        <f t="shared" si="21"/>
        <v>#REF!</v>
      </c>
      <c r="I87" s="70" t="str">
        <f t="shared" si="21"/>
        <v>#REF!</v>
      </c>
      <c r="J87" s="70" t="str">
        <f t="shared" si="21"/>
        <v>#REF!</v>
      </c>
      <c r="K87" s="70" t="str">
        <f t="shared" si="21"/>
        <v>#REF!</v>
      </c>
      <c r="L87" s="70" t="str">
        <f t="shared" si="21"/>
        <v>#REF!</v>
      </c>
      <c r="M87" s="70" t="str">
        <f t="shared" si="21"/>
        <v>#REF!</v>
      </c>
      <c r="N87" s="70" t="str">
        <f t="shared" si="21"/>
        <v>#REF!</v>
      </c>
      <c r="O87" s="70" t="str">
        <f t="shared" si="21"/>
        <v>#REF!</v>
      </c>
      <c r="P87" s="70" t="str">
        <f t="shared" si="21"/>
        <v>#REF!</v>
      </c>
      <c r="Q87" s="70" t="str">
        <f t="shared" si="21"/>
        <v>#REF!</v>
      </c>
      <c r="R87" s="70" t="str">
        <f t="shared" si="21"/>
        <v>#REF!</v>
      </c>
      <c r="S87" s="70" t="str">
        <f t="shared" si="21"/>
        <v>#REF!</v>
      </c>
      <c r="T87" s="70" t="str">
        <f t="shared" si="21"/>
        <v>#REF!</v>
      </c>
      <c r="U87" s="70" t="str">
        <f t="shared" si="21"/>
        <v>#REF!</v>
      </c>
      <c r="V87" s="70" t="str">
        <f t="shared" si="21"/>
        <v>#REF!</v>
      </c>
      <c r="W87" s="70" t="str">
        <f t="shared" si="21"/>
        <v>#REF!</v>
      </c>
      <c r="X87" s="70" t="str">
        <f t="shared" si="21"/>
        <v>#REF!</v>
      </c>
      <c r="Y87" s="70" t="str">
        <f t="shared" si="21"/>
        <v>#REF!</v>
      </c>
      <c r="Z87" s="70" t="str">
        <f t="shared" si="21"/>
        <v>#REF!</v>
      </c>
      <c r="AA87" s="70" t="str">
        <f t="shared" si="21"/>
        <v>#REF!</v>
      </c>
      <c r="AB87" s="70" t="str">
        <f t="shared" si="21"/>
        <v>#REF!</v>
      </c>
      <c r="AC87" s="70" t="str">
        <f t="shared" si="21"/>
        <v>#REF!</v>
      </c>
      <c r="AD87" s="70" t="str">
        <f t="shared" si="21"/>
        <v>#REF!</v>
      </c>
      <c r="AE87" s="70" t="str">
        <f t="shared" si="21"/>
        <v>#REF!</v>
      </c>
      <c r="AF87" s="918" t="str">
        <f>SUM(B87:AE87)</f>
        <v>#REF!</v>
      </c>
    </row>
    <row r="88">
      <c r="A88" s="932" t="s">
        <v>328</v>
      </c>
      <c r="B88" s="920">
        <f t="shared" ref="B88:AE88" si="22">B22/B35</f>
        <v>0</v>
      </c>
      <c r="C88" s="920">
        <f t="shared" si="22"/>
        <v>0</v>
      </c>
      <c r="D88" s="920">
        <f t="shared" si="22"/>
        <v>0</v>
      </c>
      <c r="E88" s="920">
        <f t="shared" si="22"/>
        <v>0</v>
      </c>
      <c r="F88" s="920">
        <f t="shared" si="22"/>
        <v>0</v>
      </c>
      <c r="G88" s="920">
        <f t="shared" si="22"/>
        <v>0</v>
      </c>
      <c r="H88" s="920">
        <f t="shared" si="22"/>
        <v>0</v>
      </c>
      <c r="I88" s="920">
        <f t="shared" si="22"/>
        <v>0</v>
      </c>
      <c r="J88" s="920">
        <f t="shared" si="22"/>
        <v>0</v>
      </c>
      <c r="K88" s="920">
        <f t="shared" si="22"/>
        <v>0</v>
      </c>
      <c r="L88" s="920">
        <f t="shared" si="22"/>
        <v>0</v>
      </c>
      <c r="M88" s="920">
        <f t="shared" si="22"/>
        <v>0</v>
      </c>
      <c r="N88" s="920">
        <f t="shared" si="22"/>
        <v>0</v>
      </c>
      <c r="O88" s="920">
        <f t="shared" si="22"/>
        <v>0</v>
      </c>
      <c r="P88" s="920" t="str">
        <f t="shared" si="22"/>
        <v>#DIV/0!</v>
      </c>
      <c r="Q88" s="920">
        <f t="shared" si="22"/>
        <v>0</v>
      </c>
      <c r="R88" s="920">
        <f t="shared" si="22"/>
        <v>0</v>
      </c>
      <c r="S88" s="920">
        <f t="shared" si="22"/>
        <v>0</v>
      </c>
      <c r="T88" s="920">
        <f t="shared" si="22"/>
        <v>0</v>
      </c>
      <c r="U88" s="920">
        <f t="shared" si="22"/>
        <v>0</v>
      </c>
      <c r="V88" s="920">
        <f t="shared" si="22"/>
        <v>0</v>
      </c>
      <c r="W88" s="920">
        <f t="shared" si="22"/>
        <v>0</v>
      </c>
      <c r="X88" s="920">
        <f t="shared" si="22"/>
        <v>0</v>
      </c>
      <c r="Y88" s="920">
        <f t="shared" si="22"/>
        <v>0</v>
      </c>
      <c r="Z88" s="920">
        <f t="shared" si="22"/>
        <v>0</v>
      </c>
      <c r="AA88" s="920">
        <f t="shared" si="22"/>
        <v>0</v>
      </c>
      <c r="AB88" s="920">
        <f t="shared" si="22"/>
        <v>0</v>
      </c>
      <c r="AC88" s="920">
        <f t="shared" si="22"/>
        <v>0</v>
      </c>
      <c r="AD88" s="920">
        <f t="shared" si="22"/>
        <v>0</v>
      </c>
      <c r="AE88" s="920">
        <f t="shared" si="22"/>
        <v>0</v>
      </c>
      <c r="AF88" s="918"/>
    </row>
    <row r="89">
      <c r="A89" s="932" t="s">
        <v>863</v>
      </c>
      <c r="B89" s="921" t="str">
        <f t="shared" ref="B89:AE89" si="23">B35/B9</f>
        <v>#DIV/0!</v>
      </c>
      <c r="C89" s="921" t="str">
        <f t="shared" si="23"/>
        <v>#DIV/0!</v>
      </c>
      <c r="D89" s="921" t="str">
        <f t="shared" si="23"/>
        <v>#DIV/0!</v>
      </c>
      <c r="E89" s="921" t="str">
        <f t="shared" si="23"/>
        <v>#DIV/0!</v>
      </c>
      <c r="F89" s="921" t="str">
        <f t="shared" si="23"/>
        <v>#DIV/0!</v>
      </c>
      <c r="G89" s="921" t="str">
        <f t="shared" si="23"/>
        <v>#DIV/0!</v>
      </c>
      <c r="H89" s="921" t="str">
        <f t="shared" si="23"/>
        <v>#DIV/0!</v>
      </c>
      <c r="I89" s="921" t="str">
        <f t="shared" si="23"/>
        <v>#DIV/0!</v>
      </c>
      <c r="J89" s="921" t="str">
        <f t="shared" si="23"/>
        <v>#DIV/0!</v>
      </c>
      <c r="K89" s="921" t="str">
        <f t="shared" si="23"/>
        <v>#DIV/0!</v>
      </c>
      <c r="L89" s="921" t="str">
        <f t="shared" si="23"/>
        <v>#DIV/0!</v>
      </c>
      <c r="M89" s="921" t="str">
        <f t="shared" si="23"/>
        <v>#DIV/0!</v>
      </c>
      <c r="N89" s="921" t="str">
        <f t="shared" si="23"/>
        <v>#DIV/0!</v>
      </c>
      <c r="O89" s="921" t="str">
        <f t="shared" si="23"/>
        <v>#DIV/0!</v>
      </c>
      <c r="P89" s="921" t="str">
        <f t="shared" si="23"/>
        <v>#DIV/0!</v>
      </c>
      <c r="Q89" s="921" t="str">
        <f t="shared" si="23"/>
        <v>#DIV/0!</v>
      </c>
      <c r="R89" s="921" t="str">
        <f t="shared" si="23"/>
        <v>#DIV/0!</v>
      </c>
      <c r="S89" s="921" t="str">
        <f t="shared" si="23"/>
        <v>#DIV/0!</v>
      </c>
      <c r="T89" s="921" t="str">
        <f t="shared" si="23"/>
        <v>#DIV/0!</v>
      </c>
      <c r="U89" s="921" t="str">
        <f t="shared" si="23"/>
        <v>#DIV/0!</v>
      </c>
      <c r="V89" s="921" t="str">
        <f t="shared" si="23"/>
        <v>#DIV/0!</v>
      </c>
      <c r="W89" s="921" t="str">
        <f t="shared" si="23"/>
        <v>#DIV/0!</v>
      </c>
      <c r="X89" s="921" t="str">
        <f t="shared" si="23"/>
        <v>#DIV/0!</v>
      </c>
      <c r="Y89" s="921" t="str">
        <f t="shared" si="23"/>
        <v>#DIV/0!</v>
      </c>
      <c r="Z89" s="921" t="str">
        <f t="shared" si="23"/>
        <v>#DIV/0!</v>
      </c>
      <c r="AA89" s="921" t="str">
        <f t="shared" si="23"/>
        <v>#DIV/0!</v>
      </c>
      <c r="AB89" s="921" t="str">
        <f t="shared" si="23"/>
        <v>#DIV/0!</v>
      </c>
      <c r="AC89" s="921" t="str">
        <f t="shared" si="23"/>
        <v>#DIV/0!</v>
      </c>
      <c r="AD89" s="921" t="str">
        <f t="shared" si="23"/>
        <v>#DIV/0!</v>
      </c>
      <c r="AE89" s="921" t="str">
        <f t="shared" si="23"/>
        <v>#DIV/0!</v>
      </c>
      <c r="AF89" s="918"/>
    </row>
    <row r="90">
      <c r="A90" s="933" t="s">
        <v>864</v>
      </c>
      <c r="B90" s="923" t="str">
        <f t="shared" ref="B90:AE90" si="24">B22/(Formulas!$C32*B9+B35)</f>
        <v>#REF!</v>
      </c>
      <c r="C90" s="923" t="str">
        <f t="shared" si="24"/>
        <v>#REF!</v>
      </c>
      <c r="D90" s="923" t="str">
        <f t="shared" si="24"/>
        <v>#REF!</v>
      </c>
      <c r="E90" s="923" t="str">
        <f t="shared" si="24"/>
        <v>#REF!</v>
      </c>
      <c r="F90" s="923" t="str">
        <f t="shared" si="24"/>
        <v>#REF!</v>
      </c>
      <c r="G90" s="923" t="str">
        <f t="shared" si="24"/>
        <v>#REF!</v>
      </c>
      <c r="H90" s="923" t="str">
        <f t="shared" si="24"/>
        <v>#REF!</v>
      </c>
      <c r="I90" s="923" t="str">
        <f t="shared" si="24"/>
        <v>#REF!</v>
      </c>
      <c r="J90" s="923" t="str">
        <f t="shared" si="24"/>
        <v>#REF!</v>
      </c>
      <c r="K90" s="923" t="str">
        <f t="shared" si="24"/>
        <v>#REF!</v>
      </c>
      <c r="L90" s="923" t="str">
        <f t="shared" si="24"/>
        <v>#REF!</v>
      </c>
      <c r="M90" s="923" t="str">
        <f t="shared" si="24"/>
        <v>#REF!</v>
      </c>
      <c r="N90" s="923" t="str">
        <f t="shared" si="24"/>
        <v>#REF!</v>
      </c>
      <c r="O90" s="923" t="str">
        <f t="shared" si="24"/>
        <v>#REF!</v>
      </c>
      <c r="P90" s="923" t="str">
        <f t="shared" si="24"/>
        <v>#REF!</v>
      </c>
      <c r="Q90" s="923" t="str">
        <f t="shared" si="24"/>
        <v>#REF!</v>
      </c>
      <c r="R90" s="923" t="str">
        <f t="shared" si="24"/>
        <v>#REF!</v>
      </c>
      <c r="S90" s="923" t="str">
        <f t="shared" si="24"/>
        <v>#REF!</v>
      </c>
      <c r="T90" s="923" t="str">
        <f t="shared" si="24"/>
        <v>#REF!</v>
      </c>
      <c r="U90" s="923" t="str">
        <f t="shared" si="24"/>
        <v>#REF!</v>
      </c>
      <c r="V90" s="923" t="str">
        <f t="shared" si="24"/>
        <v>#REF!</v>
      </c>
      <c r="W90" s="923" t="str">
        <f t="shared" si="24"/>
        <v>#REF!</v>
      </c>
      <c r="X90" s="923" t="str">
        <f t="shared" si="24"/>
        <v>#REF!</v>
      </c>
      <c r="Y90" s="923" t="str">
        <f t="shared" si="24"/>
        <v>#REF!</v>
      </c>
      <c r="Z90" s="923" t="str">
        <f t="shared" si="24"/>
        <v>#REF!</v>
      </c>
      <c r="AA90" s="923" t="str">
        <f t="shared" si="24"/>
        <v>#REF!</v>
      </c>
      <c r="AB90" s="923" t="str">
        <f t="shared" si="24"/>
        <v>#REF!</v>
      </c>
      <c r="AC90" s="923" t="str">
        <f t="shared" si="24"/>
        <v>#REF!</v>
      </c>
      <c r="AD90" s="923" t="str">
        <f t="shared" si="24"/>
        <v>#REF!</v>
      </c>
      <c r="AE90" s="923" t="str">
        <f t="shared" si="24"/>
        <v>#REF!</v>
      </c>
      <c r="AF90" s="918"/>
    </row>
    <row r="91">
      <c r="A91" s="20"/>
      <c r="B91" s="582"/>
      <c r="C91" s="582"/>
      <c r="D91" s="582"/>
      <c r="E91" s="582"/>
      <c r="F91" s="582"/>
      <c r="G91" s="582"/>
      <c r="H91" s="582"/>
      <c r="I91" s="582"/>
      <c r="J91" s="582"/>
      <c r="K91" s="582"/>
      <c r="L91" s="582"/>
      <c r="M91" s="582"/>
      <c r="N91" s="582"/>
      <c r="O91" s="582"/>
      <c r="P91" s="582"/>
      <c r="Q91" s="582"/>
      <c r="R91" s="70"/>
      <c r="S91" s="582"/>
      <c r="T91" s="582"/>
      <c r="U91" s="582"/>
      <c r="V91" s="582"/>
      <c r="W91" s="582"/>
      <c r="X91" s="582"/>
      <c r="Y91" s="582"/>
      <c r="Z91" s="582"/>
      <c r="AA91" s="582"/>
      <c r="AB91" s="582"/>
      <c r="AC91" s="582"/>
      <c r="AD91" s="582"/>
      <c r="AE91" s="582"/>
      <c r="AF91" s="918"/>
    </row>
    <row r="92">
      <c r="A92" s="934" t="s">
        <v>876</v>
      </c>
      <c r="B92" s="582"/>
      <c r="C92" s="582"/>
      <c r="D92" s="582"/>
      <c r="E92" s="582"/>
      <c r="F92" s="582"/>
      <c r="G92" s="582"/>
      <c r="H92" s="582"/>
      <c r="I92" s="582"/>
      <c r="J92" s="582"/>
      <c r="K92" s="582"/>
      <c r="L92" s="582"/>
      <c r="M92" s="582"/>
      <c r="N92" s="582"/>
      <c r="O92" s="582"/>
      <c r="P92" s="582"/>
      <c r="Q92" s="582"/>
      <c r="R92" s="582"/>
      <c r="S92" s="582"/>
      <c r="T92" s="582"/>
      <c r="U92" s="582"/>
      <c r="V92" s="582"/>
      <c r="W92" s="582"/>
      <c r="X92" s="582"/>
      <c r="Y92" s="582"/>
      <c r="Z92" s="582"/>
      <c r="AA92" s="582"/>
      <c r="AB92" s="582"/>
      <c r="AC92" s="582"/>
      <c r="AD92" s="582"/>
      <c r="AE92" s="582"/>
      <c r="AF92" s="918"/>
    </row>
    <row r="93">
      <c r="A93" s="935" t="s">
        <v>861</v>
      </c>
      <c r="B93" s="936"/>
      <c r="C93" s="936"/>
      <c r="D93" s="936"/>
      <c r="E93" s="936"/>
      <c r="F93" s="936"/>
      <c r="G93" s="936"/>
      <c r="H93" s="936"/>
      <c r="I93" s="936"/>
      <c r="J93" s="936"/>
      <c r="K93" s="936"/>
      <c r="L93" s="936"/>
      <c r="M93" s="936"/>
      <c r="N93" s="936"/>
      <c r="O93" s="936"/>
      <c r="P93" s="936"/>
      <c r="Q93" s="936"/>
      <c r="R93" s="936"/>
      <c r="S93" s="936"/>
      <c r="T93" s="936"/>
      <c r="U93" s="936"/>
      <c r="V93" s="936"/>
      <c r="W93" s="936"/>
      <c r="X93" s="936"/>
      <c r="Y93" s="936"/>
      <c r="Z93" s="936"/>
      <c r="AA93" s="936"/>
      <c r="AB93" s="936"/>
      <c r="AC93" s="936"/>
      <c r="AD93" s="936"/>
      <c r="AE93" s="936"/>
      <c r="AF93" s="918">
        <f>SUM(B93:AE93)</f>
        <v>0</v>
      </c>
    </row>
    <row r="94">
      <c r="A94" s="935" t="s">
        <v>328</v>
      </c>
      <c r="B94" s="936"/>
      <c r="C94" s="936"/>
      <c r="D94" s="936"/>
      <c r="E94" s="936"/>
      <c r="F94" s="936"/>
      <c r="G94" s="936"/>
      <c r="H94" s="936"/>
      <c r="I94" s="936"/>
      <c r="J94" s="936"/>
      <c r="K94" s="936"/>
      <c r="L94" s="936"/>
      <c r="M94" s="936"/>
      <c r="N94" s="936"/>
      <c r="O94" s="936"/>
      <c r="P94" s="936"/>
      <c r="Q94" s="936"/>
      <c r="R94" s="936"/>
      <c r="S94" s="936"/>
      <c r="T94" s="936"/>
      <c r="U94" s="936"/>
      <c r="V94" s="936"/>
      <c r="W94" s="936"/>
      <c r="X94" s="936"/>
      <c r="Y94" s="936"/>
      <c r="Z94" s="936"/>
      <c r="AA94" s="936"/>
      <c r="AB94" s="936"/>
      <c r="AC94" s="936"/>
      <c r="AD94" s="936"/>
      <c r="AE94" s="936"/>
      <c r="AF94" s="918"/>
    </row>
    <row r="95">
      <c r="A95" s="935" t="s">
        <v>863</v>
      </c>
      <c r="B95" s="936"/>
      <c r="C95" s="936"/>
      <c r="D95" s="936"/>
      <c r="E95" s="936"/>
      <c r="F95" s="936"/>
      <c r="G95" s="936"/>
      <c r="H95" s="936"/>
      <c r="I95" s="936"/>
      <c r="J95" s="936"/>
      <c r="K95" s="936"/>
      <c r="L95" s="936"/>
      <c r="M95" s="936"/>
      <c r="N95" s="936"/>
      <c r="O95" s="936"/>
      <c r="P95" s="936"/>
      <c r="Q95" s="936"/>
      <c r="R95" s="936"/>
      <c r="S95" s="936"/>
      <c r="T95" s="936"/>
      <c r="U95" s="936"/>
      <c r="V95" s="936"/>
      <c r="W95" s="936"/>
      <c r="X95" s="936"/>
      <c r="Y95" s="936"/>
      <c r="Z95" s="936"/>
      <c r="AA95" s="936"/>
      <c r="AB95" s="936"/>
      <c r="AC95" s="936"/>
      <c r="AD95" s="936"/>
      <c r="AE95" s="936"/>
      <c r="AF95" s="918"/>
    </row>
    <row r="96">
      <c r="A96" s="937" t="s">
        <v>864</v>
      </c>
      <c r="B96" s="936"/>
      <c r="C96" s="936"/>
      <c r="D96" s="936"/>
      <c r="E96" s="936"/>
      <c r="F96" s="936"/>
      <c r="G96" s="936"/>
      <c r="H96" s="936"/>
      <c r="I96" s="936"/>
      <c r="J96" s="936"/>
      <c r="K96" s="936"/>
      <c r="L96" s="936"/>
      <c r="M96" s="936"/>
      <c r="N96" s="936"/>
      <c r="O96" s="936"/>
      <c r="P96" s="936"/>
      <c r="Q96" s="936"/>
      <c r="R96" s="936"/>
      <c r="S96" s="936"/>
      <c r="T96" s="936"/>
      <c r="U96" s="936"/>
      <c r="V96" s="936"/>
      <c r="W96" s="936"/>
      <c r="X96" s="936"/>
      <c r="Y96" s="936"/>
      <c r="Z96" s="936"/>
      <c r="AA96" s="936"/>
      <c r="AB96" s="936"/>
      <c r="AC96" s="936"/>
      <c r="AD96" s="936"/>
      <c r="AE96" s="936"/>
      <c r="AF96" s="918"/>
    </row>
    <row r="97">
      <c r="A97" s="20"/>
      <c r="B97" s="651"/>
      <c r="C97" s="651"/>
      <c r="D97" s="651"/>
      <c r="E97" s="651"/>
      <c r="F97" s="651"/>
      <c r="G97" s="651"/>
      <c r="H97" s="651"/>
      <c r="I97" s="651"/>
      <c r="J97" s="651"/>
      <c r="K97" s="651"/>
      <c r="L97" s="651"/>
      <c r="M97" s="651"/>
      <c r="N97" s="651"/>
      <c r="O97" s="651"/>
      <c r="P97" s="651"/>
      <c r="Q97" s="651"/>
      <c r="R97" s="651"/>
      <c r="S97" s="651"/>
      <c r="T97" s="651"/>
      <c r="U97" s="651"/>
      <c r="V97" s="651"/>
      <c r="W97" s="651"/>
      <c r="X97" s="651"/>
      <c r="Y97" s="651"/>
      <c r="Z97" s="651"/>
      <c r="AA97" s="651"/>
      <c r="AB97" s="651"/>
      <c r="AC97" s="651"/>
      <c r="AD97" s="651"/>
      <c r="AE97" s="651"/>
      <c r="AF97" s="918"/>
    </row>
    <row r="98">
      <c r="A98" s="930" t="s">
        <v>878</v>
      </c>
      <c r="B98" s="582"/>
      <c r="C98" s="582"/>
      <c r="D98" s="582"/>
      <c r="E98" s="582"/>
      <c r="F98" s="582"/>
      <c r="G98" s="582"/>
      <c r="H98" s="582"/>
      <c r="I98" s="582"/>
      <c r="J98" s="582"/>
      <c r="K98" s="582"/>
      <c r="L98" s="582"/>
      <c r="M98" s="582"/>
      <c r="N98" s="582"/>
      <c r="O98" s="582"/>
      <c r="P98" s="582"/>
      <c r="Q98" s="582"/>
      <c r="R98" s="582"/>
      <c r="S98" s="582"/>
      <c r="T98" s="582"/>
      <c r="U98" s="582"/>
      <c r="V98" s="582"/>
      <c r="W98" s="582"/>
      <c r="X98" s="582"/>
      <c r="Y98" s="582"/>
      <c r="Z98" s="582"/>
      <c r="AA98" s="582"/>
      <c r="AB98" s="582"/>
      <c r="AC98" s="582"/>
      <c r="AD98" s="582"/>
      <c r="AE98" s="582"/>
      <c r="AF98" s="918"/>
    </row>
    <row r="99">
      <c r="A99" s="938" t="s">
        <v>861</v>
      </c>
      <c r="B99" s="936"/>
      <c r="C99" s="936"/>
      <c r="D99" s="936"/>
      <c r="E99" s="936"/>
      <c r="F99" s="936"/>
      <c r="G99" s="936"/>
      <c r="H99" s="936"/>
      <c r="I99" s="936"/>
      <c r="J99" s="936"/>
      <c r="K99" s="936"/>
      <c r="L99" s="936"/>
      <c r="M99" s="936"/>
      <c r="N99" s="936"/>
      <c r="O99" s="936"/>
      <c r="P99" s="936"/>
      <c r="Q99" s="936"/>
      <c r="R99" s="936"/>
      <c r="S99" s="936"/>
      <c r="T99" s="936"/>
      <c r="U99" s="936"/>
      <c r="V99" s="936"/>
      <c r="W99" s="936"/>
      <c r="X99" s="936"/>
      <c r="Y99" s="936"/>
      <c r="Z99" s="936"/>
      <c r="AA99" s="936"/>
      <c r="AB99" s="936"/>
      <c r="AC99" s="936"/>
      <c r="AD99" s="936"/>
      <c r="AE99" s="936"/>
      <c r="AF99" s="918">
        <f>SUM(B99:AE99)</f>
        <v>0</v>
      </c>
    </row>
    <row r="100">
      <c r="A100" s="938" t="s">
        <v>328</v>
      </c>
      <c r="B100" s="939"/>
      <c r="C100" s="939"/>
      <c r="D100" s="939"/>
      <c r="E100" s="939"/>
      <c r="F100" s="939"/>
      <c r="G100" s="939"/>
      <c r="H100" s="939"/>
      <c r="I100" s="939"/>
      <c r="J100" s="939"/>
      <c r="K100" s="939"/>
      <c r="L100" s="939"/>
      <c r="M100" s="939"/>
      <c r="N100" s="939"/>
      <c r="O100" s="939"/>
      <c r="P100" s="939"/>
      <c r="Q100" s="939"/>
      <c r="R100" s="939"/>
      <c r="S100" s="939"/>
      <c r="T100" s="939"/>
      <c r="U100" s="939"/>
      <c r="V100" s="939"/>
      <c r="W100" s="939"/>
      <c r="X100" s="939"/>
      <c r="Y100" s="939"/>
      <c r="Z100" s="939"/>
      <c r="AA100" s="939"/>
      <c r="AB100" s="939"/>
      <c r="AC100" s="939"/>
      <c r="AD100" s="939"/>
      <c r="AE100" s="939"/>
      <c r="AF100" s="918"/>
    </row>
    <row r="101">
      <c r="A101" s="938" t="s">
        <v>863</v>
      </c>
      <c r="B101" s="940"/>
      <c r="C101" s="940"/>
      <c r="D101" s="940"/>
      <c r="E101" s="940"/>
      <c r="F101" s="940"/>
      <c r="G101" s="940"/>
      <c r="H101" s="940"/>
      <c r="I101" s="940"/>
      <c r="J101" s="940"/>
      <c r="K101" s="940"/>
      <c r="L101" s="940"/>
      <c r="M101" s="940"/>
      <c r="N101" s="940"/>
      <c r="O101" s="940"/>
      <c r="P101" s="940"/>
      <c r="Q101" s="940"/>
      <c r="R101" s="940"/>
      <c r="S101" s="940"/>
      <c r="T101" s="940"/>
      <c r="U101" s="940"/>
      <c r="V101" s="940"/>
      <c r="W101" s="940"/>
      <c r="X101" s="940"/>
      <c r="Y101" s="940"/>
      <c r="Z101" s="940"/>
      <c r="AA101" s="940"/>
      <c r="AB101" s="940"/>
      <c r="AC101" s="940"/>
      <c r="AD101" s="940"/>
      <c r="AE101" s="940"/>
      <c r="AF101" s="918"/>
    </row>
    <row r="102">
      <c r="A102" s="78" t="s">
        <v>864</v>
      </c>
      <c r="B102" s="939"/>
      <c r="C102" s="939"/>
      <c r="D102" s="939"/>
      <c r="E102" s="939"/>
      <c r="F102" s="939"/>
      <c r="G102" s="939"/>
      <c r="H102" s="939"/>
      <c r="I102" s="939"/>
      <c r="J102" s="939"/>
      <c r="K102" s="939"/>
      <c r="L102" s="939"/>
      <c r="M102" s="939"/>
      <c r="N102" s="939"/>
      <c r="O102" s="939"/>
      <c r="P102" s="939"/>
      <c r="Q102" s="939"/>
      <c r="R102" s="939"/>
      <c r="S102" s="939"/>
      <c r="T102" s="939"/>
      <c r="U102" s="939"/>
      <c r="V102" s="939"/>
      <c r="W102" s="939"/>
      <c r="X102" s="939"/>
      <c r="Y102" s="939"/>
      <c r="Z102" s="939"/>
      <c r="AA102" s="939"/>
      <c r="AB102" s="939"/>
      <c r="AC102" s="939"/>
      <c r="AD102" s="939"/>
      <c r="AE102" s="939"/>
      <c r="AF102" s="918"/>
    </row>
    <row r="103">
      <c r="A103" s="20"/>
      <c r="B103" s="941"/>
      <c r="C103" s="941"/>
      <c r="D103" s="941"/>
      <c r="E103" s="941"/>
      <c r="F103" s="941"/>
      <c r="G103" s="941"/>
      <c r="H103" s="941"/>
      <c r="I103" s="941"/>
      <c r="J103" s="941"/>
      <c r="K103" s="941"/>
      <c r="L103" s="941"/>
      <c r="M103" s="941"/>
      <c r="N103" s="941"/>
      <c r="O103" s="941"/>
      <c r="P103" s="941"/>
      <c r="Q103" s="941"/>
      <c r="R103" s="941"/>
      <c r="S103" s="941"/>
      <c r="T103" s="941"/>
      <c r="U103" s="941"/>
      <c r="V103" s="941"/>
      <c r="W103" s="941"/>
      <c r="X103" s="941"/>
      <c r="Y103" s="941"/>
      <c r="Z103" s="941"/>
      <c r="AA103" s="941"/>
      <c r="AB103" s="941"/>
      <c r="AC103" s="941"/>
      <c r="AD103" s="941"/>
      <c r="AE103" s="941"/>
      <c r="AF103" s="918"/>
    </row>
    <row r="104">
      <c r="A104" s="942" t="s">
        <v>879</v>
      </c>
      <c r="B104" s="651"/>
      <c r="C104" s="651"/>
      <c r="D104" s="651"/>
      <c r="E104" s="651"/>
      <c r="F104" s="651"/>
      <c r="G104" s="651"/>
      <c r="H104" s="651"/>
      <c r="I104" s="651"/>
      <c r="J104" s="651"/>
      <c r="K104" s="651"/>
      <c r="L104" s="651"/>
      <c r="M104" s="651"/>
      <c r="N104" s="651"/>
      <c r="O104" s="651"/>
      <c r="P104" s="651"/>
      <c r="Q104" s="651"/>
      <c r="R104" s="651"/>
      <c r="S104" s="651"/>
      <c r="T104" s="651"/>
      <c r="U104" s="651"/>
      <c r="V104" s="651"/>
      <c r="W104" s="651"/>
      <c r="X104" s="651"/>
      <c r="Y104" s="651"/>
      <c r="Z104" s="651"/>
      <c r="AA104" s="651"/>
      <c r="AB104" s="651"/>
      <c r="AC104" s="651"/>
      <c r="AD104" s="651"/>
      <c r="AE104" s="651"/>
      <c r="AF104" s="918"/>
    </row>
    <row r="105">
      <c r="A105" s="925" t="s">
        <v>861</v>
      </c>
      <c r="B105" s="936"/>
      <c r="C105" s="936"/>
      <c r="D105" s="936"/>
      <c r="E105" s="936"/>
      <c r="F105" s="936"/>
      <c r="G105" s="936"/>
      <c r="H105" s="936"/>
      <c r="I105" s="936"/>
      <c r="J105" s="936"/>
      <c r="K105" s="936"/>
      <c r="L105" s="936"/>
      <c r="M105" s="936"/>
      <c r="N105" s="936"/>
      <c r="O105" s="936"/>
      <c r="P105" s="936"/>
      <c r="Q105" s="936"/>
      <c r="R105" s="936"/>
      <c r="S105" s="936"/>
      <c r="T105" s="936"/>
      <c r="U105" s="936"/>
      <c r="V105" s="936"/>
      <c r="W105" s="936"/>
      <c r="X105" s="936"/>
      <c r="Y105" s="936"/>
      <c r="Z105" s="936"/>
      <c r="AA105" s="936"/>
      <c r="AB105" s="936"/>
      <c r="AC105" s="936"/>
      <c r="AD105" s="936"/>
      <c r="AE105" s="936"/>
      <c r="AF105" s="918">
        <f>SUM(B105:AE105)</f>
        <v>0</v>
      </c>
    </row>
    <row r="106">
      <c r="A106" s="925" t="s">
        <v>328</v>
      </c>
      <c r="B106" s="939"/>
      <c r="C106" s="939"/>
      <c r="D106" s="939"/>
      <c r="E106" s="939"/>
      <c r="F106" s="939"/>
      <c r="G106" s="939"/>
      <c r="H106" s="939"/>
      <c r="I106" s="939"/>
      <c r="J106" s="939"/>
      <c r="K106" s="939"/>
      <c r="L106" s="939"/>
      <c r="M106" s="939"/>
      <c r="N106" s="939"/>
      <c r="O106" s="939"/>
      <c r="P106" s="939"/>
      <c r="Q106" s="939"/>
      <c r="R106" s="939"/>
      <c r="S106" s="939"/>
      <c r="T106" s="939"/>
      <c r="U106" s="939"/>
      <c r="V106" s="939"/>
      <c r="W106" s="939"/>
      <c r="X106" s="939"/>
      <c r="Y106" s="939"/>
      <c r="Z106" s="939"/>
      <c r="AA106" s="939"/>
      <c r="AB106" s="939"/>
      <c r="AC106" s="939"/>
      <c r="AD106" s="939"/>
      <c r="AE106" s="939"/>
      <c r="AF106" s="918"/>
    </row>
    <row r="107">
      <c r="A107" s="925" t="s">
        <v>863</v>
      </c>
      <c r="B107" s="940"/>
      <c r="C107" s="940"/>
      <c r="D107" s="940"/>
      <c r="E107" s="940"/>
      <c r="F107" s="940"/>
      <c r="G107" s="940"/>
      <c r="H107" s="940"/>
      <c r="I107" s="940"/>
      <c r="J107" s="940"/>
      <c r="K107" s="940"/>
      <c r="L107" s="940"/>
      <c r="M107" s="940"/>
      <c r="N107" s="940"/>
      <c r="O107" s="940"/>
      <c r="P107" s="940"/>
      <c r="Q107" s="940"/>
      <c r="R107" s="940"/>
      <c r="S107" s="940"/>
      <c r="T107" s="940"/>
      <c r="U107" s="940"/>
      <c r="V107" s="940"/>
      <c r="W107" s="940"/>
      <c r="X107" s="940"/>
      <c r="Y107" s="940"/>
      <c r="Z107" s="940"/>
      <c r="AA107" s="940"/>
      <c r="AB107" s="940"/>
      <c r="AC107" s="940"/>
      <c r="AD107" s="940"/>
      <c r="AE107" s="940"/>
      <c r="AF107" s="918"/>
    </row>
    <row r="108">
      <c r="A108" s="926" t="s">
        <v>864</v>
      </c>
      <c r="B108" s="939"/>
      <c r="C108" s="939"/>
      <c r="D108" s="939"/>
      <c r="E108" s="939"/>
      <c r="F108" s="939"/>
      <c r="G108" s="939"/>
      <c r="H108" s="939"/>
      <c r="I108" s="939"/>
      <c r="J108" s="939"/>
      <c r="K108" s="939"/>
      <c r="L108" s="939"/>
      <c r="M108" s="939"/>
      <c r="N108" s="939"/>
      <c r="O108" s="939"/>
      <c r="P108" s="939"/>
      <c r="Q108" s="939"/>
      <c r="R108" s="939"/>
      <c r="S108" s="939"/>
      <c r="T108" s="939"/>
      <c r="U108" s="939"/>
      <c r="V108" s="939"/>
      <c r="W108" s="939"/>
      <c r="X108" s="939"/>
      <c r="Y108" s="939"/>
      <c r="Z108" s="939"/>
      <c r="AA108" s="939"/>
      <c r="AB108" s="939"/>
      <c r="AC108" s="939"/>
      <c r="AD108" s="939"/>
      <c r="AE108" s="939"/>
      <c r="AF108" s="918"/>
    </row>
    <row r="109">
      <c r="A109" s="945"/>
      <c r="B109" s="651"/>
      <c r="C109" s="651"/>
      <c r="D109" s="651"/>
      <c r="E109" s="651"/>
      <c r="F109" s="651"/>
      <c r="G109" s="651"/>
      <c r="H109" s="651"/>
      <c r="I109" s="651"/>
      <c r="J109" s="651"/>
      <c r="K109" s="651"/>
      <c r="L109" s="651"/>
      <c r="M109" s="651"/>
      <c r="N109" s="651"/>
      <c r="O109" s="651"/>
      <c r="P109" s="651"/>
      <c r="Q109" s="651"/>
      <c r="R109" s="651"/>
      <c r="S109" s="651"/>
      <c r="T109" s="651"/>
      <c r="U109" s="651"/>
      <c r="V109" s="651"/>
      <c r="W109" s="651"/>
      <c r="X109" s="651"/>
      <c r="Y109" s="651"/>
      <c r="Z109" s="651"/>
      <c r="AA109" s="651"/>
      <c r="AB109" s="651"/>
      <c r="AC109" s="651"/>
      <c r="AD109" s="651"/>
      <c r="AE109" s="651"/>
      <c r="AF109" s="918"/>
    </row>
    <row r="110">
      <c r="A110" s="945"/>
      <c r="B110" s="651"/>
      <c r="C110" s="651"/>
      <c r="D110" s="651"/>
      <c r="E110" s="651"/>
      <c r="F110" s="651"/>
      <c r="G110" s="651"/>
      <c r="H110" s="651"/>
      <c r="I110" s="651"/>
      <c r="J110" s="651"/>
      <c r="K110" s="651"/>
      <c r="L110" s="651"/>
      <c r="M110" s="651"/>
      <c r="N110" s="651"/>
      <c r="O110" s="651"/>
      <c r="P110" s="651"/>
      <c r="Q110" s="651"/>
      <c r="R110" s="651"/>
      <c r="S110" s="651"/>
      <c r="T110" s="651"/>
      <c r="U110" s="651"/>
      <c r="V110" s="651"/>
      <c r="W110" s="651"/>
      <c r="X110" s="651"/>
      <c r="Y110" s="651"/>
      <c r="Z110" s="651"/>
      <c r="AA110" s="651"/>
      <c r="AB110" s="651"/>
      <c r="AC110" s="651"/>
      <c r="AD110" s="651"/>
      <c r="AE110" s="651"/>
      <c r="AF110" s="918"/>
    </row>
    <row r="111">
      <c r="A111" s="946" t="s">
        <v>881</v>
      </c>
      <c r="B111" s="651"/>
      <c r="C111" s="651"/>
      <c r="D111" s="651"/>
      <c r="E111" s="651"/>
      <c r="F111" s="651"/>
      <c r="G111" s="651"/>
      <c r="H111" s="651"/>
      <c r="I111" s="651"/>
      <c r="J111" s="651"/>
      <c r="K111" s="651"/>
      <c r="L111" s="651"/>
      <c r="M111" s="651"/>
      <c r="N111" s="651"/>
      <c r="O111" s="651"/>
      <c r="P111" s="651"/>
      <c r="Q111" s="651"/>
      <c r="R111" s="651"/>
      <c r="S111" s="651"/>
      <c r="T111" s="651"/>
      <c r="U111" s="651"/>
      <c r="V111" s="651"/>
      <c r="W111" s="651"/>
      <c r="X111" s="651"/>
      <c r="Y111" s="651"/>
      <c r="Z111" s="651"/>
      <c r="AA111" s="651"/>
      <c r="AB111" s="651"/>
      <c r="AC111" s="651"/>
      <c r="AD111" s="651"/>
      <c r="AE111" s="651"/>
      <c r="AF111" s="918"/>
    </row>
    <row r="112">
      <c r="A112" s="924" t="s">
        <v>861</v>
      </c>
      <c r="B112" s="70">
        <f>B26-(B13*'OLD  Formulas'!$I$15)</f>
        <v>-114.4732482</v>
      </c>
      <c r="C112" s="70">
        <f>C26-(C13*'OLD  Formulas'!$I$15)</f>
        <v>48.18675176</v>
      </c>
      <c r="D112" s="70">
        <f>D26-(D13*'OLD  Formulas'!$I$15)</f>
        <v>179.3867518</v>
      </c>
      <c r="E112" s="70">
        <f>E26-(E13*'OLD  Formulas'!$I$15)</f>
        <v>7.703503521</v>
      </c>
      <c r="F112" s="70">
        <f>F26-(F13*'OLD  Formulas'!$I$15)</f>
        <v>466.6135035</v>
      </c>
      <c r="G112" s="70">
        <f>G26-(G13*'OLD  Formulas'!$I$15)</f>
        <v>-115.7932482</v>
      </c>
      <c r="H112" s="70">
        <f>H26-(H13*'OLD  Formulas'!$I$15)</f>
        <v>0</v>
      </c>
      <c r="I112" s="70">
        <f>I26-(I13*'OLD  Formulas'!$I$15)</f>
        <v>-7.486496479</v>
      </c>
      <c r="J112" s="70">
        <f>J26-(J13*'OLD  Formulas'!$I$15)</f>
        <v>0</v>
      </c>
      <c r="K112" s="70">
        <f>K26-(K13*'OLD  Formulas'!$I$15)</f>
        <v>81.12675176</v>
      </c>
      <c r="L112" s="70">
        <f>L26-(L13*'OLD  Formulas'!$I$15)</f>
        <v>-19.12649648</v>
      </c>
      <c r="M112" s="70">
        <f>M26-(M13*'OLD  Formulas'!$I$15)</f>
        <v>0</v>
      </c>
      <c r="N112" s="70">
        <f>N26-(N13*'OLD  Formulas'!$I$15)</f>
        <v>0</v>
      </c>
      <c r="O112" s="70">
        <f>O26-(O13*'OLD  Formulas'!$I$15)</f>
        <v>0</v>
      </c>
      <c r="P112" s="70">
        <f>P26-(P13*'OLD  Formulas'!$I$15)</f>
        <v>0</v>
      </c>
      <c r="Q112" s="70">
        <f>Q26-(Q13*'OLD  Formulas'!$I$15)</f>
        <v>0</v>
      </c>
      <c r="R112" s="70">
        <f>R26-(R13*'OLD  Formulas'!$I$15)</f>
        <v>0</v>
      </c>
      <c r="S112" s="70">
        <f>S26-(S13*'OLD  Formulas'!$I$15)</f>
        <v>-7886.294824</v>
      </c>
      <c r="T112" s="70">
        <f>T26-(T13*'OLD  Formulas'!$I$15)</f>
        <v>-8011.992597</v>
      </c>
      <c r="U112" s="70">
        <f>U26-(U13*'OLD  Formulas'!$I$15)</f>
        <v>-1910.694454</v>
      </c>
      <c r="V112" s="70">
        <f>V26-(V13*'OLD  Formulas'!$I$15)</f>
        <v>-1400.441206</v>
      </c>
      <c r="W112" s="70">
        <f>W26-(W13*'OLD  Formulas'!$I$15)</f>
        <v>-888.828213</v>
      </c>
      <c r="X112" s="70">
        <f>X26-(X13*'OLD  Formulas'!$I$15)</f>
        <v>-1862.191717</v>
      </c>
      <c r="Y112" s="70">
        <f>Y26-(Y13*'OLD  Formulas'!$I$15)</f>
        <v>-1186.022227</v>
      </c>
      <c r="Z112" s="70">
        <f>Z26-(Z13*'OLD  Formulas'!$I$15)</f>
        <v>-436.7059859</v>
      </c>
      <c r="AA112" s="70">
        <f>AA26-(AA13*'OLD  Formulas'!$I$15)</f>
        <v>-301.6427377</v>
      </c>
      <c r="AB112" s="70">
        <f>AB26-(AB13*'OLD  Formulas'!$I$15)</f>
        <v>4010.722553</v>
      </c>
      <c r="AC112" s="70">
        <f>AC26-(AC13*'OLD  Formulas'!$I$15)</f>
        <v>963.6047799</v>
      </c>
      <c r="AD112" s="70">
        <f>AD26-(AD13*'OLD  Formulas'!$I$15)</f>
        <v>1074.227518</v>
      </c>
      <c r="AE112" s="70">
        <f>AE26-(AE13*'OLD  Formulas'!$I$15)</f>
        <v>422.227007</v>
      </c>
      <c r="AF112" s="918">
        <f>SUM(B112:AE112)</f>
        <v>-16887.89433</v>
      </c>
    </row>
    <row r="113">
      <c r="A113" s="924" t="s">
        <v>328</v>
      </c>
      <c r="B113" s="939"/>
      <c r="C113" s="939"/>
      <c r="D113" s="939"/>
      <c r="E113" s="939"/>
      <c r="F113" s="939"/>
      <c r="G113" s="939"/>
      <c r="H113" s="939"/>
      <c r="I113" s="939"/>
      <c r="J113" s="939"/>
      <c r="K113" s="939"/>
      <c r="L113" s="939"/>
      <c r="M113" s="939"/>
      <c r="N113" s="939"/>
      <c r="O113" s="939"/>
      <c r="P113" s="939"/>
      <c r="Q113" s="939"/>
      <c r="R113" s="939"/>
      <c r="S113" s="939"/>
      <c r="T113" s="939"/>
      <c r="U113" s="939"/>
      <c r="V113" s="939"/>
      <c r="W113" s="939"/>
      <c r="X113" s="939"/>
      <c r="Y113" s="939"/>
      <c r="Z113" s="939"/>
      <c r="AA113" s="939"/>
      <c r="AB113" s="939"/>
      <c r="AC113" s="939"/>
      <c r="AD113" s="939"/>
      <c r="AE113" s="939"/>
      <c r="AF113" s="918"/>
    </row>
    <row r="114">
      <c r="A114" s="924" t="s">
        <v>863</v>
      </c>
      <c r="B114" s="940"/>
      <c r="C114" s="940"/>
      <c r="D114" s="940"/>
      <c r="E114" s="940"/>
      <c r="F114" s="940"/>
      <c r="G114" s="940"/>
      <c r="H114" s="940"/>
      <c r="I114" s="940"/>
      <c r="J114" s="940"/>
      <c r="K114" s="940"/>
      <c r="L114" s="940"/>
      <c r="M114" s="940"/>
      <c r="N114" s="940"/>
      <c r="O114" s="940"/>
      <c r="P114" s="940"/>
      <c r="Q114" s="940"/>
      <c r="R114" s="940"/>
      <c r="S114" s="940"/>
      <c r="T114" s="940"/>
      <c r="U114" s="940"/>
      <c r="V114" s="940"/>
      <c r="W114" s="940"/>
      <c r="X114" s="940"/>
      <c r="Y114" s="940"/>
      <c r="Z114" s="940"/>
      <c r="AA114" s="940"/>
      <c r="AB114" s="940"/>
      <c r="AC114" s="940"/>
      <c r="AD114" s="940"/>
      <c r="AE114" s="940"/>
      <c r="AF114" s="918"/>
    </row>
    <row r="115">
      <c r="A115" s="949" t="s">
        <v>864</v>
      </c>
      <c r="B115" s="950">
        <f>B26/('OLD  Formulas'!$I$15*B13)</f>
        <v>0.2160077964</v>
      </c>
      <c r="C115" s="950">
        <f>C26/('OLD  Formulas'!$I$15*C13)</f>
        <v>1.330016299</v>
      </c>
      <c r="D115" s="950">
        <f>D26/('OLD  Formulas'!$I$15*D13)</f>
        <v>2.2285649</v>
      </c>
      <c r="E115" s="950">
        <f>E26/('OLD  Formulas'!$I$15*E13)</f>
        <v>1.026379468</v>
      </c>
      <c r="F115" s="950">
        <f>F26/('OLD  Formulas'!$I$15*F13)</f>
        <v>2.59784646</v>
      </c>
      <c r="G115" s="950">
        <f>G26/('OLD  Formulas'!$I$15*G13)</f>
        <v>0.2069675209</v>
      </c>
      <c r="H115" s="950" t="str">
        <f>H26/('OLD  Formulas'!$I$15*H13)</f>
        <v>#DIV/0!</v>
      </c>
      <c r="I115" s="950">
        <f>I26/('OLD  Formulas'!$I$15*I13)</f>
        <v>0.9743636397</v>
      </c>
      <c r="J115" s="950" t="str">
        <f>J26/('OLD  Formulas'!$I$15*J13)</f>
        <v>#DIV/0!</v>
      </c>
      <c r="K115" s="950">
        <f>K26/('OLD  Formulas'!$I$15*K13)</f>
        <v>1.555612266</v>
      </c>
      <c r="L115" s="950">
        <f>L26/('OLD  Formulas'!$I$15*L13)</f>
        <v>0.9345042429</v>
      </c>
      <c r="M115" s="950" t="str">
        <f>M26/('OLD  Formulas'!$I$15*M13)</f>
        <v>#DIV/0!</v>
      </c>
      <c r="N115" s="950" t="str">
        <f>N26/('OLD  Formulas'!$I$15*N13)</f>
        <v>#DIV/0!</v>
      </c>
      <c r="O115" s="950" t="str">
        <f>O26/('OLD  Formulas'!$I$15*O13)</f>
        <v>#DIV/0!</v>
      </c>
      <c r="P115" s="950" t="str">
        <f>P26/('OLD  Formulas'!$I$15*P13)</f>
        <v>#DIV/0!</v>
      </c>
      <c r="Q115" s="950" t="str">
        <f>Q26/('OLD  Formulas'!$I$15*Q13)</f>
        <v>#DIV/0!</v>
      </c>
      <c r="R115" s="950" t="str">
        <f>R26/('OLD  Formulas'!$I$15*R13)</f>
        <v>#DIV/0!</v>
      </c>
      <c r="S115" s="950">
        <f>S26/('OLD  Formulas'!$I$15*S13)</f>
        <v>0.4598918304</v>
      </c>
      <c r="T115" s="950">
        <f>T26/('OLD  Formulas'!$I$15*T13)</f>
        <v>0.3692910059</v>
      </c>
      <c r="U115" s="950">
        <f>U26/('OLD  Formulas'!$I$15*U13)</f>
        <v>0.496701504</v>
      </c>
      <c r="V115" s="950">
        <f>V26/('OLD  Formulas'!$I$15*V13)</f>
        <v>0.6163522905</v>
      </c>
      <c r="W115" s="950">
        <f>W26/('OLD  Formulas'!$I$15*W13)</f>
        <v>0.7101279952</v>
      </c>
      <c r="X115" s="950">
        <f>X26/('OLD  Formulas'!$I$15*X13)</f>
        <v>0.3287589207</v>
      </c>
      <c r="Y115" s="950">
        <f>Y26/('OLD  Formulas'!$I$15*Y13)</f>
        <v>0.3751767041</v>
      </c>
      <c r="Z115" s="950">
        <f>Z26/('OLD  Formulas'!$I$15*Z13)</f>
        <v>0.6261418132</v>
      </c>
      <c r="AA115" s="950">
        <f>AA26/('OLD  Formulas'!$I$15*AA13)</f>
        <v>0.7048773301</v>
      </c>
      <c r="AB115" s="950">
        <f>AB26/('OLD  Formulas'!$I$15*AB13)</f>
        <v>1.915606997</v>
      </c>
      <c r="AC115" s="950">
        <f>AC26/('OLD  Formulas'!$I$15*AC13)</f>
        <v>1.388201994</v>
      </c>
      <c r="AD115" s="950">
        <f>AD26/('OLD  Formulas'!$I$15*AD13)</f>
        <v>1.735705513</v>
      </c>
      <c r="AE115" s="950">
        <f>AE26/('OLD  Formulas'!$I$15*AE13)</f>
        <v>1.722925851</v>
      </c>
      <c r="AF115" s="918"/>
    </row>
    <row r="116">
      <c r="A116" s="945"/>
      <c r="B116" s="651"/>
      <c r="C116" s="651"/>
      <c r="D116" s="651"/>
      <c r="E116" s="651"/>
      <c r="F116" s="651"/>
      <c r="G116" s="651"/>
      <c r="H116" s="651"/>
      <c r="I116" s="651"/>
      <c r="J116" s="651"/>
      <c r="K116" s="651"/>
      <c r="L116" s="651"/>
      <c r="M116" s="651"/>
      <c r="N116" s="651"/>
      <c r="O116" s="651"/>
      <c r="P116" s="651"/>
      <c r="Q116" s="651"/>
      <c r="R116" s="651"/>
      <c r="S116" s="651"/>
      <c r="T116" s="651"/>
      <c r="U116" s="651"/>
      <c r="V116" s="651"/>
      <c r="W116" s="651"/>
      <c r="X116" s="651"/>
      <c r="Y116" s="651"/>
      <c r="Z116" s="651"/>
      <c r="AA116" s="651"/>
      <c r="AB116" s="651"/>
      <c r="AC116" s="651"/>
      <c r="AD116" s="651"/>
      <c r="AE116" s="651"/>
      <c r="AF116" s="962"/>
    </row>
    <row r="117">
      <c r="A117" s="964" t="s">
        <v>883</v>
      </c>
      <c r="B117" s="651"/>
      <c r="C117" s="651"/>
      <c r="D117" s="651"/>
      <c r="E117" s="651"/>
      <c r="F117" s="651"/>
      <c r="G117" s="651"/>
      <c r="H117" s="651"/>
      <c r="I117" s="651"/>
      <c r="J117" s="651"/>
      <c r="K117" s="651"/>
      <c r="L117" s="651"/>
      <c r="M117" s="651"/>
      <c r="N117" s="651"/>
      <c r="O117" s="651"/>
      <c r="P117" s="651"/>
      <c r="Q117" s="651"/>
      <c r="R117" s="651"/>
      <c r="S117" s="651"/>
      <c r="T117" s="651"/>
      <c r="U117" s="651"/>
      <c r="V117" s="651"/>
      <c r="W117" s="651"/>
      <c r="X117" s="651"/>
      <c r="Y117" s="651"/>
      <c r="Z117" s="651"/>
      <c r="AA117" s="651"/>
      <c r="AB117" s="651"/>
      <c r="AC117" s="651"/>
      <c r="AD117" s="651"/>
      <c r="AE117" s="651"/>
      <c r="AF117" s="962"/>
    </row>
    <row r="118">
      <c r="A118" s="966" t="s">
        <v>861</v>
      </c>
      <c r="B118" s="651">
        <f>B27-(B14*'OLD  Formulas'!$A$43)-B43</f>
        <v>0</v>
      </c>
      <c r="C118" s="651">
        <f>C27-(C14*'OLD  Formulas'!$A$43)-C43</f>
        <v>0</v>
      </c>
      <c r="D118" s="651">
        <f>D27-(D14*'OLD  Formulas'!$A$43)-D43</f>
        <v>0</v>
      </c>
      <c r="E118" s="651">
        <f>E27-(E14*'OLD  Formulas'!$A$43)-E43</f>
        <v>0</v>
      </c>
      <c r="F118" s="651">
        <f>F27-(F14*'OLD  Formulas'!$A$43)-F43</f>
        <v>0</v>
      </c>
      <c r="G118" s="651">
        <f>G27-(G14*'OLD  Formulas'!$A$43)-G43</f>
        <v>0</v>
      </c>
      <c r="H118" s="651">
        <f>H27-(H14*'OLD  Formulas'!$A$43)-H43</f>
        <v>0</v>
      </c>
      <c r="I118" s="651">
        <f>I27-(I14*'OLD  Formulas'!$A$43)-I43</f>
        <v>0</v>
      </c>
      <c r="J118" s="651">
        <f>J27-(J14*'OLD  Formulas'!$A$43)-J43</f>
        <v>0</v>
      </c>
      <c r="K118" s="651">
        <f>K27-(K14*'OLD  Formulas'!$A$43)-K43</f>
        <v>0</v>
      </c>
      <c r="L118" s="651">
        <f>L27-(L14*'OLD  Formulas'!$A$43)-L43</f>
        <v>0</v>
      </c>
      <c r="M118" s="651">
        <f>M27-(M14*'OLD  Formulas'!$A$43)-M43</f>
        <v>0</v>
      </c>
      <c r="N118" s="651">
        <f>N27-(N14*'OLD  Formulas'!$A$43)-N43</f>
        <v>0</v>
      </c>
      <c r="O118" s="651">
        <f>O27-(O14*'OLD  Formulas'!$A$43)-O43</f>
        <v>0</v>
      </c>
      <c r="P118" s="651">
        <f>P27-(P14*'OLD  Formulas'!$A$43)-P43</f>
        <v>0</v>
      </c>
      <c r="Q118" s="651">
        <f>Q27-(Q14*'OLD  Formulas'!$A$43)-Q43</f>
        <v>0</v>
      </c>
      <c r="R118" s="651">
        <f>R27-(R14*'OLD  Formulas'!$A$43)-R43</f>
        <v>0</v>
      </c>
      <c r="S118" s="651">
        <f>S27-(S14*'OLD  Formulas'!$A$43)-S43</f>
        <v>0</v>
      </c>
      <c r="T118" s="651">
        <f>T27-(T14*'OLD  Formulas'!$A$43)-T43</f>
        <v>0</v>
      </c>
      <c r="U118" s="651">
        <f>U27-(U14*'OLD  Formulas'!$A$43)-U43</f>
        <v>0</v>
      </c>
      <c r="V118" s="651">
        <f>V27-(V14*'OLD  Formulas'!$A$43)-V43</f>
        <v>0</v>
      </c>
      <c r="W118" s="651">
        <f>W27-(W14*'OLD  Formulas'!$A$43)-W43</f>
        <v>0</v>
      </c>
      <c r="X118" s="651">
        <f>X27-(X14*'OLD  Formulas'!$A$43)-X43</f>
        <v>0</v>
      </c>
      <c r="Y118" s="651">
        <f>Y27-(Y14*'OLD  Formulas'!$A$43)-Y43</f>
        <v>0</v>
      </c>
      <c r="Z118" s="651">
        <f>Z27-(Z14*'OLD  Formulas'!$A$43)-Z43</f>
        <v>0</v>
      </c>
      <c r="AA118" s="651">
        <f>AA27-(AA14*'OLD  Formulas'!$A$43)-AA43</f>
        <v>0</v>
      </c>
      <c r="AB118" s="651">
        <f>AB27-(AB14*'OLD  Formulas'!$A$43)-AB43</f>
        <v>0</v>
      </c>
      <c r="AC118" s="651">
        <f>AC27-(AC14*'OLD  Formulas'!$A$43)-AC43</f>
        <v>0</v>
      </c>
      <c r="AD118" s="651">
        <f>AD27-(AD14*'OLD  Formulas'!$A$43)-AD43</f>
        <v>0</v>
      </c>
      <c r="AE118" s="651">
        <f>AE27-(AE14*'OLD  Formulas'!$A$43)-AE43</f>
        <v>0</v>
      </c>
      <c r="AF118" s="962"/>
    </row>
    <row r="119">
      <c r="A119" s="966" t="s">
        <v>328</v>
      </c>
      <c r="B119" s="651" t="str">
        <f t="shared" ref="B119:AE119" si="25">B27/B43</f>
        <v>#DIV/0!</v>
      </c>
      <c r="C119" s="651" t="str">
        <f t="shared" si="25"/>
        <v>#DIV/0!</v>
      </c>
      <c r="D119" s="651" t="str">
        <f t="shared" si="25"/>
        <v>#DIV/0!</v>
      </c>
      <c r="E119" s="651" t="str">
        <f t="shared" si="25"/>
        <v>#DIV/0!</v>
      </c>
      <c r="F119" s="651" t="str">
        <f t="shared" si="25"/>
        <v>#DIV/0!</v>
      </c>
      <c r="G119" s="651" t="str">
        <f t="shared" si="25"/>
        <v>#DIV/0!</v>
      </c>
      <c r="H119" s="651" t="str">
        <f t="shared" si="25"/>
        <v>#DIV/0!</v>
      </c>
      <c r="I119" s="651" t="str">
        <f t="shared" si="25"/>
        <v>#DIV/0!</v>
      </c>
      <c r="J119" s="651" t="str">
        <f t="shared" si="25"/>
        <v>#DIV/0!</v>
      </c>
      <c r="K119" s="651" t="str">
        <f t="shared" si="25"/>
        <v>#DIV/0!</v>
      </c>
      <c r="L119" s="651" t="str">
        <f t="shared" si="25"/>
        <v>#DIV/0!</v>
      </c>
      <c r="M119" s="651" t="str">
        <f t="shared" si="25"/>
        <v>#DIV/0!</v>
      </c>
      <c r="N119" s="651" t="str">
        <f t="shared" si="25"/>
        <v>#DIV/0!</v>
      </c>
      <c r="O119" s="651" t="str">
        <f t="shared" si="25"/>
        <v>#DIV/0!</v>
      </c>
      <c r="P119" s="651" t="str">
        <f t="shared" si="25"/>
        <v>#DIV/0!</v>
      </c>
      <c r="Q119" s="651" t="str">
        <f t="shared" si="25"/>
        <v>#DIV/0!</v>
      </c>
      <c r="R119" s="651" t="str">
        <f t="shared" si="25"/>
        <v>#DIV/0!</v>
      </c>
      <c r="S119" s="651" t="str">
        <f t="shared" si="25"/>
        <v>#DIV/0!</v>
      </c>
      <c r="T119" s="651" t="str">
        <f t="shared" si="25"/>
        <v>#DIV/0!</v>
      </c>
      <c r="U119" s="651" t="str">
        <f t="shared" si="25"/>
        <v>#DIV/0!</v>
      </c>
      <c r="V119" s="651" t="str">
        <f t="shared" si="25"/>
        <v>#DIV/0!</v>
      </c>
      <c r="W119" s="651" t="str">
        <f t="shared" si="25"/>
        <v>#DIV/0!</v>
      </c>
      <c r="X119" s="651" t="str">
        <f t="shared" si="25"/>
        <v>#DIV/0!</v>
      </c>
      <c r="Y119" s="651" t="str">
        <f t="shared" si="25"/>
        <v>#DIV/0!</v>
      </c>
      <c r="Z119" s="651" t="str">
        <f t="shared" si="25"/>
        <v>#DIV/0!</v>
      </c>
      <c r="AA119" s="651" t="str">
        <f t="shared" si="25"/>
        <v>#DIV/0!</v>
      </c>
      <c r="AB119" s="651" t="str">
        <f t="shared" si="25"/>
        <v>#DIV/0!</v>
      </c>
      <c r="AC119" s="651" t="str">
        <f t="shared" si="25"/>
        <v>#DIV/0!</v>
      </c>
      <c r="AD119" s="651" t="str">
        <f t="shared" si="25"/>
        <v>#DIV/0!</v>
      </c>
      <c r="AE119" s="651" t="str">
        <f t="shared" si="25"/>
        <v>#DIV/0!</v>
      </c>
      <c r="AF119" s="962"/>
    </row>
    <row r="120">
      <c r="A120" s="966" t="s">
        <v>863</v>
      </c>
      <c r="B120" s="651" t="str">
        <f t="shared" ref="B120:AE120" si="26">B43/B14</f>
        <v>#DIV/0!</v>
      </c>
      <c r="C120" s="651" t="str">
        <f t="shared" si="26"/>
        <v>#DIV/0!</v>
      </c>
      <c r="D120" s="651" t="str">
        <f t="shared" si="26"/>
        <v>#DIV/0!</v>
      </c>
      <c r="E120" s="651" t="str">
        <f t="shared" si="26"/>
        <v>#DIV/0!</v>
      </c>
      <c r="F120" s="651" t="str">
        <f t="shared" si="26"/>
        <v>#DIV/0!</v>
      </c>
      <c r="G120" s="651" t="str">
        <f t="shared" si="26"/>
        <v>#DIV/0!</v>
      </c>
      <c r="H120" s="651" t="str">
        <f t="shared" si="26"/>
        <v>#DIV/0!</v>
      </c>
      <c r="I120" s="651" t="str">
        <f t="shared" si="26"/>
        <v>#DIV/0!</v>
      </c>
      <c r="J120" s="651" t="str">
        <f t="shared" si="26"/>
        <v>#DIV/0!</v>
      </c>
      <c r="K120" s="651" t="str">
        <f t="shared" si="26"/>
        <v>#DIV/0!</v>
      </c>
      <c r="L120" s="651" t="str">
        <f t="shared" si="26"/>
        <v>#DIV/0!</v>
      </c>
      <c r="M120" s="651" t="str">
        <f t="shared" si="26"/>
        <v>#DIV/0!</v>
      </c>
      <c r="N120" s="651" t="str">
        <f t="shared" si="26"/>
        <v>#DIV/0!</v>
      </c>
      <c r="O120" s="651" t="str">
        <f t="shared" si="26"/>
        <v>#DIV/0!</v>
      </c>
      <c r="P120" s="651" t="str">
        <f t="shared" si="26"/>
        <v>#DIV/0!</v>
      </c>
      <c r="Q120" s="651" t="str">
        <f t="shared" si="26"/>
        <v>#DIV/0!</v>
      </c>
      <c r="R120" s="651" t="str">
        <f t="shared" si="26"/>
        <v>#DIV/0!</v>
      </c>
      <c r="S120" s="651" t="str">
        <f t="shared" si="26"/>
        <v>#DIV/0!</v>
      </c>
      <c r="T120" s="651" t="str">
        <f t="shared" si="26"/>
        <v>#DIV/0!</v>
      </c>
      <c r="U120" s="651" t="str">
        <f t="shared" si="26"/>
        <v>#DIV/0!</v>
      </c>
      <c r="V120" s="651" t="str">
        <f t="shared" si="26"/>
        <v>#DIV/0!</v>
      </c>
      <c r="W120" s="651" t="str">
        <f t="shared" si="26"/>
        <v>#DIV/0!</v>
      </c>
      <c r="X120" s="651" t="str">
        <f t="shared" si="26"/>
        <v>#DIV/0!</v>
      </c>
      <c r="Y120" s="651" t="str">
        <f t="shared" si="26"/>
        <v>#DIV/0!</v>
      </c>
      <c r="Z120" s="651" t="str">
        <f t="shared" si="26"/>
        <v>#DIV/0!</v>
      </c>
      <c r="AA120" s="651" t="str">
        <f t="shared" si="26"/>
        <v>#DIV/0!</v>
      </c>
      <c r="AB120" s="651" t="str">
        <f t="shared" si="26"/>
        <v>#DIV/0!</v>
      </c>
      <c r="AC120" s="651" t="str">
        <f t="shared" si="26"/>
        <v>#DIV/0!</v>
      </c>
      <c r="AD120" s="651" t="str">
        <f t="shared" si="26"/>
        <v>#DIV/0!</v>
      </c>
      <c r="AE120" s="651" t="str">
        <f t="shared" si="26"/>
        <v>#DIV/0!</v>
      </c>
      <c r="AF120" s="962"/>
    </row>
    <row r="121">
      <c r="A121" s="970" t="s">
        <v>864</v>
      </c>
      <c r="B121" s="651" t="str">
        <f>B27/('OLD  Formulas'!$A$43*B14+B43+B44)</f>
        <v>#DIV/0!</v>
      </c>
      <c r="C121" s="651" t="str">
        <f>C27/('OLD  Formulas'!$A$43*C14+C43+C44)</f>
        <v>#DIV/0!</v>
      </c>
      <c r="D121" s="651" t="str">
        <f>D27/('OLD  Formulas'!$A$43*D14+D43+D44)</f>
        <v>#DIV/0!</v>
      </c>
      <c r="E121" s="651" t="str">
        <f>E27/('OLD  Formulas'!$A$43*E14+E43+E44)</f>
        <v>#DIV/0!</v>
      </c>
      <c r="F121" s="651" t="str">
        <f>F27/('OLD  Formulas'!$A$43*F14+F43+F44)</f>
        <v>#DIV/0!</v>
      </c>
      <c r="G121" s="651" t="str">
        <f>G27/('OLD  Formulas'!$A$43*G14+G43+G44)</f>
        <v>#DIV/0!</v>
      </c>
      <c r="H121" s="651" t="str">
        <f>H27/('OLD  Formulas'!$A$43*H14+H43+H44)</f>
        <v>#DIV/0!</v>
      </c>
      <c r="I121" s="651" t="str">
        <f>I27/('OLD  Formulas'!$A$43*I14+I43+I44)</f>
        <v>#DIV/0!</v>
      </c>
      <c r="J121" s="651" t="str">
        <f>J27/('OLD  Formulas'!$A$43*J14+J43+J44)</f>
        <v>#DIV/0!</v>
      </c>
      <c r="K121" s="651" t="str">
        <f>K27/('OLD  Formulas'!$A$43*K14+K43+K44)</f>
        <v>#DIV/0!</v>
      </c>
      <c r="L121" s="651" t="str">
        <f>L27/('OLD  Formulas'!$A$43*L14+L43+L44)</f>
        <v>#DIV/0!</v>
      </c>
      <c r="M121" s="651" t="str">
        <f>M27/('OLD  Formulas'!$A$43*M14+M43+M44)</f>
        <v>#DIV/0!</v>
      </c>
      <c r="N121" s="651" t="str">
        <f>N27/('OLD  Formulas'!$A$43*N14+N43+N44)</f>
        <v>#DIV/0!</v>
      </c>
      <c r="O121" s="651" t="str">
        <f>O27/('OLD  Formulas'!$A$43*O14+O43+O44)</f>
        <v>#DIV/0!</v>
      </c>
      <c r="P121" s="651" t="str">
        <f>P27/('OLD  Formulas'!$A$43*P14+P43+P44)</f>
        <v>#DIV/0!</v>
      </c>
      <c r="Q121" s="651" t="str">
        <f>Q27/('OLD  Formulas'!$A$43*Q14+Q43+Q44)</f>
        <v>#DIV/0!</v>
      </c>
      <c r="R121" s="651" t="str">
        <f>R27/('OLD  Formulas'!$A$43*R14+R43+R44)</f>
        <v>#DIV/0!</v>
      </c>
      <c r="S121" s="651" t="str">
        <f>S27/('OLD  Formulas'!$A$43*S14+S43+S44)</f>
        <v>#DIV/0!</v>
      </c>
      <c r="T121" s="651" t="str">
        <f>T27/('OLD  Formulas'!$A$43*T14+T43+T44)</f>
        <v>#DIV/0!</v>
      </c>
      <c r="U121" s="651" t="str">
        <f>U27/('OLD  Formulas'!$A$43*U14+U43+U44)</f>
        <v>#DIV/0!</v>
      </c>
      <c r="V121" s="651" t="str">
        <f>V27/('OLD  Formulas'!$A$43*V14+V43+V44)</f>
        <v>#DIV/0!</v>
      </c>
      <c r="W121" s="651" t="str">
        <f>W27/('OLD  Formulas'!$A$43*W14+W43+W44)</f>
        <v>#DIV/0!</v>
      </c>
      <c r="X121" s="651" t="str">
        <f>X27/('OLD  Formulas'!$A$43*X14+X43+X44)</f>
        <v>#DIV/0!</v>
      </c>
      <c r="Y121" s="651" t="str">
        <f>Y27/('OLD  Formulas'!$A$43*Y14+Y43+Y44)</f>
        <v>#DIV/0!</v>
      </c>
      <c r="Z121" s="651" t="str">
        <f>Z27/('OLD  Formulas'!$A$43*Z14+Z43+Z44)</f>
        <v>#DIV/0!</v>
      </c>
      <c r="AA121" s="651" t="str">
        <f>AA27/('OLD  Formulas'!$A$43*AA14+AA43+AA44)</f>
        <v>#DIV/0!</v>
      </c>
      <c r="AB121" s="651" t="str">
        <f>AB27/('OLD  Formulas'!$A$43*AB14+AB43+AB44)</f>
        <v>#DIV/0!</v>
      </c>
      <c r="AC121" s="651" t="str">
        <f>AC27/('OLD  Formulas'!$A$43*AC14+AC43+AC44)</f>
        <v>#DIV/0!</v>
      </c>
      <c r="AD121" s="651" t="str">
        <f>AD27/('OLD  Formulas'!$A$43*AD14+AD43+AD44)</f>
        <v>#DIV/0!</v>
      </c>
      <c r="AE121" s="651" t="str">
        <f>AE27/('OLD  Formulas'!$A$43*AE14+AE43+AE44)</f>
        <v>#DIV/0!</v>
      </c>
      <c r="AF121" s="962"/>
    </row>
    <row r="122">
      <c r="A122" s="997"/>
      <c r="B122" s="998"/>
      <c r="C122" s="998"/>
      <c r="D122" s="998"/>
      <c r="E122" s="998"/>
      <c r="F122" s="998"/>
      <c r="G122" s="998"/>
      <c r="H122" s="998"/>
      <c r="I122" s="998"/>
      <c r="J122" s="998"/>
      <c r="K122" s="998"/>
      <c r="L122" s="998"/>
      <c r="M122" s="998"/>
      <c r="N122" s="998"/>
      <c r="O122" s="998"/>
      <c r="P122" s="998"/>
      <c r="Q122" s="998"/>
      <c r="R122" s="998"/>
      <c r="S122" s="998"/>
      <c r="T122" s="998"/>
      <c r="U122" s="998"/>
      <c r="V122" s="998"/>
      <c r="W122" s="998"/>
      <c r="X122" s="998"/>
      <c r="Y122" s="998"/>
      <c r="Z122" s="998"/>
      <c r="AA122" s="998"/>
      <c r="AB122" s="998"/>
      <c r="AC122" s="998"/>
      <c r="AD122" s="998"/>
      <c r="AE122" s="998"/>
      <c r="AF122" s="1000"/>
    </row>
    <row r="123">
      <c r="A123" s="1002"/>
      <c r="B123" s="914"/>
      <c r="C123" s="914"/>
      <c r="D123" s="914"/>
      <c r="E123" s="914"/>
      <c r="F123" s="914"/>
      <c r="G123" s="914"/>
      <c r="H123" s="914"/>
      <c r="I123" s="914"/>
      <c r="J123" s="914"/>
      <c r="K123" s="914"/>
      <c r="L123" s="914"/>
      <c r="M123" s="914"/>
      <c r="N123" s="914"/>
      <c r="O123" s="914"/>
      <c r="P123" s="914"/>
      <c r="Q123" s="914"/>
      <c r="R123" s="914"/>
      <c r="S123" s="914"/>
      <c r="T123" s="914"/>
      <c r="U123" s="914"/>
      <c r="V123" s="914"/>
      <c r="W123" s="914"/>
      <c r="X123" s="914"/>
      <c r="Y123" s="914"/>
      <c r="Z123" s="914"/>
      <c r="AA123" s="914"/>
      <c r="AB123" s="914"/>
      <c r="AC123" s="914"/>
      <c r="AD123" s="914"/>
      <c r="AE123" s="914"/>
      <c r="AF123" s="915"/>
    </row>
    <row r="124">
      <c r="A124" s="20"/>
      <c r="B124" s="1005"/>
      <c r="C124" s="1005"/>
      <c r="D124" s="1005"/>
      <c r="E124" s="1005"/>
      <c r="F124" s="1005"/>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c r="AA124" s="1005"/>
      <c r="AB124" s="1005"/>
      <c r="AC124" s="1005"/>
      <c r="AD124" s="1005"/>
      <c r="AE124" s="1005"/>
      <c r="AF124" s="866"/>
    </row>
    <row r="125">
      <c r="A125" s="73" t="s">
        <v>98</v>
      </c>
      <c r="B125" s="582"/>
      <c r="C125" s="582"/>
      <c r="D125" s="582"/>
      <c r="E125" s="582"/>
      <c r="F125" s="582"/>
      <c r="G125" s="582"/>
      <c r="H125" s="582"/>
      <c r="I125" s="582"/>
      <c r="J125" s="582"/>
      <c r="K125" s="582"/>
      <c r="L125" s="582"/>
      <c r="M125" s="582"/>
      <c r="N125" s="582"/>
      <c r="O125" s="582"/>
      <c r="P125" s="582"/>
      <c r="Q125" s="582"/>
      <c r="R125" s="582"/>
      <c r="S125" s="582"/>
      <c r="T125" s="582"/>
      <c r="U125" s="582"/>
      <c r="V125" s="582"/>
      <c r="W125" s="582"/>
      <c r="X125" s="582"/>
      <c r="Y125" s="582"/>
      <c r="Z125" s="582"/>
      <c r="AA125" s="582"/>
      <c r="AB125" s="582"/>
      <c r="AC125" s="582"/>
      <c r="AD125" s="582"/>
      <c r="AE125" s="582"/>
      <c r="AF125" s="866"/>
    </row>
    <row r="126">
      <c r="A126" s="1011" t="s">
        <v>146</v>
      </c>
      <c r="B126" s="70">
        <f>'OLD Sales'!B8</f>
        <v>17265.68</v>
      </c>
      <c r="C126" s="70">
        <f>'OLD Sales'!C8</f>
        <v>23737.33</v>
      </c>
      <c r="D126" s="70">
        <f>'OLD Sales'!D8</f>
        <v>31027.91</v>
      </c>
      <c r="E126" s="70">
        <f>'OLD Sales'!E8</f>
        <v>38624.27</v>
      </c>
      <c r="F126" s="70">
        <f>'OLD Sales'!F8</f>
        <v>32334.23</v>
      </c>
      <c r="G126" s="70">
        <f>'OLD Sales'!G8</f>
        <v>25523.42</v>
      </c>
      <c r="H126" s="70">
        <f>'OLD Sales'!H8</f>
        <v>16513.05</v>
      </c>
      <c r="I126" s="70">
        <f>'OLD Sales'!I8</f>
        <v>16047.62</v>
      </c>
      <c r="J126" s="70">
        <f>'OLD Sales'!J8</f>
        <v>16896.24</v>
      </c>
      <c r="K126" s="70">
        <f>'OLD Sales'!K8</f>
        <v>25310.44</v>
      </c>
      <c r="L126" s="70">
        <f>'OLD Sales'!L8</f>
        <v>19069.47</v>
      </c>
      <c r="M126" s="70">
        <f>'OLD Sales'!M8</f>
        <v>17658.35</v>
      </c>
      <c r="N126" s="70">
        <f>'OLD Sales'!N8</f>
        <v>16855.53</v>
      </c>
      <c r="O126" s="70">
        <f>'OLD Sales'!O8</f>
        <v>21866.4</v>
      </c>
      <c r="P126" s="70">
        <f>'OLD Sales'!P8</f>
        <v>19818.81</v>
      </c>
      <c r="Q126" s="70">
        <f>'OLD Sales'!Q8</f>
        <v>20289.02</v>
      </c>
      <c r="R126" s="70">
        <f>'OLD Sales'!R8</f>
        <v>20492.89</v>
      </c>
      <c r="S126" s="70">
        <f>'OLD Sales'!S8</f>
        <v>54783.26</v>
      </c>
      <c r="T126" s="70">
        <f>'OLD Sales'!T8</f>
        <v>32668.33</v>
      </c>
      <c r="U126" s="70">
        <f>'OLD Sales'!U8</f>
        <v>24173.38</v>
      </c>
      <c r="V126" s="70">
        <f>'OLD Sales'!V8</f>
        <v>23765.13</v>
      </c>
      <c r="W126" s="70">
        <f>'OLD Sales'!W8</f>
        <v>20293.99</v>
      </c>
      <c r="X126" s="70">
        <f>'OLD Sales'!X8</f>
        <v>23532.56</v>
      </c>
      <c r="Y126" s="70">
        <f>'OLD Sales'!Y8</f>
        <v>25409.48</v>
      </c>
      <c r="Z126" s="70">
        <f>'OLD Sales'!Z8</f>
        <v>24613.92</v>
      </c>
      <c r="AA126" s="70">
        <f>'OLD Sales'!AA8</f>
        <v>16571.82</v>
      </c>
      <c r="AB126" s="70">
        <f>'OLD Sales'!AB8</f>
        <v>28234.49</v>
      </c>
      <c r="AC126" s="70">
        <f>'OLD Sales'!AC8</f>
        <v>22796.27</v>
      </c>
      <c r="AD126" s="70">
        <f>'OLD Sales'!AD8</f>
        <v>23841.8</v>
      </c>
      <c r="AE126" s="70">
        <f>'OLD Sales'!AE8</f>
        <v>21795.85</v>
      </c>
      <c r="AF126" s="1015">
        <f>sum(B126:AE126)</f>
        <v>721810.94</v>
      </c>
    </row>
    <row r="127">
      <c r="A127" s="147" t="s">
        <v>884</v>
      </c>
      <c r="B127" s="1016">
        <f t="shared" ref="B127:AE127" si="27">SUM(B126)</f>
        <v>17265.68</v>
      </c>
      <c r="C127" s="1016">
        <f t="shared" si="27"/>
        <v>23737.33</v>
      </c>
      <c r="D127" s="1016">
        <f t="shared" si="27"/>
        <v>31027.91</v>
      </c>
      <c r="E127" s="1016">
        <f t="shared" si="27"/>
        <v>38624.27</v>
      </c>
      <c r="F127" s="1016">
        <f t="shared" si="27"/>
        <v>32334.23</v>
      </c>
      <c r="G127" s="1016">
        <f t="shared" si="27"/>
        <v>25523.42</v>
      </c>
      <c r="H127" s="1016">
        <f t="shared" si="27"/>
        <v>16513.05</v>
      </c>
      <c r="I127" s="1016">
        <f t="shared" si="27"/>
        <v>16047.62</v>
      </c>
      <c r="J127" s="1016">
        <f t="shared" si="27"/>
        <v>16896.24</v>
      </c>
      <c r="K127" s="1016">
        <f t="shared" si="27"/>
        <v>25310.44</v>
      </c>
      <c r="L127" s="1016">
        <f t="shared" si="27"/>
        <v>19069.47</v>
      </c>
      <c r="M127" s="1016">
        <f t="shared" si="27"/>
        <v>17658.35</v>
      </c>
      <c r="N127" s="1016">
        <f t="shared" si="27"/>
        <v>16855.53</v>
      </c>
      <c r="O127" s="1016">
        <f t="shared" si="27"/>
        <v>21866.4</v>
      </c>
      <c r="P127" s="1016">
        <f t="shared" si="27"/>
        <v>19818.81</v>
      </c>
      <c r="Q127" s="1016">
        <f t="shared" si="27"/>
        <v>20289.02</v>
      </c>
      <c r="R127" s="1016">
        <f t="shared" si="27"/>
        <v>20492.89</v>
      </c>
      <c r="S127" s="1016">
        <f t="shared" si="27"/>
        <v>54783.26</v>
      </c>
      <c r="T127" s="1016">
        <f t="shared" si="27"/>
        <v>32668.33</v>
      </c>
      <c r="U127" s="1016">
        <f t="shared" si="27"/>
        <v>24173.38</v>
      </c>
      <c r="V127" s="1016">
        <f t="shared" si="27"/>
        <v>23765.13</v>
      </c>
      <c r="W127" s="1016">
        <f t="shared" si="27"/>
        <v>20293.99</v>
      </c>
      <c r="X127" s="1016">
        <f t="shared" si="27"/>
        <v>23532.56</v>
      </c>
      <c r="Y127" s="1016">
        <f t="shared" si="27"/>
        <v>25409.48</v>
      </c>
      <c r="Z127" s="1016">
        <f t="shared" si="27"/>
        <v>24613.92</v>
      </c>
      <c r="AA127" s="1016">
        <f t="shared" si="27"/>
        <v>16571.82</v>
      </c>
      <c r="AB127" s="1016">
        <f t="shared" si="27"/>
        <v>28234.49</v>
      </c>
      <c r="AC127" s="1016">
        <f t="shared" si="27"/>
        <v>22796.27</v>
      </c>
      <c r="AD127" s="1016">
        <f t="shared" si="27"/>
        <v>23841.8</v>
      </c>
      <c r="AE127" s="1016">
        <f t="shared" si="27"/>
        <v>21795.85</v>
      </c>
      <c r="AF127" s="900">
        <f>SUM(B127:AE127)</f>
        <v>721810.94</v>
      </c>
    </row>
    <row r="128">
      <c r="A128" s="20"/>
      <c r="B128" s="582"/>
      <c r="C128" s="582"/>
      <c r="D128" s="582"/>
      <c r="E128" s="582"/>
      <c r="F128" s="582"/>
      <c r="G128" s="582"/>
      <c r="H128" s="582"/>
      <c r="I128" s="582"/>
      <c r="J128" s="582"/>
      <c r="K128" s="582"/>
      <c r="L128" s="582"/>
      <c r="M128" s="582"/>
      <c r="N128" s="582"/>
      <c r="O128" s="582"/>
      <c r="P128" s="582"/>
      <c r="Q128" s="582"/>
      <c r="R128" s="582"/>
      <c r="S128" s="582"/>
      <c r="T128" s="582"/>
      <c r="U128" s="582"/>
      <c r="V128" s="582"/>
      <c r="W128" s="582"/>
      <c r="X128" s="582"/>
      <c r="Y128" s="582"/>
      <c r="Z128" s="582"/>
      <c r="AA128" s="582"/>
      <c r="AB128" s="582"/>
      <c r="AC128" s="582"/>
      <c r="AD128" s="582"/>
      <c r="AE128" s="582"/>
      <c r="AF128" s="1017"/>
    </row>
    <row r="129">
      <c r="A129" s="931" t="s">
        <v>69</v>
      </c>
      <c r="B129" s="582"/>
      <c r="C129" s="582"/>
      <c r="D129" s="582"/>
      <c r="E129" s="582"/>
      <c r="F129" s="582"/>
      <c r="G129" s="582"/>
      <c r="H129" s="582"/>
      <c r="I129" s="582"/>
      <c r="J129" s="582"/>
      <c r="K129" s="582"/>
      <c r="L129" s="582"/>
      <c r="M129" s="582"/>
      <c r="N129" s="582"/>
      <c r="O129" s="582"/>
      <c r="P129" s="582"/>
      <c r="Q129" s="582"/>
      <c r="R129" s="582"/>
      <c r="S129" s="582"/>
      <c r="T129" s="582"/>
      <c r="U129" s="582"/>
      <c r="V129" s="582"/>
      <c r="W129" s="582"/>
      <c r="X129" s="582"/>
      <c r="Y129" s="582"/>
      <c r="Z129" s="582"/>
      <c r="AA129" s="582"/>
      <c r="AB129" s="582"/>
      <c r="AC129" s="582"/>
      <c r="AD129" s="582"/>
      <c r="AE129" s="582"/>
      <c r="AF129" s="1017"/>
    </row>
    <row r="130">
      <c r="A130" s="1018" t="s">
        <v>161</v>
      </c>
      <c r="B130" s="265">
        <f>'OLD Sales'!B25</f>
        <v>79</v>
      </c>
      <c r="C130" s="100">
        <f>'OLD Sales'!C25</f>
        <v>110</v>
      </c>
      <c r="D130" s="100">
        <f>'OLD Sales'!D25</f>
        <v>135</v>
      </c>
      <c r="E130" s="100">
        <f>'OLD Sales'!E25</f>
        <v>165</v>
      </c>
      <c r="F130" s="100">
        <f>'OLD Sales'!F25</f>
        <v>149</v>
      </c>
      <c r="G130" s="100">
        <f>'OLD Sales'!G25</f>
        <v>121</v>
      </c>
      <c r="H130" s="100">
        <f>'OLD Sales'!H25</f>
        <v>79</v>
      </c>
      <c r="I130" s="100">
        <f>'OLD Sales'!I25</f>
        <v>52</v>
      </c>
      <c r="J130" s="100">
        <f>'OLD Sales'!J25</f>
        <v>63</v>
      </c>
      <c r="K130" s="100">
        <f>'OLD Sales'!K25</f>
        <v>93</v>
      </c>
      <c r="L130" s="100">
        <f>'OLD Sales'!L25</f>
        <v>84</v>
      </c>
      <c r="M130" s="100">
        <f>'OLD Sales'!M25</f>
        <v>69</v>
      </c>
      <c r="N130" s="100">
        <f>'OLD Sales'!N25</f>
        <v>64</v>
      </c>
      <c r="O130" s="100">
        <f>'OLD Sales'!O25</f>
        <v>79</v>
      </c>
      <c r="P130" s="100">
        <f>'OLD Sales'!P25</f>
        <v>91</v>
      </c>
      <c r="Q130" s="100">
        <f>'OLD Sales'!Q25</f>
        <v>86</v>
      </c>
      <c r="R130" s="100">
        <f>'OLD Sales'!R25</f>
        <v>82</v>
      </c>
      <c r="S130" s="100">
        <f>'OLD Sales'!S25</f>
        <v>587</v>
      </c>
      <c r="T130" s="100">
        <f>'OLD Sales'!T25</f>
        <v>307</v>
      </c>
      <c r="U130" s="100">
        <f>'OLD Sales'!U25</f>
        <v>173</v>
      </c>
      <c r="V130" s="100">
        <f>'OLD Sales'!V25</f>
        <v>135</v>
      </c>
      <c r="W130" s="100">
        <f>'OLD Sales'!W25</f>
        <v>119</v>
      </c>
      <c r="X130" s="100">
        <f>'OLD Sales'!X25</f>
        <v>123</v>
      </c>
      <c r="Y130" s="100">
        <f>'OLD Sales'!Y25</f>
        <v>132</v>
      </c>
      <c r="Z130" s="100">
        <f>'OLD Sales'!Z25</f>
        <v>119</v>
      </c>
      <c r="AA130" s="104">
        <f>'OLD Sales'!AA25</f>
        <v>98</v>
      </c>
      <c r="AB130" s="100">
        <f>'OLD Sales'!AB25</f>
        <v>114</v>
      </c>
      <c r="AC130" s="100">
        <f>'OLD Sales'!AC25</f>
        <v>103</v>
      </c>
      <c r="AD130" s="100">
        <f>'OLD Sales'!AD25</f>
        <v>100</v>
      </c>
      <c r="AE130" s="100">
        <f>'OLD Sales'!AE25</f>
        <v>102</v>
      </c>
      <c r="AF130" s="1015">
        <f t="shared" ref="AF130:AF131" si="29">sum(B130:AE130)</f>
        <v>3813</v>
      </c>
    </row>
    <row r="131">
      <c r="A131" s="1018" t="s">
        <v>887</v>
      </c>
      <c r="B131" s="1022">
        <f t="shared" ref="B131:AE131" si="28">SUM(B130)</f>
        <v>79</v>
      </c>
      <c r="C131" s="1023">
        <f t="shared" si="28"/>
        <v>110</v>
      </c>
      <c r="D131" s="1023">
        <f t="shared" si="28"/>
        <v>135</v>
      </c>
      <c r="E131" s="1023">
        <f t="shared" si="28"/>
        <v>165</v>
      </c>
      <c r="F131" s="1023">
        <f t="shared" si="28"/>
        <v>149</v>
      </c>
      <c r="G131" s="1023">
        <f t="shared" si="28"/>
        <v>121</v>
      </c>
      <c r="H131" s="1023">
        <f t="shared" si="28"/>
        <v>79</v>
      </c>
      <c r="I131" s="1023">
        <f t="shared" si="28"/>
        <v>52</v>
      </c>
      <c r="J131" s="1023">
        <f t="shared" si="28"/>
        <v>63</v>
      </c>
      <c r="K131" s="1023">
        <f t="shared" si="28"/>
        <v>93</v>
      </c>
      <c r="L131" s="1023">
        <f t="shared" si="28"/>
        <v>84</v>
      </c>
      <c r="M131" s="1023">
        <f t="shared" si="28"/>
        <v>69</v>
      </c>
      <c r="N131" s="1023">
        <f t="shared" si="28"/>
        <v>64</v>
      </c>
      <c r="O131" s="1023">
        <f t="shared" si="28"/>
        <v>79</v>
      </c>
      <c r="P131" s="1023">
        <f t="shared" si="28"/>
        <v>91</v>
      </c>
      <c r="Q131" s="1023">
        <f t="shared" si="28"/>
        <v>86</v>
      </c>
      <c r="R131" s="1023">
        <f t="shared" si="28"/>
        <v>82</v>
      </c>
      <c r="S131" s="1023">
        <f t="shared" si="28"/>
        <v>587</v>
      </c>
      <c r="T131" s="1023">
        <f t="shared" si="28"/>
        <v>307</v>
      </c>
      <c r="U131" s="1023">
        <f t="shared" si="28"/>
        <v>173</v>
      </c>
      <c r="V131" s="1023">
        <f t="shared" si="28"/>
        <v>135</v>
      </c>
      <c r="W131" s="1023">
        <f t="shared" si="28"/>
        <v>119</v>
      </c>
      <c r="X131" s="1023">
        <f t="shared" si="28"/>
        <v>123</v>
      </c>
      <c r="Y131" s="1023">
        <f t="shared" si="28"/>
        <v>132</v>
      </c>
      <c r="Z131" s="1023">
        <f t="shared" si="28"/>
        <v>119</v>
      </c>
      <c r="AA131" s="1023">
        <f t="shared" si="28"/>
        <v>98</v>
      </c>
      <c r="AB131" s="1023">
        <f t="shared" si="28"/>
        <v>114</v>
      </c>
      <c r="AC131" s="1023">
        <f t="shared" si="28"/>
        <v>103</v>
      </c>
      <c r="AD131" s="1023">
        <f t="shared" si="28"/>
        <v>100</v>
      </c>
      <c r="AE131" s="1023">
        <f t="shared" si="28"/>
        <v>102</v>
      </c>
      <c r="AF131" s="1015">
        <f t="shared" si="29"/>
        <v>3813</v>
      </c>
    </row>
    <row r="132">
      <c r="A132" s="20"/>
      <c r="B132" s="582"/>
      <c r="C132" s="582"/>
      <c r="D132" s="582"/>
      <c r="E132" s="582"/>
      <c r="F132" s="582"/>
      <c r="G132" s="582"/>
      <c r="H132" s="582"/>
      <c r="I132" s="582"/>
      <c r="J132" s="582"/>
      <c r="K132" s="582"/>
      <c r="L132" s="582"/>
      <c r="M132" s="582"/>
      <c r="N132" s="582"/>
      <c r="O132" s="582"/>
      <c r="P132" s="582"/>
      <c r="Q132" s="582"/>
      <c r="R132" s="582"/>
      <c r="S132" s="582"/>
      <c r="T132" s="582"/>
      <c r="U132" s="582"/>
      <c r="V132" s="582"/>
      <c r="W132" s="582"/>
      <c r="X132" s="582"/>
      <c r="Y132" s="582"/>
      <c r="Z132" s="582"/>
      <c r="AA132" s="582"/>
      <c r="AB132" s="582"/>
      <c r="AC132" s="582"/>
      <c r="AD132" s="582"/>
      <c r="AE132" s="582"/>
      <c r="AF132" s="1017"/>
    </row>
    <row r="133">
      <c r="A133" s="931" t="s">
        <v>889</v>
      </c>
      <c r="B133" s="582"/>
      <c r="C133" s="582"/>
      <c r="D133" s="582"/>
      <c r="E133" s="582"/>
      <c r="F133" s="582"/>
      <c r="G133" s="582"/>
      <c r="H133" s="582"/>
      <c r="I133" s="582"/>
      <c r="J133" s="582"/>
      <c r="K133" s="582"/>
      <c r="L133" s="582"/>
      <c r="M133" s="582"/>
      <c r="N133" s="582"/>
      <c r="O133" s="582"/>
      <c r="P133" s="582"/>
      <c r="Q133" s="582"/>
      <c r="R133" s="582"/>
      <c r="S133" s="582"/>
      <c r="T133" s="582"/>
      <c r="U133" s="582"/>
      <c r="V133" s="582"/>
      <c r="W133" s="582"/>
      <c r="X133" s="582"/>
      <c r="Y133" s="582"/>
      <c r="Z133" s="582"/>
      <c r="AA133" s="582"/>
      <c r="AB133" s="582"/>
      <c r="AC133" s="582"/>
      <c r="AD133" s="582"/>
      <c r="AE133" s="582"/>
      <c r="AF133" s="1017"/>
    </row>
    <row r="134">
      <c r="A134" s="1025" t="s">
        <v>890</v>
      </c>
      <c r="B134" s="263">
        <f>17327</f>
        <v>17327</v>
      </c>
      <c r="C134" s="263">
        <v>26036.0</v>
      </c>
      <c r="D134" s="1026">
        <v>31591.0</v>
      </c>
      <c r="E134" s="263">
        <v>38859.0</v>
      </c>
      <c r="F134" s="263">
        <v>35950.0</v>
      </c>
      <c r="G134" s="263">
        <v>27825.0</v>
      </c>
      <c r="H134" s="263">
        <v>18345.0</v>
      </c>
      <c r="I134" s="1027">
        <v>13053.0</v>
      </c>
      <c r="J134" s="124">
        <v>15656.0</v>
      </c>
      <c r="K134" s="124">
        <v>21082.0</v>
      </c>
      <c r="L134" s="263">
        <v>18324.0</v>
      </c>
      <c r="M134" s="263">
        <v>15928.0</v>
      </c>
      <c r="N134" s="263">
        <v>16157.0</v>
      </c>
      <c r="O134" s="263">
        <v>20122.0</v>
      </c>
      <c r="P134" s="263">
        <v>20122.0</v>
      </c>
      <c r="Q134" s="263">
        <v>19142.0</v>
      </c>
      <c r="R134" s="263">
        <v>19916.0</v>
      </c>
      <c r="S134" s="263">
        <v>41884.0</v>
      </c>
      <c r="T134" s="263">
        <v>28913.0</v>
      </c>
      <c r="U134" s="1028">
        <v>21088.0</v>
      </c>
      <c r="V134" s="263">
        <v>19082.0</v>
      </c>
      <c r="W134" s="263">
        <v>17582.0</v>
      </c>
      <c r="X134" s="263">
        <v>18416.0</v>
      </c>
      <c r="Y134" s="1028">
        <v>21116.0</v>
      </c>
      <c r="Z134" s="263">
        <v>20490.0</v>
      </c>
      <c r="AA134" s="263">
        <v>15391.0</v>
      </c>
      <c r="AB134" s="263">
        <v>24739.0</v>
      </c>
      <c r="AC134" s="263">
        <v>18604.0</v>
      </c>
      <c r="AD134" s="263">
        <v>20945.0</v>
      </c>
      <c r="AE134" s="263">
        <v>21843.0</v>
      </c>
      <c r="AF134" s="900">
        <f>SUM(B134:AE134)</f>
        <v>665528</v>
      </c>
    </row>
    <row r="135">
      <c r="A135" s="1025" t="s">
        <v>891</v>
      </c>
      <c r="B135" s="263">
        <v>2747.3</v>
      </c>
      <c r="C135" s="263">
        <v>5239.9</v>
      </c>
      <c r="D135" s="263">
        <v>6269.6</v>
      </c>
      <c r="E135" s="263">
        <v>7749.35</v>
      </c>
      <c r="F135" s="263">
        <v>7190.0</v>
      </c>
      <c r="G135" s="263">
        <v>5600.5</v>
      </c>
      <c r="H135" s="263">
        <v>2273.6</v>
      </c>
      <c r="I135" s="263">
        <v>543.0</v>
      </c>
      <c r="J135" s="263">
        <v>239.7</v>
      </c>
      <c r="K135" s="263">
        <v>237.25</v>
      </c>
      <c r="L135" s="263">
        <v>608.5</v>
      </c>
      <c r="M135" s="263">
        <v>245.7</v>
      </c>
      <c r="N135" s="263">
        <v>1417.6</v>
      </c>
      <c r="O135" s="263">
        <v>2002.3</v>
      </c>
      <c r="P135" s="263">
        <v>2066.0</v>
      </c>
      <c r="Q135" s="1028">
        <v>1917.0</v>
      </c>
      <c r="R135" s="263">
        <v>2233.7</v>
      </c>
      <c r="S135" s="263">
        <v>1149.8</v>
      </c>
      <c r="T135" s="263">
        <v>530.0</v>
      </c>
      <c r="U135" s="1028">
        <v>401.2</v>
      </c>
      <c r="V135" s="263">
        <v>191.0</v>
      </c>
      <c r="W135" s="263">
        <v>608.2</v>
      </c>
      <c r="X135" s="263">
        <v>257.4</v>
      </c>
      <c r="Y135" s="263">
        <v>40.0</v>
      </c>
      <c r="Z135" s="263">
        <v>330.0</v>
      </c>
      <c r="AA135" s="263">
        <v>838.92</v>
      </c>
      <c r="AB135" s="263">
        <v>1570.51</v>
      </c>
      <c r="AC135" s="263">
        <v>947.75</v>
      </c>
      <c r="AD135" s="263">
        <v>525.6</v>
      </c>
      <c r="AE135" s="263">
        <v>459.85</v>
      </c>
      <c r="AF135" s="900"/>
    </row>
    <row r="136">
      <c r="A136" s="1025" t="s">
        <v>892</v>
      </c>
      <c r="B136" s="263">
        <v>1000.0</v>
      </c>
      <c r="C136" s="1030">
        <v>1740.0</v>
      </c>
      <c r="D136" s="263">
        <v>2040.0</v>
      </c>
      <c r="E136" s="263">
        <v>2575.0</v>
      </c>
      <c r="F136" s="263">
        <v>2140.0</v>
      </c>
      <c r="G136" s="263">
        <v>1615.0</v>
      </c>
      <c r="H136" s="263">
        <v>1175.0</v>
      </c>
      <c r="I136" s="263">
        <v>950.0</v>
      </c>
      <c r="J136" s="263">
        <v>890.0</v>
      </c>
      <c r="K136" s="263">
        <v>1465.0</v>
      </c>
      <c r="L136" s="263">
        <v>1330.0</v>
      </c>
      <c r="M136" s="263">
        <v>940.0</v>
      </c>
      <c r="N136" s="263">
        <v>1005.0</v>
      </c>
      <c r="O136" s="263">
        <v>1365.0</v>
      </c>
      <c r="P136" s="263">
        <v>1390.0</v>
      </c>
      <c r="Q136" s="1028">
        <v>1255.0</v>
      </c>
      <c r="R136" s="263">
        <v>1195.0</v>
      </c>
      <c r="S136" s="263">
        <v>7745.0</v>
      </c>
      <c r="T136" s="263">
        <v>4320.0</v>
      </c>
      <c r="U136" s="1028">
        <v>2415.0</v>
      </c>
      <c r="V136" s="263">
        <v>1995.0</v>
      </c>
      <c r="W136" s="263">
        <v>1730.0</v>
      </c>
      <c r="X136" s="263">
        <v>1835.0</v>
      </c>
      <c r="Y136" s="263">
        <v>2050.0</v>
      </c>
      <c r="Z136" s="263">
        <v>2005.0</v>
      </c>
      <c r="AA136" s="263">
        <v>1250.0</v>
      </c>
      <c r="AB136" s="263">
        <v>1575.0</v>
      </c>
      <c r="AC136" s="263">
        <v>1600.0</v>
      </c>
      <c r="AD136" s="263">
        <v>1450.0</v>
      </c>
      <c r="AE136" s="263">
        <v>1620.0</v>
      </c>
      <c r="AF136" s="900">
        <f t="shared" ref="AF136:AF138" si="30">SUM(B136:AE136)</f>
        <v>55660</v>
      </c>
    </row>
    <row r="137">
      <c r="A137" s="1025" t="s">
        <v>893</v>
      </c>
      <c r="B137" s="263">
        <v>680.07</v>
      </c>
      <c r="C137" s="263">
        <v>1156.12</v>
      </c>
      <c r="D137" s="263">
        <v>1510.56</v>
      </c>
      <c r="E137" s="263">
        <v>1835.08</v>
      </c>
      <c r="F137" s="263">
        <v>1641.24</v>
      </c>
      <c r="G137" s="263">
        <v>1140.25</v>
      </c>
      <c r="H137" s="263">
        <v>895.96</v>
      </c>
      <c r="I137" s="263">
        <v>582.07</v>
      </c>
      <c r="J137" s="263">
        <v>972.35</v>
      </c>
      <c r="K137" s="263">
        <v>1214.24</v>
      </c>
      <c r="L137" s="263">
        <v>1115.02</v>
      </c>
      <c r="M137" s="263">
        <v>845.1</v>
      </c>
      <c r="N137" s="263">
        <v>767.66</v>
      </c>
      <c r="O137" s="263">
        <v>974.8</v>
      </c>
      <c r="P137" s="263">
        <v>995.61</v>
      </c>
      <c r="Q137" s="263">
        <v>990.12</v>
      </c>
      <c r="R137" s="263">
        <v>1138.28</v>
      </c>
      <c r="S137" s="263">
        <v>2581.53</v>
      </c>
      <c r="T137" s="263">
        <v>1564.1</v>
      </c>
      <c r="U137" s="263">
        <v>1114.78</v>
      </c>
      <c r="V137" s="263">
        <v>1086.59</v>
      </c>
      <c r="W137" s="263">
        <v>905.71</v>
      </c>
      <c r="X137" s="263">
        <v>1021.7</v>
      </c>
      <c r="Y137" s="263">
        <v>1232.97</v>
      </c>
      <c r="Z137" s="263">
        <v>1073.38</v>
      </c>
      <c r="AA137" s="263">
        <v>704.83</v>
      </c>
      <c r="AB137" s="263">
        <v>1421.13</v>
      </c>
      <c r="AC137" s="263">
        <v>1044.37</v>
      </c>
      <c r="AD137" s="263">
        <v>1181.27</v>
      </c>
      <c r="AE137" s="263">
        <v>1314.14</v>
      </c>
      <c r="AF137" s="900">
        <f t="shared" si="30"/>
        <v>34701.03</v>
      </c>
    </row>
    <row r="138">
      <c r="A138" s="1031" t="s">
        <v>894</v>
      </c>
      <c r="B138" s="125">
        <f t="shared" ref="B138:AE138" si="31">SUM(B134-B135+B136+B137)</f>
        <v>16259.77</v>
      </c>
      <c r="C138" s="125">
        <f t="shared" si="31"/>
        <v>23692.22</v>
      </c>
      <c r="D138" s="125">
        <f t="shared" si="31"/>
        <v>28871.96</v>
      </c>
      <c r="E138" s="125">
        <f t="shared" si="31"/>
        <v>35519.73</v>
      </c>
      <c r="F138" s="125">
        <f t="shared" si="31"/>
        <v>32541.24</v>
      </c>
      <c r="G138" s="125">
        <f t="shared" si="31"/>
        <v>24979.75</v>
      </c>
      <c r="H138" s="125">
        <f t="shared" si="31"/>
        <v>18142.36</v>
      </c>
      <c r="I138" s="125">
        <f t="shared" si="31"/>
        <v>14042.07</v>
      </c>
      <c r="J138" s="125">
        <f t="shared" si="31"/>
        <v>17278.65</v>
      </c>
      <c r="K138" s="125">
        <f t="shared" si="31"/>
        <v>23523.99</v>
      </c>
      <c r="L138" s="125">
        <f t="shared" si="31"/>
        <v>20160.52</v>
      </c>
      <c r="M138" s="125">
        <f t="shared" si="31"/>
        <v>17467.4</v>
      </c>
      <c r="N138" s="125">
        <f t="shared" si="31"/>
        <v>16512.06</v>
      </c>
      <c r="O138" s="125">
        <f t="shared" si="31"/>
        <v>20459.5</v>
      </c>
      <c r="P138" s="125">
        <f t="shared" si="31"/>
        <v>20441.61</v>
      </c>
      <c r="Q138" s="125">
        <f t="shared" si="31"/>
        <v>19470.12</v>
      </c>
      <c r="R138" s="125">
        <f t="shared" si="31"/>
        <v>20015.58</v>
      </c>
      <c r="S138" s="125">
        <f t="shared" si="31"/>
        <v>51060.73</v>
      </c>
      <c r="T138" s="125">
        <f t="shared" si="31"/>
        <v>34267.1</v>
      </c>
      <c r="U138" s="125">
        <f t="shared" si="31"/>
        <v>24216.58</v>
      </c>
      <c r="V138" s="125">
        <f t="shared" si="31"/>
        <v>21972.59</v>
      </c>
      <c r="W138" s="125">
        <f t="shared" si="31"/>
        <v>19609.51</v>
      </c>
      <c r="X138" s="125">
        <f t="shared" si="31"/>
        <v>21015.3</v>
      </c>
      <c r="Y138" s="125">
        <f t="shared" si="31"/>
        <v>24358.97</v>
      </c>
      <c r="Z138" s="125">
        <f t="shared" si="31"/>
        <v>23238.38</v>
      </c>
      <c r="AA138" s="125">
        <f t="shared" si="31"/>
        <v>16506.91</v>
      </c>
      <c r="AB138" s="125">
        <f t="shared" si="31"/>
        <v>26164.62</v>
      </c>
      <c r="AC138" s="125">
        <f t="shared" si="31"/>
        <v>20300.62</v>
      </c>
      <c r="AD138" s="125">
        <f t="shared" si="31"/>
        <v>23050.67</v>
      </c>
      <c r="AE138" s="125">
        <f t="shared" si="31"/>
        <v>24317.29</v>
      </c>
      <c r="AF138" s="900">
        <f t="shared" si="30"/>
        <v>699457.8</v>
      </c>
    </row>
    <row r="139">
      <c r="A139" s="20"/>
      <c r="B139" s="582"/>
      <c r="C139" s="582"/>
      <c r="D139" s="582"/>
      <c r="E139" s="582"/>
      <c r="F139" s="582"/>
      <c r="G139" s="582"/>
      <c r="H139" s="582"/>
      <c r="I139" s="582"/>
      <c r="J139" s="582"/>
      <c r="K139" s="582"/>
      <c r="L139" s="582"/>
      <c r="M139" s="582"/>
      <c r="N139" s="582"/>
      <c r="O139" s="582"/>
      <c r="P139" s="582"/>
      <c r="Q139" s="582"/>
      <c r="R139" s="582"/>
      <c r="S139" s="582"/>
      <c r="T139" s="582"/>
      <c r="U139" s="582"/>
      <c r="V139" s="582"/>
      <c r="W139" s="582"/>
      <c r="X139" s="582"/>
      <c r="Y139" s="582"/>
      <c r="Z139" s="582"/>
      <c r="AA139" s="582"/>
      <c r="AB139" s="582"/>
      <c r="AC139" s="582"/>
      <c r="AD139" s="582"/>
      <c r="AE139" s="582"/>
      <c r="AF139" s="1017"/>
    </row>
    <row r="140">
      <c r="A140" s="931" t="s">
        <v>895</v>
      </c>
      <c r="B140" s="582"/>
      <c r="C140" s="582"/>
      <c r="D140" s="582"/>
      <c r="E140" s="582"/>
      <c r="F140" s="582"/>
      <c r="G140" s="582"/>
      <c r="H140" s="582"/>
      <c r="I140" s="582"/>
      <c r="J140" s="582"/>
      <c r="K140" s="582"/>
      <c r="L140" s="582"/>
      <c r="M140" s="582"/>
      <c r="N140" s="582"/>
      <c r="O140" s="582"/>
      <c r="P140" s="582"/>
      <c r="Q140" s="582"/>
      <c r="R140" s="582"/>
      <c r="S140" s="582"/>
      <c r="T140" s="582"/>
      <c r="U140" s="582"/>
      <c r="V140" s="582"/>
      <c r="W140" s="582"/>
      <c r="X140" s="582"/>
      <c r="Y140" s="582"/>
      <c r="Z140" s="582"/>
      <c r="AA140" s="582"/>
      <c r="AB140" s="582"/>
      <c r="AC140" s="582"/>
      <c r="AD140" s="582"/>
      <c r="AE140" s="582"/>
      <c r="AF140" s="1017"/>
    </row>
    <row r="141">
      <c r="A141" s="1031" t="s">
        <v>884</v>
      </c>
      <c r="B141" s="1034">
        <f>'OLD Sales'!B8</f>
        <v>17265.68</v>
      </c>
      <c r="C141" s="1034">
        <f>'OLD Sales'!C8</f>
        <v>23737.33</v>
      </c>
      <c r="D141" s="1034">
        <f>'OLD Sales'!D8</f>
        <v>31027.91</v>
      </c>
      <c r="E141" s="1034">
        <f>'OLD Sales'!E8</f>
        <v>38624.27</v>
      </c>
      <c r="F141" s="1034">
        <f>'OLD Sales'!F8</f>
        <v>32334.23</v>
      </c>
      <c r="G141" s="1034">
        <f>'OLD Sales'!G8</f>
        <v>25523.42</v>
      </c>
      <c r="H141" s="1034">
        <f>'OLD Sales'!H8</f>
        <v>16513.05</v>
      </c>
      <c r="I141" s="1034">
        <f>'OLD Sales'!I8</f>
        <v>16047.62</v>
      </c>
      <c r="J141" s="1034">
        <f>'OLD Sales'!J8</f>
        <v>16896.24</v>
      </c>
      <c r="K141" s="1034">
        <f>'OLD Sales'!K8</f>
        <v>25310.44</v>
      </c>
      <c r="L141" s="1034">
        <f>'OLD Sales'!L8</f>
        <v>19069.47</v>
      </c>
      <c r="M141" s="1034">
        <f>'OLD Sales'!M8</f>
        <v>17658.35</v>
      </c>
      <c r="N141" s="1034">
        <f>'OLD Sales'!N8</f>
        <v>16855.53</v>
      </c>
      <c r="O141" s="1034">
        <f>'OLD Sales'!O8</f>
        <v>21866.4</v>
      </c>
      <c r="P141" s="1034">
        <f>'OLD Sales'!P8</f>
        <v>19818.81</v>
      </c>
      <c r="Q141" s="1034">
        <f>'OLD Sales'!Q8</f>
        <v>20289.02</v>
      </c>
      <c r="R141" s="1034">
        <f>'OLD Sales'!R8</f>
        <v>20492.89</v>
      </c>
      <c r="S141" s="1034">
        <f>'OLD Sales'!S8</f>
        <v>54783.26</v>
      </c>
      <c r="T141" s="1034">
        <f>'OLD Sales'!T8</f>
        <v>32668.33</v>
      </c>
      <c r="U141" s="1034">
        <f>'OLD Sales'!U8</f>
        <v>24173.38</v>
      </c>
      <c r="V141" s="1034">
        <f>'OLD Sales'!V8</f>
        <v>23765.13</v>
      </c>
      <c r="W141" s="1034">
        <f>'OLD Sales'!W8</f>
        <v>20293.99</v>
      </c>
      <c r="X141" s="1034">
        <f>'OLD Sales'!X8</f>
        <v>23532.56</v>
      </c>
      <c r="Y141" s="1034">
        <f>'OLD Sales'!Y8</f>
        <v>25409.48</v>
      </c>
      <c r="Z141" s="1034">
        <f>'OLD Sales'!Z8</f>
        <v>24613.92</v>
      </c>
      <c r="AA141" s="1034">
        <f>'OLD Sales'!AA8</f>
        <v>16571.82</v>
      </c>
      <c r="AB141" s="1034">
        <f>'OLD Sales'!AB8</f>
        <v>28234.49</v>
      </c>
      <c r="AC141" s="1034">
        <f>'OLD Sales'!AC8</f>
        <v>22796.27</v>
      </c>
      <c r="AD141" s="1034">
        <f>'OLD Sales'!AD8</f>
        <v>23841.8</v>
      </c>
      <c r="AE141" s="1034">
        <f>'OLD Sales'!AE8</f>
        <v>21795.85</v>
      </c>
      <c r="AF141" s="900">
        <f t="shared" ref="AF141:AF142" si="32">SUM(B141:AE141)</f>
        <v>721810.94</v>
      </c>
    </row>
    <row r="142">
      <c r="A142" s="1031" t="s">
        <v>887</v>
      </c>
      <c r="B142" s="1039">
        <f>'OLD Sales'!B25</f>
        <v>79</v>
      </c>
      <c r="C142" s="1040">
        <f>'OLD Sales'!C25</f>
        <v>110</v>
      </c>
      <c r="D142" s="1040">
        <f>'OLD Sales'!D25</f>
        <v>135</v>
      </c>
      <c r="E142" s="1040">
        <f>'OLD Sales'!E25</f>
        <v>165</v>
      </c>
      <c r="F142" s="1040">
        <f>'OLD Sales'!F25</f>
        <v>149</v>
      </c>
      <c r="G142" s="1040">
        <f>'OLD Sales'!G25</f>
        <v>121</v>
      </c>
      <c r="H142" s="1040">
        <f>'OLD Sales'!H25</f>
        <v>79</v>
      </c>
      <c r="I142" s="1040">
        <f>'OLD Sales'!I25</f>
        <v>52</v>
      </c>
      <c r="J142" s="1040">
        <f>'OLD Sales'!J25</f>
        <v>63</v>
      </c>
      <c r="K142" s="1040">
        <f>'OLD Sales'!K25</f>
        <v>93</v>
      </c>
      <c r="L142" s="1040">
        <f>'OLD Sales'!L25</f>
        <v>84</v>
      </c>
      <c r="M142" s="1040">
        <f>'OLD Sales'!M25</f>
        <v>69</v>
      </c>
      <c r="N142" s="1040">
        <f>'OLD Sales'!N25</f>
        <v>64</v>
      </c>
      <c r="O142" s="1040">
        <f>'OLD Sales'!O25</f>
        <v>79</v>
      </c>
      <c r="P142" s="1040">
        <f>'OLD Sales'!P25</f>
        <v>91</v>
      </c>
      <c r="Q142" s="1040">
        <f>'OLD Sales'!Q25</f>
        <v>86</v>
      </c>
      <c r="R142" s="1040">
        <f>'OLD Sales'!R25</f>
        <v>82</v>
      </c>
      <c r="S142" s="1040">
        <f>'OLD Sales'!S25</f>
        <v>587</v>
      </c>
      <c r="T142" s="1040">
        <f>'OLD Sales'!T25</f>
        <v>307</v>
      </c>
      <c r="U142" s="1040">
        <f>'OLD Sales'!U25</f>
        <v>173</v>
      </c>
      <c r="V142" s="1040">
        <f>'OLD Sales'!V25</f>
        <v>135</v>
      </c>
      <c r="W142" s="1040">
        <f>'OLD Sales'!W25</f>
        <v>119</v>
      </c>
      <c r="X142" s="1040">
        <f>'OLD Sales'!X25</f>
        <v>123</v>
      </c>
      <c r="Y142" s="1040">
        <f>'OLD Sales'!Y25</f>
        <v>132</v>
      </c>
      <c r="Z142" s="1040">
        <f>'OLD Sales'!Z25</f>
        <v>119</v>
      </c>
      <c r="AA142" s="1040">
        <f>'OLD Sales'!AA25</f>
        <v>98</v>
      </c>
      <c r="AB142" s="1040">
        <f>'OLD Sales'!AB25</f>
        <v>114</v>
      </c>
      <c r="AC142" s="1040">
        <f>'OLD Sales'!AC25</f>
        <v>103</v>
      </c>
      <c r="AD142" s="1040">
        <f>'OLD Sales'!AD25</f>
        <v>100</v>
      </c>
      <c r="AE142" s="1040">
        <f>'OLD Sales'!AE25</f>
        <v>102</v>
      </c>
      <c r="AF142" s="900">
        <f t="shared" si="32"/>
        <v>3813</v>
      </c>
    </row>
    <row r="143">
      <c r="A143" s="20"/>
      <c r="B143" s="582"/>
      <c r="C143" s="582"/>
      <c r="D143" s="582"/>
      <c r="E143" s="582"/>
      <c r="F143" s="582"/>
      <c r="G143" s="582"/>
      <c r="H143" s="582"/>
      <c r="I143" s="582"/>
      <c r="J143" s="582"/>
      <c r="K143" s="582"/>
      <c r="L143" s="582"/>
      <c r="M143" s="582"/>
      <c r="N143" s="582"/>
      <c r="O143" s="582"/>
      <c r="P143" s="582"/>
      <c r="Q143" s="582"/>
      <c r="R143" s="582"/>
      <c r="S143" s="582"/>
      <c r="T143" s="582"/>
      <c r="U143" s="582"/>
      <c r="V143" s="582"/>
      <c r="W143" s="582"/>
      <c r="X143" s="582"/>
      <c r="Y143" s="582"/>
      <c r="Z143" s="582"/>
      <c r="AA143" s="582"/>
      <c r="AB143" s="582"/>
      <c r="AC143" s="582"/>
      <c r="AD143" s="582"/>
      <c r="AE143" s="582"/>
      <c r="AF143" s="1017"/>
    </row>
    <row r="144">
      <c r="A144" s="931" t="s">
        <v>137</v>
      </c>
      <c r="B144" s="262"/>
      <c r="C144" s="582"/>
      <c r="D144" s="582"/>
      <c r="E144" s="582"/>
      <c r="F144" s="582"/>
      <c r="G144" s="582"/>
      <c r="H144" s="582"/>
      <c r="I144" s="582"/>
      <c r="J144" s="582"/>
      <c r="K144" s="582"/>
      <c r="L144" s="582"/>
      <c r="M144" s="582"/>
      <c r="N144" s="582"/>
      <c r="O144" s="582"/>
      <c r="P144" s="582"/>
      <c r="Q144" s="582"/>
      <c r="R144" s="582"/>
      <c r="S144" s="582"/>
      <c r="T144" s="582"/>
      <c r="U144" s="582"/>
      <c r="V144" s="582"/>
      <c r="W144" s="582"/>
      <c r="X144" s="582"/>
      <c r="Y144" s="582"/>
      <c r="Z144" s="582"/>
      <c r="AA144" s="582"/>
      <c r="AB144" s="582"/>
      <c r="AC144" s="582"/>
      <c r="AD144" s="582"/>
      <c r="AE144" s="582"/>
      <c r="AF144" s="1017"/>
    </row>
    <row r="145">
      <c r="A145" s="938" t="s">
        <v>898</v>
      </c>
      <c r="B145" s="581">
        <v>10.0</v>
      </c>
      <c r="C145" s="262">
        <v>25.0</v>
      </c>
      <c r="D145" s="262">
        <v>27.0</v>
      </c>
      <c r="E145" s="262">
        <v>43.0</v>
      </c>
      <c r="F145" s="262">
        <v>35.0</v>
      </c>
      <c r="G145" s="262">
        <v>23.0</v>
      </c>
      <c r="H145" s="262">
        <v>20.0</v>
      </c>
      <c r="I145" s="104">
        <v>12.0</v>
      </c>
      <c r="J145" s="104">
        <v>13.0</v>
      </c>
      <c r="K145" s="1043">
        <v>15.0</v>
      </c>
      <c r="L145" s="104">
        <v>17.0</v>
      </c>
      <c r="M145" s="104">
        <v>19.0</v>
      </c>
      <c r="N145" s="104">
        <v>18.0</v>
      </c>
      <c r="O145" s="265">
        <v>19.0</v>
      </c>
      <c r="P145" s="104">
        <v>16.0</v>
      </c>
      <c r="Q145" s="104">
        <v>18.0</v>
      </c>
      <c r="R145" s="104">
        <v>20.0</v>
      </c>
      <c r="S145" s="332">
        <v>26.0</v>
      </c>
      <c r="T145" s="332">
        <v>17.0</v>
      </c>
      <c r="U145" s="332">
        <v>15.0</v>
      </c>
      <c r="V145" s="332">
        <v>18.0</v>
      </c>
      <c r="W145" s="332">
        <v>15.0</v>
      </c>
      <c r="X145" s="332">
        <v>10.0</v>
      </c>
      <c r="Y145" s="332">
        <v>11.0</v>
      </c>
      <c r="Z145" s="1044">
        <f>5+4</f>
        <v>9</v>
      </c>
      <c r="AA145" s="332">
        <v>9.0</v>
      </c>
      <c r="AB145" s="332">
        <v>15.0</v>
      </c>
      <c r="AC145" s="1044">
        <v>19.0</v>
      </c>
      <c r="AD145" s="1044">
        <v>13.0</v>
      </c>
      <c r="AE145" s="1044">
        <v>15.0</v>
      </c>
      <c r="AF145" s="1015">
        <f t="shared" ref="AF145:AF149" si="33">sum(B145:AE145)</f>
        <v>542</v>
      </c>
    </row>
    <row r="146">
      <c r="A146" s="938" t="s">
        <v>899</v>
      </c>
      <c r="B146" s="581">
        <v>3.0</v>
      </c>
      <c r="C146" s="262">
        <v>1.0</v>
      </c>
      <c r="D146" s="262">
        <v>4.0</v>
      </c>
      <c r="E146" s="262">
        <v>11.0</v>
      </c>
      <c r="F146" s="262">
        <v>9.0</v>
      </c>
      <c r="G146" s="262">
        <v>9.0</v>
      </c>
      <c r="H146" s="262">
        <v>0.0</v>
      </c>
      <c r="I146" s="104">
        <v>1.0</v>
      </c>
      <c r="J146" s="104">
        <v>2.0</v>
      </c>
      <c r="K146" s="1043">
        <v>4.0</v>
      </c>
      <c r="L146" s="104">
        <v>5.0</v>
      </c>
      <c r="M146" s="104">
        <v>4.0</v>
      </c>
      <c r="N146" s="104">
        <v>1.0</v>
      </c>
      <c r="O146" s="265">
        <v>8.0</v>
      </c>
      <c r="P146" s="104">
        <v>5.0</v>
      </c>
      <c r="Q146" s="104">
        <v>1.0</v>
      </c>
      <c r="R146" s="104">
        <v>3.0</v>
      </c>
      <c r="S146" s="332">
        <v>6.0</v>
      </c>
      <c r="T146" s="332">
        <v>5.0</v>
      </c>
      <c r="U146" s="332">
        <v>5.0</v>
      </c>
      <c r="V146" s="332">
        <v>2.0</v>
      </c>
      <c r="W146" s="332">
        <v>2.0</v>
      </c>
      <c r="X146" s="332">
        <v>1.0</v>
      </c>
      <c r="Y146" s="332">
        <v>7.0</v>
      </c>
      <c r="Z146" s="1044">
        <v>8.0</v>
      </c>
      <c r="AA146" s="332">
        <v>4.0</v>
      </c>
      <c r="AB146" s="332">
        <v>4.0</v>
      </c>
      <c r="AC146" s="1044">
        <v>4.0</v>
      </c>
      <c r="AD146" s="1044">
        <v>4.0</v>
      </c>
      <c r="AE146" s="1044">
        <v>4.0</v>
      </c>
      <c r="AF146" s="1015">
        <f t="shared" si="33"/>
        <v>127</v>
      </c>
    </row>
    <row r="147">
      <c r="A147" s="938" t="s">
        <v>900</v>
      </c>
      <c r="B147" s="262">
        <v>39.0</v>
      </c>
      <c r="C147" s="262">
        <v>60.0</v>
      </c>
      <c r="D147" s="262">
        <v>67.0</v>
      </c>
      <c r="E147" s="262">
        <v>80.0</v>
      </c>
      <c r="F147" s="262">
        <v>82.0</v>
      </c>
      <c r="G147" s="262">
        <v>51.0</v>
      </c>
      <c r="H147" s="262">
        <v>42.0</v>
      </c>
      <c r="I147" s="104">
        <v>31.0</v>
      </c>
      <c r="J147" s="104">
        <v>38.0</v>
      </c>
      <c r="K147" s="1043">
        <v>45.0</v>
      </c>
      <c r="L147" s="104">
        <v>38.0</v>
      </c>
      <c r="M147" s="104">
        <v>27.0</v>
      </c>
      <c r="N147" s="104">
        <v>34.0</v>
      </c>
      <c r="O147" s="265">
        <v>36.0</v>
      </c>
      <c r="P147" s="104">
        <v>42.0</v>
      </c>
      <c r="Q147" s="104">
        <v>48.0</v>
      </c>
      <c r="R147" s="104">
        <v>45.0</v>
      </c>
      <c r="S147" s="332">
        <v>39.0</v>
      </c>
      <c r="T147" s="332">
        <v>28.0</v>
      </c>
      <c r="U147" s="332">
        <v>35.0</v>
      </c>
      <c r="V147" s="332">
        <v>32.0</v>
      </c>
      <c r="W147" s="332">
        <v>22.0</v>
      </c>
      <c r="X147" s="332">
        <v>28.0</v>
      </c>
      <c r="Y147" s="332">
        <v>30.0</v>
      </c>
      <c r="Z147" s="1047">
        <f>21+7</f>
        <v>28</v>
      </c>
      <c r="AA147" s="332">
        <v>14.0</v>
      </c>
      <c r="AB147" s="332">
        <f>28+5</f>
        <v>33</v>
      </c>
      <c r="AC147" s="332">
        <v>24.0</v>
      </c>
      <c r="AD147" s="332">
        <v>30.0</v>
      </c>
      <c r="AE147" s="332">
        <v>42.0</v>
      </c>
      <c r="AF147" s="1015">
        <f t="shared" si="33"/>
        <v>1190</v>
      </c>
    </row>
    <row r="148">
      <c r="A148" s="938" t="s">
        <v>901</v>
      </c>
      <c r="B148" s="581">
        <v>2.0</v>
      </c>
      <c r="C148" s="262">
        <v>8.0</v>
      </c>
      <c r="D148" s="262">
        <v>16.0</v>
      </c>
      <c r="E148" s="262">
        <v>16.0</v>
      </c>
      <c r="F148" s="262">
        <v>11.0</v>
      </c>
      <c r="G148" s="262">
        <v>10.0</v>
      </c>
      <c r="H148" s="262">
        <v>2.0</v>
      </c>
      <c r="I148" s="104">
        <v>5.0</v>
      </c>
      <c r="J148" s="104">
        <v>4.0</v>
      </c>
      <c r="K148" s="1043">
        <v>12.0</v>
      </c>
      <c r="L148" s="104">
        <v>8.0</v>
      </c>
      <c r="M148" s="104">
        <v>6.0</v>
      </c>
      <c r="N148" s="104">
        <v>7.0</v>
      </c>
      <c r="O148" s="265">
        <v>9.0</v>
      </c>
      <c r="P148" s="104">
        <v>11.0</v>
      </c>
      <c r="Q148" s="104">
        <v>5.0</v>
      </c>
      <c r="R148" s="104">
        <v>7.0</v>
      </c>
      <c r="S148" s="332">
        <v>10.0</v>
      </c>
      <c r="T148" s="332">
        <v>15.0</v>
      </c>
      <c r="U148" s="332">
        <v>4.0</v>
      </c>
      <c r="V148" s="332">
        <v>4.0</v>
      </c>
      <c r="W148" s="332">
        <v>15.0</v>
      </c>
      <c r="X148" s="332">
        <v>16.0</v>
      </c>
      <c r="Y148" s="332">
        <v>18.0</v>
      </c>
      <c r="Z148" s="1047">
        <f>10+8+5        </f>
        <v>23</v>
      </c>
      <c r="AA148" s="332">
        <v>15.0</v>
      </c>
      <c r="AB148" s="332">
        <f>17+6+6</f>
        <v>29</v>
      </c>
      <c r="AC148" s="332">
        <v>16.0</v>
      </c>
      <c r="AD148" s="332">
        <v>21.0</v>
      </c>
      <c r="AE148" s="332">
        <v>15.0</v>
      </c>
      <c r="AF148" s="1015">
        <f t="shared" si="33"/>
        <v>340</v>
      </c>
    </row>
    <row r="149">
      <c r="A149" s="1048" t="s">
        <v>179</v>
      </c>
      <c r="B149" s="145">
        <f t="shared" ref="B149:AE149" si="34">SUM(B145:B148)</f>
        <v>54</v>
      </c>
      <c r="C149" s="145">
        <f t="shared" si="34"/>
        <v>94</v>
      </c>
      <c r="D149" s="145">
        <f t="shared" si="34"/>
        <v>114</v>
      </c>
      <c r="E149" s="145">
        <f t="shared" si="34"/>
        <v>150</v>
      </c>
      <c r="F149" s="145">
        <f t="shared" si="34"/>
        <v>137</v>
      </c>
      <c r="G149" s="145">
        <f t="shared" si="34"/>
        <v>93</v>
      </c>
      <c r="H149" s="145">
        <f t="shared" si="34"/>
        <v>64</v>
      </c>
      <c r="I149" s="145">
        <f t="shared" si="34"/>
        <v>49</v>
      </c>
      <c r="J149" s="145">
        <f t="shared" si="34"/>
        <v>57</v>
      </c>
      <c r="K149" s="145">
        <f t="shared" si="34"/>
        <v>76</v>
      </c>
      <c r="L149" s="145">
        <f t="shared" si="34"/>
        <v>68</v>
      </c>
      <c r="M149" s="145">
        <f t="shared" si="34"/>
        <v>56</v>
      </c>
      <c r="N149" s="145">
        <f t="shared" si="34"/>
        <v>60</v>
      </c>
      <c r="O149" s="145">
        <f t="shared" si="34"/>
        <v>72</v>
      </c>
      <c r="P149" s="145">
        <f t="shared" si="34"/>
        <v>74</v>
      </c>
      <c r="Q149" s="145">
        <f t="shared" si="34"/>
        <v>72</v>
      </c>
      <c r="R149" s="145">
        <f t="shared" si="34"/>
        <v>75</v>
      </c>
      <c r="S149" s="145">
        <f t="shared" si="34"/>
        <v>81</v>
      </c>
      <c r="T149" s="145">
        <f t="shared" si="34"/>
        <v>65</v>
      </c>
      <c r="U149" s="145">
        <f t="shared" si="34"/>
        <v>59</v>
      </c>
      <c r="V149" s="145">
        <f t="shared" si="34"/>
        <v>56</v>
      </c>
      <c r="W149" s="145">
        <f t="shared" si="34"/>
        <v>54</v>
      </c>
      <c r="X149" s="145">
        <f t="shared" si="34"/>
        <v>55</v>
      </c>
      <c r="Y149" s="145">
        <f t="shared" si="34"/>
        <v>66</v>
      </c>
      <c r="Z149" s="145">
        <f t="shared" si="34"/>
        <v>68</v>
      </c>
      <c r="AA149" s="145">
        <f t="shared" si="34"/>
        <v>42</v>
      </c>
      <c r="AB149" s="145">
        <f t="shared" si="34"/>
        <v>81</v>
      </c>
      <c r="AC149" s="145">
        <f t="shared" si="34"/>
        <v>63</v>
      </c>
      <c r="AD149" s="145">
        <f t="shared" si="34"/>
        <v>68</v>
      </c>
      <c r="AE149" s="145">
        <f t="shared" si="34"/>
        <v>76</v>
      </c>
      <c r="AF149" s="1015">
        <f t="shared" si="33"/>
        <v>2199</v>
      </c>
    </row>
    <row r="150">
      <c r="A150" s="20"/>
      <c r="B150" s="609"/>
      <c r="C150" s="609"/>
      <c r="D150" s="609"/>
      <c r="E150" s="609"/>
      <c r="F150" s="609"/>
      <c r="G150" s="609"/>
      <c r="H150" s="609"/>
      <c r="I150" s="609"/>
      <c r="J150" s="582"/>
      <c r="K150" s="582"/>
      <c r="L150" s="582"/>
      <c r="M150" s="582"/>
      <c r="N150" s="582"/>
      <c r="O150" s="582"/>
      <c r="P150" s="582"/>
      <c r="Q150" s="582"/>
      <c r="R150" s="582"/>
      <c r="S150" s="582"/>
      <c r="T150" s="582"/>
      <c r="U150" s="582"/>
      <c r="V150" s="582"/>
      <c r="W150" s="582"/>
      <c r="X150" s="582"/>
      <c r="Y150" s="582"/>
      <c r="Z150" s="582"/>
      <c r="AA150" s="582"/>
      <c r="AB150" s="582"/>
      <c r="AC150" s="582"/>
      <c r="AD150" s="582"/>
      <c r="AE150" s="582"/>
      <c r="AF150" s="1051"/>
    </row>
    <row r="151">
      <c r="A151" s="938" t="s">
        <v>147</v>
      </c>
      <c r="B151" s="262">
        <v>19.0</v>
      </c>
      <c r="C151" s="262">
        <v>32.0</v>
      </c>
      <c r="D151" s="262">
        <v>44.0</v>
      </c>
      <c r="E151" s="262">
        <v>39.0</v>
      </c>
      <c r="F151" s="262">
        <v>33.0</v>
      </c>
      <c r="G151" s="262">
        <v>25.0</v>
      </c>
      <c r="H151" s="262">
        <v>19.0</v>
      </c>
      <c r="I151" s="104">
        <v>12.0</v>
      </c>
      <c r="J151" s="104">
        <v>16.0</v>
      </c>
      <c r="K151" s="104">
        <v>27.0</v>
      </c>
      <c r="L151" s="104">
        <v>30.0</v>
      </c>
      <c r="M151" s="104">
        <v>18.0</v>
      </c>
      <c r="N151" s="104">
        <v>17.0</v>
      </c>
      <c r="O151" s="104">
        <v>21.0</v>
      </c>
      <c r="P151" s="104">
        <v>21.0</v>
      </c>
      <c r="Q151" s="104">
        <v>28.0</v>
      </c>
      <c r="R151" s="104">
        <v>23.0</v>
      </c>
      <c r="S151" s="332">
        <v>35.0</v>
      </c>
      <c r="T151" s="332">
        <v>36.0</v>
      </c>
      <c r="U151" s="332">
        <v>22.0</v>
      </c>
      <c r="V151" s="332">
        <v>18.0</v>
      </c>
      <c r="W151" s="332">
        <v>18.0</v>
      </c>
      <c r="X151" s="332">
        <v>20.0</v>
      </c>
      <c r="Y151" s="332">
        <v>29.0</v>
      </c>
      <c r="Z151" s="1052">
        <v>25.0</v>
      </c>
      <c r="AA151" s="332">
        <v>17.0</v>
      </c>
      <c r="AB151" s="332">
        <v>29.0</v>
      </c>
      <c r="AC151" s="1052">
        <v>25.0</v>
      </c>
      <c r="AD151" s="1052">
        <v>19.0</v>
      </c>
      <c r="AE151" s="1052">
        <v>21.0</v>
      </c>
      <c r="AF151" s="1015">
        <f t="shared" ref="AF151:AF157" si="35">sum(B151:AE151)</f>
        <v>738</v>
      </c>
    </row>
    <row r="152">
      <c r="A152" s="938" t="s">
        <v>636</v>
      </c>
      <c r="B152" s="1053"/>
      <c r="C152" s="1053"/>
      <c r="D152" s="1053"/>
      <c r="E152" s="1053"/>
      <c r="F152" s="1053"/>
      <c r="G152" s="1053"/>
      <c r="H152" s="1053"/>
      <c r="I152" s="1053"/>
      <c r="J152" s="1053"/>
      <c r="K152" s="1053"/>
      <c r="L152" s="1053"/>
      <c r="M152" s="1053"/>
      <c r="N152" s="1053"/>
      <c r="O152" s="1053"/>
      <c r="P152" s="1053"/>
      <c r="Q152" s="1053"/>
      <c r="R152" s="1053"/>
      <c r="S152" s="1053"/>
      <c r="T152" s="1053"/>
      <c r="U152" s="1053"/>
      <c r="V152" s="1053"/>
      <c r="W152" s="1053"/>
      <c r="X152" s="1053"/>
      <c r="Y152" s="1053"/>
      <c r="Z152" s="1053"/>
      <c r="AA152" s="1053"/>
      <c r="AB152" s="1053"/>
      <c r="AC152" s="1053"/>
      <c r="AD152" s="1053"/>
      <c r="AE152" s="1053"/>
      <c r="AF152" s="1015">
        <f t="shared" si="35"/>
        <v>0</v>
      </c>
    </row>
    <row r="153">
      <c r="A153" s="938" t="s">
        <v>150</v>
      </c>
      <c r="B153" s="262">
        <v>10.0</v>
      </c>
      <c r="C153" s="262">
        <v>21.0</v>
      </c>
      <c r="D153" s="262">
        <v>26.0</v>
      </c>
      <c r="E153" s="262">
        <v>25.0</v>
      </c>
      <c r="F153" s="262">
        <v>23.0</v>
      </c>
      <c r="G153" s="262">
        <v>19.0</v>
      </c>
      <c r="H153" s="262">
        <v>15.0</v>
      </c>
      <c r="I153" s="104">
        <v>9.0</v>
      </c>
      <c r="J153" s="104">
        <v>6.0</v>
      </c>
      <c r="K153" s="104">
        <v>22.0</v>
      </c>
      <c r="L153" s="104">
        <v>17.0</v>
      </c>
      <c r="M153" s="104">
        <v>12.0</v>
      </c>
      <c r="N153" s="262">
        <v>13.0</v>
      </c>
      <c r="O153" s="104">
        <v>21.0</v>
      </c>
      <c r="P153" s="262">
        <v>10.0</v>
      </c>
      <c r="Q153" s="104">
        <v>19.0</v>
      </c>
      <c r="R153" s="104">
        <v>13.0</v>
      </c>
      <c r="S153" s="332">
        <v>25.0</v>
      </c>
      <c r="T153" s="332">
        <v>34.0</v>
      </c>
      <c r="U153" s="332">
        <v>16.0</v>
      </c>
      <c r="V153" s="332">
        <v>12.0</v>
      </c>
      <c r="W153" s="332">
        <v>16.0</v>
      </c>
      <c r="X153" s="332">
        <v>16.0</v>
      </c>
      <c r="Y153" s="332">
        <v>21.0</v>
      </c>
      <c r="Z153" s="1044">
        <v>22.0</v>
      </c>
      <c r="AA153" s="1054">
        <v>7.0</v>
      </c>
      <c r="AB153" s="332">
        <v>18.0</v>
      </c>
      <c r="AC153" s="1054">
        <v>22.0</v>
      </c>
      <c r="AD153" s="1054">
        <v>13.0</v>
      </c>
      <c r="AE153" s="1054">
        <v>18.0</v>
      </c>
      <c r="AF153" s="1015">
        <f t="shared" si="35"/>
        <v>521</v>
      </c>
    </row>
    <row r="154">
      <c r="A154" s="938" t="s">
        <v>903</v>
      </c>
      <c r="B154" s="262">
        <v>7.0</v>
      </c>
      <c r="C154" s="262">
        <v>19.0</v>
      </c>
      <c r="D154" s="262">
        <v>28.0</v>
      </c>
      <c r="E154" s="262">
        <v>24.0</v>
      </c>
      <c r="F154" s="262">
        <v>23.0</v>
      </c>
      <c r="G154" s="262">
        <v>15.0</v>
      </c>
      <c r="H154" s="262">
        <v>16.0</v>
      </c>
      <c r="I154" s="262">
        <v>10.0</v>
      </c>
      <c r="J154" s="262">
        <v>9.0</v>
      </c>
      <c r="K154" s="262">
        <v>13.0</v>
      </c>
      <c r="L154" s="262">
        <v>13.0</v>
      </c>
      <c r="M154" s="262">
        <v>14.0</v>
      </c>
      <c r="N154" s="262">
        <v>10.0</v>
      </c>
      <c r="O154" s="262">
        <v>6.0</v>
      </c>
      <c r="P154" s="262">
        <v>6.0</v>
      </c>
      <c r="Q154" s="262">
        <v>13.0</v>
      </c>
      <c r="R154" s="262">
        <v>5.0</v>
      </c>
      <c r="S154" s="262">
        <v>0.0</v>
      </c>
      <c r="T154" s="262">
        <v>36.0</v>
      </c>
      <c r="U154" s="262">
        <v>18.0</v>
      </c>
      <c r="V154" s="262">
        <v>22.0</v>
      </c>
      <c r="W154" s="262">
        <v>6.0</v>
      </c>
      <c r="X154" s="262">
        <v>12.0</v>
      </c>
      <c r="Y154" s="262">
        <v>9.0</v>
      </c>
      <c r="Z154" s="1055">
        <v>8.0</v>
      </c>
      <c r="AA154" s="262">
        <v>8.0</v>
      </c>
      <c r="AB154" s="262">
        <v>5.0</v>
      </c>
      <c r="AC154" s="1055">
        <v>9.0</v>
      </c>
      <c r="AD154" s="1055">
        <v>8.0</v>
      </c>
      <c r="AE154" s="1055">
        <v>7.0</v>
      </c>
      <c r="AF154" s="1015">
        <f t="shared" si="35"/>
        <v>379</v>
      </c>
    </row>
    <row r="155">
      <c r="A155" s="938" t="s">
        <v>904</v>
      </c>
      <c r="B155" s="581">
        <v>2.0</v>
      </c>
      <c r="C155" s="262">
        <v>7.0</v>
      </c>
      <c r="D155" s="262">
        <v>7.0</v>
      </c>
      <c r="E155" s="262">
        <v>6.0</v>
      </c>
      <c r="F155" s="262">
        <v>5.0</v>
      </c>
      <c r="G155" s="262">
        <v>5.0</v>
      </c>
      <c r="H155" s="262">
        <v>1.0</v>
      </c>
      <c r="I155" s="104">
        <v>1.0</v>
      </c>
      <c r="J155" s="104">
        <v>0.0</v>
      </c>
      <c r="K155" s="104">
        <v>5.0</v>
      </c>
      <c r="L155" s="104">
        <v>5.0</v>
      </c>
      <c r="M155" s="104">
        <v>1.0</v>
      </c>
      <c r="N155" s="104">
        <v>2.0</v>
      </c>
      <c r="O155" s="265">
        <v>10.0</v>
      </c>
      <c r="P155" s="104">
        <v>6.0</v>
      </c>
      <c r="Q155" s="104">
        <v>2.0</v>
      </c>
      <c r="R155" s="104">
        <v>3.0</v>
      </c>
      <c r="S155" s="332">
        <v>37.0</v>
      </c>
      <c r="T155" s="332">
        <v>23.0</v>
      </c>
      <c r="U155" s="262">
        <v>1.0</v>
      </c>
      <c r="V155" s="262">
        <v>10.0</v>
      </c>
      <c r="W155" s="262">
        <v>10.0</v>
      </c>
      <c r="X155" s="262">
        <v>6.0</v>
      </c>
      <c r="Y155" s="262">
        <v>11.0</v>
      </c>
      <c r="Z155" s="1055">
        <v>9.0</v>
      </c>
      <c r="AA155" s="262">
        <v>6.0</v>
      </c>
      <c r="AB155" s="262">
        <v>6.0</v>
      </c>
      <c r="AC155" s="1055">
        <v>5.0</v>
      </c>
      <c r="AD155" s="1055">
        <v>11.0</v>
      </c>
      <c r="AE155" s="1055">
        <v>5.0</v>
      </c>
      <c r="AF155" s="1015">
        <f t="shared" si="35"/>
        <v>208</v>
      </c>
    </row>
    <row r="156">
      <c r="A156" s="938" t="s">
        <v>905</v>
      </c>
      <c r="B156" s="262">
        <v>3.0</v>
      </c>
      <c r="C156" s="262">
        <v>5.0</v>
      </c>
      <c r="D156" s="262">
        <v>8.0</v>
      </c>
      <c r="E156" s="262">
        <v>6.0</v>
      </c>
      <c r="F156" s="262">
        <v>7.0</v>
      </c>
      <c r="G156" s="262">
        <v>10.0</v>
      </c>
      <c r="H156" s="262">
        <v>5.0</v>
      </c>
      <c r="I156" s="262">
        <v>3.0</v>
      </c>
      <c r="J156" s="262">
        <v>2.0</v>
      </c>
      <c r="K156" s="262">
        <v>6.0</v>
      </c>
      <c r="L156" s="262">
        <v>5.0</v>
      </c>
      <c r="M156" s="262">
        <v>3.0</v>
      </c>
      <c r="N156" s="262">
        <v>3.0</v>
      </c>
      <c r="O156" s="262">
        <v>4.0</v>
      </c>
      <c r="P156" s="262">
        <v>6.0</v>
      </c>
      <c r="Q156" s="262">
        <v>4.0</v>
      </c>
      <c r="R156" s="262">
        <v>7.0</v>
      </c>
      <c r="S156" s="262">
        <v>5.0</v>
      </c>
      <c r="T156" s="262">
        <v>0.0</v>
      </c>
      <c r="U156" s="262">
        <v>5.0</v>
      </c>
      <c r="V156" s="262">
        <v>7.0</v>
      </c>
      <c r="W156" s="262">
        <v>7.0</v>
      </c>
      <c r="X156" s="262">
        <v>7.0</v>
      </c>
      <c r="Y156" s="262">
        <v>5.0</v>
      </c>
      <c r="Z156" s="262">
        <v>4.0</v>
      </c>
      <c r="AA156" s="332">
        <v>6.0</v>
      </c>
      <c r="AB156" s="262">
        <v>4.0</v>
      </c>
      <c r="AC156" s="1055">
        <v>3.0</v>
      </c>
      <c r="AD156" s="1055">
        <v>8.0</v>
      </c>
      <c r="AE156" s="1055">
        <v>2.0</v>
      </c>
      <c r="AF156" s="1015">
        <f t="shared" si="35"/>
        <v>150</v>
      </c>
    </row>
    <row r="157">
      <c r="A157" s="938" t="s">
        <v>906</v>
      </c>
      <c r="B157" s="581">
        <v>3.0</v>
      </c>
      <c r="C157" s="262">
        <v>3.0</v>
      </c>
      <c r="D157" s="262">
        <v>4.0</v>
      </c>
      <c r="E157" s="262">
        <v>3.0</v>
      </c>
      <c r="F157" s="262">
        <v>3.0</v>
      </c>
      <c r="G157" s="262">
        <v>2.0</v>
      </c>
      <c r="H157" s="262">
        <v>1.0</v>
      </c>
      <c r="I157" s="104">
        <v>0.0</v>
      </c>
      <c r="J157" s="104">
        <v>3.0</v>
      </c>
      <c r="K157" s="104">
        <v>1.0</v>
      </c>
      <c r="L157" s="104">
        <v>3.0</v>
      </c>
      <c r="M157" s="104">
        <v>0.0</v>
      </c>
      <c r="N157" s="104">
        <v>0.0</v>
      </c>
      <c r="O157" s="265">
        <v>1.0</v>
      </c>
      <c r="P157" s="104">
        <v>2.0</v>
      </c>
      <c r="Q157" s="104">
        <v>3.0</v>
      </c>
      <c r="R157" s="104">
        <v>2.0</v>
      </c>
      <c r="S157" s="332">
        <v>7.0</v>
      </c>
      <c r="T157" s="332">
        <v>0.0</v>
      </c>
      <c r="U157" s="262">
        <v>4.0</v>
      </c>
      <c r="V157" s="262">
        <v>4.0</v>
      </c>
      <c r="W157" s="262">
        <v>3.0</v>
      </c>
      <c r="X157" s="262">
        <v>1.0</v>
      </c>
      <c r="Y157" s="262">
        <v>1.0</v>
      </c>
      <c r="Z157" s="262">
        <v>0.0</v>
      </c>
      <c r="AA157" s="332">
        <v>3.0</v>
      </c>
      <c r="AB157" s="262">
        <v>1.0</v>
      </c>
      <c r="AC157" s="1055">
        <v>1.0</v>
      </c>
      <c r="AD157" s="1055">
        <v>0.0</v>
      </c>
      <c r="AE157" s="1055">
        <v>0.0</v>
      </c>
      <c r="AF157" s="1015">
        <f t="shared" si="35"/>
        <v>59</v>
      </c>
    </row>
    <row r="158">
      <c r="A158" s="938" t="s">
        <v>907</v>
      </c>
      <c r="B158" s="141"/>
      <c r="C158" s="141"/>
      <c r="D158" s="141"/>
      <c r="E158" s="141"/>
      <c r="F158" s="141"/>
      <c r="G158" s="141"/>
      <c r="H158" s="141"/>
      <c r="I158" s="141"/>
      <c r="J158" s="141"/>
      <c r="K158" s="141"/>
      <c r="L158" s="141"/>
      <c r="M158" s="141"/>
      <c r="N158" s="141"/>
      <c r="O158" s="141"/>
      <c r="P158" s="141"/>
      <c r="Q158" s="141"/>
      <c r="R158" s="141"/>
      <c r="S158" s="262">
        <v>425.0</v>
      </c>
      <c r="T158" s="262">
        <v>194.0</v>
      </c>
      <c r="U158" s="262">
        <v>97.0</v>
      </c>
      <c r="V158" s="262">
        <v>61.0</v>
      </c>
      <c r="W158" s="262">
        <v>54.0</v>
      </c>
      <c r="X158" s="262">
        <v>62.0</v>
      </c>
      <c r="Y158" s="262">
        <v>54.0</v>
      </c>
      <c r="Z158" s="262">
        <v>37.0</v>
      </c>
      <c r="AA158" s="332">
        <v>25.0</v>
      </c>
      <c r="AB158" s="262">
        <v>34.0</v>
      </c>
      <c r="AC158" s="1055">
        <v>34.0</v>
      </c>
      <c r="AD158" s="1055">
        <v>30.0</v>
      </c>
      <c r="AE158" s="1055">
        <v>26.0</v>
      </c>
      <c r="AF158" s="1015">
        <f t="shared" ref="AF158:AF159" si="36">SUM(B158:AE158)</f>
        <v>1133</v>
      </c>
    </row>
    <row r="159">
      <c r="A159" s="938" t="s">
        <v>908</v>
      </c>
      <c r="B159" s="141"/>
      <c r="C159" s="141"/>
      <c r="D159" s="141"/>
      <c r="E159" s="141"/>
      <c r="F159" s="141"/>
      <c r="G159" s="141"/>
      <c r="H159" s="141"/>
      <c r="I159" s="141"/>
      <c r="J159" s="141"/>
      <c r="K159" s="141"/>
      <c r="L159" s="141"/>
      <c r="M159" s="141"/>
      <c r="N159" s="141"/>
      <c r="O159" s="141"/>
      <c r="P159" s="141"/>
      <c r="Q159" s="141"/>
      <c r="R159" s="141"/>
      <c r="S159" s="332">
        <v>102.0</v>
      </c>
      <c r="T159" s="332">
        <v>58.0</v>
      </c>
      <c r="U159" s="262">
        <v>22.0</v>
      </c>
      <c r="V159" s="262">
        <v>16.0</v>
      </c>
      <c r="W159" s="262">
        <v>15.0</v>
      </c>
      <c r="X159" s="262">
        <v>10.0</v>
      </c>
      <c r="Y159" s="262">
        <v>19.0</v>
      </c>
      <c r="Z159" s="262">
        <v>15.0</v>
      </c>
      <c r="AA159" s="332">
        <v>14.0</v>
      </c>
      <c r="AB159" s="262">
        <v>12.0</v>
      </c>
      <c r="AC159" s="1055">
        <v>12.0</v>
      </c>
      <c r="AD159" s="1055">
        <v>7.0</v>
      </c>
      <c r="AE159" s="1055">
        <v>12.0</v>
      </c>
      <c r="AF159" s="1015">
        <f t="shared" si="36"/>
        <v>314</v>
      </c>
    </row>
    <row r="160">
      <c r="A160" s="1048" t="s">
        <v>95</v>
      </c>
      <c r="B160" s="145">
        <f t="shared" ref="B160:AE160" si="37">SUM(B151:B159)</f>
        <v>44</v>
      </c>
      <c r="C160" s="145">
        <f t="shared" si="37"/>
        <v>87</v>
      </c>
      <c r="D160" s="145">
        <f t="shared" si="37"/>
        <v>117</v>
      </c>
      <c r="E160" s="145">
        <f t="shared" si="37"/>
        <v>103</v>
      </c>
      <c r="F160" s="145">
        <f t="shared" si="37"/>
        <v>94</v>
      </c>
      <c r="G160" s="145">
        <f t="shared" si="37"/>
        <v>76</v>
      </c>
      <c r="H160" s="145">
        <f t="shared" si="37"/>
        <v>57</v>
      </c>
      <c r="I160" s="145">
        <f t="shared" si="37"/>
        <v>35</v>
      </c>
      <c r="J160" s="145">
        <f t="shared" si="37"/>
        <v>36</v>
      </c>
      <c r="K160" s="145">
        <f t="shared" si="37"/>
        <v>74</v>
      </c>
      <c r="L160" s="145">
        <f t="shared" si="37"/>
        <v>73</v>
      </c>
      <c r="M160" s="145">
        <f t="shared" si="37"/>
        <v>48</v>
      </c>
      <c r="N160" s="145">
        <f t="shared" si="37"/>
        <v>45</v>
      </c>
      <c r="O160" s="145">
        <f t="shared" si="37"/>
        <v>63</v>
      </c>
      <c r="P160" s="145">
        <f t="shared" si="37"/>
        <v>51</v>
      </c>
      <c r="Q160" s="145">
        <f t="shared" si="37"/>
        <v>69</v>
      </c>
      <c r="R160" s="145">
        <f t="shared" si="37"/>
        <v>53</v>
      </c>
      <c r="S160" s="145">
        <f t="shared" si="37"/>
        <v>636</v>
      </c>
      <c r="T160" s="145">
        <f t="shared" si="37"/>
        <v>381</v>
      </c>
      <c r="U160" s="145">
        <f t="shared" si="37"/>
        <v>185</v>
      </c>
      <c r="V160" s="145">
        <f t="shared" si="37"/>
        <v>150</v>
      </c>
      <c r="W160" s="145">
        <f t="shared" si="37"/>
        <v>129</v>
      </c>
      <c r="X160" s="145">
        <f t="shared" si="37"/>
        <v>134</v>
      </c>
      <c r="Y160" s="145">
        <f t="shared" si="37"/>
        <v>149</v>
      </c>
      <c r="Z160" s="145">
        <f t="shared" si="37"/>
        <v>120</v>
      </c>
      <c r="AA160" s="145">
        <f t="shared" si="37"/>
        <v>86</v>
      </c>
      <c r="AB160" s="145">
        <f t="shared" si="37"/>
        <v>109</v>
      </c>
      <c r="AC160" s="145">
        <f t="shared" si="37"/>
        <v>111</v>
      </c>
      <c r="AD160" s="145">
        <f t="shared" si="37"/>
        <v>96</v>
      </c>
      <c r="AE160" s="145">
        <f t="shared" si="37"/>
        <v>91</v>
      </c>
      <c r="AF160" s="1015">
        <f>sum(B160:AE160)</f>
        <v>3502</v>
      </c>
    </row>
    <row r="161">
      <c r="A161" s="854"/>
      <c r="AF161" s="1015"/>
    </row>
    <row r="162">
      <c r="A162" s="938" t="s">
        <v>909</v>
      </c>
      <c r="B162" s="1058"/>
      <c r="C162" s="1058"/>
      <c r="D162" s="1058"/>
      <c r="E162" s="1058"/>
      <c r="F162" s="1058"/>
      <c r="G162" s="1058"/>
      <c r="H162" s="1058"/>
      <c r="I162" s="1058"/>
      <c r="J162" s="1058"/>
      <c r="K162" s="1058"/>
      <c r="L162" s="1058"/>
      <c r="M162" s="626"/>
      <c r="N162" s="1058"/>
      <c r="O162" s="1058"/>
      <c r="P162" s="1058"/>
      <c r="Q162" s="1058"/>
      <c r="R162" s="1058"/>
      <c r="S162" s="1058"/>
      <c r="T162" s="1058"/>
      <c r="U162" s="1058"/>
      <c r="V162" s="1058"/>
      <c r="W162" s="1058"/>
      <c r="X162" s="1058"/>
      <c r="Y162" s="1058"/>
      <c r="Z162" s="1058"/>
      <c r="AA162" s="1058"/>
      <c r="AB162" s="1058"/>
      <c r="AC162" s="1058"/>
      <c r="AD162" s="1058"/>
      <c r="AE162" s="1058"/>
      <c r="AF162" s="1015">
        <f t="shared" ref="AF162:AF164" si="38">sum(B162:AE162)</f>
        <v>0</v>
      </c>
    </row>
    <row r="163">
      <c r="A163" s="938" t="s">
        <v>910</v>
      </c>
      <c r="B163" s="1058"/>
      <c r="C163" s="1058"/>
      <c r="D163" s="1058"/>
      <c r="E163" s="1058"/>
      <c r="F163" s="1058"/>
      <c r="G163" s="1058"/>
      <c r="H163" s="1058"/>
      <c r="I163" s="1058"/>
      <c r="J163" s="1058"/>
      <c r="K163" s="1058"/>
      <c r="L163" s="1058"/>
      <c r="M163" s="1058"/>
      <c r="N163" s="1058"/>
      <c r="O163" s="1058"/>
      <c r="P163" s="1058"/>
      <c r="Q163" s="1058"/>
      <c r="R163" s="1058"/>
      <c r="S163" s="1058"/>
      <c r="T163" s="1058"/>
      <c r="U163" s="1058"/>
      <c r="V163" s="1058"/>
      <c r="W163" s="1058"/>
      <c r="X163" s="1058"/>
      <c r="Y163" s="1058"/>
      <c r="Z163" s="1058"/>
      <c r="AA163" s="1058"/>
      <c r="AB163" s="1058"/>
      <c r="AC163" s="1058"/>
      <c r="AD163" s="1058"/>
      <c r="AE163" s="1058"/>
      <c r="AF163" s="1015">
        <f t="shared" si="38"/>
        <v>0</v>
      </c>
    </row>
    <row r="164">
      <c r="A164" s="1048" t="s">
        <v>95</v>
      </c>
      <c r="B164" s="145">
        <f t="shared" ref="B164:AE164" si="39">SUM(B162:B163)</f>
        <v>0</v>
      </c>
      <c r="C164" s="145">
        <f t="shared" si="39"/>
        <v>0</v>
      </c>
      <c r="D164" s="145">
        <f t="shared" si="39"/>
        <v>0</v>
      </c>
      <c r="E164" s="145">
        <f t="shared" si="39"/>
        <v>0</v>
      </c>
      <c r="F164" s="145">
        <f t="shared" si="39"/>
        <v>0</v>
      </c>
      <c r="G164" s="145">
        <f t="shared" si="39"/>
        <v>0</v>
      </c>
      <c r="H164" s="145">
        <f t="shared" si="39"/>
        <v>0</v>
      </c>
      <c r="I164" s="145">
        <f t="shared" si="39"/>
        <v>0</v>
      </c>
      <c r="J164" s="145">
        <f t="shared" si="39"/>
        <v>0</v>
      </c>
      <c r="K164" s="145">
        <f t="shared" si="39"/>
        <v>0</v>
      </c>
      <c r="L164" s="145">
        <f t="shared" si="39"/>
        <v>0</v>
      </c>
      <c r="M164" s="145">
        <f t="shared" si="39"/>
        <v>0</v>
      </c>
      <c r="N164" s="145">
        <f t="shared" si="39"/>
        <v>0</v>
      </c>
      <c r="O164" s="145">
        <f t="shared" si="39"/>
        <v>0</v>
      </c>
      <c r="P164" s="145">
        <f t="shared" si="39"/>
        <v>0</v>
      </c>
      <c r="Q164" s="145">
        <f t="shared" si="39"/>
        <v>0</v>
      </c>
      <c r="R164" s="145">
        <f t="shared" si="39"/>
        <v>0</v>
      </c>
      <c r="S164" s="145">
        <f t="shared" si="39"/>
        <v>0</v>
      </c>
      <c r="T164" s="145">
        <f t="shared" si="39"/>
        <v>0</v>
      </c>
      <c r="U164" s="145">
        <f t="shared" si="39"/>
        <v>0</v>
      </c>
      <c r="V164" s="145">
        <f t="shared" si="39"/>
        <v>0</v>
      </c>
      <c r="W164" s="145">
        <f t="shared" si="39"/>
        <v>0</v>
      </c>
      <c r="X164" s="145">
        <f t="shared" si="39"/>
        <v>0</v>
      </c>
      <c r="Y164" s="145">
        <f t="shared" si="39"/>
        <v>0</v>
      </c>
      <c r="Z164" s="145">
        <f t="shared" si="39"/>
        <v>0</v>
      </c>
      <c r="AA164" s="145">
        <f t="shared" si="39"/>
        <v>0</v>
      </c>
      <c r="AB164" s="145">
        <f t="shared" si="39"/>
        <v>0</v>
      </c>
      <c r="AC164" s="145">
        <f t="shared" si="39"/>
        <v>0</v>
      </c>
      <c r="AD164" s="145">
        <f t="shared" si="39"/>
        <v>0</v>
      </c>
      <c r="AE164" s="145">
        <f t="shared" si="39"/>
        <v>0</v>
      </c>
      <c r="AF164" s="1015">
        <f t="shared" si="38"/>
        <v>0</v>
      </c>
    </row>
    <row r="165">
      <c r="A165" s="854"/>
      <c r="AF165" s="1015"/>
    </row>
    <row r="166">
      <c r="A166" s="854"/>
      <c r="AF166" s="1015"/>
    </row>
    <row r="167">
      <c r="A167" s="931" t="s">
        <v>245</v>
      </c>
      <c r="AF167" s="1015"/>
    </row>
    <row r="168">
      <c r="A168" s="938" t="s">
        <v>911</v>
      </c>
      <c r="B168" s="1061">
        <f t="shared" ref="B168:AE168" si="40">B145-B186</f>
        <v>9</v>
      </c>
      <c r="C168" s="1061">
        <f t="shared" si="40"/>
        <v>25</v>
      </c>
      <c r="D168" s="1061">
        <f t="shared" si="40"/>
        <v>25</v>
      </c>
      <c r="E168" s="1061">
        <f t="shared" si="40"/>
        <v>43</v>
      </c>
      <c r="F168" s="1061">
        <f t="shared" si="40"/>
        <v>34</v>
      </c>
      <c r="G168" s="1061">
        <f t="shared" si="40"/>
        <v>22</v>
      </c>
      <c r="H168" s="1061">
        <f t="shared" si="40"/>
        <v>20</v>
      </c>
      <c r="I168" s="1061">
        <f t="shared" si="40"/>
        <v>12</v>
      </c>
      <c r="J168" s="1061">
        <f t="shared" si="40"/>
        <v>13</v>
      </c>
      <c r="K168" s="1061">
        <f t="shared" si="40"/>
        <v>14</v>
      </c>
      <c r="L168" s="1061">
        <f t="shared" si="40"/>
        <v>17</v>
      </c>
      <c r="M168" s="1061">
        <f t="shared" si="40"/>
        <v>18</v>
      </c>
      <c r="N168" s="1061">
        <f t="shared" si="40"/>
        <v>18</v>
      </c>
      <c r="O168" s="1061">
        <f t="shared" si="40"/>
        <v>18</v>
      </c>
      <c r="P168" s="1061">
        <f t="shared" si="40"/>
        <v>14</v>
      </c>
      <c r="Q168" s="1061">
        <f t="shared" si="40"/>
        <v>18</v>
      </c>
      <c r="R168" s="1061">
        <f t="shared" si="40"/>
        <v>20</v>
      </c>
      <c r="S168" s="1061">
        <f t="shared" si="40"/>
        <v>25</v>
      </c>
      <c r="T168" s="1061">
        <f t="shared" si="40"/>
        <v>16</v>
      </c>
      <c r="U168" s="1061">
        <f t="shared" si="40"/>
        <v>15</v>
      </c>
      <c r="V168" s="1061">
        <f t="shared" si="40"/>
        <v>17</v>
      </c>
      <c r="W168" s="1061">
        <f t="shared" si="40"/>
        <v>15</v>
      </c>
      <c r="X168" s="1061">
        <f t="shared" si="40"/>
        <v>10</v>
      </c>
      <c r="Y168" s="1061">
        <f t="shared" si="40"/>
        <v>11</v>
      </c>
      <c r="Z168" s="1061">
        <f t="shared" si="40"/>
        <v>9</v>
      </c>
      <c r="AA168" s="1061">
        <f t="shared" si="40"/>
        <v>7</v>
      </c>
      <c r="AB168" s="1061">
        <f t="shared" si="40"/>
        <v>12</v>
      </c>
      <c r="AC168" s="1061">
        <f t="shared" si="40"/>
        <v>17</v>
      </c>
      <c r="AD168" s="1061">
        <f t="shared" si="40"/>
        <v>12</v>
      </c>
      <c r="AE168" s="1061">
        <f t="shared" si="40"/>
        <v>15</v>
      </c>
      <c r="AF168" s="1015">
        <f>sum(B168:AE168)</f>
        <v>521</v>
      </c>
    </row>
    <row r="169">
      <c r="A169" s="938" t="s">
        <v>912</v>
      </c>
      <c r="B169" s="141"/>
      <c r="C169" s="141"/>
      <c r="D169" s="141"/>
      <c r="E169" s="141"/>
      <c r="F169" s="141"/>
      <c r="G169" s="141"/>
      <c r="H169" s="141"/>
      <c r="I169" s="141"/>
      <c r="J169" s="141"/>
      <c r="K169" s="141"/>
      <c r="L169" s="141"/>
      <c r="M169" s="141"/>
      <c r="N169" s="141"/>
      <c r="O169" s="141"/>
      <c r="P169" s="141"/>
      <c r="Q169" s="141"/>
      <c r="R169" s="141"/>
      <c r="S169" s="23"/>
      <c r="T169" s="23"/>
      <c r="U169" s="1061">
        <f t="shared" ref="U169:AE169" si="41">U146-U187</f>
        <v>5</v>
      </c>
      <c r="V169" s="1061">
        <f t="shared" si="41"/>
        <v>1</v>
      </c>
      <c r="W169" s="1061">
        <f t="shared" si="41"/>
        <v>2</v>
      </c>
      <c r="X169" s="1061">
        <f t="shared" si="41"/>
        <v>1</v>
      </c>
      <c r="Y169" s="1061">
        <f t="shared" si="41"/>
        <v>7</v>
      </c>
      <c r="Z169" s="1061">
        <f t="shared" si="41"/>
        <v>7</v>
      </c>
      <c r="AA169" s="1061">
        <f t="shared" si="41"/>
        <v>4</v>
      </c>
      <c r="AB169" s="1061">
        <f t="shared" si="41"/>
        <v>4</v>
      </c>
      <c r="AC169" s="1061">
        <f t="shared" si="41"/>
        <v>4</v>
      </c>
      <c r="AD169" s="1061">
        <f t="shared" si="41"/>
        <v>4</v>
      </c>
      <c r="AE169" s="1061">
        <f t="shared" si="41"/>
        <v>4</v>
      </c>
      <c r="AF169" s="1015"/>
    </row>
    <row r="170">
      <c r="A170" s="938" t="s">
        <v>913</v>
      </c>
      <c r="B170" s="1061">
        <f t="shared" ref="B170:AE170" si="42">B147-B188</f>
        <v>38</v>
      </c>
      <c r="C170" s="1061">
        <f t="shared" si="42"/>
        <v>57</v>
      </c>
      <c r="D170" s="1061">
        <f t="shared" si="42"/>
        <v>64</v>
      </c>
      <c r="E170" s="1061">
        <f t="shared" si="42"/>
        <v>77</v>
      </c>
      <c r="F170" s="1061">
        <f t="shared" si="42"/>
        <v>79</v>
      </c>
      <c r="G170" s="1061">
        <f t="shared" si="42"/>
        <v>46</v>
      </c>
      <c r="H170" s="1061">
        <f t="shared" si="42"/>
        <v>41</v>
      </c>
      <c r="I170" s="1061">
        <f t="shared" si="42"/>
        <v>31</v>
      </c>
      <c r="J170" s="1061">
        <f t="shared" si="42"/>
        <v>38</v>
      </c>
      <c r="K170" s="1061">
        <f t="shared" si="42"/>
        <v>42</v>
      </c>
      <c r="L170" s="1061">
        <f t="shared" si="42"/>
        <v>36</v>
      </c>
      <c r="M170" s="1061">
        <f t="shared" si="42"/>
        <v>23</v>
      </c>
      <c r="N170" s="1061">
        <f t="shared" si="42"/>
        <v>34</v>
      </c>
      <c r="O170" s="1061">
        <f t="shared" si="42"/>
        <v>35</v>
      </c>
      <c r="P170" s="1061">
        <f t="shared" si="42"/>
        <v>40</v>
      </c>
      <c r="Q170" s="1061">
        <f t="shared" si="42"/>
        <v>48</v>
      </c>
      <c r="R170" s="1061">
        <f t="shared" si="42"/>
        <v>43</v>
      </c>
      <c r="S170" s="1061">
        <f t="shared" si="42"/>
        <v>38</v>
      </c>
      <c r="T170" s="1061">
        <f t="shared" si="42"/>
        <v>25</v>
      </c>
      <c r="U170" s="1061">
        <f t="shared" si="42"/>
        <v>35</v>
      </c>
      <c r="V170" s="1061">
        <f t="shared" si="42"/>
        <v>32</v>
      </c>
      <c r="W170" s="1061">
        <f t="shared" si="42"/>
        <v>22</v>
      </c>
      <c r="X170" s="1061">
        <f t="shared" si="42"/>
        <v>28</v>
      </c>
      <c r="Y170" s="1061">
        <f t="shared" si="42"/>
        <v>28</v>
      </c>
      <c r="Z170" s="1061">
        <f t="shared" si="42"/>
        <v>28</v>
      </c>
      <c r="AA170" s="1061">
        <f t="shared" si="42"/>
        <v>14</v>
      </c>
      <c r="AB170" s="1061">
        <f t="shared" si="42"/>
        <v>25</v>
      </c>
      <c r="AC170" s="1061">
        <f t="shared" si="42"/>
        <v>22</v>
      </c>
      <c r="AD170" s="1061">
        <f t="shared" si="42"/>
        <v>30</v>
      </c>
      <c r="AE170" s="1061">
        <f t="shared" si="42"/>
        <v>39</v>
      </c>
      <c r="AF170" s="1015">
        <f>sum(B170:AE170)</f>
        <v>1138</v>
      </c>
    </row>
    <row r="171">
      <c r="A171" s="938" t="s">
        <v>914</v>
      </c>
      <c r="B171" s="141"/>
      <c r="C171" s="141"/>
      <c r="D171" s="141"/>
      <c r="E171" s="141"/>
      <c r="F171" s="141"/>
      <c r="G171" s="141"/>
      <c r="H171" s="141"/>
      <c r="I171" s="141"/>
      <c r="J171" s="141"/>
      <c r="K171" s="141"/>
      <c r="L171" s="141"/>
      <c r="M171" s="141"/>
      <c r="N171" s="141"/>
      <c r="O171" s="141"/>
      <c r="P171" s="141"/>
      <c r="Q171" s="141"/>
      <c r="R171" s="141"/>
      <c r="S171" s="23"/>
      <c r="T171" s="23"/>
      <c r="U171" s="1061">
        <f t="shared" ref="U171:AE171" si="43">U148-U189</f>
        <v>4</v>
      </c>
      <c r="V171" s="1061">
        <f t="shared" si="43"/>
        <v>4</v>
      </c>
      <c r="W171" s="1061">
        <f t="shared" si="43"/>
        <v>15</v>
      </c>
      <c r="X171" s="1061">
        <f t="shared" si="43"/>
        <v>16</v>
      </c>
      <c r="Y171" s="1061">
        <f t="shared" si="43"/>
        <v>18</v>
      </c>
      <c r="Z171" s="1061">
        <f t="shared" si="43"/>
        <v>23</v>
      </c>
      <c r="AA171" s="1061">
        <f t="shared" si="43"/>
        <v>15</v>
      </c>
      <c r="AB171" s="1061">
        <f t="shared" si="43"/>
        <v>23</v>
      </c>
      <c r="AC171" s="1061">
        <f t="shared" si="43"/>
        <v>14</v>
      </c>
      <c r="AD171" s="1061">
        <f t="shared" si="43"/>
        <v>19</v>
      </c>
      <c r="AE171" s="1061">
        <f t="shared" si="43"/>
        <v>14</v>
      </c>
      <c r="AF171" s="1015"/>
    </row>
    <row r="172">
      <c r="A172" s="1048" t="s">
        <v>179</v>
      </c>
      <c r="B172" s="1062">
        <f t="shared" ref="B172:AE172" si="44">SUM(B168:B171)</f>
        <v>47</v>
      </c>
      <c r="C172" s="1062">
        <f t="shared" si="44"/>
        <v>82</v>
      </c>
      <c r="D172" s="1062">
        <f t="shared" si="44"/>
        <v>89</v>
      </c>
      <c r="E172" s="1062">
        <f t="shared" si="44"/>
        <v>120</v>
      </c>
      <c r="F172" s="1062">
        <f t="shared" si="44"/>
        <v>113</v>
      </c>
      <c r="G172" s="1062">
        <f t="shared" si="44"/>
        <v>68</v>
      </c>
      <c r="H172" s="1062">
        <f t="shared" si="44"/>
        <v>61</v>
      </c>
      <c r="I172" s="1062">
        <f t="shared" si="44"/>
        <v>43</v>
      </c>
      <c r="J172" s="1062">
        <f t="shared" si="44"/>
        <v>51</v>
      </c>
      <c r="K172" s="1062">
        <f t="shared" si="44"/>
        <v>56</v>
      </c>
      <c r="L172" s="1062">
        <f t="shared" si="44"/>
        <v>53</v>
      </c>
      <c r="M172" s="1062">
        <f t="shared" si="44"/>
        <v>41</v>
      </c>
      <c r="N172" s="1062">
        <f t="shared" si="44"/>
        <v>52</v>
      </c>
      <c r="O172" s="1062">
        <f t="shared" si="44"/>
        <v>53</v>
      </c>
      <c r="P172" s="1062">
        <f t="shared" si="44"/>
        <v>54</v>
      </c>
      <c r="Q172" s="1062">
        <f t="shared" si="44"/>
        <v>66</v>
      </c>
      <c r="R172" s="1062">
        <f t="shared" si="44"/>
        <v>63</v>
      </c>
      <c r="S172" s="1062">
        <f t="shared" si="44"/>
        <v>63</v>
      </c>
      <c r="T172" s="1062">
        <f t="shared" si="44"/>
        <v>41</v>
      </c>
      <c r="U172" s="1062">
        <f t="shared" si="44"/>
        <v>59</v>
      </c>
      <c r="V172" s="1062">
        <f t="shared" si="44"/>
        <v>54</v>
      </c>
      <c r="W172" s="1062">
        <f t="shared" si="44"/>
        <v>54</v>
      </c>
      <c r="X172" s="1062">
        <f t="shared" si="44"/>
        <v>55</v>
      </c>
      <c r="Y172" s="1062">
        <f t="shared" si="44"/>
        <v>64</v>
      </c>
      <c r="Z172" s="1062">
        <f t="shared" si="44"/>
        <v>67</v>
      </c>
      <c r="AA172" s="1062">
        <f t="shared" si="44"/>
        <v>40</v>
      </c>
      <c r="AB172" s="1062">
        <f t="shared" si="44"/>
        <v>64</v>
      </c>
      <c r="AC172" s="1062">
        <f t="shared" si="44"/>
        <v>57</v>
      </c>
      <c r="AD172" s="1062">
        <f t="shared" si="44"/>
        <v>65</v>
      </c>
      <c r="AE172" s="1062">
        <f t="shared" si="44"/>
        <v>72</v>
      </c>
      <c r="AF172" s="1015">
        <f>sum(B172:AE172)</f>
        <v>1867</v>
      </c>
    </row>
    <row r="173">
      <c r="A173" s="20"/>
      <c r="AF173" s="1015"/>
    </row>
    <row r="174">
      <c r="A174" s="938" t="s">
        <v>147</v>
      </c>
      <c r="B174" s="1061">
        <f t="shared" ref="B174:AE174" si="45">B151-B192</f>
        <v>19</v>
      </c>
      <c r="C174" s="1061">
        <f t="shared" si="45"/>
        <v>30</v>
      </c>
      <c r="D174" s="1061">
        <f t="shared" si="45"/>
        <v>41</v>
      </c>
      <c r="E174" s="1061">
        <f t="shared" si="45"/>
        <v>34</v>
      </c>
      <c r="F174" s="1061">
        <f t="shared" si="45"/>
        <v>30</v>
      </c>
      <c r="G174" s="1061">
        <f t="shared" si="45"/>
        <v>24</v>
      </c>
      <c r="H174" s="1061">
        <f t="shared" si="45"/>
        <v>19</v>
      </c>
      <c r="I174" s="1061">
        <f t="shared" si="45"/>
        <v>11</v>
      </c>
      <c r="J174" s="1061">
        <f t="shared" si="45"/>
        <v>15</v>
      </c>
      <c r="K174" s="1061">
        <f t="shared" si="45"/>
        <v>25</v>
      </c>
      <c r="L174" s="1061">
        <f t="shared" si="45"/>
        <v>28</v>
      </c>
      <c r="M174" s="1061">
        <f t="shared" si="45"/>
        <v>15</v>
      </c>
      <c r="N174" s="1061">
        <f t="shared" si="45"/>
        <v>17</v>
      </c>
      <c r="O174" s="1061">
        <f t="shared" si="45"/>
        <v>20</v>
      </c>
      <c r="P174" s="1061">
        <f t="shared" si="45"/>
        <v>17</v>
      </c>
      <c r="Q174" s="1061">
        <f t="shared" si="45"/>
        <v>27</v>
      </c>
      <c r="R174" s="1061">
        <f t="shared" si="45"/>
        <v>22</v>
      </c>
      <c r="S174" s="1061">
        <f t="shared" si="45"/>
        <v>35</v>
      </c>
      <c r="T174" s="1061">
        <f t="shared" si="45"/>
        <v>33</v>
      </c>
      <c r="U174" s="1061">
        <f t="shared" si="45"/>
        <v>22</v>
      </c>
      <c r="V174" s="1061">
        <f t="shared" si="45"/>
        <v>18</v>
      </c>
      <c r="W174" s="1061">
        <f t="shared" si="45"/>
        <v>17</v>
      </c>
      <c r="X174" s="1061">
        <f t="shared" si="45"/>
        <v>18</v>
      </c>
      <c r="Y174" s="1061">
        <f t="shared" si="45"/>
        <v>27</v>
      </c>
      <c r="Z174" s="1061">
        <f t="shared" si="45"/>
        <v>21</v>
      </c>
      <c r="AA174" s="1061">
        <f t="shared" si="45"/>
        <v>15</v>
      </c>
      <c r="AB174" s="1061">
        <f t="shared" si="45"/>
        <v>22</v>
      </c>
      <c r="AC174" s="1061">
        <f t="shared" si="45"/>
        <v>24</v>
      </c>
      <c r="AD174" s="1061">
        <f t="shared" si="45"/>
        <v>19</v>
      </c>
      <c r="AE174" s="1061">
        <f t="shared" si="45"/>
        <v>21</v>
      </c>
      <c r="AF174" s="1015">
        <f t="shared" ref="AF174:AF177" si="46">sum(B174:AE174)</f>
        <v>686</v>
      </c>
    </row>
    <row r="175">
      <c r="A175" s="938" t="s">
        <v>636</v>
      </c>
      <c r="B175" s="1053"/>
      <c r="C175" s="1053"/>
      <c r="D175" s="1053"/>
      <c r="E175" s="1053"/>
      <c r="F175" s="1053"/>
      <c r="G175" s="1053"/>
      <c r="H175" s="1053"/>
      <c r="I175" s="1053"/>
      <c r="J175" s="1053"/>
      <c r="K175" s="1053"/>
      <c r="L175" s="1053"/>
      <c r="M175" s="1053"/>
      <c r="N175" s="1053"/>
      <c r="O175" s="1053"/>
      <c r="P175" s="1053"/>
      <c r="Q175" s="1053"/>
      <c r="R175" s="1053"/>
      <c r="S175" s="1053"/>
      <c r="T175" s="1053"/>
      <c r="U175" s="1053"/>
      <c r="V175" s="1053"/>
      <c r="W175" s="1053"/>
      <c r="X175" s="1053"/>
      <c r="Y175" s="1053"/>
      <c r="Z175" s="1053"/>
      <c r="AA175" s="1053"/>
      <c r="AB175" s="1053"/>
      <c r="AC175" s="1053"/>
      <c r="AD175" s="1053"/>
      <c r="AE175" s="1053"/>
      <c r="AF175" s="1015">
        <f t="shared" si="46"/>
        <v>0</v>
      </c>
    </row>
    <row r="176">
      <c r="A176" s="938" t="s">
        <v>150</v>
      </c>
      <c r="B176" s="1061">
        <f t="shared" ref="B176:AE176" si="47">B153-B194</f>
        <v>10</v>
      </c>
      <c r="C176" s="1061">
        <f t="shared" si="47"/>
        <v>18</v>
      </c>
      <c r="D176" s="1061">
        <f t="shared" si="47"/>
        <v>21</v>
      </c>
      <c r="E176" s="1061">
        <f t="shared" si="47"/>
        <v>21</v>
      </c>
      <c r="F176" s="1061">
        <f t="shared" si="47"/>
        <v>22</v>
      </c>
      <c r="G176" s="1061">
        <f t="shared" si="47"/>
        <v>17</v>
      </c>
      <c r="H176" s="1061">
        <f t="shared" si="47"/>
        <v>15</v>
      </c>
      <c r="I176" s="1061">
        <f t="shared" si="47"/>
        <v>9</v>
      </c>
      <c r="J176" s="1061">
        <f t="shared" si="47"/>
        <v>5</v>
      </c>
      <c r="K176" s="1061">
        <f t="shared" si="47"/>
        <v>21</v>
      </c>
      <c r="L176" s="1061">
        <f t="shared" si="47"/>
        <v>16</v>
      </c>
      <c r="M176" s="1061">
        <f t="shared" si="47"/>
        <v>11</v>
      </c>
      <c r="N176" s="1061">
        <f t="shared" si="47"/>
        <v>13</v>
      </c>
      <c r="O176" s="1061">
        <f t="shared" si="47"/>
        <v>20</v>
      </c>
      <c r="P176" s="1061">
        <f t="shared" si="47"/>
        <v>7</v>
      </c>
      <c r="Q176" s="1061">
        <f t="shared" si="47"/>
        <v>16</v>
      </c>
      <c r="R176" s="1061">
        <f t="shared" si="47"/>
        <v>11</v>
      </c>
      <c r="S176" s="1061">
        <f t="shared" si="47"/>
        <v>22</v>
      </c>
      <c r="T176" s="1061">
        <f t="shared" si="47"/>
        <v>31</v>
      </c>
      <c r="U176" s="1061">
        <f t="shared" si="47"/>
        <v>13</v>
      </c>
      <c r="V176" s="1061">
        <f t="shared" si="47"/>
        <v>12</v>
      </c>
      <c r="W176" s="1061">
        <f t="shared" si="47"/>
        <v>15</v>
      </c>
      <c r="X176" s="1061">
        <f t="shared" si="47"/>
        <v>16</v>
      </c>
      <c r="Y176" s="1061">
        <f t="shared" si="47"/>
        <v>20</v>
      </c>
      <c r="Z176" s="1061">
        <f t="shared" si="47"/>
        <v>16</v>
      </c>
      <c r="AA176" s="1061">
        <f t="shared" si="47"/>
        <v>5</v>
      </c>
      <c r="AB176" s="1061">
        <f t="shared" si="47"/>
        <v>14</v>
      </c>
      <c r="AC176" s="1061">
        <f t="shared" si="47"/>
        <v>18</v>
      </c>
      <c r="AD176" s="1061">
        <f t="shared" si="47"/>
        <v>12</v>
      </c>
      <c r="AE176" s="1061">
        <f t="shared" si="47"/>
        <v>16</v>
      </c>
      <c r="AF176" s="1015">
        <f t="shared" si="46"/>
        <v>463</v>
      </c>
    </row>
    <row r="177">
      <c r="A177" s="938" t="s">
        <v>915</v>
      </c>
      <c r="B177" s="1061">
        <f t="shared" ref="B177:AE177" si="48">B154-B195</f>
        <v>6</v>
      </c>
      <c r="C177" s="1061">
        <f t="shared" si="48"/>
        <v>12</v>
      </c>
      <c r="D177" s="1061">
        <f t="shared" si="48"/>
        <v>23</v>
      </c>
      <c r="E177" s="1061">
        <f t="shared" si="48"/>
        <v>22</v>
      </c>
      <c r="F177" s="1061">
        <f t="shared" si="48"/>
        <v>18</v>
      </c>
      <c r="G177" s="1061">
        <f t="shared" si="48"/>
        <v>12</v>
      </c>
      <c r="H177" s="1061">
        <f t="shared" si="48"/>
        <v>16</v>
      </c>
      <c r="I177" s="1061">
        <f t="shared" si="48"/>
        <v>9</v>
      </c>
      <c r="J177" s="1061">
        <f t="shared" si="48"/>
        <v>8</v>
      </c>
      <c r="K177" s="1061">
        <f t="shared" si="48"/>
        <v>12</v>
      </c>
      <c r="L177" s="1061">
        <f t="shared" si="48"/>
        <v>12</v>
      </c>
      <c r="M177" s="1061">
        <f t="shared" si="48"/>
        <v>12</v>
      </c>
      <c r="N177" s="1061">
        <f t="shared" si="48"/>
        <v>10</v>
      </c>
      <c r="O177" s="1061">
        <f t="shared" si="48"/>
        <v>5</v>
      </c>
      <c r="P177" s="1061">
        <f t="shared" si="48"/>
        <v>3</v>
      </c>
      <c r="Q177" s="1061">
        <f t="shared" si="48"/>
        <v>11</v>
      </c>
      <c r="R177" s="1061">
        <f t="shared" si="48"/>
        <v>4</v>
      </c>
      <c r="S177" s="1061">
        <f t="shared" si="48"/>
        <v>-19</v>
      </c>
      <c r="T177" s="1061">
        <f t="shared" si="48"/>
        <v>27</v>
      </c>
      <c r="U177" s="1061">
        <f t="shared" si="48"/>
        <v>15</v>
      </c>
      <c r="V177" s="1061">
        <f t="shared" si="48"/>
        <v>21</v>
      </c>
      <c r="W177" s="1061">
        <f t="shared" si="48"/>
        <v>5</v>
      </c>
      <c r="X177" s="1061">
        <f t="shared" si="48"/>
        <v>12</v>
      </c>
      <c r="Y177" s="1061">
        <f t="shared" si="48"/>
        <v>8</v>
      </c>
      <c r="Z177" s="1061">
        <f t="shared" si="48"/>
        <v>6</v>
      </c>
      <c r="AA177" s="1061">
        <f t="shared" si="48"/>
        <v>5</v>
      </c>
      <c r="AB177" s="1061">
        <f t="shared" si="48"/>
        <v>4</v>
      </c>
      <c r="AC177" s="1061">
        <f t="shared" si="48"/>
        <v>9</v>
      </c>
      <c r="AD177" s="1061">
        <f t="shared" si="48"/>
        <v>8</v>
      </c>
      <c r="AE177" s="1061">
        <f t="shared" si="48"/>
        <v>7</v>
      </c>
      <c r="AF177" s="1015">
        <f t="shared" si="46"/>
        <v>303</v>
      </c>
    </row>
    <row r="178">
      <c r="A178" s="938" t="s">
        <v>916</v>
      </c>
      <c r="B178" s="141"/>
      <c r="C178" s="141"/>
      <c r="D178" s="141"/>
      <c r="E178" s="141"/>
      <c r="F178" s="141"/>
      <c r="G178" s="141"/>
      <c r="H178" s="141"/>
      <c r="I178" s="141"/>
      <c r="J178" s="141"/>
      <c r="K178" s="141"/>
      <c r="L178" s="141"/>
      <c r="M178" s="141"/>
      <c r="N178" s="141"/>
      <c r="O178" s="141"/>
      <c r="P178" s="141"/>
      <c r="Q178" s="141"/>
      <c r="R178" s="141"/>
      <c r="S178" s="23"/>
      <c r="T178" s="23"/>
      <c r="U178" s="1061">
        <f t="shared" ref="U178:AE178" si="49">U155-U196</f>
        <v>1</v>
      </c>
      <c r="V178" s="1061">
        <f t="shared" si="49"/>
        <v>10</v>
      </c>
      <c r="W178" s="1061">
        <f t="shared" si="49"/>
        <v>9</v>
      </c>
      <c r="X178" s="1061">
        <f t="shared" si="49"/>
        <v>4</v>
      </c>
      <c r="Y178" s="1061">
        <f t="shared" si="49"/>
        <v>9</v>
      </c>
      <c r="Z178" s="1061">
        <f t="shared" si="49"/>
        <v>7</v>
      </c>
      <c r="AA178" s="1061">
        <f t="shared" si="49"/>
        <v>6</v>
      </c>
      <c r="AB178" s="1061">
        <f t="shared" si="49"/>
        <v>4</v>
      </c>
      <c r="AC178" s="1061">
        <f t="shared" si="49"/>
        <v>5</v>
      </c>
      <c r="AD178" s="1061">
        <f t="shared" si="49"/>
        <v>10</v>
      </c>
      <c r="AE178" s="1061">
        <f t="shared" si="49"/>
        <v>5</v>
      </c>
      <c r="AF178" s="1015"/>
    </row>
    <row r="179">
      <c r="A179" s="938" t="s">
        <v>917</v>
      </c>
      <c r="B179" s="1061">
        <f t="shared" ref="B179:AE179" si="50">B156-B197</f>
        <v>1</v>
      </c>
      <c r="C179" s="1061">
        <f t="shared" si="50"/>
        <v>4</v>
      </c>
      <c r="D179" s="1061">
        <f t="shared" si="50"/>
        <v>6</v>
      </c>
      <c r="E179" s="1061">
        <f t="shared" si="50"/>
        <v>5</v>
      </c>
      <c r="F179" s="1061">
        <f t="shared" si="50"/>
        <v>6</v>
      </c>
      <c r="G179" s="1061">
        <f t="shared" si="50"/>
        <v>8</v>
      </c>
      <c r="H179" s="1061">
        <f t="shared" si="50"/>
        <v>3</v>
      </c>
      <c r="I179" s="1061">
        <f t="shared" si="50"/>
        <v>3</v>
      </c>
      <c r="J179" s="1061">
        <f t="shared" si="50"/>
        <v>2</v>
      </c>
      <c r="K179" s="1061">
        <f t="shared" si="50"/>
        <v>6</v>
      </c>
      <c r="L179" s="1061">
        <f t="shared" si="50"/>
        <v>4</v>
      </c>
      <c r="M179" s="1061">
        <f t="shared" si="50"/>
        <v>3</v>
      </c>
      <c r="N179" s="1061">
        <f t="shared" si="50"/>
        <v>3</v>
      </c>
      <c r="O179" s="1061">
        <f t="shared" si="50"/>
        <v>3</v>
      </c>
      <c r="P179" s="1061">
        <f t="shared" si="50"/>
        <v>3</v>
      </c>
      <c r="Q179" s="1061">
        <f t="shared" si="50"/>
        <v>2</v>
      </c>
      <c r="R179" s="1061">
        <f t="shared" si="50"/>
        <v>7</v>
      </c>
      <c r="S179" s="1061">
        <f t="shared" si="50"/>
        <v>2</v>
      </c>
      <c r="T179" s="1061">
        <f t="shared" si="50"/>
        <v>0</v>
      </c>
      <c r="U179" s="1061">
        <f t="shared" si="50"/>
        <v>3</v>
      </c>
      <c r="V179" s="1061">
        <f t="shared" si="50"/>
        <v>7</v>
      </c>
      <c r="W179" s="1061">
        <f t="shared" si="50"/>
        <v>7</v>
      </c>
      <c r="X179" s="1061">
        <f t="shared" si="50"/>
        <v>7</v>
      </c>
      <c r="Y179" s="1061">
        <f t="shared" si="50"/>
        <v>5</v>
      </c>
      <c r="Z179" s="1061">
        <f t="shared" si="50"/>
        <v>3</v>
      </c>
      <c r="AA179" s="1061">
        <f t="shared" si="50"/>
        <v>3</v>
      </c>
      <c r="AB179" s="1061">
        <f t="shared" si="50"/>
        <v>4</v>
      </c>
      <c r="AC179" s="1061">
        <f t="shared" si="50"/>
        <v>3</v>
      </c>
      <c r="AD179" s="1061">
        <f t="shared" si="50"/>
        <v>6</v>
      </c>
      <c r="AE179" s="1061">
        <f t="shared" si="50"/>
        <v>2</v>
      </c>
      <c r="AF179" s="1015">
        <f>sum(B179:AE179)</f>
        <v>121</v>
      </c>
    </row>
    <row r="180">
      <c r="A180" s="938" t="s">
        <v>918</v>
      </c>
      <c r="B180" s="141"/>
      <c r="C180" s="141"/>
      <c r="D180" s="141"/>
      <c r="E180" s="141"/>
      <c r="F180" s="141"/>
      <c r="G180" s="141"/>
      <c r="H180" s="141"/>
      <c r="I180" s="141"/>
      <c r="J180" s="141"/>
      <c r="K180" s="141"/>
      <c r="L180" s="141"/>
      <c r="M180" s="141"/>
      <c r="N180" s="141"/>
      <c r="O180" s="141"/>
      <c r="P180" s="141"/>
      <c r="Q180" s="141"/>
      <c r="R180" s="141"/>
      <c r="S180" s="23"/>
      <c r="T180" s="23"/>
      <c r="U180" s="1061">
        <f t="shared" ref="U180:AE180" si="51">U157-U198</f>
        <v>3</v>
      </c>
      <c r="V180" s="1061">
        <f t="shared" si="51"/>
        <v>3</v>
      </c>
      <c r="W180" s="1061">
        <f t="shared" si="51"/>
        <v>2</v>
      </c>
      <c r="X180" s="1061">
        <f t="shared" si="51"/>
        <v>1</v>
      </c>
      <c r="Y180" s="1061">
        <f t="shared" si="51"/>
        <v>1</v>
      </c>
      <c r="Z180" s="1061">
        <f t="shared" si="51"/>
        <v>0</v>
      </c>
      <c r="AA180" s="1061">
        <f t="shared" si="51"/>
        <v>3</v>
      </c>
      <c r="AB180" s="1061">
        <f t="shared" si="51"/>
        <v>1</v>
      </c>
      <c r="AC180" s="1061">
        <f t="shared" si="51"/>
        <v>0</v>
      </c>
      <c r="AD180" s="1061">
        <f t="shared" si="51"/>
        <v>0</v>
      </c>
      <c r="AE180" s="1061">
        <f t="shared" si="51"/>
        <v>0</v>
      </c>
      <c r="AF180" s="1015"/>
    </row>
    <row r="181">
      <c r="A181" s="938" t="s">
        <v>919</v>
      </c>
      <c r="B181" s="1064"/>
      <c r="C181" s="1064"/>
      <c r="D181" s="1064"/>
      <c r="E181" s="1064"/>
      <c r="F181" s="1064"/>
      <c r="G181" s="1064"/>
      <c r="H181" s="1064"/>
      <c r="I181" s="1064"/>
      <c r="J181" s="1064"/>
      <c r="K181" s="1064"/>
      <c r="L181" s="1064"/>
      <c r="M181" s="1064"/>
      <c r="N181" s="1064"/>
      <c r="O181" s="1064"/>
      <c r="P181" s="1064"/>
      <c r="Q181" s="1064"/>
      <c r="R181" s="1064"/>
      <c r="S181" s="1061">
        <f t="shared" ref="S181:AE181" si="52">S158-S199</f>
        <v>328</v>
      </c>
      <c r="T181" s="1061">
        <f t="shared" si="52"/>
        <v>168</v>
      </c>
      <c r="U181" s="1061">
        <f t="shared" si="52"/>
        <v>82</v>
      </c>
      <c r="V181" s="1061">
        <f t="shared" si="52"/>
        <v>56</v>
      </c>
      <c r="W181" s="1061">
        <f t="shared" si="52"/>
        <v>47</v>
      </c>
      <c r="X181" s="1061">
        <f t="shared" si="52"/>
        <v>54</v>
      </c>
      <c r="Y181" s="1061">
        <f t="shared" si="52"/>
        <v>49</v>
      </c>
      <c r="Z181" s="1061">
        <f t="shared" si="52"/>
        <v>28</v>
      </c>
      <c r="AA181" s="1061">
        <f t="shared" si="52"/>
        <v>22</v>
      </c>
      <c r="AB181" s="1061">
        <f t="shared" si="52"/>
        <v>29</v>
      </c>
      <c r="AC181" s="1061">
        <f t="shared" si="52"/>
        <v>31</v>
      </c>
      <c r="AD181" s="1061">
        <f t="shared" si="52"/>
        <v>28</v>
      </c>
      <c r="AE181" s="1061">
        <f t="shared" si="52"/>
        <v>24</v>
      </c>
      <c r="AF181" s="1015"/>
    </row>
    <row r="182">
      <c r="A182" s="938" t="s">
        <v>920</v>
      </c>
      <c r="B182" s="1064"/>
      <c r="C182" s="1064"/>
      <c r="D182" s="1064"/>
      <c r="E182" s="1064"/>
      <c r="F182" s="1064"/>
      <c r="G182" s="1064"/>
      <c r="H182" s="1064"/>
      <c r="I182" s="1064"/>
      <c r="J182" s="1064"/>
      <c r="K182" s="1064"/>
      <c r="L182" s="1064"/>
      <c r="M182" s="1064"/>
      <c r="N182" s="1064"/>
      <c r="O182" s="1064"/>
      <c r="P182" s="1064"/>
      <c r="Q182" s="1064"/>
      <c r="R182" s="1064"/>
      <c r="S182" s="23"/>
      <c r="T182" s="23"/>
      <c r="U182" s="1061">
        <f t="shared" ref="U182:AE182" si="53">U159-U200</f>
        <v>18</v>
      </c>
      <c r="V182" s="1061">
        <f t="shared" si="53"/>
        <v>14</v>
      </c>
      <c r="W182" s="1061">
        <f t="shared" si="53"/>
        <v>13</v>
      </c>
      <c r="X182" s="1061">
        <f t="shared" si="53"/>
        <v>8</v>
      </c>
      <c r="Y182" s="1061">
        <f t="shared" si="53"/>
        <v>15</v>
      </c>
      <c r="Z182" s="1061">
        <f t="shared" si="53"/>
        <v>11</v>
      </c>
      <c r="AA182" s="1061">
        <f t="shared" si="53"/>
        <v>13</v>
      </c>
      <c r="AB182" s="1061">
        <f t="shared" si="53"/>
        <v>8</v>
      </c>
      <c r="AC182" s="1061">
        <f t="shared" si="53"/>
        <v>10</v>
      </c>
      <c r="AD182" s="1061">
        <f t="shared" si="53"/>
        <v>5</v>
      </c>
      <c r="AE182" s="1061">
        <f t="shared" si="53"/>
        <v>8</v>
      </c>
      <c r="AF182" s="1015"/>
    </row>
    <row r="183">
      <c r="A183" s="1048" t="s">
        <v>95</v>
      </c>
      <c r="B183" s="1062">
        <f t="shared" ref="B183:AE183" si="54">SUM(B174:B182)</f>
        <v>36</v>
      </c>
      <c r="C183" s="1062">
        <f t="shared" si="54"/>
        <v>64</v>
      </c>
      <c r="D183" s="1062">
        <f t="shared" si="54"/>
        <v>91</v>
      </c>
      <c r="E183" s="1062">
        <f t="shared" si="54"/>
        <v>82</v>
      </c>
      <c r="F183" s="1062">
        <f t="shared" si="54"/>
        <v>76</v>
      </c>
      <c r="G183" s="1062">
        <f t="shared" si="54"/>
        <v>61</v>
      </c>
      <c r="H183" s="1062">
        <f t="shared" si="54"/>
        <v>53</v>
      </c>
      <c r="I183" s="1062">
        <f t="shared" si="54"/>
        <v>32</v>
      </c>
      <c r="J183" s="1062">
        <f t="shared" si="54"/>
        <v>30</v>
      </c>
      <c r="K183" s="1062">
        <f t="shared" si="54"/>
        <v>64</v>
      </c>
      <c r="L183" s="1062">
        <f t="shared" si="54"/>
        <v>60</v>
      </c>
      <c r="M183" s="1062">
        <f t="shared" si="54"/>
        <v>41</v>
      </c>
      <c r="N183" s="1062">
        <f t="shared" si="54"/>
        <v>43</v>
      </c>
      <c r="O183" s="1062">
        <f t="shared" si="54"/>
        <v>48</v>
      </c>
      <c r="P183" s="1062">
        <f t="shared" si="54"/>
        <v>30</v>
      </c>
      <c r="Q183" s="1062">
        <f t="shared" si="54"/>
        <v>56</v>
      </c>
      <c r="R183" s="1062">
        <f t="shared" si="54"/>
        <v>44</v>
      </c>
      <c r="S183" s="1062">
        <f t="shared" si="54"/>
        <v>368</v>
      </c>
      <c r="T183" s="1062">
        <f t="shared" si="54"/>
        <v>259</v>
      </c>
      <c r="U183" s="1062">
        <f t="shared" si="54"/>
        <v>157</v>
      </c>
      <c r="V183" s="1062">
        <f t="shared" si="54"/>
        <v>141</v>
      </c>
      <c r="W183" s="1062">
        <f t="shared" si="54"/>
        <v>115</v>
      </c>
      <c r="X183" s="1062">
        <f t="shared" si="54"/>
        <v>120</v>
      </c>
      <c r="Y183" s="1062">
        <f t="shared" si="54"/>
        <v>134</v>
      </c>
      <c r="Z183" s="1062">
        <f t="shared" si="54"/>
        <v>92</v>
      </c>
      <c r="AA183" s="1062">
        <f t="shared" si="54"/>
        <v>72</v>
      </c>
      <c r="AB183" s="1062">
        <f t="shared" si="54"/>
        <v>86</v>
      </c>
      <c r="AC183" s="1062">
        <f t="shared" si="54"/>
        <v>100</v>
      </c>
      <c r="AD183" s="1062">
        <f t="shared" si="54"/>
        <v>88</v>
      </c>
      <c r="AE183" s="1062">
        <f t="shared" si="54"/>
        <v>83</v>
      </c>
      <c r="AF183" s="1015">
        <f>sum(B183:AE183)</f>
        <v>2726</v>
      </c>
    </row>
    <row r="184">
      <c r="A184" s="854"/>
      <c r="AF184" s="1015"/>
    </row>
    <row r="185">
      <c r="A185" s="931" t="s">
        <v>293</v>
      </c>
      <c r="AF185" s="1015"/>
    </row>
    <row r="186">
      <c r="A186" s="938" t="s">
        <v>921</v>
      </c>
      <c r="B186" s="1061">
        <v>1.0</v>
      </c>
      <c r="C186" s="1061">
        <v>0.0</v>
      </c>
      <c r="D186" s="1061">
        <v>2.0</v>
      </c>
      <c r="E186" s="1061">
        <v>0.0</v>
      </c>
      <c r="F186" s="1061">
        <v>1.0</v>
      </c>
      <c r="G186" s="1061">
        <v>1.0</v>
      </c>
      <c r="H186" s="1061">
        <v>0.0</v>
      </c>
      <c r="I186" s="1061">
        <v>0.0</v>
      </c>
      <c r="J186" s="1061">
        <v>0.0</v>
      </c>
      <c r="K186" s="1061">
        <v>1.0</v>
      </c>
      <c r="L186" s="1061">
        <v>0.0</v>
      </c>
      <c r="M186" s="1061">
        <v>1.0</v>
      </c>
      <c r="N186" s="1061">
        <v>0.0</v>
      </c>
      <c r="O186" s="1061">
        <v>1.0</v>
      </c>
      <c r="P186" s="1061">
        <v>2.0</v>
      </c>
      <c r="Q186" s="1061">
        <v>0.0</v>
      </c>
      <c r="R186" s="1061">
        <v>0.0</v>
      </c>
      <c r="S186" s="1061">
        <v>1.0</v>
      </c>
      <c r="T186" s="1061">
        <v>1.0</v>
      </c>
      <c r="U186" s="1061">
        <v>0.0</v>
      </c>
      <c r="V186" s="1061">
        <v>1.0</v>
      </c>
      <c r="W186" s="1061">
        <v>0.0</v>
      </c>
      <c r="X186" s="1061">
        <v>0.0</v>
      </c>
      <c r="Y186" s="1061">
        <v>0.0</v>
      </c>
      <c r="Z186" s="1061">
        <v>0.0</v>
      </c>
      <c r="AA186" s="1065">
        <v>2.0</v>
      </c>
      <c r="AB186" s="1061">
        <v>3.0</v>
      </c>
      <c r="AC186" s="1061">
        <v>2.0</v>
      </c>
      <c r="AD186" s="1061">
        <v>1.0</v>
      </c>
      <c r="AE186" s="1061">
        <v>0.0</v>
      </c>
      <c r="AF186" s="1015">
        <f>sum(B186:AE186)</f>
        <v>21</v>
      </c>
    </row>
    <row r="187">
      <c r="A187" s="938" t="s">
        <v>922</v>
      </c>
      <c r="B187" s="141"/>
      <c r="C187" s="141"/>
      <c r="D187" s="141"/>
      <c r="E187" s="141"/>
      <c r="F187" s="141"/>
      <c r="G187" s="141"/>
      <c r="H187" s="141"/>
      <c r="I187" s="141"/>
      <c r="J187" s="141"/>
      <c r="K187" s="141"/>
      <c r="L187" s="141"/>
      <c r="M187" s="141"/>
      <c r="N187" s="141"/>
      <c r="O187" s="141"/>
      <c r="P187" s="141"/>
      <c r="Q187" s="141"/>
      <c r="R187" s="141"/>
      <c r="S187" s="23"/>
      <c r="T187" s="23"/>
      <c r="U187" s="1061">
        <v>0.0</v>
      </c>
      <c r="V187" s="1061">
        <v>1.0</v>
      </c>
      <c r="W187" s="1061">
        <v>0.0</v>
      </c>
      <c r="X187" s="1061">
        <v>0.0</v>
      </c>
      <c r="Y187" s="1061">
        <v>0.0</v>
      </c>
      <c r="Z187" s="1061">
        <v>1.0</v>
      </c>
      <c r="AA187" s="1065">
        <v>0.0</v>
      </c>
      <c r="AB187" s="1061">
        <v>0.0</v>
      </c>
      <c r="AC187" s="1061">
        <v>0.0</v>
      </c>
      <c r="AD187" s="1061">
        <v>0.0</v>
      </c>
      <c r="AE187" s="1061">
        <v>0.0</v>
      </c>
      <c r="AF187" s="1015"/>
    </row>
    <row r="188">
      <c r="A188" s="938" t="s">
        <v>923</v>
      </c>
      <c r="B188" s="1061">
        <v>1.0</v>
      </c>
      <c r="C188" s="1061">
        <v>3.0</v>
      </c>
      <c r="D188" s="1061">
        <v>3.0</v>
      </c>
      <c r="E188" s="1061">
        <v>3.0</v>
      </c>
      <c r="F188" s="1061">
        <v>3.0</v>
      </c>
      <c r="G188" s="1061">
        <v>5.0</v>
      </c>
      <c r="H188" s="1061">
        <v>1.0</v>
      </c>
      <c r="I188" s="1061">
        <v>0.0</v>
      </c>
      <c r="J188" s="1061">
        <v>0.0</v>
      </c>
      <c r="K188" s="1061">
        <v>3.0</v>
      </c>
      <c r="L188" s="1061">
        <v>2.0</v>
      </c>
      <c r="M188" s="1061">
        <v>4.0</v>
      </c>
      <c r="N188" s="1061">
        <v>0.0</v>
      </c>
      <c r="O188" s="1061">
        <v>1.0</v>
      </c>
      <c r="P188" s="1061">
        <v>2.0</v>
      </c>
      <c r="Q188" s="1061">
        <v>0.0</v>
      </c>
      <c r="R188" s="1061">
        <v>2.0</v>
      </c>
      <c r="S188" s="1061">
        <v>1.0</v>
      </c>
      <c r="T188" s="1061">
        <v>3.0</v>
      </c>
      <c r="U188" s="1061">
        <v>0.0</v>
      </c>
      <c r="V188" s="1061">
        <v>0.0</v>
      </c>
      <c r="W188" s="1061">
        <v>0.0</v>
      </c>
      <c r="X188" s="1061">
        <v>0.0</v>
      </c>
      <c r="Y188" s="1061">
        <v>2.0</v>
      </c>
      <c r="Z188" s="1061">
        <v>0.0</v>
      </c>
      <c r="AA188" s="1065">
        <v>0.0</v>
      </c>
      <c r="AB188" s="1061">
        <v>8.0</v>
      </c>
      <c r="AC188" s="1061">
        <v>2.0</v>
      </c>
      <c r="AD188" s="1061">
        <v>0.0</v>
      </c>
      <c r="AE188" s="1061">
        <v>3.0</v>
      </c>
      <c r="AF188" s="1015">
        <f>sum(B188:AE188)</f>
        <v>52</v>
      </c>
    </row>
    <row r="189">
      <c r="A189" s="938" t="s">
        <v>924</v>
      </c>
      <c r="B189" s="141"/>
      <c r="C189" s="141"/>
      <c r="D189" s="141"/>
      <c r="E189" s="141"/>
      <c r="F189" s="141"/>
      <c r="G189" s="141"/>
      <c r="H189" s="141"/>
      <c r="I189" s="141"/>
      <c r="J189" s="141"/>
      <c r="K189" s="141"/>
      <c r="L189" s="141"/>
      <c r="M189" s="141"/>
      <c r="N189" s="141"/>
      <c r="O189" s="141"/>
      <c r="P189" s="141"/>
      <c r="Q189" s="141"/>
      <c r="R189" s="141"/>
      <c r="S189" s="23"/>
      <c r="T189" s="23"/>
      <c r="U189" s="1061">
        <v>0.0</v>
      </c>
      <c r="V189" s="1061">
        <v>0.0</v>
      </c>
      <c r="W189" s="1061">
        <v>0.0</v>
      </c>
      <c r="X189" s="1061">
        <v>0.0</v>
      </c>
      <c r="Y189" s="1061">
        <v>0.0</v>
      </c>
      <c r="Z189" s="1061">
        <v>0.0</v>
      </c>
      <c r="AA189" s="1065">
        <v>0.0</v>
      </c>
      <c r="AB189" s="1061">
        <v>6.0</v>
      </c>
      <c r="AC189" s="1061">
        <v>2.0</v>
      </c>
      <c r="AD189" s="1061">
        <v>2.0</v>
      </c>
      <c r="AE189" s="1061">
        <v>1.0</v>
      </c>
      <c r="AF189" s="1015"/>
    </row>
    <row r="190">
      <c r="A190" s="1048" t="s">
        <v>179</v>
      </c>
      <c r="B190" s="1062">
        <f t="shared" ref="B190:T190" si="55">SUM(B186:B188)</f>
        <v>2</v>
      </c>
      <c r="C190" s="1062">
        <f t="shared" si="55"/>
        <v>3</v>
      </c>
      <c r="D190" s="1062">
        <f t="shared" si="55"/>
        <v>5</v>
      </c>
      <c r="E190" s="1062">
        <f t="shared" si="55"/>
        <v>3</v>
      </c>
      <c r="F190" s="1062">
        <f t="shared" si="55"/>
        <v>4</v>
      </c>
      <c r="G190" s="1062">
        <f t="shared" si="55"/>
        <v>6</v>
      </c>
      <c r="H190" s="1062">
        <f t="shared" si="55"/>
        <v>1</v>
      </c>
      <c r="I190" s="1062">
        <f t="shared" si="55"/>
        <v>0</v>
      </c>
      <c r="J190" s="1062">
        <f t="shared" si="55"/>
        <v>0</v>
      </c>
      <c r="K190" s="1062">
        <f t="shared" si="55"/>
        <v>4</v>
      </c>
      <c r="L190" s="1062">
        <f t="shared" si="55"/>
        <v>2</v>
      </c>
      <c r="M190" s="1062">
        <f t="shared" si="55"/>
        <v>5</v>
      </c>
      <c r="N190" s="1062">
        <f t="shared" si="55"/>
        <v>0</v>
      </c>
      <c r="O190" s="1062">
        <f t="shared" si="55"/>
        <v>2</v>
      </c>
      <c r="P190" s="1062">
        <f t="shared" si="55"/>
        <v>4</v>
      </c>
      <c r="Q190" s="1062">
        <f t="shared" si="55"/>
        <v>0</v>
      </c>
      <c r="R190" s="1062">
        <f t="shared" si="55"/>
        <v>2</v>
      </c>
      <c r="S190" s="1062">
        <f t="shared" si="55"/>
        <v>2</v>
      </c>
      <c r="T190" s="1062">
        <f t="shared" si="55"/>
        <v>4</v>
      </c>
      <c r="U190" s="1062">
        <f t="shared" ref="U190:AE190" si="56">SUM(U186:U189)</f>
        <v>0</v>
      </c>
      <c r="V190" s="1062">
        <f t="shared" si="56"/>
        <v>2</v>
      </c>
      <c r="W190" s="1062">
        <f t="shared" si="56"/>
        <v>0</v>
      </c>
      <c r="X190" s="1062">
        <f t="shared" si="56"/>
        <v>0</v>
      </c>
      <c r="Y190" s="1062">
        <f t="shared" si="56"/>
        <v>2</v>
      </c>
      <c r="Z190" s="1062">
        <f t="shared" si="56"/>
        <v>1</v>
      </c>
      <c r="AA190" s="1062">
        <f t="shared" si="56"/>
        <v>2</v>
      </c>
      <c r="AB190" s="1062">
        <f t="shared" si="56"/>
        <v>17</v>
      </c>
      <c r="AC190" s="1062">
        <f t="shared" si="56"/>
        <v>6</v>
      </c>
      <c r="AD190" s="1062">
        <f t="shared" si="56"/>
        <v>3</v>
      </c>
      <c r="AE190" s="1062">
        <f t="shared" si="56"/>
        <v>4</v>
      </c>
      <c r="AF190" s="1015">
        <f>sum(B190:AE190)</f>
        <v>86</v>
      </c>
    </row>
    <row r="191">
      <c r="A191" s="20"/>
      <c r="AB191" s="1066"/>
      <c r="AC191" s="1066"/>
      <c r="AF191" s="1015"/>
    </row>
    <row r="192">
      <c r="A192" s="938" t="s">
        <v>147</v>
      </c>
      <c r="B192" s="1061">
        <v>0.0</v>
      </c>
      <c r="C192" s="1061">
        <v>2.0</v>
      </c>
      <c r="D192" s="1061">
        <v>3.0</v>
      </c>
      <c r="E192" s="1061">
        <v>5.0</v>
      </c>
      <c r="F192" s="1061">
        <v>3.0</v>
      </c>
      <c r="G192" s="1061">
        <v>1.0</v>
      </c>
      <c r="H192" s="1061">
        <v>0.0</v>
      </c>
      <c r="I192" s="1061">
        <v>1.0</v>
      </c>
      <c r="J192" s="1061">
        <v>1.0</v>
      </c>
      <c r="K192" s="1061">
        <v>2.0</v>
      </c>
      <c r="L192" s="1061">
        <v>2.0</v>
      </c>
      <c r="M192" s="1061">
        <v>3.0</v>
      </c>
      <c r="N192" s="1061">
        <v>0.0</v>
      </c>
      <c r="O192" s="1061">
        <v>1.0</v>
      </c>
      <c r="P192" s="1061">
        <v>4.0</v>
      </c>
      <c r="Q192" s="1061">
        <v>1.0</v>
      </c>
      <c r="R192" s="1061">
        <v>1.0</v>
      </c>
      <c r="S192" s="1061">
        <v>0.0</v>
      </c>
      <c r="T192" s="1061">
        <v>3.0</v>
      </c>
      <c r="U192" s="1061">
        <v>0.0</v>
      </c>
      <c r="V192" s="1061">
        <v>0.0</v>
      </c>
      <c r="W192" s="1061">
        <v>1.0</v>
      </c>
      <c r="X192" s="1061">
        <v>2.0</v>
      </c>
      <c r="Y192" s="1061">
        <v>2.0</v>
      </c>
      <c r="Z192" s="1061">
        <v>4.0</v>
      </c>
      <c r="AA192" s="1061">
        <v>2.0</v>
      </c>
      <c r="AB192" s="1061">
        <v>7.0</v>
      </c>
      <c r="AC192" s="1061">
        <v>1.0</v>
      </c>
      <c r="AD192" s="1061">
        <v>0.0</v>
      </c>
      <c r="AE192" s="1061">
        <v>0.0</v>
      </c>
      <c r="AF192" s="1015">
        <f t="shared" ref="AF192:AF195" si="57">sum(B192:AE192)</f>
        <v>52</v>
      </c>
    </row>
    <row r="193">
      <c r="A193" s="938" t="s">
        <v>636</v>
      </c>
      <c r="B193" s="1053"/>
      <c r="C193" s="1053"/>
      <c r="D193" s="1053"/>
      <c r="E193" s="1053"/>
      <c r="F193" s="1053"/>
      <c r="G193" s="1053"/>
      <c r="H193" s="1053"/>
      <c r="I193" s="1053"/>
      <c r="J193" s="1053"/>
      <c r="K193" s="1053"/>
      <c r="L193" s="1053"/>
      <c r="M193" s="1053"/>
      <c r="N193" s="1053"/>
      <c r="O193" s="1053"/>
      <c r="P193" s="1053"/>
      <c r="Q193" s="1053"/>
      <c r="R193" s="1053"/>
      <c r="S193" s="1053"/>
      <c r="T193" s="1053"/>
      <c r="U193" s="1053"/>
      <c r="V193" s="1053"/>
      <c r="W193" s="1053"/>
      <c r="X193" s="1053"/>
      <c r="Y193" s="1053"/>
      <c r="Z193" s="1053"/>
      <c r="AA193" s="1053"/>
      <c r="AB193" s="1053"/>
      <c r="AC193" s="1053"/>
      <c r="AD193" s="1053"/>
      <c r="AE193" s="1053"/>
      <c r="AF193" s="1015">
        <f t="shared" si="57"/>
        <v>0</v>
      </c>
    </row>
    <row r="194">
      <c r="A194" s="938" t="s">
        <v>150</v>
      </c>
      <c r="B194" s="1061">
        <v>0.0</v>
      </c>
      <c r="C194" s="1061">
        <v>3.0</v>
      </c>
      <c r="D194" s="1061">
        <v>5.0</v>
      </c>
      <c r="E194" s="1061">
        <v>4.0</v>
      </c>
      <c r="F194" s="1061">
        <v>1.0</v>
      </c>
      <c r="G194" s="1061">
        <v>2.0</v>
      </c>
      <c r="H194" s="1061">
        <v>0.0</v>
      </c>
      <c r="I194" s="1061">
        <v>0.0</v>
      </c>
      <c r="J194" s="1061">
        <v>1.0</v>
      </c>
      <c r="K194" s="1061">
        <v>1.0</v>
      </c>
      <c r="L194" s="1061">
        <v>1.0</v>
      </c>
      <c r="M194" s="1061">
        <v>1.0</v>
      </c>
      <c r="N194" s="1061">
        <v>0.0</v>
      </c>
      <c r="O194" s="1061">
        <v>1.0</v>
      </c>
      <c r="P194" s="1061">
        <v>3.0</v>
      </c>
      <c r="Q194" s="1061">
        <v>3.0</v>
      </c>
      <c r="R194" s="1061">
        <v>2.0</v>
      </c>
      <c r="S194" s="1061">
        <v>3.0</v>
      </c>
      <c r="T194" s="1061">
        <v>3.0</v>
      </c>
      <c r="U194" s="1061">
        <v>3.0</v>
      </c>
      <c r="V194" s="1061">
        <v>0.0</v>
      </c>
      <c r="W194" s="1061">
        <v>1.0</v>
      </c>
      <c r="X194" s="1061">
        <v>0.0</v>
      </c>
      <c r="Y194" s="1061">
        <v>1.0</v>
      </c>
      <c r="Z194" s="1061">
        <v>6.0</v>
      </c>
      <c r="AA194" s="1061">
        <v>2.0</v>
      </c>
      <c r="AB194" s="1061">
        <v>4.0</v>
      </c>
      <c r="AC194" s="1061">
        <v>4.0</v>
      </c>
      <c r="AD194" s="1061">
        <v>1.0</v>
      </c>
      <c r="AE194" s="1061">
        <v>2.0</v>
      </c>
      <c r="AF194" s="1015">
        <f t="shared" si="57"/>
        <v>58</v>
      </c>
    </row>
    <row r="195">
      <c r="A195" s="938" t="s">
        <v>925</v>
      </c>
      <c r="B195" s="1061">
        <v>1.0</v>
      </c>
      <c r="C195" s="1061">
        <v>7.0</v>
      </c>
      <c r="D195" s="1061">
        <v>5.0</v>
      </c>
      <c r="E195" s="1061">
        <v>2.0</v>
      </c>
      <c r="F195" s="1061">
        <v>5.0</v>
      </c>
      <c r="G195" s="1061">
        <v>3.0</v>
      </c>
      <c r="H195" s="1061">
        <v>0.0</v>
      </c>
      <c r="I195" s="1061">
        <v>1.0</v>
      </c>
      <c r="J195" s="1061">
        <v>1.0</v>
      </c>
      <c r="K195" s="1061">
        <v>1.0</v>
      </c>
      <c r="L195" s="1061">
        <v>1.0</v>
      </c>
      <c r="M195" s="1061">
        <v>2.0</v>
      </c>
      <c r="N195" s="1061">
        <v>0.0</v>
      </c>
      <c r="O195" s="1061">
        <v>1.0</v>
      </c>
      <c r="P195" s="1061">
        <v>3.0</v>
      </c>
      <c r="Q195" s="1061">
        <v>2.0</v>
      </c>
      <c r="R195" s="1061">
        <v>1.0</v>
      </c>
      <c r="S195" s="1061">
        <v>19.0</v>
      </c>
      <c r="T195" s="1061">
        <v>9.0</v>
      </c>
      <c r="U195" s="1061">
        <v>3.0</v>
      </c>
      <c r="V195" s="1061">
        <v>1.0</v>
      </c>
      <c r="W195" s="1061">
        <v>1.0</v>
      </c>
      <c r="X195" s="1061">
        <v>0.0</v>
      </c>
      <c r="Y195" s="1061">
        <v>1.0</v>
      </c>
      <c r="Z195" s="1061">
        <v>2.0</v>
      </c>
      <c r="AA195" s="1061">
        <v>3.0</v>
      </c>
      <c r="AB195" s="1061">
        <v>1.0</v>
      </c>
      <c r="AC195" s="1061">
        <v>0.0</v>
      </c>
      <c r="AD195" s="1061">
        <v>0.0</v>
      </c>
      <c r="AE195" s="1061">
        <v>0.0</v>
      </c>
      <c r="AF195" s="1015">
        <f t="shared" si="57"/>
        <v>76</v>
      </c>
    </row>
    <row r="196">
      <c r="A196" s="938" t="s">
        <v>926</v>
      </c>
      <c r="B196" s="141"/>
      <c r="C196" s="141"/>
      <c r="D196" s="141"/>
      <c r="E196" s="141"/>
      <c r="F196" s="141"/>
      <c r="G196" s="141"/>
      <c r="H196" s="141"/>
      <c r="I196" s="141"/>
      <c r="J196" s="141"/>
      <c r="K196" s="141"/>
      <c r="L196" s="141"/>
      <c r="M196" s="141"/>
      <c r="N196" s="141"/>
      <c r="O196" s="141"/>
      <c r="P196" s="141"/>
      <c r="Q196" s="141"/>
      <c r="R196" s="141"/>
      <c r="S196" s="23"/>
      <c r="T196" s="23"/>
      <c r="U196" s="1061">
        <v>0.0</v>
      </c>
      <c r="V196" s="1061">
        <v>0.0</v>
      </c>
      <c r="W196" s="1061">
        <v>1.0</v>
      </c>
      <c r="X196" s="1061">
        <v>2.0</v>
      </c>
      <c r="Y196" s="1061">
        <v>2.0</v>
      </c>
      <c r="Z196" s="1061">
        <v>2.0</v>
      </c>
      <c r="AA196" s="1061">
        <v>0.0</v>
      </c>
      <c r="AB196" s="1061">
        <v>2.0</v>
      </c>
      <c r="AC196" s="1061">
        <v>0.0</v>
      </c>
      <c r="AD196" s="1061">
        <v>1.0</v>
      </c>
      <c r="AE196" s="1061">
        <v>0.0</v>
      </c>
      <c r="AF196" s="1015"/>
    </row>
    <row r="197">
      <c r="A197" s="938" t="s">
        <v>927</v>
      </c>
      <c r="B197" s="1061">
        <v>2.0</v>
      </c>
      <c r="C197" s="1061">
        <v>1.0</v>
      </c>
      <c r="D197" s="1061">
        <v>2.0</v>
      </c>
      <c r="E197" s="1061">
        <v>1.0</v>
      </c>
      <c r="F197" s="1061">
        <v>1.0</v>
      </c>
      <c r="G197" s="1061">
        <v>2.0</v>
      </c>
      <c r="H197" s="1061">
        <v>2.0</v>
      </c>
      <c r="I197" s="1061">
        <v>0.0</v>
      </c>
      <c r="J197" s="1061">
        <v>0.0</v>
      </c>
      <c r="K197" s="1061">
        <v>0.0</v>
      </c>
      <c r="L197" s="1061">
        <v>1.0</v>
      </c>
      <c r="M197" s="1061">
        <v>0.0</v>
      </c>
      <c r="N197" s="1061">
        <v>0.0</v>
      </c>
      <c r="O197" s="1061">
        <v>1.0</v>
      </c>
      <c r="P197" s="1061">
        <v>3.0</v>
      </c>
      <c r="Q197" s="1061">
        <v>2.0</v>
      </c>
      <c r="R197" s="1061">
        <v>0.0</v>
      </c>
      <c r="S197" s="1061">
        <v>3.0</v>
      </c>
      <c r="T197" s="1061">
        <v>0.0</v>
      </c>
      <c r="U197" s="1061">
        <v>2.0</v>
      </c>
      <c r="V197" s="1061">
        <v>0.0</v>
      </c>
      <c r="W197" s="1061">
        <v>0.0</v>
      </c>
      <c r="X197" s="1061">
        <v>0.0</v>
      </c>
      <c r="Y197" s="1061">
        <v>0.0</v>
      </c>
      <c r="Z197" s="1061">
        <v>1.0</v>
      </c>
      <c r="AA197" s="1061">
        <v>3.0</v>
      </c>
      <c r="AB197" s="1061">
        <v>0.0</v>
      </c>
      <c r="AC197" s="1061">
        <v>0.0</v>
      </c>
      <c r="AD197" s="1061">
        <v>2.0</v>
      </c>
      <c r="AE197" s="1061">
        <v>0.0</v>
      </c>
      <c r="AF197" s="1015">
        <f>sum(B197:AE197)</f>
        <v>29</v>
      </c>
    </row>
    <row r="198">
      <c r="A198" s="938" t="s">
        <v>928</v>
      </c>
      <c r="B198" s="141"/>
      <c r="C198" s="141"/>
      <c r="D198" s="141"/>
      <c r="E198" s="141"/>
      <c r="F198" s="141"/>
      <c r="G198" s="141"/>
      <c r="H198" s="141"/>
      <c r="I198" s="141"/>
      <c r="J198" s="141"/>
      <c r="K198" s="141"/>
      <c r="L198" s="141"/>
      <c r="M198" s="141"/>
      <c r="N198" s="141"/>
      <c r="O198" s="141"/>
      <c r="P198" s="141"/>
      <c r="Q198" s="141"/>
      <c r="R198" s="141"/>
      <c r="S198" s="23"/>
      <c r="T198" s="23"/>
      <c r="U198" s="1061">
        <v>1.0</v>
      </c>
      <c r="V198" s="1061">
        <v>1.0</v>
      </c>
      <c r="W198" s="1061">
        <v>1.0</v>
      </c>
      <c r="X198" s="1061">
        <v>0.0</v>
      </c>
      <c r="Y198" s="1061">
        <v>0.0</v>
      </c>
      <c r="Z198" s="1061">
        <v>0.0</v>
      </c>
      <c r="AA198" s="1061">
        <v>0.0</v>
      </c>
      <c r="AB198" s="1061">
        <v>0.0</v>
      </c>
      <c r="AC198" s="1061">
        <v>1.0</v>
      </c>
      <c r="AD198" s="1061">
        <v>0.0</v>
      </c>
      <c r="AE198" s="1061">
        <v>0.0</v>
      </c>
      <c r="AF198" s="1015"/>
    </row>
    <row r="199">
      <c r="A199" s="938" t="s">
        <v>929</v>
      </c>
      <c r="B199" s="1064"/>
      <c r="C199" s="1064"/>
      <c r="D199" s="1064"/>
      <c r="E199" s="1064"/>
      <c r="F199" s="1064"/>
      <c r="G199" s="1064"/>
      <c r="H199" s="1064"/>
      <c r="I199" s="1064"/>
      <c r="J199" s="1064"/>
      <c r="K199" s="1064"/>
      <c r="L199" s="1064"/>
      <c r="M199" s="1064"/>
      <c r="N199" s="1064"/>
      <c r="O199" s="1064"/>
      <c r="P199" s="1064"/>
      <c r="Q199" s="1064"/>
      <c r="R199" s="1064"/>
      <c r="S199" s="1061">
        <v>97.0</v>
      </c>
      <c r="T199" s="1061">
        <v>26.0</v>
      </c>
      <c r="U199" s="1061">
        <v>15.0</v>
      </c>
      <c r="V199" s="1061">
        <v>5.0</v>
      </c>
      <c r="W199" s="1061">
        <v>7.0</v>
      </c>
      <c r="X199" s="1061">
        <v>8.0</v>
      </c>
      <c r="Y199" s="1061">
        <v>5.0</v>
      </c>
      <c r="Z199" s="1061">
        <v>9.0</v>
      </c>
      <c r="AA199" s="1061">
        <v>3.0</v>
      </c>
      <c r="AB199" s="1061">
        <v>5.0</v>
      </c>
      <c r="AC199" s="1061">
        <v>3.0</v>
      </c>
      <c r="AD199" s="1061">
        <v>2.0</v>
      </c>
      <c r="AE199" s="1061">
        <v>2.0</v>
      </c>
      <c r="AF199" s="1015"/>
    </row>
    <row r="200">
      <c r="A200" s="938" t="s">
        <v>930</v>
      </c>
      <c r="B200" s="1064"/>
      <c r="C200" s="1064"/>
      <c r="D200" s="1064"/>
      <c r="E200" s="1064"/>
      <c r="F200" s="1064"/>
      <c r="G200" s="1064"/>
      <c r="H200" s="1064"/>
      <c r="I200" s="1064"/>
      <c r="J200" s="1064"/>
      <c r="K200" s="1064"/>
      <c r="L200" s="1064"/>
      <c r="M200" s="1064"/>
      <c r="N200" s="1064"/>
      <c r="O200" s="1064"/>
      <c r="P200" s="1064"/>
      <c r="Q200" s="1064"/>
      <c r="R200" s="1064"/>
      <c r="S200" s="23"/>
      <c r="T200" s="23"/>
      <c r="U200" s="1061">
        <v>4.0</v>
      </c>
      <c r="V200" s="1061">
        <v>2.0</v>
      </c>
      <c r="W200" s="1061">
        <v>2.0</v>
      </c>
      <c r="X200" s="1061">
        <v>2.0</v>
      </c>
      <c r="Y200" s="1061">
        <v>4.0</v>
      </c>
      <c r="Z200" s="1061">
        <v>4.0</v>
      </c>
      <c r="AA200" s="1061">
        <v>1.0</v>
      </c>
      <c r="AB200" s="1061">
        <v>4.0</v>
      </c>
      <c r="AC200" s="1061">
        <v>2.0</v>
      </c>
      <c r="AD200" s="1061">
        <v>2.0</v>
      </c>
      <c r="AE200" s="1061">
        <v>4.0</v>
      </c>
      <c r="AF200" s="1015"/>
    </row>
    <row r="201">
      <c r="A201" s="1048" t="s">
        <v>95</v>
      </c>
      <c r="B201" s="1062">
        <f>SUM(B192:B199)</f>
        <v>3</v>
      </c>
      <c r="C201" s="1062">
        <f t="shared" ref="C201:R201" si="58">SUM(C192:C197)</f>
        <v>13</v>
      </c>
      <c r="D201" s="1062">
        <f t="shared" si="58"/>
        <v>15</v>
      </c>
      <c r="E201" s="1062">
        <f t="shared" si="58"/>
        <v>12</v>
      </c>
      <c r="F201" s="1062">
        <f t="shared" si="58"/>
        <v>10</v>
      </c>
      <c r="G201" s="1062">
        <f t="shared" si="58"/>
        <v>8</v>
      </c>
      <c r="H201" s="1062">
        <f t="shared" si="58"/>
        <v>2</v>
      </c>
      <c r="I201" s="1062">
        <f t="shared" si="58"/>
        <v>2</v>
      </c>
      <c r="J201" s="1062">
        <f t="shared" si="58"/>
        <v>3</v>
      </c>
      <c r="K201" s="1062">
        <f t="shared" si="58"/>
        <v>4</v>
      </c>
      <c r="L201" s="1062">
        <f t="shared" si="58"/>
        <v>5</v>
      </c>
      <c r="M201" s="1062">
        <f t="shared" si="58"/>
        <v>6</v>
      </c>
      <c r="N201" s="1062">
        <f t="shared" si="58"/>
        <v>0</v>
      </c>
      <c r="O201" s="1062">
        <f t="shared" si="58"/>
        <v>4</v>
      </c>
      <c r="P201" s="1062">
        <f t="shared" si="58"/>
        <v>13</v>
      </c>
      <c r="Q201" s="1062">
        <f t="shared" si="58"/>
        <v>8</v>
      </c>
      <c r="R201" s="1062">
        <f t="shared" si="58"/>
        <v>4</v>
      </c>
      <c r="S201" s="1062">
        <f t="shared" ref="S201:T201" si="59">SUM(S192:S199)</f>
        <v>122</v>
      </c>
      <c r="T201" s="1062">
        <f t="shared" si="59"/>
        <v>41</v>
      </c>
      <c r="U201" s="1062">
        <f t="shared" ref="U201:AE201" si="60">SUM(U192:U197)</f>
        <v>8</v>
      </c>
      <c r="V201" s="1062">
        <f t="shared" si="60"/>
        <v>1</v>
      </c>
      <c r="W201" s="1062">
        <f t="shared" si="60"/>
        <v>4</v>
      </c>
      <c r="X201" s="1062">
        <f t="shared" si="60"/>
        <v>4</v>
      </c>
      <c r="Y201" s="1062">
        <f t="shared" si="60"/>
        <v>6</v>
      </c>
      <c r="Z201" s="1062">
        <f t="shared" si="60"/>
        <v>15</v>
      </c>
      <c r="AA201" s="1062">
        <f t="shared" si="60"/>
        <v>10</v>
      </c>
      <c r="AB201" s="1062">
        <f t="shared" si="60"/>
        <v>14</v>
      </c>
      <c r="AC201" s="1062">
        <f t="shared" si="60"/>
        <v>5</v>
      </c>
      <c r="AD201" s="1062">
        <f t="shared" si="60"/>
        <v>4</v>
      </c>
      <c r="AE201" s="1062">
        <f t="shared" si="60"/>
        <v>2</v>
      </c>
      <c r="AF201" s="1015">
        <f>sum(B201:AE201)</f>
        <v>348</v>
      </c>
    </row>
    <row r="202">
      <c r="A202" s="854"/>
      <c r="AF202" s="1015"/>
    </row>
    <row r="203">
      <c r="A203" s="931" t="s">
        <v>325</v>
      </c>
      <c r="B203" s="262"/>
      <c r="C203" s="582"/>
      <c r="D203" s="582"/>
      <c r="E203" s="582"/>
      <c r="F203" s="582"/>
      <c r="G203" s="582"/>
      <c r="H203" s="582"/>
      <c r="I203" s="582"/>
      <c r="J203" s="582"/>
      <c r="K203" s="582"/>
      <c r="L203" s="582"/>
      <c r="M203" s="582"/>
      <c r="N203" s="582"/>
      <c r="O203" s="582"/>
      <c r="P203" s="582"/>
      <c r="Q203" s="582"/>
      <c r="R203" s="582"/>
      <c r="S203" s="582"/>
      <c r="T203" s="582"/>
      <c r="U203" s="582"/>
      <c r="V203" s="582"/>
      <c r="W203" s="582"/>
      <c r="X203" s="582"/>
      <c r="Y203" s="582"/>
      <c r="Z203" s="582"/>
      <c r="AA203" s="582"/>
      <c r="AB203" s="582"/>
      <c r="AC203" s="582"/>
      <c r="AD203" s="582"/>
      <c r="AE203" s="582"/>
      <c r="AF203" s="1015"/>
    </row>
    <row r="204">
      <c r="A204" s="938" t="s">
        <v>931</v>
      </c>
      <c r="B204" s="1067">
        <f t="shared" ref="B204:AE204" si="61">B145-B348</f>
        <v>10</v>
      </c>
      <c r="C204" s="1067">
        <f t="shared" si="61"/>
        <v>25</v>
      </c>
      <c r="D204" s="1067">
        <f t="shared" si="61"/>
        <v>26</v>
      </c>
      <c r="E204" s="1067">
        <f t="shared" si="61"/>
        <v>42</v>
      </c>
      <c r="F204" s="1067">
        <f t="shared" si="61"/>
        <v>34</v>
      </c>
      <c r="G204" s="1067">
        <f t="shared" si="61"/>
        <v>19</v>
      </c>
      <c r="H204" s="1067">
        <f t="shared" si="61"/>
        <v>18</v>
      </c>
      <c r="I204" s="1067">
        <f t="shared" si="61"/>
        <v>12</v>
      </c>
      <c r="J204" s="1067">
        <f t="shared" si="61"/>
        <v>12</v>
      </c>
      <c r="K204" s="1067">
        <f t="shared" si="61"/>
        <v>13</v>
      </c>
      <c r="L204" s="1067">
        <f t="shared" si="61"/>
        <v>17</v>
      </c>
      <c r="M204" s="1067">
        <f t="shared" si="61"/>
        <v>19</v>
      </c>
      <c r="N204" s="1067">
        <f t="shared" si="61"/>
        <v>18</v>
      </c>
      <c r="O204" s="1068">
        <f t="shared" si="61"/>
        <v>18</v>
      </c>
      <c r="P204" s="1067">
        <f t="shared" si="61"/>
        <v>14</v>
      </c>
      <c r="Q204" s="1067">
        <f t="shared" si="61"/>
        <v>18</v>
      </c>
      <c r="R204" s="1067">
        <f t="shared" si="61"/>
        <v>20</v>
      </c>
      <c r="S204" s="1067">
        <f t="shared" si="61"/>
        <v>25</v>
      </c>
      <c r="T204" s="1067">
        <f t="shared" si="61"/>
        <v>17</v>
      </c>
      <c r="U204" s="1067">
        <f t="shared" si="61"/>
        <v>15</v>
      </c>
      <c r="V204" s="1067">
        <f t="shared" si="61"/>
        <v>18</v>
      </c>
      <c r="W204" s="1067">
        <f t="shared" si="61"/>
        <v>15</v>
      </c>
      <c r="X204" s="1067">
        <f t="shared" si="61"/>
        <v>10</v>
      </c>
      <c r="Y204" s="1067">
        <f t="shared" si="61"/>
        <v>10</v>
      </c>
      <c r="Z204" s="1068">
        <f t="shared" si="61"/>
        <v>9</v>
      </c>
      <c r="AA204" s="1067">
        <f t="shared" si="61"/>
        <v>8</v>
      </c>
      <c r="AB204" s="1067">
        <f t="shared" si="61"/>
        <v>15</v>
      </c>
      <c r="AC204" s="1068">
        <f t="shared" si="61"/>
        <v>19</v>
      </c>
      <c r="AD204" s="1068">
        <f t="shared" si="61"/>
        <v>13</v>
      </c>
      <c r="AE204" s="1068">
        <f t="shared" si="61"/>
        <v>14</v>
      </c>
      <c r="AF204" s="1015">
        <f t="shared" ref="AF204:AF208" si="63">sum(B204:AE204)</f>
        <v>523</v>
      </c>
    </row>
    <row r="205">
      <c r="A205" s="938" t="s">
        <v>932</v>
      </c>
      <c r="B205" s="1064"/>
      <c r="C205" s="1064"/>
      <c r="D205" s="1064"/>
      <c r="E205" s="1064"/>
      <c r="F205" s="1064"/>
      <c r="G205" s="1064"/>
      <c r="H205" s="1064"/>
      <c r="I205" s="1064"/>
      <c r="J205" s="1064"/>
      <c r="K205" s="1064"/>
      <c r="L205" s="1064"/>
      <c r="M205" s="1064"/>
      <c r="N205" s="1064"/>
      <c r="O205" s="1064"/>
      <c r="P205" s="1064"/>
      <c r="Q205" s="1064"/>
      <c r="R205" s="1064"/>
      <c r="S205" s="23"/>
      <c r="T205" s="23"/>
      <c r="U205" s="1066">
        <f t="shared" ref="U205:AE205" si="62">U146</f>
        <v>5</v>
      </c>
      <c r="V205" s="1066">
        <f t="shared" si="62"/>
        <v>2</v>
      </c>
      <c r="W205" s="1066">
        <f t="shared" si="62"/>
        <v>2</v>
      </c>
      <c r="X205" s="1066">
        <f t="shared" si="62"/>
        <v>1</v>
      </c>
      <c r="Y205" s="1066">
        <f t="shared" si="62"/>
        <v>7</v>
      </c>
      <c r="Z205" s="1068">
        <f t="shared" si="62"/>
        <v>8</v>
      </c>
      <c r="AA205" s="1066">
        <f t="shared" si="62"/>
        <v>4</v>
      </c>
      <c r="AB205" s="1066">
        <f t="shared" si="62"/>
        <v>4</v>
      </c>
      <c r="AC205" s="1068">
        <f t="shared" si="62"/>
        <v>4</v>
      </c>
      <c r="AD205" s="1068">
        <f t="shared" si="62"/>
        <v>4</v>
      </c>
      <c r="AE205" s="1068">
        <f t="shared" si="62"/>
        <v>4</v>
      </c>
      <c r="AF205" s="1015">
        <f t="shared" si="63"/>
        <v>45</v>
      </c>
    </row>
    <row r="206">
      <c r="A206" s="938" t="s">
        <v>933</v>
      </c>
      <c r="B206" s="1067">
        <f t="shared" ref="B206:AE206" si="64">B147-B349</f>
        <v>39</v>
      </c>
      <c r="C206" s="1067">
        <f t="shared" si="64"/>
        <v>60</v>
      </c>
      <c r="D206" s="1067">
        <f t="shared" si="64"/>
        <v>67</v>
      </c>
      <c r="E206" s="1067">
        <f t="shared" si="64"/>
        <v>80</v>
      </c>
      <c r="F206" s="1067">
        <f t="shared" si="64"/>
        <v>81</v>
      </c>
      <c r="G206" s="1067">
        <f t="shared" si="64"/>
        <v>49</v>
      </c>
      <c r="H206" s="1067">
        <f t="shared" si="64"/>
        <v>42</v>
      </c>
      <c r="I206" s="1067">
        <f t="shared" si="64"/>
        <v>31</v>
      </c>
      <c r="J206" s="1067">
        <f t="shared" si="64"/>
        <v>38</v>
      </c>
      <c r="K206" s="1067">
        <f t="shared" si="64"/>
        <v>45</v>
      </c>
      <c r="L206" s="1067">
        <f t="shared" si="64"/>
        <v>38</v>
      </c>
      <c r="M206" s="1067">
        <f t="shared" si="64"/>
        <v>27</v>
      </c>
      <c r="N206" s="1067">
        <f t="shared" si="64"/>
        <v>34</v>
      </c>
      <c r="O206" s="1068">
        <f t="shared" si="64"/>
        <v>36</v>
      </c>
      <c r="P206" s="1067">
        <f t="shared" si="64"/>
        <v>40</v>
      </c>
      <c r="Q206" s="1067">
        <f t="shared" si="64"/>
        <v>48</v>
      </c>
      <c r="R206" s="1067">
        <f t="shared" si="64"/>
        <v>45</v>
      </c>
      <c r="S206" s="1067">
        <f t="shared" si="64"/>
        <v>39</v>
      </c>
      <c r="T206" s="1067">
        <f t="shared" si="64"/>
        <v>28</v>
      </c>
      <c r="U206" s="1067">
        <f t="shared" si="64"/>
        <v>35</v>
      </c>
      <c r="V206" s="1067">
        <f t="shared" si="64"/>
        <v>32</v>
      </c>
      <c r="W206" s="1067">
        <f t="shared" si="64"/>
        <v>22</v>
      </c>
      <c r="X206" s="1067">
        <f t="shared" si="64"/>
        <v>28</v>
      </c>
      <c r="Y206" s="1067">
        <f t="shared" si="64"/>
        <v>29</v>
      </c>
      <c r="Z206" s="1067">
        <f t="shared" si="64"/>
        <v>28</v>
      </c>
      <c r="AA206" s="1067">
        <f t="shared" si="64"/>
        <v>14</v>
      </c>
      <c r="AB206" s="1067">
        <f t="shared" si="64"/>
        <v>33</v>
      </c>
      <c r="AC206" s="1067">
        <f t="shared" si="64"/>
        <v>24</v>
      </c>
      <c r="AD206" s="1067">
        <f t="shared" si="64"/>
        <v>30</v>
      </c>
      <c r="AE206" s="1067">
        <f t="shared" si="64"/>
        <v>42</v>
      </c>
      <c r="AF206" s="1015">
        <f t="shared" si="63"/>
        <v>1184</v>
      </c>
    </row>
    <row r="207">
      <c r="A207" s="938" t="s">
        <v>934</v>
      </c>
      <c r="B207" s="1066">
        <f t="shared" ref="B207:AE207" si="65">B148</f>
        <v>2</v>
      </c>
      <c r="C207" s="1067">
        <f t="shared" si="65"/>
        <v>8</v>
      </c>
      <c r="D207" s="1067">
        <f t="shared" si="65"/>
        <v>16</v>
      </c>
      <c r="E207" s="1067">
        <f t="shared" si="65"/>
        <v>16</v>
      </c>
      <c r="F207" s="1067">
        <f t="shared" si="65"/>
        <v>11</v>
      </c>
      <c r="G207" s="1067">
        <f t="shared" si="65"/>
        <v>10</v>
      </c>
      <c r="H207" s="1067">
        <f t="shared" si="65"/>
        <v>2</v>
      </c>
      <c r="I207" s="1066">
        <f t="shared" si="65"/>
        <v>5</v>
      </c>
      <c r="J207" s="1066">
        <f t="shared" si="65"/>
        <v>4</v>
      </c>
      <c r="K207" s="1066">
        <f t="shared" si="65"/>
        <v>12</v>
      </c>
      <c r="L207" s="1066">
        <f t="shared" si="65"/>
        <v>8</v>
      </c>
      <c r="M207" s="1066">
        <f t="shared" si="65"/>
        <v>6</v>
      </c>
      <c r="N207" s="1066">
        <f t="shared" si="65"/>
        <v>7</v>
      </c>
      <c r="O207" s="1068">
        <f t="shared" si="65"/>
        <v>9</v>
      </c>
      <c r="P207" s="1066">
        <f t="shared" si="65"/>
        <v>11</v>
      </c>
      <c r="Q207" s="1066">
        <f t="shared" si="65"/>
        <v>5</v>
      </c>
      <c r="R207" s="1066">
        <f t="shared" si="65"/>
        <v>7</v>
      </c>
      <c r="S207" s="1066">
        <f t="shared" si="65"/>
        <v>10</v>
      </c>
      <c r="T207" s="1066">
        <f t="shared" si="65"/>
        <v>15</v>
      </c>
      <c r="U207" s="1066">
        <f t="shared" si="65"/>
        <v>4</v>
      </c>
      <c r="V207" s="1066">
        <f t="shared" si="65"/>
        <v>4</v>
      </c>
      <c r="W207" s="1066">
        <f t="shared" si="65"/>
        <v>15</v>
      </c>
      <c r="X207" s="1066">
        <f t="shared" si="65"/>
        <v>16</v>
      </c>
      <c r="Y207" s="1066">
        <f t="shared" si="65"/>
        <v>18</v>
      </c>
      <c r="Z207" s="1066">
        <f t="shared" si="65"/>
        <v>23</v>
      </c>
      <c r="AA207" s="1066">
        <f t="shared" si="65"/>
        <v>15</v>
      </c>
      <c r="AB207" s="1066">
        <f t="shared" si="65"/>
        <v>29</v>
      </c>
      <c r="AC207" s="1066">
        <f t="shared" si="65"/>
        <v>16</v>
      </c>
      <c r="AD207" s="1066">
        <f t="shared" si="65"/>
        <v>21</v>
      </c>
      <c r="AE207" s="1066">
        <f t="shared" si="65"/>
        <v>15</v>
      </c>
      <c r="AF207" s="1015">
        <f t="shared" si="63"/>
        <v>340</v>
      </c>
    </row>
    <row r="208">
      <c r="A208" s="1048" t="s">
        <v>179</v>
      </c>
      <c r="B208" s="145">
        <f t="shared" ref="B208:AE208" si="66">SUM(B204:B207)</f>
        <v>51</v>
      </c>
      <c r="C208" s="145">
        <f t="shared" si="66"/>
        <v>93</v>
      </c>
      <c r="D208" s="145">
        <f t="shared" si="66"/>
        <v>109</v>
      </c>
      <c r="E208" s="145">
        <f t="shared" si="66"/>
        <v>138</v>
      </c>
      <c r="F208" s="145">
        <f t="shared" si="66"/>
        <v>126</v>
      </c>
      <c r="G208" s="145">
        <f t="shared" si="66"/>
        <v>78</v>
      </c>
      <c r="H208" s="145">
        <f t="shared" si="66"/>
        <v>62</v>
      </c>
      <c r="I208" s="145">
        <f t="shared" si="66"/>
        <v>48</v>
      </c>
      <c r="J208" s="145">
        <f t="shared" si="66"/>
        <v>54</v>
      </c>
      <c r="K208" s="145">
        <f t="shared" si="66"/>
        <v>70</v>
      </c>
      <c r="L208" s="145">
        <f t="shared" si="66"/>
        <v>63</v>
      </c>
      <c r="M208" s="145">
        <f t="shared" si="66"/>
        <v>52</v>
      </c>
      <c r="N208" s="145">
        <f t="shared" si="66"/>
        <v>59</v>
      </c>
      <c r="O208" s="145">
        <f t="shared" si="66"/>
        <v>63</v>
      </c>
      <c r="P208" s="145">
        <f t="shared" si="66"/>
        <v>65</v>
      </c>
      <c r="Q208" s="145">
        <f t="shared" si="66"/>
        <v>71</v>
      </c>
      <c r="R208" s="145">
        <f t="shared" si="66"/>
        <v>72</v>
      </c>
      <c r="S208" s="145">
        <f t="shared" si="66"/>
        <v>74</v>
      </c>
      <c r="T208" s="145">
        <f t="shared" si="66"/>
        <v>60</v>
      </c>
      <c r="U208" s="145">
        <f t="shared" si="66"/>
        <v>59</v>
      </c>
      <c r="V208" s="145">
        <f t="shared" si="66"/>
        <v>56</v>
      </c>
      <c r="W208" s="145">
        <f t="shared" si="66"/>
        <v>54</v>
      </c>
      <c r="X208" s="145">
        <f t="shared" si="66"/>
        <v>55</v>
      </c>
      <c r="Y208" s="145">
        <f t="shared" si="66"/>
        <v>64</v>
      </c>
      <c r="Z208" s="145">
        <f t="shared" si="66"/>
        <v>68</v>
      </c>
      <c r="AA208" s="145">
        <f t="shared" si="66"/>
        <v>41</v>
      </c>
      <c r="AB208" s="145">
        <f t="shared" si="66"/>
        <v>81</v>
      </c>
      <c r="AC208" s="145">
        <f t="shared" si="66"/>
        <v>63</v>
      </c>
      <c r="AD208" s="145">
        <f t="shared" si="66"/>
        <v>68</v>
      </c>
      <c r="AE208" s="145">
        <f t="shared" si="66"/>
        <v>75</v>
      </c>
      <c r="AF208" s="1015">
        <f t="shared" si="63"/>
        <v>2092</v>
      </c>
    </row>
    <row r="209">
      <c r="A209" s="20"/>
      <c r="B209" s="609"/>
      <c r="C209" s="609"/>
      <c r="D209" s="609"/>
      <c r="E209" s="609"/>
      <c r="F209" s="609"/>
      <c r="G209" s="609"/>
      <c r="H209" s="609"/>
      <c r="I209" s="609"/>
      <c r="J209" s="582"/>
      <c r="K209" s="582"/>
      <c r="L209" s="582"/>
      <c r="M209" s="582"/>
      <c r="N209" s="582"/>
      <c r="O209" s="582"/>
      <c r="P209" s="582"/>
      <c r="Q209" s="582"/>
      <c r="R209" s="582"/>
      <c r="S209" s="582"/>
      <c r="T209" s="582"/>
      <c r="U209" s="582"/>
      <c r="V209" s="582"/>
      <c r="W209" s="582"/>
      <c r="X209" s="582"/>
      <c r="Y209" s="582"/>
      <c r="Z209" s="582"/>
      <c r="AA209" s="582"/>
      <c r="AB209" s="582"/>
      <c r="AC209" s="582"/>
      <c r="AD209" s="582"/>
      <c r="AE209" s="582"/>
      <c r="AF209" s="1015"/>
    </row>
    <row r="210">
      <c r="A210" s="938" t="s">
        <v>147</v>
      </c>
      <c r="B210" s="286">
        <f t="shared" ref="B210:AE210" si="67">B151-B351-B359-B367</f>
        <v>19</v>
      </c>
      <c r="C210" s="286">
        <f t="shared" si="67"/>
        <v>32</v>
      </c>
      <c r="D210" s="286">
        <f t="shared" si="67"/>
        <v>44</v>
      </c>
      <c r="E210" s="286">
        <f t="shared" si="67"/>
        <v>39</v>
      </c>
      <c r="F210" s="286">
        <f t="shared" si="67"/>
        <v>33</v>
      </c>
      <c r="G210" s="286">
        <f t="shared" si="67"/>
        <v>25</v>
      </c>
      <c r="H210" s="286">
        <f t="shared" si="67"/>
        <v>19</v>
      </c>
      <c r="I210" s="286">
        <f t="shared" si="67"/>
        <v>12</v>
      </c>
      <c r="J210" s="286">
        <f t="shared" si="67"/>
        <v>16</v>
      </c>
      <c r="K210" s="286">
        <f t="shared" si="67"/>
        <v>27</v>
      </c>
      <c r="L210" s="286">
        <f t="shared" si="67"/>
        <v>30</v>
      </c>
      <c r="M210" s="286">
        <f t="shared" si="67"/>
        <v>18</v>
      </c>
      <c r="N210" s="286">
        <f t="shared" si="67"/>
        <v>17</v>
      </c>
      <c r="O210" s="286">
        <f t="shared" si="67"/>
        <v>21</v>
      </c>
      <c r="P210" s="286">
        <f t="shared" si="67"/>
        <v>19</v>
      </c>
      <c r="Q210" s="286">
        <f t="shared" si="67"/>
        <v>28</v>
      </c>
      <c r="R210" s="286">
        <f t="shared" si="67"/>
        <v>22</v>
      </c>
      <c r="S210" s="286">
        <f t="shared" si="67"/>
        <v>35</v>
      </c>
      <c r="T210" s="286">
        <f t="shared" si="67"/>
        <v>36</v>
      </c>
      <c r="U210" s="286">
        <f t="shared" si="67"/>
        <v>22</v>
      </c>
      <c r="V210" s="286">
        <f t="shared" si="67"/>
        <v>18</v>
      </c>
      <c r="W210" s="286">
        <f t="shared" si="67"/>
        <v>18</v>
      </c>
      <c r="X210" s="286">
        <f t="shared" si="67"/>
        <v>20</v>
      </c>
      <c r="Y210" s="286">
        <f t="shared" si="67"/>
        <v>28</v>
      </c>
      <c r="Z210" s="286">
        <f t="shared" si="67"/>
        <v>25</v>
      </c>
      <c r="AA210" s="286">
        <f t="shared" si="67"/>
        <v>17</v>
      </c>
      <c r="AB210" s="286">
        <f t="shared" si="67"/>
        <v>29</v>
      </c>
      <c r="AC210" s="286">
        <f t="shared" si="67"/>
        <v>25</v>
      </c>
      <c r="AD210" s="286">
        <f t="shared" si="67"/>
        <v>19</v>
      </c>
      <c r="AE210" s="286">
        <f t="shared" si="67"/>
        <v>20</v>
      </c>
      <c r="AF210" s="1015">
        <f t="shared" ref="AF210:AF219" si="68">sum(B210:AE210)</f>
        <v>733</v>
      </c>
    </row>
    <row r="211">
      <c r="A211" s="938" t="s">
        <v>636</v>
      </c>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c r="AA211" s="142"/>
      <c r="AB211" s="142"/>
      <c r="AC211" s="142"/>
      <c r="AD211" s="142"/>
      <c r="AE211" s="142"/>
      <c r="AF211" s="1015">
        <f t="shared" si="68"/>
        <v>0</v>
      </c>
    </row>
    <row r="212">
      <c r="A212" s="938" t="s">
        <v>150</v>
      </c>
      <c r="B212" s="286">
        <f t="shared" ref="B212:AE212" si="69">B153-B353-B361-B369</f>
        <v>10</v>
      </c>
      <c r="C212" s="286">
        <f t="shared" si="69"/>
        <v>21</v>
      </c>
      <c r="D212" s="286">
        <f t="shared" si="69"/>
        <v>26</v>
      </c>
      <c r="E212" s="286">
        <f t="shared" si="69"/>
        <v>25</v>
      </c>
      <c r="F212" s="286">
        <f t="shared" si="69"/>
        <v>23</v>
      </c>
      <c r="G212" s="286">
        <f t="shared" si="69"/>
        <v>19</v>
      </c>
      <c r="H212" s="286">
        <f t="shared" si="69"/>
        <v>15</v>
      </c>
      <c r="I212" s="286">
        <f t="shared" si="69"/>
        <v>9</v>
      </c>
      <c r="J212" s="286">
        <f t="shared" si="69"/>
        <v>6</v>
      </c>
      <c r="K212" s="286">
        <f t="shared" si="69"/>
        <v>22</v>
      </c>
      <c r="L212" s="286">
        <f t="shared" si="69"/>
        <v>17</v>
      </c>
      <c r="M212" s="286">
        <f t="shared" si="69"/>
        <v>12</v>
      </c>
      <c r="N212" s="286">
        <f t="shared" si="69"/>
        <v>13</v>
      </c>
      <c r="O212" s="286">
        <f t="shared" si="69"/>
        <v>21</v>
      </c>
      <c r="P212" s="286">
        <f t="shared" si="69"/>
        <v>8</v>
      </c>
      <c r="Q212" s="286">
        <f t="shared" si="69"/>
        <v>19</v>
      </c>
      <c r="R212" s="286">
        <f t="shared" si="69"/>
        <v>13</v>
      </c>
      <c r="S212" s="286">
        <f t="shared" si="69"/>
        <v>25</v>
      </c>
      <c r="T212" s="286">
        <f t="shared" si="69"/>
        <v>34</v>
      </c>
      <c r="U212" s="286">
        <f t="shared" si="69"/>
        <v>15</v>
      </c>
      <c r="V212" s="286">
        <f t="shared" si="69"/>
        <v>12</v>
      </c>
      <c r="W212" s="286">
        <f t="shared" si="69"/>
        <v>16</v>
      </c>
      <c r="X212" s="286">
        <f t="shared" si="69"/>
        <v>16</v>
      </c>
      <c r="Y212" s="286">
        <f t="shared" si="69"/>
        <v>20</v>
      </c>
      <c r="Z212" s="286">
        <f t="shared" si="69"/>
        <v>22</v>
      </c>
      <c r="AA212" s="286">
        <f t="shared" si="69"/>
        <v>7</v>
      </c>
      <c r="AB212" s="286">
        <f t="shared" si="69"/>
        <v>18</v>
      </c>
      <c r="AC212" s="286">
        <f t="shared" si="69"/>
        <v>22</v>
      </c>
      <c r="AD212" s="286">
        <f t="shared" si="69"/>
        <v>13</v>
      </c>
      <c r="AE212" s="286">
        <f t="shared" si="69"/>
        <v>17</v>
      </c>
      <c r="AF212" s="1015">
        <f t="shared" si="68"/>
        <v>516</v>
      </c>
    </row>
    <row r="213">
      <c r="A213" s="938" t="s">
        <v>935</v>
      </c>
      <c r="B213" s="286">
        <f t="shared" ref="B213:AE213" si="70">B154-B354-B362-B370</f>
        <v>7</v>
      </c>
      <c r="C213" s="286">
        <f t="shared" si="70"/>
        <v>19</v>
      </c>
      <c r="D213" s="286">
        <f t="shared" si="70"/>
        <v>28</v>
      </c>
      <c r="E213" s="286">
        <f t="shared" si="70"/>
        <v>23</v>
      </c>
      <c r="F213" s="286">
        <f t="shared" si="70"/>
        <v>23</v>
      </c>
      <c r="G213" s="286">
        <f t="shared" si="70"/>
        <v>15</v>
      </c>
      <c r="H213" s="286">
        <f t="shared" si="70"/>
        <v>16</v>
      </c>
      <c r="I213" s="286">
        <f t="shared" si="70"/>
        <v>9</v>
      </c>
      <c r="J213" s="286">
        <f t="shared" si="70"/>
        <v>9</v>
      </c>
      <c r="K213" s="286">
        <f t="shared" si="70"/>
        <v>13</v>
      </c>
      <c r="L213" s="286">
        <f t="shared" si="70"/>
        <v>13</v>
      </c>
      <c r="M213" s="286">
        <f t="shared" si="70"/>
        <v>13</v>
      </c>
      <c r="N213" s="286">
        <f t="shared" si="70"/>
        <v>8</v>
      </c>
      <c r="O213" s="286">
        <f t="shared" si="70"/>
        <v>6</v>
      </c>
      <c r="P213" s="286">
        <f t="shared" si="70"/>
        <v>4</v>
      </c>
      <c r="Q213" s="286">
        <f t="shared" si="70"/>
        <v>13</v>
      </c>
      <c r="R213" s="286">
        <f t="shared" si="70"/>
        <v>5</v>
      </c>
      <c r="S213" s="286">
        <f t="shared" si="70"/>
        <v>0</v>
      </c>
      <c r="T213" s="286">
        <f t="shared" si="70"/>
        <v>36</v>
      </c>
      <c r="U213" s="286">
        <f t="shared" si="70"/>
        <v>17</v>
      </c>
      <c r="V213" s="286">
        <f t="shared" si="70"/>
        <v>22</v>
      </c>
      <c r="W213" s="286">
        <f t="shared" si="70"/>
        <v>5</v>
      </c>
      <c r="X213" s="286">
        <f t="shared" si="70"/>
        <v>11</v>
      </c>
      <c r="Y213" s="286">
        <f t="shared" si="70"/>
        <v>7</v>
      </c>
      <c r="Z213" s="286">
        <f t="shared" si="70"/>
        <v>8</v>
      </c>
      <c r="AA213" s="286">
        <f t="shared" si="70"/>
        <v>8</v>
      </c>
      <c r="AB213" s="286">
        <f t="shared" si="70"/>
        <v>5</v>
      </c>
      <c r="AC213" s="286">
        <f t="shared" si="70"/>
        <v>8</v>
      </c>
      <c r="AD213" s="286">
        <f t="shared" si="70"/>
        <v>8</v>
      </c>
      <c r="AE213" s="286">
        <f t="shared" si="70"/>
        <v>7</v>
      </c>
      <c r="AF213" s="1015">
        <f t="shared" si="68"/>
        <v>366</v>
      </c>
    </row>
    <row r="214">
      <c r="A214" s="938" t="s">
        <v>936</v>
      </c>
      <c r="B214" s="1064"/>
      <c r="C214" s="1064"/>
      <c r="D214" s="1064"/>
      <c r="E214" s="1064"/>
      <c r="F214" s="1064"/>
      <c r="G214" s="1064"/>
      <c r="H214" s="1064"/>
      <c r="I214" s="1064"/>
      <c r="J214" s="1064"/>
      <c r="K214" s="1064"/>
      <c r="L214" s="1064"/>
      <c r="M214" s="1064"/>
      <c r="N214" s="1064"/>
      <c r="O214" s="1064"/>
      <c r="P214" s="1064"/>
      <c r="Q214" s="1064"/>
      <c r="R214" s="1064"/>
      <c r="S214" s="23"/>
      <c r="T214" s="23"/>
      <c r="U214" s="286">
        <f t="shared" ref="U214:W214" si="71">U155-U355-U363-U371</f>
        <v>1</v>
      </c>
      <c r="V214" s="286">
        <f t="shared" si="71"/>
        <v>10</v>
      </c>
      <c r="W214" s="286">
        <f t="shared" si="71"/>
        <v>10</v>
      </c>
      <c r="X214" s="286">
        <f>X155</f>
        <v>6</v>
      </c>
      <c r="Y214" s="286">
        <f t="shared" ref="Y214:AE214" si="72">Y155-Y355-Y363-Y371</f>
        <v>11</v>
      </c>
      <c r="Z214" s="286">
        <f t="shared" si="72"/>
        <v>9</v>
      </c>
      <c r="AA214" s="286">
        <f t="shared" si="72"/>
        <v>6</v>
      </c>
      <c r="AB214" s="286">
        <f t="shared" si="72"/>
        <v>6</v>
      </c>
      <c r="AC214" s="286">
        <f t="shared" si="72"/>
        <v>5</v>
      </c>
      <c r="AD214" s="286">
        <f t="shared" si="72"/>
        <v>11</v>
      </c>
      <c r="AE214" s="286">
        <f t="shared" si="72"/>
        <v>5</v>
      </c>
      <c r="AF214" s="1015">
        <f t="shared" si="68"/>
        <v>80</v>
      </c>
    </row>
    <row r="215">
      <c r="A215" s="938" t="s">
        <v>937</v>
      </c>
      <c r="B215" s="286">
        <f t="shared" ref="B215:O215" si="73">B156-B355-B363-B371</f>
        <v>3</v>
      </c>
      <c r="C215" s="286">
        <f t="shared" si="73"/>
        <v>5</v>
      </c>
      <c r="D215" s="286">
        <f t="shared" si="73"/>
        <v>8</v>
      </c>
      <c r="E215" s="286">
        <f t="shared" si="73"/>
        <v>6</v>
      </c>
      <c r="F215" s="286">
        <f t="shared" si="73"/>
        <v>7</v>
      </c>
      <c r="G215" s="286">
        <f t="shared" si="73"/>
        <v>9</v>
      </c>
      <c r="H215" s="286">
        <f t="shared" si="73"/>
        <v>5</v>
      </c>
      <c r="I215" s="286">
        <f t="shared" si="73"/>
        <v>3</v>
      </c>
      <c r="J215" s="286">
        <f t="shared" si="73"/>
        <v>1</v>
      </c>
      <c r="K215" s="286">
        <f t="shared" si="73"/>
        <v>5</v>
      </c>
      <c r="L215" s="286">
        <f t="shared" si="73"/>
        <v>5</v>
      </c>
      <c r="M215" s="286">
        <f t="shared" si="73"/>
        <v>3</v>
      </c>
      <c r="N215" s="286">
        <f t="shared" si="73"/>
        <v>3</v>
      </c>
      <c r="O215" s="286">
        <f t="shared" si="73"/>
        <v>4</v>
      </c>
      <c r="P215" s="286">
        <f>P153-P355-P363-P371</f>
        <v>10</v>
      </c>
      <c r="Q215" s="286">
        <f t="shared" ref="Q215:T215" si="74">Q156-Q355-Q363-Q371</f>
        <v>4</v>
      </c>
      <c r="R215" s="286">
        <f t="shared" si="74"/>
        <v>7</v>
      </c>
      <c r="S215" s="286">
        <f t="shared" si="74"/>
        <v>5</v>
      </c>
      <c r="T215" s="286">
        <f t="shared" si="74"/>
        <v>0</v>
      </c>
      <c r="U215" s="286">
        <f t="shared" ref="U215:U218" si="76">U156-U356-U364-U372</f>
        <v>4</v>
      </c>
      <c r="V215" s="286">
        <f t="shared" ref="V215:AE215" si="75">V156-V355-V363-V371</f>
        <v>7</v>
      </c>
      <c r="W215" s="286">
        <f t="shared" si="75"/>
        <v>7</v>
      </c>
      <c r="X215" s="286">
        <f t="shared" si="75"/>
        <v>7</v>
      </c>
      <c r="Y215" s="286">
        <f t="shared" si="75"/>
        <v>5</v>
      </c>
      <c r="Z215" s="286">
        <f t="shared" si="75"/>
        <v>4</v>
      </c>
      <c r="AA215" s="286">
        <f t="shared" si="75"/>
        <v>6</v>
      </c>
      <c r="AB215" s="286">
        <f t="shared" si="75"/>
        <v>4</v>
      </c>
      <c r="AC215" s="286">
        <f t="shared" si="75"/>
        <v>3</v>
      </c>
      <c r="AD215" s="286">
        <f t="shared" si="75"/>
        <v>8</v>
      </c>
      <c r="AE215" s="286">
        <f t="shared" si="75"/>
        <v>2</v>
      </c>
      <c r="AF215" s="1015">
        <f t="shared" si="68"/>
        <v>150</v>
      </c>
    </row>
    <row r="216">
      <c r="A216" s="938" t="s">
        <v>938</v>
      </c>
      <c r="B216" s="1064"/>
      <c r="C216" s="1064"/>
      <c r="D216" s="1064"/>
      <c r="E216" s="1064"/>
      <c r="F216" s="1064"/>
      <c r="G216" s="1064"/>
      <c r="H216" s="1064"/>
      <c r="I216" s="1064"/>
      <c r="J216" s="1064"/>
      <c r="K216" s="1064"/>
      <c r="L216" s="1064"/>
      <c r="M216" s="1064"/>
      <c r="N216" s="1064"/>
      <c r="O216" s="1064"/>
      <c r="P216" s="1064"/>
      <c r="Q216" s="1064"/>
      <c r="R216" s="1064"/>
      <c r="S216" s="23"/>
      <c r="T216" s="23"/>
      <c r="U216" s="286">
        <f t="shared" si="76"/>
        <v>1</v>
      </c>
      <c r="V216" s="286">
        <f t="shared" ref="V216:W216" si="77">V157-V357-V365-V373</f>
        <v>3</v>
      </c>
      <c r="W216" s="286">
        <f t="shared" si="77"/>
        <v>2</v>
      </c>
      <c r="X216" s="286">
        <f>X157</f>
        <v>1</v>
      </c>
      <c r="Y216" s="286">
        <f t="shared" ref="Y216:AE216" si="78">Y157-Y357-Y365-Y373</f>
        <v>-3</v>
      </c>
      <c r="Z216" s="286">
        <f t="shared" si="78"/>
        <v>-1</v>
      </c>
      <c r="AA216" s="286">
        <f t="shared" si="78"/>
        <v>3</v>
      </c>
      <c r="AB216" s="286">
        <f t="shared" si="78"/>
        <v>1</v>
      </c>
      <c r="AC216" s="286">
        <f t="shared" si="78"/>
        <v>0</v>
      </c>
      <c r="AD216" s="286">
        <f t="shared" si="78"/>
        <v>0</v>
      </c>
      <c r="AE216" s="286">
        <f t="shared" si="78"/>
        <v>-2</v>
      </c>
      <c r="AF216" s="1015">
        <f t="shared" si="68"/>
        <v>5</v>
      </c>
    </row>
    <row r="217">
      <c r="A217" s="938" t="s">
        <v>939</v>
      </c>
      <c r="B217" s="142"/>
      <c r="C217" s="142"/>
      <c r="D217" s="142"/>
      <c r="E217" s="142"/>
      <c r="F217" s="142"/>
      <c r="G217" s="142"/>
      <c r="H217" s="142"/>
      <c r="I217" s="142"/>
      <c r="J217" s="142"/>
      <c r="K217" s="142"/>
      <c r="L217" s="142"/>
      <c r="M217" s="142"/>
      <c r="N217" s="142"/>
      <c r="O217" s="142"/>
      <c r="P217" s="142"/>
      <c r="Q217" s="142"/>
      <c r="R217" s="142"/>
      <c r="S217" s="286">
        <f t="shared" ref="S217:T217" si="79">S158-S357-S365-S373</f>
        <v>423</v>
      </c>
      <c r="T217" s="286">
        <f t="shared" si="79"/>
        <v>194</v>
      </c>
      <c r="U217" s="286">
        <f t="shared" si="76"/>
        <v>97</v>
      </c>
      <c r="V217" s="286">
        <f t="shared" ref="V217:W217" si="80">V158-V358-V366-V374</f>
        <v>61</v>
      </c>
      <c r="W217" s="286">
        <f t="shared" si="80"/>
        <v>54</v>
      </c>
      <c r="X217" s="286">
        <f>X158-X356-X364-X372</f>
        <v>62</v>
      </c>
      <c r="Y217" s="286">
        <f t="shared" ref="Y217:AE217" si="81">Y158-Y358-Y366-Y374</f>
        <v>54</v>
      </c>
      <c r="Z217" s="286">
        <f t="shared" si="81"/>
        <v>37</v>
      </c>
      <c r="AA217" s="286">
        <f t="shared" si="81"/>
        <v>25</v>
      </c>
      <c r="AB217" s="286">
        <f t="shared" si="81"/>
        <v>34</v>
      </c>
      <c r="AC217" s="286">
        <f t="shared" si="81"/>
        <v>34</v>
      </c>
      <c r="AD217" s="286">
        <f t="shared" si="81"/>
        <v>30</v>
      </c>
      <c r="AE217" s="286">
        <f t="shared" si="81"/>
        <v>26</v>
      </c>
      <c r="AF217" s="1015">
        <f t="shared" si="68"/>
        <v>1131</v>
      </c>
    </row>
    <row r="218">
      <c r="A218" s="938" t="s">
        <v>940</v>
      </c>
      <c r="B218" s="142"/>
      <c r="C218" s="142"/>
      <c r="D218" s="142"/>
      <c r="E218" s="142"/>
      <c r="F218" s="142"/>
      <c r="G218" s="142"/>
      <c r="H218" s="142"/>
      <c r="I218" s="142"/>
      <c r="J218" s="142"/>
      <c r="K218" s="142"/>
      <c r="L218" s="142"/>
      <c r="M218" s="142"/>
      <c r="N218" s="142"/>
      <c r="O218" s="142"/>
      <c r="P218" s="142"/>
      <c r="Q218" s="142"/>
      <c r="R218" s="142"/>
      <c r="S218" s="23"/>
      <c r="T218" s="23"/>
      <c r="U218" s="286">
        <f t="shared" si="76"/>
        <v>22</v>
      </c>
      <c r="V218" s="286">
        <f t="shared" ref="V218:W218" si="82">V159-V359-V367-V375</f>
        <v>16</v>
      </c>
      <c r="W218" s="286">
        <f t="shared" si="82"/>
        <v>15</v>
      </c>
      <c r="X218" s="286">
        <f>X159</f>
        <v>10</v>
      </c>
      <c r="Y218" s="286">
        <f t="shared" ref="Y218:AE218" si="83">Y159-Y359-Y367-Y375</f>
        <v>19</v>
      </c>
      <c r="Z218" s="286">
        <f t="shared" si="83"/>
        <v>15</v>
      </c>
      <c r="AA218" s="286">
        <f t="shared" si="83"/>
        <v>14</v>
      </c>
      <c r="AB218" s="286">
        <f t="shared" si="83"/>
        <v>12</v>
      </c>
      <c r="AC218" s="286">
        <f t="shared" si="83"/>
        <v>12</v>
      </c>
      <c r="AD218" s="286">
        <f t="shared" si="83"/>
        <v>7</v>
      </c>
      <c r="AE218" s="286">
        <f t="shared" si="83"/>
        <v>12</v>
      </c>
      <c r="AF218" s="1015">
        <f t="shared" si="68"/>
        <v>154</v>
      </c>
    </row>
    <row r="219">
      <c r="A219" s="1048" t="s">
        <v>95</v>
      </c>
      <c r="B219" s="145">
        <f t="shared" ref="B219:T219" si="84">SUM(B210:B215)</f>
        <v>39</v>
      </c>
      <c r="C219" s="145">
        <f t="shared" si="84"/>
        <v>77</v>
      </c>
      <c r="D219" s="145">
        <f t="shared" si="84"/>
        <v>106</v>
      </c>
      <c r="E219" s="145">
        <f t="shared" si="84"/>
        <v>93</v>
      </c>
      <c r="F219" s="145">
        <f t="shared" si="84"/>
        <v>86</v>
      </c>
      <c r="G219" s="145">
        <f t="shared" si="84"/>
        <v>68</v>
      </c>
      <c r="H219" s="145">
        <f t="shared" si="84"/>
        <v>55</v>
      </c>
      <c r="I219" s="145">
        <f t="shared" si="84"/>
        <v>33</v>
      </c>
      <c r="J219" s="145">
        <f t="shared" si="84"/>
        <v>32</v>
      </c>
      <c r="K219" s="145">
        <f t="shared" si="84"/>
        <v>67</v>
      </c>
      <c r="L219" s="145">
        <f t="shared" si="84"/>
        <v>65</v>
      </c>
      <c r="M219" s="145">
        <f t="shared" si="84"/>
        <v>46</v>
      </c>
      <c r="N219" s="145">
        <f t="shared" si="84"/>
        <v>41</v>
      </c>
      <c r="O219" s="145">
        <f t="shared" si="84"/>
        <v>52</v>
      </c>
      <c r="P219" s="145">
        <f t="shared" si="84"/>
        <v>41</v>
      </c>
      <c r="Q219" s="145">
        <f t="shared" si="84"/>
        <v>64</v>
      </c>
      <c r="R219" s="145">
        <f t="shared" si="84"/>
        <v>47</v>
      </c>
      <c r="S219" s="145">
        <f t="shared" si="84"/>
        <v>65</v>
      </c>
      <c r="T219" s="145">
        <f t="shared" si="84"/>
        <v>106</v>
      </c>
      <c r="U219" s="145">
        <f t="shared" ref="U219:AE219" si="85">SUM(U210:U218)</f>
        <v>179</v>
      </c>
      <c r="V219" s="145">
        <f t="shared" si="85"/>
        <v>149</v>
      </c>
      <c r="W219" s="145">
        <f t="shared" si="85"/>
        <v>127</v>
      </c>
      <c r="X219" s="145">
        <f t="shared" si="85"/>
        <v>133</v>
      </c>
      <c r="Y219" s="145">
        <f t="shared" si="85"/>
        <v>141</v>
      </c>
      <c r="Z219" s="145">
        <f t="shared" si="85"/>
        <v>119</v>
      </c>
      <c r="AA219" s="145">
        <f t="shared" si="85"/>
        <v>86</v>
      </c>
      <c r="AB219" s="145">
        <f t="shared" si="85"/>
        <v>109</v>
      </c>
      <c r="AC219" s="145">
        <f t="shared" si="85"/>
        <v>109</v>
      </c>
      <c r="AD219" s="145">
        <f t="shared" si="85"/>
        <v>96</v>
      </c>
      <c r="AE219" s="145">
        <f t="shared" si="85"/>
        <v>87</v>
      </c>
      <c r="AF219" s="1015">
        <f t="shared" si="68"/>
        <v>2518</v>
      </c>
    </row>
    <row r="220">
      <c r="A220" s="854"/>
      <c r="AF220" s="1015"/>
    </row>
    <row r="221">
      <c r="A221" s="938" t="s">
        <v>909</v>
      </c>
      <c r="B221" s="626"/>
      <c r="C221" s="626"/>
      <c r="D221" s="626"/>
      <c r="E221" s="626"/>
      <c r="F221" s="626"/>
      <c r="G221" s="626"/>
      <c r="H221" s="626"/>
      <c r="I221" s="626"/>
      <c r="J221" s="626"/>
      <c r="K221" s="626"/>
      <c r="L221" s="626"/>
      <c r="M221" s="626"/>
      <c r="N221" s="626"/>
      <c r="O221" s="626"/>
      <c r="P221" s="626"/>
      <c r="Q221" s="626"/>
      <c r="R221" s="626"/>
      <c r="S221" s="262">
        <v>520.0</v>
      </c>
      <c r="T221" s="262">
        <v>574.0</v>
      </c>
      <c r="U221" s="262">
        <v>358.0</v>
      </c>
      <c r="V221" s="262">
        <v>280.0</v>
      </c>
      <c r="W221" s="331">
        <v>191.0</v>
      </c>
      <c r="X221" s="331">
        <v>190.0</v>
      </c>
      <c r="Y221" s="332">
        <v>171.0</v>
      </c>
      <c r="Z221" s="332">
        <v>133.0</v>
      </c>
      <c r="AA221" s="582">
        <v>155.0</v>
      </c>
      <c r="AB221" s="609">
        <f>'OLD Sales'!AB32</f>
        <v>105</v>
      </c>
      <c r="AC221" s="609">
        <f>'OLD Sales'!AC32</f>
        <v>103</v>
      </c>
      <c r="AD221" s="609">
        <f>'OLD Sales'!AD32</f>
        <v>468</v>
      </c>
      <c r="AE221" s="609">
        <f>'OLD Sales'!AE32</f>
        <v>498</v>
      </c>
      <c r="AF221" s="1015">
        <f t="shared" ref="AF221:AF223" si="86">sum(B221:AE221)</f>
        <v>3746</v>
      </c>
    </row>
    <row r="222">
      <c r="A222" s="938" t="s">
        <v>910</v>
      </c>
      <c r="B222" s="626"/>
      <c r="C222" s="626"/>
      <c r="D222" s="626"/>
      <c r="E222" s="626"/>
      <c r="F222" s="626"/>
      <c r="G222" s="626"/>
      <c r="H222" s="626"/>
      <c r="I222" s="626"/>
      <c r="J222" s="626"/>
      <c r="K222" s="626"/>
      <c r="L222" s="626"/>
      <c r="M222" s="626"/>
      <c r="N222" s="626"/>
      <c r="O222" s="626"/>
      <c r="P222" s="626"/>
      <c r="Q222" s="626"/>
      <c r="R222" s="626"/>
      <c r="S222" s="626"/>
      <c r="T222" s="626"/>
      <c r="U222" s="626"/>
      <c r="V222" s="626"/>
      <c r="W222" s="626"/>
      <c r="X222" s="626"/>
      <c r="Y222" s="626"/>
      <c r="Z222" s="626"/>
      <c r="AA222" s="626"/>
      <c r="AB222" s="626"/>
      <c r="AC222" s="626"/>
      <c r="AD222" s="626"/>
      <c r="AE222" s="626"/>
      <c r="AF222" s="1015">
        <f t="shared" si="86"/>
        <v>0</v>
      </c>
    </row>
    <row r="223">
      <c r="A223" s="1048" t="s">
        <v>95</v>
      </c>
      <c r="B223" s="145">
        <f t="shared" ref="B223:AE223" si="87">SUM(B221:B222)</f>
        <v>0</v>
      </c>
      <c r="C223" s="145">
        <f t="shared" si="87"/>
        <v>0</v>
      </c>
      <c r="D223" s="145">
        <f t="shared" si="87"/>
        <v>0</v>
      </c>
      <c r="E223" s="145">
        <f t="shared" si="87"/>
        <v>0</v>
      </c>
      <c r="F223" s="145">
        <f t="shared" si="87"/>
        <v>0</v>
      </c>
      <c r="G223" s="145">
        <f t="shared" si="87"/>
        <v>0</v>
      </c>
      <c r="H223" s="145">
        <f t="shared" si="87"/>
        <v>0</v>
      </c>
      <c r="I223" s="145">
        <f t="shared" si="87"/>
        <v>0</v>
      </c>
      <c r="J223" s="145">
        <f t="shared" si="87"/>
        <v>0</v>
      </c>
      <c r="K223" s="145">
        <f t="shared" si="87"/>
        <v>0</v>
      </c>
      <c r="L223" s="145">
        <f t="shared" si="87"/>
        <v>0</v>
      </c>
      <c r="M223" s="145">
        <f t="shared" si="87"/>
        <v>0</v>
      </c>
      <c r="N223" s="145">
        <f t="shared" si="87"/>
        <v>0</v>
      </c>
      <c r="O223" s="145">
        <f t="shared" si="87"/>
        <v>0</v>
      </c>
      <c r="P223" s="145">
        <f t="shared" si="87"/>
        <v>0</v>
      </c>
      <c r="Q223" s="145">
        <f t="shared" si="87"/>
        <v>0</v>
      </c>
      <c r="R223" s="145">
        <f t="shared" si="87"/>
        <v>0</v>
      </c>
      <c r="S223" s="145">
        <f t="shared" si="87"/>
        <v>520</v>
      </c>
      <c r="T223" s="145">
        <f t="shared" si="87"/>
        <v>574</v>
      </c>
      <c r="U223" s="145">
        <f t="shared" si="87"/>
        <v>358</v>
      </c>
      <c r="V223" s="145">
        <f t="shared" si="87"/>
        <v>280</v>
      </c>
      <c r="W223" s="145">
        <f t="shared" si="87"/>
        <v>191</v>
      </c>
      <c r="X223" s="145">
        <f t="shared" si="87"/>
        <v>190</v>
      </c>
      <c r="Y223" s="145">
        <f t="shared" si="87"/>
        <v>171</v>
      </c>
      <c r="Z223" s="145">
        <f t="shared" si="87"/>
        <v>133</v>
      </c>
      <c r="AA223" s="145">
        <f t="shared" si="87"/>
        <v>155</v>
      </c>
      <c r="AB223" s="145">
        <f t="shared" si="87"/>
        <v>105</v>
      </c>
      <c r="AC223" s="145">
        <f t="shared" si="87"/>
        <v>103</v>
      </c>
      <c r="AD223" s="145">
        <f t="shared" si="87"/>
        <v>468</v>
      </c>
      <c r="AE223" s="145">
        <f t="shared" si="87"/>
        <v>498</v>
      </c>
      <c r="AF223" s="1015">
        <f t="shared" si="86"/>
        <v>3746</v>
      </c>
    </row>
    <row r="224">
      <c r="A224" s="854"/>
      <c r="AF224" s="700"/>
    </row>
    <row r="225">
      <c r="A225" s="854"/>
      <c r="AF225" s="700"/>
    </row>
    <row r="226">
      <c r="A226" s="1070" t="s">
        <v>941</v>
      </c>
      <c r="B226" s="651"/>
      <c r="C226" s="651"/>
      <c r="D226" s="651"/>
      <c r="E226" s="651"/>
      <c r="F226" s="651"/>
      <c r="G226" s="651"/>
      <c r="H226" s="651"/>
      <c r="I226" s="582"/>
      <c r="J226" s="582"/>
      <c r="K226" s="582"/>
      <c r="L226" s="582"/>
      <c r="M226" s="582"/>
      <c r="N226" s="582"/>
      <c r="O226" s="582"/>
      <c r="P226" s="582"/>
      <c r="Q226" s="582"/>
      <c r="R226" s="582"/>
      <c r="S226" s="582"/>
      <c r="T226" s="582"/>
      <c r="U226" s="582"/>
      <c r="V226" s="582"/>
      <c r="W226" s="582"/>
      <c r="X226" s="582"/>
      <c r="Y226" s="582"/>
      <c r="Z226" s="582"/>
      <c r="AA226" s="582"/>
      <c r="AB226" s="582"/>
      <c r="AC226" s="582"/>
      <c r="AD226" s="582"/>
      <c r="AE226" s="582"/>
      <c r="AF226" s="1015"/>
    </row>
    <row r="227" collapsed="1">
      <c r="A227" s="1071" t="s">
        <v>942</v>
      </c>
      <c r="B227" s="1072"/>
      <c r="C227" s="1072"/>
      <c r="D227" s="1073"/>
      <c r="E227" s="1073"/>
      <c r="F227" s="1073"/>
      <c r="G227" s="1073"/>
      <c r="H227" s="1073"/>
      <c r="I227" s="1073"/>
      <c r="J227" s="1073"/>
      <c r="K227" s="1072"/>
      <c r="L227" s="1072"/>
      <c r="M227" s="1072"/>
      <c r="N227" s="1072"/>
      <c r="O227" s="1072"/>
      <c r="P227" s="1072"/>
      <c r="Q227" s="1072"/>
      <c r="R227" s="1072"/>
      <c r="S227" s="1072"/>
      <c r="T227" s="1072"/>
      <c r="U227" s="1072"/>
      <c r="V227" s="1072"/>
      <c r="W227" s="1072"/>
      <c r="X227" s="1072"/>
      <c r="Y227" s="1072"/>
      <c r="Z227" s="1072"/>
      <c r="AA227" s="1072"/>
      <c r="AB227" s="1072"/>
      <c r="AC227" s="1072"/>
      <c r="AD227" s="1072"/>
      <c r="AE227" s="1072"/>
      <c r="AF227" s="1015"/>
    </row>
    <row r="228" hidden="1" outlineLevel="1">
      <c r="A228" s="1071" t="s">
        <v>943</v>
      </c>
      <c r="B228" s="331">
        <v>13.0</v>
      </c>
      <c r="C228" s="331">
        <v>22.0</v>
      </c>
      <c r="D228" s="1074">
        <v>24.0</v>
      </c>
      <c r="E228" s="1074">
        <v>34.0</v>
      </c>
      <c r="F228" s="1074">
        <v>30.0</v>
      </c>
      <c r="G228" s="1074">
        <v>19.0</v>
      </c>
      <c r="H228" s="1074">
        <v>20.0</v>
      </c>
      <c r="I228" s="1074">
        <v>8.0</v>
      </c>
      <c r="J228" s="1074">
        <v>13.0</v>
      </c>
      <c r="K228" s="331">
        <v>14.0</v>
      </c>
      <c r="L228" s="331">
        <v>14.0</v>
      </c>
      <c r="M228" s="331">
        <v>19.0</v>
      </c>
      <c r="N228" s="331">
        <v>12.0</v>
      </c>
      <c r="O228" s="331">
        <v>21.0</v>
      </c>
      <c r="P228" s="331">
        <v>15.0</v>
      </c>
      <c r="Q228" s="331">
        <v>18.0</v>
      </c>
      <c r="R228" s="331">
        <v>18.0</v>
      </c>
      <c r="S228" s="331">
        <v>21.0</v>
      </c>
      <c r="T228" s="331">
        <v>14.0</v>
      </c>
      <c r="U228" s="331">
        <v>13.0</v>
      </c>
      <c r="V228" s="331">
        <v>17.0</v>
      </c>
      <c r="W228" s="331">
        <v>13.0</v>
      </c>
      <c r="X228" s="331">
        <v>17.0</v>
      </c>
      <c r="Y228" s="331">
        <v>6.0</v>
      </c>
      <c r="Z228" s="331">
        <v>3.0</v>
      </c>
      <c r="AA228" s="331">
        <v>5.0</v>
      </c>
      <c r="AB228" s="331">
        <v>13.0</v>
      </c>
      <c r="AC228" s="331">
        <v>13.0</v>
      </c>
      <c r="AD228" s="331">
        <v>11.0</v>
      </c>
      <c r="AE228" s="331">
        <v>14.0</v>
      </c>
      <c r="AF228" s="1015">
        <f t="shared" ref="AF228:AF231" si="88">sum(B228:AE228)</f>
        <v>474</v>
      </c>
    </row>
    <row r="229" hidden="1" outlineLevel="1">
      <c r="A229" s="1071" t="s">
        <v>944</v>
      </c>
      <c r="B229" s="1061">
        <v>1.0</v>
      </c>
      <c r="C229" s="1061">
        <v>1.0</v>
      </c>
      <c r="D229" s="1061">
        <v>0.0</v>
      </c>
      <c r="E229" s="1061">
        <v>2.0</v>
      </c>
      <c r="F229" s="1061">
        <v>2.0</v>
      </c>
      <c r="G229" s="1061">
        <v>1.0</v>
      </c>
      <c r="H229" s="1061">
        <v>0.0</v>
      </c>
      <c r="I229" s="1061">
        <v>0.0</v>
      </c>
      <c r="J229" s="1061">
        <v>1.0</v>
      </c>
      <c r="K229" s="1061">
        <v>0.0</v>
      </c>
      <c r="L229" s="1061">
        <v>1.0</v>
      </c>
      <c r="M229" s="1061">
        <v>2.0</v>
      </c>
      <c r="N229" s="1061">
        <v>0.0</v>
      </c>
      <c r="O229" s="1061">
        <v>6.0</v>
      </c>
      <c r="P229" s="1061">
        <v>2.0</v>
      </c>
      <c r="Q229" s="1061">
        <v>1.0</v>
      </c>
      <c r="R229" s="1061">
        <v>0.0</v>
      </c>
      <c r="S229" s="332">
        <v>1.0</v>
      </c>
      <c r="T229" s="332">
        <v>3.0</v>
      </c>
      <c r="U229" s="331">
        <v>3.0</v>
      </c>
      <c r="V229" s="331">
        <v>0.0</v>
      </c>
      <c r="W229" s="331">
        <v>3.0</v>
      </c>
      <c r="X229" s="331">
        <v>0.0</v>
      </c>
      <c r="Y229" s="331">
        <v>4.0</v>
      </c>
      <c r="Z229" s="331">
        <v>3.0</v>
      </c>
      <c r="AA229" s="331">
        <v>3.0</v>
      </c>
      <c r="AB229" s="331">
        <v>1.0</v>
      </c>
      <c r="AC229" s="331">
        <v>2.0</v>
      </c>
      <c r="AD229" s="331">
        <v>0.0</v>
      </c>
      <c r="AE229" s="331">
        <v>1.0</v>
      </c>
      <c r="AF229" s="1015">
        <f t="shared" si="88"/>
        <v>44</v>
      </c>
    </row>
    <row r="230" hidden="1" outlineLevel="1">
      <c r="A230" s="1071" t="s">
        <v>945</v>
      </c>
      <c r="B230" s="331">
        <v>12.0</v>
      </c>
      <c r="C230" s="331">
        <v>20.0</v>
      </c>
      <c r="D230" s="1074">
        <v>25.0</v>
      </c>
      <c r="E230" s="1074">
        <v>23.0</v>
      </c>
      <c r="F230" s="1074">
        <v>23.0</v>
      </c>
      <c r="G230" s="1074">
        <v>21.0</v>
      </c>
      <c r="H230" s="1074">
        <v>16.0</v>
      </c>
      <c r="I230" s="1074">
        <v>11.0</v>
      </c>
      <c r="J230" s="1074">
        <v>12.0</v>
      </c>
      <c r="K230" s="331">
        <v>16.0</v>
      </c>
      <c r="L230" s="331">
        <v>15.0</v>
      </c>
      <c r="M230" s="331">
        <v>12.0</v>
      </c>
      <c r="N230" s="331">
        <v>12.0</v>
      </c>
      <c r="O230" s="331">
        <v>10.0</v>
      </c>
      <c r="P230" s="331">
        <v>12.0</v>
      </c>
      <c r="Q230" s="331">
        <v>24.0</v>
      </c>
      <c r="R230" s="331">
        <v>14.0</v>
      </c>
      <c r="S230" s="331">
        <v>19.0</v>
      </c>
      <c r="T230" s="331">
        <v>11.0</v>
      </c>
      <c r="U230" s="331">
        <v>15.0</v>
      </c>
      <c r="V230" s="331">
        <v>15.0</v>
      </c>
      <c r="W230" s="331">
        <v>15.0</v>
      </c>
      <c r="X230" s="331">
        <v>15.0</v>
      </c>
      <c r="Y230" s="331">
        <v>18.0</v>
      </c>
      <c r="Z230" s="331">
        <v>7.0</v>
      </c>
      <c r="AA230" s="331">
        <v>7.0</v>
      </c>
      <c r="AB230" s="331">
        <v>17.0</v>
      </c>
      <c r="AC230" s="331">
        <v>13.0</v>
      </c>
      <c r="AD230" s="331">
        <v>14.0</v>
      </c>
      <c r="AE230" s="331">
        <v>16.0</v>
      </c>
      <c r="AF230" s="1015">
        <f t="shared" si="88"/>
        <v>460</v>
      </c>
    </row>
    <row r="231" hidden="1" outlineLevel="1">
      <c r="A231" s="1071" t="s">
        <v>946</v>
      </c>
      <c r="B231" s="1061">
        <v>3.0</v>
      </c>
      <c r="C231" s="1061">
        <v>10.0</v>
      </c>
      <c r="D231" s="1061">
        <v>14.0</v>
      </c>
      <c r="E231" s="1061">
        <v>16.0</v>
      </c>
      <c r="F231" s="1061">
        <v>10.0</v>
      </c>
      <c r="G231" s="1061">
        <v>12.0</v>
      </c>
      <c r="H231" s="1061">
        <v>2.0</v>
      </c>
      <c r="I231" s="1061">
        <v>4.0</v>
      </c>
      <c r="J231" s="1061">
        <v>3.0</v>
      </c>
      <c r="K231" s="1061">
        <v>9.0</v>
      </c>
      <c r="L231" s="1061">
        <v>8.0</v>
      </c>
      <c r="M231" s="1061">
        <v>6.0</v>
      </c>
      <c r="N231" s="1061">
        <v>7.0</v>
      </c>
      <c r="O231" s="1061">
        <v>8.0</v>
      </c>
      <c r="P231" s="1061">
        <v>13.0</v>
      </c>
      <c r="Q231" s="1061">
        <v>5.0</v>
      </c>
      <c r="R231" s="1061">
        <v>7.0</v>
      </c>
      <c r="S231" s="332">
        <v>10.0</v>
      </c>
      <c r="T231" s="332">
        <v>13.0</v>
      </c>
      <c r="U231" s="331">
        <v>5.0</v>
      </c>
      <c r="V231" s="331">
        <v>5.0</v>
      </c>
      <c r="W231" s="331">
        <v>5.0</v>
      </c>
      <c r="X231" s="331">
        <v>5.0</v>
      </c>
      <c r="Y231" s="331">
        <v>7.0</v>
      </c>
      <c r="Z231" s="331">
        <v>9.0</v>
      </c>
      <c r="AA231" s="331">
        <v>10.0</v>
      </c>
      <c r="AB231" s="331">
        <v>20.0</v>
      </c>
      <c r="AC231" s="331">
        <v>10.0</v>
      </c>
      <c r="AD231" s="331">
        <v>16.0</v>
      </c>
      <c r="AE231" s="331">
        <v>14.0</v>
      </c>
      <c r="AF231" s="1015">
        <f t="shared" si="88"/>
        <v>266</v>
      </c>
    </row>
    <row r="232" collapsed="1">
      <c r="A232" s="1071" t="s">
        <v>947</v>
      </c>
      <c r="B232" s="1072"/>
      <c r="C232" s="1072"/>
      <c r="D232" s="1073"/>
      <c r="E232" s="1073"/>
      <c r="F232" s="1073"/>
      <c r="G232" s="1073"/>
      <c r="H232" s="1073"/>
      <c r="I232" s="1073"/>
      <c r="J232" s="1073"/>
      <c r="K232" s="1072"/>
      <c r="L232" s="1072"/>
      <c r="M232" s="1072"/>
      <c r="N232" s="1072"/>
      <c r="O232" s="1072"/>
      <c r="P232" s="1072"/>
      <c r="Q232" s="1072"/>
      <c r="R232" s="1072"/>
      <c r="S232" s="1072"/>
      <c r="T232" s="1072"/>
      <c r="U232" s="1072"/>
      <c r="V232" s="1072"/>
      <c r="W232" s="1072"/>
      <c r="X232" s="1072"/>
      <c r="Y232" s="1072"/>
      <c r="Z232" s="1072"/>
      <c r="AA232" s="1072"/>
      <c r="AB232" s="1072"/>
      <c r="AC232" s="1072"/>
      <c r="AD232" s="1072"/>
      <c r="AE232" s="1072"/>
      <c r="AF232" s="1015"/>
    </row>
    <row r="233" hidden="1" outlineLevel="1">
      <c r="A233" s="1071" t="s">
        <v>948</v>
      </c>
      <c r="B233" s="331">
        <v>1.0</v>
      </c>
      <c r="C233" s="331">
        <v>2.0</v>
      </c>
      <c r="D233" s="1074">
        <v>2.0</v>
      </c>
      <c r="E233" s="1074">
        <v>8.0</v>
      </c>
      <c r="F233" s="1074">
        <v>3.0</v>
      </c>
      <c r="G233" s="1074">
        <v>5.0</v>
      </c>
      <c r="H233" s="1074">
        <v>1.0</v>
      </c>
      <c r="I233" s="1074">
        <v>3.0</v>
      </c>
      <c r="J233" s="1074">
        <v>0.0</v>
      </c>
      <c r="K233" s="331">
        <v>1.0</v>
      </c>
      <c r="L233" s="331">
        <v>3.0</v>
      </c>
      <c r="M233" s="331">
        <v>0.0</v>
      </c>
      <c r="N233" s="331">
        <v>3.0</v>
      </c>
      <c r="O233" s="331">
        <v>0.0</v>
      </c>
      <c r="P233" s="331">
        <v>1.0</v>
      </c>
      <c r="Q233" s="331">
        <v>0.0</v>
      </c>
      <c r="R233" s="331">
        <v>2.0</v>
      </c>
      <c r="S233" s="331">
        <v>3.0</v>
      </c>
      <c r="T233" s="331">
        <v>3.0</v>
      </c>
      <c r="U233" s="331">
        <v>3.0</v>
      </c>
      <c r="V233" s="331">
        <v>1.0</v>
      </c>
      <c r="W233" s="331">
        <v>3.0</v>
      </c>
      <c r="X233" s="331">
        <v>1.0</v>
      </c>
      <c r="Y233" s="331">
        <v>0.0</v>
      </c>
      <c r="Z233" s="331">
        <v>2.0</v>
      </c>
      <c r="AA233" s="1074">
        <v>2.0</v>
      </c>
      <c r="AB233" s="331">
        <v>0.0</v>
      </c>
      <c r="AC233" s="331">
        <v>3.0</v>
      </c>
      <c r="AD233" s="331">
        <v>1.0</v>
      </c>
      <c r="AE233" s="331">
        <v>1.0</v>
      </c>
      <c r="AF233" s="1015">
        <f t="shared" ref="AF233:AF236" si="89">sum(B233:AE233)</f>
        <v>58</v>
      </c>
    </row>
    <row r="234" hidden="1" outlineLevel="1">
      <c r="A234" s="1071" t="s">
        <v>949</v>
      </c>
      <c r="B234" s="1061">
        <v>0.0</v>
      </c>
      <c r="C234" s="1061">
        <v>0.0</v>
      </c>
      <c r="D234" s="1061">
        <v>0.0</v>
      </c>
      <c r="E234" s="1061">
        <v>1.0</v>
      </c>
      <c r="F234" s="1061">
        <v>0.0</v>
      </c>
      <c r="G234" s="1061">
        <v>0.0</v>
      </c>
      <c r="H234" s="1061">
        <v>0.0</v>
      </c>
      <c r="I234" s="1061">
        <v>0.0</v>
      </c>
      <c r="J234" s="1061">
        <v>0.0</v>
      </c>
      <c r="K234" s="1061">
        <v>1.0</v>
      </c>
      <c r="L234" s="1061">
        <v>0.0</v>
      </c>
      <c r="M234" s="1061">
        <v>0.0</v>
      </c>
      <c r="N234" s="1061">
        <v>0.0</v>
      </c>
      <c r="O234" s="1061">
        <v>0.0</v>
      </c>
      <c r="P234" s="1061">
        <v>0.0</v>
      </c>
      <c r="Q234" s="1061">
        <v>0.0</v>
      </c>
      <c r="R234" s="1061">
        <v>1.0</v>
      </c>
      <c r="S234" s="332">
        <v>0.0</v>
      </c>
      <c r="T234" s="332">
        <v>1.0</v>
      </c>
      <c r="U234" s="331">
        <v>0.0</v>
      </c>
      <c r="V234" s="331">
        <v>1.0</v>
      </c>
      <c r="W234" s="331">
        <v>0.0</v>
      </c>
      <c r="X234" s="331">
        <v>1.0</v>
      </c>
      <c r="Y234" s="331">
        <v>0.0</v>
      </c>
      <c r="Z234" s="331">
        <v>0.0</v>
      </c>
      <c r="AA234" s="1074">
        <v>0.0</v>
      </c>
      <c r="AB234" s="331">
        <v>0.0</v>
      </c>
      <c r="AC234" s="331">
        <v>0.0</v>
      </c>
      <c r="AD234" s="331">
        <v>0.0</v>
      </c>
      <c r="AE234" s="331">
        <v>0.0</v>
      </c>
      <c r="AF234" s="1015">
        <f t="shared" si="89"/>
        <v>6</v>
      </c>
    </row>
    <row r="235" hidden="1" outlineLevel="1">
      <c r="A235" s="1071" t="s">
        <v>950</v>
      </c>
      <c r="B235" s="331">
        <v>4.0</v>
      </c>
      <c r="C235" s="331">
        <v>4.0</v>
      </c>
      <c r="D235" s="1074">
        <v>6.0</v>
      </c>
      <c r="E235" s="1074">
        <v>4.0</v>
      </c>
      <c r="F235" s="1074">
        <v>5.0</v>
      </c>
      <c r="G235" s="1074">
        <v>5.0</v>
      </c>
      <c r="H235" s="1074">
        <v>7.0</v>
      </c>
      <c r="I235" s="1074">
        <v>6.0</v>
      </c>
      <c r="J235" s="1074">
        <v>5.0</v>
      </c>
      <c r="K235" s="331">
        <v>4.0</v>
      </c>
      <c r="L235" s="331">
        <v>2.0</v>
      </c>
      <c r="M235" s="331">
        <v>2.0</v>
      </c>
      <c r="N235" s="331">
        <v>4.0</v>
      </c>
      <c r="O235" s="331">
        <v>7.0</v>
      </c>
      <c r="P235" s="331">
        <v>5.0</v>
      </c>
      <c r="Q235" s="331">
        <v>5.0</v>
      </c>
      <c r="R235" s="331">
        <v>2.0</v>
      </c>
      <c r="S235" s="331">
        <v>1.0</v>
      </c>
      <c r="T235" s="331">
        <v>3.0</v>
      </c>
      <c r="U235" s="331">
        <v>2.0</v>
      </c>
      <c r="V235" s="331">
        <v>2.0</v>
      </c>
      <c r="W235" s="331">
        <v>2.0</v>
      </c>
      <c r="X235" s="331">
        <v>2.0</v>
      </c>
      <c r="Y235" s="331">
        <v>2.0</v>
      </c>
      <c r="Z235" s="331">
        <v>3.0</v>
      </c>
      <c r="AA235" s="1074">
        <v>1.0</v>
      </c>
      <c r="AB235" s="331">
        <v>1.0</v>
      </c>
      <c r="AC235" s="331">
        <v>3.0</v>
      </c>
      <c r="AD235" s="331">
        <v>3.0</v>
      </c>
      <c r="AE235" s="331">
        <v>3.0</v>
      </c>
      <c r="AF235" s="1015">
        <f t="shared" si="89"/>
        <v>105</v>
      </c>
    </row>
    <row r="236" hidden="1" outlineLevel="1">
      <c r="A236" s="1071" t="s">
        <v>951</v>
      </c>
      <c r="B236" s="1061">
        <v>0.0</v>
      </c>
      <c r="C236" s="1061">
        <v>1.0</v>
      </c>
      <c r="D236" s="1061">
        <v>1.0</v>
      </c>
      <c r="E236" s="1061">
        <v>0.0</v>
      </c>
      <c r="F236" s="1061">
        <v>0.0</v>
      </c>
      <c r="G236" s="1061">
        <v>0.0</v>
      </c>
      <c r="H236" s="1061">
        <v>0.0</v>
      </c>
      <c r="I236" s="1061">
        <v>0.0</v>
      </c>
      <c r="J236" s="1061">
        <v>1.0</v>
      </c>
      <c r="K236" s="1061">
        <v>3.0</v>
      </c>
      <c r="L236" s="1061">
        <v>0.0</v>
      </c>
      <c r="M236" s="1061">
        <v>0.0</v>
      </c>
      <c r="N236" s="1061">
        <v>0.0</v>
      </c>
      <c r="O236" s="1061">
        <v>0.0</v>
      </c>
      <c r="P236" s="1061">
        <v>0.0</v>
      </c>
      <c r="Q236" s="1061">
        <v>0.0</v>
      </c>
      <c r="R236" s="1061">
        <v>0.0</v>
      </c>
      <c r="S236" s="332">
        <v>0.0</v>
      </c>
      <c r="T236" s="332">
        <v>3.0</v>
      </c>
      <c r="U236" s="331">
        <v>0.0</v>
      </c>
      <c r="V236" s="331">
        <v>0.0</v>
      </c>
      <c r="W236" s="331">
        <v>0.0</v>
      </c>
      <c r="X236" s="331">
        <v>0.0</v>
      </c>
      <c r="Y236" s="331">
        <v>0.0</v>
      </c>
      <c r="Z236" s="331">
        <v>2.0</v>
      </c>
      <c r="AA236" s="1074">
        <v>1.0</v>
      </c>
      <c r="AB236" s="331">
        <v>1.0</v>
      </c>
      <c r="AC236" s="331">
        <v>0.0</v>
      </c>
      <c r="AD236" s="331">
        <v>1.0</v>
      </c>
      <c r="AE236" s="331">
        <v>0.0</v>
      </c>
      <c r="AF236" s="1015">
        <f t="shared" si="89"/>
        <v>14</v>
      </c>
    </row>
    <row r="237" collapsed="1">
      <c r="A237" s="1071" t="s">
        <v>952</v>
      </c>
      <c r="B237" s="1058"/>
      <c r="C237" s="1058"/>
      <c r="D237" s="1075"/>
      <c r="E237" s="1075"/>
      <c r="F237" s="1075"/>
      <c r="G237" s="1075"/>
      <c r="H237" s="1075"/>
      <c r="I237" s="1075"/>
      <c r="J237" s="1075"/>
      <c r="K237" s="1075"/>
      <c r="L237" s="1075"/>
      <c r="M237" s="1075"/>
      <c r="N237" s="1075"/>
      <c r="O237" s="1075"/>
      <c r="P237" s="1075"/>
      <c r="Q237" s="1075"/>
      <c r="R237" s="1075"/>
      <c r="S237" s="1075"/>
      <c r="T237" s="1075"/>
      <c r="U237" s="1075"/>
      <c r="V237" s="1075"/>
      <c r="W237" s="1075"/>
      <c r="X237" s="1075"/>
      <c r="Y237" s="1075"/>
      <c r="Z237" s="1075"/>
      <c r="AA237" s="1075"/>
      <c r="AB237" s="1075"/>
      <c r="AC237" s="1075"/>
      <c r="AD237" s="1075"/>
      <c r="AE237" s="1075"/>
      <c r="AF237" s="1015"/>
    </row>
    <row r="238" hidden="1" outlineLevel="1">
      <c r="A238" s="1071" t="s">
        <v>953</v>
      </c>
      <c r="B238" s="1058"/>
      <c r="C238" s="1058"/>
      <c r="D238" s="1075"/>
      <c r="E238" s="1075"/>
      <c r="F238" s="1075"/>
      <c r="G238" s="1075"/>
      <c r="H238" s="1075"/>
      <c r="I238" s="1075"/>
      <c r="J238" s="1075"/>
      <c r="K238" s="1075"/>
      <c r="L238" s="1075"/>
      <c r="M238" s="1075"/>
      <c r="N238" s="1075"/>
      <c r="O238" s="1075"/>
      <c r="P238" s="1075"/>
      <c r="Q238" s="1075"/>
      <c r="R238" s="1075"/>
      <c r="S238" s="1075"/>
      <c r="T238" s="1075"/>
      <c r="U238" s="1075"/>
      <c r="V238" s="1075"/>
      <c r="W238" s="1075"/>
      <c r="X238" s="1075"/>
      <c r="Y238" s="1075"/>
      <c r="Z238" s="1075"/>
      <c r="AA238" s="1075"/>
      <c r="AB238" s="1075"/>
      <c r="AC238" s="1075"/>
      <c r="AD238" s="1075"/>
      <c r="AE238" s="1075"/>
      <c r="AF238" s="1015">
        <f>sum(B238:AE238)</f>
        <v>0</v>
      </c>
    </row>
    <row r="239" hidden="1" outlineLevel="1">
      <c r="A239" s="1071" t="s">
        <v>954</v>
      </c>
      <c r="B239" s="1058"/>
      <c r="C239" s="1058"/>
      <c r="D239" s="1075"/>
      <c r="E239" s="1075"/>
      <c r="F239" s="1075"/>
      <c r="G239" s="1075"/>
      <c r="H239" s="1075"/>
      <c r="I239" s="1075"/>
      <c r="J239" s="1075"/>
      <c r="K239" s="1075"/>
      <c r="L239" s="1075"/>
      <c r="M239" s="1075"/>
      <c r="N239" s="1075"/>
      <c r="O239" s="1075"/>
      <c r="P239" s="1075"/>
      <c r="Q239" s="1075"/>
      <c r="R239" s="1075"/>
      <c r="S239" s="1075"/>
      <c r="T239" s="1075"/>
      <c r="U239" s="1075"/>
      <c r="V239" s="1075"/>
      <c r="W239" s="1075"/>
      <c r="X239" s="1075"/>
      <c r="Y239" s="1075"/>
      <c r="Z239" s="1075"/>
      <c r="AA239" s="1075"/>
      <c r="AB239" s="1075"/>
      <c r="AC239" s="1075"/>
      <c r="AD239" s="1075"/>
      <c r="AE239" s="1075"/>
      <c r="AF239" s="1015"/>
    </row>
    <row r="240" hidden="1" outlineLevel="1">
      <c r="A240" s="1071" t="s">
        <v>955</v>
      </c>
      <c r="B240" s="626"/>
      <c r="C240" s="1075"/>
      <c r="D240" s="1058"/>
      <c r="E240" s="1075"/>
      <c r="F240" s="1075"/>
      <c r="G240" s="1075"/>
      <c r="H240" s="1075"/>
      <c r="I240" s="1075"/>
      <c r="J240" s="1075"/>
      <c r="K240" s="1075"/>
      <c r="L240" s="1075"/>
      <c r="M240" s="1075"/>
      <c r="N240" s="1075"/>
      <c r="O240" s="1075"/>
      <c r="P240" s="1075"/>
      <c r="Q240" s="1075"/>
      <c r="R240" s="1075"/>
      <c r="S240" s="1075"/>
      <c r="T240" s="1075"/>
      <c r="U240" s="1075"/>
      <c r="V240" s="1075"/>
      <c r="W240" s="1075"/>
      <c r="X240" s="1075"/>
      <c r="Y240" s="1075"/>
      <c r="Z240" s="1075"/>
      <c r="AA240" s="1075"/>
      <c r="AB240" s="1075"/>
      <c r="AC240" s="1075"/>
      <c r="AD240" s="1075"/>
      <c r="AE240" s="1075"/>
      <c r="AF240" s="1015">
        <f>sum(B240:AE240)</f>
        <v>0</v>
      </c>
    </row>
    <row r="241" hidden="1" outlineLevel="1">
      <c r="A241" s="1071" t="s">
        <v>956</v>
      </c>
      <c r="B241" s="626"/>
      <c r="C241" s="1075"/>
      <c r="D241" s="1058"/>
      <c r="E241" s="1075"/>
      <c r="F241" s="1075"/>
      <c r="G241" s="1075"/>
      <c r="H241" s="1075"/>
      <c r="I241" s="1075"/>
      <c r="J241" s="1075"/>
      <c r="K241" s="1075"/>
      <c r="L241" s="1075"/>
      <c r="M241" s="1075"/>
      <c r="N241" s="1075"/>
      <c r="O241" s="1075"/>
      <c r="P241" s="1075"/>
      <c r="Q241" s="1075"/>
      <c r="R241" s="1075"/>
      <c r="S241" s="1075"/>
      <c r="T241" s="1075"/>
      <c r="U241" s="1075"/>
      <c r="V241" s="1075"/>
      <c r="W241" s="1075"/>
      <c r="X241" s="1075"/>
      <c r="Y241" s="1075"/>
      <c r="Z241" s="1075"/>
      <c r="AA241" s="1075"/>
      <c r="AB241" s="1075"/>
      <c r="AC241" s="1075"/>
      <c r="AD241" s="1075"/>
      <c r="AE241" s="1075"/>
      <c r="AF241" s="1015"/>
    </row>
    <row r="242">
      <c r="A242" s="1076" t="s">
        <v>179</v>
      </c>
      <c r="B242" s="179">
        <f>B228+B233+B238</f>
        <v>14</v>
      </c>
      <c r="C242" s="179">
        <f t="shared" ref="C242:AE242" si="90">SUM(C228:C240)</f>
        <v>60</v>
      </c>
      <c r="D242" s="179">
        <f t="shared" si="90"/>
        <v>72</v>
      </c>
      <c r="E242" s="179">
        <f t="shared" si="90"/>
        <v>88</v>
      </c>
      <c r="F242" s="179">
        <f t="shared" si="90"/>
        <v>73</v>
      </c>
      <c r="G242" s="179">
        <f t="shared" si="90"/>
        <v>63</v>
      </c>
      <c r="H242" s="179">
        <f t="shared" si="90"/>
        <v>46</v>
      </c>
      <c r="I242" s="179">
        <f t="shared" si="90"/>
        <v>32</v>
      </c>
      <c r="J242" s="179">
        <f t="shared" si="90"/>
        <v>35</v>
      </c>
      <c r="K242" s="179">
        <f t="shared" si="90"/>
        <v>48</v>
      </c>
      <c r="L242" s="179">
        <f t="shared" si="90"/>
        <v>43</v>
      </c>
      <c r="M242" s="179">
        <f t="shared" si="90"/>
        <v>41</v>
      </c>
      <c r="N242" s="179">
        <f t="shared" si="90"/>
        <v>38</v>
      </c>
      <c r="O242" s="179">
        <f t="shared" si="90"/>
        <v>52</v>
      </c>
      <c r="P242" s="179">
        <f t="shared" si="90"/>
        <v>48</v>
      </c>
      <c r="Q242" s="179">
        <f t="shared" si="90"/>
        <v>53</v>
      </c>
      <c r="R242" s="179">
        <f t="shared" si="90"/>
        <v>44</v>
      </c>
      <c r="S242" s="179">
        <f t="shared" si="90"/>
        <v>55</v>
      </c>
      <c r="T242" s="179">
        <f t="shared" si="90"/>
        <v>51</v>
      </c>
      <c r="U242" s="179">
        <f t="shared" si="90"/>
        <v>41</v>
      </c>
      <c r="V242" s="179">
        <f t="shared" si="90"/>
        <v>41</v>
      </c>
      <c r="W242" s="179">
        <f t="shared" si="90"/>
        <v>41</v>
      </c>
      <c r="X242" s="179">
        <f t="shared" si="90"/>
        <v>41</v>
      </c>
      <c r="Y242" s="179">
        <f t="shared" si="90"/>
        <v>37</v>
      </c>
      <c r="Z242" s="179">
        <f t="shared" si="90"/>
        <v>29</v>
      </c>
      <c r="AA242" s="179">
        <f t="shared" si="90"/>
        <v>29</v>
      </c>
      <c r="AB242" s="179">
        <f t="shared" si="90"/>
        <v>53</v>
      </c>
      <c r="AC242" s="179">
        <f t="shared" si="90"/>
        <v>44</v>
      </c>
      <c r="AD242" s="179">
        <f t="shared" si="90"/>
        <v>46</v>
      </c>
      <c r="AE242" s="179">
        <f t="shared" si="90"/>
        <v>49</v>
      </c>
      <c r="AF242" s="1015">
        <f t="shared" ref="AF242:AF243" si="92">sum(B242:AE242)</f>
        <v>1407</v>
      </c>
    </row>
    <row r="243">
      <c r="A243" s="1076" t="s">
        <v>181</v>
      </c>
      <c r="B243" s="179">
        <f t="shared" ref="B243:AE243" si="91">B230+B235+B240</f>
        <v>16</v>
      </c>
      <c r="C243" s="179">
        <f t="shared" si="91"/>
        <v>24</v>
      </c>
      <c r="D243" s="179">
        <f t="shared" si="91"/>
        <v>31</v>
      </c>
      <c r="E243" s="179">
        <f t="shared" si="91"/>
        <v>27</v>
      </c>
      <c r="F243" s="179">
        <f t="shared" si="91"/>
        <v>28</v>
      </c>
      <c r="G243" s="179">
        <f t="shared" si="91"/>
        <v>26</v>
      </c>
      <c r="H243" s="179">
        <f t="shared" si="91"/>
        <v>23</v>
      </c>
      <c r="I243" s="179">
        <f t="shared" si="91"/>
        <v>17</v>
      </c>
      <c r="J243" s="179">
        <f t="shared" si="91"/>
        <v>17</v>
      </c>
      <c r="K243" s="179">
        <f t="shared" si="91"/>
        <v>20</v>
      </c>
      <c r="L243" s="179">
        <f t="shared" si="91"/>
        <v>17</v>
      </c>
      <c r="M243" s="179">
        <f t="shared" si="91"/>
        <v>14</v>
      </c>
      <c r="N243" s="179">
        <f t="shared" si="91"/>
        <v>16</v>
      </c>
      <c r="O243" s="179">
        <f t="shared" si="91"/>
        <v>17</v>
      </c>
      <c r="P243" s="179">
        <f t="shared" si="91"/>
        <v>17</v>
      </c>
      <c r="Q243" s="179">
        <f t="shared" si="91"/>
        <v>29</v>
      </c>
      <c r="R243" s="179">
        <f t="shared" si="91"/>
        <v>16</v>
      </c>
      <c r="S243" s="179">
        <f t="shared" si="91"/>
        <v>20</v>
      </c>
      <c r="T243" s="179">
        <f t="shared" si="91"/>
        <v>14</v>
      </c>
      <c r="U243" s="179">
        <f t="shared" si="91"/>
        <v>17</v>
      </c>
      <c r="V243" s="179">
        <f t="shared" si="91"/>
        <v>17</v>
      </c>
      <c r="W243" s="179">
        <f t="shared" si="91"/>
        <v>17</v>
      </c>
      <c r="X243" s="179">
        <f t="shared" si="91"/>
        <v>17</v>
      </c>
      <c r="Y243" s="179">
        <f t="shared" si="91"/>
        <v>20</v>
      </c>
      <c r="Z243" s="179">
        <f t="shared" si="91"/>
        <v>10</v>
      </c>
      <c r="AA243" s="179">
        <f t="shared" si="91"/>
        <v>8</v>
      </c>
      <c r="AB243" s="179">
        <f t="shared" si="91"/>
        <v>18</v>
      </c>
      <c r="AC243" s="179">
        <f t="shared" si="91"/>
        <v>16</v>
      </c>
      <c r="AD243" s="179">
        <f t="shared" si="91"/>
        <v>17</v>
      </c>
      <c r="AE243" s="179">
        <f t="shared" si="91"/>
        <v>19</v>
      </c>
      <c r="AF243" s="1015">
        <f t="shared" si="92"/>
        <v>565</v>
      </c>
    </row>
    <row r="244" ht="21.0" customHeight="1">
      <c r="A244" s="20"/>
      <c r="B244" s="651"/>
      <c r="C244" s="651"/>
      <c r="D244" s="651"/>
      <c r="E244" s="651"/>
      <c r="F244" s="651"/>
      <c r="G244" s="651"/>
      <c r="H244" s="651"/>
      <c r="I244" s="582"/>
      <c r="J244" s="582"/>
      <c r="K244" s="582"/>
      <c r="L244" s="582"/>
      <c r="M244" s="582"/>
      <c r="N244" s="582"/>
      <c r="O244" s="582"/>
      <c r="P244" s="582"/>
      <c r="Q244" s="582"/>
      <c r="R244" s="582"/>
      <c r="S244" s="582"/>
      <c r="T244" s="582"/>
      <c r="U244" s="582"/>
      <c r="V244" s="582"/>
      <c r="W244" s="582"/>
      <c r="X244" s="582"/>
      <c r="Y244" s="582"/>
      <c r="Z244" s="582"/>
      <c r="AA244" s="582"/>
      <c r="AB244" s="582"/>
      <c r="AC244" s="582"/>
      <c r="AD244" s="582"/>
      <c r="AE244" s="582"/>
      <c r="AF244" s="1015"/>
    </row>
    <row r="245">
      <c r="A245" s="1071" t="s">
        <v>957</v>
      </c>
      <c r="B245" s="1072"/>
      <c r="C245" s="1072"/>
      <c r="D245" s="1073"/>
      <c r="E245" s="1073"/>
      <c r="F245" s="1073"/>
      <c r="G245" s="1073"/>
      <c r="H245" s="1073"/>
      <c r="I245" s="1073"/>
      <c r="J245" s="1073"/>
      <c r="K245" s="1072"/>
      <c r="L245" s="1072"/>
      <c r="M245" s="1072"/>
      <c r="N245" s="1072"/>
      <c r="O245" s="1072"/>
      <c r="P245" s="1072"/>
      <c r="Q245" s="1072"/>
      <c r="R245" s="1072"/>
      <c r="S245" s="1072"/>
      <c r="T245" s="1072"/>
      <c r="U245" s="1072"/>
      <c r="V245" s="1072"/>
      <c r="W245" s="1072"/>
      <c r="X245" s="1072"/>
      <c r="Y245" s="1072"/>
      <c r="Z245" s="1072"/>
      <c r="AA245" s="1072"/>
      <c r="AB245" s="1072"/>
      <c r="AC245" s="1072"/>
      <c r="AD245" s="1072"/>
      <c r="AE245" s="1072"/>
      <c r="AF245" s="1015"/>
    </row>
    <row r="246" outlineLevel="1">
      <c r="A246" s="1071" t="s">
        <v>958</v>
      </c>
      <c r="B246" s="331">
        <v>19.0</v>
      </c>
      <c r="C246" s="331">
        <v>27.0</v>
      </c>
      <c r="D246" s="1074">
        <v>39.0</v>
      </c>
      <c r="E246" s="1074">
        <v>32.0</v>
      </c>
      <c r="F246" s="1074">
        <v>30.0</v>
      </c>
      <c r="G246" s="1074">
        <v>27.0</v>
      </c>
      <c r="H246" s="1074">
        <v>17.0</v>
      </c>
      <c r="I246" s="1074">
        <v>11.0</v>
      </c>
      <c r="J246" s="1074">
        <v>14.0</v>
      </c>
      <c r="K246" s="331">
        <v>22.0</v>
      </c>
      <c r="L246" s="331">
        <v>27.0</v>
      </c>
      <c r="M246" s="331">
        <v>17.0</v>
      </c>
      <c r="N246" s="331">
        <v>13.0</v>
      </c>
      <c r="O246" s="331">
        <v>24.0</v>
      </c>
      <c r="P246" s="331">
        <v>23.0</v>
      </c>
      <c r="Q246" s="331">
        <v>26.0</v>
      </c>
      <c r="R246" s="331">
        <v>23.0</v>
      </c>
      <c r="S246" s="331">
        <v>33.0</v>
      </c>
      <c r="T246" s="331">
        <v>29.0</v>
      </c>
      <c r="U246" s="332">
        <v>20.0</v>
      </c>
      <c r="V246" s="332">
        <v>18.0</v>
      </c>
      <c r="W246" s="332">
        <v>20.0</v>
      </c>
      <c r="X246" s="332">
        <v>18.0</v>
      </c>
      <c r="Y246" s="331">
        <v>26.0</v>
      </c>
      <c r="Z246" s="331">
        <v>19.0</v>
      </c>
      <c r="AA246" s="331">
        <v>15.0</v>
      </c>
      <c r="AB246" s="331">
        <v>28.0</v>
      </c>
      <c r="AC246" s="331">
        <v>21.0</v>
      </c>
      <c r="AD246" s="331">
        <v>18.0</v>
      </c>
      <c r="AE246" s="331">
        <v>18.0</v>
      </c>
      <c r="AF246" s="1015">
        <f t="shared" ref="AF246:AF255" si="93">sum(B246:AE246)</f>
        <v>674</v>
      </c>
    </row>
    <row r="247" outlineLevel="1">
      <c r="A247" s="1071" t="s">
        <v>959</v>
      </c>
      <c r="B247" s="1077"/>
      <c r="C247" s="1077"/>
      <c r="D247" s="1077"/>
      <c r="E247" s="1077"/>
      <c r="F247" s="1077"/>
      <c r="G247" s="1077"/>
      <c r="H247" s="1077"/>
      <c r="I247" s="1077"/>
      <c r="J247" s="1077"/>
      <c r="K247" s="1077"/>
      <c r="L247" s="1077"/>
      <c r="M247" s="1077"/>
      <c r="N247" s="1077"/>
      <c r="O247" s="1077"/>
      <c r="P247" s="1077"/>
      <c r="Q247" s="1077"/>
      <c r="R247" s="1077"/>
      <c r="S247" s="1077"/>
      <c r="T247" s="1077"/>
      <c r="U247" s="1077"/>
      <c r="V247" s="1077"/>
      <c r="W247" s="1077"/>
      <c r="X247" s="1077"/>
      <c r="Y247" s="1077"/>
      <c r="Z247" s="1077"/>
      <c r="AA247" s="1077"/>
      <c r="AB247" s="1077"/>
      <c r="AC247" s="1077"/>
      <c r="AD247" s="1077"/>
      <c r="AE247" s="1077"/>
      <c r="AF247" s="1015">
        <f t="shared" si="93"/>
        <v>0</v>
      </c>
    </row>
    <row r="248" outlineLevel="1">
      <c r="A248" s="1071" t="s">
        <v>960</v>
      </c>
      <c r="B248" s="331">
        <v>9.0</v>
      </c>
      <c r="C248" s="331">
        <v>17.0</v>
      </c>
      <c r="D248" s="1074">
        <v>21.0</v>
      </c>
      <c r="E248" s="1074">
        <v>22.0</v>
      </c>
      <c r="F248" s="1074">
        <v>20.0</v>
      </c>
      <c r="G248" s="1074">
        <v>18.0</v>
      </c>
      <c r="H248" s="1074">
        <v>10.0</v>
      </c>
      <c r="I248" s="1074">
        <v>8.0</v>
      </c>
      <c r="J248" s="1074">
        <v>7.0</v>
      </c>
      <c r="K248" s="331">
        <v>19.0</v>
      </c>
      <c r="L248" s="331">
        <v>17.0</v>
      </c>
      <c r="M248" s="331">
        <v>10.0</v>
      </c>
      <c r="N248" s="331">
        <v>11.0</v>
      </c>
      <c r="O248" s="331">
        <v>19.0</v>
      </c>
      <c r="P248" s="331">
        <v>12.0</v>
      </c>
      <c r="Q248" s="331">
        <v>18.0</v>
      </c>
      <c r="R248" s="331">
        <v>13.0</v>
      </c>
      <c r="S248" s="331">
        <v>20.0</v>
      </c>
      <c r="T248" s="331">
        <v>27.0</v>
      </c>
      <c r="U248" s="332">
        <v>13.0</v>
      </c>
      <c r="V248" s="332">
        <v>12.0</v>
      </c>
      <c r="W248" s="332">
        <v>13.0</v>
      </c>
      <c r="X248" s="332">
        <v>12.0</v>
      </c>
      <c r="Y248" s="331">
        <v>18.0</v>
      </c>
      <c r="Z248" s="331">
        <v>16.0</v>
      </c>
      <c r="AA248" s="331">
        <v>5.0</v>
      </c>
      <c r="AB248" s="331">
        <v>15.0</v>
      </c>
      <c r="AC248" s="331">
        <v>15.0</v>
      </c>
      <c r="AD248" s="331">
        <v>10.0</v>
      </c>
      <c r="AE248" s="331">
        <v>19.0</v>
      </c>
      <c r="AF248" s="1015">
        <f t="shared" si="93"/>
        <v>446</v>
      </c>
    </row>
    <row r="249" outlineLevel="1">
      <c r="A249" s="1071" t="s">
        <v>961</v>
      </c>
      <c r="B249" s="331">
        <v>6.0</v>
      </c>
      <c r="C249" s="331">
        <v>17.0</v>
      </c>
      <c r="D249" s="1074">
        <v>24.0</v>
      </c>
      <c r="E249" s="1074">
        <v>20.0</v>
      </c>
      <c r="F249" s="1074">
        <v>18.0</v>
      </c>
      <c r="G249" s="1074">
        <v>16.0</v>
      </c>
      <c r="H249" s="1074">
        <v>11.0</v>
      </c>
      <c r="I249" s="1074">
        <v>9.0</v>
      </c>
      <c r="J249" s="1074">
        <v>6.0</v>
      </c>
      <c r="K249" s="331">
        <v>10.0</v>
      </c>
      <c r="L249" s="331">
        <v>13.0</v>
      </c>
      <c r="M249" s="331">
        <v>12.0</v>
      </c>
      <c r="N249" s="331">
        <v>7.0</v>
      </c>
      <c r="O249" s="331">
        <v>5.0</v>
      </c>
      <c r="P249" s="331">
        <v>6.0</v>
      </c>
      <c r="Q249" s="331">
        <v>12.0</v>
      </c>
      <c r="R249" s="331">
        <v>5.0</v>
      </c>
      <c r="S249" s="331">
        <v>67.0</v>
      </c>
      <c r="T249" s="331">
        <v>32.0</v>
      </c>
      <c r="U249" s="262">
        <v>19.0</v>
      </c>
      <c r="V249" s="262">
        <v>20.0</v>
      </c>
      <c r="W249" s="262">
        <v>19.0</v>
      </c>
      <c r="X249" s="262">
        <v>20.0</v>
      </c>
      <c r="Y249" s="331">
        <v>9.0</v>
      </c>
      <c r="Z249" s="332">
        <v>6.0</v>
      </c>
      <c r="AA249" s="331">
        <v>6.0</v>
      </c>
      <c r="AB249" s="331">
        <v>5.0</v>
      </c>
      <c r="AC249" s="331">
        <v>6.0</v>
      </c>
      <c r="AD249" s="331">
        <v>7.0</v>
      </c>
      <c r="AE249" s="331">
        <v>7.0</v>
      </c>
      <c r="AF249" s="1015">
        <f t="shared" si="93"/>
        <v>420</v>
      </c>
    </row>
    <row r="250" outlineLevel="1">
      <c r="A250" s="1071" t="s">
        <v>962</v>
      </c>
      <c r="B250" s="331">
        <v>2.0</v>
      </c>
      <c r="C250" s="331">
        <v>7.0</v>
      </c>
      <c r="D250" s="1074">
        <v>7.0</v>
      </c>
      <c r="E250" s="1074">
        <v>6.0</v>
      </c>
      <c r="F250" s="1074">
        <v>5.0</v>
      </c>
      <c r="G250" s="1074">
        <v>3.0</v>
      </c>
      <c r="H250" s="1074">
        <v>0.0</v>
      </c>
      <c r="I250" s="1074">
        <v>1.0</v>
      </c>
      <c r="J250" s="1074">
        <v>0.0</v>
      </c>
      <c r="K250" s="331">
        <v>4.0</v>
      </c>
      <c r="L250" s="331">
        <v>4.0</v>
      </c>
      <c r="M250" s="331">
        <v>1.0</v>
      </c>
      <c r="N250" s="331">
        <v>2.0</v>
      </c>
      <c r="O250" s="331">
        <v>8.0</v>
      </c>
      <c r="P250" s="331">
        <v>7.0</v>
      </c>
      <c r="Q250" s="331">
        <v>2.0</v>
      </c>
      <c r="R250" s="331">
        <v>3.0</v>
      </c>
      <c r="S250" s="332">
        <v>34.0</v>
      </c>
      <c r="T250" s="332">
        <v>17.0</v>
      </c>
      <c r="U250" s="262">
        <v>2.0</v>
      </c>
      <c r="V250" s="262">
        <v>9.0</v>
      </c>
      <c r="W250" s="262">
        <v>2.0</v>
      </c>
      <c r="X250" s="262">
        <v>9.0</v>
      </c>
      <c r="Y250" s="331">
        <v>11.0</v>
      </c>
      <c r="Z250" s="332">
        <v>7.0</v>
      </c>
      <c r="AA250" s="331">
        <v>5.0</v>
      </c>
      <c r="AB250" s="331">
        <v>4.0</v>
      </c>
      <c r="AC250" s="331">
        <v>5.0</v>
      </c>
      <c r="AD250" s="331">
        <v>10.0</v>
      </c>
      <c r="AE250" s="331">
        <v>5.0</v>
      </c>
      <c r="AF250" s="1015">
        <f t="shared" si="93"/>
        <v>182</v>
      </c>
    </row>
    <row r="251" outlineLevel="1">
      <c r="A251" s="1071" t="s">
        <v>963</v>
      </c>
      <c r="B251" s="331">
        <v>2.0</v>
      </c>
      <c r="C251" s="331">
        <v>4.0</v>
      </c>
      <c r="D251" s="1074">
        <v>7.0</v>
      </c>
      <c r="E251" s="1074">
        <v>6.0</v>
      </c>
      <c r="F251" s="1074">
        <v>6.0</v>
      </c>
      <c r="G251" s="1074">
        <v>9.0</v>
      </c>
      <c r="H251" s="1074">
        <v>5.0</v>
      </c>
      <c r="I251" s="1074">
        <v>3.0</v>
      </c>
      <c r="J251" s="1074">
        <v>0.0</v>
      </c>
      <c r="K251" s="331">
        <v>6.0</v>
      </c>
      <c r="L251" s="331">
        <v>5.0</v>
      </c>
      <c r="M251" s="331">
        <v>3.0</v>
      </c>
      <c r="N251" s="331">
        <v>3.0</v>
      </c>
      <c r="O251" s="331">
        <v>4.0</v>
      </c>
      <c r="P251" s="331">
        <v>6.0</v>
      </c>
      <c r="Q251" s="331">
        <v>4.0</v>
      </c>
      <c r="R251" s="331">
        <v>7.0</v>
      </c>
      <c r="S251" s="331">
        <v>5.0</v>
      </c>
      <c r="T251" s="331">
        <v>4.0</v>
      </c>
      <c r="U251" s="262">
        <v>4.0</v>
      </c>
      <c r="V251" s="262">
        <v>6.0</v>
      </c>
      <c r="W251" s="262">
        <v>4.0</v>
      </c>
      <c r="X251" s="262">
        <v>6.0</v>
      </c>
      <c r="Y251" s="331">
        <v>3.0</v>
      </c>
      <c r="Z251" s="331">
        <v>4.0</v>
      </c>
      <c r="AA251" s="331">
        <v>4.0</v>
      </c>
      <c r="AB251" s="331">
        <v>4.0</v>
      </c>
      <c r="AC251" s="331">
        <v>2.0</v>
      </c>
      <c r="AD251" s="331">
        <v>8.0</v>
      </c>
      <c r="AE251" s="331">
        <v>2.0</v>
      </c>
      <c r="AF251" s="1015">
        <f t="shared" si="93"/>
        <v>136</v>
      </c>
    </row>
    <row r="252" outlineLevel="1">
      <c r="A252" s="1071" t="s">
        <v>964</v>
      </c>
      <c r="B252" s="331">
        <v>3.0</v>
      </c>
      <c r="C252" s="331">
        <v>3.0</v>
      </c>
      <c r="D252" s="1074">
        <v>4.0</v>
      </c>
      <c r="E252" s="1074">
        <v>3.0</v>
      </c>
      <c r="F252" s="1074">
        <v>3.0</v>
      </c>
      <c r="G252" s="1074">
        <v>2.0</v>
      </c>
      <c r="H252" s="1074">
        <v>1.0</v>
      </c>
      <c r="I252" s="1074">
        <v>0.0</v>
      </c>
      <c r="J252" s="1074">
        <v>3.0</v>
      </c>
      <c r="K252" s="331">
        <v>1.0</v>
      </c>
      <c r="L252" s="331">
        <v>3.0</v>
      </c>
      <c r="M252" s="331">
        <v>0.0</v>
      </c>
      <c r="N252" s="331">
        <v>0.0</v>
      </c>
      <c r="O252" s="331">
        <v>1.0</v>
      </c>
      <c r="P252" s="331">
        <v>2.0</v>
      </c>
      <c r="Q252" s="331">
        <v>3.0</v>
      </c>
      <c r="R252" s="331">
        <v>2.0</v>
      </c>
      <c r="S252" s="332">
        <v>5.0</v>
      </c>
      <c r="T252" s="332">
        <v>0.0</v>
      </c>
      <c r="U252" s="262">
        <v>3.0</v>
      </c>
      <c r="V252" s="262">
        <v>3.0</v>
      </c>
      <c r="W252" s="262">
        <v>3.0</v>
      </c>
      <c r="X252" s="262">
        <v>3.0</v>
      </c>
      <c r="Y252" s="331">
        <v>1.0</v>
      </c>
      <c r="Z252" s="331">
        <v>0.0</v>
      </c>
      <c r="AA252" s="331">
        <v>3.0</v>
      </c>
      <c r="AB252" s="331">
        <v>0.0</v>
      </c>
      <c r="AC252" s="331">
        <v>1.0</v>
      </c>
      <c r="AD252" s="331">
        <v>0.0</v>
      </c>
      <c r="AE252" s="331">
        <v>0.0</v>
      </c>
      <c r="AF252" s="1015">
        <f t="shared" si="93"/>
        <v>56</v>
      </c>
    </row>
    <row r="253" outlineLevel="1">
      <c r="A253" s="1071" t="s">
        <v>965</v>
      </c>
      <c r="B253" s="1077"/>
      <c r="C253" s="1077"/>
      <c r="D253" s="1078"/>
      <c r="E253" s="1078"/>
      <c r="F253" s="1078"/>
      <c r="G253" s="1078"/>
      <c r="H253" s="1078"/>
      <c r="I253" s="1078"/>
      <c r="J253" s="1078"/>
      <c r="K253" s="1077"/>
      <c r="L253" s="1077"/>
      <c r="M253" s="1077"/>
      <c r="N253" s="1077"/>
      <c r="O253" s="1077"/>
      <c r="P253" s="1077"/>
      <c r="Q253" s="1077"/>
      <c r="R253" s="1077"/>
      <c r="S253" s="331">
        <v>365.0</v>
      </c>
      <c r="T253" s="331">
        <v>168.0</v>
      </c>
      <c r="U253" s="262">
        <v>78.0</v>
      </c>
      <c r="V253" s="262">
        <v>51.0</v>
      </c>
      <c r="W253" s="262">
        <v>78.0</v>
      </c>
      <c r="X253" s="262">
        <v>51.0</v>
      </c>
      <c r="Y253" s="331">
        <v>44.0</v>
      </c>
      <c r="Z253" s="331">
        <v>34.0</v>
      </c>
      <c r="AA253" s="331">
        <v>23.0</v>
      </c>
      <c r="AB253" s="331">
        <v>30.0</v>
      </c>
      <c r="AC253" s="331">
        <v>26.0</v>
      </c>
      <c r="AD253" s="331">
        <v>26.0</v>
      </c>
      <c r="AE253" s="331">
        <v>25.0</v>
      </c>
      <c r="AF253" s="1015">
        <f t="shared" si="93"/>
        <v>999</v>
      </c>
    </row>
    <row r="254" outlineLevel="1">
      <c r="A254" s="1071" t="s">
        <v>966</v>
      </c>
      <c r="B254" s="1077"/>
      <c r="C254" s="1077"/>
      <c r="D254" s="1078"/>
      <c r="E254" s="1078"/>
      <c r="F254" s="1078"/>
      <c r="G254" s="1078"/>
      <c r="H254" s="1078"/>
      <c r="I254" s="1078"/>
      <c r="J254" s="1078"/>
      <c r="K254" s="1077"/>
      <c r="L254" s="1077"/>
      <c r="M254" s="1077"/>
      <c r="N254" s="1077"/>
      <c r="O254" s="1077"/>
      <c r="P254" s="1077"/>
      <c r="Q254" s="1077"/>
      <c r="R254" s="1077"/>
      <c r="S254" s="332">
        <v>89.0</v>
      </c>
      <c r="T254" s="332">
        <v>53.0</v>
      </c>
      <c r="U254" s="262">
        <v>20.0</v>
      </c>
      <c r="V254" s="262">
        <v>13.0</v>
      </c>
      <c r="W254" s="262">
        <v>20.0</v>
      </c>
      <c r="X254" s="262">
        <v>13.0</v>
      </c>
      <c r="Y254" s="331">
        <v>16.0</v>
      </c>
      <c r="Z254" s="331">
        <v>12.0</v>
      </c>
      <c r="AA254" s="331">
        <v>12.0</v>
      </c>
      <c r="AB254" s="331">
        <v>11.0</v>
      </c>
      <c r="AC254" s="331">
        <v>11.0</v>
      </c>
      <c r="AD254" s="331">
        <v>7.0</v>
      </c>
      <c r="AE254" s="331">
        <v>9.0</v>
      </c>
      <c r="AF254" s="1015">
        <f t="shared" si="93"/>
        <v>286</v>
      </c>
    </row>
    <row r="255">
      <c r="A255" s="1076" t="s">
        <v>581</v>
      </c>
      <c r="B255" s="179">
        <f t="shared" ref="B255:R255" si="94">SUM(B246:B251)</f>
        <v>38</v>
      </c>
      <c r="C255" s="179">
        <f t="shared" si="94"/>
        <v>72</v>
      </c>
      <c r="D255" s="179">
        <f t="shared" si="94"/>
        <v>98</v>
      </c>
      <c r="E255" s="179">
        <f t="shared" si="94"/>
        <v>86</v>
      </c>
      <c r="F255" s="179">
        <f t="shared" si="94"/>
        <v>79</v>
      </c>
      <c r="G255" s="179">
        <f t="shared" si="94"/>
        <v>73</v>
      </c>
      <c r="H255" s="179">
        <f t="shared" si="94"/>
        <v>43</v>
      </c>
      <c r="I255" s="179">
        <f t="shared" si="94"/>
        <v>32</v>
      </c>
      <c r="J255" s="179">
        <f t="shared" si="94"/>
        <v>27</v>
      </c>
      <c r="K255" s="179">
        <f t="shared" si="94"/>
        <v>61</v>
      </c>
      <c r="L255" s="179">
        <f t="shared" si="94"/>
        <v>66</v>
      </c>
      <c r="M255" s="179">
        <f t="shared" si="94"/>
        <v>43</v>
      </c>
      <c r="N255" s="179">
        <f t="shared" si="94"/>
        <v>36</v>
      </c>
      <c r="O255" s="179">
        <f t="shared" si="94"/>
        <v>60</v>
      </c>
      <c r="P255" s="179">
        <f t="shared" si="94"/>
        <v>54</v>
      </c>
      <c r="Q255" s="179">
        <f t="shared" si="94"/>
        <v>62</v>
      </c>
      <c r="R255" s="179">
        <f t="shared" si="94"/>
        <v>51</v>
      </c>
      <c r="S255" s="179">
        <f t="shared" ref="S255:T255" si="95">SUM(S246:S254)</f>
        <v>618</v>
      </c>
      <c r="T255" s="179">
        <f t="shared" si="95"/>
        <v>330</v>
      </c>
      <c r="U255" s="179">
        <f t="shared" ref="U255:AE255" si="96">SUM(U246:U251)</f>
        <v>58</v>
      </c>
      <c r="V255" s="179">
        <f t="shared" si="96"/>
        <v>65</v>
      </c>
      <c r="W255" s="179">
        <f t="shared" si="96"/>
        <v>58</v>
      </c>
      <c r="X255" s="179">
        <f t="shared" si="96"/>
        <v>65</v>
      </c>
      <c r="Y255" s="179">
        <f t="shared" si="96"/>
        <v>67</v>
      </c>
      <c r="Z255" s="179">
        <f t="shared" si="96"/>
        <v>52</v>
      </c>
      <c r="AA255" s="179">
        <f t="shared" si="96"/>
        <v>35</v>
      </c>
      <c r="AB255" s="179">
        <f t="shared" si="96"/>
        <v>56</v>
      </c>
      <c r="AC255" s="179">
        <f t="shared" si="96"/>
        <v>49</v>
      </c>
      <c r="AD255" s="179">
        <f t="shared" si="96"/>
        <v>53</v>
      </c>
      <c r="AE255" s="179">
        <f t="shared" si="96"/>
        <v>51</v>
      </c>
      <c r="AF255" s="1015">
        <f t="shared" si="93"/>
        <v>2538</v>
      </c>
    </row>
    <row r="256">
      <c r="A256" s="20"/>
      <c r="B256" s="651"/>
      <c r="C256" s="651"/>
      <c r="D256" s="651"/>
      <c r="E256" s="651"/>
      <c r="F256" s="651"/>
      <c r="G256" s="651"/>
      <c r="H256" s="651"/>
      <c r="I256" s="582"/>
      <c r="J256" s="582"/>
      <c r="K256" s="582"/>
      <c r="L256" s="582"/>
      <c r="M256" s="582"/>
      <c r="N256" s="582"/>
      <c r="O256" s="582"/>
      <c r="P256" s="582"/>
      <c r="Q256" s="582"/>
      <c r="R256" s="582"/>
      <c r="S256" s="582"/>
      <c r="T256" s="582"/>
      <c r="U256" s="582"/>
      <c r="V256" s="582"/>
      <c r="W256" s="582"/>
      <c r="X256" s="582"/>
      <c r="Y256" s="582"/>
      <c r="Z256" s="582"/>
      <c r="AA256" s="582"/>
      <c r="AB256" s="582"/>
      <c r="AC256" s="582"/>
      <c r="AD256" s="582"/>
      <c r="AE256" s="582"/>
      <c r="AF256" s="1015"/>
    </row>
    <row r="257">
      <c r="A257" s="1071" t="s">
        <v>967</v>
      </c>
      <c r="B257" s="1072"/>
      <c r="C257" s="1072"/>
      <c r="D257" s="1073"/>
      <c r="E257" s="1073"/>
      <c r="F257" s="1073"/>
      <c r="G257" s="1073"/>
      <c r="H257" s="1073"/>
      <c r="I257" s="1073"/>
      <c r="J257" s="1073"/>
      <c r="K257" s="1072"/>
      <c r="L257" s="1072"/>
      <c r="M257" s="1072"/>
      <c r="N257" s="1072"/>
      <c r="O257" s="1072"/>
      <c r="P257" s="1072"/>
      <c r="Q257" s="1072"/>
      <c r="R257" s="1072"/>
      <c r="S257" s="1072"/>
      <c r="T257" s="1072"/>
      <c r="U257" s="1072"/>
      <c r="V257" s="1072"/>
      <c r="W257" s="1072"/>
      <c r="X257" s="1072"/>
      <c r="Y257" s="1072"/>
      <c r="Z257" s="1072"/>
      <c r="AA257" s="1072"/>
      <c r="AB257" s="1072"/>
      <c r="AC257" s="1072"/>
      <c r="AD257" s="1072"/>
      <c r="AE257" s="1072"/>
      <c r="AF257" s="1015"/>
    </row>
    <row r="258" outlineLevel="1">
      <c r="A258" s="1071" t="s">
        <v>968</v>
      </c>
      <c r="B258" s="331">
        <v>1.0</v>
      </c>
      <c r="C258" s="331">
        <v>6.0</v>
      </c>
      <c r="D258" s="1074">
        <v>7.0</v>
      </c>
      <c r="E258" s="1074">
        <v>7.0</v>
      </c>
      <c r="F258" s="1074">
        <v>5.0</v>
      </c>
      <c r="G258" s="1074">
        <v>1.0</v>
      </c>
      <c r="H258" s="1074">
        <v>3.0</v>
      </c>
      <c r="I258" s="1074">
        <v>2.0</v>
      </c>
      <c r="J258" s="1074">
        <v>3.0</v>
      </c>
      <c r="K258" s="331">
        <v>5.0</v>
      </c>
      <c r="L258" s="331">
        <v>3.0</v>
      </c>
      <c r="M258" s="331">
        <v>2.0</v>
      </c>
      <c r="N258" s="331">
        <v>4.0</v>
      </c>
      <c r="O258" s="331">
        <v>1.0</v>
      </c>
      <c r="P258" s="331">
        <v>0.0</v>
      </c>
      <c r="Q258" s="331">
        <v>4.0</v>
      </c>
      <c r="R258" s="331">
        <v>1.0</v>
      </c>
      <c r="S258" s="331">
        <v>2.0</v>
      </c>
      <c r="T258" s="581">
        <v>6.0</v>
      </c>
      <c r="U258" s="331">
        <v>2.0</v>
      </c>
      <c r="V258" s="331">
        <v>0.0</v>
      </c>
      <c r="W258" s="331">
        <v>2.0</v>
      </c>
      <c r="X258" s="331">
        <v>0.0</v>
      </c>
      <c r="Y258" s="331">
        <v>4.0</v>
      </c>
      <c r="Z258" s="331">
        <v>6.0</v>
      </c>
      <c r="AA258" s="331">
        <v>3.0</v>
      </c>
      <c r="AB258" s="331">
        <v>1.0</v>
      </c>
      <c r="AC258" s="331">
        <v>4.0</v>
      </c>
      <c r="AD258" s="331">
        <v>2.0</v>
      </c>
      <c r="AE258" s="331">
        <v>1.0</v>
      </c>
      <c r="AF258" s="1015">
        <f t="shared" ref="AF258:AF267" si="97">sum(B258:AE258)</f>
        <v>88</v>
      </c>
    </row>
    <row r="259" outlineLevel="1">
      <c r="A259" s="1071" t="s">
        <v>969</v>
      </c>
      <c r="B259" s="1077"/>
      <c r="C259" s="1077"/>
      <c r="D259" s="1077"/>
      <c r="E259" s="1077"/>
      <c r="F259" s="1077"/>
      <c r="G259" s="1077"/>
      <c r="H259" s="1077"/>
      <c r="I259" s="1077"/>
      <c r="J259" s="1077"/>
      <c r="K259" s="1077"/>
      <c r="L259" s="1077"/>
      <c r="M259" s="1077"/>
      <c r="N259" s="1077"/>
      <c r="O259" s="1077"/>
      <c r="P259" s="1077"/>
      <c r="Q259" s="1077"/>
      <c r="R259" s="1077"/>
      <c r="S259" s="1077"/>
      <c r="T259" s="1077"/>
      <c r="U259" s="1077"/>
      <c r="V259" s="1077"/>
      <c r="W259" s="1077"/>
      <c r="X259" s="1077"/>
      <c r="Y259" s="1077"/>
      <c r="Z259" s="1077"/>
      <c r="AA259" s="1077"/>
      <c r="AB259" s="1077"/>
      <c r="AC259" s="1077"/>
      <c r="AD259" s="1077"/>
      <c r="AE259" s="1077"/>
      <c r="AF259" s="1015">
        <f t="shared" si="97"/>
        <v>0</v>
      </c>
    </row>
    <row r="260" outlineLevel="1">
      <c r="A260" s="1071" t="s">
        <v>970</v>
      </c>
      <c r="B260" s="331">
        <v>1.0</v>
      </c>
      <c r="C260" s="331">
        <v>4.0</v>
      </c>
      <c r="D260" s="1074">
        <v>5.0</v>
      </c>
      <c r="E260" s="1074">
        <v>3.0</v>
      </c>
      <c r="F260" s="1074">
        <v>3.0</v>
      </c>
      <c r="G260" s="1074">
        <v>1.0</v>
      </c>
      <c r="H260" s="1074">
        <v>4.0</v>
      </c>
      <c r="I260" s="1074">
        <v>1.0</v>
      </c>
      <c r="J260" s="1074">
        <v>2.0</v>
      </c>
      <c r="K260" s="331">
        <v>3.0</v>
      </c>
      <c r="L260" s="331">
        <v>0.0</v>
      </c>
      <c r="M260" s="331">
        <v>2.0</v>
      </c>
      <c r="N260" s="331">
        <v>2.0</v>
      </c>
      <c r="O260" s="331">
        <v>2.0</v>
      </c>
      <c r="P260" s="331">
        <v>0.0</v>
      </c>
      <c r="Q260" s="331">
        <v>1.0</v>
      </c>
      <c r="R260" s="331">
        <v>0.0</v>
      </c>
      <c r="S260" s="331">
        <v>5.0</v>
      </c>
      <c r="T260" s="331">
        <v>6.0</v>
      </c>
      <c r="U260" s="331">
        <v>3.0</v>
      </c>
      <c r="V260" s="331">
        <v>0.0</v>
      </c>
      <c r="W260" s="331">
        <v>3.0</v>
      </c>
      <c r="X260" s="331">
        <v>0.0</v>
      </c>
      <c r="Y260" s="331">
        <v>4.0</v>
      </c>
      <c r="Z260" s="331">
        <v>6.0</v>
      </c>
      <c r="AA260" s="331">
        <v>3.0</v>
      </c>
      <c r="AB260" s="331">
        <v>4.0</v>
      </c>
      <c r="AC260" s="331">
        <v>4.0</v>
      </c>
      <c r="AD260" s="331">
        <v>3.0</v>
      </c>
      <c r="AE260" s="331">
        <v>2.0</v>
      </c>
      <c r="AF260" s="1015">
        <f t="shared" si="97"/>
        <v>77</v>
      </c>
    </row>
    <row r="261" outlineLevel="1">
      <c r="A261" s="1071" t="s">
        <v>971</v>
      </c>
      <c r="B261" s="331">
        <v>1.0</v>
      </c>
      <c r="C261" s="331">
        <v>1.0</v>
      </c>
      <c r="D261" s="1074">
        <v>3.0</v>
      </c>
      <c r="E261" s="1074">
        <v>3.0</v>
      </c>
      <c r="F261" s="1074">
        <v>3.0</v>
      </c>
      <c r="G261" s="1074">
        <v>1.0</v>
      </c>
      <c r="H261" s="1074">
        <v>2.0</v>
      </c>
      <c r="I261" s="1074">
        <v>1.0</v>
      </c>
      <c r="J261" s="1074">
        <v>4.0</v>
      </c>
      <c r="K261" s="331">
        <v>3.0</v>
      </c>
      <c r="L261" s="331">
        <v>1.0</v>
      </c>
      <c r="M261" s="331">
        <v>2.0</v>
      </c>
      <c r="N261" s="331">
        <v>3.0</v>
      </c>
      <c r="O261" s="331">
        <v>1.0</v>
      </c>
      <c r="P261" s="331">
        <v>1.0</v>
      </c>
      <c r="Q261" s="331">
        <v>1.0</v>
      </c>
      <c r="R261" s="331">
        <v>0.0</v>
      </c>
      <c r="S261" s="331">
        <v>16.0</v>
      </c>
      <c r="T261" s="331">
        <v>4.0</v>
      </c>
      <c r="U261" s="331">
        <v>0.0</v>
      </c>
      <c r="V261" s="331">
        <v>2.0</v>
      </c>
      <c r="W261" s="331">
        <v>0.0</v>
      </c>
      <c r="X261" s="331">
        <v>2.0</v>
      </c>
      <c r="Y261" s="331">
        <v>2.0</v>
      </c>
      <c r="Z261" s="331">
        <v>2.0</v>
      </c>
      <c r="AA261" s="331">
        <v>2.0</v>
      </c>
      <c r="AB261" s="331">
        <v>0.0</v>
      </c>
      <c r="AC261" s="331">
        <v>3.0</v>
      </c>
      <c r="AD261" s="331">
        <v>1.0</v>
      </c>
      <c r="AE261" s="331">
        <v>0.0</v>
      </c>
      <c r="AF261" s="1015">
        <f t="shared" si="97"/>
        <v>65</v>
      </c>
    </row>
    <row r="262" outlineLevel="1">
      <c r="A262" s="1071" t="s">
        <v>972</v>
      </c>
      <c r="B262" s="331">
        <v>0.0</v>
      </c>
      <c r="C262" s="331">
        <v>0.0</v>
      </c>
      <c r="D262" s="1074">
        <v>0.0</v>
      </c>
      <c r="E262" s="1074">
        <v>0.0</v>
      </c>
      <c r="F262" s="1074">
        <v>0.0</v>
      </c>
      <c r="G262" s="1074">
        <v>0.0</v>
      </c>
      <c r="H262" s="1074">
        <v>1.0</v>
      </c>
      <c r="I262" s="1074">
        <v>0.0</v>
      </c>
      <c r="J262" s="1074">
        <v>0.0</v>
      </c>
      <c r="K262" s="331">
        <v>1.0</v>
      </c>
      <c r="L262" s="331">
        <v>0.0</v>
      </c>
      <c r="M262" s="331">
        <v>0.0</v>
      </c>
      <c r="N262" s="331">
        <v>0.0</v>
      </c>
      <c r="O262" s="331">
        <v>0.0</v>
      </c>
      <c r="P262" s="331">
        <v>0.0</v>
      </c>
      <c r="Q262" s="331">
        <v>0.0</v>
      </c>
      <c r="R262" s="331">
        <v>0.0</v>
      </c>
      <c r="S262" s="332">
        <v>3.0</v>
      </c>
      <c r="T262" s="332">
        <v>5.0</v>
      </c>
      <c r="U262" s="331">
        <v>0.0</v>
      </c>
      <c r="V262" s="331">
        <v>1.0</v>
      </c>
      <c r="W262" s="331">
        <v>0.0</v>
      </c>
      <c r="X262" s="331">
        <v>1.0</v>
      </c>
      <c r="Y262" s="331">
        <v>0.0</v>
      </c>
      <c r="Z262" s="331">
        <v>2.0</v>
      </c>
      <c r="AA262" s="331">
        <v>1.0</v>
      </c>
      <c r="AB262" s="331">
        <v>2.0</v>
      </c>
      <c r="AC262" s="331">
        <v>0.0</v>
      </c>
      <c r="AD262" s="331">
        <v>1.0</v>
      </c>
      <c r="AE262" s="331">
        <v>0.0</v>
      </c>
      <c r="AF262" s="1015">
        <f t="shared" si="97"/>
        <v>18</v>
      </c>
    </row>
    <row r="263" outlineLevel="1">
      <c r="A263" s="1071" t="s">
        <v>973</v>
      </c>
      <c r="B263" s="331">
        <v>1.0</v>
      </c>
      <c r="C263" s="331">
        <v>1.0</v>
      </c>
      <c r="D263" s="1074">
        <v>1.0</v>
      </c>
      <c r="E263" s="1074">
        <v>0.0</v>
      </c>
      <c r="F263" s="1074">
        <v>0.0</v>
      </c>
      <c r="G263" s="1074">
        <v>2.0</v>
      </c>
      <c r="H263" s="1074">
        <v>0.0</v>
      </c>
      <c r="I263" s="1074">
        <v>0.0</v>
      </c>
      <c r="J263" s="1074">
        <v>2.0</v>
      </c>
      <c r="K263" s="331">
        <v>0.0</v>
      </c>
      <c r="L263" s="331">
        <v>1.0</v>
      </c>
      <c r="M263" s="331">
        <v>0.0</v>
      </c>
      <c r="N263" s="331">
        <v>0.0</v>
      </c>
      <c r="O263" s="331">
        <v>0.0</v>
      </c>
      <c r="P263" s="331">
        <v>0.0</v>
      </c>
      <c r="Q263" s="331">
        <v>0.0</v>
      </c>
      <c r="R263" s="331">
        <v>0.0</v>
      </c>
      <c r="S263" s="331">
        <v>0.0</v>
      </c>
      <c r="T263" s="331">
        <v>2.0</v>
      </c>
      <c r="U263" s="331">
        <v>1.0</v>
      </c>
      <c r="V263" s="331">
        <v>1.0</v>
      </c>
      <c r="W263" s="331">
        <v>1.0</v>
      </c>
      <c r="X263" s="331">
        <v>1.0</v>
      </c>
      <c r="Y263" s="331">
        <v>2.0</v>
      </c>
      <c r="Z263" s="581">
        <v>0.0</v>
      </c>
      <c r="AA263" s="331">
        <v>2.0</v>
      </c>
      <c r="AB263" s="331">
        <v>0.0</v>
      </c>
      <c r="AC263" s="331">
        <v>1.0</v>
      </c>
      <c r="AD263" s="331">
        <v>0.0</v>
      </c>
      <c r="AE263" s="331">
        <v>0.0</v>
      </c>
      <c r="AF263" s="1015">
        <f t="shared" si="97"/>
        <v>19</v>
      </c>
    </row>
    <row r="264" outlineLevel="1">
      <c r="A264" s="1071" t="s">
        <v>974</v>
      </c>
      <c r="B264" s="331">
        <v>0.0</v>
      </c>
      <c r="C264" s="331">
        <v>0.0</v>
      </c>
      <c r="D264" s="1074">
        <v>0.0</v>
      </c>
      <c r="E264" s="1074">
        <v>0.0</v>
      </c>
      <c r="F264" s="1074">
        <v>0.0</v>
      </c>
      <c r="G264" s="1074">
        <v>1.0</v>
      </c>
      <c r="H264" s="1074">
        <v>0.0</v>
      </c>
      <c r="I264" s="1074">
        <v>0.0</v>
      </c>
      <c r="J264" s="1074">
        <v>0.0</v>
      </c>
      <c r="K264" s="331">
        <v>0.0</v>
      </c>
      <c r="L264" s="331">
        <v>0.0</v>
      </c>
      <c r="M264" s="331">
        <v>0.0</v>
      </c>
      <c r="N264" s="331">
        <v>0.0</v>
      </c>
      <c r="O264" s="331">
        <v>0.0</v>
      </c>
      <c r="P264" s="331">
        <v>0.0</v>
      </c>
      <c r="Q264" s="331">
        <v>0.0</v>
      </c>
      <c r="R264" s="331">
        <v>0.0</v>
      </c>
      <c r="S264" s="332">
        <v>2.0</v>
      </c>
      <c r="T264" s="332">
        <v>0.0</v>
      </c>
      <c r="U264" s="331">
        <v>1.0</v>
      </c>
      <c r="V264" s="331">
        <v>1.0</v>
      </c>
      <c r="W264" s="331">
        <v>1.0</v>
      </c>
      <c r="X264" s="331">
        <v>1.0</v>
      </c>
      <c r="Y264" s="331">
        <v>0.0</v>
      </c>
      <c r="Z264" s="331">
        <v>0.0</v>
      </c>
      <c r="AA264" s="331">
        <v>0.0</v>
      </c>
      <c r="AB264" s="331">
        <v>1.0</v>
      </c>
      <c r="AC264" s="331">
        <v>0.0</v>
      </c>
      <c r="AD264" s="331">
        <v>0.0</v>
      </c>
      <c r="AE264" s="331">
        <v>0.0</v>
      </c>
      <c r="AF264" s="1015">
        <f t="shared" si="97"/>
        <v>8</v>
      </c>
    </row>
    <row r="265" outlineLevel="1">
      <c r="A265" s="1071" t="s">
        <v>975</v>
      </c>
      <c r="B265" s="1077"/>
      <c r="C265" s="1077"/>
      <c r="D265" s="1078"/>
      <c r="E265" s="1078"/>
      <c r="F265" s="1078"/>
      <c r="G265" s="1078"/>
      <c r="H265" s="1078"/>
      <c r="I265" s="1078"/>
      <c r="J265" s="1078"/>
      <c r="K265" s="1077"/>
      <c r="L265" s="1077"/>
      <c r="M265" s="1077"/>
      <c r="N265" s="1077"/>
      <c r="O265" s="1077"/>
      <c r="P265" s="1077"/>
      <c r="Q265" s="1077"/>
      <c r="R265" s="1077"/>
      <c r="S265" s="331">
        <v>59.0</v>
      </c>
      <c r="T265" s="331">
        <v>26.0</v>
      </c>
      <c r="U265" s="331">
        <v>20.0</v>
      </c>
      <c r="V265" s="331">
        <v>11.0</v>
      </c>
      <c r="W265" s="331">
        <v>20.0</v>
      </c>
      <c r="X265" s="331">
        <v>11.0</v>
      </c>
      <c r="Y265" s="331">
        <v>10.0</v>
      </c>
      <c r="Z265" s="331">
        <v>4.0</v>
      </c>
      <c r="AA265" s="331">
        <v>2.0</v>
      </c>
      <c r="AB265" s="331">
        <v>4.0</v>
      </c>
      <c r="AC265" s="331">
        <v>8.0</v>
      </c>
      <c r="AD265" s="331">
        <v>4.0</v>
      </c>
      <c r="AE265" s="331">
        <v>1.0</v>
      </c>
      <c r="AF265" s="1015">
        <f t="shared" si="97"/>
        <v>180</v>
      </c>
    </row>
    <row r="266" outlineLevel="1">
      <c r="A266" s="1071" t="s">
        <v>976</v>
      </c>
      <c r="B266" s="1077"/>
      <c r="C266" s="1077"/>
      <c r="D266" s="1078"/>
      <c r="E266" s="1078"/>
      <c r="F266" s="1078"/>
      <c r="G266" s="1078"/>
      <c r="H266" s="1078"/>
      <c r="I266" s="1078"/>
      <c r="J266" s="1078"/>
      <c r="K266" s="1077"/>
      <c r="L266" s="1077"/>
      <c r="M266" s="1077"/>
      <c r="N266" s="1077"/>
      <c r="O266" s="1077"/>
      <c r="P266" s="1077"/>
      <c r="Q266" s="1077"/>
      <c r="R266" s="1077"/>
      <c r="S266" s="332">
        <v>13.0</v>
      </c>
      <c r="T266" s="332">
        <v>5.0</v>
      </c>
      <c r="U266" s="331">
        <v>2.0</v>
      </c>
      <c r="V266" s="331">
        <v>3.0</v>
      </c>
      <c r="W266" s="331">
        <v>2.0</v>
      </c>
      <c r="X266" s="331">
        <v>3.0</v>
      </c>
      <c r="Y266" s="331">
        <v>3.0</v>
      </c>
      <c r="Z266" s="331">
        <v>3.0</v>
      </c>
      <c r="AA266" s="331">
        <v>2.0</v>
      </c>
      <c r="AB266" s="331">
        <v>1.0</v>
      </c>
      <c r="AC266" s="331">
        <v>1.0</v>
      </c>
      <c r="AD266" s="331">
        <v>0.0</v>
      </c>
      <c r="AE266" s="331">
        <v>3.0</v>
      </c>
      <c r="AF266" s="1015">
        <f t="shared" si="97"/>
        <v>41</v>
      </c>
    </row>
    <row r="267">
      <c r="A267" s="1079" t="s">
        <v>977</v>
      </c>
      <c r="B267" s="179">
        <f t="shared" ref="B267:R267" si="98">SUM(B258:B263)</f>
        <v>4</v>
      </c>
      <c r="C267" s="179">
        <f t="shared" si="98"/>
        <v>12</v>
      </c>
      <c r="D267" s="179">
        <f t="shared" si="98"/>
        <v>16</v>
      </c>
      <c r="E267" s="179">
        <f t="shared" si="98"/>
        <v>13</v>
      </c>
      <c r="F267" s="179">
        <f t="shared" si="98"/>
        <v>11</v>
      </c>
      <c r="G267" s="179">
        <f t="shared" si="98"/>
        <v>5</v>
      </c>
      <c r="H267" s="179">
        <f t="shared" si="98"/>
        <v>10</v>
      </c>
      <c r="I267" s="179">
        <f t="shared" si="98"/>
        <v>4</v>
      </c>
      <c r="J267" s="179">
        <f t="shared" si="98"/>
        <v>11</v>
      </c>
      <c r="K267" s="179">
        <f t="shared" si="98"/>
        <v>12</v>
      </c>
      <c r="L267" s="179">
        <f t="shared" si="98"/>
        <v>5</v>
      </c>
      <c r="M267" s="179">
        <f t="shared" si="98"/>
        <v>6</v>
      </c>
      <c r="N267" s="179">
        <f t="shared" si="98"/>
        <v>9</v>
      </c>
      <c r="O267" s="179">
        <f t="shared" si="98"/>
        <v>4</v>
      </c>
      <c r="P267" s="179">
        <f t="shared" si="98"/>
        <v>1</v>
      </c>
      <c r="Q267" s="179">
        <f t="shared" si="98"/>
        <v>6</v>
      </c>
      <c r="R267" s="179">
        <f t="shared" si="98"/>
        <v>1</v>
      </c>
      <c r="S267" s="179">
        <f>SUM(S258:S266)</f>
        <v>100</v>
      </c>
      <c r="T267" s="179">
        <f>SUM(T233:T266)</f>
        <v>789</v>
      </c>
      <c r="U267" s="179">
        <f t="shared" ref="U267:W267" si="99">SUM(U258:U263)</f>
        <v>6</v>
      </c>
      <c r="V267" s="179">
        <f t="shared" si="99"/>
        <v>4</v>
      </c>
      <c r="W267" s="179">
        <f t="shared" si="99"/>
        <v>6</v>
      </c>
      <c r="X267" s="179">
        <f>SUM(X258:X262)</f>
        <v>3</v>
      </c>
      <c r="Y267" s="179">
        <f t="shared" ref="Y267:AE267" si="100">SUM(Y258:Y263)</f>
        <v>12</v>
      </c>
      <c r="Z267" s="179">
        <f t="shared" si="100"/>
        <v>16</v>
      </c>
      <c r="AA267" s="179">
        <f t="shared" si="100"/>
        <v>11</v>
      </c>
      <c r="AB267" s="179">
        <f t="shared" si="100"/>
        <v>7</v>
      </c>
      <c r="AC267" s="179">
        <f t="shared" si="100"/>
        <v>12</v>
      </c>
      <c r="AD267" s="179">
        <f t="shared" si="100"/>
        <v>7</v>
      </c>
      <c r="AE267" s="179">
        <f t="shared" si="100"/>
        <v>3</v>
      </c>
      <c r="AF267" s="1015">
        <f t="shared" si="97"/>
        <v>1106</v>
      </c>
    </row>
    <row r="268">
      <c r="A268" s="20"/>
      <c r="B268" s="651"/>
      <c r="C268" s="651"/>
      <c r="D268" s="651"/>
      <c r="E268" s="651"/>
      <c r="F268" s="651"/>
      <c r="G268" s="651"/>
      <c r="H268" s="651"/>
      <c r="I268" s="582"/>
      <c r="J268" s="582"/>
      <c r="K268" s="582"/>
      <c r="L268" s="582"/>
      <c r="M268" s="582"/>
      <c r="N268" s="582"/>
      <c r="O268" s="582"/>
      <c r="P268" s="582"/>
      <c r="Q268" s="582"/>
      <c r="R268" s="582"/>
      <c r="S268" s="582"/>
      <c r="T268" s="582"/>
      <c r="U268" s="582"/>
      <c r="V268" s="582"/>
      <c r="W268" s="582"/>
      <c r="X268" s="582"/>
      <c r="Y268" s="582"/>
      <c r="Z268" s="582"/>
      <c r="AA268" s="582"/>
      <c r="AB268" s="582"/>
      <c r="AC268" s="582"/>
      <c r="AD268" s="582"/>
      <c r="AE268" s="582"/>
      <c r="AF268" s="1015"/>
    </row>
    <row r="269" collapsed="1">
      <c r="A269" s="1071" t="s">
        <v>978</v>
      </c>
      <c r="B269" s="626"/>
      <c r="C269" s="1077"/>
      <c r="D269" s="1077"/>
      <c r="E269" s="1077"/>
      <c r="F269" s="1077"/>
      <c r="G269" s="1077"/>
      <c r="H269" s="1077"/>
      <c r="I269" s="1077"/>
      <c r="J269" s="1077"/>
      <c r="K269" s="1077"/>
      <c r="L269" s="1077"/>
      <c r="M269" s="1077"/>
      <c r="N269" s="1077"/>
      <c r="O269" s="1077"/>
      <c r="P269" s="1077"/>
      <c r="Q269" s="1077"/>
      <c r="R269" s="1077"/>
      <c r="S269" s="1077"/>
      <c r="T269" s="1077"/>
      <c r="U269" s="1077"/>
      <c r="V269" s="1077"/>
      <c r="W269" s="1077"/>
      <c r="X269" s="1077"/>
      <c r="Y269" s="1077"/>
      <c r="Z269" s="1077"/>
      <c r="AA269" s="1077"/>
      <c r="AB269" s="1077"/>
      <c r="AC269" s="1077"/>
      <c r="AD269" s="1077"/>
      <c r="AE269" s="1077"/>
      <c r="AF269" s="1015"/>
    </row>
    <row r="270" hidden="1" outlineLevel="1">
      <c r="A270" s="1071" t="s">
        <v>979</v>
      </c>
      <c r="B270" s="626"/>
      <c r="C270" s="1077"/>
      <c r="D270" s="1077"/>
      <c r="E270" s="1077"/>
      <c r="F270" s="1077"/>
      <c r="G270" s="1077"/>
      <c r="H270" s="1077"/>
      <c r="I270" s="1077"/>
      <c r="J270" s="1077"/>
      <c r="K270" s="1077"/>
      <c r="L270" s="1077"/>
      <c r="M270" s="1077"/>
      <c r="N270" s="1077"/>
      <c r="O270" s="1077"/>
      <c r="P270" s="1077"/>
      <c r="Q270" s="1077"/>
      <c r="R270" s="1077"/>
      <c r="S270" s="1077"/>
      <c r="T270" s="1077"/>
      <c r="U270" s="1077"/>
      <c r="V270" s="1077"/>
      <c r="W270" s="1077"/>
      <c r="X270" s="1077"/>
      <c r="Y270" s="1077"/>
      <c r="Z270" s="1077"/>
      <c r="AA270" s="1077"/>
      <c r="AB270" s="1077"/>
      <c r="AC270" s="1077"/>
      <c r="AD270" s="1077"/>
      <c r="AE270" s="1077"/>
      <c r="AF270" s="1015">
        <f t="shared" ref="AF270:AF273" si="101">sum(B270:AE270)</f>
        <v>0</v>
      </c>
    </row>
    <row r="271" hidden="1" outlineLevel="1">
      <c r="A271" s="1071" t="s">
        <v>980</v>
      </c>
      <c r="B271" s="626"/>
      <c r="C271" s="623"/>
      <c r="D271" s="1077"/>
      <c r="E271" s="1077"/>
      <c r="F271" s="1077"/>
      <c r="G271" s="1077"/>
      <c r="H271" s="1077"/>
      <c r="I271" s="1077"/>
      <c r="J271" s="1077"/>
      <c r="K271" s="1077"/>
      <c r="L271" s="1077"/>
      <c r="M271" s="1077"/>
      <c r="N271" s="1077"/>
      <c r="O271" s="1077"/>
      <c r="P271" s="1077"/>
      <c r="Q271" s="1077"/>
      <c r="R271" s="1077"/>
      <c r="S271" s="1077"/>
      <c r="T271" s="1077"/>
      <c r="U271" s="1077"/>
      <c r="V271" s="1077"/>
      <c r="W271" s="1077"/>
      <c r="X271" s="1077"/>
      <c r="Y271" s="1077"/>
      <c r="Z271" s="1077"/>
      <c r="AA271" s="1077"/>
      <c r="AB271" s="1077"/>
      <c r="AC271" s="1077"/>
      <c r="AD271" s="1077"/>
      <c r="AE271" s="1077"/>
      <c r="AF271" s="1015">
        <f t="shared" si="101"/>
        <v>0</v>
      </c>
    </row>
    <row r="272" hidden="1" outlineLevel="1">
      <c r="A272" s="1071" t="s">
        <v>981</v>
      </c>
      <c r="B272" s="626"/>
      <c r="C272" s="1077"/>
      <c r="D272" s="1077"/>
      <c r="E272" s="1077"/>
      <c r="F272" s="1077"/>
      <c r="G272" s="1077"/>
      <c r="H272" s="1077"/>
      <c r="I272" s="1077"/>
      <c r="J272" s="1077"/>
      <c r="K272" s="1077"/>
      <c r="L272" s="1077"/>
      <c r="M272" s="1077"/>
      <c r="N272" s="1077"/>
      <c r="O272" s="1077"/>
      <c r="P272" s="1077"/>
      <c r="Q272" s="1077"/>
      <c r="R272" s="1077"/>
      <c r="S272" s="1077"/>
      <c r="T272" s="1077"/>
      <c r="U272" s="1077"/>
      <c r="V272" s="1077"/>
      <c r="W272" s="1077"/>
      <c r="X272" s="1077"/>
      <c r="Y272" s="1077"/>
      <c r="Z272" s="1077"/>
      <c r="AA272" s="1077"/>
      <c r="AB272" s="1077"/>
      <c r="AC272" s="1077"/>
      <c r="AD272" s="1077"/>
      <c r="AE272" s="1077"/>
      <c r="AF272" s="1015">
        <f t="shared" si="101"/>
        <v>0</v>
      </c>
    </row>
    <row r="273" hidden="1" outlineLevel="1">
      <c r="A273" s="1071" t="s">
        <v>982</v>
      </c>
      <c r="B273" s="626"/>
      <c r="C273" s="1077"/>
      <c r="D273" s="1077"/>
      <c r="E273" s="1077"/>
      <c r="F273" s="1077"/>
      <c r="G273" s="1077"/>
      <c r="H273" s="1077"/>
      <c r="I273" s="1077"/>
      <c r="J273" s="1077"/>
      <c r="K273" s="1077"/>
      <c r="L273" s="1077"/>
      <c r="M273" s="1077"/>
      <c r="N273" s="1077"/>
      <c r="O273" s="1077"/>
      <c r="P273" s="1077"/>
      <c r="Q273" s="1077"/>
      <c r="R273" s="1077"/>
      <c r="S273" s="1077"/>
      <c r="T273" s="1077"/>
      <c r="U273" s="1077"/>
      <c r="V273" s="1077"/>
      <c r="W273" s="1077"/>
      <c r="X273" s="1077"/>
      <c r="Y273" s="1077"/>
      <c r="Z273" s="1077"/>
      <c r="AA273" s="1077"/>
      <c r="AB273" s="1077"/>
      <c r="AC273" s="1077"/>
      <c r="AD273" s="1077"/>
      <c r="AE273" s="1077"/>
      <c r="AF273" s="1015">
        <f t="shared" si="101"/>
        <v>0</v>
      </c>
    </row>
    <row r="274" hidden="1" outlineLevel="1">
      <c r="A274" s="1071" t="s">
        <v>983</v>
      </c>
      <c r="B274" s="626"/>
      <c r="C274" s="1077"/>
      <c r="D274" s="1077"/>
      <c r="E274" s="1077"/>
      <c r="F274" s="1077"/>
      <c r="G274" s="1077"/>
      <c r="H274" s="1077"/>
      <c r="I274" s="1077"/>
      <c r="J274" s="1077"/>
      <c r="K274" s="1077"/>
      <c r="L274" s="1077"/>
      <c r="M274" s="1077"/>
      <c r="N274" s="1077"/>
      <c r="O274" s="1077"/>
      <c r="P274" s="1077"/>
      <c r="Q274" s="1077"/>
      <c r="R274" s="1077"/>
      <c r="S274" s="1077"/>
      <c r="T274" s="1077"/>
      <c r="U274" s="1077"/>
      <c r="V274" s="1077"/>
      <c r="W274" s="1077"/>
      <c r="X274" s="1077"/>
      <c r="Y274" s="1077"/>
      <c r="Z274" s="1077"/>
      <c r="AA274" s="1077"/>
      <c r="AB274" s="1077"/>
      <c r="AC274" s="1077"/>
      <c r="AD274" s="1077"/>
      <c r="AE274" s="1077"/>
      <c r="AF274" s="1015"/>
    </row>
    <row r="275" hidden="1" outlineLevel="1">
      <c r="A275" s="1071" t="s">
        <v>984</v>
      </c>
      <c r="B275" s="1077"/>
      <c r="C275" s="623"/>
      <c r="D275" s="1077"/>
      <c r="E275" s="1077"/>
      <c r="F275" s="1077"/>
      <c r="G275" s="1077"/>
      <c r="H275" s="1077"/>
      <c r="I275" s="1077"/>
      <c r="J275" s="1077"/>
      <c r="K275" s="1077"/>
      <c r="L275" s="1077"/>
      <c r="M275" s="1077"/>
      <c r="N275" s="1077"/>
      <c r="O275" s="1077"/>
      <c r="P275" s="1077"/>
      <c r="Q275" s="1077"/>
      <c r="R275" s="1077"/>
      <c r="S275" s="1077"/>
      <c r="T275" s="1077"/>
      <c r="U275" s="1077"/>
      <c r="V275" s="1077"/>
      <c r="W275" s="1077"/>
      <c r="X275" s="1077"/>
      <c r="Y275" s="1077"/>
      <c r="Z275" s="1077"/>
      <c r="AA275" s="1077"/>
      <c r="AB275" s="1077"/>
      <c r="AC275" s="1077"/>
      <c r="AD275" s="1077"/>
      <c r="AE275" s="1077"/>
      <c r="AF275" s="1015">
        <f>sum(B275:AE275)</f>
        <v>0</v>
      </c>
    </row>
    <row r="276" hidden="1" outlineLevel="1">
      <c r="A276" s="1071" t="s">
        <v>985</v>
      </c>
      <c r="B276" s="1077"/>
      <c r="C276" s="623"/>
      <c r="D276" s="1077"/>
      <c r="E276" s="1077"/>
      <c r="F276" s="1077"/>
      <c r="G276" s="1077"/>
      <c r="H276" s="1077"/>
      <c r="I276" s="1077"/>
      <c r="J276" s="1077"/>
      <c r="K276" s="1077"/>
      <c r="L276" s="1077"/>
      <c r="M276" s="1077"/>
      <c r="N276" s="1077"/>
      <c r="O276" s="1077"/>
      <c r="P276" s="1077"/>
      <c r="Q276" s="1077"/>
      <c r="R276" s="1077"/>
      <c r="S276" s="1077"/>
      <c r="T276" s="1077"/>
      <c r="U276" s="1077"/>
      <c r="V276" s="1077"/>
      <c r="W276" s="1077"/>
      <c r="X276" s="1077"/>
      <c r="Y276" s="1077"/>
      <c r="Z276" s="1077"/>
      <c r="AA276" s="1077"/>
      <c r="AB276" s="1077"/>
      <c r="AC276" s="1077"/>
      <c r="AD276" s="1077"/>
      <c r="AE276" s="1077"/>
      <c r="AF276" s="1015"/>
    </row>
    <row r="277" hidden="1" outlineLevel="1">
      <c r="A277" s="1080" t="s">
        <v>986</v>
      </c>
      <c r="B277" s="1077"/>
      <c r="C277" s="623"/>
      <c r="D277" s="1077"/>
      <c r="E277" s="1077"/>
      <c r="F277" s="1077"/>
      <c r="G277" s="1077"/>
      <c r="H277" s="1077"/>
      <c r="I277" s="1077"/>
      <c r="J277" s="1077"/>
      <c r="K277" s="1077"/>
      <c r="L277" s="1077"/>
      <c r="M277" s="1077"/>
      <c r="N277" s="1077"/>
      <c r="O277" s="1077"/>
      <c r="P277" s="1077"/>
      <c r="Q277" s="1077"/>
      <c r="R277" s="1077"/>
      <c r="S277" s="1077"/>
      <c r="T277" s="1077"/>
      <c r="U277" s="1077"/>
      <c r="V277" s="1077"/>
      <c r="W277" s="1077"/>
      <c r="X277" s="1077"/>
      <c r="Y277" s="1077"/>
      <c r="Z277" s="1077"/>
      <c r="AA277" s="1077"/>
      <c r="AB277" s="1077"/>
      <c r="AC277" s="1077"/>
      <c r="AD277" s="1077"/>
      <c r="AE277" s="1077"/>
      <c r="AF277" s="1015"/>
    </row>
    <row r="278" hidden="1" outlineLevel="1">
      <c r="A278" s="1080" t="s">
        <v>987</v>
      </c>
      <c r="B278" s="1077"/>
      <c r="C278" s="623"/>
      <c r="D278" s="1077"/>
      <c r="E278" s="1077"/>
      <c r="F278" s="1077"/>
      <c r="G278" s="1077"/>
      <c r="H278" s="1077"/>
      <c r="I278" s="1077"/>
      <c r="J278" s="1077"/>
      <c r="K278" s="1077"/>
      <c r="L278" s="1077"/>
      <c r="M278" s="1077"/>
      <c r="N278" s="1077"/>
      <c r="O278" s="1077"/>
      <c r="P278" s="1077"/>
      <c r="Q278" s="1077"/>
      <c r="R278" s="1077"/>
      <c r="S278" s="1077"/>
      <c r="T278" s="1077"/>
      <c r="U278" s="1077"/>
      <c r="V278" s="1077"/>
      <c r="W278" s="1077"/>
      <c r="X278" s="1077"/>
      <c r="Y278" s="1077"/>
      <c r="Z278" s="1077"/>
      <c r="AA278" s="1077"/>
      <c r="AB278" s="1077"/>
      <c r="AC278" s="1077"/>
      <c r="AD278" s="1077"/>
      <c r="AE278" s="1077"/>
      <c r="AF278" s="1015"/>
    </row>
    <row r="279">
      <c r="A279" s="1079" t="s">
        <v>988</v>
      </c>
      <c r="B279" s="179">
        <f>SUM(B270:B275)</f>
        <v>0</v>
      </c>
      <c r="C279" s="179">
        <f>SUM(C270:C273)</f>
        <v>0</v>
      </c>
      <c r="D279" s="179">
        <f t="shared" ref="D279:F279" si="102">SUM(D270:D275)</f>
        <v>0</v>
      </c>
      <c r="E279" s="179">
        <f t="shared" si="102"/>
        <v>0</v>
      </c>
      <c r="F279" s="179">
        <f t="shared" si="102"/>
        <v>0</v>
      </c>
      <c r="G279" s="179">
        <f t="shared" ref="G279:V279" si="103">SUM(G270:G273)</f>
        <v>0</v>
      </c>
      <c r="H279" s="179">
        <f t="shared" si="103"/>
        <v>0</v>
      </c>
      <c r="I279" s="179">
        <f t="shared" si="103"/>
        <v>0</v>
      </c>
      <c r="J279" s="179">
        <f t="shared" si="103"/>
        <v>0</v>
      </c>
      <c r="K279" s="179">
        <f t="shared" si="103"/>
        <v>0</v>
      </c>
      <c r="L279" s="179">
        <f t="shared" si="103"/>
        <v>0</v>
      </c>
      <c r="M279" s="179">
        <f t="shared" si="103"/>
        <v>0</v>
      </c>
      <c r="N279" s="179">
        <f t="shared" si="103"/>
        <v>0</v>
      </c>
      <c r="O279" s="179">
        <f t="shared" si="103"/>
        <v>0</v>
      </c>
      <c r="P279" s="179">
        <f t="shared" si="103"/>
        <v>0</v>
      </c>
      <c r="Q279" s="179">
        <f t="shared" si="103"/>
        <v>0</v>
      </c>
      <c r="R279" s="179">
        <f t="shared" si="103"/>
        <v>0</v>
      </c>
      <c r="S279" s="179">
        <f t="shared" si="103"/>
        <v>0</v>
      </c>
      <c r="T279" s="179">
        <f t="shared" si="103"/>
        <v>0</v>
      </c>
      <c r="U279" s="179">
        <f t="shared" si="103"/>
        <v>0</v>
      </c>
      <c r="V279" s="179">
        <f t="shared" si="103"/>
        <v>0</v>
      </c>
      <c r="W279" s="179">
        <f>SUM(W270:W275)</f>
        <v>0</v>
      </c>
      <c r="X279" s="179">
        <f t="shared" ref="X279:AE279" si="104">SUM(X270:X273)</f>
        <v>0</v>
      </c>
      <c r="Y279" s="179">
        <f t="shared" si="104"/>
        <v>0</v>
      </c>
      <c r="Z279" s="179">
        <f t="shared" si="104"/>
        <v>0</v>
      </c>
      <c r="AA279" s="179">
        <f t="shared" si="104"/>
        <v>0</v>
      </c>
      <c r="AB279" s="179">
        <f t="shared" si="104"/>
        <v>0</v>
      </c>
      <c r="AC279" s="179">
        <f t="shared" si="104"/>
        <v>0</v>
      </c>
      <c r="AD279" s="179">
        <f t="shared" si="104"/>
        <v>0</v>
      </c>
      <c r="AE279" s="179">
        <f t="shared" si="104"/>
        <v>0</v>
      </c>
      <c r="AF279" s="1015">
        <f>sum(B279:AE279)</f>
        <v>0</v>
      </c>
    </row>
    <row r="280">
      <c r="A280" s="20"/>
      <c r="B280" s="651"/>
      <c r="C280" s="651"/>
      <c r="D280" s="651"/>
      <c r="E280" s="651"/>
      <c r="F280" s="651"/>
      <c r="G280" s="651"/>
      <c r="H280" s="651"/>
      <c r="I280" s="582"/>
      <c r="J280" s="582"/>
      <c r="K280" s="582"/>
      <c r="L280" s="582"/>
      <c r="M280" s="582"/>
      <c r="N280" s="582"/>
      <c r="O280" s="582"/>
      <c r="P280" s="582"/>
      <c r="Q280" s="582"/>
      <c r="R280" s="582"/>
      <c r="S280" s="582"/>
      <c r="T280" s="582"/>
      <c r="U280" s="582"/>
      <c r="V280" s="582"/>
      <c r="W280" s="582"/>
      <c r="X280" s="582"/>
      <c r="Y280" s="582"/>
      <c r="Z280" s="582"/>
      <c r="AA280" s="582"/>
      <c r="AB280" s="582"/>
      <c r="AC280" s="582"/>
      <c r="AD280" s="582"/>
      <c r="AE280" s="582"/>
      <c r="AF280" s="1015"/>
    </row>
    <row r="281">
      <c r="A281" s="931" t="s">
        <v>989</v>
      </c>
      <c r="B281" s="579"/>
      <c r="C281" s="580"/>
      <c r="D281" s="580"/>
      <c r="E281" s="580"/>
      <c r="F281" s="580"/>
      <c r="G281" s="580"/>
      <c r="H281" s="580"/>
      <c r="I281" s="580"/>
      <c r="J281" s="580"/>
      <c r="K281" s="580"/>
      <c r="L281" s="580"/>
      <c r="M281" s="580"/>
      <c r="N281" s="580"/>
      <c r="O281" s="580"/>
      <c r="P281" s="580"/>
      <c r="Q281" s="580"/>
      <c r="R281" s="580"/>
      <c r="S281" s="580"/>
      <c r="T281" s="580"/>
      <c r="U281" s="580"/>
      <c r="V281" s="580"/>
      <c r="W281" s="580"/>
      <c r="X281" s="580"/>
      <c r="Y281" s="580"/>
      <c r="Z281" s="580"/>
      <c r="AA281" s="580"/>
      <c r="AB281" s="580"/>
      <c r="AC281" s="580"/>
      <c r="AD281" s="580"/>
      <c r="AE281" s="580"/>
      <c r="AF281" s="1015"/>
    </row>
    <row r="282">
      <c r="A282" s="1071" t="s">
        <v>990</v>
      </c>
      <c r="B282" s="1072"/>
      <c r="C282" s="1072"/>
      <c r="D282" s="1073"/>
      <c r="E282" s="1073"/>
      <c r="F282" s="1073"/>
      <c r="G282" s="1073"/>
      <c r="H282" s="1073"/>
      <c r="I282" s="1073"/>
      <c r="J282" s="1073"/>
      <c r="K282" s="1072"/>
      <c r="L282" s="1072"/>
      <c r="M282" s="1072"/>
      <c r="N282" s="1072"/>
      <c r="O282" s="1072"/>
      <c r="P282" s="1072"/>
      <c r="Q282" s="1072"/>
      <c r="R282" s="1072"/>
      <c r="S282" s="1072"/>
      <c r="T282" s="1072"/>
      <c r="U282" s="1072"/>
      <c r="V282" s="1072"/>
      <c r="W282" s="1072"/>
      <c r="X282" s="1072"/>
      <c r="Y282" s="1072"/>
      <c r="Z282" s="1072"/>
      <c r="AA282" s="1072"/>
      <c r="AB282" s="1072"/>
      <c r="AC282" s="1072"/>
      <c r="AD282" s="1072"/>
      <c r="AE282" s="1072"/>
      <c r="AF282" s="888"/>
    </row>
    <row r="283" outlineLevel="1">
      <c r="A283" s="1071" t="s">
        <v>991</v>
      </c>
      <c r="B283" s="579">
        <v>2258.6</v>
      </c>
      <c r="C283" s="579">
        <v>3502.4</v>
      </c>
      <c r="D283" s="1081">
        <v>3820.8</v>
      </c>
      <c r="E283" s="1081">
        <v>5412.8</v>
      </c>
      <c r="F283" s="1081">
        <v>4776.0</v>
      </c>
      <c r="G283" s="1081">
        <v>3024.8</v>
      </c>
      <c r="H283" s="1081">
        <v>3651.6</v>
      </c>
      <c r="I283" s="1081">
        <v>1582.0</v>
      </c>
      <c r="J283" s="1081">
        <v>2587.0</v>
      </c>
      <c r="K283" s="579">
        <v>2756.15</v>
      </c>
      <c r="L283" s="579">
        <v>2736.0</v>
      </c>
      <c r="M283" s="579">
        <v>3751.0</v>
      </c>
      <c r="N283" s="579">
        <v>2228.8</v>
      </c>
      <c r="O283" s="579">
        <v>3761.1</v>
      </c>
      <c r="P283" s="579">
        <v>2686.5</v>
      </c>
      <c r="Q283" s="579">
        <v>3223.8</v>
      </c>
      <c r="R283" s="579">
        <v>3223.8</v>
      </c>
      <c r="S283" s="579">
        <v>3865.4</v>
      </c>
      <c r="T283" s="579">
        <v>2736.0</v>
      </c>
      <c r="U283" s="579">
        <v>2567.0</v>
      </c>
      <c r="V283" s="579">
        <v>3359.66</v>
      </c>
      <c r="W283" s="579">
        <v>2567.0</v>
      </c>
      <c r="X283" s="579">
        <v>3359.66</v>
      </c>
      <c r="Y283" s="579">
        <v>1194.0</v>
      </c>
      <c r="Z283" s="579">
        <v>597.0</v>
      </c>
      <c r="AA283" s="579">
        <v>571.13</v>
      </c>
      <c r="AB283" s="579">
        <v>2387.9</v>
      </c>
      <c r="AC283" s="579">
        <v>2338.2</v>
      </c>
      <c r="AD283" s="579">
        <v>2119.35</v>
      </c>
      <c r="AE283" s="579">
        <v>2712.87</v>
      </c>
      <c r="AF283" s="888">
        <f t="shared" ref="AF283:AF286" si="105">SUM(B283:AE283)</f>
        <v>85358.32</v>
      </c>
    </row>
    <row r="284" outlineLevel="1">
      <c r="A284" s="1071" t="s">
        <v>992</v>
      </c>
      <c r="B284" s="579">
        <v>159.2</v>
      </c>
      <c r="C284" s="579">
        <v>159.2</v>
      </c>
      <c r="D284" s="1081">
        <v>0.0</v>
      </c>
      <c r="E284" s="1081">
        <v>318.4</v>
      </c>
      <c r="F284" s="1081">
        <v>318.4</v>
      </c>
      <c r="G284" s="1081">
        <v>159.2</v>
      </c>
      <c r="H284" s="1081">
        <v>0.0</v>
      </c>
      <c r="I284" s="1081">
        <v>0.0</v>
      </c>
      <c r="J284" s="1081">
        <v>199.0</v>
      </c>
      <c r="K284" s="579">
        <v>0.0</v>
      </c>
      <c r="L284" s="579">
        <v>199.0</v>
      </c>
      <c r="M284" s="579">
        <v>398.0</v>
      </c>
      <c r="N284" s="579">
        <v>0.0</v>
      </c>
      <c r="O284" s="579">
        <v>1074.6</v>
      </c>
      <c r="P284" s="579">
        <v>358.2</v>
      </c>
      <c r="Q284" s="579">
        <v>179.1</v>
      </c>
      <c r="R284" s="579">
        <v>0.0</v>
      </c>
      <c r="S284" s="332">
        <v>179.1</v>
      </c>
      <c r="T284" s="579">
        <v>597.0</v>
      </c>
      <c r="U284" s="579">
        <v>597.0</v>
      </c>
      <c r="V284" s="579">
        <v>0.0</v>
      </c>
      <c r="W284" s="579">
        <v>597.0</v>
      </c>
      <c r="X284" s="579">
        <v>0.0</v>
      </c>
      <c r="Y284" s="579">
        <v>796.0</v>
      </c>
      <c r="Z284" s="579">
        <v>597.0</v>
      </c>
      <c r="AA284" s="579">
        <v>567.15</v>
      </c>
      <c r="AB284" s="579">
        <v>199.0</v>
      </c>
      <c r="AC284" s="579">
        <v>398.0</v>
      </c>
      <c r="AD284" s="579">
        <v>0.0</v>
      </c>
      <c r="AE284" s="579">
        <v>195.66</v>
      </c>
      <c r="AF284" s="888">
        <f t="shared" si="105"/>
        <v>8245.21</v>
      </c>
    </row>
    <row r="285" outlineLevel="1">
      <c r="A285" s="1071" t="s">
        <v>993</v>
      </c>
      <c r="B285" s="579">
        <v>2663.1</v>
      </c>
      <c r="C285" s="579">
        <v>4304.0</v>
      </c>
      <c r="D285" s="1081">
        <v>5428.8</v>
      </c>
      <c r="E285" s="1081">
        <v>4949.6</v>
      </c>
      <c r="F285" s="1081">
        <v>4949.6</v>
      </c>
      <c r="G285" s="1081">
        <v>4519.2</v>
      </c>
      <c r="H285" s="1081">
        <v>3761.0</v>
      </c>
      <c r="I285" s="1082">
        <v>2954.0</v>
      </c>
      <c r="J285" s="1081">
        <v>3215.5</v>
      </c>
      <c r="K285" s="579">
        <v>4289.0</v>
      </c>
      <c r="L285" s="579">
        <v>3973.7</v>
      </c>
      <c r="M285" s="579">
        <v>3225.5</v>
      </c>
      <c r="N285" s="579">
        <v>2980.9</v>
      </c>
      <c r="O285" s="579">
        <v>2421.0</v>
      </c>
      <c r="P285" s="579">
        <v>2905.2</v>
      </c>
      <c r="Q285" s="579">
        <v>5810.4</v>
      </c>
      <c r="R285" s="579">
        <v>3389.4</v>
      </c>
      <c r="S285" s="579">
        <v>4949.6</v>
      </c>
      <c r="T285" s="579">
        <v>2886.86</v>
      </c>
      <c r="U285" s="579">
        <v>4029.66</v>
      </c>
      <c r="V285" s="579">
        <v>4026.0</v>
      </c>
      <c r="W285" s="579">
        <v>4029.66</v>
      </c>
      <c r="X285" s="579">
        <v>4026.0</v>
      </c>
      <c r="Y285" s="579">
        <v>4836.66</v>
      </c>
      <c r="Z285" s="579">
        <v>1878.0</v>
      </c>
      <c r="AA285" s="579">
        <v>1802.3</v>
      </c>
      <c r="AB285" s="579">
        <v>4250.2</v>
      </c>
      <c r="AC285" s="579">
        <v>3322.15</v>
      </c>
      <c r="AD285" s="579">
        <v>3674.46</v>
      </c>
      <c r="AE285" s="579">
        <v>4204.62</v>
      </c>
      <c r="AF285" s="888">
        <f t="shared" si="105"/>
        <v>113656.07</v>
      </c>
    </row>
    <row r="286" outlineLevel="1">
      <c r="A286" s="1071" t="s">
        <v>994</v>
      </c>
      <c r="B286" s="579">
        <v>645.6</v>
      </c>
      <c r="C286" s="579">
        <v>2125.1</v>
      </c>
      <c r="D286" s="1081">
        <v>3012.8</v>
      </c>
      <c r="E286" s="1081">
        <v>3456.65</v>
      </c>
      <c r="F286" s="1081">
        <v>2152.0</v>
      </c>
      <c r="G286" s="1081">
        <v>2582.4</v>
      </c>
      <c r="H286" s="1081">
        <v>474.2</v>
      </c>
      <c r="I286" s="1081">
        <v>1076.0</v>
      </c>
      <c r="J286" s="1081">
        <v>797.0</v>
      </c>
      <c r="K286" s="579">
        <v>2357.2</v>
      </c>
      <c r="L286" s="579">
        <v>2150.0</v>
      </c>
      <c r="M286" s="579">
        <v>1503.3</v>
      </c>
      <c r="N286" s="579">
        <v>1694.7</v>
      </c>
      <c r="O286" s="579">
        <v>1936.8</v>
      </c>
      <c r="P286" s="579">
        <v>3147.3</v>
      </c>
      <c r="Q286" s="579">
        <v>1210.5</v>
      </c>
      <c r="R286" s="579">
        <v>1694.7</v>
      </c>
      <c r="S286" s="332">
        <v>2582.4</v>
      </c>
      <c r="T286" s="579">
        <v>3492.0</v>
      </c>
      <c r="U286" s="579">
        <v>1291.2</v>
      </c>
      <c r="V286" s="579">
        <v>1345.0</v>
      </c>
      <c r="W286" s="579">
        <v>1291.2</v>
      </c>
      <c r="X286" s="579">
        <v>1345.0</v>
      </c>
      <c r="Y286" s="579">
        <v>1883.0</v>
      </c>
      <c r="Z286" s="579">
        <v>2421.0</v>
      </c>
      <c r="AA286" s="579">
        <v>2647.15</v>
      </c>
      <c r="AB286" s="579">
        <v>5009.35</v>
      </c>
      <c r="AC286" s="579">
        <v>2609.3</v>
      </c>
      <c r="AD286" s="579">
        <v>4140.1</v>
      </c>
      <c r="AE286" s="579">
        <v>3709.81</v>
      </c>
      <c r="AF286" s="888">
        <f t="shared" si="105"/>
        <v>65782.76</v>
      </c>
    </row>
    <row r="287">
      <c r="A287" s="1071" t="s">
        <v>995</v>
      </c>
      <c r="B287" s="1072"/>
      <c r="C287" s="1072"/>
      <c r="D287" s="1073"/>
      <c r="E287" s="1073"/>
      <c r="F287" s="1073"/>
      <c r="G287" s="1073"/>
      <c r="H287" s="1073"/>
      <c r="I287" s="1073"/>
      <c r="J287" s="1073"/>
      <c r="K287" s="1072"/>
      <c r="L287" s="1072"/>
      <c r="M287" s="1072"/>
      <c r="N287" s="1072"/>
      <c r="O287" s="1072"/>
      <c r="P287" s="1072"/>
      <c r="Q287" s="1072"/>
      <c r="R287" s="1072"/>
      <c r="S287" s="1072"/>
      <c r="T287" s="1072"/>
      <c r="U287" s="1072"/>
      <c r="V287" s="1072"/>
      <c r="W287" s="1072"/>
      <c r="X287" s="1072"/>
      <c r="Y287" s="1072"/>
      <c r="Z287" s="1072"/>
      <c r="AA287" s="1072"/>
      <c r="AB287" s="1072"/>
      <c r="AC287" s="1072"/>
      <c r="AD287" s="1072"/>
      <c r="AE287" s="1072"/>
      <c r="AF287" s="888"/>
    </row>
    <row r="288" outlineLevel="1">
      <c r="A288" s="1071" t="s">
        <v>996</v>
      </c>
      <c r="B288" s="579">
        <v>159.2</v>
      </c>
      <c r="C288" s="579">
        <v>318.4</v>
      </c>
      <c r="D288" s="1081">
        <v>318.4</v>
      </c>
      <c r="E288" s="1081">
        <v>1273.6</v>
      </c>
      <c r="F288" s="1081">
        <v>477.6</v>
      </c>
      <c r="G288" s="1081">
        <v>796.0</v>
      </c>
      <c r="H288" s="1081">
        <v>139.3</v>
      </c>
      <c r="I288" s="1081">
        <v>597.0</v>
      </c>
      <c r="J288" s="1081">
        <v>0.0</v>
      </c>
      <c r="K288" s="579">
        <v>199.0</v>
      </c>
      <c r="L288" s="579">
        <v>597.0</v>
      </c>
      <c r="M288" s="579">
        <v>0.0</v>
      </c>
      <c r="N288" s="1083">
        <v>577.1</v>
      </c>
      <c r="O288" s="579">
        <v>0.0</v>
      </c>
      <c r="P288" s="579">
        <v>179.1</v>
      </c>
      <c r="Q288" s="579">
        <v>0.0</v>
      </c>
      <c r="R288" s="579">
        <v>358.2</v>
      </c>
      <c r="S288" s="579">
        <v>577.1</v>
      </c>
      <c r="T288" s="579">
        <v>597.0</v>
      </c>
      <c r="U288" s="579">
        <v>597.0</v>
      </c>
      <c r="V288" s="579">
        <v>189.0</v>
      </c>
      <c r="W288" s="579">
        <v>597.0</v>
      </c>
      <c r="X288" s="579">
        <v>189.0</v>
      </c>
      <c r="Y288" s="579">
        <v>0.0</v>
      </c>
      <c r="Z288" s="579">
        <v>398.0</v>
      </c>
      <c r="AA288" s="1081">
        <v>398.0</v>
      </c>
      <c r="AB288" s="579">
        <v>0.0</v>
      </c>
      <c r="AC288" s="579">
        <v>593.66</v>
      </c>
      <c r="AD288" s="579">
        <v>139.3</v>
      </c>
      <c r="AE288" s="579">
        <v>199.0</v>
      </c>
      <c r="AF288" s="888">
        <f t="shared" ref="AF288:AF291" si="106">SUM(B288:AE288)</f>
        <v>10463.96</v>
      </c>
    </row>
    <row r="289" outlineLevel="1">
      <c r="A289" s="1071" t="s">
        <v>997</v>
      </c>
      <c r="B289" s="579">
        <v>0.0</v>
      </c>
      <c r="C289" s="579">
        <v>0.0</v>
      </c>
      <c r="D289" s="1081">
        <v>0.0</v>
      </c>
      <c r="E289" s="1081">
        <v>159.2</v>
      </c>
      <c r="F289" s="1081">
        <v>0.0</v>
      </c>
      <c r="G289" s="1081">
        <v>0.0</v>
      </c>
      <c r="H289" s="1081">
        <v>0.0</v>
      </c>
      <c r="I289" s="1081">
        <v>0.0</v>
      </c>
      <c r="J289" s="1081">
        <v>0.0</v>
      </c>
      <c r="K289" s="579">
        <v>199.0</v>
      </c>
      <c r="L289" s="579">
        <v>0.0</v>
      </c>
      <c r="M289" s="579">
        <v>0.0</v>
      </c>
      <c r="N289" s="579">
        <v>0.0</v>
      </c>
      <c r="O289" s="579">
        <v>0.0</v>
      </c>
      <c r="P289" s="579">
        <v>0.0</v>
      </c>
      <c r="Q289" s="579">
        <v>0.0</v>
      </c>
      <c r="R289" s="579">
        <v>179.1</v>
      </c>
      <c r="S289" s="579">
        <v>0.0</v>
      </c>
      <c r="T289" s="579">
        <v>139.3</v>
      </c>
      <c r="U289" s="579">
        <v>0.0</v>
      </c>
      <c r="V289" s="579">
        <v>199.0</v>
      </c>
      <c r="W289" s="579">
        <v>0.0</v>
      </c>
      <c r="X289" s="579">
        <v>199.0</v>
      </c>
      <c r="Y289" s="579">
        <v>0.0</v>
      </c>
      <c r="Z289" s="579">
        <v>0.0</v>
      </c>
      <c r="AA289" s="1081">
        <v>0.0</v>
      </c>
      <c r="AB289" s="579">
        <v>0.0</v>
      </c>
      <c r="AC289" s="579">
        <v>0.0</v>
      </c>
      <c r="AD289" s="579">
        <v>0.0</v>
      </c>
      <c r="AE289" s="579">
        <v>0.0</v>
      </c>
      <c r="AF289" s="888">
        <f t="shared" si="106"/>
        <v>1074.6</v>
      </c>
    </row>
    <row r="290" outlineLevel="1">
      <c r="A290" s="1071" t="s">
        <v>998</v>
      </c>
      <c r="B290" s="579">
        <v>860.8</v>
      </c>
      <c r="C290" s="579">
        <v>870.7</v>
      </c>
      <c r="D290" s="1081">
        <v>1291.2</v>
      </c>
      <c r="E290" s="1081">
        <v>860.8</v>
      </c>
      <c r="F290" s="1081">
        <v>1076.0</v>
      </c>
      <c r="G290" s="1081">
        <v>1076.0</v>
      </c>
      <c r="H290" s="1081">
        <v>1655.3</v>
      </c>
      <c r="I290" s="1081">
        <v>1614.0</v>
      </c>
      <c r="J290" s="1081">
        <v>1264.3</v>
      </c>
      <c r="K290" s="579">
        <v>1076.0</v>
      </c>
      <c r="L290" s="579">
        <v>538.0</v>
      </c>
      <c r="M290" s="579">
        <v>510.5</v>
      </c>
      <c r="N290" s="579">
        <v>968.4</v>
      </c>
      <c r="O290" s="579">
        <v>1694.7</v>
      </c>
      <c r="P290" s="579">
        <v>1183.6</v>
      </c>
      <c r="Q290" s="579">
        <v>1210.5</v>
      </c>
      <c r="R290" s="579">
        <v>484.2</v>
      </c>
      <c r="S290" s="1083">
        <v>269.0</v>
      </c>
      <c r="T290" s="579">
        <v>807.0</v>
      </c>
      <c r="U290" s="579">
        <v>474.2</v>
      </c>
      <c r="V290" s="579">
        <v>538.0</v>
      </c>
      <c r="W290" s="579">
        <v>474.2</v>
      </c>
      <c r="X290" s="579">
        <v>538.0</v>
      </c>
      <c r="Y290" s="579">
        <v>538.0</v>
      </c>
      <c r="Z290" s="579">
        <v>807.0</v>
      </c>
      <c r="AA290" s="1081">
        <v>269.0</v>
      </c>
      <c r="AB290" s="579">
        <v>269.0</v>
      </c>
      <c r="AC290" s="579">
        <v>807.0</v>
      </c>
      <c r="AD290" s="579">
        <v>807.0</v>
      </c>
      <c r="AE290" s="579">
        <v>807.0</v>
      </c>
      <c r="AF290" s="888">
        <f t="shared" si="106"/>
        <v>25639.4</v>
      </c>
    </row>
    <row r="291" outlineLevel="1">
      <c r="A291" s="1071" t="s">
        <v>999</v>
      </c>
      <c r="B291" s="579">
        <v>0.0</v>
      </c>
      <c r="C291" s="579">
        <v>215.2</v>
      </c>
      <c r="D291" s="1081">
        <v>215.2</v>
      </c>
      <c r="E291" s="1081">
        <v>0.0</v>
      </c>
      <c r="F291" s="1081">
        <v>0.0</v>
      </c>
      <c r="G291" s="1081">
        <v>0.0</v>
      </c>
      <c r="H291" s="1081">
        <v>0.0</v>
      </c>
      <c r="I291" s="1081">
        <v>0.0</v>
      </c>
      <c r="J291" s="1081">
        <v>269.0</v>
      </c>
      <c r="K291" s="579">
        <v>807.0</v>
      </c>
      <c r="L291" s="579">
        <v>0.0</v>
      </c>
      <c r="M291" s="579">
        <v>0.0</v>
      </c>
      <c r="N291" s="579">
        <v>0.0</v>
      </c>
      <c r="O291" s="579">
        <v>0.0</v>
      </c>
      <c r="P291" s="579">
        <v>0.0</v>
      </c>
      <c r="Q291" s="579">
        <v>0.0</v>
      </c>
      <c r="R291" s="579">
        <v>0.0</v>
      </c>
      <c r="S291" s="579">
        <v>0.0</v>
      </c>
      <c r="T291" s="332">
        <v>753.2</v>
      </c>
      <c r="U291" s="579">
        <v>0.0</v>
      </c>
      <c r="V291" s="579">
        <v>0.0</v>
      </c>
      <c r="W291" s="579">
        <v>0.0</v>
      </c>
      <c r="X291" s="579">
        <v>0.0</v>
      </c>
      <c r="Y291" s="579">
        <v>0.0</v>
      </c>
      <c r="Z291" s="579">
        <v>538.0</v>
      </c>
      <c r="AA291" s="1081">
        <v>228.65</v>
      </c>
      <c r="AB291" s="579">
        <v>269.0</v>
      </c>
      <c r="AC291" s="579">
        <v>0.0</v>
      </c>
      <c r="AD291" s="579">
        <v>269.0</v>
      </c>
      <c r="AE291" s="579">
        <v>0.0</v>
      </c>
      <c r="AF291" s="888">
        <f t="shared" si="106"/>
        <v>3564.25</v>
      </c>
    </row>
    <row r="292" ht="20.25" customHeight="1">
      <c r="A292" s="1071" t="s">
        <v>1000</v>
      </c>
      <c r="B292" s="681"/>
      <c r="C292" s="61"/>
      <c r="D292" s="61"/>
      <c r="E292" s="61"/>
      <c r="F292" s="61"/>
      <c r="G292" s="61"/>
      <c r="H292" s="61"/>
      <c r="I292" s="61"/>
      <c r="J292" s="681"/>
      <c r="K292" s="681"/>
      <c r="L292" s="681"/>
      <c r="M292" s="681"/>
      <c r="N292" s="681"/>
      <c r="O292" s="681"/>
      <c r="P292" s="681"/>
      <c r="Q292" s="681"/>
      <c r="R292" s="681"/>
      <c r="S292" s="681"/>
      <c r="T292" s="1075"/>
      <c r="U292" s="681"/>
      <c r="V292" s="681"/>
      <c r="W292" s="61"/>
      <c r="X292" s="681"/>
      <c r="Y292" s="681"/>
      <c r="Z292" s="681"/>
      <c r="AA292" s="681"/>
      <c r="AB292" s="681"/>
      <c r="AC292" s="681"/>
      <c r="AD292" s="681"/>
      <c r="AE292" s="681"/>
      <c r="AF292" s="888"/>
    </row>
    <row r="293" ht="20.25" customHeight="1" outlineLevel="1">
      <c r="A293" s="1071" t="s">
        <v>1001</v>
      </c>
      <c r="B293" s="681"/>
      <c r="C293" s="61"/>
      <c r="D293" s="61"/>
      <c r="E293" s="61"/>
      <c r="F293" s="61"/>
      <c r="G293" s="61"/>
      <c r="H293" s="61"/>
      <c r="I293" s="61"/>
      <c r="J293" s="681"/>
      <c r="K293" s="681"/>
      <c r="L293" s="681"/>
      <c r="M293" s="681"/>
      <c r="N293" s="681"/>
      <c r="O293" s="681"/>
      <c r="P293" s="681"/>
      <c r="Q293" s="681"/>
      <c r="R293" s="681"/>
      <c r="S293" s="681"/>
      <c r="T293" s="681"/>
      <c r="U293" s="681"/>
      <c r="V293" s="681"/>
      <c r="W293" s="61"/>
      <c r="X293" s="681"/>
      <c r="Y293" s="681"/>
      <c r="Z293" s="681"/>
      <c r="AA293" s="681"/>
      <c r="AB293" s="681"/>
      <c r="AC293" s="681"/>
      <c r="AD293" s="681"/>
      <c r="AE293" s="681"/>
      <c r="AF293" s="888">
        <f>SUM(B293:AE293)</f>
        <v>0</v>
      </c>
    </row>
    <row r="294" ht="20.25" customHeight="1" outlineLevel="1">
      <c r="A294" s="1071" t="s">
        <v>1002</v>
      </c>
      <c r="B294" s="681"/>
      <c r="C294" s="61"/>
      <c r="D294" s="61"/>
      <c r="E294" s="61"/>
      <c r="F294" s="61"/>
      <c r="G294" s="61"/>
      <c r="H294" s="61"/>
      <c r="I294" s="61"/>
      <c r="J294" s="681"/>
      <c r="K294" s="681"/>
      <c r="L294" s="681"/>
      <c r="M294" s="681"/>
      <c r="N294" s="681"/>
      <c r="O294" s="681"/>
      <c r="P294" s="681"/>
      <c r="Q294" s="681"/>
      <c r="R294" s="681"/>
      <c r="S294" s="681"/>
      <c r="T294" s="681"/>
      <c r="U294" s="681"/>
      <c r="V294" s="681"/>
      <c r="W294" s="61"/>
      <c r="X294" s="681"/>
      <c r="Y294" s="681"/>
      <c r="Z294" s="681"/>
      <c r="AA294" s="681"/>
      <c r="AB294" s="681"/>
      <c r="AC294" s="681"/>
      <c r="AD294" s="681"/>
      <c r="AE294" s="681"/>
      <c r="AF294" s="888"/>
    </row>
    <row r="295" outlineLevel="1">
      <c r="A295" s="1071" t="s">
        <v>1003</v>
      </c>
      <c r="B295" s="681"/>
      <c r="C295" s="61"/>
      <c r="D295" s="681"/>
      <c r="E295" s="61"/>
      <c r="F295" s="61"/>
      <c r="G295" s="61"/>
      <c r="H295" s="61"/>
      <c r="I295" s="61"/>
      <c r="J295" s="681"/>
      <c r="K295" s="681"/>
      <c r="L295" s="681"/>
      <c r="M295" s="681"/>
      <c r="N295" s="681"/>
      <c r="O295" s="681"/>
      <c r="P295" s="681"/>
      <c r="Q295" s="681"/>
      <c r="R295" s="681"/>
      <c r="S295" s="681"/>
      <c r="T295" s="681"/>
      <c r="U295" s="681"/>
      <c r="V295" s="681"/>
      <c r="W295" s="681"/>
      <c r="X295" s="681"/>
      <c r="Y295" s="681"/>
      <c r="Z295" s="681"/>
      <c r="AA295" s="681"/>
      <c r="AB295" s="681"/>
      <c r="AC295" s="681"/>
      <c r="AD295" s="681"/>
      <c r="AE295" s="681"/>
      <c r="AF295" s="888">
        <f>SUM(B295:AE295)</f>
        <v>0</v>
      </c>
    </row>
    <row r="296" outlineLevel="1">
      <c r="A296" s="1071" t="s">
        <v>1004</v>
      </c>
      <c r="B296" s="681"/>
      <c r="C296" s="61"/>
      <c r="D296" s="681"/>
      <c r="E296" s="61"/>
      <c r="F296" s="61"/>
      <c r="G296" s="61"/>
      <c r="H296" s="61"/>
      <c r="I296" s="61"/>
      <c r="J296" s="681"/>
      <c r="K296" s="681"/>
      <c r="L296" s="681"/>
      <c r="M296" s="681"/>
      <c r="N296" s="681"/>
      <c r="O296" s="681"/>
      <c r="P296" s="681"/>
      <c r="Q296" s="681"/>
      <c r="R296" s="681"/>
      <c r="S296" s="681"/>
      <c r="T296" s="681"/>
      <c r="U296" s="681"/>
      <c r="V296" s="681"/>
      <c r="W296" s="681"/>
      <c r="X296" s="681"/>
      <c r="Y296" s="681"/>
      <c r="Z296" s="681"/>
      <c r="AA296" s="681"/>
      <c r="AB296" s="681"/>
      <c r="AC296" s="681"/>
      <c r="AD296" s="681"/>
      <c r="AE296" s="681"/>
      <c r="AF296" s="888"/>
    </row>
    <row r="297">
      <c r="A297" s="1076" t="s">
        <v>179</v>
      </c>
      <c r="B297" s="274">
        <f t="shared" ref="B297:AE297" si="107">B283+B284+B288+B289+B293+B294</f>
        <v>2577</v>
      </c>
      <c r="C297" s="274">
        <f t="shared" si="107"/>
        <v>3980</v>
      </c>
      <c r="D297" s="274">
        <f t="shared" si="107"/>
        <v>4139.2</v>
      </c>
      <c r="E297" s="274">
        <f t="shared" si="107"/>
        <v>7164</v>
      </c>
      <c r="F297" s="274">
        <f t="shared" si="107"/>
        <v>5572</v>
      </c>
      <c r="G297" s="274">
        <f t="shared" si="107"/>
        <v>3980</v>
      </c>
      <c r="H297" s="274">
        <f t="shared" si="107"/>
        <v>3790.9</v>
      </c>
      <c r="I297" s="274">
        <f t="shared" si="107"/>
        <v>2179</v>
      </c>
      <c r="J297" s="274">
        <f t="shared" si="107"/>
        <v>2786</v>
      </c>
      <c r="K297" s="274">
        <f t="shared" si="107"/>
        <v>3154.15</v>
      </c>
      <c r="L297" s="274">
        <f t="shared" si="107"/>
        <v>3532</v>
      </c>
      <c r="M297" s="274">
        <f t="shared" si="107"/>
        <v>4149</v>
      </c>
      <c r="N297" s="274">
        <f t="shared" si="107"/>
        <v>2805.9</v>
      </c>
      <c r="O297" s="274">
        <f t="shared" si="107"/>
        <v>4835.7</v>
      </c>
      <c r="P297" s="274">
        <f t="shared" si="107"/>
        <v>3223.8</v>
      </c>
      <c r="Q297" s="274">
        <f t="shared" si="107"/>
        <v>3402.9</v>
      </c>
      <c r="R297" s="274">
        <f t="shared" si="107"/>
        <v>3761.1</v>
      </c>
      <c r="S297" s="274">
        <f t="shared" si="107"/>
        <v>4621.6</v>
      </c>
      <c r="T297" s="274">
        <f t="shared" si="107"/>
        <v>4069.3</v>
      </c>
      <c r="U297" s="274">
        <f t="shared" si="107"/>
        <v>3761</v>
      </c>
      <c r="V297" s="274">
        <f t="shared" si="107"/>
        <v>3747.66</v>
      </c>
      <c r="W297" s="274">
        <f t="shared" si="107"/>
        <v>3761</v>
      </c>
      <c r="X297" s="274">
        <f t="shared" si="107"/>
        <v>3747.66</v>
      </c>
      <c r="Y297" s="274">
        <f t="shared" si="107"/>
        <v>1990</v>
      </c>
      <c r="Z297" s="274">
        <f t="shared" si="107"/>
        <v>1592</v>
      </c>
      <c r="AA297" s="274">
        <f t="shared" si="107"/>
        <v>1536.28</v>
      </c>
      <c r="AB297" s="274">
        <f t="shared" si="107"/>
        <v>2586.9</v>
      </c>
      <c r="AC297" s="274">
        <f t="shared" si="107"/>
        <v>3329.86</v>
      </c>
      <c r="AD297" s="274">
        <f t="shared" si="107"/>
        <v>2258.65</v>
      </c>
      <c r="AE297" s="274">
        <f t="shared" si="107"/>
        <v>3107.53</v>
      </c>
      <c r="AF297" s="888">
        <f t="shared" ref="AF297:AF298" si="109">SUM(B297:AE297)</f>
        <v>105142.09</v>
      </c>
    </row>
    <row r="298">
      <c r="A298" s="1076" t="s">
        <v>1005</v>
      </c>
      <c r="B298" s="274">
        <f t="shared" ref="B298:AE298" si="108">B285+B286+B290+B291+B295+B296</f>
        <v>4169.5</v>
      </c>
      <c r="C298" s="274">
        <f t="shared" si="108"/>
        <v>7515</v>
      </c>
      <c r="D298" s="274">
        <f t="shared" si="108"/>
        <v>9948</v>
      </c>
      <c r="E298" s="274">
        <f t="shared" si="108"/>
        <v>9267.05</v>
      </c>
      <c r="F298" s="274">
        <f t="shared" si="108"/>
        <v>8177.6</v>
      </c>
      <c r="G298" s="274">
        <f t="shared" si="108"/>
        <v>8177.6</v>
      </c>
      <c r="H298" s="274">
        <f t="shared" si="108"/>
        <v>5890.5</v>
      </c>
      <c r="I298" s="274">
        <f t="shared" si="108"/>
        <v>5644</v>
      </c>
      <c r="J298" s="274">
        <f t="shared" si="108"/>
        <v>5545.8</v>
      </c>
      <c r="K298" s="274">
        <f t="shared" si="108"/>
        <v>8529.2</v>
      </c>
      <c r="L298" s="274">
        <f t="shared" si="108"/>
        <v>6661.7</v>
      </c>
      <c r="M298" s="274">
        <f t="shared" si="108"/>
        <v>5239.3</v>
      </c>
      <c r="N298" s="274">
        <f t="shared" si="108"/>
        <v>5644</v>
      </c>
      <c r="O298" s="274">
        <f t="shared" si="108"/>
        <v>6052.5</v>
      </c>
      <c r="P298" s="274">
        <f t="shared" si="108"/>
        <v>7236.1</v>
      </c>
      <c r="Q298" s="274">
        <f t="shared" si="108"/>
        <v>8231.4</v>
      </c>
      <c r="R298" s="274">
        <f t="shared" si="108"/>
        <v>5568.3</v>
      </c>
      <c r="S298" s="274">
        <f t="shared" si="108"/>
        <v>7801</v>
      </c>
      <c r="T298" s="274">
        <f t="shared" si="108"/>
        <v>7939.06</v>
      </c>
      <c r="U298" s="274">
        <f t="shared" si="108"/>
        <v>5795.06</v>
      </c>
      <c r="V298" s="274">
        <f t="shared" si="108"/>
        <v>5909</v>
      </c>
      <c r="W298" s="274">
        <f t="shared" si="108"/>
        <v>5795.06</v>
      </c>
      <c r="X298" s="274">
        <f t="shared" si="108"/>
        <v>5909</v>
      </c>
      <c r="Y298" s="274">
        <f t="shared" si="108"/>
        <v>7257.66</v>
      </c>
      <c r="Z298" s="274">
        <f t="shared" si="108"/>
        <v>5644</v>
      </c>
      <c r="AA298" s="274">
        <f t="shared" si="108"/>
        <v>4947.1</v>
      </c>
      <c r="AB298" s="274">
        <f t="shared" si="108"/>
        <v>9797.55</v>
      </c>
      <c r="AC298" s="274">
        <f t="shared" si="108"/>
        <v>6738.45</v>
      </c>
      <c r="AD298" s="274">
        <f t="shared" si="108"/>
        <v>8890.56</v>
      </c>
      <c r="AE298" s="274">
        <f t="shared" si="108"/>
        <v>8721.43</v>
      </c>
      <c r="AF298" s="888">
        <f t="shared" si="109"/>
        <v>208642.48</v>
      </c>
    </row>
    <row r="299" ht="16.5" customHeight="1">
      <c r="A299" s="20"/>
      <c r="B299" s="580"/>
      <c r="C299" s="580"/>
      <c r="D299" s="580"/>
      <c r="E299" s="580"/>
      <c r="F299" s="580"/>
      <c r="G299" s="580"/>
      <c r="H299" s="580"/>
      <c r="I299" s="580"/>
      <c r="J299" s="580"/>
      <c r="K299" s="580"/>
      <c r="L299" s="580"/>
      <c r="M299" s="580"/>
      <c r="N299" s="580"/>
      <c r="O299" s="580"/>
      <c r="P299" s="580"/>
      <c r="Q299" s="580"/>
      <c r="R299" s="580"/>
      <c r="S299" s="580"/>
      <c r="T299" s="580"/>
      <c r="U299" s="580"/>
      <c r="V299" s="580"/>
      <c r="W299" s="580"/>
      <c r="X299" s="580"/>
      <c r="Y299" s="580"/>
      <c r="Z299" s="580"/>
      <c r="AA299" s="580"/>
      <c r="AB299" s="580"/>
      <c r="AC299" s="580"/>
      <c r="AD299" s="580"/>
      <c r="AE299" s="580"/>
      <c r="AF299" s="888"/>
    </row>
    <row r="300">
      <c r="A300" s="1071" t="s">
        <v>1006</v>
      </c>
      <c r="B300" s="1072"/>
      <c r="C300" s="1072"/>
      <c r="D300" s="1073"/>
      <c r="E300" s="1073"/>
      <c r="F300" s="1073"/>
      <c r="G300" s="1073"/>
      <c r="H300" s="1073"/>
      <c r="I300" s="1073"/>
      <c r="J300" s="1073"/>
      <c r="K300" s="1072"/>
      <c r="L300" s="1072"/>
      <c r="M300" s="1072"/>
      <c r="N300" s="1072"/>
      <c r="O300" s="1072"/>
      <c r="P300" s="1072"/>
      <c r="Q300" s="1072"/>
      <c r="R300" s="1072"/>
      <c r="S300" s="1072"/>
      <c r="T300" s="1072"/>
      <c r="U300" s="1072"/>
      <c r="V300" s="1072"/>
      <c r="W300" s="1072"/>
      <c r="X300" s="1072"/>
      <c r="Y300" s="1072"/>
      <c r="Z300" s="1072"/>
      <c r="AA300" s="1072"/>
      <c r="AB300" s="1072"/>
      <c r="AC300" s="1072"/>
      <c r="AD300" s="1072"/>
      <c r="AE300" s="1072"/>
      <c r="AF300" s="888"/>
    </row>
    <row r="301" outlineLevel="1">
      <c r="A301" s="1071" t="s">
        <v>958</v>
      </c>
      <c r="B301" s="1084">
        <v>376.8</v>
      </c>
      <c r="C301" s="1085">
        <v>518.4</v>
      </c>
      <c r="D301" s="1086">
        <v>748.6</v>
      </c>
      <c r="E301" s="1086">
        <v>614.4</v>
      </c>
      <c r="F301" s="1086">
        <v>576.0</v>
      </c>
      <c r="G301" s="1086">
        <v>518.4</v>
      </c>
      <c r="H301" s="1086">
        <v>355.2</v>
      </c>
      <c r="I301" s="1087">
        <v>264.0</v>
      </c>
      <c r="J301" s="1086">
        <v>311.5</v>
      </c>
      <c r="K301" s="1084">
        <v>509.4</v>
      </c>
      <c r="L301" s="1084">
        <v>636.5</v>
      </c>
      <c r="M301" s="1084">
        <v>405.5</v>
      </c>
      <c r="N301" s="1084">
        <v>283.0</v>
      </c>
      <c r="O301" s="1084">
        <v>518.4</v>
      </c>
      <c r="P301" s="1084">
        <v>496.8</v>
      </c>
      <c r="Q301" s="1084">
        <v>561.6</v>
      </c>
      <c r="R301" s="1084">
        <v>496.8</v>
      </c>
      <c r="S301" s="1084">
        <v>765.4</v>
      </c>
      <c r="T301" s="1084">
        <v>677.67</v>
      </c>
      <c r="U301" s="1084">
        <v>474.67</v>
      </c>
      <c r="V301" s="1084">
        <v>419.67</v>
      </c>
      <c r="W301" s="1084">
        <v>474.67</v>
      </c>
      <c r="X301" s="1084">
        <v>419.67</v>
      </c>
      <c r="Y301" s="1084">
        <v>618.67</v>
      </c>
      <c r="Z301" s="1084">
        <v>451.0</v>
      </c>
      <c r="AA301" s="1084">
        <v>350.3</v>
      </c>
      <c r="AB301" s="1084">
        <v>669.5</v>
      </c>
      <c r="AC301" s="1084">
        <v>504.0</v>
      </c>
      <c r="AD301" s="1084">
        <v>422.0</v>
      </c>
      <c r="AE301" s="1084">
        <v>414.17</v>
      </c>
      <c r="AF301" s="888">
        <f t="shared" ref="AF301:AF310" si="110">SUM(B301:AE301)</f>
        <v>14852.69</v>
      </c>
    </row>
    <row r="302" outlineLevel="1">
      <c r="A302" s="1071" t="s">
        <v>959</v>
      </c>
      <c r="B302" s="1077"/>
      <c r="C302" s="1077"/>
      <c r="D302" s="1077"/>
      <c r="E302" s="1077"/>
      <c r="F302" s="1077"/>
      <c r="G302" s="1077"/>
      <c r="H302" s="1077"/>
      <c r="I302" s="1077"/>
      <c r="J302" s="1077"/>
      <c r="K302" s="1077"/>
      <c r="L302" s="1077"/>
      <c r="M302" s="1077"/>
      <c r="N302" s="1077"/>
      <c r="O302" s="1077"/>
      <c r="P302" s="1077"/>
      <c r="Q302" s="1077"/>
      <c r="R302" s="1077"/>
      <c r="S302" s="1077"/>
      <c r="T302" s="1077"/>
      <c r="U302" s="1077"/>
      <c r="V302" s="1077"/>
      <c r="W302" s="1077"/>
      <c r="X302" s="1077"/>
      <c r="Y302" s="1077"/>
      <c r="Z302" s="1077"/>
      <c r="AA302" s="1077"/>
      <c r="AB302" s="1077"/>
      <c r="AC302" s="1077"/>
      <c r="AD302" s="1077"/>
      <c r="AE302" s="1077"/>
      <c r="AF302" s="888">
        <f t="shared" si="110"/>
        <v>0</v>
      </c>
    </row>
    <row r="303" outlineLevel="1">
      <c r="A303" s="1071" t="s">
        <v>960</v>
      </c>
      <c r="B303" s="1084">
        <v>109.5</v>
      </c>
      <c r="C303" s="1084">
        <v>190.4</v>
      </c>
      <c r="D303" s="1086">
        <v>235.2</v>
      </c>
      <c r="E303" s="1086">
        <v>264.4</v>
      </c>
      <c r="F303" s="1086">
        <v>224.0</v>
      </c>
      <c r="G303" s="1086">
        <v>191.2</v>
      </c>
      <c r="H303" s="1086">
        <v>123.2</v>
      </c>
      <c r="I303" s="1086">
        <v>107.0</v>
      </c>
      <c r="J303" s="1087">
        <v>86.0</v>
      </c>
      <c r="K303" s="1084">
        <v>266.0</v>
      </c>
      <c r="L303" s="1084">
        <v>236.0</v>
      </c>
      <c r="M303" s="1084">
        <v>137.5</v>
      </c>
      <c r="N303" s="1084">
        <v>141.4</v>
      </c>
      <c r="O303" s="1084">
        <v>239.4</v>
      </c>
      <c r="P303" s="1084">
        <v>151.2</v>
      </c>
      <c r="Q303" s="1084">
        <v>224.0</v>
      </c>
      <c r="R303" s="1084">
        <v>163.8</v>
      </c>
      <c r="S303" s="1084">
        <v>275.8</v>
      </c>
      <c r="T303" s="1084">
        <v>378.0</v>
      </c>
      <c r="U303" s="1084">
        <v>180.0</v>
      </c>
      <c r="V303" s="1084">
        <v>164.0</v>
      </c>
      <c r="W303" s="1084">
        <v>180.0</v>
      </c>
      <c r="X303" s="1084">
        <v>164.0</v>
      </c>
      <c r="Y303" s="1084">
        <v>245.0</v>
      </c>
      <c r="Z303" s="1084">
        <v>224.0</v>
      </c>
      <c r="AA303" s="1084">
        <v>70.0</v>
      </c>
      <c r="AB303" s="1084">
        <v>207.0</v>
      </c>
      <c r="AC303" s="1084">
        <v>210.0</v>
      </c>
      <c r="AD303" s="1084">
        <v>135.0</v>
      </c>
      <c r="AE303" s="1084">
        <v>253.17</v>
      </c>
      <c r="AF303" s="888">
        <f t="shared" si="110"/>
        <v>5776.17</v>
      </c>
    </row>
    <row r="304" outlineLevel="1">
      <c r="A304" s="1071" t="s">
        <v>1007</v>
      </c>
      <c r="B304" s="1084">
        <v>150.8</v>
      </c>
      <c r="C304" s="1084">
        <v>394.4</v>
      </c>
      <c r="D304" s="1086">
        <v>556.8</v>
      </c>
      <c r="E304" s="1086">
        <v>464.0</v>
      </c>
      <c r="F304" s="1086">
        <v>417.6</v>
      </c>
      <c r="G304" s="1086">
        <v>371.2</v>
      </c>
      <c r="H304" s="1086">
        <v>285.0</v>
      </c>
      <c r="I304" s="1086">
        <v>261.0</v>
      </c>
      <c r="J304" s="1086">
        <v>169.0</v>
      </c>
      <c r="K304" s="1084">
        <v>290.0</v>
      </c>
      <c r="L304" s="1084">
        <v>377.0</v>
      </c>
      <c r="M304" s="1084">
        <v>345.5</v>
      </c>
      <c r="N304" s="1084">
        <v>188.5</v>
      </c>
      <c r="O304" s="1084">
        <v>130.5</v>
      </c>
      <c r="P304" s="1084">
        <v>156.6</v>
      </c>
      <c r="Q304" s="1084">
        <v>313.2</v>
      </c>
      <c r="R304" s="1084">
        <v>130.5</v>
      </c>
      <c r="S304" s="1084">
        <v>2558.9</v>
      </c>
      <c r="T304" s="1084">
        <v>1245.5</v>
      </c>
      <c r="U304" s="1084">
        <v>739.0</v>
      </c>
      <c r="V304" s="1084">
        <v>776.0</v>
      </c>
      <c r="W304" s="1084">
        <v>739.0</v>
      </c>
      <c r="X304" s="1084">
        <v>776.0</v>
      </c>
      <c r="Y304" s="1084">
        <v>345.67</v>
      </c>
      <c r="Z304" s="1084">
        <v>234.0</v>
      </c>
      <c r="AA304" s="1084">
        <v>234.0</v>
      </c>
      <c r="AB304" s="1084">
        <v>195.0</v>
      </c>
      <c r="AC304" s="1084">
        <v>234.0</v>
      </c>
      <c r="AD304" s="1084">
        <v>256.87</v>
      </c>
      <c r="AE304" s="1084">
        <v>268.5</v>
      </c>
      <c r="AF304" s="888">
        <f t="shared" si="110"/>
        <v>13604.04</v>
      </c>
    </row>
    <row r="305" outlineLevel="1">
      <c r="A305" s="1071" t="s">
        <v>1008</v>
      </c>
      <c r="B305" s="579">
        <v>46.4</v>
      </c>
      <c r="C305" s="579">
        <v>156.6</v>
      </c>
      <c r="D305" s="1081">
        <v>162.4</v>
      </c>
      <c r="E305" s="1081">
        <v>139.2</v>
      </c>
      <c r="F305" s="1081">
        <v>116.0</v>
      </c>
      <c r="G305" s="1081">
        <v>64.4</v>
      </c>
      <c r="H305" s="1081">
        <v>0.0</v>
      </c>
      <c r="I305" s="1081">
        <v>29.0</v>
      </c>
      <c r="J305" s="1081">
        <v>0.0</v>
      </c>
      <c r="K305" s="579">
        <v>116.0</v>
      </c>
      <c r="L305" s="579">
        <v>114.0</v>
      </c>
      <c r="M305" s="579">
        <v>29.0</v>
      </c>
      <c r="N305" s="579">
        <v>52.2</v>
      </c>
      <c r="O305" s="579">
        <v>208.8</v>
      </c>
      <c r="P305" s="579">
        <v>182.7</v>
      </c>
      <c r="Q305" s="579">
        <v>52.2</v>
      </c>
      <c r="R305" s="579">
        <v>78.3</v>
      </c>
      <c r="S305" s="332">
        <v>1310.6</v>
      </c>
      <c r="T305" s="579">
        <v>663.0</v>
      </c>
      <c r="U305" s="1084">
        <v>78.0</v>
      </c>
      <c r="V305" s="1084">
        <v>351.0</v>
      </c>
      <c r="W305" s="1084">
        <v>78.0</v>
      </c>
      <c r="X305" s="1084">
        <v>351.0</v>
      </c>
      <c r="Y305" s="1084">
        <v>429.0</v>
      </c>
      <c r="Z305" s="1084">
        <v>273.0</v>
      </c>
      <c r="AA305" s="1084">
        <v>192.5</v>
      </c>
      <c r="AB305" s="1084">
        <v>156.0</v>
      </c>
      <c r="AC305" s="1084">
        <v>195.0</v>
      </c>
      <c r="AD305" s="1084">
        <v>387.5</v>
      </c>
      <c r="AE305" s="1084">
        <v>192.5</v>
      </c>
      <c r="AF305" s="888">
        <f t="shared" si="110"/>
        <v>6204.3</v>
      </c>
    </row>
    <row r="306" outlineLevel="1">
      <c r="A306" s="1071" t="s">
        <v>1009</v>
      </c>
      <c r="B306" s="1084">
        <v>112.0</v>
      </c>
      <c r="C306" s="1084">
        <v>224.0</v>
      </c>
      <c r="D306" s="1086">
        <v>392.0</v>
      </c>
      <c r="E306" s="1086">
        <v>336.0</v>
      </c>
      <c r="F306" s="1086">
        <v>336.0</v>
      </c>
      <c r="G306" s="1086">
        <v>504.0</v>
      </c>
      <c r="H306" s="1086">
        <v>336.0</v>
      </c>
      <c r="I306" s="1086">
        <v>189.0</v>
      </c>
      <c r="J306" s="1086">
        <v>0.0</v>
      </c>
      <c r="K306" s="1084">
        <v>420.0</v>
      </c>
      <c r="L306" s="1084">
        <v>308.0</v>
      </c>
      <c r="M306" s="1084">
        <v>210.0</v>
      </c>
      <c r="N306" s="1084">
        <v>189.0</v>
      </c>
      <c r="O306" s="1084">
        <v>252.0</v>
      </c>
      <c r="P306" s="1084">
        <v>378.0</v>
      </c>
      <c r="Q306" s="1084">
        <v>252.0</v>
      </c>
      <c r="R306" s="1084">
        <v>441.0</v>
      </c>
      <c r="S306" s="1084">
        <v>463.5</v>
      </c>
      <c r="T306" s="1084">
        <v>330.0</v>
      </c>
      <c r="U306" s="1084">
        <v>280.0</v>
      </c>
      <c r="V306" s="1084">
        <v>385.0</v>
      </c>
      <c r="W306" s="1084">
        <v>280.0</v>
      </c>
      <c r="X306" s="1084">
        <v>385.0</v>
      </c>
      <c r="Y306" s="1084">
        <v>210.0</v>
      </c>
      <c r="Z306" s="1084">
        <v>259.0</v>
      </c>
      <c r="AA306" s="1084">
        <v>238.0</v>
      </c>
      <c r="AB306" s="1084">
        <v>238.0</v>
      </c>
      <c r="AC306" s="1084">
        <v>119.0</v>
      </c>
      <c r="AD306" s="1084">
        <v>539.0</v>
      </c>
      <c r="AE306" s="1084">
        <v>140.0</v>
      </c>
      <c r="AF306" s="888">
        <f t="shared" si="110"/>
        <v>8745.5</v>
      </c>
    </row>
    <row r="307" outlineLevel="1">
      <c r="A307" s="1071" t="s">
        <v>1010</v>
      </c>
      <c r="B307" s="579">
        <v>168.0</v>
      </c>
      <c r="C307" s="579">
        <v>168.0</v>
      </c>
      <c r="D307" s="1081">
        <v>224.0</v>
      </c>
      <c r="E307" s="1081">
        <v>177.0</v>
      </c>
      <c r="F307" s="1081">
        <v>168.0</v>
      </c>
      <c r="G307" s="1081">
        <v>112.0</v>
      </c>
      <c r="H307" s="1081">
        <v>56.0</v>
      </c>
      <c r="I307" s="1081">
        <v>0.0</v>
      </c>
      <c r="J307" s="1086">
        <v>175.0</v>
      </c>
      <c r="K307" s="579">
        <v>70.0</v>
      </c>
      <c r="L307" s="579">
        <v>210.0</v>
      </c>
      <c r="M307" s="579">
        <v>0.0</v>
      </c>
      <c r="N307" s="579">
        <v>0.0</v>
      </c>
      <c r="O307" s="579">
        <v>56.0</v>
      </c>
      <c r="P307" s="579">
        <v>126.0</v>
      </c>
      <c r="Q307" s="579">
        <v>189.0</v>
      </c>
      <c r="R307" s="579">
        <v>126.0</v>
      </c>
      <c r="S307" s="579">
        <v>287.0</v>
      </c>
      <c r="T307" s="579">
        <v>0.0</v>
      </c>
      <c r="U307" s="1084">
        <v>189.0</v>
      </c>
      <c r="V307" s="1084">
        <v>189.0</v>
      </c>
      <c r="W307" s="1084">
        <v>189.0</v>
      </c>
      <c r="X307" s="1084">
        <v>189.0</v>
      </c>
      <c r="Y307" s="1084">
        <v>70.0</v>
      </c>
      <c r="Z307" s="1084">
        <v>0.0</v>
      </c>
      <c r="AA307" s="1084">
        <v>189.0</v>
      </c>
      <c r="AB307" s="1084">
        <v>0.0</v>
      </c>
      <c r="AC307" s="1084">
        <v>49.0</v>
      </c>
      <c r="AD307" s="1084">
        <v>0.0</v>
      </c>
      <c r="AE307" s="1084">
        <v>0.0</v>
      </c>
      <c r="AF307" s="888">
        <f t="shared" si="110"/>
        <v>3376</v>
      </c>
    </row>
    <row r="308" outlineLevel="1">
      <c r="A308" s="1071" t="s">
        <v>1011</v>
      </c>
      <c r="B308" s="1088"/>
      <c r="C308" s="1088"/>
      <c r="D308" s="1089"/>
      <c r="E308" s="1089"/>
      <c r="F308" s="1089"/>
      <c r="G308" s="1089"/>
      <c r="H308" s="1089"/>
      <c r="I308" s="1089"/>
      <c r="J308" s="1089"/>
      <c r="K308" s="1088"/>
      <c r="L308" s="1088"/>
      <c r="M308" s="1088"/>
      <c r="N308" s="1088"/>
      <c r="O308" s="1088"/>
      <c r="P308" s="1088"/>
      <c r="Q308" s="1088"/>
      <c r="R308" s="1088"/>
      <c r="S308" s="1084">
        <v>10565.5</v>
      </c>
      <c r="T308" s="1084">
        <v>4851.17</v>
      </c>
      <c r="U308" s="1084">
        <v>2246.67</v>
      </c>
      <c r="V308" s="1084">
        <v>1466.67</v>
      </c>
      <c r="W308" s="1084">
        <v>2246.67</v>
      </c>
      <c r="X308" s="1084">
        <v>1466.67</v>
      </c>
      <c r="Y308" s="1084">
        <v>1269.0</v>
      </c>
      <c r="Z308" s="1084">
        <v>986.0</v>
      </c>
      <c r="AA308" s="1084">
        <v>662.0</v>
      </c>
      <c r="AB308" s="1084">
        <v>860.0</v>
      </c>
      <c r="AC308" s="1084">
        <v>754.0</v>
      </c>
      <c r="AD308" s="1084">
        <v>748.17</v>
      </c>
      <c r="AE308" s="1084">
        <v>707.18</v>
      </c>
      <c r="AF308" s="888">
        <f t="shared" si="110"/>
        <v>28829.7</v>
      </c>
    </row>
    <row r="309" outlineLevel="1">
      <c r="A309" s="1071" t="s">
        <v>1012</v>
      </c>
      <c r="B309" s="1088"/>
      <c r="C309" s="1088"/>
      <c r="D309" s="1089"/>
      <c r="E309" s="1089"/>
      <c r="F309" s="1089"/>
      <c r="G309" s="1089"/>
      <c r="H309" s="1089"/>
      <c r="I309" s="1089"/>
      <c r="J309" s="1089"/>
      <c r="K309" s="1088"/>
      <c r="L309" s="1088"/>
      <c r="M309" s="1088"/>
      <c r="N309" s="1088"/>
      <c r="O309" s="1088"/>
      <c r="P309" s="1088"/>
      <c r="Q309" s="1088"/>
      <c r="R309" s="1088"/>
      <c r="S309" s="332">
        <v>2572.3</v>
      </c>
      <c r="T309" s="579">
        <v>1537.0</v>
      </c>
      <c r="U309" s="1084">
        <v>580.0</v>
      </c>
      <c r="V309" s="1084">
        <v>372.0</v>
      </c>
      <c r="W309" s="1084">
        <v>580.0</v>
      </c>
      <c r="X309" s="1084">
        <v>372.0</v>
      </c>
      <c r="Y309" s="1084">
        <v>464.0</v>
      </c>
      <c r="Z309" s="1084">
        <v>348.0</v>
      </c>
      <c r="AA309" s="1084">
        <v>345.5</v>
      </c>
      <c r="AB309" s="1084">
        <v>311.5</v>
      </c>
      <c r="AC309" s="1084">
        <v>319.0</v>
      </c>
      <c r="AD309" s="1084">
        <v>203.0</v>
      </c>
      <c r="AE309" s="1084">
        <v>252.67</v>
      </c>
      <c r="AF309" s="888">
        <f t="shared" si="110"/>
        <v>8256.97</v>
      </c>
    </row>
    <row r="310">
      <c r="A310" s="1090" t="s">
        <v>95</v>
      </c>
      <c r="B310" s="274">
        <f t="shared" ref="B310:R310" si="111">SUM(B301:B306)</f>
        <v>795.5</v>
      </c>
      <c r="C310" s="274">
        <f t="shared" si="111"/>
        <v>1483.8</v>
      </c>
      <c r="D310" s="274">
        <f t="shared" si="111"/>
        <v>2095</v>
      </c>
      <c r="E310" s="274">
        <f t="shared" si="111"/>
        <v>1818</v>
      </c>
      <c r="F310" s="274">
        <f t="shared" si="111"/>
        <v>1669.6</v>
      </c>
      <c r="G310" s="274">
        <f t="shared" si="111"/>
        <v>1649.2</v>
      </c>
      <c r="H310" s="274">
        <f t="shared" si="111"/>
        <v>1099.4</v>
      </c>
      <c r="I310" s="274">
        <f t="shared" si="111"/>
        <v>850</v>
      </c>
      <c r="J310" s="274">
        <f t="shared" si="111"/>
        <v>566.5</v>
      </c>
      <c r="K310" s="274">
        <f t="shared" si="111"/>
        <v>1601.4</v>
      </c>
      <c r="L310" s="274">
        <f t="shared" si="111"/>
        <v>1671.5</v>
      </c>
      <c r="M310" s="274">
        <f t="shared" si="111"/>
        <v>1127.5</v>
      </c>
      <c r="N310" s="274">
        <f t="shared" si="111"/>
        <v>854.1</v>
      </c>
      <c r="O310" s="274">
        <f t="shared" si="111"/>
        <v>1349.1</v>
      </c>
      <c r="P310" s="274">
        <f t="shared" si="111"/>
        <v>1365.3</v>
      </c>
      <c r="Q310" s="274">
        <f t="shared" si="111"/>
        <v>1403</v>
      </c>
      <c r="R310" s="274">
        <f t="shared" si="111"/>
        <v>1310.4</v>
      </c>
      <c r="S310" s="274">
        <f t="shared" ref="S310:T310" si="112">SUM(S301:S309)</f>
        <v>18799</v>
      </c>
      <c r="T310" s="274">
        <f t="shared" si="112"/>
        <v>9682.34</v>
      </c>
      <c r="U310" s="274">
        <f t="shared" ref="U310:AE310" si="113">SUM(U301:U306)</f>
        <v>1751.67</v>
      </c>
      <c r="V310" s="274">
        <f t="shared" si="113"/>
        <v>2095.67</v>
      </c>
      <c r="W310" s="274">
        <f t="shared" si="113"/>
        <v>1751.67</v>
      </c>
      <c r="X310" s="274">
        <f t="shared" si="113"/>
        <v>2095.67</v>
      </c>
      <c r="Y310" s="274">
        <f t="shared" si="113"/>
        <v>1848.34</v>
      </c>
      <c r="Z310" s="274">
        <f t="shared" si="113"/>
        <v>1441</v>
      </c>
      <c r="AA310" s="274">
        <f t="shared" si="113"/>
        <v>1084.8</v>
      </c>
      <c r="AB310" s="274">
        <f t="shared" si="113"/>
        <v>1465.5</v>
      </c>
      <c r="AC310" s="274">
        <f t="shared" si="113"/>
        <v>1262</v>
      </c>
      <c r="AD310" s="274">
        <f t="shared" si="113"/>
        <v>1740.37</v>
      </c>
      <c r="AE310" s="274">
        <f t="shared" si="113"/>
        <v>1268.34</v>
      </c>
      <c r="AF310" s="888">
        <f t="shared" si="110"/>
        <v>68995.67</v>
      </c>
    </row>
    <row r="311">
      <c r="A311" s="20"/>
      <c r="B311" s="580"/>
      <c r="C311" s="580"/>
      <c r="D311" s="580"/>
      <c r="E311" s="580"/>
      <c r="F311" s="580"/>
      <c r="G311" s="580"/>
      <c r="H311" s="580"/>
      <c r="I311" s="580"/>
      <c r="J311" s="580"/>
      <c r="K311" s="580"/>
      <c r="L311" s="580"/>
      <c r="M311" s="580"/>
      <c r="N311" s="580"/>
      <c r="O311" s="580"/>
      <c r="P311" s="580"/>
      <c r="Q311" s="580"/>
      <c r="R311" s="580"/>
      <c r="S311" s="580"/>
      <c r="T311" s="580"/>
      <c r="U311" s="580"/>
      <c r="V311" s="580"/>
      <c r="W311" s="580"/>
      <c r="X311" s="580"/>
      <c r="Y311" s="580"/>
      <c r="Z311" s="580"/>
      <c r="AA311" s="580"/>
      <c r="AB311" s="580"/>
      <c r="AC311" s="580"/>
      <c r="AD311" s="580"/>
      <c r="AE311" s="580"/>
      <c r="AF311" s="888"/>
    </row>
    <row r="312">
      <c r="A312" s="1071" t="s">
        <v>1013</v>
      </c>
      <c r="B312" s="1072"/>
      <c r="C312" s="1072"/>
      <c r="D312" s="1073"/>
      <c r="E312" s="1073"/>
      <c r="F312" s="1073"/>
      <c r="G312" s="1073"/>
      <c r="H312" s="1073"/>
      <c r="I312" s="1073"/>
      <c r="J312" s="1073"/>
      <c r="K312" s="1072"/>
      <c r="L312" s="1072"/>
      <c r="M312" s="1072"/>
      <c r="N312" s="1072"/>
      <c r="O312" s="1072"/>
      <c r="P312" s="1072"/>
      <c r="Q312" s="1072"/>
      <c r="R312" s="1072"/>
      <c r="S312" s="1072"/>
      <c r="T312" s="1072"/>
      <c r="U312" s="1072"/>
      <c r="V312" s="1072"/>
      <c r="W312" s="1072"/>
      <c r="X312" s="1072"/>
      <c r="Y312" s="1072"/>
      <c r="Z312" s="1072"/>
      <c r="AA312" s="1072"/>
      <c r="AB312" s="1072"/>
      <c r="AC312" s="1072"/>
      <c r="AD312" s="1072"/>
      <c r="AE312" s="1072"/>
      <c r="AF312" s="888"/>
    </row>
    <row r="313" outlineLevel="1">
      <c r="A313" s="1071" t="s">
        <v>968</v>
      </c>
      <c r="B313" s="579">
        <v>19.2</v>
      </c>
      <c r="C313" s="1085">
        <v>115.2</v>
      </c>
      <c r="D313" s="1081">
        <v>134.4</v>
      </c>
      <c r="E313" s="1086">
        <v>134.4</v>
      </c>
      <c r="F313" s="1081">
        <v>96.0</v>
      </c>
      <c r="G313" s="1081">
        <v>19.2</v>
      </c>
      <c r="H313" s="1081">
        <v>57.5</v>
      </c>
      <c r="I313" s="1081">
        <v>48.0</v>
      </c>
      <c r="J313" s="1081">
        <v>72.0</v>
      </c>
      <c r="K313" s="579">
        <v>120.0</v>
      </c>
      <c r="L313" s="579">
        <v>72.0</v>
      </c>
      <c r="M313" s="579">
        <v>45.5</v>
      </c>
      <c r="N313" s="579">
        <v>86.4</v>
      </c>
      <c r="O313" s="579">
        <v>21.6</v>
      </c>
      <c r="P313" s="579">
        <v>0.0</v>
      </c>
      <c r="Q313" s="579">
        <v>86.4</v>
      </c>
      <c r="R313" s="579">
        <v>21.6</v>
      </c>
      <c r="S313" s="579">
        <v>45.6</v>
      </c>
      <c r="T313" s="1091">
        <v>144.0</v>
      </c>
      <c r="U313" s="579">
        <v>48.0</v>
      </c>
      <c r="V313" s="579">
        <v>0.0</v>
      </c>
      <c r="W313" s="579">
        <v>48.0</v>
      </c>
      <c r="X313" s="579">
        <v>0.0</v>
      </c>
      <c r="Y313" s="579">
        <v>96.0</v>
      </c>
      <c r="Z313" s="579">
        <v>144.0</v>
      </c>
      <c r="AA313" s="579">
        <v>72.0</v>
      </c>
      <c r="AB313" s="579">
        <v>24.0</v>
      </c>
      <c r="AC313" s="579">
        <v>96.0</v>
      </c>
      <c r="AD313" s="579">
        <v>48.0</v>
      </c>
      <c r="AE313" s="579">
        <v>24.0</v>
      </c>
      <c r="AF313" s="888">
        <f t="shared" ref="AF313:AF322" si="114">SUM(B313:AE313)</f>
        <v>1939</v>
      </c>
    </row>
    <row r="314" outlineLevel="1">
      <c r="A314" s="1071" t="s">
        <v>969</v>
      </c>
      <c r="B314" s="1077"/>
      <c r="C314" s="1077"/>
      <c r="D314" s="1077"/>
      <c r="E314" s="1077"/>
      <c r="F314" s="1077"/>
      <c r="G314" s="1077"/>
      <c r="H314" s="1077"/>
      <c r="I314" s="1077"/>
      <c r="J314" s="1077"/>
      <c r="K314" s="1077"/>
      <c r="L314" s="1077"/>
      <c r="M314" s="1077"/>
      <c r="N314" s="1077"/>
      <c r="O314" s="1077"/>
      <c r="P314" s="1077"/>
      <c r="Q314" s="1077"/>
      <c r="R314" s="1077"/>
      <c r="S314" s="1077"/>
      <c r="T314" s="1077"/>
      <c r="U314" s="1077"/>
      <c r="V314" s="1077"/>
      <c r="W314" s="1077"/>
      <c r="X314" s="1077"/>
      <c r="Y314" s="1077"/>
      <c r="Z314" s="1077"/>
      <c r="AA314" s="1077"/>
      <c r="AB314" s="1077"/>
      <c r="AC314" s="1077"/>
      <c r="AD314" s="1077"/>
      <c r="AE314" s="1077"/>
      <c r="AF314" s="888">
        <f t="shared" si="114"/>
        <v>0</v>
      </c>
    </row>
    <row r="315" outlineLevel="1">
      <c r="A315" s="1071" t="s">
        <v>970</v>
      </c>
      <c r="B315" s="579">
        <v>11.2</v>
      </c>
      <c r="C315" s="1084">
        <v>44.8</v>
      </c>
      <c r="D315" s="1081">
        <v>56.0</v>
      </c>
      <c r="E315" s="1086">
        <v>33.6</v>
      </c>
      <c r="F315" s="1081">
        <v>33.6</v>
      </c>
      <c r="G315" s="1081">
        <v>11.2</v>
      </c>
      <c r="H315" s="1081">
        <v>50.7</v>
      </c>
      <c r="I315" s="1081">
        <v>14.0</v>
      </c>
      <c r="J315" s="1081">
        <v>28.0</v>
      </c>
      <c r="K315" s="579">
        <v>42.0</v>
      </c>
      <c r="L315" s="579">
        <v>0.0</v>
      </c>
      <c r="M315" s="579">
        <v>25.5</v>
      </c>
      <c r="N315" s="579">
        <v>25.2</v>
      </c>
      <c r="O315" s="579">
        <v>25.2</v>
      </c>
      <c r="P315" s="579">
        <v>0.0</v>
      </c>
      <c r="Q315" s="579">
        <v>12.6</v>
      </c>
      <c r="R315" s="579">
        <v>0.0</v>
      </c>
      <c r="S315" s="579">
        <v>70.0</v>
      </c>
      <c r="T315" s="579">
        <v>84.0</v>
      </c>
      <c r="U315" s="579">
        <v>42.0</v>
      </c>
      <c r="V315" s="579">
        <v>0.0</v>
      </c>
      <c r="W315" s="579">
        <v>42.0</v>
      </c>
      <c r="X315" s="579">
        <v>0.0</v>
      </c>
      <c r="Y315" s="1084">
        <v>56.0</v>
      </c>
      <c r="Z315" s="579">
        <v>84.0</v>
      </c>
      <c r="AA315" s="579">
        <v>42.0</v>
      </c>
      <c r="AB315" s="579">
        <v>56.0</v>
      </c>
      <c r="AC315" s="579">
        <v>56.0</v>
      </c>
      <c r="AD315" s="579">
        <v>42.0</v>
      </c>
      <c r="AE315" s="579">
        <v>28.0</v>
      </c>
      <c r="AF315" s="888">
        <f t="shared" si="114"/>
        <v>1015.6</v>
      </c>
    </row>
    <row r="316" outlineLevel="1">
      <c r="A316" s="1071" t="s">
        <v>1014</v>
      </c>
      <c r="B316" s="579">
        <v>23.2</v>
      </c>
      <c r="C316" s="1084">
        <v>23.2</v>
      </c>
      <c r="D316" s="1081">
        <v>69.6</v>
      </c>
      <c r="E316" s="1086">
        <v>69.6</v>
      </c>
      <c r="F316" s="1081">
        <v>69.6</v>
      </c>
      <c r="G316" s="1081">
        <v>23.2</v>
      </c>
      <c r="H316" s="1081">
        <v>55.5</v>
      </c>
      <c r="I316" s="1081">
        <v>29.0</v>
      </c>
      <c r="J316" s="1081">
        <v>116.0</v>
      </c>
      <c r="K316" s="579">
        <v>87.0</v>
      </c>
      <c r="L316" s="579">
        <v>0.0</v>
      </c>
      <c r="M316" s="579">
        <v>55.5</v>
      </c>
      <c r="N316" s="579">
        <v>78.3</v>
      </c>
      <c r="O316" s="579">
        <v>26.1</v>
      </c>
      <c r="P316" s="579">
        <v>26.1</v>
      </c>
      <c r="Q316" s="579">
        <v>26.1</v>
      </c>
      <c r="R316" s="579">
        <v>0.0</v>
      </c>
      <c r="S316" s="579">
        <v>599.0</v>
      </c>
      <c r="T316" s="579">
        <v>156.0</v>
      </c>
      <c r="U316" s="579">
        <v>0.0</v>
      </c>
      <c r="V316" s="579">
        <v>78.0</v>
      </c>
      <c r="W316" s="579">
        <v>0.0</v>
      </c>
      <c r="X316" s="579">
        <v>78.0</v>
      </c>
      <c r="Y316" s="579">
        <v>78.0</v>
      </c>
      <c r="Z316" s="579">
        <v>78.0</v>
      </c>
      <c r="AA316" s="579">
        <v>78.0</v>
      </c>
      <c r="AB316" s="579">
        <v>0.0</v>
      </c>
      <c r="AC316" s="579">
        <v>117.0</v>
      </c>
      <c r="AD316" s="579">
        <v>39.0</v>
      </c>
      <c r="AE316" s="579">
        <v>0.0</v>
      </c>
      <c r="AF316" s="888">
        <f t="shared" si="114"/>
        <v>2079</v>
      </c>
    </row>
    <row r="317" outlineLevel="1">
      <c r="A317" s="1071" t="s">
        <v>1015</v>
      </c>
      <c r="B317" s="579">
        <v>0.0</v>
      </c>
      <c r="C317" s="579">
        <v>0.0</v>
      </c>
      <c r="D317" s="1081">
        <v>0.0</v>
      </c>
      <c r="E317" s="1081">
        <v>0.0</v>
      </c>
      <c r="F317" s="1081">
        <v>0.0</v>
      </c>
      <c r="G317" s="1081">
        <v>0.0</v>
      </c>
      <c r="H317" s="1081">
        <v>29.0</v>
      </c>
      <c r="I317" s="1081">
        <v>0.0</v>
      </c>
      <c r="J317" s="1081">
        <v>0.0</v>
      </c>
      <c r="K317" s="579">
        <v>29.0</v>
      </c>
      <c r="L317" s="579">
        <v>0.0</v>
      </c>
      <c r="M317" s="579">
        <v>0.0</v>
      </c>
      <c r="N317" s="579">
        <v>0.0</v>
      </c>
      <c r="O317" s="579">
        <v>0.0</v>
      </c>
      <c r="P317" s="579">
        <v>0.0</v>
      </c>
      <c r="Q317" s="579">
        <v>0.0</v>
      </c>
      <c r="R317" s="579">
        <v>0.0</v>
      </c>
      <c r="S317" s="579">
        <v>117.0</v>
      </c>
      <c r="T317" s="579">
        <v>195.0</v>
      </c>
      <c r="U317" s="579">
        <v>0.0</v>
      </c>
      <c r="V317" s="579">
        <v>39.0</v>
      </c>
      <c r="W317" s="579">
        <v>0.0</v>
      </c>
      <c r="X317" s="579">
        <v>39.0</v>
      </c>
      <c r="Y317" s="579">
        <v>0.0</v>
      </c>
      <c r="Z317" s="579">
        <v>78.0</v>
      </c>
      <c r="AA317" s="579">
        <v>39.0</v>
      </c>
      <c r="AB317" s="579">
        <v>78.0</v>
      </c>
      <c r="AC317" s="579">
        <v>0.0</v>
      </c>
      <c r="AD317" s="579">
        <v>39.0</v>
      </c>
      <c r="AE317" s="579">
        <v>0.0</v>
      </c>
      <c r="AF317" s="888">
        <f t="shared" si="114"/>
        <v>682</v>
      </c>
    </row>
    <row r="318" outlineLevel="1">
      <c r="A318" s="1071" t="s">
        <v>1016</v>
      </c>
      <c r="B318" s="579">
        <v>56.0</v>
      </c>
      <c r="C318" s="1084">
        <v>56.0</v>
      </c>
      <c r="D318" s="1081">
        <v>56.0</v>
      </c>
      <c r="E318" s="1086">
        <v>0.0</v>
      </c>
      <c r="F318" s="1081">
        <v>0.0</v>
      </c>
      <c r="G318" s="1081">
        <v>112.0</v>
      </c>
      <c r="H318" s="1081">
        <v>0.0</v>
      </c>
      <c r="I318" s="1081">
        <v>0.0</v>
      </c>
      <c r="J318" s="1081">
        <v>140.0</v>
      </c>
      <c r="K318" s="579">
        <v>0.0</v>
      </c>
      <c r="L318" s="579">
        <v>70.0</v>
      </c>
      <c r="M318" s="579">
        <v>0.0</v>
      </c>
      <c r="N318" s="579">
        <v>0.0</v>
      </c>
      <c r="O318" s="579">
        <v>0.0</v>
      </c>
      <c r="P318" s="579">
        <v>0.0</v>
      </c>
      <c r="Q318" s="579">
        <v>0.0</v>
      </c>
      <c r="R318" s="579">
        <v>0.0</v>
      </c>
      <c r="S318" s="579">
        <v>0.0</v>
      </c>
      <c r="T318" s="579">
        <v>140.0</v>
      </c>
      <c r="U318" s="579">
        <v>70.0</v>
      </c>
      <c r="V318" s="579">
        <v>70.0</v>
      </c>
      <c r="W318" s="579">
        <v>70.0</v>
      </c>
      <c r="X318" s="579">
        <v>70.0</v>
      </c>
      <c r="Y318" s="579">
        <v>140.0</v>
      </c>
      <c r="Z318" s="579">
        <v>0.0</v>
      </c>
      <c r="AA318" s="579">
        <v>1.4</v>
      </c>
      <c r="AB318" s="579">
        <v>0.0</v>
      </c>
      <c r="AC318" s="579">
        <v>66.67</v>
      </c>
      <c r="AD318" s="579">
        <v>0.0</v>
      </c>
      <c r="AE318" s="579">
        <v>0.0</v>
      </c>
      <c r="AF318" s="888">
        <f t="shared" si="114"/>
        <v>1118.07</v>
      </c>
    </row>
    <row r="319" outlineLevel="1">
      <c r="A319" s="1071" t="s">
        <v>1017</v>
      </c>
      <c r="B319" s="579">
        <v>0.0</v>
      </c>
      <c r="C319" s="579">
        <v>0.0</v>
      </c>
      <c r="D319" s="1081">
        <v>0.0</v>
      </c>
      <c r="E319" s="1081">
        <v>0.0</v>
      </c>
      <c r="F319" s="1081">
        <v>0.0</v>
      </c>
      <c r="G319" s="1081">
        <v>56.0</v>
      </c>
      <c r="H319" s="1081">
        <v>0.0</v>
      </c>
      <c r="I319" s="1081">
        <v>0.0</v>
      </c>
      <c r="J319" s="1081">
        <v>0.0</v>
      </c>
      <c r="K319" s="579">
        <v>0.0</v>
      </c>
      <c r="L319" s="579">
        <v>0.0</v>
      </c>
      <c r="M319" s="579">
        <v>0.0</v>
      </c>
      <c r="N319" s="579">
        <v>0.0</v>
      </c>
      <c r="O319" s="579">
        <v>0.0</v>
      </c>
      <c r="P319" s="579">
        <v>0.0</v>
      </c>
      <c r="Q319" s="579">
        <v>0.0</v>
      </c>
      <c r="R319" s="579">
        <v>0.0</v>
      </c>
      <c r="S319" s="579">
        <v>140.0</v>
      </c>
      <c r="T319" s="579">
        <v>0.0</v>
      </c>
      <c r="U319" s="579">
        <v>70.0</v>
      </c>
      <c r="V319" s="579">
        <v>70.0</v>
      </c>
      <c r="W319" s="579">
        <v>70.0</v>
      </c>
      <c r="X319" s="579">
        <v>70.0</v>
      </c>
      <c r="Y319" s="579">
        <v>0.0</v>
      </c>
      <c r="Z319" s="579">
        <v>0.0</v>
      </c>
      <c r="AA319" s="579">
        <v>0.0</v>
      </c>
      <c r="AB319" s="579">
        <v>70.0</v>
      </c>
      <c r="AC319" s="579">
        <v>0.0</v>
      </c>
      <c r="AD319" s="579">
        <v>0.0</v>
      </c>
      <c r="AE319" s="579">
        <v>0.0</v>
      </c>
      <c r="AF319" s="888">
        <f t="shared" si="114"/>
        <v>546</v>
      </c>
    </row>
    <row r="320" outlineLevel="1">
      <c r="A320" s="1071" t="s">
        <v>1018</v>
      </c>
      <c r="B320" s="71"/>
      <c r="C320" s="1088"/>
      <c r="D320" s="1092"/>
      <c r="E320" s="1089"/>
      <c r="F320" s="1092"/>
      <c r="G320" s="1092"/>
      <c r="H320" s="1092"/>
      <c r="I320" s="1092"/>
      <c r="J320" s="1092"/>
      <c r="K320" s="71"/>
      <c r="L320" s="71"/>
      <c r="M320" s="71"/>
      <c r="N320" s="71"/>
      <c r="O320" s="71"/>
      <c r="P320" s="71"/>
      <c r="Q320" s="71"/>
      <c r="R320" s="71"/>
      <c r="S320" s="579">
        <v>1686.0</v>
      </c>
      <c r="T320" s="579">
        <v>729.0</v>
      </c>
      <c r="U320" s="579">
        <v>555.0</v>
      </c>
      <c r="V320" s="579">
        <v>306.5</v>
      </c>
      <c r="W320" s="579">
        <v>555.0</v>
      </c>
      <c r="X320" s="579">
        <v>306.5</v>
      </c>
      <c r="Y320" s="579">
        <v>290.0</v>
      </c>
      <c r="Z320" s="579">
        <v>116.0</v>
      </c>
      <c r="AA320" s="579">
        <v>58.0</v>
      </c>
      <c r="AB320" s="579">
        <v>116.0</v>
      </c>
      <c r="AC320" s="579">
        <v>228.67</v>
      </c>
      <c r="AD320" s="579">
        <v>116.0</v>
      </c>
      <c r="AE320" s="579">
        <v>29.0</v>
      </c>
      <c r="AF320" s="888">
        <f t="shared" si="114"/>
        <v>5091.67</v>
      </c>
    </row>
    <row r="321" outlineLevel="1">
      <c r="A321" s="1071" t="s">
        <v>1019</v>
      </c>
      <c r="B321" s="71"/>
      <c r="C321" s="1088"/>
      <c r="D321" s="1092"/>
      <c r="E321" s="1089"/>
      <c r="F321" s="1092"/>
      <c r="G321" s="1092"/>
      <c r="H321" s="1092"/>
      <c r="I321" s="1092"/>
      <c r="J321" s="1092"/>
      <c r="K321" s="71"/>
      <c r="L321" s="71"/>
      <c r="M321" s="71"/>
      <c r="N321" s="71"/>
      <c r="O321" s="71"/>
      <c r="P321" s="71"/>
      <c r="Q321" s="71"/>
      <c r="R321" s="71"/>
      <c r="S321" s="579">
        <v>377.0</v>
      </c>
      <c r="T321" s="579">
        <v>145.0</v>
      </c>
      <c r="U321" s="579">
        <v>58.0</v>
      </c>
      <c r="V321" s="579">
        <v>74.5</v>
      </c>
      <c r="W321" s="579">
        <v>58.0</v>
      </c>
      <c r="X321" s="579">
        <v>74.5</v>
      </c>
      <c r="Y321" s="579">
        <v>87.0</v>
      </c>
      <c r="Z321" s="579">
        <v>87.0</v>
      </c>
      <c r="AA321" s="579">
        <v>58.0</v>
      </c>
      <c r="AB321" s="579">
        <v>29.0</v>
      </c>
      <c r="AC321" s="579">
        <v>29.0</v>
      </c>
      <c r="AD321" s="579">
        <v>0.0</v>
      </c>
      <c r="AE321" s="579">
        <v>87.0</v>
      </c>
      <c r="AF321" s="888">
        <f t="shared" si="114"/>
        <v>1164</v>
      </c>
    </row>
    <row r="322">
      <c r="A322" s="1090" t="s">
        <v>95</v>
      </c>
      <c r="B322" s="274">
        <f t="shared" ref="B322:R322" si="115">SUM(B313:B318)</f>
        <v>109.6</v>
      </c>
      <c r="C322" s="274">
        <f t="shared" si="115"/>
        <v>239.2</v>
      </c>
      <c r="D322" s="274">
        <f t="shared" si="115"/>
        <v>316</v>
      </c>
      <c r="E322" s="274">
        <f t="shared" si="115"/>
        <v>237.6</v>
      </c>
      <c r="F322" s="274">
        <f t="shared" si="115"/>
        <v>199.2</v>
      </c>
      <c r="G322" s="274">
        <f t="shared" si="115"/>
        <v>165.6</v>
      </c>
      <c r="H322" s="274">
        <f t="shared" si="115"/>
        <v>192.7</v>
      </c>
      <c r="I322" s="274">
        <f t="shared" si="115"/>
        <v>91</v>
      </c>
      <c r="J322" s="274">
        <f t="shared" si="115"/>
        <v>356</v>
      </c>
      <c r="K322" s="274">
        <f t="shared" si="115"/>
        <v>278</v>
      </c>
      <c r="L322" s="274">
        <f t="shared" si="115"/>
        <v>142</v>
      </c>
      <c r="M322" s="274">
        <f t="shared" si="115"/>
        <v>126.5</v>
      </c>
      <c r="N322" s="274">
        <f t="shared" si="115"/>
        <v>189.9</v>
      </c>
      <c r="O322" s="274">
        <f t="shared" si="115"/>
        <v>72.9</v>
      </c>
      <c r="P322" s="274">
        <f t="shared" si="115"/>
        <v>26.1</v>
      </c>
      <c r="Q322" s="274">
        <f t="shared" si="115"/>
        <v>125.1</v>
      </c>
      <c r="R322" s="274">
        <f t="shared" si="115"/>
        <v>21.6</v>
      </c>
      <c r="S322" s="274">
        <f t="shared" ref="S322:T322" si="116">SUM(S313:S321)</f>
        <v>3034.6</v>
      </c>
      <c r="T322" s="274">
        <f t="shared" si="116"/>
        <v>1593</v>
      </c>
      <c r="U322" s="274">
        <f t="shared" ref="U322:AE322" si="117">SUM(U313:U318)</f>
        <v>160</v>
      </c>
      <c r="V322" s="274">
        <f t="shared" si="117"/>
        <v>187</v>
      </c>
      <c r="W322" s="274">
        <f t="shared" si="117"/>
        <v>160</v>
      </c>
      <c r="X322" s="274">
        <f t="shared" si="117"/>
        <v>187</v>
      </c>
      <c r="Y322" s="274">
        <f t="shared" si="117"/>
        <v>370</v>
      </c>
      <c r="Z322" s="274">
        <f t="shared" si="117"/>
        <v>384</v>
      </c>
      <c r="AA322" s="274">
        <f t="shared" si="117"/>
        <v>232.4</v>
      </c>
      <c r="AB322" s="274">
        <f t="shared" si="117"/>
        <v>158</v>
      </c>
      <c r="AC322" s="274">
        <f t="shared" si="117"/>
        <v>335.67</v>
      </c>
      <c r="AD322" s="274">
        <f t="shared" si="117"/>
        <v>168</v>
      </c>
      <c r="AE322" s="274">
        <f t="shared" si="117"/>
        <v>52</v>
      </c>
      <c r="AF322" s="888">
        <f t="shared" si="114"/>
        <v>9910.67</v>
      </c>
    </row>
    <row r="323">
      <c r="A323" s="20"/>
      <c r="B323" s="580"/>
      <c r="C323" s="580"/>
      <c r="D323" s="580"/>
      <c r="E323" s="580"/>
      <c r="F323" s="580"/>
      <c r="G323" s="580"/>
      <c r="H323" s="580"/>
      <c r="I323" s="580"/>
      <c r="J323" s="580"/>
      <c r="K323" s="580"/>
      <c r="L323" s="580"/>
      <c r="M323" s="580"/>
      <c r="N323" s="580"/>
      <c r="O323" s="580"/>
      <c r="P323" s="580"/>
      <c r="Q323" s="580"/>
      <c r="R323" s="580"/>
      <c r="S323" s="580"/>
      <c r="T323" s="580"/>
      <c r="U323" s="580"/>
      <c r="V323" s="580"/>
      <c r="W323" s="580"/>
      <c r="X323" s="580"/>
      <c r="Y323" s="580"/>
      <c r="Z323" s="580"/>
      <c r="AA323" s="580"/>
      <c r="AB323" s="580"/>
      <c r="AC323" s="580"/>
      <c r="AD323" s="580"/>
      <c r="AE323" s="580"/>
      <c r="AF323" s="888"/>
    </row>
    <row r="324" collapsed="1">
      <c r="A324" s="1071" t="s">
        <v>1020</v>
      </c>
      <c r="B324" s="681"/>
      <c r="C324" s="61"/>
      <c r="D324" s="681"/>
      <c r="E324" s="61"/>
      <c r="F324" s="61"/>
      <c r="G324" s="61"/>
      <c r="H324" s="61"/>
      <c r="I324" s="61"/>
      <c r="J324" s="681"/>
      <c r="K324" s="681"/>
      <c r="L324" s="681"/>
      <c r="M324" s="681"/>
      <c r="N324" s="681"/>
      <c r="O324" s="681"/>
      <c r="P324" s="681"/>
      <c r="Q324" s="681"/>
      <c r="R324" s="681"/>
      <c r="S324" s="681"/>
      <c r="T324" s="681"/>
      <c r="U324" s="681"/>
      <c r="V324" s="681"/>
      <c r="W324" s="681"/>
      <c r="X324" s="681"/>
      <c r="Y324" s="681"/>
      <c r="Z324" s="681"/>
      <c r="AA324" s="681"/>
      <c r="AB324" s="681"/>
      <c r="AC324" s="681"/>
      <c r="AD324" s="681"/>
      <c r="AE324" s="681"/>
      <c r="AF324" s="888"/>
    </row>
    <row r="325" hidden="1" outlineLevel="1">
      <c r="A325" s="1071" t="s">
        <v>979</v>
      </c>
      <c r="B325" s="681"/>
      <c r="C325" s="61"/>
      <c r="D325" s="681"/>
      <c r="E325" s="61"/>
      <c r="F325" s="61"/>
      <c r="G325" s="61"/>
      <c r="H325" s="61"/>
      <c r="I325" s="61"/>
      <c r="J325" s="681"/>
      <c r="K325" s="681"/>
      <c r="L325" s="681"/>
      <c r="M325" s="681"/>
      <c r="N325" s="681"/>
      <c r="O325" s="681"/>
      <c r="P325" s="681"/>
      <c r="Q325" s="681"/>
      <c r="R325" s="681"/>
      <c r="S325" s="681"/>
      <c r="T325" s="681"/>
      <c r="U325" s="681"/>
      <c r="V325" s="681"/>
      <c r="W325" s="681"/>
      <c r="X325" s="681"/>
      <c r="Y325" s="681"/>
      <c r="Z325" s="681"/>
      <c r="AA325" s="681"/>
      <c r="AB325" s="681"/>
      <c r="AC325" s="681"/>
      <c r="AD325" s="681"/>
      <c r="AE325" s="681"/>
      <c r="AF325" s="888">
        <f t="shared" ref="AF325:AF328" si="118">SUM(B325:AE325)</f>
        <v>0</v>
      </c>
    </row>
    <row r="326" hidden="1" outlineLevel="1">
      <c r="A326" s="1071" t="s">
        <v>980</v>
      </c>
      <c r="B326" s="681"/>
      <c r="C326" s="681"/>
      <c r="D326" s="61"/>
      <c r="E326" s="61"/>
      <c r="F326" s="61"/>
      <c r="G326" s="61"/>
      <c r="H326" s="61"/>
      <c r="I326" s="61"/>
      <c r="J326" s="681"/>
      <c r="K326" s="681"/>
      <c r="L326" s="681"/>
      <c r="M326" s="681"/>
      <c r="N326" s="681"/>
      <c r="O326" s="681"/>
      <c r="P326" s="681"/>
      <c r="Q326" s="681"/>
      <c r="R326" s="681"/>
      <c r="S326" s="681"/>
      <c r="T326" s="681"/>
      <c r="U326" s="681"/>
      <c r="V326" s="681"/>
      <c r="W326" s="681"/>
      <c r="X326" s="681"/>
      <c r="Y326" s="681"/>
      <c r="Z326" s="681"/>
      <c r="AA326" s="681"/>
      <c r="AB326" s="681"/>
      <c r="AC326" s="681"/>
      <c r="AD326" s="681"/>
      <c r="AE326" s="681"/>
      <c r="AF326" s="888">
        <f t="shared" si="118"/>
        <v>0</v>
      </c>
    </row>
    <row r="327" hidden="1" outlineLevel="1">
      <c r="A327" s="1071" t="s">
        <v>981</v>
      </c>
      <c r="B327" s="681"/>
      <c r="C327" s="61"/>
      <c r="D327" s="681"/>
      <c r="E327" s="61"/>
      <c r="F327" s="61"/>
      <c r="G327" s="61"/>
      <c r="H327" s="61"/>
      <c r="I327" s="61"/>
      <c r="J327" s="681"/>
      <c r="K327" s="681"/>
      <c r="L327" s="681"/>
      <c r="M327" s="681"/>
      <c r="N327" s="681"/>
      <c r="O327" s="681"/>
      <c r="P327" s="681"/>
      <c r="Q327" s="681"/>
      <c r="R327" s="681"/>
      <c r="S327" s="681"/>
      <c r="T327" s="681"/>
      <c r="U327" s="681"/>
      <c r="V327" s="681"/>
      <c r="W327" s="681"/>
      <c r="X327" s="681"/>
      <c r="Y327" s="681"/>
      <c r="Z327" s="681"/>
      <c r="AA327" s="681"/>
      <c r="AB327" s="681"/>
      <c r="AC327" s="681"/>
      <c r="AD327" s="681"/>
      <c r="AE327" s="681"/>
      <c r="AF327" s="888">
        <f t="shared" si="118"/>
        <v>0</v>
      </c>
    </row>
    <row r="328" hidden="1" outlineLevel="1">
      <c r="A328" s="1071" t="s">
        <v>1021</v>
      </c>
      <c r="B328" s="681"/>
      <c r="C328" s="61"/>
      <c r="D328" s="681"/>
      <c r="E328" s="61"/>
      <c r="F328" s="61"/>
      <c r="G328" s="61"/>
      <c r="H328" s="61"/>
      <c r="I328" s="61"/>
      <c r="J328" s="681"/>
      <c r="K328" s="681"/>
      <c r="L328" s="681"/>
      <c r="M328" s="681"/>
      <c r="N328" s="681"/>
      <c r="O328" s="681"/>
      <c r="P328" s="681"/>
      <c r="Q328" s="681"/>
      <c r="R328" s="681"/>
      <c r="S328" s="681"/>
      <c r="T328" s="681"/>
      <c r="U328" s="681"/>
      <c r="V328" s="681"/>
      <c r="W328" s="681"/>
      <c r="X328" s="681"/>
      <c r="Y328" s="681"/>
      <c r="Z328" s="681"/>
      <c r="AA328" s="681"/>
      <c r="AB328" s="681"/>
      <c r="AC328" s="681"/>
      <c r="AD328" s="681"/>
      <c r="AE328" s="681"/>
      <c r="AF328" s="888">
        <f t="shared" si="118"/>
        <v>0</v>
      </c>
    </row>
    <row r="329" hidden="1" outlineLevel="1">
      <c r="A329" s="1071" t="s">
        <v>1022</v>
      </c>
      <c r="B329" s="681"/>
      <c r="C329" s="61"/>
      <c r="D329" s="681"/>
      <c r="E329" s="61"/>
      <c r="F329" s="61"/>
      <c r="G329" s="61"/>
      <c r="H329" s="61"/>
      <c r="I329" s="61"/>
      <c r="J329" s="681"/>
      <c r="K329" s="681"/>
      <c r="L329" s="681"/>
      <c r="M329" s="681"/>
      <c r="N329" s="681"/>
      <c r="O329" s="681"/>
      <c r="P329" s="681"/>
      <c r="Q329" s="681"/>
      <c r="R329" s="681"/>
      <c r="S329" s="681"/>
      <c r="T329" s="681"/>
      <c r="U329" s="681"/>
      <c r="V329" s="681"/>
      <c r="W329" s="681"/>
      <c r="X329" s="681"/>
      <c r="Y329" s="681"/>
      <c r="Z329" s="681"/>
      <c r="AA329" s="681"/>
      <c r="AB329" s="681"/>
      <c r="AC329" s="681"/>
      <c r="AD329" s="681"/>
      <c r="AE329" s="681"/>
      <c r="AF329" s="888"/>
    </row>
    <row r="330" hidden="1" outlineLevel="1">
      <c r="A330" s="1071" t="s">
        <v>1023</v>
      </c>
      <c r="B330" s="61"/>
      <c r="C330" s="681"/>
      <c r="D330" s="681"/>
      <c r="E330" s="61"/>
      <c r="F330" s="61"/>
      <c r="G330" s="61"/>
      <c r="H330" s="61"/>
      <c r="I330" s="61"/>
      <c r="J330" s="681"/>
      <c r="K330" s="681"/>
      <c r="L330" s="681"/>
      <c r="M330" s="681"/>
      <c r="N330" s="681"/>
      <c r="O330" s="681"/>
      <c r="P330" s="681"/>
      <c r="Q330" s="681"/>
      <c r="R330" s="681"/>
      <c r="S330" s="681"/>
      <c r="T330" s="681"/>
      <c r="U330" s="681"/>
      <c r="V330" s="681"/>
      <c r="W330" s="61"/>
      <c r="X330" s="681"/>
      <c r="Y330" s="681"/>
      <c r="Z330" s="681"/>
      <c r="AA330" s="681"/>
      <c r="AB330" s="681"/>
      <c r="AC330" s="681"/>
      <c r="AD330" s="681"/>
      <c r="AE330" s="681"/>
      <c r="AF330" s="888">
        <f>SUM(B330:AE330)</f>
        <v>0</v>
      </c>
    </row>
    <row r="331" hidden="1" outlineLevel="1">
      <c r="A331" s="1071" t="s">
        <v>1024</v>
      </c>
      <c r="B331" s="61"/>
      <c r="C331" s="681"/>
      <c r="D331" s="681"/>
      <c r="E331" s="61"/>
      <c r="F331" s="61"/>
      <c r="G331" s="61"/>
      <c r="H331" s="61"/>
      <c r="I331" s="61"/>
      <c r="J331" s="681"/>
      <c r="K331" s="681"/>
      <c r="L331" s="681"/>
      <c r="M331" s="681"/>
      <c r="N331" s="681"/>
      <c r="O331" s="681"/>
      <c r="P331" s="681"/>
      <c r="Q331" s="681"/>
      <c r="R331" s="681"/>
      <c r="S331" s="681"/>
      <c r="T331" s="681"/>
      <c r="U331" s="681"/>
      <c r="V331" s="681"/>
      <c r="W331" s="61"/>
      <c r="X331" s="681"/>
      <c r="Y331" s="681"/>
      <c r="Z331" s="681"/>
      <c r="AA331" s="681"/>
      <c r="AB331" s="681"/>
      <c r="AC331" s="681"/>
      <c r="AD331" s="681"/>
      <c r="AE331" s="681"/>
      <c r="AF331" s="888"/>
    </row>
    <row r="332" hidden="1" outlineLevel="1">
      <c r="A332" s="1080" t="s">
        <v>1025</v>
      </c>
      <c r="B332" s="61"/>
      <c r="C332" s="681"/>
      <c r="D332" s="681"/>
      <c r="E332" s="61"/>
      <c r="F332" s="61"/>
      <c r="G332" s="61"/>
      <c r="H332" s="61"/>
      <c r="I332" s="61"/>
      <c r="J332" s="681"/>
      <c r="K332" s="681"/>
      <c r="L332" s="681"/>
      <c r="M332" s="681"/>
      <c r="N332" s="681"/>
      <c r="O332" s="681"/>
      <c r="P332" s="681"/>
      <c r="Q332" s="681"/>
      <c r="R332" s="681"/>
      <c r="S332" s="681"/>
      <c r="T332" s="681"/>
      <c r="U332" s="681"/>
      <c r="V332" s="681"/>
      <c r="W332" s="61"/>
      <c r="X332" s="681"/>
      <c r="Y332" s="681"/>
      <c r="Z332" s="681"/>
      <c r="AA332" s="681"/>
      <c r="AB332" s="681"/>
      <c r="AC332" s="681"/>
      <c r="AD332" s="681"/>
      <c r="AE332" s="681"/>
      <c r="AF332" s="888"/>
    </row>
    <row r="333" hidden="1" outlineLevel="1">
      <c r="A333" s="1080" t="s">
        <v>1026</v>
      </c>
      <c r="B333" s="61"/>
      <c r="C333" s="681"/>
      <c r="D333" s="681"/>
      <c r="E333" s="61"/>
      <c r="F333" s="61"/>
      <c r="G333" s="61"/>
      <c r="H333" s="61"/>
      <c r="I333" s="61"/>
      <c r="J333" s="681"/>
      <c r="K333" s="681"/>
      <c r="L333" s="681"/>
      <c r="M333" s="681"/>
      <c r="N333" s="681"/>
      <c r="O333" s="681"/>
      <c r="P333" s="681"/>
      <c r="Q333" s="681"/>
      <c r="R333" s="681"/>
      <c r="S333" s="681"/>
      <c r="T333" s="681"/>
      <c r="U333" s="681"/>
      <c r="V333" s="681"/>
      <c r="W333" s="61"/>
      <c r="X333" s="681"/>
      <c r="Y333" s="681"/>
      <c r="Z333" s="681"/>
      <c r="AA333" s="681"/>
      <c r="AB333" s="681"/>
      <c r="AC333" s="681"/>
      <c r="AD333" s="681"/>
      <c r="AE333" s="681"/>
      <c r="AF333" s="888"/>
    </row>
    <row r="334">
      <c r="A334" s="1090" t="s">
        <v>95</v>
      </c>
      <c r="B334" s="274">
        <f t="shared" ref="B334:AE334" si="119">SUM(B325:B330)</f>
        <v>0</v>
      </c>
      <c r="C334" s="274">
        <f t="shared" si="119"/>
        <v>0</v>
      </c>
      <c r="D334" s="274">
        <f t="shared" si="119"/>
        <v>0</v>
      </c>
      <c r="E334" s="274">
        <f t="shared" si="119"/>
        <v>0</v>
      </c>
      <c r="F334" s="274">
        <f t="shared" si="119"/>
        <v>0</v>
      </c>
      <c r="G334" s="274">
        <f t="shared" si="119"/>
        <v>0</v>
      </c>
      <c r="H334" s="274">
        <f t="shared" si="119"/>
        <v>0</v>
      </c>
      <c r="I334" s="274">
        <f t="shared" si="119"/>
        <v>0</v>
      </c>
      <c r="J334" s="274">
        <f t="shared" si="119"/>
        <v>0</v>
      </c>
      <c r="K334" s="274">
        <f t="shared" si="119"/>
        <v>0</v>
      </c>
      <c r="L334" s="274">
        <f t="shared" si="119"/>
        <v>0</v>
      </c>
      <c r="M334" s="274">
        <f t="shared" si="119"/>
        <v>0</v>
      </c>
      <c r="N334" s="274">
        <f t="shared" si="119"/>
        <v>0</v>
      </c>
      <c r="O334" s="274">
        <f t="shared" si="119"/>
        <v>0</v>
      </c>
      <c r="P334" s="274">
        <f t="shared" si="119"/>
        <v>0</v>
      </c>
      <c r="Q334" s="274">
        <f t="shared" si="119"/>
        <v>0</v>
      </c>
      <c r="R334" s="274">
        <f t="shared" si="119"/>
        <v>0</v>
      </c>
      <c r="S334" s="274">
        <f t="shared" si="119"/>
        <v>0</v>
      </c>
      <c r="T334" s="274">
        <f t="shared" si="119"/>
        <v>0</v>
      </c>
      <c r="U334" s="274">
        <f t="shared" si="119"/>
        <v>0</v>
      </c>
      <c r="V334" s="274">
        <f t="shared" si="119"/>
        <v>0</v>
      </c>
      <c r="W334" s="274">
        <f t="shared" si="119"/>
        <v>0</v>
      </c>
      <c r="X334" s="274">
        <f t="shared" si="119"/>
        <v>0</v>
      </c>
      <c r="Y334" s="274">
        <f t="shared" si="119"/>
        <v>0</v>
      </c>
      <c r="Z334" s="274">
        <f t="shared" si="119"/>
        <v>0</v>
      </c>
      <c r="AA334" s="274">
        <f t="shared" si="119"/>
        <v>0</v>
      </c>
      <c r="AB334" s="274">
        <f t="shared" si="119"/>
        <v>0</v>
      </c>
      <c r="AC334" s="274">
        <f t="shared" si="119"/>
        <v>0</v>
      </c>
      <c r="AD334" s="274">
        <f t="shared" si="119"/>
        <v>0</v>
      </c>
      <c r="AE334" s="274">
        <f t="shared" si="119"/>
        <v>0</v>
      </c>
      <c r="AF334" s="888">
        <f>SUM(B334:AE334)</f>
        <v>0</v>
      </c>
    </row>
    <row r="335">
      <c r="A335" s="854"/>
      <c r="B335" s="1066"/>
      <c r="C335" s="1066"/>
      <c r="D335" s="1066"/>
      <c r="E335" s="1066"/>
      <c r="F335" s="1066"/>
      <c r="G335" s="1066"/>
      <c r="H335" s="1066"/>
      <c r="I335" s="1066"/>
      <c r="J335" s="1066"/>
      <c r="K335" s="1066"/>
      <c r="L335" s="1066"/>
      <c r="M335" s="1066"/>
      <c r="N335" s="1066"/>
      <c r="O335" s="1066"/>
      <c r="P335" s="1066"/>
      <c r="Q335" s="1066"/>
      <c r="R335" s="1066"/>
      <c r="S335" s="1066"/>
      <c r="T335" s="1066"/>
      <c r="U335" s="1066"/>
      <c r="V335" s="1066"/>
      <c r="W335" s="1066"/>
      <c r="X335" s="1066"/>
      <c r="Y335" s="1066"/>
      <c r="Z335" s="1066"/>
      <c r="AA335" s="1066"/>
      <c r="AB335" s="1066"/>
      <c r="AC335" s="1066"/>
      <c r="AD335" s="1066"/>
      <c r="AE335" s="1066"/>
      <c r="AF335" s="888"/>
    </row>
    <row r="336">
      <c r="A336" s="1071" t="s">
        <v>1027</v>
      </c>
      <c r="B336" s="681"/>
      <c r="C336" s="681"/>
      <c r="D336" s="681"/>
      <c r="E336" s="681"/>
      <c r="F336" s="681"/>
      <c r="G336" s="681"/>
      <c r="H336" s="681"/>
      <c r="I336" s="681"/>
      <c r="J336" s="681"/>
      <c r="K336" s="681"/>
      <c r="L336" s="681"/>
      <c r="M336" s="61"/>
      <c r="N336" s="61"/>
      <c r="O336" s="61"/>
      <c r="P336" s="61"/>
      <c r="Q336" s="61"/>
      <c r="R336" s="61"/>
      <c r="S336" s="579">
        <f>'OLD Sales'!S22</f>
        <v>7726</v>
      </c>
      <c r="T336" s="579">
        <f>'OLD Sales'!T22</f>
        <v>9063</v>
      </c>
      <c r="U336" s="579">
        <f>'OLD Sales'!U22</f>
        <v>5576</v>
      </c>
      <c r="V336" s="579">
        <f>'OLD Sales'!V22</f>
        <v>4328</v>
      </c>
      <c r="W336" s="579">
        <f>'OLD Sales'!W22</f>
        <v>2975</v>
      </c>
      <c r="X336" s="579">
        <f>'OLD Sales'!X22</f>
        <v>2918</v>
      </c>
      <c r="Y336" s="579">
        <f>'OLD Sales'!Y22</f>
        <v>2611</v>
      </c>
      <c r="Z336" s="579">
        <f>'OLD Sales'!Z22</f>
        <v>1872</v>
      </c>
      <c r="AA336" s="579">
        <f>'OLD Sales'!AA22</f>
        <v>1985</v>
      </c>
      <c r="AB336" s="579">
        <f>'OLD Sales'!AB22</f>
        <v>1409</v>
      </c>
      <c r="AC336" s="579">
        <f>'OLD Sales'!AC22</f>
        <v>1402</v>
      </c>
      <c r="AD336" s="579">
        <f>'OLD Sales'!AD22</f>
        <v>7004</v>
      </c>
      <c r="AE336" s="579">
        <f>'OLD Sales'!AE22</f>
        <v>7498</v>
      </c>
      <c r="AF336" s="888">
        <f t="shared" ref="AF336:AF338" si="120">SUM(B336:AE336)</f>
        <v>56367</v>
      </c>
    </row>
    <row r="337">
      <c r="A337" s="1071" t="s">
        <v>1028</v>
      </c>
      <c r="B337" s="681"/>
      <c r="C337" s="681"/>
      <c r="D337" s="681"/>
      <c r="E337" s="681"/>
      <c r="F337" s="681"/>
      <c r="G337" s="681"/>
      <c r="H337" s="681"/>
      <c r="I337" s="681"/>
      <c r="J337" s="681"/>
      <c r="K337" s="681"/>
      <c r="L337" s="681"/>
      <c r="M337" s="681"/>
      <c r="N337" s="681"/>
      <c r="O337" s="681"/>
      <c r="P337" s="681"/>
      <c r="Q337" s="681"/>
      <c r="R337" s="681"/>
      <c r="S337" s="681"/>
      <c r="T337" s="681"/>
      <c r="U337" s="681"/>
      <c r="V337" s="681"/>
      <c r="W337" s="681"/>
      <c r="X337" s="681"/>
      <c r="Y337" s="681"/>
      <c r="Z337" s="681"/>
      <c r="AA337" s="681"/>
      <c r="AB337" s="681"/>
      <c r="AC337" s="681"/>
      <c r="AD337" s="681"/>
      <c r="AE337" s="681"/>
      <c r="AF337" s="888">
        <f t="shared" si="120"/>
        <v>0</v>
      </c>
    </row>
    <row r="338">
      <c r="A338" s="1090" t="s">
        <v>95</v>
      </c>
      <c r="B338" s="274">
        <f t="shared" ref="B338:AE338" si="121">SUM(B336:B337)</f>
        <v>0</v>
      </c>
      <c r="C338" s="274">
        <f t="shared" si="121"/>
        <v>0</v>
      </c>
      <c r="D338" s="274">
        <f t="shared" si="121"/>
        <v>0</v>
      </c>
      <c r="E338" s="274">
        <f t="shared" si="121"/>
        <v>0</v>
      </c>
      <c r="F338" s="274">
        <f t="shared" si="121"/>
        <v>0</v>
      </c>
      <c r="G338" s="274">
        <f t="shared" si="121"/>
        <v>0</v>
      </c>
      <c r="H338" s="274">
        <f t="shared" si="121"/>
        <v>0</v>
      </c>
      <c r="I338" s="274">
        <f t="shared" si="121"/>
        <v>0</v>
      </c>
      <c r="J338" s="274">
        <f t="shared" si="121"/>
        <v>0</v>
      </c>
      <c r="K338" s="274">
        <f t="shared" si="121"/>
        <v>0</v>
      </c>
      <c r="L338" s="274">
        <f t="shared" si="121"/>
        <v>0</v>
      </c>
      <c r="M338" s="274">
        <f t="shared" si="121"/>
        <v>0</v>
      </c>
      <c r="N338" s="274">
        <f t="shared" si="121"/>
        <v>0</v>
      </c>
      <c r="O338" s="274">
        <f t="shared" si="121"/>
        <v>0</v>
      </c>
      <c r="P338" s="274">
        <f t="shared" si="121"/>
        <v>0</v>
      </c>
      <c r="Q338" s="274">
        <f t="shared" si="121"/>
        <v>0</v>
      </c>
      <c r="R338" s="274">
        <f t="shared" si="121"/>
        <v>0</v>
      </c>
      <c r="S338" s="274">
        <f t="shared" si="121"/>
        <v>7726</v>
      </c>
      <c r="T338" s="274">
        <f t="shared" si="121"/>
        <v>9063</v>
      </c>
      <c r="U338" s="274">
        <f t="shared" si="121"/>
        <v>5576</v>
      </c>
      <c r="V338" s="274">
        <f t="shared" si="121"/>
        <v>4328</v>
      </c>
      <c r="W338" s="274">
        <f t="shared" si="121"/>
        <v>2975</v>
      </c>
      <c r="X338" s="274">
        <f t="shared" si="121"/>
        <v>2918</v>
      </c>
      <c r="Y338" s="274">
        <f t="shared" si="121"/>
        <v>2611</v>
      </c>
      <c r="Z338" s="274">
        <f t="shared" si="121"/>
        <v>1872</v>
      </c>
      <c r="AA338" s="274">
        <f t="shared" si="121"/>
        <v>1985</v>
      </c>
      <c r="AB338" s="274">
        <f t="shared" si="121"/>
        <v>1409</v>
      </c>
      <c r="AC338" s="274">
        <f t="shared" si="121"/>
        <v>1402</v>
      </c>
      <c r="AD338" s="274">
        <f t="shared" si="121"/>
        <v>7004</v>
      </c>
      <c r="AE338" s="274">
        <f t="shared" si="121"/>
        <v>7498</v>
      </c>
      <c r="AF338" s="888">
        <f t="shared" si="120"/>
        <v>56367</v>
      </c>
    </row>
    <row r="339">
      <c r="A339" s="854"/>
      <c r="B339" s="1066"/>
      <c r="C339" s="1066"/>
      <c r="D339" s="1066"/>
      <c r="E339" s="1066"/>
      <c r="F339" s="1066"/>
      <c r="G339" s="1066"/>
      <c r="H339" s="1066"/>
      <c r="I339" s="1066"/>
      <c r="J339" s="1066"/>
      <c r="K339" s="1066"/>
      <c r="L339" s="1066"/>
      <c r="M339" s="1066"/>
      <c r="N339" s="1066"/>
      <c r="O339" s="1066"/>
      <c r="P339" s="1066"/>
      <c r="Q339" s="1066"/>
      <c r="R339" s="1066"/>
      <c r="S339" s="1066"/>
      <c r="T339" s="1066"/>
      <c r="U339" s="1066"/>
      <c r="V339" s="1066"/>
      <c r="W339" s="1066"/>
      <c r="X339" s="1066"/>
      <c r="Y339" s="1066"/>
      <c r="Z339" s="1066"/>
      <c r="AA339" s="1066"/>
      <c r="AB339" s="1066"/>
      <c r="AC339" s="1066"/>
      <c r="AD339" s="1066"/>
      <c r="AE339" s="1066"/>
      <c r="AF339" s="700"/>
    </row>
    <row r="340">
      <c r="A340" s="854"/>
      <c r="J340" s="1" t="s">
        <v>334</v>
      </c>
      <c r="T340" s="1066"/>
      <c r="U340" s="1066"/>
      <c r="V340" s="1066"/>
      <c r="W340" s="1066"/>
      <c r="X340" s="1066"/>
      <c r="Y340" s="1066"/>
      <c r="Z340" s="1066"/>
      <c r="AA340" s="1066"/>
      <c r="AB340" s="1066"/>
      <c r="AC340" s="1066"/>
      <c r="AD340" s="1066"/>
      <c r="AE340" s="1066"/>
      <c r="AF340" s="700"/>
    </row>
    <row r="341">
      <c r="A341" s="931" t="s">
        <v>1029</v>
      </c>
      <c r="B341" s="651"/>
      <c r="C341" s="651"/>
      <c r="D341" s="651"/>
      <c r="E341" s="651"/>
      <c r="F341" s="651"/>
      <c r="G341" s="651"/>
      <c r="H341" s="651"/>
      <c r="I341" s="582"/>
      <c r="J341" s="582"/>
      <c r="K341" s="582"/>
      <c r="L341" s="582"/>
      <c r="M341" s="582"/>
      <c r="N341" s="582"/>
      <c r="O341" s="582"/>
      <c r="P341" s="582"/>
      <c r="Q341" s="582"/>
      <c r="R341" s="582"/>
      <c r="S341" s="582"/>
      <c r="T341" s="582"/>
      <c r="U341" s="582"/>
      <c r="V341" s="582"/>
      <c r="W341" s="582"/>
      <c r="X341" s="582"/>
      <c r="Y341" s="582"/>
      <c r="Z341" s="582"/>
      <c r="AA341" s="582"/>
      <c r="AB341" s="582"/>
      <c r="AC341" s="582"/>
      <c r="AD341" s="582"/>
      <c r="AE341" s="582"/>
      <c r="AF341" s="700"/>
    </row>
    <row r="342">
      <c r="A342" s="1093" t="s">
        <v>1030</v>
      </c>
      <c r="B342" s="331">
        <v>0.0</v>
      </c>
      <c r="C342" s="331">
        <v>0.0</v>
      </c>
      <c r="D342" s="331">
        <v>1.0</v>
      </c>
      <c r="E342" s="1074">
        <v>1.0</v>
      </c>
      <c r="F342" s="1074">
        <v>0.0</v>
      </c>
      <c r="G342" s="331">
        <v>2.0</v>
      </c>
      <c r="H342" s="331">
        <v>2.0</v>
      </c>
      <c r="I342" s="331">
        <v>0.0</v>
      </c>
      <c r="J342" s="331">
        <v>1.0</v>
      </c>
      <c r="K342" s="331">
        <v>2.0</v>
      </c>
      <c r="L342" s="331">
        <v>0.0</v>
      </c>
      <c r="M342" s="331">
        <v>0.0</v>
      </c>
      <c r="N342" s="331">
        <v>0.0</v>
      </c>
      <c r="O342" s="331">
        <v>1.0</v>
      </c>
      <c r="P342" s="331">
        <v>0.0</v>
      </c>
      <c r="Q342" s="331">
        <v>0.0</v>
      </c>
      <c r="R342" s="331">
        <v>0.0</v>
      </c>
      <c r="S342" s="331">
        <v>1.0</v>
      </c>
      <c r="T342" s="331">
        <v>0.0</v>
      </c>
      <c r="U342" s="331">
        <v>0.0</v>
      </c>
      <c r="V342" s="331">
        <v>0.0</v>
      </c>
      <c r="W342" s="331">
        <v>0.0</v>
      </c>
      <c r="X342" s="331">
        <v>0.0</v>
      </c>
      <c r="Y342" s="331">
        <v>0.0</v>
      </c>
      <c r="Z342" s="331">
        <v>0.0</v>
      </c>
      <c r="AA342" s="331">
        <v>1.0</v>
      </c>
      <c r="AB342" s="331">
        <v>0.0</v>
      </c>
      <c r="AC342" s="331">
        <v>0.0</v>
      </c>
      <c r="AD342" s="331">
        <v>0.0</v>
      </c>
      <c r="AE342" s="331">
        <v>1.0</v>
      </c>
      <c r="AF342" s="1015">
        <f t="shared" ref="AF342:AF349" si="122">SUM(B342:AE342)</f>
        <v>13</v>
      </c>
    </row>
    <row r="343">
      <c r="A343" s="1093" t="s">
        <v>1031</v>
      </c>
      <c r="B343" s="581">
        <v>0.0</v>
      </c>
      <c r="C343" s="581">
        <v>0.0</v>
      </c>
      <c r="D343" s="581">
        <v>0.0</v>
      </c>
      <c r="E343" s="1094">
        <v>0.0</v>
      </c>
      <c r="F343" s="1074">
        <v>0.0</v>
      </c>
      <c r="G343" s="331">
        <v>2.0</v>
      </c>
      <c r="H343" s="331">
        <v>0.0</v>
      </c>
      <c r="I343" s="331">
        <v>0.0</v>
      </c>
      <c r="J343" s="331">
        <v>0.0</v>
      </c>
      <c r="K343" s="331">
        <v>0.0</v>
      </c>
      <c r="L343" s="331">
        <v>0.0</v>
      </c>
      <c r="M343" s="331">
        <v>0.0</v>
      </c>
      <c r="N343" s="331">
        <v>0.0</v>
      </c>
      <c r="O343" s="331">
        <v>0.0</v>
      </c>
      <c r="P343" s="331">
        <v>2.0</v>
      </c>
      <c r="Q343" s="331">
        <v>0.0</v>
      </c>
      <c r="R343" s="331">
        <v>0.0</v>
      </c>
      <c r="S343" s="331">
        <v>0.0</v>
      </c>
      <c r="T343" s="331">
        <v>0.0</v>
      </c>
      <c r="U343" s="331">
        <v>0.0</v>
      </c>
      <c r="V343" s="331">
        <v>0.0</v>
      </c>
      <c r="W343" s="331">
        <v>0.0</v>
      </c>
      <c r="X343" s="331">
        <v>0.0</v>
      </c>
      <c r="Y343" s="331">
        <v>1.0</v>
      </c>
      <c r="Z343" s="331">
        <v>0.0</v>
      </c>
      <c r="AA343" s="331">
        <v>0.0</v>
      </c>
      <c r="AB343" s="331">
        <v>0.0</v>
      </c>
      <c r="AC343" s="331">
        <v>0.0</v>
      </c>
      <c r="AD343" s="331">
        <v>0.0</v>
      </c>
      <c r="AE343" s="331">
        <v>0.0</v>
      </c>
      <c r="AF343" s="1015">
        <f t="shared" si="122"/>
        <v>5</v>
      </c>
    </row>
    <row r="344">
      <c r="A344" s="1093" t="s">
        <v>1032</v>
      </c>
      <c r="B344" s="331">
        <v>0.0</v>
      </c>
      <c r="C344" s="331">
        <v>0.0</v>
      </c>
      <c r="D344" s="331">
        <v>0.0</v>
      </c>
      <c r="E344" s="1074">
        <v>0.0</v>
      </c>
      <c r="F344" s="1074">
        <v>0.0</v>
      </c>
      <c r="G344" s="331">
        <v>0.0</v>
      </c>
      <c r="H344" s="331">
        <v>0.0</v>
      </c>
      <c r="I344" s="331">
        <v>0.0</v>
      </c>
      <c r="J344" s="331">
        <v>0.0</v>
      </c>
      <c r="K344" s="331">
        <v>0.0</v>
      </c>
      <c r="L344" s="331">
        <v>0.0</v>
      </c>
      <c r="M344" s="331">
        <v>0.0</v>
      </c>
      <c r="N344" s="331">
        <v>0.0</v>
      </c>
      <c r="O344" s="331">
        <v>0.0</v>
      </c>
      <c r="P344" s="331">
        <v>0.0</v>
      </c>
      <c r="Q344" s="331">
        <v>0.0</v>
      </c>
      <c r="R344" s="331">
        <v>0.0</v>
      </c>
      <c r="S344" s="331">
        <v>0.0</v>
      </c>
      <c r="T344" s="331">
        <v>0.0</v>
      </c>
      <c r="U344" s="331">
        <v>0.0</v>
      </c>
      <c r="V344" s="331">
        <v>0.0</v>
      </c>
      <c r="W344" s="331">
        <v>0.0</v>
      </c>
      <c r="X344" s="331">
        <v>0.0</v>
      </c>
      <c r="Y344" s="331">
        <v>0.0</v>
      </c>
      <c r="Z344" s="331">
        <v>0.0</v>
      </c>
      <c r="AA344" s="331">
        <v>0.0</v>
      </c>
      <c r="AB344" s="331">
        <v>0.0</v>
      </c>
      <c r="AC344" s="331">
        <v>0.0</v>
      </c>
      <c r="AD344" s="331">
        <v>0.0</v>
      </c>
      <c r="AE344" s="331">
        <v>0.0</v>
      </c>
      <c r="AF344" s="1015">
        <f t="shared" si="122"/>
        <v>0</v>
      </c>
    </row>
    <row r="345">
      <c r="A345" s="1093" t="s">
        <v>1033</v>
      </c>
      <c r="B345" s="331">
        <v>0.0</v>
      </c>
      <c r="C345" s="331">
        <v>0.0</v>
      </c>
      <c r="D345" s="331">
        <v>0.0</v>
      </c>
      <c r="E345" s="1074">
        <v>0.0</v>
      </c>
      <c r="F345" s="1074">
        <v>1.0</v>
      </c>
      <c r="G345" s="331">
        <v>0.0</v>
      </c>
      <c r="H345" s="331">
        <v>0.0</v>
      </c>
      <c r="I345" s="331">
        <v>0.0</v>
      </c>
      <c r="J345" s="331">
        <v>0.0</v>
      </c>
      <c r="K345" s="331">
        <v>0.0</v>
      </c>
      <c r="L345" s="331">
        <v>0.0</v>
      </c>
      <c r="M345" s="331">
        <v>0.0</v>
      </c>
      <c r="N345" s="331">
        <v>0.0</v>
      </c>
      <c r="O345" s="331">
        <v>0.0</v>
      </c>
      <c r="P345" s="331">
        <v>0.0</v>
      </c>
      <c r="Q345" s="331">
        <v>0.0</v>
      </c>
      <c r="R345" s="331">
        <v>0.0</v>
      </c>
      <c r="S345" s="331">
        <v>0.0</v>
      </c>
      <c r="T345" s="331">
        <v>0.0</v>
      </c>
      <c r="U345" s="331">
        <v>0.0</v>
      </c>
      <c r="V345" s="331">
        <v>0.0</v>
      </c>
      <c r="W345" s="331">
        <v>0.0</v>
      </c>
      <c r="X345" s="331">
        <v>0.0</v>
      </c>
      <c r="Y345" s="331">
        <v>0.0</v>
      </c>
      <c r="Z345" s="331">
        <v>0.0</v>
      </c>
      <c r="AA345" s="331">
        <v>0.0</v>
      </c>
      <c r="AB345" s="331">
        <v>0.0</v>
      </c>
      <c r="AC345" s="331">
        <v>0.0</v>
      </c>
      <c r="AD345" s="331">
        <v>0.0</v>
      </c>
      <c r="AE345" s="331">
        <v>0.0</v>
      </c>
      <c r="AF345" s="1015">
        <f t="shared" si="122"/>
        <v>1</v>
      </c>
    </row>
    <row r="346">
      <c r="A346" s="1093" t="s">
        <v>1034</v>
      </c>
      <c r="B346" s="1075"/>
      <c r="C346" s="1075"/>
      <c r="D346" s="1075"/>
      <c r="E346" s="1075"/>
      <c r="F346" s="1075"/>
      <c r="G346" s="694"/>
      <c r="H346" s="694"/>
      <c r="I346" s="694"/>
      <c r="J346" s="694"/>
      <c r="K346" s="1075"/>
      <c r="L346" s="694"/>
      <c r="M346" s="694"/>
      <c r="N346" s="694"/>
      <c r="O346" s="694"/>
      <c r="P346" s="694"/>
      <c r="Q346" s="694"/>
      <c r="R346" s="694"/>
      <c r="S346" s="694"/>
      <c r="T346" s="694"/>
      <c r="U346" s="694"/>
      <c r="V346" s="694"/>
      <c r="W346" s="694"/>
      <c r="X346" s="694"/>
      <c r="Y346" s="694"/>
      <c r="Z346" s="694"/>
      <c r="AA346" s="694"/>
      <c r="AB346" s="694"/>
      <c r="AC346" s="694"/>
      <c r="AD346" s="694"/>
      <c r="AE346" s="694"/>
      <c r="AF346" s="1015">
        <f t="shared" si="122"/>
        <v>0</v>
      </c>
    </row>
    <row r="347">
      <c r="A347" s="1093" t="s">
        <v>1035</v>
      </c>
      <c r="B347" s="1075"/>
      <c r="C347" s="1075"/>
      <c r="D347" s="1075"/>
      <c r="E347" s="1075"/>
      <c r="F347" s="1075"/>
      <c r="G347" s="694"/>
      <c r="H347" s="694"/>
      <c r="I347" s="694"/>
      <c r="J347" s="694"/>
      <c r="K347" s="694"/>
      <c r="L347" s="694"/>
      <c r="M347" s="694"/>
      <c r="N347" s="694"/>
      <c r="O347" s="694"/>
      <c r="P347" s="694"/>
      <c r="Q347" s="694"/>
      <c r="R347" s="694"/>
      <c r="S347" s="694"/>
      <c r="T347" s="694"/>
      <c r="U347" s="694"/>
      <c r="V347" s="694"/>
      <c r="W347" s="694"/>
      <c r="X347" s="694"/>
      <c r="Y347" s="694"/>
      <c r="Z347" s="694"/>
      <c r="AA347" s="694"/>
      <c r="AB347" s="694"/>
      <c r="AC347" s="694"/>
      <c r="AD347" s="694"/>
      <c r="AE347" s="694"/>
      <c r="AF347" s="1015">
        <f t="shared" si="122"/>
        <v>0</v>
      </c>
    </row>
    <row r="348">
      <c r="A348" s="1095" t="s">
        <v>179</v>
      </c>
      <c r="B348" s="317">
        <f t="shared" ref="B348:AE348" si="123">SUM(B342:B347)</f>
        <v>0</v>
      </c>
      <c r="C348" s="317">
        <f t="shared" si="123"/>
        <v>0</v>
      </c>
      <c r="D348" s="317">
        <f t="shared" si="123"/>
        <v>1</v>
      </c>
      <c r="E348" s="317">
        <f t="shared" si="123"/>
        <v>1</v>
      </c>
      <c r="F348" s="317">
        <f t="shared" si="123"/>
        <v>1</v>
      </c>
      <c r="G348" s="317">
        <f t="shared" si="123"/>
        <v>4</v>
      </c>
      <c r="H348" s="317">
        <f t="shared" si="123"/>
        <v>2</v>
      </c>
      <c r="I348" s="317">
        <f t="shared" si="123"/>
        <v>0</v>
      </c>
      <c r="J348" s="317">
        <f t="shared" si="123"/>
        <v>1</v>
      </c>
      <c r="K348" s="317">
        <f t="shared" si="123"/>
        <v>2</v>
      </c>
      <c r="L348" s="317">
        <f t="shared" si="123"/>
        <v>0</v>
      </c>
      <c r="M348" s="317">
        <f t="shared" si="123"/>
        <v>0</v>
      </c>
      <c r="N348" s="317">
        <f t="shared" si="123"/>
        <v>0</v>
      </c>
      <c r="O348" s="317">
        <f t="shared" si="123"/>
        <v>1</v>
      </c>
      <c r="P348" s="317">
        <f t="shared" si="123"/>
        <v>2</v>
      </c>
      <c r="Q348" s="317">
        <f t="shared" si="123"/>
        <v>0</v>
      </c>
      <c r="R348" s="317">
        <f t="shared" si="123"/>
        <v>0</v>
      </c>
      <c r="S348" s="317">
        <f t="shared" si="123"/>
        <v>1</v>
      </c>
      <c r="T348" s="317">
        <f t="shared" si="123"/>
        <v>0</v>
      </c>
      <c r="U348" s="317">
        <f t="shared" si="123"/>
        <v>0</v>
      </c>
      <c r="V348" s="317">
        <f t="shared" si="123"/>
        <v>0</v>
      </c>
      <c r="W348" s="317">
        <f t="shared" si="123"/>
        <v>0</v>
      </c>
      <c r="X348" s="317">
        <f t="shared" si="123"/>
        <v>0</v>
      </c>
      <c r="Y348" s="317">
        <f t="shared" si="123"/>
        <v>1</v>
      </c>
      <c r="Z348" s="317">
        <f t="shared" si="123"/>
        <v>0</v>
      </c>
      <c r="AA348" s="317">
        <f t="shared" si="123"/>
        <v>1</v>
      </c>
      <c r="AB348" s="317">
        <f t="shared" si="123"/>
        <v>0</v>
      </c>
      <c r="AC348" s="317">
        <f t="shared" si="123"/>
        <v>0</v>
      </c>
      <c r="AD348" s="317">
        <f t="shared" si="123"/>
        <v>0</v>
      </c>
      <c r="AE348" s="317">
        <f t="shared" si="123"/>
        <v>1</v>
      </c>
      <c r="AF348" s="1015">
        <f t="shared" si="122"/>
        <v>19</v>
      </c>
    </row>
    <row r="349">
      <c r="A349" s="1095" t="s">
        <v>181</v>
      </c>
      <c r="B349" s="317">
        <f>B342+B345+B347</f>
        <v>0</v>
      </c>
      <c r="C349" s="317">
        <f t="shared" ref="C349:AE349" si="124">C343+C345+C347</f>
        <v>0</v>
      </c>
      <c r="D349" s="317">
        <f t="shared" si="124"/>
        <v>0</v>
      </c>
      <c r="E349" s="317">
        <f t="shared" si="124"/>
        <v>0</v>
      </c>
      <c r="F349" s="317">
        <f t="shared" si="124"/>
        <v>1</v>
      </c>
      <c r="G349" s="317">
        <f t="shared" si="124"/>
        <v>2</v>
      </c>
      <c r="H349" s="317">
        <f t="shared" si="124"/>
        <v>0</v>
      </c>
      <c r="I349" s="317">
        <f t="shared" si="124"/>
        <v>0</v>
      </c>
      <c r="J349" s="317">
        <f t="shared" si="124"/>
        <v>0</v>
      </c>
      <c r="K349" s="317">
        <f t="shared" si="124"/>
        <v>0</v>
      </c>
      <c r="L349" s="317">
        <f t="shared" si="124"/>
        <v>0</v>
      </c>
      <c r="M349" s="317">
        <f t="shared" si="124"/>
        <v>0</v>
      </c>
      <c r="N349" s="317">
        <f t="shared" si="124"/>
        <v>0</v>
      </c>
      <c r="O349" s="317">
        <f t="shared" si="124"/>
        <v>0</v>
      </c>
      <c r="P349" s="317">
        <f t="shared" si="124"/>
        <v>2</v>
      </c>
      <c r="Q349" s="317">
        <f t="shared" si="124"/>
        <v>0</v>
      </c>
      <c r="R349" s="317">
        <f t="shared" si="124"/>
        <v>0</v>
      </c>
      <c r="S349" s="317">
        <f t="shared" si="124"/>
        <v>0</v>
      </c>
      <c r="T349" s="317">
        <f t="shared" si="124"/>
        <v>0</v>
      </c>
      <c r="U349" s="317">
        <f t="shared" si="124"/>
        <v>0</v>
      </c>
      <c r="V349" s="317">
        <f t="shared" si="124"/>
        <v>0</v>
      </c>
      <c r="W349" s="317">
        <f t="shared" si="124"/>
        <v>0</v>
      </c>
      <c r="X349" s="317">
        <f t="shared" si="124"/>
        <v>0</v>
      </c>
      <c r="Y349" s="317">
        <f t="shared" si="124"/>
        <v>1</v>
      </c>
      <c r="Z349" s="317">
        <f t="shared" si="124"/>
        <v>0</v>
      </c>
      <c r="AA349" s="317">
        <f t="shared" si="124"/>
        <v>0</v>
      </c>
      <c r="AB349" s="317">
        <f t="shared" si="124"/>
        <v>0</v>
      </c>
      <c r="AC349" s="317">
        <f t="shared" si="124"/>
        <v>0</v>
      </c>
      <c r="AD349" s="317">
        <f t="shared" si="124"/>
        <v>0</v>
      </c>
      <c r="AE349" s="317">
        <f t="shared" si="124"/>
        <v>0</v>
      </c>
      <c r="AF349" s="1015">
        <f t="shared" si="122"/>
        <v>6</v>
      </c>
    </row>
    <row r="350">
      <c r="A350" s="20"/>
      <c r="B350" s="651"/>
      <c r="C350" s="651"/>
      <c r="D350" s="651"/>
      <c r="E350" s="651"/>
      <c r="F350" s="651"/>
      <c r="G350" s="651"/>
      <c r="H350" s="651"/>
      <c r="I350" s="582"/>
      <c r="J350" s="582"/>
      <c r="K350" s="582"/>
      <c r="L350" s="582"/>
      <c r="M350" s="582"/>
      <c r="N350" s="582"/>
      <c r="O350" s="582"/>
      <c r="P350" s="582"/>
      <c r="Q350" s="582"/>
      <c r="R350" s="582"/>
      <c r="S350" s="582"/>
      <c r="T350" s="582"/>
      <c r="U350" s="582"/>
      <c r="V350" s="582"/>
      <c r="W350" s="582"/>
      <c r="X350" s="582"/>
      <c r="Y350" s="582"/>
      <c r="Z350" s="582"/>
      <c r="AA350" s="582"/>
      <c r="AB350" s="582"/>
      <c r="AC350" s="582"/>
      <c r="AD350" s="582"/>
      <c r="AE350" s="582"/>
      <c r="AF350" s="1015"/>
    </row>
    <row r="351">
      <c r="A351" s="1093" t="s">
        <v>958</v>
      </c>
      <c r="B351" s="331">
        <v>0.0</v>
      </c>
      <c r="C351" s="331">
        <v>0.0</v>
      </c>
      <c r="D351" s="331">
        <v>0.0</v>
      </c>
      <c r="E351" s="1074">
        <v>0.0</v>
      </c>
      <c r="F351" s="1074">
        <v>0.0</v>
      </c>
      <c r="G351" s="331">
        <v>0.0</v>
      </c>
      <c r="H351" s="331">
        <v>0.0</v>
      </c>
      <c r="I351" s="331">
        <v>0.0</v>
      </c>
      <c r="J351" s="331">
        <v>0.0</v>
      </c>
      <c r="K351" s="331">
        <v>0.0</v>
      </c>
      <c r="L351" s="331">
        <v>0.0</v>
      </c>
      <c r="M351" s="331">
        <v>0.0</v>
      </c>
      <c r="N351" s="331">
        <v>0.0</v>
      </c>
      <c r="O351" s="331">
        <v>0.0</v>
      </c>
      <c r="P351" s="331">
        <v>2.0</v>
      </c>
      <c r="Q351" s="331">
        <v>0.0</v>
      </c>
      <c r="R351" s="331">
        <v>1.0</v>
      </c>
      <c r="S351" s="331">
        <v>0.0</v>
      </c>
      <c r="T351" s="331">
        <v>0.0</v>
      </c>
      <c r="U351" s="331">
        <v>0.0</v>
      </c>
      <c r="V351" s="331">
        <v>0.0</v>
      </c>
      <c r="W351" s="331">
        <v>0.0</v>
      </c>
      <c r="X351" s="331">
        <v>0.0</v>
      </c>
      <c r="Y351" s="331">
        <v>1.0</v>
      </c>
      <c r="Z351" s="331">
        <v>0.0</v>
      </c>
      <c r="AA351" s="331">
        <v>0.0</v>
      </c>
      <c r="AB351" s="331">
        <v>0.0</v>
      </c>
      <c r="AC351" s="331">
        <v>0.0</v>
      </c>
      <c r="AD351" s="331">
        <v>0.0</v>
      </c>
      <c r="AE351" s="331">
        <v>1.0</v>
      </c>
      <c r="AF351" s="1015">
        <f t="shared" ref="AF351:AF355" si="125">SUM(B351:AE351)</f>
        <v>5</v>
      </c>
    </row>
    <row r="352">
      <c r="A352" s="1093" t="s">
        <v>959</v>
      </c>
      <c r="B352" s="1075"/>
      <c r="C352" s="1075"/>
      <c r="D352" s="1075"/>
      <c r="E352" s="1075"/>
      <c r="F352" s="1075"/>
      <c r="G352" s="694"/>
      <c r="H352" s="694"/>
      <c r="I352" s="694"/>
      <c r="J352" s="694"/>
      <c r="K352" s="1075"/>
      <c r="L352" s="694"/>
      <c r="M352" s="694"/>
      <c r="N352" s="694"/>
      <c r="O352" s="694"/>
      <c r="P352" s="694"/>
      <c r="Q352" s="694"/>
      <c r="R352" s="694"/>
      <c r="S352" s="1075"/>
      <c r="T352" s="1075"/>
      <c r="U352" s="694"/>
      <c r="V352" s="694"/>
      <c r="W352" s="694"/>
      <c r="X352" s="1075">
        <v>1.0</v>
      </c>
      <c r="Y352" s="694"/>
      <c r="Z352" s="694"/>
      <c r="AA352" s="694"/>
      <c r="AB352" s="694"/>
      <c r="AC352" s="694"/>
      <c r="AD352" s="694"/>
      <c r="AE352" s="694"/>
      <c r="AF352" s="1015">
        <f t="shared" si="125"/>
        <v>1</v>
      </c>
    </row>
    <row r="353">
      <c r="A353" s="1093" t="s">
        <v>960</v>
      </c>
      <c r="B353" s="331">
        <v>0.0</v>
      </c>
      <c r="C353" s="331">
        <v>0.0</v>
      </c>
      <c r="D353" s="331">
        <v>0.0</v>
      </c>
      <c r="E353" s="1074">
        <v>0.0</v>
      </c>
      <c r="F353" s="1074">
        <v>0.0</v>
      </c>
      <c r="G353" s="331">
        <v>0.0</v>
      </c>
      <c r="H353" s="331">
        <v>0.0</v>
      </c>
      <c r="I353" s="331">
        <v>0.0</v>
      </c>
      <c r="J353" s="331">
        <v>0.0</v>
      </c>
      <c r="K353" s="331">
        <v>0.0</v>
      </c>
      <c r="L353" s="331">
        <v>0.0</v>
      </c>
      <c r="M353" s="331">
        <v>0.0</v>
      </c>
      <c r="N353" s="331">
        <v>0.0</v>
      </c>
      <c r="O353" s="331">
        <v>0.0</v>
      </c>
      <c r="P353" s="331">
        <v>2.0</v>
      </c>
      <c r="Q353" s="331">
        <v>0.0</v>
      </c>
      <c r="R353" s="331">
        <v>0.0</v>
      </c>
      <c r="S353" s="331">
        <v>0.0</v>
      </c>
      <c r="T353" s="331">
        <v>0.0</v>
      </c>
      <c r="U353" s="331">
        <v>1.0</v>
      </c>
      <c r="V353" s="331">
        <v>0.0</v>
      </c>
      <c r="W353" s="331">
        <v>0.0</v>
      </c>
      <c r="X353" s="331">
        <v>0.0</v>
      </c>
      <c r="Y353" s="331">
        <v>1.0</v>
      </c>
      <c r="Z353" s="331">
        <v>0.0</v>
      </c>
      <c r="AA353" s="331">
        <v>0.0</v>
      </c>
      <c r="AB353" s="331">
        <v>0.0</v>
      </c>
      <c r="AC353" s="331">
        <v>0.0</v>
      </c>
      <c r="AD353" s="331">
        <v>0.0</v>
      </c>
      <c r="AE353" s="331">
        <v>1.0</v>
      </c>
      <c r="AF353" s="1015">
        <f t="shared" si="125"/>
        <v>5</v>
      </c>
    </row>
    <row r="354">
      <c r="A354" s="1093" t="s">
        <v>1036</v>
      </c>
      <c r="B354" s="331">
        <v>0.0</v>
      </c>
      <c r="C354" s="331">
        <v>0.0</v>
      </c>
      <c r="D354" s="331">
        <v>0.0</v>
      </c>
      <c r="E354" s="1074">
        <v>1.0</v>
      </c>
      <c r="F354" s="1074">
        <v>0.0</v>
      </c>
      <c r="G354" s="331">
        <v>0.0</v>
      </c>
      <c r="H354" s="331">
        <v>0.0</v>
      </c>
      <c r="I354" s="331">
        <v>1.0</v>
      </c>
      <c r="J354" s="331">
        <v>0.0</v>
      </c>
      <c r="K354" s="331">
        <v>0.0</v>
      </c>
      <c r="L354" s="331">
        <v>0.0</v>
      </c>
      <c r="M354" s="331">
        <v>1.0</v>
      </c>
      <c r="N354" s="331">
        <v>2.0</v>
      </c>
      <c r="O354" s="331">
        <v>0.0</v>
      </c>
      <c r="P354" s="331">
        <v>2.0</v>
      </c>
      <c r="Q354" s="331">
        <v>0.0</v>
      </c>
      <c r="R354" s="331">
        <v>0.0</v>
      </c>
      <c r="S354" s="331">
        <v>0.0</v>
      </c>
      <c r="T354" s="331">
        <v>0.0</v>
      </c>
      <c r="U354" s="331">
        <v>0.0</v>
      </c>
      <c r="V354" s="331">
        <v>0.0</v>
      </c>
      <c r="W354" s="331">
        <v>1.0</v>
      </c>
      <c r="X354" s="331">
        <v>1.0</v>
      </c>
      <c r="Y354" s="331">
        <v>1.0</v>
      </c>
      <c r="Z354" s="331">
        <v>0.0</v>
      </c>
      <c r="AA354" s="331">
        <v>0.0</v>
      </c>
      <c r="AB354" s="331">
        <v>0.0</v>
      </c>
      <c r="AC354" s="331">
        <v>1.0</v>
      </c>
      <c r="AD354" s="331">
        <v>0.0</v>
      </c>
      <c r="AE354" s="331">
        <v>0.0</v>
      </c>
      <c r="AF354" s="1015">
        <f t="shared" si="125"/>
        <v>11</v>
      </c>
    </row>
    <row r="355">
      <c r="A355" s="1093" t="s">
        <v>1037</v>
      </c>
      <c r="B355" s="331">
        <v>0.0</v>
      </c>
      <c r="C355" s="331">
        <v>0.0</v>
      </c>
      <c r="D355" s="331">
        <v>0.0</v>
      </c>
      <c r="E355" s="1074">
        <v>0.0</v>
      </c>
      <c r="F355" s="1074">
        <v>0.0</v>
      </c>
      <c r="G355" s="331">
        <v>1.0</v>
      </c>
      <c r="H355" s="331">
        <v>0.0</v>
      </c>
      <c r="I355" s="331">
        <v>0.0</v>
      </c>
      <c r="J355" s="331">
        <v>1.0</v>
      </c>
      <c r="K355" s="331">
        <v>1.0</v>
      </c>
      <c r="L355" s="331">
        <v>0.0</v>
      </c>
      <c r="M355" s="331">
        <v>0.0</v>
      </c>
      <c r="N355" s="331">
        <v>0.0</v>
      </c>
      <c r="O355" s="331">
        <v>0.0</v>
      </c>
      <c r="P355" s="331">
        <v>0.0</v>
      </c>
      <c r="Q355" s="331">
        <v>0.0</v>
      </c>
      <c r="R355" s="331">
        <v>0.0</v>
      </c>
      <c r="S355" s="331">
        <v>0.0</v>
      </c>
      <c r="T355" s="331">
        <v>0.0</v>
      </c>
      <c r="U355" s="331">
        <v>0.0</v>
      </c>
      <c r="V355" s="331">
        <v>0.0</v>
      </c>
      <c r="W355" s="331">
        <v>0.0</v>
      </c>
      <c r="X355" s="331">
        <v>0.0</v>
      </c>
      <c r="Y355" s="331">
        <v>0.0</v>
      </c>
      <c r="Z355" s="331">
        <v>0.0</v>
      </c>
      <c r="AA355" s="331">
        <v>0.0</v>
      </c>
      <c r="AB355" s="331">
        <v>0.0</v>
      </c>
      <c r="AC355" s="331">
        <v>0.0</v>
      </c>
      <c r="AD355" s="331">
        <v>0.0</v>
      </c>
      <c r="AE355" s="331">
        <v>0.0</v>
      </c>
      <c r="AF355" s="1015">
        <f t="shared" si="125"/>
        <v>3</v>
      </c>
    </row>
    <row r="356">
      <c r="A356" s="1093" t="s">
        <v>1038</v>
      </c>
      <c r="B356" s="331"/>
      <c r="C356" s="331"/>
      <c r="D356" s="331"/>
      <c r="E356" s="1074"/>
      <c r="F356" s="1074"/>
      <c r="G356" s="331"/>
      <c r="H356" s="331"/>
      <c r="I356" s="331"/>
      <c r="J356" s="331"/>
      <c r="K356" s="331"/>
      <c r="L356" s="331"/>
      <c r="M356" s="331"/>
      <c r="N356" s="331"/>
      <c r="O356" s="331"/>
      <c r="P356" s="331"/>
      <c r="Q356" s="331"/>
      <c r="R356" s="331"/>
      <c r="S356" s="331">
        <v>2.0</v>
      </c>
      <c r="T356" s="331">
        <v>0.0</v>
      </c>
      <c r="U356" s="331">
        <v>0.0</v>
      </c>
      <c r="V356" s="331">
        <v>0.0</v>
      </c>
      <c r="W356" s="331">
        <v>0.0</v>
      </c>
      <c r="X356" s="331">
        <v>0.0</v>
      </c>
      <c r="Y356" s="331">
        <v>0.0</v>
      </c>
      <c r="Z356" s="331">
        <v>1.0</v>
      </c>
      <c r="AA356" s="331">
        <v>0.0</v>
      </c>
      <c r="AB356" s="331">
        <v>0.0</v>
      </c>
      <c r="AC356" s="331">
        <v>0.0</v>
      </c>
      <c r="AD356" s="331">
        <v>0.0</v>
      </c>
      <c r="AE356" s="331">
        <v>0.0</v>
      </c>
      <c r="AF356" s="1015"/>
    </row>
    <row r="357">
      <c r="A357" s="1096" t="s">
        <v>581</v>
      </c>
      <c r="B357" s="317">
        <f t="shared" ref="B357:M357" si="126">SUM(B351:B355)</f>
        <v>0</v>
      </c>
      <c r="C357" s="317">
        <f t="shared" si="126"/>
        <v>0</v>
      </c>
      <c r="D357" s="317">
        <f t="shared" si="126"/>
        <v>0</v>
      </c>
      <c r="E357" s="317">
        <f t="shared" si="126"/>
        <v>1</v>
      </c>
      <c r="F357" s="317">
        <f t="shared" si="126"/>
        <v>0</v>
      </c>
      <c r="G357" s="317">
        <f t="shared" si="126"/>
        <v>1</v>
      </c>
      <c r="H357" s="317">
        <f t="shared" si="126"/>
        <v>0</v>
      </c>
      <c r="I357" s="317">
        <f t="shared" si="126"/>
        <v>1</v>
      </c>
      <c r="J357" s="317">
        <f t="shared" si="126"/>
        <v>1</v>
      </c>
      <c r="K357" s="317">
        <f t="shared" si="126"/>
        <v>1</v>
      </c>
      <c r="L357" s="317">
        <f t="shared" si="126"/>
        <v>0</v>
      </c>
      <c r="M357" s="317">
        <f t="shared" si="126"/>
        <v>1</v>
      </c>
      <c r="N357" s="425">
        <v>0.0</v>
      </c>
      <c r="O357" s="317">
        <f t="shared" ref="O357:R357" si="127">SUM(O351:O355)</f>
        <v>0</v>
      </c>
      <c r="P357" s="317">
        <f t="shared" si="127"/>
        <v>6</v>
      </c>
      <c r="Q357" s="317">
        <f t="shared" si="127"/>
        <v>0</v>
      </c>
      <c r="R357" s="317">
        <f t="shared" si="127"/>
        <v>1</v>
      </c>
      <c r="S357" s="317">
        <f t="shared" ref="S357:AE357" si="128">SUM(S351:S356)</f>
        <v>2</v>
      </c>
      <c r="T357" s="317">
        <f t="shared" si="128"/>
        <v>0</v>
      </c>
      <c r="U357" s="317">
        <f t="shared" si="128"/>
        <v>1</v>
      </c>
      <c r="V357" s="317">
        <f t="shared" si="128"/>
        <v>0</v>
      </c>
      <c r="W357" s="317">
        <f t="shared" si="128"/>
        <v>1</v>
      </c>
      <c r="X357" s="317">
        <f t="shared" si="128"/>
        <v>2</v>
      </c>
      <c r="Y357" s="317">
        <f t="shared" si="128"/>
        <v>3</v>
      </c>
      <c r="Z357" s="317">
        <f t="shared" si="128"/>
        <v>1</v>
      </c>
      <c r="AA357" s="317">
        <f t="shared" si="128"/>
        <v>0</v>
      </c>
      <c r="AB357" s="317">
        <f t="shared" si="128"/>
        <v>0</v>
      </c>
      <c r="AC357" s="317">
        <f t="shared" si="128"/>
        <v>1</v>
      </c>
      <c r="AD357" s="317">
        <f t="shared" si="128"/>
        <v>0</v>
      </c>
      <c r="AE357" s="317">
        <f t="shared" si="128"/>
        <v>2</v>
      </c>
      <c r="AF357" s="1015">
        <f>SUM(B357:AE357)</f>
        <v>26</v>
      </c>
    </row>
    <row r="358">
      <c r="A358" s="20"/>
      <c r="B358" s="651"/>
      <c r="C358" s="651"/>
      <c r="D358" s="651"/>
      <c r="E358" s="651"/>
      <c r="F358" s="651"/>
      <c r="G358" s="651"/>
      <c r="H358" s="651"/>
      <c r="I358" s="582"/>
      <c r="J358" s="582"/>
      <c r="K358" s="582"/>
      <c r="L358" s="582"/>
      <c r="M358" s="582"/>
      <c r="N358" s="582"/>
      <c r="O358" s="582"/>
      <c r="P358" s="582"/>
      <c r="Q358" s="582"/>
      <c r="R358" s="582"/>
      <c r="S358" s="582"/>
      <c r="T358" s="582"/>
      <c r="U358" s="582"/>
      <c r="V358" s="582"/>
      <c r="W358" s="582"/>
      <c r="X358" s="582"/>
      <c r="Y358" s="582"/>
      <c r="Z358" s="582"/>
      <c r="AA358" s="582"/>
      <c r="AB358" s="582"/>
      <c r="AC358" s="582"/>
      <c r="AD358" s="582"/>
      <c r="AE358" s="582"/>
      <c r="AF358" s="1015"/>
    </row>
    <row r="359">
      <c r="A359" s="1093" t="s">
        <v>968</v>
      </c>
      <c r="B359" s="331">
        <v>0.0</v>
      </c>
      <c r="C359" s="331">
        <v>0.0</v>
      </c>
      <c r="D359" s="331">
        <v>0.0</v>
      </c>
      <c r="E359" s="331">
        <v>0.0</v>
      </c>
      <c r="F359" s="1074">
        <v>0.0</v>
      </c>
      <c r="G359" s="1074">
        <v>0.0</v>
      </c>
      <c r="H359" s="1074">
        <v>0.0</v>
      </c>
      <c r="I359" s="331">
        <v>0.0</v>
      </c>
      <c r="J359" s="331">
        <v>0.0</v>
      </c>
      <c r="K359" s="331">
        <v>0.0</v>
      </c>
      <c r="L359" s="331">
        <v>0.0</v>
      </c>
      <c r="M359" s="331">
        <v>0.0</v>
      </c>
      <c r="N359" s="331">
        <v>0.0</v>
      </c>
      <c r="O359" s="331">
        <v>0.0</v>
      </c>
      <c r="P359" s="331">
        <v>0.0</v>
      </c>
      <c r="Q359" s="331">
        <v>0.0</v>
      </c>
      <c r="R359" s="331">
        <v>0.0</v>
      </c>
      <c r="S359" s="331">
        <v>0.0</v>
      </c>
      <c r="T359" s="331">
        <v>0.0</v>
      </c>
      <c r="U359" s="331">
        <v>0.0</v>
      </c>
      <c r="V359" s="331">
        <v>0.0</v>
      </c>
      <c r="W359" s="331">
        <v>0.0</v>
      </c>
      <c r="X359" s="331">
        <v>0.0</v>
      </c>
      <c r="Y359" s="331">
        <v>0.0</v>
      </c>
      <c r="Z359" s="331">
        <v>0.0</v>
      </c>
      <c r="AA359" s="331">
        <v>0.0</v>
      </c>
      <c r="AB359" s="331">
        <v>0.0</v>
      </c>
      <c r="AC359" s="331">
        <v>0.0</v>
      </c>
      <c r="AD359" s="331">
        <v>0.0</v>
      </c>
      <c r="AE359" s="331">
        <v>0.0</v>
      </c>
      <c r="AF359" s="1015">
        <f t="shared" ref="AF359:AF363" si="129">SUM(B359:AE359)</f>
        <v>0</v>
      </c>
    </row>
    <row r="360">
      <c r="A360" s="1093" t="s">
        <v>969</v>
      </c>
      <c r="B360" s="1075"/>
      <c r="C360" s="1075"/>
      <c r="D360" s="1075"/>
      <c r="E360" s="1075"/>
      <c r="F360" s="1075"/>
      <c r="G360" s="1075"/>
      <c r="H360" s="1075"/>
      <c r="I360" s="694"/>
      <c r="J360" s="694"/>
      <c r="K360" s="694"/>
      <c r="L360" s="694"/>
      <c r="M360" s="694"/>
      <c r="N360" s="694"/>
      <c r="O360" s="694"/>
      <c r="P360" s="694"/>
      <c r="Q360" s="694"/>
      <c r="R360" s="694"/>
      <c r="S360" s="694"/>
      <c r="T360" s="1075"/>
      <c r="U360" s="694"/>
      <c r="V360" s="694"/>
      <c r="W360" s="694"/>
      <c r="X360" s="694"/>
      <c r="Y360" s="694"/>
      <c r="Z360" s="694"/>
      <c r="AA360" s="694"/>
      <c r="AB360" s="694"/>
      <c r="AC360" s="694"/>
      <c r="AD360" s="694"/>
      <c r="AE360" s="694"/>
      <c r="AF360" s="1015">
        <f t="shared" si="129"/>
        <v>0</v>
      </c>
    </row>
    <row r="361">
      <c r="A361" s="1093" t="s">
        <v>970</v>
      </c>
      <c r="B361" s="331">
        <v>0.0</v>
      </c>
      <c r="C361" s="331">
        <v>0.0</v>
      </c>
      <c r="D361" s="331">
        <v>0.0</v>
      </c>
      <c r="E361" s="331">
        <v>0.0</v>
      </c>
      <c r="F361" s="1074">
        <v>0.0</v>
      </c>
      <c r="G361" s="1074">
        <v>0.0</v>
      </c>
      <c r="H361" s="1074">
        <v>0.0</v>
      </c>
      <c r="I361" s="331">
        <v>0.0</v>
      </c>
      <c r="J361" s="331">
        <v>0.0</v>
      </c>
      <c r="K361" s="331">
        <v>0.0</v>
      </c>
      <c r="L361" s="331">
        <v>0.0</v>
      </c>
      <c r="M361" s="331">
        <v>0.0</v>
      </c>
      <c r="N361" s="331">
        <v>0.0</v>
      </c>
      <c r="O361" s="331">
        <v>0.0</v>
      </c>
      <c r="P361" s="331">
        <v>0.0</v>
      </c>
      <c r="Q361" s="331">
        <v>0.0</v>
      </c>
      <c r="R361" s="331">
        <v>0.0</v>
      </c>
      <c r="S361" s="331">
        <v>0.0</v>
      </c>
      <c r="T361" s="331">
        <v>0.0</v>
      </c>
      <c r="U361" s="331">
        <v>0.0</v>
      </c>
      <c r="V361" s="331">
        <v>0.0</v>
      </c>
      <c r="W361" s="331">
        <v>0.0</v>
      </c>
      <c r="X361" s="331">
        <v>0.0</v>
      </c>
      <c r="Y361" s="331">
        <v>0.0</v>
      </c>
      <c r="Z361" s="331">
        <v>0.0</v>
      </c>
      <c r="AA361" s="331">
        <v>0.0</v>
      </c>
      <c r="AB361" s="331">
        <v>0.0</v>
      </c>
      <c r="AC361" s="331">
        <v>0.0</v>
      </c>
      <c r="AD361" s="331">
        <v>0.0</v>
      </c>
      <c r="AE361" s="331">
        <v>0.0</v>
      </c>
      <c r="AF361" s="1015">
        <f t="shared" si="129"/>
        <v>0</v>
      </c>
    </row>
    <row r="362">
      <c r="A362" s="1093" t="s">
        <v>1039</v>
      </c>
      <c r="B362" s="331">
        <v>0.0</v>
      </c>
      <c r="C362" s="331">
        <v>0.0</v>
      </c>
      <c r="D362" s="331">
        <v>0.0</v>
      </c>
      <c r="E362" s="331">
        <v>0.0</v>
      </c>
      <c r="F362" s="1074">
        <v>0.0</v>
      </c>
      <c r="G362" s="1074">
        <v>0.0</v>
      </c>
      <c r="H362" s="1074">
        <v>0.0</v>
      </c>
      <c r="I362" s="331">
        <v>0.0</v>
      </c>
      <c r="J362" s="331">
        <v>0.0</v>
      </c>
      <c r="K362" s="331">
        <v>0.0</v>
      </c>
      <c r="L362" s="331">
        <v>0.0</v>
      </c>
      <c r="M362" s="331">
        <v>0.0</v>
      </c>
      <c r="N362" s="331">
        <v>0.0</v>
      </c>
      <c r="O362" s="331">
        <v>0.0</v>
      </c>
      <c r="P362" s="331">
        <v>0.0</v>
      </c>
      <c r="Q362" s="331">
        <v>0.0</v>
      </c>
      <c r="R362" s="331">
        <v>0.0</v>
      </c>
      <c r="S362" s="331">
        <v>0.0</v>
      </c>
      <c r="T362" s="331">
        <v>0.0</v>
      </c>
      <c r="U362" s="331">
        <v>1.0</v>
      </c>
      <c r="V362" s="331">
        <v>0.0</v>
      </c>
      <c r="W362" s="331">
        <v>0.0</v>
      </c>
      <c r="X362" s="331">
        <v>0.0</v>
      </c>
      <c r="Y362" s="331">
        <v>1.0</v>
      </c>
      <c r="Z362" s="331">
        <v>0.0</v>
      </c>
      <c r="AA362" s="331">
        <v>0.0</v>
      </c>
      <c r="AB362" s="331">
        <v>0.0</v>
      </c>
      <c r="AC362" s="331">
        <v>0.0</v>
      </c>
      <c r="AD362" s="331">
        <v>0.0</v>
      </c>
      <c r="AE362" s="331">
        <v>0.0</v>
      </c>
      <c r="AF362" s="1015">
        <f t="shared" si="129"/>
        <v>2</v>
      </c>
    </row>
    <row r="363">
      <c r="A363" s="1093" t="s">
        <v>1040</v>
      </c>
      <c r="B363" s="331">
        <v>0.0</v>
      </c>
      <c r="C363" s="331">
        <v>0.0</v>
      </c>
      <c r="D363" s="331">
        <v>0.0</v>
      </c>
      <c r="E363" s="331">
        <v>0.0</v>
      </c>
      <c r="F363" s="1074">
        <v>0.0</v>
      </c>
      <c r="G363" s="1074">
        <v>0.0</v>
      </c>
      <c r="H363" s="1074">
        <v>0.0</v>
      </c>
      <c r="I363" s="331">
        <v>0.0</v>
      </c>
      <c r="J363" s="331">
        <v>0.0</v>
      </c>
      <c r="K363" s="331">
        <v>0.0</v>
      </c>
      <c r="L363" s="331">
        <v>0.0</v>
      </c>
      <c r="M363" s="331">
        <v>0.0</v>
      </c>
      <c r="N363" s="331">
        <v>0.0</v>
      </c>
      <c r="O363" s="331">
        <v>0.0</v>
      </c>
      <c r="P363" s="331">
        <v>0.0</v>
      </c>
      <c r="Q363" s="331">
        <v>0.0</v>
      </c>
      <c r="R363" s="331">
        <v>0.0</v>
      </c>
      <c r="S363" s="331">
        <v>0.0</v>
      </c>
      <c r="T363" s="331">
        <v>0.0</v>
      </c>
      <c r="U363" s="331">
        <v>0.0</v>
      </c>
      <c r="V363" s="331">
        <v>0.0</v>
      </c>
      <c r="W363" s="331">
        <v>0.0</v>
      </c>
      <c r="X363" s="331">
        <v>0.0</v>
      </c>
      <c r="Y363" s="331">
        <v>0.0</v>
      </c>
      <c r="Z363" s="331">
        <v>0.0</v>
      </c>
      <c r="AA363" s="331">
        <v>0.0</v>
      </c>
      <c r="AB363" s="331">
        <v>0.0</v>
      </c>
      <c r="AC363" s="331">
        <v>0.0</v>
      </c>
      <c r="AD363" s="331">
        <v>0.0</v>
      </c>
      <c r="AE363" s="331">
        <v>0.0</v>
      </c>
      <c r="AF363" s="1015">
        <f t="shared" si="129"/>
        <v>0</v>
      </c>
    </row>
    <row r="364">
      <c r="A364" s="1093" t="s">
        <v>1041</v>
      </c>
      <c r="B364" s="331"/>
      <c r="C364" s="331"/>
      <c r="D364" s="331"/>
      <c r="E364" s="331"/>
      <c r="F364" s="1074"/>
      <c r="G364" s="1074"/>
      <c r="H364" s="1074"/>
      <c r="I364" s="331"/>
      <c r="J364" s="331"/>
      <c r="K364" s="331"/>
      <c r="L364" s="331"/>
      <c r="M364" s="331"/>
      <c r="N364" s="331"/>
      <c r="O364" s="331"/>
      <c r="P364" s="331"/>
      <c r="Q364" s="331"/>
      <c r="R364" s="331"/>
      <c r="S364" s="331">
        <v>0.0</v>
      </c>
      <c r="T364" s="331">
        <v>0.0</v>
      </c>
      <c r="U364" s="331">
        <v>1.0</v>
      </c>
      <c r="V364" s="331">
        <v>1.0</v>
      </c>
      <c r="W364" s="331">
        <v>0.0</v>
      </c>
      <c r="X364" s="331">
        <v>0.0</v>
      </c>
      <c r="Y364" s="331">
        <v>0.0</v>
      </c>
      <c r="Z364" s="331">
        <v>0.0</v>
      </c>
      <c r="AA364" s="331">
        <v>0.0</v>
      </c>
      <c r="AB364" s="331">
        <v>0.0</v>
      </c>
      <c r="AC364" s="331">
        <v>0.0</v>
      </c>
      <c r="AD364" s="331">
        <v>0.0</v>
      </c>
      <c r="AE364" s="331">
        <v>0.0</v>
      </c>
      <c r="AF364" s="1015"/>
    </row>
    <row r="365">
      <c r="A365" s="1096" t="s">
        <v>977</v>
      </c>
      <c r="B365" s="317">
        <f t="shared" ref="B365:R365" si="130">SUM(B359:B363)</f>
        <v>0</v>
      </c>
      <c r="C365" s="317">
        <f t="shared" si="130"/>
        <v>0</v>
      </c>
      <c r="D365" s="317">
        <f t="shared" si="130"/>
        <v>0</v>
      </c>
      <c r="E365" s="317">
        <f t="shared" si="130"/>
        <v>0</v>
      </c>
      <c r="F365" s="317">
        <f t="shared" si="130"/>
        <v>0</v>
      </c>
      <c r="G365" s="317">
        <f t="shared" si="130"/>
        <v>0</v>
      </c>
      <c r="H365" s="317">
        <f t="shared" si="130"/>
        <v>0</v>
      </c>
      <c r="I365" s="317">
        <f t="shared" si="130"/>
        <v>0</v>
      </c>
      <c r="J365" s="317">
        <f t="shared" si="130"/>
        <v>0</v>
      </c>
      <c r="K365" s="317">
        <f t="shared" si="130"/>
        <v>0</v>
      </c>
      <c r="L365" s="317">
        <f t="shared" si="130"/>
        <v>0</v>
      </c>
      <c r="M365" s="317">
        <f t="shared" si="130"/>
        <v>0</v>
      </c>
      <c r="N365" s="317">
        <f t="shared" si="130"/>
        <v>0</v>
      </c>
      <c r="O365" s="317">
        <f t="shared" si="130"/>
        <v>0</v>
      </c>
      <c r="P365" s="317">
        <f t="shared" si="130"/>
        <v>0</v>
      </c>
      <c r="Q365" s="317">
        <f t="shared" si="130"/>
        <v>0</v>
      </c>
      <c r="R365" s="317">
        <f t="shared" si="130"/>
        <v>0</v>
      </c>
      <c r="S365" s="317">
        <f t="shared" ref="S365:Y365" si="131">SUM(S359:S364)</f>
        <v>0</v>
      </c>
      <c r="T365" s="317">
        <f t="shared" si="131"/>
        <v>0</v>
      </c>
      <c r="U365" s="317">
        <f t="shared" si="131"/>
        <v>2</v>
      </c>
      <c r="V365" s="317">
        <f t="shared" si="131"/>
        <v>1</v>
      </c>
      <c r="W365" s="317">
        <f t="shared" si="131"/>
        <v>0</v>
      </c>
      <c r="X365" s="317">
        <f t="shared" si="131"/>
        <v>0</v>
      </c>
      <c r="Y365" s="317">
        <f t="shared" si="131"/>
        <v>1</v>
      </c>
      <c r="Z365" s="317">
        <f>SUM(Z359:Z363)</f>
        <v>0</v>
      </c>
      <c r="AA365" s="317">
        <f t="shared" ref="AA365:AC365" si="132">SUM(AA359:AA364)</f>
        <v>0</v>
      </c>
      <c r="AB365" s="317">
        <f t="shared" si="132"/>
        <v>0</v>
      </c>
      <c r="AC365" s="317">
        <f t="shared" si="132"/>
        <v>0</v>
      </c>
      <c r="AD365" s="317">
        <f t="shared" ref="AD365:AE365" si="133">SUM(AD359:AD363)</f>
        <v>0</v>
      </c>
      <c r="AE365" s="317">
        <f t="shared" si="133"/>
        <v>0</v>
      </c>
      <c r="AF365" s="1015">
        <f>SUM(B365:AE365)</f>
        <v>4</v>
      </c>
    </row>
    <row r="366">
      <c r="A366" s="20"/>
      <c r="B366" s="651"/>
      <c r="C366" s="651"/>
      <c r="D366" s="651"/>
      <c r="E366" s="651"/>
      <c r="F366" s="651"/>
      <c r="G366" s="651"/>
      <c r="H366" s="651"/>
      <c r="I366" s="582"/>
      <c r="J366" s="582"/>
      <c r="K366" s="582"/>
      <c r="L366" s="582"/>
      <c r="M366" s="582"/>
      <c r="N366" s="582"/>
      <c r="O366" s="582"/>
      <c r="P366" s="582"/>
      <c r="Q366" s="582"/>
      <c r="R366" s="582"/>
      <c r="S366" s="582"/>
      <c r="T366" s="582"/>
      <c r="U366" s="582"/>
      <c r="V366" s="582"/>
      <c r="W366" s="582"/>
      <c r="X366" s="582"/>
      <c r="Y366" s="582"/>
      <c r="Z366" s="582"/>
      <c r="AA366" s="582"/>
      <c r="AB366" s="582"/>
      <c r="AC366" s="582"/>
      <c r="AD366" s="582"/>
      <c r="AE366" s="582"/>
      <c r="AF366" s="1015"/>
    </row>
    <row r="367">
      <c r="A367" s="1093" t="s">
        <v>979</v>
      </c>
      <c r="B367" s="1075"/>
      <c r="C367" s="1075"/>
      <c r="D367" s="1075"/>
      <c r="E367" s="1075"/>
      <c r="F367" s="1075"/>
      <c r="G367" s="694"/>
      <c r="H367" s="694"/>
      <c r="I367" s="694"/>
      <c r="J367" s="694"/>
      <c r="K367" s="1075"/>
      <c r="L367" s="694"/>
      <c r="M367" s="694"/>
      <c r="N367" s="694"/>
      <c r="O367" s="694"/>
      <c r="P367" s="694"/>
      <c r="Q367" s="694"/>
      <c r="R367" s="694"/>
      <c r="S367" s="694"/>
      <c r="T367" s="694"/>
      <c r="U367" s="694"/>
      <c r="V367" s="694"/>
      <c r="W367" s="694"/>
      <c r="X367" s="694"/>
      <c r="Y367" s="694"/>
      <c r="Z367" s="694"/>
      <c r="AA367" s="694"/>
      <c r="AB367" s="694"/>
      <c r="AC367" s="694"/>
      <c r="AD367" s="694"/>
      <c r="AE367" s="694"/>
      <c r="AF367" s="1015">
        <f t="shared" ref="AF367:AF371" si="134">SUM(B367:AE367)</f>
        <v>0</v>
      </c>
    </row>
    <row r="368">
      <c r="A368" s="1093" t="s">
        <v>980</v>
      </c>
      <c r="B368" s="1075"/>
      <c r="C368" s="1075"/>
      <c r="D368" s="1075"/>
      <c r="E368" s="1075"/>
      <c r="F368" s="1075"/>
      <c r="G368" s="694"/>
      <c r="H368" s="694"/>
      <c r="I368" s="694"/>
      <c r="J368" s="694"/>
      <c r="K368" s="1075"/>
      <c r="L368" s="694"/>
      <c r="M368" s="694"/>
      <c r="N368" s="694"/>
      <c r="O368" s="694"/>
      <c r="P368" s="694"/>
      <c r="Q368" s="694"/>
      <c r="R368" s="694"/>
      <c r="S368" s="694"/>
      <c r="T368" s="694"/>
      <c r="U368" s="694"/>
      <c r="V368" s="694"/>
      <c r="W368" s="694"/>
      <c r="X368" s="694"/>
      <c r="Y368" s="694"/>
      <c r="Z368" s="694"/>
      <c r="AA368" s="694"/>
      <c r="AB368" s="694"/>
      <c r="AC368" s="694"/>
      <c r="AD368" s="694"/>
      <c r="AE368" s="694"/>
      <c r="AF368" s="1015">
        <f t="shared" si="134"/>
        <v>0</v>
      </c>
    </row>
    <row r="369">
      <c r="A369" s="1093" t="s">
        <v>981</v>
      </c>
      <c r="B369" s="1077"/>
      <c r="C369" s="1077"/>
      <c r="D369" s="1077"/>
      <c r="E369" s="1077"/>
      <c r="F369" s="623"/>
      <c r="G369" s="623"/>
      <c r="H369" s="623"/>
      <c r="I369" s="623"/>
      <c r="J369" s="1077"/>
      <c r="K369" s="623"/>
      <c r="L369" s="1077"/>
      <c r="M369" s="1077"/>
      <c r="N369" s="1077"/>
      <c r="O369" s="694"/>
      <c r="P369" s="694"/>
      <c r="Q369" s="694"/>
      <c r="R369" s="694"/>
      <c r="S369" s="694"/>
      <c r="T369" s="694"/>
      <c r="U369" s="694"/>
      <c r="V369" s="694"/>
      <c r="W369" s="694"/>
      <c r="X369" s="694"/>
      <c r="Y369" s="694"/>
      <c r="Z369" s="694"/>
      <c r="AA369" s="694"/>
      <c r="AB369" s="694"/>
      <c r="AC369" s="694"/>
      <c r="AD369" s="694"/>
      <c r="AE369" s="694"/>
      <c r="AF369" s="1015">
        <f t="shared" si="134"/>
        <v>0</v>
      </c>
    </row>
    <row r="370">
      <c r="A370" s="1093" t="s">
        <v>1042</v>
      </c>
      <c r="B370" s="1077"/>
      <c r="C370" s="1077"/>
      <c r="D370" s="1077"/>
      <c r="E370" s="1077"/>
      <c r="F370" s="623"/>
      <c r="G370" s="623"/>
      <c r="H370" s="623"/>
      <c r="I370" s="623"/>
      <c r="J370" s="623"/>
      <c r="K370" s="623"/>
      <c r="L370" s="623"/>
      <c r="M370" s="623"/>
      <c r="N370" s="623"/>
      <c r="O370" s="694"/>
      <c r="P370" s="694"/>
      <c r="Q370" s="694"/>
      <c r="R370" s="694"/>
      <c r="S370" s="694"/>
      <c r="T370" s="694"/>
      <c r="U370" s="694"/>
      <c r="V370" s="694"/>
      <c r="W370" s="694"/>
      <c r="X370" s="694"/>
      <c r="Y370" s="694"/>
      <c r="Z370" s="694"/>
      <c r="AA370" s="694"/>
      <c r="AB370" s="694"/>
      <c r="AC370" s="694"/>
      <c r="AD370" s="694"/>
      <c r="AE370" s="694"/>
      <c r="AF370" s="1015">
        <f t="shared" si="134"/>
        <v>0</v>
      </c>
    </row>
    <row r="371">
      <c r="A371" s="1093" t="s">
        <v>1043</v>
      </c>
      <c r="B371" s="1075"/>
      <c r="C371" s="1075"/>
      <c r="D371" s="1075"/>
      <c r="E371" s="1075"/>
      <c r="F371" s="694"/>
      <c r="G371" s="694"/>
      <c r="H371" s="694"/>
      <c r="I371" s="694"/>
      <c r="J371" s="694"/>
      <c r="K371" s="694"/>
      <c r="L371" s="694"/>
      <c r="M371" s="694"/>
      <c r="N371" s="694"/>
      <c r="O371" s="694"/>
      <c r="P371" s="694"/>
      <c r="Q371" s="694"/>
      <c r="R371" s="694"/>
      <c r="S371" s="694"/>
      <c r="T371" s="694"/>
      <c r="U371" s="694"/>
      <c r="V371" s="694"/>
      <c r="W371" s="694"/>
      <c r="X371" s="694"/>
      <c r="Y371" s="694"/>
      <c r="Z371" s="694"/>
      <c r="AA371" s="694"/>
      <c r="AB371" s="694"/>
      <c r="AC371" s="694"/>
      <c r="AD371" s="694"/>
      <c r="AE371" s="694"/>
      <c r="AF371" s="1015">
        <f t="shared" si="134"/>
        <v>0</v>
      </c>
    </row>
    <row r="372">
      <c r="A372" s="1093" t="s">
        <v>1044</v>
      </c>
      <c r="B372" s="1075"/>
      <c r="C372" s="1075"/>
      <c r="D372" s="1075"/>
      <c r="E372" s="1075"/>
      <c r="F372" s="694"/>
      <c r="G372" s="694"/>
      <c r="H372" s="694"/>
      <c r="I372" s="694"/>
      <c r="J372" s="694"/>
      <c r="K372" s="694"/>
      <c r="L372" s="694"/>
      <c r="M372" s="694"/>
      <c r="N372" s="694"/>
      <c r="O372" s="694"/>
      <c r="P372" s="694"/>
      <c r="Q372" s="694"/>
      <c r="R372" s="694"/>
      <c r="S372" s="694"/>
      <c r="T372" s="694"/>
      <c r="U372" s="694"/>
      <c r="V372" s="694"/>
      <c r="W372" s="694"/>
      <c r="X372" s="694"/>
      <c r="Y372" s="694"/>
      <c r="Z372" s="694"/>
      <c r="AA372" s="694"/>
      <c r="AB372" s="694"/>
      <c r="AC372" s="694"/>
      <c r="AD372" s="694"/>
      <c r="AE372" s="694"/>
      <c r="AF372" s="1015"/>
    </row>
    <row r="373">
      <c r="A373" s="1096" t="s">
        <v>988</v>
      </c>
      <c r="B373" s="317">
        <f t="shared" ref="B373:AE373" si="135">SUM(B367:B371)</f>
        <v>0</v>
      </c>
      <c r="C373" s="317">
        <f t="shared" si="135"/>
        <v>0</v>
      </c>
      <c r="D373" s="317">
        <f t="shared" si="135"/>
        <v>0</v>
      </c>
      <c r="E373" s="317">
        <f t="shared" si="135"/>
        <v>0</v>
      </c>
      <c r="F373" s="317">
        <f t="shared" si="135"/>
        <v>0</v>
      </c>
      <c r="G373" s="317">
        <f t="shared" si="135"/>
        <v>0</v>
      </c>
      <c r="H373" s="317">
        <f t="shared" si="135"/>
        <v>0</v>
      </c>
      <c r="I373" s="317">
        <f t="shared" si="135"/>
        <v>0</v>
      </c>
      <c r="J373" s="317">
        <f t="shared" si="135"/>
        <v>0</v>
      </c>
      <c r="K373" s="317">
        <f t="shared" si="135"/>
        <v>0</v>
      </c>
      <c r="L373" s="317">
        <f t="shared" si="135"/>
        <v>0</v>
      </c>
      <c r="M373" s="317">
        <f t="shared" si="135"/>
        <v>0</v>
      </c>
      <c r="N373" s="317">
        <f t="shared" si="135"/>
        <v>0</v>
      </c>
      <c r="O373" s="317">
        <f t="shared" si="135"/>
        <v>0</v>
      </c>
      <c r="P373" s="317">
        <f t="shared" si="135"/>
        <v>0</v>
      </c>
      <c r="Q373" s="317">
        <f t="shared" si="135"/>
        <v>0</v>
      </c>
      <c r="R373" s="317">
        <f t="shared" si="135"/>
        <v>0</v>
      </c>
      <c r="S373" s="317">
        <f t="shared" si="135"/>
        <v>0</v>
      </c>
      <c r="T373" s="317">
        <f t="shared" si="135"/>
        <v>0</v>
      </c>
      <c r="U373" s="317">
        <f t="shared" si="135"/>
        <v>0</v>
      </c>
      <c r="V373" s="317">
        <f t="shared" si="135"/>
        <v>0</v>
      </c>
      <c r="W373" s="317">
        <f t="shared" si="135"/>
        <v>0</v>
      </c>
      <c r="X373" s="317">
        <f t="shared" si="135"/>
        <v>0</v>
      </c>
      <c r="Y373" s="317">
        <f t="shared" si="135"/>
        <v>0</v>
      </c>
      <c r="Z373" s="317">
        <f t="shared" si="135"/>
        <v>0</v>
      </c>
      <c r="AA373" s="317">
        <f t="shared" si="135"/>
        <v>0</v>
      </c>
      <c r="AB373" s="317">
        <f t="shared" si="135"/>
        <v>0</v>
      </c>
      <c r="AC373" s="317">
        <f t="shared" si="135"/>
        <v>0</v>
      </c>
      <c r="AD373" s="317">
        <f t="shared" si="135"/>
        <v>0</v>
      </c>
      <c r="AE373" s="317">
        <f t="shared" si="135"/>
        <v>0</v>
      </c>
      <c r="AF373" s="1015">
        <f>SUM(B373:AE373)</f>
        <v>0</v>
      </c>
    </row>
    <row r="374">
      <c r="A374" s="854"/>
      <c r="B374" s="1097"/>
      <c r="T374" s="1066"/>
      <c r="U374" s="1066"/>
      <c r="V374" s="1066"/>
      <c r="W374" s="1066"/>
      <c r="X374" s="1066"/>
      <c r="Y374" s="1066"/>
      <c r="Z374" s="1066"/>
      <c r="AA374" s="1066"/>
      <c r="AB374" s="1066"/>
      <c r="AC374" s="1066"/>
      <c r="AD374" s="1066"/>
      <c r="AE374" s="1066"/>
      <c r="AF374" s="1015"/>
    </row>
    <row r="375">
      <c r="A375" s="1093" t="s">
        <v>1027</v>
      </c>
      <c r="B375" s="1075"/>
      <c r="C375" s="1075"/>
      <c r="D375" s="1075"/>
      <c r="E375" s="1075"/>
      <c r="F375" s="694"/>
      <c r="G375" s="1077"/>
      <c r="H375" s="623"/>
      <c r="I375" s="1077"/>
      <c r="J375" s="623"/>
      <c r="K375" s="623"/>
      <c r="L375" s="623"/>
      <c r="M375" s="623"/>
      <c r="N375" s="1077"/>
      <c r="O375" s="694"/>
      <c r="P375" s="694"/>
      <c r="Q375" s="694"/>
      <c r="R375" s="694"/>
      <c r="S375" s="694"/>
      <c r="T375" s="694"/>
      <c r="U375" s="694"/>
      <c r="V375" s="694"/>
      <c r="W375" s="694"/>
      <c r="X375" s="694"/>
      <c r="Y375" s="694"/>
      <c r="Z375" s="694"/>
      <c r="AA375" s="694"/>
      <c r="AB375" s="694"/>
      <c r="AC375" s="694"/>
      <c r="AD375" s="694"/>
      <c r="AE375" s="694"/>
      <c r="AF375" s="1015">
        <f t="shared" ref="AF375:AF377" si="136">SUM(B375:AE375)</f>
        <v>0</v>
      </c>
    </row>
    <row r="376">
      <c r="A376" s="1093" t="s">
        <v>1028</v>
      </c>
      <c r="B376" s="1075"/>
      <c r="C376" s="1075"/>
      <c r="D376" s="1075"/>
      <c r="E376" s="1075"/>
      <c r="F376" s="694"/>
      <c r="G376" s="623"/>
      <c r="H376" s="623"/>
      <c r="I376" s="623"/>
      <c r="J376" s="623"/>
      <c r="K376" s="623"/>
      <c r="L376" s="623"/>
      <c r="M376" s="623"/>
      <c r="N376" s="623"/>
      <c r="O376" s="694"/>
      <c r="P376" s="694"/>
      <c r="Q376" s="694"/>
      <c r="R376" s="694"/>
      <c r="S376" s="694"/>
      <c r="T376" s="694"/>
      <c r="U376" s="694"/>
      <c r="V376" s="694"/>
      <c r="W376" s="694"/>
      <c r="X376" s="694"/>
      <c r="Y376" s="694"/>
      <c r="Z376" s="694"/>
      <c r="AA376" s="694"/>
      <c r="AB376" s="694"/>
      <c r="AC376" s="694"/>
      <c r="AD376" s="694"/>
      <c r="AE376" s="694"/>
      <c r="AF376" s="1015">
        <f t="shared" si="136"/>
        <v>0</v>
      </c>
    </row>
    <row r="377">
      <c r="A377" s="1096" t="s">
        <v>95</v>
      </c>
      <c r="B377" s="1098">
        <f t="shared" ref="B377:AE377" si="137">SUM(B375:B376)</f>
        <v>0</v>
      </c>
      <c r="C377" s="317">
        <f t="shared" si="137"/>
        <v>0</v>
      </c>
      <c r="D377" s="317">
        <f t="shared" si="137"/>
        <v>0</v>
      </c>
      <c r="E377" s="317">
        <f t="shared" si="137"/>
        <v>0</v>
      </c>
      <c r="F377" s="317">
        <f t="shared" si="137"/>
        <v>0</v>
      </c>
      <c r="G377" s="317">
        <f t="shared" si="137"/>
        <v>0</v>
      </c>
      <c r="H377" s="317">
        <f t="shared" si="137"/>
        <v>0</v>
      </c>
      <c r="I377" s="317">
        <f t="shared" si="137"/>
        <v>0</v>
      </c>
      <c r="J377" s="317">
        <f t="shared" si="137"/>
        <v>0</v>
      </c>
      <c r="K377" s="317">
        <f t="shared" si="137"/>
        <v>0</v>
      </c>
      <c r="L377" s="317">
        <f t="shared" si="137"/>
        <v>0</v>
      </c>
      <c r="M377" s="317">
        <f t="shared" si="137"/>
        <v>0</v>
      </c>
      <c r="N377" s="317">
        <f t="shared" si="137"/>
        <v>0</v>
      </c>
      <c r="O377" s="317">
        <f t="shared" si="137"/>
        <v>0</v>
      </c>
      <c r="P377" s="317">
        <f t="shared" si="137"/>
        <v>0</v>
      </c>
      <c r="Q377" s="317">
        <f t="shared" si="137"/>
        <v>0</v>
      </c>
      <c r="R377" s="317">
        <f t="shared" si="137"/>
        <v>0</v>
      </c>
      <c r="S377" s="317">
        <f t="shared" si="137"/>
        <v>0</v>
      </c>
      <c r="T377" s="317">
        <f t="shared" si="137"/>
        <v>0</v>
      </c>
      <c r="U377" s="317">
        <f t="shared" si="137"/>
        <v>0</v>
      </c>
      <c r="V377" s="317">
        <f t="shared" si="137"/>
        <v>0</v>
      </c>
      <c r="W377" s="317">
        <f t="shared" si="137"/>
        <v>0</v>
      </c>
      <c r="X377" s="317">
        <f t="shared" si="137"/>
        <v>0</v>
      </c>
      <c r="Y377" s="317">
        <f t="shared" si="137"/>
        <v>0</v>
      </c>
      <c r="Z377" s="317">
        <f t="shared" si="137"/>
        <v>0</v>
      </c>
      <c r="AA377" s="317">
        <f t="shared" si="137"/>
        <v>0</v>
      </c>
      <c r="AB377" s="317">
        <f t="shared" si="137"/>
        <v>0</v>
      </c>
      <c r="AC377" s="317">
        <f t="shared" si="137"/>
        <v>0</v>
      </c>
      <c r="AD377" s="317">
        <f t="shared" si="137"/>
        <v>0</v>
      </c>
      <c r="AE377" s="317">
        <f t="shared" si="137"/>
        <v>0</v>
      </c>
      <c r="AF377" s="1015">
        <f t="shared" si="136"/>
        <v>0</v>
      </c>
    </row>
    <row r="378">
      <c r="A378" s="854"/>
      <c r="B378" s="1097"/>
      <c r="T378" s="1066"/>
      <c r="U378" s="1066"/>
      <c r="V378" s="1066"/>
      <c r="W378" s="1066"/>
      <c r="X378" s="1066"/>
      <c r="Y378" s="1066"/>
      <c r="Z378" s="1066"/>
      <c r="AA378" s="1066"/>
      <c r="AB378" s="1066"/>
      <c r="AC378" s="1066"/>
      <c r="AD378" s="1066"/>
      <c r="AE378" s="1066"/>
      <c r="AF378" s="700"/>
    </row>
    <row r="379">
      <c r="A379" s="854"/>
      <c r="T379" s="1066"/>
      <c r="U379" s="1066"/>
      <c r="V379" s="1066"/>
      <c r="W379" s="1066"/>
      <c r="X379" s="1066"/>
      <c r="Y379" s="1066"/>
      <c r="Z379" s="1066"/>
      <c r="AA379" s="1066"/>
      <c r="AB379" s="1066"/>
      <c r="AC379" s="1066"/>
      <c r="AD379" s="1066"/>
      <c r="AE379" s="1066"/>
      <c r="AF379" s="700"/>
    </row>
    <row r="380">
      <c r="A380" s="931" t="s">
        <v>1045</v>
      </c>
      <c r="T380" s="1066"/>
      <c r="U380" s="1066"/>
      <c r="V380" s="1066"/>
      <c r="W380" s="1066"/>
      <c r="X380" s="1066"/>
      <c r="Y380" s="1066"/>
      <c r="Z380" s="1066"/>
      <c r="AA380" s="1066"/>
      <c r="AB380" s="1066"/>
      <c r="AC380" s="1066"/>
      <c r="AD380" s="1066"/>
      <c r="AE380" s="1066"/>
      <c r="AF380" s="700"/>
    </row>
    <row r="381">
      <c r="A381" s="1093" t="s">
        <v>1030</v>
      </c>
      <c r="B381" s="331">
        <v>7.0</v>
      </c>
      <c r="C381" s="331">
        <v>0.0</v>
      </c>
      <c r="D381" s="331">
        <v>0.0</v>
      </c>
      <c r="E381" s="1074">
        <v>0.0</v>
      </c>
      <c r="F381" s="1074">
        <v>1.0</v>
      </c>
      <c r="G381" s="331">
        <v>2.0</v>
      </c>
      <c r="H381" s="331">
        <v>2.0</v>
      </c>
      <c r="I381" s="331">
        <v>0.0</v>
      </c>
      <c r="J381" s="331">
        <v>0.0</v>
      </c>
      <c r="K381" s="331">
        <v>0.0</v>
      </c>
      <c r="L381" s="331">
        <v>12.0</v>
      </c>
      <c r="M381" s="331">
        <v>17.0</v>
      </c>
      <c r="N381" s="331">
        <v>7.0</v>
      </c>
      <c r="O381" s="331">
        <v>13.0</v>
      </c>
      <c r="P381" s="331">
        <v>1.0</v>
      </c>
      <c r="Q381" s="331">
        <v>0.0</v>
      </c>
      <c r="R381" s="331">
        <v>0.0</v>
      </c>
      <c r="S381" s="331">
        <v>0.0</v>
      </c>
      <c r="T381" s="331">
        <v>1.0</v>
      </c>
      <c r="U381" s="331">
        <v>4.0</v>
      </c>
      <c r="V381" s="331">
        <v>2.0</v>
      </c>
      <c r="W381" s="331">
        <v>0.0</v>
      </c>
      <c r="X381" s="331">
        <v>0.0</v>
      </c>
      <c r="Y381" s="331">
        <v>0.0</v>
      </c>
      <c r="Z381" s="331">
        <v>0.0</v>
      </c>
      <c r="AA381" s="331">
        <v>1.0</v>
      </c>
      <c r="AB381" s="331">
        <v>7.0</v>
      </c>
      <c r="AC381" s="331">
        <v>1.0</v>
      </c>
      <c r="AD381" s="331">
        <v>0.0</v>
      </c>
      <c r="AE381" s="331">
        <v>2.0</v>
      </c>
      <c r="AF381" s="1015">
        <f t="shared" ref="AF381:AF388" si="138">SUM(B381:AE381)</f>
        <v>80</v>
      </c>
    </row>
    <row r="382">
      <c r="A382" s="1093" t="s">
        <v>1031</v>
      </c>
      <c r="B382" s="331">
        <v>9.0</v>
      </c>
      <c r="C382" s="331">
        <v>3.0</v>
      </c>
      <c r="D382" s="331">
        <v>3.0</v>
      </c>
      <c r="E382" s="1074">
        <v>0.0</v>
      </c>
      <c r="F382" s="1074">
        <v>4.0</v>
      </c>
      <c r="G382" s="331">
        <v>10.0</v>
      </c>
      <c r="H382" s="331">
        <v>3.0</v>
      </c>
      <c r="I382" s="331">
        <v>0.0</v>
      </c>
      <c r="J382" s="331">
        <v>0.0</v>
      </c>
      <c r="K382" s="331">
        <v>1.0</v>
      </c>
      <c r="L382" s="331">
        <v>11.0</v>
      </c>
      <c r="M382" s="331">
        <v>23.0</v>
      </c>
      <c r="N382" s="331">
        <v>13.0</v>
      </c>
      <c r="O382" s="331">
        <v>12.0</v>
      </c>
      <c r="P382" s="331">
        <v>1.0</v>
      </c>
      <c r="Q382" s="331">
        <v>0.0</v>
      </c>
      <c r="R382" s="331">
        <v>1.0</v>
      </c>
      <c r="S382" s="331">
        <v>3.0</v>
      </c>
      <c r="T382" s="331">
        <v>3.0</v>
      </c>
      <c r="U382" s="331">
        <v>7.0</v>
      </c>
      <c r="V382" s="331">
        <v>4.0</v>
      </c>
      <c r="W382" s="331">
        <v>1.0</v>
      </c>
      <c r="X382" s="331">
        <v>1.0</v>
      </c>
      <c r="Y382" s="331">
        <v>0.0</v>
      </c>
      <c r="Z382" s="331">
        <v>0.0</v>
      </c>
      <c r="AA382" s="331">
        <v>3.0</v>
      </c>
      <c r="AB382" s="331">
        <v>5.0</v>
      </c>
      <c r="AC382" s="331">
        <v>0.0</v>
      </c>
      <c r="AD382" s="331">
        <v>6.0</v>
      </c>
      <c r="AE382" s="331">
        <v>1.0</v>
      </c>
      <c r="AF382" s="1015">
        <f t="shared" si="138"/>
        <v>128</v>
      </c>
    </row>
    <row r="383">
      <c r="A383" s="1093" t="s">
        <v>1032</v>
      </c>
      <c r="B383" s="331">
        <v>0.0</v>
      </c>
      <c r="C383" s="331">
        <v>0.0</v>
      </c>
      <c r="D383" s="331">
        <v>0.0</v>
      </c>
      <c r="E383" s="1074">
        <v>0.0</v>
      </c>
      <c r="F383" s="1074">
        <v>0.0</v>
      </c>
      <c r="G383" s="1074">
        <v>0.0</v>
      </c>
      <c r="H383" s="331">
        <v>0.0</v>
      </c>
      <c r="I383" s="331">
        <v>0.0</v>
      </c>
      <c r="J383" s="331">
        <v>0.0</v>
      </c>
      <c r="K383" s="331">
        <v>0.0</v>
      </c>
      <c r="L383" s="331">
        <v>0.0</v>
      </c>
      <c r="M383" s="331">
        <v>1.0</v>
      </c>
      <c r="N383" s="331">
        <v>0.0</v>
      </c>
      <c r="O383" s="331">
        <v>0.0</v>
      </c>
      <c r="P383" s="331">
        <v>0.0</v>
      </c>
      <c r="Q383" s="331">
        <v>0.0</v>
      </c>
      <c r="R383" s="331">
        <v>0.0</v>
      </c>
      <c r="S383" s="331">
        <v>1.0</v>
      </c>
      <c r="T383" s="331">
        <v>1.0</v>
      </c>
      <c r="U383" s="331">
        <v>0.0</v>
      </c>
      <c r="V383" s="331">
        <v>0.0</v>
      </c>
      <c r="W383" s="331">
        <v>0.0</v>
      </c>
      <c r="X383" s="331">
        <v>0.0</v>
      </c>
      <c r="Y383" s="331">
        <v>0.0</v>
      </c>
      <c r="Z383" s="331">
        <v>0.0</v>
      </c>
      <c r="AA383" s="331">
        <v>0.0</v>
      </c>
      <c r="AB383" s="331">
        <v>0.0</v>
      </c>
      <c r="AC383" s="331">
        <v>0.0</v>
      </c>
      <c r="AD383" s="331">
        <v>0.0</v>
      </c>
      <c r="AE383" s="331"/>
      <c r="AF383" s="1015">
        <f t="shared" si="138"/>
        <v>3</v>
      </c>
    </row>
    <row r="384">
      <c r="A384" s="1093" t="s">
        <v>1033</v>
      </c>
      <c r="B384" s="331">
        <v>0.0</v>
      </c>
      <c r="C384" s="331">
        <v>0.0</v>
      </c>
      <c r="D384" s="331">
        <v>0.0</v>
      </c>
      <c r="E384" s="1074">
        <v>0.0</v>
      </c>
      <c r="F384" s="1074">
        <v>0.0</v>
      </c>
      <c r="G384" s="1074">
        <v>0.0</v>
      </c>
      <c r="H384" s="331">
        <v>0.0</v>
      </c>
      <c r="I384" s="331">
        <v>0.0</v>
      </c>
      <c r="J384" s="331">
        <v>0.0</v>
      </c>
      <c r="K384" s="331">
        <v>0.0</v>
      </c>
      <c r="L384" s="331">
        <v>0.0</v>
      </c>
      <c r="M384" s="331">
        <v>0.0</v>
      </c>
      <c r="N384" s="331">
        <v>3.0</v>
      </c>
      <c r="O384" s="331">
        <v>0.0</v>
      </c>
      <c r="P384" s="331">
        <v>0.0</v>
      </c>
      <c r="Q384" s="331">
        <v>0.0</v>
      </c>
      <c r="R384" s="331">
        <v>0.0</v>
      </c>
      <c r="S384" s="331">
        <v>0.0</v>
      </c>
      <c r="T384" s="331">
        <v>1.0</v>
      </c>
      <c r="U384" s="331">
        <v>0.0</v>
      </c>
      <c r="V384" s="331">
        <v>1.0</v>
      </c>
      <c r="W384" s="331">
        <v>0.0</v>
      </c>
      <c r="X384" s="331">
        <v>0.0</v>
      </c>
      <c r="Y384" s="331">
        <v>0.0</v>
      </c>
      <c r="Z384" s="331">
        <v>0.0</v>
      </c>
      <c r="AA384" s="331">
        <v>0.0</v>
      </c>
      <c r="AB384" s="331">
        <v>0.0</v>
      </c>
      <c r="AC384" s="331">
        <v>0.0</v>
      </c>
      <c r="AD384" s="331">
        <v>0.0</v>
      </c>
      <c r="AE384" s="331"/>
      <c r="AF384" s="1015">
        <f t="shared" si="138"/>
        <v>5</v>
      </c>
    </row>
    <row r="385">
      <c r="A385" s="1093" t="s">
        <v>1034</v>
      </c>
      <c r="B385" s="331">
        <v>0.0</v>
      </c>
      <c r="C385" s="331">
        <v>0.0</v>
      </c>
      <c r="D385" s="331">
        <v>0.0</v>
      </c>
      <c r="E385" s="1074">
        <v>0.0</v>
      </c>
      <c r="F385" s="1074">
        <v>0.0</v>
      </c>
      <c r="G385" s="1074">
        <v>0.0</v>
      </c>
      <c r="H385" s="331">
        <v>0.0</v>
      </c>
      <c r="I385" s="331">
        <v>0.0</v>
      </c>
      <c r="J385" s="331">
        <v>0.0</v>
      </c>
      <c r="K385" s="331">
        <v>0.0</v>
      </c>
      <c r="L385" s="331">
        <v>0.0</v>
      </c>
      <c r="M385" s="331">
        <v>0.0</v>
      </c>
      <c r="N385" s="331">
        <v>0.0</v>
      </c>
      <c r="O385" s="331">
        <v>0.0</v>
      </c>
      <c r="P385" s="331">
        <v>0.0</v>
      </c>
      <c r="Q385" s="331">
        <v>0.0</v>
      </c>
      <c r="R385" s="331">
        <v>0.0</v>
      </c>
      <c r="S385" s="331">
        <v>0.0</v>
      </c>
      <c r="T385" s="331">
        <v>0.0</v>
      </c>
      <c r="U385" s="331">
        <v>0.0</v>
      </c>
      <c r="V385" s="331">
        <v>0.0</v>
      </c>
      <c r="W385" s="331">
        <v>0.0</v>
      </c>
      <c r="X385" s="331">
        <v>0.0</v>
      </c>
      <c r="Y385" s="331">
        <v>0.0</v>
      </c>
      <c r="Z385" s="331">
        <v>0.0</v>
      </c>
      <c r="AA385" s="331">
        <v>0.0</v>
      </c>
      <c r="AB385" s="331">
        <v>0.0</v>
      </c>
      <c r="AC385" s="331">
        <v>0.0</v>
      </c>
      <c r="AD385" s="331">
        <v>0.0</v>
      </c>
      <c r="AE385" s="331"/>
      <c r="AF385" s="1015">
        <f t="shared" si="138"/>
        <v>0</v>
      </c>
    </row>
    <row r="386">
      <c r="A386" s="1093" t="s">
        <v>1035</v>
      </c>
      <c r="B386" s="331">
        <v>0.0</v>
      </c>
      <c r="C386" s="331">
        <v>0.0</v>
      </c>
      <c r="D386" s="331">
        <v>0.0</v>
      </c>
      <c r="E386" s="1074">
        <v>0.0</v>
      </c>
      <c r="F386" s="1074">
        <v>0.0</v>
      </c>
      <c r="G386" s="1074">
        <v>0.0</v>
      </c>
      <c r="H386" s="331">
        <v>0.0</v>
      </c>
      <c r="I386" s="331">
        <v>0.0</v>
      </c>
      <c r="J386" s="331">
        <v>0.0</v>
      </c>
      <c r="K386" s="331">
        <v>0.0</v>
      </c>
      <c r="L386" s="331">
        <v>0.0</v>
      </c>
      <c r="M386" s="331">
        <v>0.0</v>
      </c>
      <c r="N386" s="331">
        <v>0.0</v>
      </c>
      <c r="O386" s="331">
        <v>0.0</v>
      </c>
      <c r="P386" s="331">
        <v>0.0</v>
      </c>
      <c r="Q386" s="331">
        <v>0.0</v>
      </c>
      <c r="R386" s="331">
        <v>0.0</v>
      </c>
      <c r="S386" s="331">
        <v>0.0</v>
      </c>
      <c r="T386" s="331">
        <v>0.0</v>
      </c>
      <c r="U386" s="331">
        <v>0.0</v>
      </c>
      <c r="V386" s="331">
        <v>0.0</v>
      </c>
      <c r="W386" s="331">
        <v>0.0</v>
      </c>
      <c r="X386" s="331">
        <v>0.0</v>
      </c>
      <c r="Y386" s="331">
        <v>0.0</v>
      </c>
      <c r="Z386" s="331">
        <v>0.0</v>
      </c>
      <c r="AA386" s="331">
        <v>0.0</v>
      </c>
      <c r="AB386" s="331">
        <v>0.0</v>
      </c>
      <c r="AC386" s="331">
        <v>0.0</v>
      </c>
      <c r="AD386" s="331">
        <v>0.0</v>
      </c>
      <c r="AE386" s="331"/>
      <c r="AF386" s="1015">
        <f t="shared" si="138"/>
        <v>0</v>
      </c>
    </row>
    <row r="387">
      <c r="A387" s="1095" t="s">
        <v>179</v>
      </c>
      <c r="B387" s="317">
        <f t="shared" ref="B387:V387" si="139">B381+B383+B385</f>
        <v>7</v>
      </c>
      <c r="C387" s="317">
        <f t="shared" si="139"/>
        <v>0</v>
      </c>
      <c r="D387" s="317">
        <f t="shared" si="139"/>
        <v>0</v>
      </c>
      <c r="E387" s="317">
        <f t="shared" si="139"/>
        <v>0</v>
      </c>
      <c r="F387" s="317">
        <f t="shared" si="139"/>
        <v>1</v>
      </c>
      <c r="G387" s="317">
        <f t="shared" si="139"/>
        <v>2</v>
      </c>
      <c r="H387" s="317">
        <f t="shared" si="139"/>
        <v>2</v>
      </c>
      <c r="I387" s="317">
        <f t="shared" si="139"/>
        <v>0</v>
      </c>
      <c r="J387" s="317">
        <f t="shared" si="139"/>
        <v>0</v>
      </c>
      <c r="K387" s="317">
        <f t="shared" si="139"/>
        <v>0</v>
      </c>
      <c r="L387" s="317">
        <f t="shared" si="139"/>
        <v>12</v>
      </c>
      <c r="M387" s="317">
        <f t="shared" si="139"/>
        <v>18</v>
      </c>
      <c r="N387" s="317">
        <f t="shared" si="139"/>
        <v>7</v>
      </c>
      <c r="O387" s="317">
        <f t="shared" si="139"/>
        <v>13</v>
      </c>
      <c r="P387" s="317">
        <f t="shared" si="139"/>
        <v>1</v>
      </c>
      <c r="Q387" s="317">
        <f t="shared" si="139"/>
        <v>0</v>
      </c>
      <c r="R387" s="317">
        <f t="shared" si="139"/>
        <v>0</v>
      </c>
      <c r="S387" s="317">
        <f t="shared" si="139"/>
        <v>1</v>
      </c>
      <c r="T387" s="317">
        <f t="shared" si="139"/>
        <v>2</v>
      </c>
      <c r="U387" s="317">
        <f t="shared" si="139"/>
        <v>4</v>
      </c>
      <c r="V387" s="317">
        <f t="shared" si="139"/>
        <v>2</v>
      </c>
      <c r="W387" s="317">
        <f>W381+W382+W385</f>
        <v>1</v>
      </c>
      <c r="X387" s="317">
        <f t="shared" ref="X387:AB387" si="140">X381+X383+X385</f>
        <v>0</v>
      </c>
      <c r="Y387" s="317">
        <f t="shared" si="140"/>
        <v>0</v>
      </c>
      <c r="Z387" s="317">
        <f t="shared" si="140"/>
        <v>0</v>
      </c>
      <c r="AA387" s="317">
        <f t="shared" si="140"/>
        <v>1</v>
      </c>
      <c r="AB387" s="317">
        <f t="shared" si="140"/>
        <v>7</v>
      </c>
      <c r="AC387" s="425">
        <v>2.0</v>
      </c>
      <c r="AD387" s="317">
        <f t="shared" ref="AD387:AE387" si="141">AD381+AD383+AD385</f>
        <v>0</v>
      </c>
      <c r="AE387" s="317">
        <f t="shared" si="141"/>
        <v>2</v>
      </c>
      <c r="AF387" s="1015">
        <f t="shared" si="138"/>
        <v>85</v>
      </c>
    </row>
    <row r="388">
      <c r="A388" s="1095" t="s">
        <v>181</v>
      </c>
      <c r="B388" s="317">
        <f t="shared" ref="B388:AE388" si="142">B382+B384+B386</f>
        <v>9</v>
      </c>
      <c r="C388" s="317">
        <f t="shared" si="142"/>
        <v>3</v>
      </c>
      <c r="D388" s="317">
        <f t="shared" si="142"/>
        <v>3</v>
      </c>
      <c r="E388" s="317">
        <f t="shared" si="142"/>
        <v>0</v>
      </c>
      <c r="F388" s="317">
        <f t="shared" si="142"/>
        <v>4</v>
      </c>
      <c r="G388" s="317">
        <f t="shared" si="142"/>
        <v>10</v>
      </c>
      <c r="H388" s="317">
        <f t="shared" si="142"/>
        <v>3</v>
      </c>
      <c r="I388" s="317">
        <f t="shared" si="142"/>
        <v>0</v>
      </c>
      <c r="J388" s="317">
        <f t="shared" si="142"/>
        <v>0</v>
      </c>
      <c r="K388" s="317">
        <f t="shared" si="142"/>
        <v>1</v>
      </c>
      <c r="L388" s="317">
        <f t="shared" si="142"/>
        <v>11</v>
      </c>
      <c r="M388" s="317">
        <f t="shared" si="142"/>
        <v>23</v>
      </c>
      <c r="N388" s="317">
        <f t="shared" si="142"/>
        <v>16</v>
      </c>
      <c r="O388" s="317">
        <f t="shared" si="142"/>
        <v>12</v>
      </c>
      <c r="P388" s="317">
        <f t="shared" si="142"/>
        <v>1</v>
      </c>
      <c r="Q388" s="317">
        <f t="shared" si="142"/>
        <v>0</v>
      </c>
      <c r="R388" s="317">
        <f t="shared" si="142"/>
        <v>1</v>
      </c>
      <c r="S388" s="317">
        <f t="shared" si="142"/>
        <v>3</v>
      </c>
      <c r="T388" s="317">
        <f t="shared" si="142"/>
        <v>4</v>
      </c>
      <c r="U388" s="317">
        <f t="shared" si="142"/>
        <v>7</v>
      </c>
      <c r="V388" s="317">
        <f t="shared" si="142"/>
        <v>5</v>
      </c>
      <c r="W388" s="317">
        <f t="shared" si="142"/>
        <v>1</v>
      </c>
      <c r="X388" s="317">
        <f t="shared" si="142"/>
        <v>1</v>
      </c>
      <c r="Y388" s="317">
        <f t="shared" si="142"/>
        <v>0</v>
      </c>
      <c r="Z388" s="317">
        <f t="shared" si="142"/>
        <v>0</v>
      </c>
      <c r="AA388" s="317">
        <f t="shared" si="142"/>
        <v>3</v>
      </c>
      <c r="AB388" s="317">
        <f t="shared" si="142"/>
        <v>5</v>
      </c>
      <c r="AC388" s="317">
        <f t="shared" si="142"/>
        <v>0</v>
      </c>
      <c r="AD388" s="317">
        <f t="shared" si="142"/>
        <v>6</v>
      </c>
      <c r="AE388" s="317">
        <f t="shared" si="142"/>
        <v>1</v>
      </c>
      <c r="AF388" s="1015">
        <f t="shared" si="138"/>
        <v>133</v>
      </c>
    </row>
    <row r="389">
      <c r="A389" s="20"/>
      <c r="B389" s="1066"/>
      <c r="C389" s="1066"/>
      <c r="D389" s="1066"/>
      <c r="E389" s="1066"/>
      <c r="F389" s="1066"/>
      <c r="G389" s="1066"/>
      <c r="H389" s="1066"/>
      <c r="I389" s="1066"/>
      <c r="J389" s="1066"/>
      <c r="K389" s="1066"/>
      <c r="L389" s="1066"/>
      <c r="M389" s="1066"/>
      <c r="N389" s="1066"/>
      <c r="O389" s="1066"/>
      <c r="P389" s="1066"/>
      <c r="Q389" s="1066"/>
      <c r="R389" s="1066"/>
      <c r="S389" s="1066"/>
      <c r="T389" s="1066"/>
      <c r="U389" s="1066"/>
      <c r="V389" s="1066"/>
      <c r="W389" s="1066"/>
      <c r="X389" s="1066"/>
      <c r="Y389" s="1066"/>
      <c r="Z389" s="1066"/>
      <c r="AA389" s="1066"/>
      <c r="AB389" s="1066"/>
      <c r="AC389" s="1066"/>
      <c r="AD389" s="1066"/>
      <c r="AE389" s="1066"/>
      <c r="AF389" s="700"/>
    </row>
    <row r="390">
      <c r="A390" s="1093" t="s">
        <v>958</v>
      </c>
      <c r="B390" s="331">
        <v>2.0</v>
      </c>
      <c r="C390" s="331">
        <v>1.0</v>
      </c>
      <c r="D390" s="331">
        <v>1.0</v>
      </c>
      <c r="E390" s="1074">
        <v>0.0</v>
      </c>
      <c r="F390" s="1074">
        <v>2.0</v>
      </c>
      <c r="G390" s="331">
        <v>3.0</v>
      </c>
      <c r="H390" s="331">
        <v>0.0</v>
      </c>
      <c r="I390" s="331">
        <v>1.0</v>
      </c>
      <c r="J390" s="331">
        <v>0.0</v>
      </c>
      <c r="K390" s="331">
        <v>0.0</v>
      </c>
      <c r="L390" s="331">
        <v>12.0</v>
      </c>
      <c r="M390" s="331">
        <v>14.0</v>
      </c>
      <c r="N390" s="331">
        <v>5.0</v>
      </c>
      <c r="O390" s="331">
        <v>12.0</v>
      </c>
      <c r="P390" s="331">
        <v>0.0</v>
      </c>
      <c r="Q390" s="331">
        <v>0.0</v>
      </c>
      <c r="R390" s="331">
        <v>0.0</v>
      </c>
      <c r="S390" s="331">
        <v>0.0</v>
      </c>
      <c r="T390" s="331">
        <v>0.0</v>
      </c>
      <c r="U390" s="331">
        <v>2.0</v>
      </c>
      <c r="V390" s="331">
        <v>2.0</v>
      </c>
      <c r="W390" s="331">
        <v>0.0</v>
      </c>
      <c r="X390" s="331">
        <v>0.0</v>
      </c>
      <c r="Y390" s="331">
        <v>0.0</v>
      </c>
      <c r="Z390" s="331">
        <v>0.0</v>
      </c>
      <c r="AA390" s="331">
        <v>0.0</v>
      </c>
      <c r="AB390" s="331">
        <v>1.0</v>
      </c>
      <c r="AC390" s="331">
        <v>0.0</v>
      </c>
      <c r="AD390" s="331">
        <v>1.0</v>
      </c>
      <c r="AE390" s="331">
        <v>3.0</v>
      </c>
      <c r="AF390" s="1015">
        <f t="shared" ref="AF390:AF394" si="143">SUM(B390:AE390)</f>
        <v>62</v>
      </c>
    </row>
    <row r="391">
      <c r="A391" s="1093" t="s">
        <v>959</v>
      </c>
      <c r="B391" s="1075"/>
      <c r="C391" s="1075"/>
      <c r="D391" s="1075"/>
      <c r="E391" s="1075"/>
      <c r="F391" s="1075"/>
      <c r="G391" s="694"/>
      <c r="H391" s="694"/>
      <c r="I391" s="694"/>
      <c r="J391" s="694"/>
      <c r="K391" s="694"/>
      <c r="L391" s="694"/>
      <c r="M391" s="694"/>
      <c r="N391" s="694"/>
      <c r="O391" s="694"/>
      <c r="P391" s="694"/>
      <c r="Q391" s="694"/>
      <c r="R391" s="694"/>
      <c r="S391" s="694"/>
      <c r="T391" s="694"/>
      <c r="U391" s="694"/>
      <c r="V391" s="694"/>
      <c r="W391" s="1075"/>
      <c r="X391" s="694"/>
      <c r="Y391" s="694"/>
      <c r="Z391" s="694"/>
      <c r="AA391" s="694"/>
      <c r="AB391" s="694"/>
      <c r="AC391" s="694"/>
      <c r="AD391" s="694"/>
      <c r="AE391" s="694"/>
      <c r="AF391" s="1015">
        <f t="shared" si="143"/>
        <v>0</v>
      </c>
    </row>
    <row r="392">
      <c r="A392" s="1093" t="s">
        <v>960</v>
      </c>
      <c r="B392" s="331">
        <v>0.0</v>
      </c>
      <c r="C392" s="331">
        <v>0.0</v>
      </c>
      <c r="D392" s="331">
        <v>0.0</v>
      </c>
      <c r="E392" s="1074">
        <v>0.0</v>
      </c>
      <c r="F392" s="1074">
        <v>0.0</v>
      </c>
      <c r="G392" s="331">
        <v>0.0</v>
      </c>
      <c r="H392" s="331">
        <v>0.0</v>
      </c>
      <c r="I392" s="331">
        <v>0.0</v>
      </c>
      <c r="J392" s="331">
        <v>0.0</v>
      </c>
      <c r="K392" s="331">
        <v>0.0</v>
      </c>
      <c r="L392" s="331">
        <v>1.0</v>
      </c>
      <c r="M392" s="331">
        <v>13.0</v>
      </c>
      <c r="N392" s="331">
        <v>5.0</v>
      </c>
      <c r="O392" s="331">
        <v>6.0</v>
      </c>
      <c r="P392" s="331">
        <v>1.0</v>
      </c>
      <c r="Q392" s="331">
        <v>0.0</v>
      </c>
      <c r="R392" s="331">
        <v>0.0</v>
      </c>
      <c r="S392" s="331">
        <v>0.0</v>
      </c>
      <c r="T392" s="331">
        <v>1.0</v>
      </c>
      <c r="U392" s="331">
        <v>0.0</v>
      </c>
      <c r="V392" s="331">
        <v>2.0</v>
      </c>
      <c r="W392" s="331">
        <v>0.0</v>
      </c>
      <c r="X392" s="331">
        <v>0.0</v>
      </c>
      <c r="Y392" s="331">
        <v>0.0</v>
      </c>
      <c r="Z392" s="331">
        <v>0.0</v>
      </c>
      <c r="AA392" s="331">
        <v>0.0</v>
      </c>
      <c r="AB392" s="331">
        <v>2.0</v>
      </c>
      <c r="AC392" s="331">
        <v>0.0</v>
      </c>
      <c r="AD392" s="331">
        <v>0.0</v>
      </c>
      <c r="AE392" s="331">
        <v>2.0</v>
      </c>
      <c r="AF392" s="1015">
        <f t="shared" si="143"/>
        <v>33</v>
      </c>
    </row>
    <row r="393">
      <c r="A393" s="1093" t="s">
        <v>1036</v>
      </c>
      <c r="B393" s="331">
        <v>0.0</v>
      </c>
      <c r="C393" s="331">
        <v>0.0</v>
      </c>
      <c r="D393" s="331">
        <v>0.0</v>
      </c>
      <c r="E393" s="1074">
        <v>0.0</v>
      </c>
      <c r="F393" s="1074">
        <v>0.0</v>
      </c>
      <c r="G393" s="331">
        <v>0.0</v>
      </c>
      <c r="H393" s="331">
        <v>0.0</v>
      </c>
      <c r="I393" s="331">
        <v>0.0</v>
      </c>
      <c r="J393" s="331">
        <v>0.0</v>
      </c>
      <c r="K393" s="331">
        <v>0.0</v>
      </c>
      <c r="L393" s="331">
        <v>4.0</v>
      </c>
      <c r="M393" s="331">
        <v>6.0</v>
      </c>
      <c r="N393" s="331">
        <v>3.0</v>
      </c>
      <c r="O393" s="331">
        <v>2.0</v>
      </c>
      <c r="P393" s="331">
        <v>0.0</v>
      </c>
      <c r="Q393" s="331">
        <v>0.0</v>
      </c>
      <c r="R393" s="331">
        <v>0.0</v>
      </c>
      <c r="S393" s="331">
        <v>0.0</v>
      </c>
      <c r="T393" s="331">
        <v>0.0</v>
      </c>
      <c r="U393" s="331">
        <v>1.0</v>
      </c>
      <c r="V393" s="331">
        <v>1.0</v>
      </c>
      <c r="W393" s="331">
        <v>0.0</v>
      </c>
      <c r="X393" s="331">
        <v>0.0</v>
      </c>
      <c r="Y393" s="331">
        <v>0.0</v>
      </c>
      <c r="Z393" s="331">
        <v>0.0</v>
      </c>
      <c r="AA393" s="331">
        <v>0.0</v>
      </c>
      <c r="AB393" s="331">
        <v>2.0</v>
      </c>
      <c r="AC393" s="331">
        <v>0.0</v>
      </c>
      <c r="AD393" s="331">
        <v>0.0</v>
      </c>
      <c r="AE393" s="331"/>
      <c r="AF393" s="1015">
        <f t="shared" si="143"/>
        <v>19</v>
      </c>
    </row>
    <row r="394">
      <c r="A394" s="1093" t="s">
        <v>1037</v>
      </c>
      <c r="B394" s="331">
        <v>0.0</v>
      </c>
      <c r="C394" s="331">
        <v>0.0</v>
      </c>
      <c r="D394" s="331">
        <v>0.0</v>
      </c>
      <c r="E394" s="1074">
        <v>0.0</v>
      </c>
      <c r="F394" s="1074">
        <v>0.0</v>
      </c>
      <c r="G394" s="331">
        <v>1.0</v>
      </c>
      <c r="H394" s="331">
        <v>0.0</v>
      </c>
      <c r="I394" s="331">
        <v>0.0</v>
      </c>
      <c r="J394" s="331">
        <v>0.0</v>
      </c>
      <c r="K394" s="331">
        <v>0.0</v>
      </c>
      <c r="L394" s="331">
        <v>4.0</v>
      </c>
      <c r="M394" s="331">
        <v>6.0</v>
      </c>
      <c r="N394" s="331">
        <v>0.0</v>
      </c>
      <c r="O394" s="331">
        <v>3.0</v>
      </c>
      <c r="P394" s="331">
        <v>2.0</v>
      </c>
      <c r="Q394" s="331">
        <v>0.0</v>
      </c>
      <c r="R394" s="331">
        <v>0.0</v>
      </c>
      <c r="S394" s="331">
        <v>0.0</v>
      </c>
      <c r="T394" s="331">
        <v>0.0</v>
      </c>
      <c r="U394" s="331">
        <v>0.0</v>
      </c>
      <c r="V394" s="331">
        <v>0.0</v>
      </c>
      <c r="W394" s="331">
        <v>0.0</v>
      </c>
      <c r="X394" s="331">
        <v>0.0</v>
      </c>
      <c r="Y394" s="331">
        <v>0.0</v>
      </c>
      <c r="Z394" s="331">
        <v>0.0</v>
      </c>
      <c r="AA394" s="331">
        <v>0.0</v>
      </c>
      <c r="AB394" s="331">
        <v>3.0</v>
      </c>
      <c r="AC394" s="331">
        <v>0.0</v>
      </c>
      <c r="AD394" s="331">
        <v>0.0</v>
      </c>
      <c r="AE394" s="331">
        <v>1.0</v>
      </c>
      <c r="AF394" s="1015">
        <f t="shared" si="143"/>
        <v>20</v>
      </c>
    </row>
    <row r="395">
      <c r="A395" s="1093" t="s">
        <v>1038</v>
      </c>
      <c r="B395" s="1077"/>
      <c r="C395" s="1077"/>
      <c r="D395" s="1077"/>
      <c r="E395" s="1078"/>
      <c r="F395" s="1078"/>
      <c r="G395" s="1077"/>
      <c r="H395" s="1077"/>
      <c r="I395" s="1077"/>
      <c r="J395" s="1077"/>
      <c r="K395" s="1077"/>
      <c r="L395" s="1077"/>
      <c r="M395" s="1077"/>
      <c r="N395" s="1077"/>
      <c r="O395" s="1077"/>
      <c r="P395" s="1077"/>
      <c r="Q395" s="1077"/>
      <c r="R395" s="1077"/>
      <c r="S395" s="331">
        <v>0.0</v>
      </c>
      <c r="T395" s="331">
        <v>0.0</v>
      </c>
      <c r="U395" s="331">
        <v>0.0</v>
      </c>
      <c r="V395" s="331">
        <v>0.0</v>
      </c>
      <c r="W395" s="331">
        <v>0.0</v>
      </c>
      <c r="X395" s="331">
        <v>0.0</v>
      </c>
      <c r="Y395" s="331">
        <v>0.0</v>
      </c>
      <c r="Z395" s="331">
        <v>0.0</v>
      </c>
      <c r="AA395" s="331">
        <v>0.0</v>
      </c>
      <c r="AB395" s="331">
        <v>0.0</v>
      </c>
      <c r="AC395" s="331">
        <v>0.0</v>
      </c>
      <c r="AD395" s="331">
        <v>0.0</v>
      </c>
      <c r="AE395" s="331"/>
      <c r="AF395" s="1015"/>
    </row>
    <row r="396">
      <c r="A396" s="1096" t="s">
        <v>581</v>
      </c>
      <c r="B396" s="317">
        <f t="shared" ref="B396:G396" si="144">SUM(B390:B394)</f>
        <v>2</v>
      </c>
      <c r="C396" s="317">
        <f t="shared" si="144"/>
        <v>1</v>
      </c>
      <c r="D396" s="317">
        <f t="shared" si="144"/>
        <v>1</v>
      </c>
      <c r="E396" s="317">
        <f t="shared" si="144"/>
        <v>0</v>
      </c>
      <c r="F396" s="317">
        <f t="shared" si="144"/>
        <v>2</v>
      </c>
      <c r="G396" s="317">
        <f t="shared" si="144"/>
        <v>4</v>
      </c>
      <c r="H396" s="425">
        <v>0.0</v>
      </c>
      <c r="I396" s="317">
        <f t="shared" ref="I396:R396" si="145">SUM(I390:I394)</f>
        <v>1</v>
      </c>
      <c r="J396" s="317">
        <f t="shared" si="145"/>
        <v>0</v>
      </c>
      <c r="K396" s="317">
        <f t="shared" si="145"/>
        <v>0</v>
      </c>
      <c r="L396" s="317">
        <f t="shared" si="145"/>
        <v>21</v>
      </c>
      <c r="M396" s="317">
        <f t="shared" si="145"/>
        <v>39</v>
      </c>
      <c r="N396" s="317">
        <f t="shared" si="145"/>
        <v>13</v>
      </c>
      <c r="O396" s="317">
        <f t="shared" si="145"/>
        <v>23</v>
      </c>
      <c r="P396" s="317">
        <f t="shared" si="145"/>
        <v>3</v>
      </c>
      <c r="Q396" s="317">
        <f t="shared" si="145"/>
        <v>0</v>
      </c>
      <c r="R396" s="317">
        <f t="shared" si="145"/>
        <v>0</v>
      </c>
      <c r="S396" s="317">
        <f t="shared" ref="S396:Y396" si="146">SUM(S390:S395)</f>
        <v>0</v>
      </c>
      <c r="T396" s="317">
        <f t="shared" si="146"/>
        <v>1</v>
      </c>
      <c r="U396" s="317">
        <f t="shared" si="146"/>
        <v>3</v>
      </c>
      <c r="V396" s="317">
        <f t="shared" si="146"/>
        <v>5</v>
      </c>
      <c r="W396" s="317">
        <f t="shared" si="146"/>
        <v>0</v>
      </c>
      <c r="X396" s="317">
        <f t="shared" si="146"/>
        <v>0</v>
      </c>
      <c r="Y396" s="317">
        <f t="shared" si="146"/>
        <v>0</v>
      </c>
      <c r="Z396" s="317">
        <f t="shared" ref="Z396:AA396" si="147">SUM(Z390:Z394)</f>
        <v>0</v>
      </c>
      <c r="AA396" s="317">
        <f t="shared" si="147"/>
        <v>0</v>
      </c>
      <c r="AB396" s="317">
        <f t="shared" ref="AB396:AD396" si="148">SUM(AB390:AB395)</f>
        <v>8</v>
      </c>
      <c r="AC396" s="317">
        <f t="shared" si="148"/>
        <v>0</v>
      </c>
      <c r="AD396" s="317">
        <f t="shared" si="148"/>
        <v>1</v>
      </c>
      <c r="AE396" s="317">
        <f>SUM(AE390:AE394)</f>
        <v>6</v>
      </c>
      <c r="AF396" s="1015">
        <f>SUM(B396:AE396)</f>
        <v>134</v>
      </c>
    </row>
    <row r="397">
      <c r="A397" s="20"/>
      <c r="B397" s="1066"/>
      <c r="C397" s="1066"/>
      <c r="D397" s="1066"/>
      <c r="E397" s="1066"/>
      <c r="F397" s="1066"/>
      <c r="G397" s="1066"/>
      <c r="H397" s="1066"/>
      <c r="I397" s="1066"/>
      <c r="J397" s="1066"/>
      <c r="K397" s="1066"/>
      <c r="L397" s="1066"/>
      <c r="M397" s="1066"/>
      <c r="N397" s="1066"/>
      <c r="O397" s="1066"/>
      <c r="P397" s="1066"/>
      <c r="Q397" s="1066"/>
      <c r="R397" s="1066"/>
      <c r="S397" s="1066"/>
      <c r="T397" s="1066"/>
      <c r="U397" s="1066"/>
      <c r="V397" s="1066"/>
      <c r="W397" s="1066"/>
      <c r="X397" s="1066"/>
      <c r="Y397" s="1066"/>
      <c r="Z397" s="581" t="s">
        <v>334</v>
      </c>
      <c r="AA397" s="1066"/>
      <c r="AB397" s="1066"/>
      <c r="AC397" s="1066"/>
      <c r="AD397" s="1066"/>
      <c r="AE397" s="1066"/>
      <c r="AF397" s="700"/>
    </row>
    <row r="398">
      <c r="A398" s="1093" t="s">
        <v>968</v>
      </c>
      <c r="B398" s="331">
        <v>0.0</v>
      </c>
      <c r="C398" s="331">
        <v>0.0</v>
      </c>
      <c r="D398" s="331">
        <v>0.0</v>
      </c>
      <c r="E398" s="331">
        <v>0.0</v>
      </c>
      <c r="F398" s="331">
        <v>0.0</v>
      </c>
      <c r="G398" s="331">
        <v>0.0</v>
      </c>
      <c r="H398" s="331">
        <v>0.0</v>
      </c>
      <c r="I398" s="331">
        <v>0.0</v>
      </c>
      <c r="J398" s="331">
        <v>0.0</v>
      </c>
      <c r="K398" s="331">
        <v>0.0</v>
      </c>
      <c r="L398" s="331">
        <v>0.0</v>
      </c>
      <c r="M398" s="331">
        <v>1.0</v>
      </c>
      <c r="N398" s="331">
        <v>2.0</v>
      </c>
      <c r="O398" s="331">
        <v>0.0</v>
      </c>
      <c r="P398" s="331">
        <v>0.0</v>
      </c>
      <c r="Q398" s="331">
        <v>0.0</v>
      </c>
      <c r="R398" s="331">
        <v>0.0</v>
      </c>
      <c r="S398" s="331">
        <v>0.0</v>
      </c>
      <c r="T398" s="331">
        <v>0.0</v>
      </c>
      <c r="U398" s="331">
        <v>0.0</v>
      </c>
      <c r="V398" s="331">
        <v>1.0</v>
      </c>
      <c r="W398" s="331">
        <v>0.0</v>
      </c>
      <c r="X398" s="331">
        <v>0.0</v>
      </c>
      <c r="Y398" s="331">
        <v>0.0</v>
      </c>
      <c r="Z398" s="331">
        <v>0.0</v>
      </c>
      <c r="AA398" s="331">
        <v>0.0</v>
      </c>
      <c r="AB398" s="331">
        <v>0.0</v>
      </c>
      <c r="AC398" s="331">
        <v>0.0</v>
      </c>
      <c r="AD398" s="331">
        <v>0.0</v>
      </c>
      <c r="AE398" s="331">
        <v>0.0</v>
      </c>
      <c r="AF398" s="1015">
        <f t="shared" ref="AF398:AF402" si="149">SUM(B398:AE398)</f>
        <v>4</v>
      </c>
    </row>
    <row r="399">
      <c r="A399" s="1093" t="s">
        <v>969</v>
      </c>
      <c r="B399" s="1075"/>
      <c r="C399" s="1075"/>
      <c r="D399" s="1075"/>
      <c r="E399" s="1075"/>
      <c r="F399" s="1075"/>
      <c r="G399" s="1075"/>
      <c r="H399" s="694"/>
      <c r="I399" s="694"/>
      <c r="J399" s="694"/>
      <c r="K399" s="694"/>
      <c r="L399" s="694"/>
      <c r="M399" s="694"/>
      <c r="N399" s="694"/>
      <c r="O399" s="694"/>
      <c r="P399" s="694"/>
      <c r="Q399" s="694"/>
      <c r="R399" s="694"/>
      <c r="S399" s="694"/>
      <c r="T399" s="694"/>
      <c r="U399" s="694"/>
      <c r="V399" s="694"/>
      <c r="W399" s="694"/>
      <c r="X399" s="694"/>
      <c r="Y399" s="694"/>
      <c r="Z399" s="694"/>
      <c r="AA399" s="694"/>
      <c r="AB399" s="694"/>
      <c r="AC399" s="694"/>
      <c r="AD399" s="694"/>
      <c r="AE399" s="694"/>
      <c r="AF399" s="1015">
        <f t="shared" si="149"/>
        <v>0</v>
      </c>
    </row>
    <row r="400">
      <c r="A400" s="1093" t="s">
        <v>970</v>
      </c>
      <c r="B400" s="331">
        <v>0.0</v>
      </c>
      <c r="C400" s="331">
        <v>0.0</v>
      </c>
      <c r="D400" s="331">
        <v>0.0</v>
      </c>
      <c r="E400" s="331">
        <v>0.0</v>
      </c>
      <c r="F400" s="331">
        <v>0.0</v>
      </c>
      <c r="G400" s="331">
        <v>0.0</v>
      </c>
      <c r="H400" s="331">
        <v>0.0</v>
      </c>
      <c r="I400" s="331">
        <v>0.0</v>
      </c>
      <c r="J400" s="331">
        <v>0.0</v>
      </c>
      <c r="K400" s="331">
        <v>0.0</v>
      </c>
      <c r="L400" s="331">
        <v>0.0</v>
      </c>
      <c r="M400" s="331">
        <v>1.0</v>
      </c>
      <c r="N400" s="331">
        <v>0.0</v>
      </c>
      <c r="O400" s="331">
        <v>0.0</v>
      </c>
      <c r="P400" s="331">
        <v>0.0</v>
      </c>
      <c r="Q400" s="331">
        <v>0.0</v>
      </c>
      <c r="R400" s="331">
        <v>0.0</v>
      </c>
      <c r="S400" s="331">
        <v>0.0</v>
      </c>
      <c r="T400" s="331">
        <v>0.0</v>
      </c>
      <c r="U400" s="331">
        <v>0.0</v>
      </c>
      <c r="V400" s="331">
        <v>1.0</v>
      </c>
      <c r="W400" s="331">
        <v>0.0</v>
      </c>
      <c r="X400" s="331">
        <v>0.0</v>
      </c>
      <c r="Y400" s="331">
        <v>0.0</v>
      </c>
      <c r="Z400" s="331">
        <v>0.0</v>
      </c>
      <c r="AA400" s="331">
        <v>0.0</v>
      </c>
      <c r="AB400" s="331">
        <v>0.0</v>
      </c>
      <c r="AC400" s="331">
        <v>0.0</v>
      </c>
      <c r="AD400" s="331">
        <v>0.0</v>
      </c>
      <c r="AE400" s="331">
        <v>0.0</v>
      </c>
      <c r="AF400" s="1015">
        <f t="shared" si="149"/>
        <v>2</v>
      </c>
    </row>
    <row r="401">
      <c r="A401" s="1093" t="s">
        <v>1039</v>
      </c>
      <c r="B401" s="331">
        <v>0.0</v>
      </c>
      <c r="C401" s="331">
        <v>0.0</v>
      </c>
      <c r="D401" s="331">
        <v>0.0</v>
      </c>
      <c r="E401" s="331">
        <v>0.0</v>
      </c>
      <c r="F401" s="331">
        <v>0.0</v>
      </c>
      <c r="G401" s="331">
        <v>0.0</v>
      </c>
      <c r="H401" s="331">
        <v>0.0</v>
      </c>
      <c r="I401" s="331">
        <v>0.0</v>
      </c>
      <c r="J401" s="331">
        <v>0.0</v>
      </c>
      <c r="K401" s="331">
        <v>0.0</v>
      </c>
      <c r="L401" s="331">
        <v>0.0</v>
      </c>
      <c r="M401" s="331">
        <v>0.0</v>
      </c>
      <c r="N401" s="331">
        <v>1.0</v>
      </c>
      <c r="O401" s="331">
        <v>0.0</v>
      </c>
      <c r="P401" s="331">
        <v>0.0</v>
      </c>
      <c r="Q401" s="331">
        <v>0.0</v>
      </c>
      <c r="R401" s="331">
        <v>0.0</v>
      </c>
      <c r="S401" s="331">
        <v>0.0</v>
      </c>
      <c r="T401" s="331">
        <v>0.0</v>
      </c>
      <c r="U401" s="331">
        <v>0.0</v>
      </c>
      <c r="V401" s="331">
        <v>0.0</v>
      </c>
      <c r="W401" s="331">
        <v>0.0</v>
      </c>
      <c r="X401" s="331">
        <v>0.0</v>
      </c>
      <c r="Y401" s="331">
        <v>0.0</v>
      </c>
      <c r="Z401" s="331">
        <v>0.0</v>
      </c>
      <c r="AA401" s="331">
        <v>0.0</v>
      </c>
      <c r="AB401" s="331">
        <v>0.0</v>
      </c>
      <c r="AC401" s="331">
        <v>0.0</v>
      </c>
      <c r="AD401" s="331">
        <v>0.0</v>
      </c>
      <c r="AE401" s="331">
        <v>0.0</v>
      </c>
      <c r="AF401" s="1015">
        <f t="shared" si="149"/>
        <v>1</v>
      </c>
    </row>
    <row r="402">
      <c r="A402" s="1093" t="s">
        <v>1040</v>
      </c>
      <c r="B402" s="331">
        <v>0.0</v>
      </c>
      <c r="C402" s="331">
        <v>0.0</v>
      </c>
      <c r="D402" s="331">
        <v>0.0</v>
      </c>
      <c r="E402" s="331">
        <v>0.0</v>
      </c>
      <c r="F402" s="331">
        <v>0.0</v>
      </c>
      <c r="G402" s="331">
        <v>0.0</v>
      </c>
      <c r="H402" s="331">
        <v>0.0</v>
      </c>
      <c r="I402" s="331">
        <v>0.0</v>
      </c>
      <c r="J402" s="331">
        <v>0.0</v>
      </c>
      <c r="K402" s="331">
        <v>0.0</v>
      </c>
      <c r="L402" s="331">
        <v>0.0</v>
      </c>
      <c r="M402" s="331">
        <v>0.0</v>
      </c>
      <c r="N402" s="331">
        <v>0.0</v>
      </c>
      <c r="O402" s="331">
        <v>0.0</v>
      </c>
      <c r="P402" s="331">
        <v>0.0</v>
      </c>
      <c r="Q402" s="331">
        <v>0.0</v>
      </c>
      <c r="R402" s="331">
        <v>0.0</v>
      </c>
      <c r="S402" s="331">
        <v>0.0</v>
      </c>
      <c r="T402" s="331">
        <v>0.0</v>
      </c>
      <c r="U402" s="331">
        <v>0.0</v>
      </c>
      <c r="V402" s="331">
        <v>0.0</v>
      </c>
      <c r="W402" s="331">
        <v>0.0</v>
      </c>
      <c r="X402" s="331">
        <v>0.0</v>
      </c>
      <c r="Y402" s="331">
        <v>0.0</v>
      </c>
      <c r="Z402" s="331">
        <v>0.0</v>
      </c>
      <c r="AA402" s="331">
        <v>0.0</v>
      </c>
      <c r="AB402" s="331">
        <v>0.0</v>
      </c>
      <c r="AC402" s="331">
        <v>0.0</v>
      </c>
      <c r="AD402" s="331">
        <v>0.0</v>
      </c>
      <c r="AE402" s="331">
        <v>0.0</v>
      </c>
      <c r="AF402" s="1015">
        <f t="shared" si="149"/>
        <v>0</v>
      </c>
    </row>
    <row r="403">
      <c r="A403" s="1093" t="s">
        <v>1041</v>
      </c>
      <c r="B403" s="1077"/>
      <c r="C403" s="1077"/>
      <c r="D403" s="1077"/>
      <c r="E403" s="1077"/>
      <c r="F403" s="1077"/>
      <c r="G403" s="1077"/>
      <c r="H403" s="1077"/>
      <c r="I403" s="1077"/>
      <c r="J403" s="1077"/>
      <c r="K403" s="1077"/>
      <c r="L403" s="1077"/>
      <c r="M403" s="1077"/>
      <c r="N403" s="1077"/>
      <c r="O403" s="1077"/>
      <c r="P403" s="1077"/>
      <c r="Q403" s="1077"/>
      <c r="R403" s="1077"/>
      <c r="S403" s="331">
        <v>0.0</v>
      </c>
      <c r="T403" s="331">
        <v>0.0</v>
      </c>
      <c r="U403" s="331">
        <v>0.0</v>
      </c>
      <c r="V403" s="331">
        <v>0.0</v>
      </c>
      <c r="W403" s="331">
        <v>0.0</v>
      </c>
      <c r="X403" s="331">
        <v>0.0</v>
      </c>
      <c r="Y403" s="331">
        <v>0.0</v>
      </c>
      <c r="Z403" s="331">
        <v>0.0</v>
      </c>
      <c r="AA403" s="331">
        <v>0.0</v>
      </c>
      <c r="AB403" s="331">
        <v>0.0</v>
      </c>
      <c r="AC403" s="331">
        <v>0.0</v>
      </c>
      <c r="AD403" s="331">
        <v>0.0</v>
      </c>
      <c r="AE403" s="331">
        <v>0.0</v>
      </c>
      <c r="AF403" s="1015"/>
    </row>
    <row r="404">
      <c r="A404" s="1096" t="s">
        <v>977</v>
      </c>
      <c r="B404" s="317">
        <f t="shared" ref="B404:R404" si="150">SUM(B398:B402)</f>
        <v>0</v>
      </c>
      <c r="C404" s="317">
        <f t="shared" si="150"/>
        <v>0</v>
      </c>
      <c r="D404" s="317">
        <f t="shared" si="150"/>
        <v>0</v>
      </c>
      <c r="E404" s="317">
        <f t="shared" si="150"/>
        <v>0</v>
      </c>
      <c r="F404" s="317">
        <f t="shared" si="150"/>
        <v>0</v>
      </c>
      <c r="G404" s="317">
        <f t="shared" si="150"/>
        <v>0</v>
      </c>
      <c r="H404" s="317">
        <f t="shared" si="150"/>
        <v>0</v>
      </c>
      <c r="I404" s="317">
        <f t="shared" si="150"/>
        <v>0</v>
      </c>
      <c r="J404" s="317">
        <f t="shared" si="150"/>
        <v>0</v>
      </c>
      <c r="K404" s="317">
        <f t="shared" si="150"/>
        <v>0</v>
      </c>
      <c r="L404" s="317">
        <f t="shared" si="150"/>
        <v>0</v>
      </c>
      <c r="M404" s="317">
        <f t="shared" si="150"/>
        <v>2</v>
      </c>
      <c r="N404" s="317">
        <f t="shared" si="150"/>
        <v>3</v>
      </c>
      <c r="O404" s="317">
        <f t="shared" si="150"/>
        <v>0</v>
      </c>
      <c r="P404" s="317">
        <f t="shared" si="150"/>
        <v>0</v>
      </c>
      <c r="Q404" s="317">
        <f t="shared" si="150"/>
        <v>0</v>
      </c>
      <c r="R404" s="317">
        <f t="shared" si="150"/>
        <v>0</v>
      </c>
      <c r="S404" s="425">
        <v>0.0</v>
      </c>
      <c r="T404" s="317">
        <f t="shared" ref="T404:X404" si="151">SUM(T398:T403)</f>
        <v>0</v>
      </c>
      <c r="U404" s="317">
        <f t="shared" si="151"/>
        <v>0</v>
      </c>
      <c r="V404" s="317">
        <f t="shared" si="151"/>
        <v>2</v>
      </c>
      <c r="W404" s="317">
        <f t="shared" si="151"/>
        <v>0</v>
      </c>
      <c r="X404" s="317">
        <f t="shared" si="151"/>
        <v>0</v>
      </c>
      <c r="Y404" s="317">
        <f t="shared" ref="Y404:AA404" si="152">SUM(Y398:Y402)</f>
        <v>0</v>
      </c>
      <c r="Z404" s="317">
        <f t="shared" si="152"/>
        <v>0</v>
      </c>
      <c r="AA404" s="317">
        <f t="shared" si="152"/>
        <v>0</v>
      </c>
      <c r="AB404" s="317">
        <f>SUM(AB398:AB403)</f>
        <v>0</v>
      </c>
      <c r="AC404" s="317">
        <f>SUM(AC398:AC402)</f>
        <v>0</v>
      </c>
      <c r="AD404" s="317">
        <f>SUM(AD398:AD403)</f>
        <v>0</v>
      </c>
      <c r="AE404" s="317">
        <f>SUM(AE398:AE402)</f>
        <v>0</v>
      </c>
      <c r="AF404" s="1015">
        <f>SUM(B404:AE404)</f>
        <v>7</v>
      </c>
    </row>
    <row r="405">
      <c r="A405" s="20"/>
      <c r="B405" s="1066"/>
      <c r="C405" s="1066"/>
      <c r="D405" s="1066"/>
      <c r="E405" s="1066"/>
      <c r="F405" s="1066"/>
      <c r="G405" s="1066"/>
      <c r="H405" s="1066"/>
      <c r="I405" s="1066"/>
      <c r="J405" s="1066"/>
      <c r="K405" s="1066"/>
      <c r="L405" s="1066"/>
      <c r="M405" s="1066"/>
      <c r="N405" s="1066"/>
      <c r="O405" s="1066"/>
      <c r="P405" s="1066"/>
      <c r="Q405" s="1066"/>
      <c r="R405" s="1066"/>
      <c r="S405" s="581"/>
      <c r="T405" s="1066"/>
      <c r="U405" s="1066"/>
      <c r="V405" s="1066"/>
      <c r="W405" s="1066"/>
      <c r="X405" s="1066"/>
      <c r="Y405" s="1066"/>
      <c r="Z405" s="1066"/>
      <c r="AA405" s="1066"/>
      <c r="AB405" s="1066"/>
      <c r="AC405" s="1066"/>
      <c r="AD405" s="1066"/>
      <c r="AE405" s="1066"/>
      <c r="AF405" s="700"/>
    </row>
    <row r="406">
      <c r="A406" s="1093" t="s">
        <v>979</v>
      </c>
      <c r="B406" s="331">
        <v>0.0</v>
      </c>
      <c r="C406" s="331">
        <v>0.0</v>
      </c>
      <c r="D406" s="331">
        <v>0.0</v>
      </c>
      <c r="E406" s="331">
        <v>0.0</v>
      </c>
      <c r="F406" s="331">
        <v>0.0</v>
      </c>
      <c r="G406" s="331">
        <v>0.0</v>
      </c>
      <c r="H406" s="331">
        <v>0.0</v>
      </c>
      <c r="I406" s="331">
        <v>0.0</v>
      </c>
      <c r="J406" s="331">
        <v>0.0</v>
      </c>
      <c r="K406" s="331">
        <v>0.0</v>
      </c>
      <c r="L406" s="331">
        <v>0.0</v>
      </c>
      <c r="M406" s="331">
        <v>0.0</v>
      </c>
      <c r="N406" s="331">
        <v>0.0</v>
      </c>
      <c r="O406" s="331">
        <v>0.0</v>
      </c>
      <c r="P406" s="331">
        <v>0.0</v>
      </c>
      <c r="Q406" s="331">
        <v>0.0</v>
      </c>
      <c r="R406" s="331">
        <v>0.0</v>
      </c>
      <c r="S406" s="331">
        <v>0.0</v>
      </c>
      <c r="T406" s="331">
        <v>0.0</v>
      </c>
      <c r="U406" s="331">
        <v>0.0</v>
      </c>
      <c r="V406" s="331">
        <v>0.0</v>
      </c>
      <c r="W406" s="331">
        <v>0.0</v>
      </c>
      <c r="X406" s="331">
        <v>0.0</v>
      </c>
      <c r="Y406" s="331">
        <v>0.0</v>
      </c>
      <c r="Z406" s="331">
        <v>0.0</v>
      </c>
      <c r="AA406" s="331">
        <v>0.0</v>
      </c>
      <c r="AB406" s="331">
        <v>0.0</v>
      </c>
      <c r="AC406" s="331">
        <v>0.0</v>
      </c>
      <c r="AD406" s="331">
        <v>0.0</v>
      </c>
      <c r="AE406" s="331">
        <v>0.0</v>
      </c>
      <c r="AF406" s="1015">
        <f t="shared" ref="AF406:AF410" si="153">SUM(B406:AE406)</f>
        <v>0</v>
      </c>
    </row>
    <row r="407">
      <c r="A407" s="1093" t="s">
        <v>980</v>
      </c>
      <c r="B407" s="1075"/>
      <c r="C407" s="1075"/>
      <c r="D407" s="1075"/>
      <c r="E407" s="1075"/>
      <c r="F407" s="1075"/>
      <c r="G407" s="1075"/>
      <c r="H407" s="1075"/>
      <c r="I407" s="694"/>
      <c r="J407" s="694"/>
      <c r="K407" s="694"/>
      <c r="L407" s="694"/>
      <c r="M407" s="694"/>
      <c r="N407" s="694"/>
      <c r="O407" s="694"/>
      <c r="P407" s="694"/>
      <c r="Q407" s="694"/>
      <c r="R407" s="694"/>
      <c r="S407" s="694"/>
      <c r="T407" s="694"/>
      <c r="U407" s="694"/>
      <c r="V407" s="694"/>
      <c r="W407" s="694"/>
      <c r="X407" s="694"/>
      <c r="Y407" s="694"/>
      <c r="Z407" s="694"/>
      <c r="AA407" s="694"/>
      <c r="AB407" s="694"/>
      <c r="AC407" s="694"/>
      <c r="AD407" s="694"/>
      <c r="AE407" s="694"/>
      <c r="AF407" s="1015">
        <f t="shared" si="153"/>
        <v>0</v>
      </c>
    </row>
    <row r="408">
      <c r="A408" s="1093" t="s">
        <v>981</v>
      </c>
      <c r="B408" s="331">
        <v>0.0</v>
      </c>
      <c r="C408" s="331">
        <v>0.0</v>
      </c>
      <c r="D408" s="331">
        <v>0.0</v>
      </c>
      <c r="E408" s="331">
        <v>0.0</v>
      </c>
      <c r="F408" s="331">
        <v>0.0</v>
      </c>
      <c r="G408" s="331">
        <v>0.0</v>
      </c>
      <c r="H408" s="331">
        <v>0.0</v>
      </c>
      <c r="I408" s="331">
        <v>0.0</v>
      </c>
      <c r="J408" s="331">
        <v>0.0</v>
      </c>
      <c r="K408" s="331">
        <v>0.0</v>
      </c>
      <c r="L408" s="331">
        <v>0.0</v>
      </c>
      <c r="M408" s="331">
        <v>0.0</v>
      </c>
      <c r="N408" s="331">
        <v>0.0</v>
      </c>
      <c r="O408" s="331">
        <v>0.0</v>
      </c>
      <c r="P408" s="331">
        <v>0.0</v>
      </c>
      <c r="Q408" s="331">
        <v>0.0</v>
      </c>
      <c r="R408" s="331">
        <v>0.0</v>
      </c>
      <c r="S408" s="331">
        <v>0.0</v>
      </c>
      <c r="T408" s="331">
        <v>0.0</v>
      </c>
      <c r="U408" s="331">
        <v>0.0</v>
      </c>
      <c r="V408" s="331">
        <v>0.0</v>
      </c>
      <c r="W408" s="331">
        <v>0.0</v>
      </c>
      <c r="X408" s="331">
        <v>0.0</v>
      </c>
      <c r="Y408" s="331">
        <v>0.0</v>
      </c>
      <c r="Z408" s="331">
        <v>0.0</v>
      </c>
      <c r="AA408" s="331">
        <v>0.0</v>
      </c>
      <c r="AB408" s="331">
        <v>0.0</v>
      </c>
      <c r="AC408" s="331">
        <v>0.0</v>
      </c>
      <c r="AD408" s="331">
        <v>0.0</v>
      </c>
      <c r="AE408" s="331">
        <v>0.0</v>
      </c>
      <c r="AF408" s="1015">
        <f t="shared" si="153"/>
        <v>0</v>
      </c>
    </row>
    <row r="409">
      <c r="A409" s="1093" t="s">
        <v>1042</v>
      </c>
      <c r="B409" s="331">
        <v>0.0</v>
      </c>
      <c r="C409" s="331">
        <v>0.0</v>
      </c>
      <c r="D409" s="331">
        <v>0.0</v>
      </c>
      <c r="E409" s="331">
        <v>0.0</v>
      </c>
      <c r="F409" s="331">
        <v>0.0</v>
      </c>
      <c r="G409" s="331">
        <v>0.0</v>
      </c>
      <c r="H409" s="331">
        <v>0.0</v>
      </c>
      <c r="I409" s="331">
        <v>0.0</v>
      </c>
      <c r="J409" s="331">
        <v>0.0</v>
      </c>
      <c r="K409" s="331">
        <v>0.0</v>
      </c>
      <c r="L409" s="331">
        <v>0.0</v>
      </c>
      <c r="M409" s="331">
        <v>0.0</v>
      </c>
      <c r="N409" s="331">
        <v>0.0</v>
      </c>
      <c r="O409" s="331">
        <v>0.0</v>
      </c>
      <c r="P409" s="331">
        <v>0.0</v>
      </c>
      <c r="Q409" s="331">
        <v>0.0</v>
      </c>
      <c r="R409" s="331">
        <v>0.0</v>
      </c>
      <c r="S409" s="331">
        <v>0.0</v>
      </c>
      <c r="T409" s="331">
        <v>0.0</v>
      </c>
      <c r="U409" s="331">
        <v>0.0</v>
      </c>
      <c r="V409" s="331">
        <v>0.0</v>
      </c>
      <c r="W409" s="331">
        <v>0.0</v>
      </c>
      <c r="X409" s="331">
        <v>0.0</v>
      </c>
      <c r="Y409" s="331">
        <v>0.0</v>
      </c>
      <c r="Z409" s="331">
        <v>0.0</v>
      </c>
      <c r="AA409" s="331">
        <v>0.0</v>
      </c>
      <c r="AB409" s="331">
        <v>0.0</v>
      </c>
      <c r="AC409" s="331">
        <v>0.0</v>
      </c>
      <c r="AD409" s="331">
        <v>0.0</v>
      </c>
      <c r="AE409" s="331">
        <v>0.0</v>
      </c>
      <c r="AF409" s="1015">
        <f t="shared" si="153"/>
        <v>0</v>
      </c>
    </row>
    <row r="410">
      <c r="A410" s="1093" t="s">
        <v>1043</v>
      </c>
      <c r="B410" s="331">
        <v>0.0</v>
      </c>
      <c r="C410" s="331">
        <v>0.0</v>
      </c>
      <c r="D410" s="331">
        <v>0.0</v>
      </c>
      <c r="E410" s="331">
        <v>0.0</v>
      </c>
      <c r="F410" s="331">
        <v>0.0</v>
      </c>
      <c r="G410" s="331">
        <v>0.0</v>
      </c>
      <c r="H410" s="331">
        <v>0.0</v>
      </c>
      <c r="I410" s="331">
        <v>0.0</v>
      </c>
      <c r="J410" s="331">
        <v>0.0</v>
      </c>
      <c r="K410" s="331">
        <v>0.0</v>
      </c>
      <c r="L410" s="331">
        <v>0.0</v>
      </c>
      <c r="M410" s="331">
        <v>0.0</v>
      </c>
      <c r="N410" s="331">
        <v>0.0</v>
      </c>
      <c r="O410" s="331">
        <v>0.0</v>
      </c>
      <c r="P410" s="331">
        <v>0.0</v>
      </c>
      <c r="Q410" s="331">
        <v>0.0</v>
      </c>
      <c r="R410" s="331">
        <v>0.0</v>
      </c>
      <c r="S410" s="331">
        <v>0.0</v>
      </c>
      <c r="T410" s="331">
        <v>0.0</v>
      </c>
      <c r="U410" s="331">
        <v>0.0</v>
      </c>
      <c r="V410" s="331">
        <v>0.0</v>
      </c>
      <c r="W410" s="331">
        <v>0.0</v>
      </c>
      <c r="X410" s="331">
        <v>0.0</v>
      </c>
      <c r="Y410" s="331">
        <v>0.0</v>
      </c>
      <c r="Z410" s="331">
        <v>0.0</v>
      </c>
      <c r="AA410" s="331">
        <v>0.0</v>
      </c>
      <c r="AB410" s="331">
        <v>0.0</v>
      </c>
      <c r="AC410" s="331">
        <v>0.0</v>
      </c>
      <c r="AD410" s="331">
        <v>0.0</v>
      </c>
      <c r="AE410" s="331">
        <v>0.0</v>
      </c>
      <c r="AF410" s="1015">
        <f t="shared" si="153"/>
        <v>0</v>
      </c>
    </row>
    <row r="411">
      <c r="A411" s="1093" t="s">
        <v>1044</v>
      </c>
      <c r="B411" s="1077"/>
      <c r="C411" s="1077"/>
      <c r="D411" s="1077"/>
      <c r="E411" s="1077"/>
      <c r="F411" s="1077"/>
      <c r="G411" s="1077"/>
      <c r="H411" s="1077"/>
      <c r="I411" s="1077"/>
      <c r="J411" s="1077"/>
      <c r="K411" s="1077"/>
      <c r="L411" s="1077"/>
      <c r="M411" s="1077"/>
      <c r="N411" s="1077"/>
      <c r="O411" s="1077"/>
      <c r="P411" s="1077"/>
      <c r="Q411" s="1077"/>
      <c r="R411" s="1077"/>
      <c r="S411" s="331">
        <v>0.0</v>
      </c>
      <c r="T411" s="331">
        <v>0.0</v>
      </c>
      <c r="U411" s="331">
        <v>0.0</v>
      </c>
      <c r="V411" s="331">
        <v>0.0</v>
      </c>
      <c r="W411" s="331">
        <v>0.0</v>
      </c>
      <c r="X411" s="331">
        <v>0.0</v>
      </c>
      <c r="Y411" s="331">
        <v>0.0</v>
      </c>
      <c r="Z411" s="331">
        <v>0.0</v>
      </c>
      <c r="AA411" s="331">
        <v>0.0</v>
      </c>
      <c r="AB411" s="331">
        <v>0.0</v>
      </c>
      <c r="AC411" s="331">
        <v>0.0</v>
      </c>
      <c r="AD411" s="331">
        <v>0.0</v>
      </c>
      <c r="AE411" s="331">
        <v>0.0</v>
      </c>
      <c r="AF411" s="1015"/>
    </row>
    <row r="412">
      <c r="A412" s="1096" t="s">
        <v>988</v>
      </c>
      <c r="B412" s="317">
        <f t="shared" ref="B412:R412" si="154">SUM(B406:B410)</f>
        <v>0</v>
      </c>
      <c r="C412" s="317">
        <f t="shared" si="154"/>
        <v>0</v>
      </c>
      <c r="D412" s="317">
        <f t="shared" si="154"/>
        <v>0</v>
      </c>
      <c r="E412" s="317">
        <f t="shared" si="154"/>
        <v>0</v>
      </c>
      <c r="F412" s="317">
        <f t="shared" si="154"/>
        <v>0</v>
      </c>
      <c r="G412" s="317">
        <f t="shared" si="154"/>
        <v>0</v>
      </c>
      <c r="H412" s="317">
        <f t="shared" si="154"/>
        <v>0</v>
      </c>
      <c r="I412" s="317">
        <f t="shared" si="154"/>
        <v>0</v>
      </c>
      <c r="J412" s="317">
        <f t="shared" si="154"/>
        <v>0</v>
      </c>
      <c r="K412" s="317">
        <f t="shared" si="154"/>
        <v>0</v>
      </c>
      <c r="L412" s="317">
        <f t="shared" si="154"/>
        <v>0</v>
      </c>
      <c r="M412" s="317">
        <f t="shared" si="154"/>
        <v>0</v>
      </c>
      <c r="N412" s="317">
        <f t="shared" si="154"/>
        <v>0</v>
      </c>
      <c r="O412" s="317">
        <f t="shared" si="154"/>
        <v>0</v>
      </c>
      <c r="P412" s="317">
        <f t="shared" si="154"/>
        <v>0</v>
      </c>
      <c r="Q412" s="317">
        <f t="shared" si="154"/>
        <v>0</v>
      </c>
      <c r="R412" s="317">
        <f t="shared" si="154"/>
        <v>0</v>
      </c>
      <c r="S412" s="317">
        <f t="shared" ref="S412:X412" si="155">SUM(S406:S411)</f>
        <v>0</v>
      </c>
      <c r="T412" s="317">
        <f t="shared" si="155"/>
        <v>0</v>
      </c>
      <c r="U412" s="317">
        <f t="shared" si="155"/>
        <v>0</v>
      </c>
      <c r="V412" s="317">
        <f t="shared" si="155"/>
        <v>0</v>
      </c>
      <c r="W412" s="317">
        <f t="shared" si="155"/>
        <v>0</v>
      </c>
      <c r="X412" s="317">
        <f t="shared" si="155"/>
        <v>0</v>
      </c>
      <c r="Y412" s="317">
        <f t="shared" ref="Y412:AC412" si="156">SUM(Y406:Y410)</f>
        <v>0</v>
      </c>
      <c r="Z412" s="317">
        <f t="shared" si="156"/>
        <v>0</v>
      </c>
      <c r="AA412" s="317">
        <f t="shared" si="156"/>
        <v>0</v>
      </c>
      <c r="AB412" s="317">
        <f t="shared" si="156"/>
        <v>0</v>
      </c>
      <c r="AC412" s="317">
        <f t="shared" si="156"/>
        <v>0</v>
      </c>
      <c r="AD412" s="317">
        <f>SUM(AD406:AD411)</f>
        <v>0</v>
      </c>
      <c r="AE412" s="317">
        <f>SUM(AE406:AE410)</f>
        <v>0</v>
      </c>
      <c r="AF412" s="1015">
        <f>SUM(B412:AE412)</f>
        <v>0</v>
      </c>
    </row>
    <row r="413">
      <c r="A413" s="854"/>
      <c r="B413" s="1066"/>
      <c r="C413" s="1066"/>
      <c r="D413" s="1066"/>
      <c r="E413" s="1066"/>
      <c r="F413" s="1066"/>
      <c r="G413" s="1066"/>
      <c r="H413" s="1066"/>
      <c r="I413" s="1066"/>
      <c r="J413" s="1066"/>
      <c r="K413" s="1066"/>
      <c r="L413" s="1066"/>
      <c r="M413" s="1066"/>
      <c r="N413" s="1066"/>
      <c r="O413" s="1066"/>
      <c r="P413" s="1066"/>
      <c r="Q413" s="1066"/>
      <c r="R413" s="1066"/>
      <c r="S413" s="1066"/>
      <c r="T413" s="1066"/>
      <c r="U413" s="1066"/>
      <c r="V413" s="1066"/>
      <c r="W413" s="1066"/>
      <c r="X413" s="1066"/>
      <c r="Y413" s="1066"/>
      <c r="Z413" s="1066"/>
      <c r="AA413" s="1066"/>
      <c r="AB413" s="1066"/>
      <c r="AC413" s="1066"/>
      <c r="AD413" s="1066"/>
      <c r="AE413" s="1066"/>
      <c r="AF413" s="700"/>
    </row>
    <row r="414">
      <c r="A414" s="1093" t="s">
        <v>1046</v>
      </c>
      <c r="B414" s="331">
        <v>0.0</v>
      </c>
      <c r="C414" s="331">
        <v>0.0</v>
      </c>
      <c r="D414" s="331">
        <v>0.0</v>
      </c>
      <c r="E414" s="331">
        <v>0.0</v>
      </c>
      <c r="F414" s="331">
        <v>0.0</v>
      </c>
      <c r="G414" s="331">
        <v>0.0</v>
      </c>
      <c r="H414" s="331">
        <v>0.0</v>
      </c>
      <c r="I414" s="331">
        <v>0.0</v>
      </c>
      <c r="J414" s="331">
        <v>0.0</v>
      </c>
      <c r="K414" s="331">
        <v>0.0</v>
      </c>
      <c r="L414" s="331">
        <v>0.0</v>
      </c>
      <c r="M414" s="331">
        <v>0.0</v>
      </c>
      <c r="N414" s="331">
        <v>0.0</v>
      </c>
      <c r="O414" s="331">
        <v>0.0</v>
      </c>
      <c r="P414" s="331">
        <v>0.0</v>
      </c>
      <c r="Q414" s="331">
        <v>0.0</v>
      </c>
      <c r="R414" s="331">
        <v>0.0</v>
      </c>
      <c r="S414" s="331">
        <v>0.0</v>
      </c>
      <c r="T414" s="331">
        <v>0.0</v>
      </c>
      <c r="U414" s="331">
        <v>0.0</v>
      </c>
      <c r="V414" s="331">
        <v>0.0</v>
      </c>
      <c r="W414" s="331">
        <v>0.0</v>
      </c>
      <c r="X414" s="331">
        <v>0.0</v>
      </c>
      <c r="Y414" s="331">
        <v>0.0</v>
      </c>
      <c r="Z414" s="331">
        <v>0.0</v>
      </c>
      <c r="AA414" s="331">
        <v>0.0</v>
      </c>
      <c r="AB414" s="331">
        <v>0.0</v>
      </c>
      <c r="AC414" s="331">
        <v>0.0</v>
      </c>
      <c r="AD414" s="331">
        <v>0.0</v>
      </c>
      <c r="AE414" s="331">
        <v>0.0</v>
      </c>
      <c r="AF414" s="1015">
        <f t="shared" ref="AF414:AF416" si="157">SUM(B414:AE414)</f>
        <v>0</v>
      </c>
    </row>
    <row r="415">
      <c r="A415" s="1093" t="s">
        <v>1028</v>
      </c>
      <c r="B415" s="331">
        <v>0.0</v>
      </c>
      <c r="C415" s="331">
        <v>0.0</v>
      </c>
      <c r="D415" s="331">
        <v>0.0</v>
      </c>
      <c r="E415" s="331">
        <v>0.0</v>
      </c>
      <c r="F415" s="331">
        <v>0.0</v>
      </c>
      <c r="G415" s="331">
        <v>0.0</v>
      </c>
      <c r="H415" s="331">
        <v>0.0</v>
      </c>
      <c r="I415" s="331">
        <v>0.0</v>
      </c>
      <c r="J415" s="331">
        <v>0.0</v>
      </c>
      <c r="K415" s="331">
        <v>0.0</v>
      </c>
      <c r="L415" s="331">
        <v>0.0</v>
      </c>
      <c r="M415" s="331">
        <v>0.0</v>
      </c>
      <c r="N415" s="331">
        <v>0.0</v>
      </c>
      <c r="O415" s="331">
        <v>0.0</v>
      </c>
      <c r="P415" s="331">
        <v>0.0</v>
      </c>
      <c r="Q415" s="331">
        <v>0.0</v>
      </c>
      <c r="R415" s="331">
        <v>0.0</v>
      </c>
      <c r="S415" s="331">
        <v>0.0</v>
      </c>
      <c r="T415" s="331">
        <v>0.0</v>
      </c>
      <c r="U415" s="331">
        <v>0.0</v>
      </c>
      <c r="V415" s="331">
        <v>0.0</v>
      </c>
      <c r="W415" s="331">
        <v>0.0</v>
      </c>
      <c r="X415" s="331">
        <v>0.0</v>
      </c>
      <c r="Y415" s="331">
        <v>0.0</v>
      </c>
      <c r="Z415" s="331">
        <v>0.0</v>
      </c>
      <c r="AA415" s="331">
        <v>0.0</v>
      </c>
      <c r="AB415" s="331">
        <v>0.0</v>
      </c>
      <c r="AC415" s="331">
        <v>0.0</v>
      </c>
      <c r="AD415" s="331">
        <v>0.0</v>
      </c>
      <c r="AE415" s="331">
        <v>0.0</v>
      </c>
      <c r="AF415" s="1015">
        <f t="shared" si="157"/>
        <v>0</v>
      </c>
    </row>
    <row r="416">
      <c r="A416" s="1096" t="s">
        <v>95</v>
      </c>
      <c r="B416" s="317">
        <f t="shared" ref="B416:AE416" si="158">SUM(B414:B415)</f>
        <v>0</v>
      </c>
      <c r="C416" s="317">
        <f t="shared" si="158"/>
        <v>0</v>
      </c>
      <c r="D416" s="317">
        <f t="shared" si="158"/>
        <v>0</v>
      </c>
      <c r="E416" s="317">
        <f t="shared" si="158"/>
        <v>0</v>
      </c>
      <c r="F416" s="317">
        <f t="shared" si="158"/>
        <v>0</v>
      </c>
      <c r="G416" s="317">
        <f t="shared" si="158"/>
        <v>0</v>
      </c>
      <c r="H416" s="317">
        <f t="shared" si="158"/>
        <v>0</v>
      </c>
      <c r="I416" s="317">
        <f t="shared" si="158"/>
        <v>0</v>
      </c>
      <c r="J416" s="317">
        <f t="shared" si="158"/>
        <v>0</v>
      </c>
      <c r="K416" s="317">
        <f t="shared" si="158"/>
        <v>0</v>
      </c>
      <c r="L416" s="317">
        <f t="shared" si="158"/>
        <v>0</v>
      </c>
      <c r="M416" s="317">
        <f t="shared" si="158"/>
        <v>0</v>
      </c>
      <c r="N416" s="317">
        <f t="shared" si="158"/>
        <v>0</v>
      </c>
      <c r="O416" s="317">
        <f t="shared" si="158"/>
        <v>0</v>
      </c>
      <c r="P416" s="317">
        <f t="shared" si="158"/>
        <v>0</v>
      </c>
      <c r="Q416" s="317">
        <f t="shared" si="158"/>
        <v>0</v>
      </c>
      <c r="R416" s="317">
        <f t="shared" si="158"/>
        <v>0</v>
      </c>
      <c r="S416" s="317">
        <f t="shared" si="158"/>
        <v>0</v>
      </c>
      <c r="T416" s="317">
        <f t="shared" si="158"/>
        <v>0</v>
      </c>
      <c r="U416" s="317">
        <f t="shared" si="158"/>
        <v>0</v>
      </c>
      <c r="V416" s="317">
        <f t="shared" si="158"/>
        <v>0</v>
      </c>
      <c r="W416" s="317">
        <f t="shared" si="158"/>
        <v>0</v>
      </c>
      <c r="X416" s="317">
        <f t="shared" si="158"/>
        <v>0</v>
      </c>
      <c r="Y416" s="317">
        <f t="shared" si="158"/>
        <v>0</v>
      </c>
      <c r="Z416" s="317">
        <f t="shared" si="158"/>
        <v>0</v>
      </c>
      <c r="AA416" s="317">
        <f t="shared" si="158"/>
        <v>0</v>
      </c>
      <c r="AB416" s="317">
        <f t="shared" si="158"/>
        <v>0</v>
      </c>
      <c r="AC416" s="317">
        <f t="shared" si="158"/>
        <v>0</v>
      </c>
      <c r="AD416" s="317">
        <f t="shared" si="158"/>
        <v>0</v>
      </c>
      <c r="AE416" s="317">
        <f t="shared" si="158"/>
        <v>0</v>
      </c>
      <c r="AF416" s="1015">
        <f t="shared" si="157"/>
        <v>0</v>
      </c>
    </row>
    <row r="417">
      <c r="A417" s="854"/>
      <c r="B417" s="1066"/>
      <c r="C417" s="1066"/>
      <c r="D417" s="1066"/>
      <c r="E417" s="1066"/>
      <c r="F417" s="1066"/>
      <c r="G417" s="1066"/>
      <c r="H417" s="1066"/>
      <c r="I417" s="1066"/>
      <c r="J417" s="1066"/>
      <c r="K417" s="1066"/>
      <c r="L417" s="1066"/>
      <c r="M417" s="1066"/>
      <c r="N417" s="1066"/>
      <c r="O417" s="1066"/>
      <c r="P417" s="1066"/>
      <c r="Q417" s="1066"/>
      <c r="R417" s="1066"/>
      <c r="S417" s="1066"/>
      <c r="T417" s="1066"/>
      <c r="U417" s="1066"/>
      <c r="V417" s="1066"/>
      <c r="W417" s="1066"/>
      <c r="X417" s="1066"/>
      <c r="Y417" s="1066"/>
      <c r="Z417" s="1066"/>
      <c r="AA417" s="1066"/>
      <c r="AB417" s="1066"/>
      <c r="AC417" s="1066"/>
      <c r="AD417" s="1066"/>
      <c r="AE417" s="1066"/>
      <c r="AF417" s="700"/>
    </row>
    <row r="418">
      <c r="A418" s="854"/>
      <c r="B418" s="1066"/>
      <c r="C418" s="1066"/>
      <c r="D418" s="1066"/>
      <c r="E418" s="1066"/>
      <c r="F418" s="1066"/>
      <c r="G418" s="1066"/>
      <c r="H418" s="1066"/>
      <c r="I418" s="1066"/>
      <c r="J418" s="1066"/>
      <c r="K418" s="1066"/>
      <c r="L418" s="1066"/>
      <c r="M418" s="1066"/>
      <c r="N418" s="1066"/>
      <c r="O418" s="1066"/>
      <c r="P418" s="1066"/>
      <c r="Q418" s="1066"/>
      <c r="R418" s="1066"/>
      <c r="S418" s="1066"/>
      <c r="T418" s="1066"/>
      <c r="U418" s="1066"/>
      <c r="V418" s="1066"/>
      <c r="W418" s="1066"/>
      <c r="X418" s="1066"/>
      <c r="Y418" s="1066"/>
      <c r="Z418" s="1066"/>
      <c r="AA418" s="1066"/>
      <c r="AB418" s="1066"/>
      <c r="AC418" s="1066"/>
      <c r="AD418" s="1066"/>
      <c r="AE418" s="1066"/>
      <c r="AF418" s="700"/>
    </row>
    <row r="419">
      <c r="A419" s="1093" t="s">
        <v>1047</v>
      </c>
      <c r="B419" s="331">
        <v>15.0</v>
      </c>
      <c r="C419" s="331">
        <v>3.0</v>
      </c>
      <c r="D419" s="331">
        <v>3.0</v>
      </c>
      <c r="E419" s="331">
        <v>3.0</v>
      </c>
      <c r="F419" s="331">
        <v>5.0</v>
      </c>
      <c r="G419" s="331">
        <v>12.0</v>
      </c>
      <c r="H419" s="331">
        <v>5.0</v>
      </c>
      <c r="I419" s="331">
        <v>1.0</v>
      </c>
      <c r="J419" s="331">
        <v>0.0</v>
      </c>
      <c r="K419" s="331">
        <v>1.0</v>
      </c>
      <c r="L419" s="331">
        <v>29.0</v>
      </c>
      <c r="M419" s="331">
        <v>45.0</v>
      </c>
      <c r="N419" s="331">
        <v>18.0</v>
      </c>
      <c r="O419" s="331">
        <v>31.0</v>
      </c>
      <c r="P419" s="331">
        <v>3.0</v>
      </c>
      <c r="Q419" s="331">
        <v>0.0</v>
      </c>
      <c r="R419" s="331">
        <v>1.0</v>
      </c>
      <c r="S419" s="331">
        <v>3.0</v>
      </c>
      <c r="T419" s="331">
        <v>0.0</v>
      </c>
      <c r="U419" s="331">
        <v>9.0</v>
      </c>
      <c r="V419" s="331">
        <v>5.0</v>
      </c>
      <c r="W419" s="331">
        <v>1.0</v>
      </c>
      <c r="X419" s="331">
        <v>1.0</v>
      </c>
      <c r="Y419" s="331">
        <v>0.0</v>
      </c>
      <c r="Z419" s="331">
        <v>0.0</v>
      </c>
      <c r="AA419" s="331">
        <v>4.0</v>
      </c>
      <c r="AB419" s="331">
        <v>15.0</v>
      </c>
      <c r="AC419" s="331">
        <v>1.0</v>
      </c>
      <c r="AD419" s="331">
        <v>6.0</v>
      </c>
      <c r="AE419" s="331">
        <v>3.0</v>
      </c>
      <c r="AF419" s="1015">
        <f t="shared" ref="AF419:AF422" si="159">SUM(B419:AE419)</f>
        <v>223</v>
      </c>
    </row>
    <row r="420">
      <c r="A420" s="1093" t="s">
        <v>1048</v>
      </c>
      <c r="B420" s="331">
        <v>0.0</v>
      </c>
      <c r="C420" s="331">
        <v>0.0</v>
      </c>
      <c r="D420" s="331">
        <v>0.0</v>
      </c>
      <c r="E420" s="331">
        <v>0.0</v>
      </c>
      <c r="F420" s="331">
        <v>0.0</v>
      </c>
      <c r="G420" s="331">
        <v>0.0</v>
      </c>
      <c r="H420" s="331">
        <v>0.0</v>
      </c>
      <c r="I420" s="331">
        <v>0.0</v>
      </c>
      <c r="J420" s="331">
        <v>0.0</v>
      </c>
      <c r="K420" s="331">
        <v>0.0</v>
      </c>
      <c r="L420" s="331">
        <v>0.0</v>
      </c>
      <c r="M420" s="331">
        <v>1.0</v>
      </c>
      <c r="N420" s="331">
        <v>3.0</v>
      </c>
      <c r="O420" s="331">
        <v>0.0</v>
      </c>
      <c r="P420" s="331">
        <v>0.0</v>
      </c>
      <c r="Q420" s="331">
        <v>0.0</v>
      </c>
      <c r="R420" s="331">
        <v>0.0</v>
      </c>
      <c r="S420" s="331">
        <v>1.0</v>
      </c>
      <c r="T420" s="331">
        <v>0.0</v>
      </c>
      <c r="U420" s="331">
        <v>0.0</v>
      </c>
      <c r="V420" s="331">
        <v>1.0</v>
      </c>
      <c r="W420" s="331">
        <v>0.0</v>
      </c>
      <c r="X420" s="331">
        <v>0.0</v>
      </c>
      <c r="Y420" s="331">
        <v>0.0</v>
      </c>
      <c r="Z420" s="331">
        <v>0.0</v>
      </c>
      <c r="AA420" s="331">
        <v>0.0</v>
      </c>
      <c r="AB420" s="331">
        <v>0.0</v>
      </c>
      <c r="AC420" s="331">
        <v>0.0</v>
      </c>
      <c r="AD420" s="331">
        <v>0.0</v>
      </c>
      <c r="AE420" s="331">
        <v>0.0</v>
      </c>
      <c r="AF420" s="1015">
        <f t="shared" si="159"/>
        <v>6</v>
      </c>
    </row>
    <row r="421">
      <c r="A421" s="1093" t="s">
        <v>1049</v>
      </c>
      <c r="B421" s="331">
        <v>0.0</v>
      </c>
      <c r="C421" s="331">
        <v>0.0</v>
      </c>
      <c r="D421" s="331">
        <v>0.0</v>
      </c>
      <c r="E421" s="331">
        <v>0.0</v>
      </c>
      <c r="F421" s="331">
        <v>0.0</v>
      </c>
      <c r="G421" s="331">
        <v>0.0</v>
      </c>
      <c r="H421" s="331">
        <v>0.0</v>
      </c>
      <c r="I421" s="331">
        <v>0.0</v>
      </c>
      <c r="J421" s="331">
        <v>0.0</v>
      </c>
      <c r="K421" s="331">
        <v>0.0</v>
      </c>
      <c r="L421" s="331">
        <v>0.0</v>
      </c>
      <c r="M421" s="331">
        <v>0.0</v>
      </c>
      <c r="N421" s="331">
        <v>0.0</v>
      </c>
      <c r="O421" s="331">
        <v>0.0</v>
      </c>
      <c r="P421" s="331">
        <v>0.0</v>
      </c>
      <c r="Q421" s="331">
        <v>0.0</v>
      </c>
      <c r="R421" s="331">
        <v>0.0</v>
      </c>
      <c r="S421" s="331">
        <v>0.0</v>
      </c>
      <c r="T421" s="331">
        <v>0.0</v>
      </c>
      <c r="U421" s="331">
        <v>0.0</v>
      </c>
      <c r="V421" s="331">
        <v>0.0</v>
      </c>
      <c r="W421" s="331">
        <v>0.0</v>
      </c>
      <c r="X421" s="331">
        <v>0.0</v>
      </c>
      <c r="Y421" s="331">
        <v>0.0</v>
      </c>
      <c r="Z421" s="331">
        <v>0.0</v>
      </c>
      <c r="AA421" s="331">
        <v>0.0</v>
      </c>
      <c r="AB421" s="331">
        <v>0.0</v>
      </c>
      <c r="AC421" s="331">
        <v>0.0</v>
      </c>
      <c r="AD421" s="331">
        <v>0.0</v>
      </c>
      <c r="AE421" s="331">
        <v>0.0</v>
      </c>
      <c r="AF421" s="1015">
        <f t="shared" si="159"/>
        <v>0</v>
      </c>
    </row>
    <row r="422">
      <c r="A422" s="1096" t="s">
        <v>426</v>
      </c>
      <c r="B422" s="317">
        <f t="shared" ref="B422:AE422" si="160">SUM(B419:B421)</f>
        <v>15</v>
      </c>
      <c r="C422" s="317">
        <f t="shared" si="160"/>
        <v>3</v>
      </c>
      <c r="D422" s="317">
        <f t="shared" si="160"/>
        <v>3</v>
      </c>
      <c r="E422" s="317">
        <f t="shared" si="160"/>
        <v>3</v>
      </c>
      <c r="F422" s="317">
        <f t="shared" si="160"/>
        <v>5</v>
      </c>
      <c r="G422" s="317">
        <f t="shared" si="160"/>
        <v>12</v>
      </c>
      <c r="H422" s="317">
        <f t="shared" si="160"/>
        <v>5</v>
      </c>
      <c r="I422" s="317">
        <f t="shared" si="160"/>
        <v>1</v>
      </c>
      <c r="J422" s="317">
        <f t="shared" si="160"/>
        <v>0</v>
      </c>
      <c r="K422" s="317">
        <f t="shared" si="160"/>
        <v>1</v>
      </c>
      <c r="L422" s="317">
        <f t="shared" si="160"/>
        <v>29</v>
      </c>
      <c r="M422" s="317">
        <f t="shared" si="160"/>
        <v>46</v>
      </c>
      <c r="N422" s="317">
        <f t="shared" si="160"/>
        <v>21</v>
      </c>
      <c r="O422" s="317">
        <f t="shared" si="160"/>
        <v>31</v>
      </c>
      <c r="P422" s="317">
        <f t="shared" si="160"/>
        <v>3</v>
      </c>
      <c r="Q422" s="317">
        <f t="shared" si="160"/>
        <v>0</v>
      </c>
      <c r="R422" s="317">
        <f t="shared" si="160"/>
        <v>1</v>
      </c>
      <c r="S422" s="317">
        <f t="shared" si="160"/>
        <v>4</v>
      </c>
      <c r="T422" s="317">
        <f t="shared" si="160"/>
        <v>0</v>
      </c>
      <c r="U422" s="317">
        <f t="shared" si="160"/>
        <v>9</v>
      </c>
      <c r="V422" s="317">
        <f t="shared" si="160"/>
        <v>6</v>
      </c>
      <c r="W422" s="317">
        <f t="shared" si="160"/>
        <v>1</v>
      </c>
      <c r="X422" s="317">
        <f t="shared" si="160"/>
        <v>1</v>
      </c>
      <c r="Y422" s="317">
        <f t="shared" si="160"/>
        <v>0</v>
      </c>
      <c r="Z422" s="317">
        <f t="shared" si="160"/>
        <v>0</v>
      </c>
      <c r="AA422" s="317">
        <f t="shared" si="160"/>
        <v>4</v>
      </c>
      <c r="AB422" s="317">
        <f t="shared" si="160"/>
        <v>15</v>
      </c>
      <c r="AC422" s="317">
        <f t="shared" si="160"/>
        <v>1</v>
      </c>
      <c r="AD422" s="317">
        <f t="shared" si="160"/>
        <v>6</v>
      </c>
      <c r="AE422" s="317">
        <f t="shared" si="160"/>
        <v>3</v>
      </c>
      <c r="AF422" s="1015">
        <f t="shared" si="159"/>
        <v>229</v>
      </c>
    </row>
    <row r="423">
      <c r="A423" s="854"/>
      <c r="B423" s="1099"/>
      <c r="C423" s="1066"/>
      <c r="D423" s="1066"/>
      <c r="E423" s="1066"/>
      <c r="F423" s="1066"/>
      <c r="G423" s="1066"/>
      <c r="H423" s="1066"/>
      <c r="I423" s="1066"/>
      <c r="J423" s="1066"/>
      <c r="K423" s="1066"/>
      <c r="L423" s="1066"/>
      <c r="M423" s="1066"/>
      <c r="N423" s="1066"/>
      <c r="O423" s="1066"/>
      <c r="P423" s="1066"/>
      <c r="Q423" s="1066"/>
      <c r="R423" s="1066"/>
      <c r="S423" s="1066"/>
      <c r="T423" s="1066"/>
      <c r="U423" s="1066"/>
      <c r="V423" s="1066"/>
      <c r="W423" s="1066"/>
      <c r="X423" s="1066"/>
      <c r="Y423" s="1066"/>
      <c r="Z423" s="1066"/>
      <c r="AA423" s="1066"/>
      <c r="AB423" s="1066"/>
      <c r="AC423" s="1066"/>
      <c r="AD423" s="1066"/>
      <c r="AE423" s="1066"/>
      <c r="AF423" s="700"/>
    </row>
    <row r="424">
      <c r="A424" s="931" t="s">
        <v>1050</v>
      </c>
      <c r="B424" s="651"/>
      <c r="C424" s="651"/>
      <c r="D424" s="651"/>
      <c r="E424" s="651"/>
      <c r="F424" s="651"/>
      <c r="G424" s="579"/>
      <c r="H424" s="651"/>
      <c r="I424" s="582"/>
      <c r="J424" s="582"/>
      <c r="K424" s="582"/>
      <c r="L424" s="582"/>
      <c r="M424" s="582"/>
      <c r="N424" s="582"/>
      <c r="O424" s="582"/>
      <c r="P424" s="582"/>
      <c r="Q424" s="582"/>
      <c r="R424" s="582"/>
      <c r="S424" s="582"/>
      <c r="T424" s="582"/>
      <c r="U424" s="582"/>
      <c r="V424" s="582"/>
      <c r="W424" s="582"/>
      <c r="X424" s="582"/>
      <c r="Y424" s="582"/>
      <c r="Z424" s="582"/>
      <c r="AA424" s="582"/>
      <c r="AB424" s="582"/>
      <c r="AC424" s="582"/>
      <c r="AD424" s="582"/>
      <c r="AE424" s="582"/>
      <c r="AF424" s="700"/>
    </row>
    <row r="425">
      <c r="A425" s="1093" t="s">
        <v>1051</v>
      </c>
      <c r="B425" s="579">
        <v>0.0</v>
      </c>
      <c r="C425" s="579">
        <v>0.0</v>
      </c>
      <c r="D425" s="579">
        <v>159.2</v>
      </c>
      <c r="E425" s="579">
        <f>264+24</f>
        <v>288</v>
      </c>
      <c r="F425" s="579">
        <v>0.0</v>
      </c>
      <c r="G425" s="579">
        <v>834.6</v>
      </c>
      <c r="H425" s="579">
        <v>414.2</v>
      </c>
      <c r="I425" s="579">
        <v>14.0</v>
      </c>
      <c r="J425" s="579">
        <v>269.0</v>
      </c>
      <c r="K425" s="579">
        <v>468.0</v>
      </c>
      <c r="L425" s="579">
        <v>0.0</v>
      </c>
      <c r="M425" s="579">
        <v>22.0</v>
      </c>
      <c r="N425" s="579">
        <v>45.46</v>
      </c>
      <c r="O425" s="579">
        <v>179.1</v>
      </c>
      <c r="P425" s="579">
        <v>704.68</v>
      </c>
      <c r="Q425" s="579">
        <v>0.0</v>
      </c>
      <c r="R425" s="579">
        <v>24.0</v>
      </c>
      <c r="S425" s="579">
        <v>257.0</v>
      </c>
      <c r="T425" s="579">
        <v>0.0</v>
      </c>
      <c r="U425" s="579">
        <v>12.6</v>
      </c>
      <c r="V425" s="579">
        <v>0.0</v>
      </c>
      <c r="W425" s="579">
        <v>258.17</v>
      </c>
      <c r="X425" s="579">
        <v>318.25</v>
      </c>
      <c r="Y425" s="579">
        <v>336.0</v>
      </c>
      <c r="Z425" s="579">
        <v>29.0</v>
      </c>
      <c r="AA425" s="579">
        <v>1252.28</v>
      </c>
      <c r="AB425" s="579">
        <v>0.0</v>
      </c>
      <c r="AC425" s="579">
        <v>29.0</v>
      </c>
      <c r="AD425" s="579">
        <v>0.0</v>
      </c>
      <c r="AE425" s="579">
        <v>154.0</v>
      </c>
      <c r="AF425" s="888">
        <f t="shared" ref="AF425:AF428" si="161">SUM(B425:AE425)</f>
        <v>6068.54</v>
      </c>
    </row>
    <row r="426">
      <c r="A426" s="1093" t="s">
        <v>1052</v>
      </c>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888">
        <f t="shared" si="161"/>
        <v>0</v>
      </c>
    </row>
    <row r="427">
      <c r="A427" s="1093" t="s">
        <v>1053</v>
      </c>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888">
        <f t="shared" si="161"/>
        <v>0</v>
      </c>
    </row>
    <row r="428">
      <c r="A428" s="1100" t="s">
        <v>581</v>
      </c>
      <c r="B428" s="411"/>
      <c r="C428" s="411"/>
      <c r="D428" s="411"/>
      <c r="E428" s="411"/>
      <c r="F428" s="411"/>
      <c r="G428" s="411"/>
      <c r="H428" s="411"/>
      <c r="I428" s="411"/>
      <c r="J428" s="411"/>
      <c r="K428" s="411"/>
      <c r="L428" s="411"/>
      <c r="M428" s="411"/>
      <c r="N428" s="411"/>
      <c r="O428" s="411"/>
      <c r="P428" s="411"/>
      <c r="Q428" s="411"/>
      <c r="R428" s="411"/>
      <c r="S428" s="411"/>
      <c r="T428" s="411"/>
      <c r="U428" s="411"/>
      <c r="V428" s="411"/>
      <c r="W428" s="411"/>
      <c r="X428" s="411"/>
      <c r="Y428" s="411"/>
      <c r="Z428" s="411"/>
      <c r="AA428" s="411"/>
      <c r="AB428" s="411"/>
      <c r="AC428" s="411"/>
      <c r="AD428" s="411"/>
      <c r="AE428" s="411"/>
      <c r="AF428" s="888">
        <f t="shared" si="161"/>
        <v>0</v>
      </c>
    </row>
    <row r="429">
      <c r="A429" s="854"/>
      <c r="B429" s="1066"/>
      <c r="C429" s="1066"/>
      <c r="D429" s="1066"/>
      <c r="E429" s="1066"/>
      <c r="F429" s="1066"/>
      <c r="G429" s="1066"/>
      <c r="H429" s="1066"/>
      <c r="I429" s="1066"/>
      <c r="J429" s="1066"/>
      <c r="K429" s="1066"/>
      <c r="L429" s="1066"/>
      <c r="M429" s="1066"/>
      <c r="N429" s="1066"/>
      <c r="O429" s="1066"/>
      <c r="P429" s="1066"/>
      <c r="Q429" s="1066"/>
      <c r="R429" s="1066"/>
      <c r="S429" s="1066"/>
      <c r="T429" s="1066"/>
      <c r="U429" s="1066"/>
      <c r="V429" s="1066"/>
      <c r="W429" s="1066"/>
      <c r="X429" s="1066"/>
      <c r="Y429" s="1066"/>
      <c r="Z429" s="1066"/>
      <c r="AA429" s="1066"/>
      <c r="AB429" s="1066"/>
      <c r="AC429" s="1066"/>
      <c r="AD429" s="1066"/>
      <c r="AE429" s="1066"/>
      <c r="AF429" s="888"/>
    </row>
    <row r="430">
      <c r="A430" s="1093" t="s">
        <v>468</v>
      </c>
      <c r="B430" s="579">
        <v>0.0</v>
      </c>
      <c r="C430" s="579">
        <v>0.0</v>
      </c>
      <c r="D430" s="579">
        <v>0.0</v>
      </c>
      <c r="E430" s="1081">
        <v>0.0</v>
      </c>
      <c r="F430" s="579">
        <v>269.0</v>
      </c>
      <c r="G430" s="579">
        <v>0.0</v>
      </c>
      <c r="H430" s="579">
        <v>0.0</v>
      </c>
      <c r="I430" s="579">
        <v>0.0</v>
      </c>
      <c r="J430" s="579">
        <v>0.0</v>
      </c>
      <c r="K430" s="579">
        <v>0.0</v>
      </c>
      <c r="L430" s="579">
        <v>0.0</v>
      </c>
      <c r="M430" s="579">
        <v>0.0</v>
      </c>
      <c r="N430" s="579">
        <v>0.0</v>
      </c>
      <c r="O430" s="579">
        <v>0.0</v>
      </c>
      <c r="P430" s="579">
        <v>0.0</v>
      </c>
      <c r="Q430" s="579">
        <v>0.0</v>
      </c>
      <c r="R430" s="579">
        <v>0.0</v>
      </c>
      <c r="S430" s="579">
        <v>0.0</v>
      </c>
      <c r="T430" s="579">
        <v>0.0</v>
      </c>
      <c r="U430" s="579">
        <v>51.0</v>
      </c>
      <c r="V430" s="579">
        <v>29.0</v>
      </c>
      <c r="W430" s="579">
        <v>0.0</v>
      </c>
      <c r="X430" s="579">
        <v>518.0</v>
      </c>
      <c r="Y430" s="579">
        <v>29.0</v>
      </c>
      <c r="Z430" s="579">
        <v>0.0</v>
      </c>
      <c r="AA430" s="579">
        <v>0.0</v>
      </c>
      <c r="AB430" s="579">
        <v>0.0</v>
      </c>
      <c r="AC430" s="579">
        <v>0.0</v>
      </c>
      <c r="AD430" s="579">
        <v>0.0</v>
      </c>
      <c r="AE430" s="579">
        <v>0.0</v>
      </c>
      <c r="AF430" s="888">
        <f t="shared" ref="AF430:AF433" si="162">SUM(B430:AE430)</f>
        <v>896</v>
      </c>
    </row>
    <row r="431">
      <c r="A431" s="1093" t="s">
        <v>470</v>
      </c>
      <c r="B431" s="579">
        <v>0.0</v>
      </c>
      <c r="C431" s="579">
        <v>0.0</v>
      </c>
      <c r="D431" s="579">
        <v>0.0</v>
      </c>
      <c r="E431" s="1081">
        <v>0.0</v>
      </c>
      <c r="F431" s="579">
        <v>35.0</v>
      </c>
      <c r="G431" s="579">
        <v>0.0</v>
      </c>
      <c r="H431" s="579">
        <v>0.0</v>
      </c>
      <c r="I431" s="579">
        <v>0.0</v>
      </c>
      <c r="J431" s="579">
        <v>0.0</v>
      </c>
      <c r="K431" s="579">
        <v>0.0</v>
      </c>
      <c r="L431" s="579">
        <v>0.0</v>
      </c>
      <c r="M431" s="579">
        <v>0.0</v>
      </c>
      <c r="N431" s="579">
        <v>0.0</v>
      </c>
      <c r="O431" s="579">
        <v>0.0</v>
      </c>
      <c r="P431" s="579">
        <v>0.0</v>
      </c>
      <c r="Q431" s="579">
        <v>0.0</v>
      </c>
      <c r="R431" s="579">
        <v>0.0</v>
      </c>
      <c r="S431" s="579">
        <v>0.0</v>
      </c>
      <c r="T431" s="579">
        <v>0.0</v>
      </c>
      <c r="U431" s="579">
        <f>10+10</f>
        <v>20</v>
      </c>
      <c r="V431" s="579">
        <v>10.0</v>
      </c>
      <c r="W431" s="579">
        <v>0.0</v>
      </c>
      <c r="X431" s="579">
        <v>0.0</v>
      </c>
      <c r="Y431" s="579">
        <v>10.0</v>
      </c>
      <c r="Z431" s="579">
        <v>0.0</v>
      </c>
      <c r="AA431" s="579">
        <v>0.0</v>
      </c>
      <c r="AB431" s="579">
        <v>0.0</v>
      </c>
      <c r="AC431" s="579">
        <v>0.0</v>
      </c>
      <c r="AD431" s="579">
        <v>0.0</v>
      </c>
      <c r="AE431" s="579">
        <v>0.0</v>
      </c>
      <c r="AF431" s="888">
        <f t="shared" si="162"/>
        <v>75</v>
      </c>
    </row>
    <row r="432">
      <c r="A432" s="1093" t="s">
        <v>471</v>
      </c>
      <c r="B432" s="579">
        <v>0.0</v>
      </c>
      <c r="C432" s="579">
        <v>0.0</v>
      </c>
      <c r="D432" s="579">
        <v>0.0</v>
      </c>
      <c r="E432" s="579">
        <f t="shared" ref="E432:AE432" si="163">E430*0.22</f>
        <v>0</v>
      </c>
      <c r="F432" s="579">
        <f t="shared" si="163"/>
        <v>59.18</v>
      </c>
      <c r="G432" s="579">
        <f t="shared" si="163"/>
        <v>0</v>
      </c>
      <c r="H432" s="579">
        <f t="shared" si="163"/>
        <v>0</v>
      </c>
      <c r="I432" s="579">
        <f t="shared" si="163"/>
        <v>0</v>
      </c>
      <c r="J432" s="579">
        <f t="shared" si="163"/>
        <v>0</v>
      </c>
      <c r="K432" s="579">
        <f t="shared" si="163"/>
        <v>0</v>
      </c>
      <c r="L432" s="579">
        <f t="shared" si="163"/>
        <v>0</v>
      </c>
      <c r="M432" s="579">
        <f t="shared" si="163"/>
        <v>0</v>
      </c>
      <c r="N432" s="579">
        <f t="shared" si="163"/>
        <v>0</v>
      </c>
      <c r="O432" s="579">
        <f t="shared" si="163"/>
        <v>0</v>
      </c>
      <c r="P432" s="579">
        <f t="shared" si="163"/>
        <v>0</v>
      </c>
      <c r="Q432" s="579">
        <f t="shared" si="163"/>
        <v>0</v>
      </c>
      <c r="R432" s="579">
        <f t="shared" si="163"/>
        <v>0</v>
      </c>
      <c r="S432" s="579">
        <f t="shared" si="163"/>
        <v>0</v>
      </c>
      <c r="T432" s="579">
        <f t="shared" si="163"/>
        <v>0</v>
      </c>
      <c r="U432" s="579">
        <f t="shared" si="163"/>
        <v>11.22</v>
      </c>
      <c r="V432" s="579">
        <f t="shared" si="163"/>
        <v>6.38</v>
      </c>
      <c r="W432" s="579">
        <f t="shared" si="163"/>
        <v>0</v>
      </c>
      <c r="X432" s="579">
        <f t="shared" si="163"/>
        <v>113.96</v>
      </c>
      <c r="Y432" s="579">
        <f t="shared" si="163"/>
        <v>6.38</v>
      </c>
      <c r="Z432" s="579">
        <f t="shared" si="163"/>
        <v>0</v>
      </c>
      <c r="AA432" s="579">
        <f t="shared" si="163"/>
        <v>0</v>
      </c>
      <c r="AB432" s="579">
        <f t="shared" si="163"/>
        <v>0</v>
      </c>
      <c r="AC432" s="579">
        <f t="shared" si="163"/>
        <v>0</v>
      </c>
      <c r="AD432" s="579">
        <f t="shared" si="163"/>
        <v>0</v>
      </c>
      <c r="AE432" s="579">
        <f t="shared" si="163"/>
        <v>0</v>
      </c>
      <c r="AF432" s="888">
        <f t="shared" si="162"/>
        <v>197.12</v>
      </c>
    </row>
    <row r="433">
      <c r="A433" s="1100" t="s">
        <v>977</v>
      </c>
      <c r="B433" s="411">
        <f t="shared" ref="B433:AE433" si="164">B430+B431</f>
        <v>0</v>
      </c>
      <c r="C433" s="411">
        <f t="shared" si="164"/>
        <v>0</v>
      </c>
      <c r="D433" s="411">
        <f t="shared" si="164"/>
        <v>0</v>
      </c>
      <c r="E433" s="411">
        <f t="shared" si="164"/>
        <v>0</v>
      </c>
      <c r="F433" s="411">
        <f t="shared" si="164"/>
        <v>304</v>
      </c>
      <c r="G433" s="411">
        <f t="shared" si="164"/>
        <v>0</v>
      </c>
      <c r="H433" s="411">
        <f t="shared" si="164"/>
        <v>0</v>
      </c>
      <c r="I433" s="411">
        <f t="shared" si="164"/>
        <v>0</v>
      </c>
      <c r="J433" s="411">
        <f t="shared" si="164"/>
        <v>0</v>
      </c>
      <c r="K433" s="411">
        <f t="shared" si="164"/>
        <v>0</v>
      </c>
      <c r="L433" s="411">
        <f t="shared" si="164"/>
        <v>0</v>
      </c>
      <c r="M433" s="411">
        <f t="shared" si="164"/>
        <v>0</v>
      </c>
      <c r="N433" s="411">
        <f t="shared" si="164"/>
        <v>0</v>
      </c>
      <c r="O433" s="411">
        <f t="shared" si="164"/>
        <v>0</v>
      </c>
      <c r="P433" s="411">
        <f t="shared" si="164"/>
        <v>0</v>
      </c>
      <c r="Q433" s="411">
        <f t="shared" si="164"/>
        <v>0</v>
      </c>
      <c r="R433" s="411">
        <f t="shared" si="164"/>
        <v>0</v>
      </c>
      <c r="S433" s="411">
        <f t="shared" si="164"/>
        <v>0</v>
      </c>
      <c r="T433" s="411">
        <f t="shared" si="164"/>
        <v>0</v>
      </c>
      <c r="U433" s="411">
        <f t="shared" si="164"/>
        <v>71</v>
      </c>
      <c r="V433" s="411">
        <f t="shared" si="164"/>
        <v>39</v>
      </c>
      <c r="W433" s="411">
        <f t="shared" si="164"/>
        <v>0</v>
      </c>
      <c r="X433" s="411">
        <f t="shared" si="164"/>
        <v>518</v>
      </c>
      <c r="Y433" s="411">
        <f t="shared" si="164"/>
        <v>39</v>
      </c>
      <c r="Z433" s="411">
        <f t="shared" si="164"/>
        <v>0</v>
      </c>
      <c r="AA433" s="411">
        <f t="shared" si="164"/>
        <v>0</v>
      </c>
      <c r="AB433" s="411">
        <f t="shared" si="164"/>
        <v>0</v>
      </c>
      <c r="AC433" s="411">
        <f t="shared" si="164"/>
        <v>0</v>
      </c>
      <c r="AD433" s="411">
        <f t="shared" si="164"/>
        <v>0</v>
      </c>
      <c r="AE433" s="411">
        <f t="shared" si="164"/>
        <v>0</v>
      </c>
      <c r="AF433" s="888">
        <f t="shared" si="162"/>
        <v>971</v>
      </c>
    </row>
    <row r="434">
      <c r="A434" s="854"/>
      <c r="B434" s="331"/>
      <c r="C434" s="331"/>
      <c r="D434" s="331"/>
      <c r="E434" s="331"/>
      <c r="F434" s="331"/>
      <c r="G434" s="331"/>
      <c r="H434" s="331"/>
      <c r="I434" s="331"/>
      <c r="J434" s="331"/>
      <c r="K434" s="331"/>
      <c r="L434" s="331"/>
      <c r="M434" s="331"/>
      <c r="N434" s="331"/>
      <c r="O434" s="609"/>
      <c r="P434" s="609"/>
      <c r="Q434" s="609"/>
      <c r="R434" s="609"/>
      <c r="S434" s="609"/>
      <c r="T434" s="609"/>
      <c r="U434" s="609"/>
      <c r="V434" s="609"/>
      <c r="W434" s="609"/>
      <c r="X434" s="609"/>
      <c r="Y434" s="609"/>
      <c r="Z434" s="609"/>
      <c r="AA434" s="609"/>
      <c r="AB434" s="609"/>
      <c r="AC434" s="609"/>
      <c r="AD434" s="609"/>
      <c r="AE434" s="609"/>
      <c r="AF434" s="888"/>
    </row>
    <row r="435">
      <c r="A435" s="1093" t="s">
        <v>1054</v>
      </c>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888">
        <f t="shared" ref="AF435:AF438" si="165">SUM(B435:AE435)</f>
        <v>0</v>
      </c>
    </row>
    <row r="436">
      <c r="A436" s="1093" t="s">
        <v>1055</v>
      </c>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888">
        <f t="shared" si="165"/>
        <v>0</v>
      </c>
    </row>
    <row r="437">
      <c r="A437" s="1093" t="s">
        <v>1056</v>
      </c>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888">
        <f t="shared" si="165"/>
        <v>0</v>
      </c>
    </row>
    <row r="438">
      <c r="A438" s="1100" t="s">
        <v>988</v>
      </c>
      <c r="B438" s="411">
        <f t="shared" ref="B438:AE438" si="166">B435+B436</f>
        <v>0</v>
      </c>
      <c r="C438" s="411">
        <f t="shared" si="166"/>
        <v>0</v>
      </c>
      <c r="D438" s="411">
        <f t="shared" si="166"/>
        <v>0</v>
      </c>
      <c r="E438" s="411">
        <f t="shared" si="166"/>
        <v>0</v>
      </c>
      <c r="F438" s="411">
        <f t="shared" si="166"/>
        <v>0</v>
      </c>
      <c r="G438" s="411">
        <f t="shared" si="166"/>
        <v>0</v>
      </c>
      <c r="H438" s="411">
        <f t="shared" si="166"/>
        <v>0</v>
      </c>
      <c r="I438" s="411">
        <f t="shared" si="166"/>
        <v>0</v>
      </c>
      <c r="J438" s="411">
        <f t="shared" si="166"/>
        <v>0</v>
      </c>
      <c r="K438" s="411">
        <f t="shared" si="166"/>
        <v>0</v>
      </c>
      <c r="L438" s="411">
        <f t="shared" si="166"/>
        <v>0</v>
      </c>
      <c r="M438" s="411">
        <f t="shared" si="166"/>
        <v>0</v>
      </c>
      <c r="N438" s="411">
        <f t="shared" si="166"/>
        <v>0</v>
      </c>
      <c r="O438" s="411">
        <f t="shared" si="166"/>
        <v>0</v>
      </c>
      <c r="P438" s="411">
        <f t="shared" si="166"/>
        <v>0</v>
      </c>
      <c r="Q438" s="411">
        <f t="shared" si="166"/>
        <v>0</v>
      </c>
      <c r="R438" s="411">
        <f t="shared" si="166"/>
        <v>0</v>
      </c>
      <c r="S438" s="411">
        <f t="shared" si="166"/>
        <v>0</v>
      </c>
      <c r="T438" s="411">
        <f t="shared" si="166"/>
        <v>0</v>
      </c>
      <c r="U438" s="411">
        <f t="shared" si="166"/>
        <v>0</v>
      </c>
      <c r="V438" s="411">
        <f t="shared" si="166"/>
        <v>0</v>
      </c>
      <c r="W438" s="411">
        <f t="shared" si="166"/>
        <v>0</v>
      </c>
      <c r="X438" s="411">
        <f t="shared" si="166"/>
        <v>0</v>
      </c>
      <c r="Y438" s="411">
        <f t="shared" si="166"/>
        <v>0</v>
      </c>
      <c r="Z438" s="411">
        <f t="shared" si="166"/>
        <v>0</v>
      </c>
      <c r="AA438" s="411">
        <f t="shared" si="166"/>
        <v>0</v>
      </c>
      <c r="AB438" s="411">
        <f t="shared" si="166"/>
        <v>0</v>
      </c>
      <c r="AC438" s="411">
        <f t="shared" si="166"/>
        <v>0</v>
      </c>
      <c r="AD438" s="411">
        <f t="shared" si="166"/>
        <v>0</v>
      </c>
      <c r="AE438" s="411">
        <f t="shared" si="166"/>
        <v>0</v>
      </c>
      <c r="AF438" s="888">
        <f t="shared" si="165"/>
        <v>0</v>
      </c>
    </row>
    <row r="439">
      <c r="A439" s="854"/>
      <c r="B439" s="1066"/>
      <c r="C439" s="1066"/>
      <c r="D439" s="1066"/>
      <c r="E439" s="1066"/>
      <c r="F439" s="1066"/>
      <c r="G439" s="1066"/>
      <c r="H439" s="1066"/>
      <c r="I439" s="1066"/>
      <c r="J439" s="1066"/>
      <c r="K439" s="1066"/>
      <c r="L439" s="1066"/>
      <c r="M439" s="1066"/>
      <c r="N439" s="1066"/>
      <c r="O439" s="1066"/>
      <c r="P439" s="1066"/>
      <c r="Q439" s="1066"/>
      <c r="R439" s="1066"/>
      <c r="S439" s="1066"/>
      <c r="T439" s="1066"/>
      <c r="U439" s="1066"/>
      <c r="V439" s="1066"/>
      <c r="W439" s="1066"/>
      <c r="X439" s="1066"/>
      <c r="Y439" s="1066"/>
      <c r="Z439" s="1066"/>
      <c r="AA439" s="1066"/>
      <c r="AB439" s="1066"/>
      <c r="AC439" s="1066"/>
      <c r="AD439" s="1066"/>
      <c r="AE439" s="1066"/>
      <c r="AF439" s="700"/>
    </row>
    <row r="440">
      <c r="A440" s="931" t="s">
        <v>1057</v>
      </c>
      <c r="B440" s="1066"/>
      <c r="C440" s="1066"/>
      <c r="D440" s="1066"/>
      <c r="E440" s="1066"/>
      <c r="F440" s="1066"/>
      <c r="G440" s="1066"/>
      <c r="H440" s="1066"/>
      <c r="I440" s="1066"/>
      <c r="J440" s="1066"/>
      <c r="K440" s="1066"/>
      <c r="L440" s="1066"/>
      <c r="M440" s="1066"/>
      <c r="N440" s="1066"/>
      <c r="O440" s="1066"/>
      <c r="P440" s="1066"/>
      <c r="Q440" s="1066"/>
      <c r="R440" s="1066"/>
      <c r="S440" s="1066"/>
      <c r="T440" s="1066"/>
      <c r="U440" s="1066"/>
      <c r="V440" s="1066"/>
      <c r="W440" s="1066"/>
      <c r="X440" s="1066"/>
      <c r="Y440" s="1066"/>
      <c r="Z440" s="1066"/>
      <c r="AA440" s="1066"/>
      <c r="AB440" s="1066"/>
      <c r="AC440" s="1066"/>
      <c r="AD440" s="1066"/>
      <c r="AE440" s="1066"/>
      <c r="AF440" s="700"/>
    </row>
    <row r="441">
      <c r="A441" s="1093" t="s">
        <v>1051</v>
      </c>
      <c r="B441" s="579">
        <f>1253.4+2024.4+48</f>
        <v>3325.8</v>
      </c>
      <c r="C441" s="579">
        <f>807+24</f>
        <v>831</v>
      </c>
      <c r="D441" s="579">
        <f>726.3+24</f>
        <v>750.3</v>
      </c>
      <c r="E441" s="1103">
        <v>0.0</v>
      </c>
      <c r="F441" s="1105">
        <v>1366.1</v>
      </c>
      <c r="G441" s="1105">
        <v>3036.53</v>
      </c>
      <c r="H441" s="1105">
        <f>398+797</f>
        <v>1195</v>
      </c>
      <c r="I441" s="1105">
        <v>24.0</v>
      </c>
      <c r="J441" s="1105">
        <v>0.0</v>
      </c>
      <c r="K441" s="1105">
        <v>269.0</v>
      </c>
      <c r="L441" s="579">
        <v>6390.39</v>
      </c>
      <c r="M441" s="1105">
        <v>12045.71</v>
      </c>
      <c r="N441" s="1105">
        <v>6392.65</v>
      </c>
      <c r="O441" s="1105">
        <v>6298.88</v>
      </c>
      <c r="P441" s="1105">
        <v>639.39</v>
      </c>
      <c r="Q441" s="1105">
        <v>895.4</v>
      </c>
      <c r="R441" s="1105">
        <v>188.3</v>
      </c>
      <c r="S441" s="1105">
        <v>919.62</v>
      </c>
      <c r="T441" s="1105">
        <v>1988.38</v>
      </c>
      <c r="U441" s="1105">
        <v>2197.8</v>
      </c>
      <c r="V441" s="1105">
        <v>1148.1</v>
      </c>
      <c r="W441" s="1105">
        <v>215.39</v>
      </c>
      <c r="X441" s="579">
        <v>198.3</v>
      </c>
      <c r="Y441" s="1105">
        <v>0.0</v>
      </c>
      <c r="Z441" s="1105">
        <v>0.0</v>
      </c>
      <c r="AA441" s="1105">
        <v>839.0</v>
      </c>
      <c r="AB441" s="1105">
        <v>3140.45</v>
      </c>
      <c r="AC441" s="1105">
        <v>199.0</v>
      </c>
      <c r="AD441" s="579">
        <v>1285.9</v>
      </c>
      <c r="AE441" s="1105">
        <v>770.0</v>
      </c>
      <c r="AF441" s="888">
        <f t="shared" ref="AF441:AF444" si="167">SUM(B441:AE441)</f>
        <v>56550.39</v>
      </c>
    </row>
    <row r="442">
      <c r="A442" s="1093" t="s">
        <v>1052</v>
      </c>
      <c r="B442" s="1075"/>
      <c r="C442" s="1075"/>
      <c r="D442" s="1075"/>
      <c r="E442" s="1075"/>
      <c r="F442" s="1075"/>
      <c r="G442" s="694"/>
      <c r="H442" s="694"/>
      <c r="I442" s="694"/>
      <c r="J442" s="694"/>
      <c r="K442" s="1075"/>
      <c r="L442" s="694"/>
      <c r="M442" s="694"/>
      <c r="N442" s="694"/>
      <c r="O442" s="694"/>
      <c r="P442" s="694"/>
      <c r="Q442" s="694"/>
      <c r="R442" s="694"/>
      <c r="S442" s="694"/>
      <c r="T442" s="694"/>
      <c r="U442" s="694"/>
      <c r="V442" s="694"/>
      <c r="W442" s="694"/>
      <c r="X442" s="694"/>
      <c r="Y442" s="694"/>
      <c r="Z442" s="694"/>
      <c r="AA442" s="694"/>
      <c r="AB442" s="694"/>
      <c r="AC442" s="694"/>
      <c r="AD442" s="694"/>
      <c r="AE442" s="694"/>
      <c r="AF442" s="888">
        <f t="shared" si="167"/>
        <v>0</v>
      </c>
    </row>
    <row r="443">
      <c r="A443" s="1093" t="s">
        <v>1053</v>
      </c>
      <c r="B443" s="1075"/>
      <c r="C443" s="1075"/>
      <c r="D443" s="1075"/>
      <c r="E443" s="1075"/>
      <c r="F443" s="1075"/>
      <c r="G443" s="694"/>
      <c r="H443" s="694"/>
      <c r="I443" s="694"/>
      <c r="J443" s="694"/>
      <c r="K443" s="1075"/>
      <c r="L443" s="694"/>
      <c r="M443" s="694"/>
      <c r="N443" s="694"/>
      <c r="O443" s="694"/>
      <c r="P443" s="694"/>
      <c r="Q443" s="694"/>
      <c r="R443" s="694"/>
      <c r="S443" s="694"/>
      <c r="T443" s="694"/>
      <c r="U443" s="694"/>
      <c r="V443" s="694"/>
      <c r="W443" s="694"/>
      <c r="X443" s="694"/>
      <c r="Y443" s="694"/>
      <c r="Z443" s="694"/>
      <c r="AA443" s="694"/>
      <c r="AB443" s="694"/>
      <c r="AC443" s="694"/>
      <c r="AD443" s="694"/>
      <c r="AE443" s="694"/>
      <c r="AF443" s="888">
        <f t="shared" si="167"/>
        <v>0</v>
      </c>
    </row>
    <row r="444">
      <c r="A444" s="1100" t="s">
        <v>581</v>
      </c>
      <c r="B444" s="1110">
        <f t="shared" ref="B444:AE444" si="168">sum(B441:B443)</f>
        <v>3325.8</v>
      </c>
      <c r="C444" s="1110">
        <f t="shared" si="168"/>
        <v>831</v>
      </c>
      <c r="D444" s="1110">
        <f t="shared" si="168"/>
        <v>750.3</v>
      </c>
      <c r="E444" s="1110">
        <f t="shared" si="168"/>
        <v>0</v>
      </c>
      <c r="F444" s="1110">
        <f t="shared" si="168"/>
        <v>1366.1</v>
      </c>
      <c r="G444" s="1110">
        <f t="shared" si="168"/>
        <v>3036.53</v>
      </c>
      <c r="H444" s="1110">
        <f t="shared" si="168"/>
        <v>1195</v>
      </c>
      <c r="I444" s="1110">
        <f t="shared" si="168"/>
        <v>24</v>
      </c>
      <c r="J444" s="1110">
        <f t="shared" si="168"/>
        <v>0</v>
      </c>
      <c r="K444" s="1110">
        <f t="shared" si="168"/>
        <v>269</v>
      </c>
      <c r="L444" s="1110">
        <f t="shared" si="168"/>
        <v>6390.39</v>
      </c>
      <c r="M444" s="1110">
        <f t="shared" si="168"/>
        <v>12045.71</v>
      </c>
      <c r="N444" s="1110">
        <f t="shared" si="168"/>
        <v>6392.65</v>
      </c>
      <c r="O444" s="1110">
        <f t="shared" si="168"/>
        <v>6298.88</v>
      </c>
      <c r="P444" s="1110">
        <f t="shared" si="168"/>
        <v>639.39</v>
      </c>
      <c r="Q444" s="1110">
        <f t="shared" si="168"/>
        <v>895.4</v>
      </c>
      <c r="R444" s="1110">
        <f t="shared" si="168"/>
        <v>188.3</v>
      </c>
      <c r="S444" s="1110">
        <f t="shared" si="168"/>
        <v>919.62</v>
      </c>
      <c r="T444" s="1110">
        <f t="shared" si="168"/>
        <v>1988.38</v>
      </c>
      <c r="U444" s="1110">
        <f t="shared" si="168"/>
        <v>2197.8</v>
      </c>
      <c r="V444" s="1110">
        <f t="shared" si="168"/>
        <v>1148.1</v>
      </c>
      <c r="W444" s="1110">
        <f t="shared" si="168"/>
        <v>215.39</v>
      </c>
      <c r="X444" s="1110">
        <f t="shared" si="168"/>
        <v>198.3</v>
      </c>
      <c r="Y444" s="1110">
        <f t="shared" si="168"/>
        <v>0</v>
      </c>
      <c r="Z444" s="1110">
        <f t="shared" si="168"/>
        <v>0</v>
      </c>
      <c r="AA444" s="1110">
        <f t="shared" si="168"/>
        <v>839</v>
      </c>
      <c r="AB444" s="1110">
        <f t="shared" si="168"/>
        <v>3140.45</v>
      </c>
      <c r="AC444" s="1110">
        <f t="shared" si="168"/>
        <v>199</v>
      </c>
      <c r="AD444" s="1110">
        <f t="shared" si="168"/>
        <v>1285.9</v>
      </c>
      <c r="AE444" s="1110">
        <f t="shared" si="168"/>
        <v>770</v>
      </c>
      <c r="AF444" s="888">
        <f t="shared" si="167"/>
        <v>56550.39</v>
      </c>
    </row>
    <row r="445">
      <c r="A445" s="854"/>
      <c r="B445" s="1116"/>
      <c r="C445" s="1116"/>
      <c r="D445" s="1116"/>
      <c r="E445" s="1116"/>
      <c r="F445" s="1116"/>
      <c r="G445" s="1116"/>
      <c r="H445" s="1116"/>
      <c r="I445" s="1116"/>
      <c r="J445" s="1116"/>
      <c r="K445" s="1116"/>
      <c r="L445" s="1116"/>
      <c r="M445" s="1116"/>
      <c r="N445" s="1116"/>
      <c r="O445" s="1116"/>
      <c r="P445" s="1116"/>
      <c r="Q445" s="1116"/>
      <c r="R445" s="1116"/>
      <c r="S445" s="1116"/>
      <c r="T445" s="1116"/>
      <c r="U445" s="1116"/>
      <c r="V445" s="1116"/>
      <c r="W445" s="1116"/>
      <c r="X445" s="1116"/>
      <c r="Y445" s="1116"/>
      <c r="Z445" s="1116"/>
      <c r="AA445" s="1116"/>
      <c r="AB445" s="1116"/>
      <c r="AC445" s="1116"/>
      <c r="AD445" s="1116"/>
      <c r="AE445" s="1116"/>
      <c r="AF445" s="700"/>
    </row>
    <row r="446">
      <c r="A446" s="1093" t="s">
        <v>468</v>
      </c>
      <c r="B446" s="579">
        <v>0.0</v>
      </c>
      <c r="C446" s="579">
        <v>0.0</v>
      </c>
      <c r="D446" s="579">
        <v>0.0</v>
      </c>
      <c r="E446" s="1103">
        <v>0.0</v>
      </c>
      <c r="F446" s="579">
        <v>0.0</v>
      </c>
      <c r="G446" s="579">
        <v>0.0</v>
      </c>
      <c r="H446" s="1105">
        <v>0.0</v>
      </c>
      <c r="I446" s="1105">
        <v>0.0</v>
      </c>
      <c r="J446" s="1105">
        <v>0.0</v>
      </c>
      <c r="K446" s="1105">
        <v>0.0</v>
      </c>
      <c r="L446" s="1105">
        <v>0.0</v>
      </c>
      <c r="M446" s="1105">
        <v>237.0</v>
      </c>
      <c r="N446" s="1105">
        <v>1146.0</v>
      </c>
      <c r="O446" s="1105">
        <v>0.0</v>
      </c>
      <c r="P446" s="1105">
        <v>0.0</v>
      </c>
      <c r="Q446" s="1105">
        <v>0.0</v>
      </c>
      <c r="R446" s="579">
        <v>0.0</v>
      </c>
      <c r="S446" s="579">
        <v>189.0</v>
      </c>
      <c r="T446" s="1105">
        <v>417.4</v>
      </c>
      <c r="U446" s="1105">
        <v>0.0</v>
      </c>
      <c r="V446" s="1105">
        <v>315.0</v>
      </c>
      <c r="W446" s="1105">
        <v>0.0</v>
      </c>
      <c r="X446" s="1105">
        <v>0.0</v>
      </c>
      <c r="Y446" s="1105">
        <v>0.0</v>
      </c>
      <c r="Z446" s="1105">
        <v>0.0</v>
      </c>
      <c r="AA446" s="1105">
        <v>0.0</v>
      </c>
      <c r="AB446" s="1105">
        <v>0.0</v>
      </c>
      <c r="AC446" s="1105">
        <v>0.0</v>
      </c>
      <c r="AD446" s="1105">
        <v>0.0</v>
      </c>
      <c r="AE446" s="1105">
        <v>0.0</v>
      </c>
      <c r="AF446" s="888">
        <f t="shared" ref="AF446:AF449" si="169">SUM(B446:AE446)</f>
        <v>2304.4</v>
      </c>
    </row>
    <row r="447">
      <c r="A447" s="1093" t="s">
        <v>470</v>
      </c>
      <c r="B447" s="579">
        <v>0.0</v>
      </c>
      <c r="C447" s="579">
        <v>0.0</v>
      </c>
      <c r="D447" s="579">
        <v>0.0</v>
      </c>
      <c r="E447" s="1103">
        <v>0.0</v>
      </c>
      <c r="F447" s="579">
        <v>0.0</v>
      </c>
      <c r="G447" s="579">
        <v>0.0</v>
      </c>
      <c r="H447" s="1105">
        <v>0.0</v>
      </c>
      <c r="I447" s="1105">
        <v>0.0</v>
      </c>
      <c r="J447" s="1105">
        <v>0.0</v>
      </c>
      <c r="K447" s="1105">
        <v>0.0</v>
      </c>
      <c r="L447" s="1105">
        <v>0.0</v>
      </c>
      <c r="M447" s="1105">
        <v>35.0</v>
      </c>
      <c r="N447" s="1105">
        <f>35+35+35</f>
        <v>105</v>
      </c>
      <c r="O447" s="1105">
        <v>0.0</v>
      </c>
      <c r="P447" s="1105">
        <v>0.0</v>
      </c>
      <c r="Q447" s="1105">
        <v>0.0</v>
      </c>
      <c r="R447" s="579">
        <v>0.0</v>
      </c>
      <c r="S447" s="579">
        <v>32.0</v>
      </c>
      <c r="T447" s="1105">
        <f>13.4+27</f>
        <v>40.4</v>
      </c>
      <c r="U447" s="1105">
        <v>0.0</v>
      </c>
      <c r="V447" s="1105">
        <v>35.0</v>
      </c>
      <c r="W447" s="1105">
        <v>0.0</v>
      </c>
      <c r="X447" s="1105">
        <v>0.0</v>
      </c>
      <c r="Y447" s="1105">
        <v>0.0</v>
      </c>
      <c r="Z447" s="1105">
        <v>0.0</v>
      </c>
      <c r="AA447" s="1105">
        <v>0.0</v>
      </c>
      <c r="AB447" s="1105">
        <v>0.0</v>
      </c>
      <c r="AC447" s="1105">
        <v>0.0</v>
      </c>
      <c r="AD447" s="1105">
        <v>0.0</v>
      </c>
      <c r="AE447" s="1105">
        <v>0.0</v>
      </c>
      <c r="AF447" s="888">
        <f t="shared" si="169"/>
        <v>247.4</v>
      </c>
    </row>
    <row r="448">
      <c r="A448" s="1093" t="s">
        <v>471</v>
      </c>
      <c r="B448" s="579">
        <f t="shared" ref="B448:AE448" si="170">B446*0.22</f>
        <v>0</v>
      </c>
      <c r="C448" s="579">
        <f t="shared" si="170"/>
        <v>0</v>
      </c>
      <c r="D448" s="579">
        <f t="shared" si="170"/>
        <v>0</v>
      </c>
      <c r="E448" s="579">
        <f t="shared" si="170"/>
        <v>0</v>
      </c>
      <c r="F448" s="579">
        <f t="shared" si="170"/>
        <v>0</v>
      </c>
      <c r="G448" s="579">
        <f t="shared" si="170"/>
        <v>0</v>
      </c>
      <c r="H448" s="579">
        <f t="shared" si="170"/>
        <v>0</v>
      </c>
      <c r="I448" s="579">
        <f t="shared" si="170"/>
        <v>0</v>
      </c>
      <c r="J448" s="579">
        <f t="shared" si="170"/>
        <v>0</v>
      </c>
      <c r="K448" s="579">
        <f t="shared" si="170"/>
        <v>0</v>
      </c>
      <c r="L448" s="579">
        <f t="shared" si="170"/>
        <v>0</v>
      </c>
      <c r="M448" s="579">
        <f t="shared" si="170"/>
        <v>52.14</v>
      </c>
      <c r="N448" s="579">
        <f t="shared" si="170"/>
        <v>252.12</v>
      </c>
      <c r="O448" s="579">
        <f t="shared" si="170"/>
        <v>0</v>
      </c>
      <c r="P448" s="579">
        <f t="shared" si="170"/>
        <v>0</v>
      </c>
      <c r="Q448" s="579">
        <f t="shared" si="170"/>
        <v>0</v>
      </c>
      <c r="R448" s="579">
        <f t="shared" si="170"/>
        <v>0</v>
      </c>
      <c r="S448" s="579">
        <f t="shared" si="170"/>
        <v>41.58</v>
      </c>
      <c r="T448" s="579">
        <f t="shared" si="170"/>
        <v>91.828</v>
      </c>
      <c r="U448" s="579">
        <f t="shared" si="170"/>
        <v>0</v>
      </c>
      <c r="V448" s="579">
        <f t="shared" si="170"/>
        <v>69.3</v>
      </c>
      <c r="W448" s="579">
        <f t="shared" si="170"/>
        <v>0</v>
      </c>
      <c r="X448" s="579">
        <f t="shared" si="170"/>
        <v>0</v>
      </c>
      <c r="Y448" s="579">
        <f t="shared" si="170"/>
        <v>0</v>
      </c>
      <c r="Z448" s="579">
        <f t="shared" si="170"/>
        <v>0</v>
      </c>
      <c r="AA448" s="579">
        <f t="shared" si="170"/>
        <v>0</v>
      </c>
      <c r="AB448" s="579">
        <f t="shared" si="170"/>
        <v>0</v>
      </c>
      <c r="AC448" s="579">
        <f t="shared" si="170"/>
        <v>0</v>
      </c>
      <c r="AD448" s="579">
        <f t="shared" si="170"/>
        <v>0</v>
      </c>
      <c r="AE448" s="579">
        <f t="shared" si="170"/>
        <v>0</v>
      </c>
      <c r="AF448" s="888">
        <f t="shared" si="169"/>
        <v>506.968</v>
      </c>
    </row>
    <row r="449">
      <c r="A449" s="1096" t="s">
        <v>977</v>
      </c>
      <c r="B449" s="411">
        <f t="shared" ref="B449:AE449" si="171">SUM(B446:B448)</f>
        <v>0</v>
      </c>
      <c r="C449" s="411">
        <f t="shared" si="171"/>
        <v>0</v>
      </c>
      <c r="D449" s="411">
        <f t="shared" si="171"/>
        <v>0</v>
      </c>
      <c r="E449" s="411">
        <f t="shared" si="171"/>
        <v>0</v>
      </c>
      <c r="F449" s="411">
        <f t="shared" si="171"/>
        <v>0</v>
      </c>
      <c r="G449" s="411">
        <f t="shared" si="171"/>
        <v>0</v>
      </c>
      <c r="H449" s="411">
        <f t="shared" si="171"/>
        <v>0</v>
      </c>
      <c r="I449" s="411">
        <f t="shared" si="171"/>
        <v>0</v>
      </c>
      <c r="J449" s="411">
        <f t="shared" si="171"/>
        <v>0</v>
      </c>
      <c r="K449" s="411">
        <f t="shared" si="171"/>
        <v>0</v>
      </c>
      <c r="L449" s="411">
        <f t="shared" si="171"/>
        <v>0</v>
      </c>
      <c r="M449" s="411">
        <f t="shared" si="171"/>
        <v>324.14</v>
      </c>
      <c r="N449" s="411">
        <f t="shared" si="171"/>
        <v>1503.12</v>
      </c>
      <c r="O449" s="411">
        <f t="shared" si="171"/>
        <v>0</v>
      </c>
      <c r="P449" s="411">
        <f t="shared" si="171"/>
        <v>0</v>
      </c>
      <c r="Q449" s="411">
        <f t="shared" si="171"/>
        <v>0</v>
      </c>
      <c r="R449" s="411">
        <f t="shared" si="171"/>
        <v>0</v>
      </c>
      <c r="S449" s="411">
        <f t="shared" si="171"/>
        <v>262.58</v>
      </c>
      <c r="T449" s="411">
        <f t="shared" si="171"/>
        <v>549.628</v>
      </c>
      <c r="U449" s="411">
        <f t="shared" si="171"/>
        <v>0</v>
      </c>
      <c r="V449" s="411">
        <f t="shared" si="171"/>
        <v>419.3</v>
      </c>
      <c r="W449" s="411">
        <f t="shared" si="171"/>
        <v>0</v>
      </c>
      <c r="X449" s="411">
        <f t="shared" si="171"/>
        <v>0</v>
      </c>
      <c r="Y449" s="411">
        <f t="shared" si="171"/>
        <v>0</v>
      </c>
      <c r="Z449" s="411">
        <f t="shared" si="171"/>
        <v>0</v>
      </c>
      <c r="AA449" s="411">
        <f t="shared" si="171"/>
        <v>0</v>
      </c>
      <c r="AB449" s="411">
        <f t="shared" si="171"/>
        <v>0</v>
      </c>
      <c r="AC449" s="411">
        <f t="shared" si="171"/>
        <v>0</v>
      </c>
      <c r="AD449" s="411">
        <f t="shared" si="171"/>
        <v>0</v>
      </c>
      <c r="AE449" s="411">
        <f t="shared" si="171"/>
        <v>0</v>
      </c>
      <c r="AF449" s="888">
        <f t="shared" si="169"/>
        <v>3058.768</v>
      </c>
    </row>
    <row r="450">
      <c r="A450" s="854"/>
      <c r="B450" s="1116"/>
      <c r="C450" s="1116"/>
      <c r="D450" s="1116"/>
      <c r="E450" s="1116"/>
      <c r="F450" s="1116"/>
      <c r="G450" s="1116"/>
      <c r="H450" s="1116"/>
      <c r="I450" s="1116"/>
      <c r="J450" s="1116"/>
      <c r="K450" s="1116"/>
      <c r="L450" s="1116"/>
      <c r="M450" s="1116"/>
      <c r="N450" s="1116"/>
      <c r="O450" s="1116"/>
      <c r="P450" s="1116"/>
      <c r="Q450" s="1116"/>
      <c r="R450" s="1116"/>
      <c r="S450" s="1116"/>
      <c r="T450" s="1116"/>
      <c r="U450" s="1116"/>
      <c r="V450" s="1116"/>
      <c r="W450" s="1116"/>
      <c r="X450" s="1116"/>
      <c r="Y450" s="1116"/>
      <c r="Z450" s="1116"/>
      <c r="AA450" s="1116"/>
      <c r="AB450" s="1116"/>
      <c r="AC450" s="1116"/>
      <c r="AD450" s="1116"/>
      <c r="AE450" s="1116"/>
      <c r="AF450" s="700"/>
    </row>
    <row r="451">
      <c r="A451" s="1093" t="s">
        <v>1054</v>
      </c>
      <c r="B451" s="1075"/>
      <c r="C451" s="1075"/>
      <c r="D451" s="1075"/>
      <c r="E451" s="1075"/>
      <c r="F451" s="1075"/>
      <c r="G451" s="694"/>
      <c r="H451" s="694"/>
      <c r="I451" s="694"/>
      <c r="J451" s="694"/>
      <c r="K451" s="1075"/>
      <c r="L451" s="694"/>
      <c r="M451" s="694"/>
      <c r="N451" s="694"/>
      <c r="O451" s="694"/>
      <c r="P451" s="694"/>
      <c r="Q451" s="694"/>
      <c r="R451" s="694"/>
      <c r="S451" s="694"/>
      <c r="T451" s="694"/>
      <c r="U451" s="694"/>
      <c r="V451" s="694"/>
      <c r="W451" s="694"/>
      <c r="X451" s="694"/>
      <c r="Y451" s="694"/>
      <c r="Z451" s="694"/>
      <c r="AA451" s="694"/>
      <c r="AB451" s="694"/>
      <c r="AC451" s="694"/>
      <c r="AD451" s="694"/>
      <c r="AE451" s="694"/>
      <c r="AF451" s="888">
        <f t="shared" ref="AF451:AF454" si="172">SUM(B451:AE451)</f>
        <v>0</v>
      </c>
    </row>
    <row r="452">
      <c r="A452" s="1093" t="s">
        <v>1055</v>
      </c>
      <c r="B452" s="1075"/>
      <c r="C452" s="1075"/>
      <c r="D452" s="1075"/>
      <c r="E452" s="1075"/>
      <c r="F452" s="1075"/>
      <c r="G452" s="694"/>
      <c r="H452" s="694"/>
      <c r="I452" s="694"/>
      <c r="J452" s="694"/>
      <c r="K452" s="1075"/>
      <c r="L452" s="694"/>
      <c r="M452" s="694"/>
      <c r="N452" s="694"/>
      <c r="O452" s="694"/>
      <c r="P452" s="694"/>
      <c r="Q452" s="694"/>
      <c r="R452" s="694"/>
      <c r="S452" s="694"/>
      <c r="T452" s="694"/>
      <c r="U452" s="694"/>
      <c r="V452" s="694"/>
      <c r="W452" s="694"/>
      <c r="X452" s="694"/>
      <c r="Y452" s="694"/>
      <c r="Z452" s="694"/>
      <c r="AA452" s="694"/>
      <c r="AB452" s="694"/>
      <c r="AC452" s="694"/>
      <c r="AD452" s="694"/>
      <c r="AE452" s="694"/>
      <c r="AF452" s="888">
        <f t="shared" si="172"/>
        <v>0</v>
      </c>
    </row>
    <row r="453">
      <c r="A453" s="1093" t="s">
        <v>1056</v>
      </c>
      <c r="B453" s="1075"/>
      <c r="C453" s="1075"/>
      <c r="D453" s="1075"/>
      <c r="E453" s="1075"/>
      <c r="F453" s="1075"/>
      <c r="G453" s="694"/>
      <c r="H453" s="694"/>
      <c r="I453" s="694"/>
      <c r="J453" s="694"/>
      <c r="K453" s="1075"/>
      <c r="L453" s="694"/>
      <c r="M453" s="694"/>
      <c r="N453" s="694"/>
      <c r="O453" s="694"/>
      <c r="P453" s="694"/>
      <c r="Q453" s="694"/>
      <c r="R453" s="694"/>
      <c r="S453" s="694"/>
      <c r="T453" s="694"/>
      <c r="U453" s="694"/>
      <c r="V453" s="694"/>
      <c r="W453" s="694"/>
      <c r="X453" s="694"/>
      <c r="Y453" s="694"/>
      <c r="Z453" s="694"/>
      <c r="AA453" s="694"/>
      <c r="AB453" s="694"/>
      <c r="AC453" s="694"/>
      <c r="AD453" s="694"/>
      <c r="AE453" s="694"/>
      <c r="AF453" s="888">
        <f t="shared" si="172"/>
        <v>0</v>
      </c>
    </row>
    <row r="454">
      <c r="A454" s="1100" t="s">
        <v>988</v>
      </c>
      <c r="B454" s="411">
        <f t="shared" ref="B454:AE454" si="173">SUM(B451:B453)</f>
        <v>0</v>
      </c>
      <c r="C454" s="411">
        <f t="shared" si="173"/>
        <v>0</v>
      </c>
      <c r="D454" s="411">
        <f t="shared" si="173"/>
        <v>0</v>
      </c>
      <c r="E454" s="411">
        <f t="shared" si="173"/>
        <v>0</v>
      </c>
      <c r="F454" s="411">
        <f t="shared" si="173"/>
        <v>0</v>
      </c>
      <c r="G454" s="411">
        <f t="shared" si="173"/>
        <v>0</v>
      </c>
      <c r="H454" s="411">
        <f t="shared" si="173"/>
        <v>0</v>
      </c>
      <c r="I454" s="411">
        <f t="shared" si="173"/>
        <v>0</v>
      </c>
      <c r="J454" s="411">
        <f t="shared" si="173"/>
        <v>0</v>
      </c>
      <c r="K454" s="411">
        <f t="shared" si="173"/>
        <v>0</v>
      </c>
      <c r="L454" s="411">
        <f t="shared" si="173"/>
        <v>0</v>
      </c>
      <c r="M454" s="411">
        <f t="shared" si="173"/>
        <v>0</v>
      </c>
      <c r="N454" s="411">
        <f t="shared" si="173"/>
        <v>0</v>
      </c>
      <c r="O454" s="411">
        <f t="shared" si="173"/>
        <v>0</v>
      </c>
      <c r="P454" s="411">
        <f t="shared" si="173"/>
        <v>0</v>
      </c>
      <c r="Q454" s="411">
        <f t="shared" si="173"/>
        <v>0</v>
      </c>
      <c r="R454" s="411">
        <f t="shared" si="173"/>
        <v>0</v>
      </c>
      <c r="S454" s="411">
        <f t="shared" si="173"/>
        <v>0</v>
      </c>
      <c r="T454" s="411">
        <f t="shared" si="173"/>
        <v>0</v>
      </c>
      <c r="U454" s="411">
        <f t="shared" si="173"/>
        <v>0</v>
      </c>
      <c r="V454" s="411">
        <f t="shared" si="173"/>
        <v>0</v>
      </c>
      <c r="W454" s="411">
        <f t="shared" si="173"/>
        <v>0</v>
      </c>
      <c r="X454" s="411">
        <f t="shared" si="173"/>
        <v>0</v>
      </c>
      <c r="Y454" s="411">
        <f t="shared" si="173"/>
        <v>0</v>
      </c>
      <c r="Z454" s="411">
        <f t="shared" si="173"/>
        <v>0</v>
      </c>
      <c r="AA454" s="411">
        <f t="shared" si="173"/>
        <v>0</v>
      </c>
      <c r="AB454" s="411">
        <f t="shared" si="173"/>
        <v>0</v>
      </c>
      <c r="AC454" s="411">
        <f t="shared" si="173"/>
        <v>0</v>
      </c>
      <c r="AD454" s="411">
        <f t="shared" si="173"/>
        <v>0</v>
      </c>
      <c r="AE454" s="411">
        <f t="shared" si="173"/>
        <v>0</v>
      </c>
      <c r="AF454" s="888">
        <f t="shared" si="172"/>
        <v>0</v>
      </c>
    </row>
    <row r="455">
      <c r="A455" s="854"/>
      <c r="B455" s="1066"/>
      <c r="C455" s="1066"/>
      <c r="D455" s="1066"/>
      <c r="E455" s="1066"/>
      <c r="F455" s="1066"/>
      <c r="G455" s="1066"/>
      <c r="H455" s="1066"/>
      <c r="I455" s="1066"/>
      <c r="J455" s="1066"/>
      <c r="K455" s="1066"/>
      <c r="L455" s="1066"/>
      <c r="M455" s="1066"/>
      <c r="N455" s="1066"/>
      <c r="O455" s="1066"/>
      <c r="P455" s="1066"/>
      <c r="Q455" s="1066"/>
      <c r="R455" s="1066"/>
      <c r="S455" s="1066"/>
      <c r="T455" s="1066"/>
      <c r="U455" s="1066"/>
      <c r="V455" s="1066"/>
      <c r="W455" s="1066"/>
      <c r="X455" s="1066"/>
      <c r="Y455" s="1066"/>
      <c r="Z455" s="1066"/>
      <c r="AA455" s="1066"/>
      <c r="AB455" s="1066"/>
      <c r="AC455" s="1066"/>
      <c r="AD455" s="1066"/>
      <c r="AE455" s="1066"/>
      <c r="AF455" s="700"/>
    </row>
    <row r="456">
      <c r="A456" s="931" t="s">
        <v>1063</v>
      </c>
      <c r="B456" s="1066"/>
      <c r="C456" s="1066"/>
      <c r="D456" s="1066"/>
      <c r="E456" s="1066"/>
      <c r="F456" s="1066"/>
      <c r="G456" s="1066"/>
      <c r="H456" s="1066"/>
      <c r="I456" s="1066"/>
      <c r="J456" s="1066"/>
      <c r="K456" s="1066"/>
      <c r="L456" s="1066"/>
      <c r="M456" s="1066"/>
      <c r="N456" s="1066"/>
      <c r="O456" s="1066"/>
      <c r="P456" s="1066"/>
      <c r="Q456" s="1066"/>
      <c r="R456" s="1066"/>
      <c r="S456" s="1066"/>
      <c r="T456" s="1066"/>
      <c r="U456" s="1066"/>
      <c r="V456" s="1066"/>
      <c r="W456" s="1066"/>
      <c r="X456" s="1066"/>
      <c r="Y456" s="1066"/>
      <c r="Z456" s="1066"/>
      <c r="AA456" s="1066"/>
      <c r="AB456" s="1066"/>
      <c r="AC456" s="1066"/>
      <c r="AD456" s="1066"/>
      <c r="AE456" s="1066"/>
      <c r="AF456" s="700"/>
    </row>
    <row r="457">
      <c r="A457" s="1093" t="s">
        <v>1030</v>
      </c>
      <c r="B457" s="331">
        <v>0.0</v>
      </c>
      <c r="C457" s="331">
        <v>0.0</v>
      </c>
      <c r="D457" s="331">
        <v>0.0</v>
      </c>
      <c r="E457" s="331">
        <v>0.0</v>
      </c>
      <c r="F457" s="286">
        <v>0.0</v>
      </c>
      <c r="G457" s="286">
        <v>0.0</v>
      </c>
      <c r="H457" s="286">
        <v>0.0</v>
      </c>
      <c r="I457" s="286">
        <v>0.0</v>
      </c>
      <c r="J457" s="286">
        <v>0.0</v>
      </c>
      <c r="K457" s="286">
        <v>0.0</v>
      </c>
      <c r="L457" s="286">
        <v>0.0</v>
      </c>
      <c r="M457" s="286">
        <v>0.0</v>
      </c>
      <c r="N457" s="286">
        <v>0.0</v>
      </c>
      <c r="O457" s="286">
        <v>0.0</v>
      </c>
      <c r="P457" s="331">
        <v>0.0</v>
      </c>
      <c r="Q457" s="331">
        <v>0.0</v>
      </c>
      <c r="R457" s="331">
        <v>0.0</v>
      </c>
      <c r="S457" s="331">
        <v>0.0</v>
      </c>
      <c r="T457" s="331">
        <v>0.0</v>
      </c>
      <c r="U457" s="331">
        <v>0.0</v>
      </c>
      <c r="V457" s="331">
        <v>0.0</v>
      </c>
      <c r="W457" s="331">
        <v>0.0</v>
      </c>
      <c r="X457" s="331">
        <v>0.0</v>
      </c>
      <c r="Y457" s="331">
        <v>0.0</v>
      </c>
      <c r="Z457" s="331">
        <v>0.0</v>
      </c>
      <c r="AA457" s="331">
        <v>0.0</v>
      </c>
      <c r="AB457" s="331">
        <v>0.0</v>
      </c>
      <c r="AC457" s="331">
        <v>0.0</v>
      </c>
      <c r="AD457" s="331">
        <v>0.0</v>
      </c>
      <c r="AE457" s="331">
        <v>0.0</v>
      </c>
      <c r="AF457" s="1015">
        <f t="shared" ref="AF457:AF464" si="174">SUM(B457:AE457)</f>
        <v>0</v>
      </c>
    </row>
    <row r="458">
      <c r="A458" s="1093" t="s">
        <v>1031</v>
      </c>
      <c r="B458" s="331">
        <v>0.0</v>
      </c>
      <c r="C458" s="331">
        <v>0.0</v>
      </c>
      <c r="D458" s="331">
        <v>0.0</v>
      </c>
      <c r="E458" s="331">
        <v>0.0</v>
      </c>
      <c r="F458" s="286">
        <v>0.0</v>
      </c>
      <c r="G458" s="286">
        <v>0.0</v>
      </c>
      <c r="H458" s="286">
        <v>0.0</v>
      </c>
      <c r="I458" s="286">
        <v>0.0</v>
      </c>
      <c r="J458" s="286">
        <v>0.0</v>
      </c>
      <c r="K458" s="286">
        <v>0.0</v>
      </c>
      <c r="L458" s="286">
        <v>0.0</v>
      </c>
      <c r="M458" s="286">
        <v>0.0</v>
      </c>
      <c r="N458" s="286">
        <v>0.0</v>
      </c>
      <c r="O458" s="286">
        <v>0.0</v>
      </c>
      <c r="P458" s="331">
        <v>0.0</v>
      </c>
      <c r="Q458" s="331">
        <v>0.0</v>
      </c>
      <c r="R458" s="331">
        <v>0.0</v>
      </c>
      <c r="S458" s="331">
        <v>0.0</v>
      </c>
      <c r="T458" s="331">
        <v>0.0</v>
      </c>
      <c r="U458" s="331">
        <v>0.0</v>
      </c>
      <c r="V458" s="331">
        <v>0.0</v>
      </c>
      <c r="W458" s="331">
        <v>0.0</v>
      </c>
      <c r="X458" s="331">
        <v>0.0</v>
      </c>
      <c r="Y458" s="331">
        <v>0.0</v>
      </c>
      <c r="Z458" s="331">
        <v>0.0</v>
      </c>
      <c r="AA458" s="331">
        <v>0.0</v>
      </c>
      <c r="AB458" s="331">
        <v>0.0</v>
      </c>
      <c r="AC458" s="331">
        <v>0.0</v>
      </c>
      <c r="AD458" s="331">
        <v>0.0</v>
      </c>
      <c r="AE458" s="331">
        <v>0.0</v>
      </c>
      <c r="AF458" s="1015">
        <f t="shared" si="174"/>
        <v>0</v>
      </c>
    </row>
    <row r="459">
      <c r="A459" s="1093" t="s">
        <v>1032</v>
      </c>
      <c r="B459" s="331">
        <v>0.0</v>
      </c>
      <c r="C459" s="331">
        <v>0.0</v>
      </c>
      <c r="D459" s="331">
        <v>0.0</v>
      </c>
      <c r="E459" s="331">
        <v>0.0</v>
      </c>
      <c r="F459" s="286">
        <v>0.0</v>
      </c>
      <c r="G459" s="286">
        <v>0.0</v>
      </c>
      <c r="H459" s="286">
        <v>0.0</v>
      </c>
      <c r="I459" s="286">
        <v>0.0</v>
      </c>
      <c r="J459" s="286">
        <v>0.0</v>
      </c>
      <c r="K459" s="286">
        <v>0.0</v>
      </c>
      <c r="L459" s="286">
        <v>0.0</v>
      </c>
      <c r="M459" s="286">
        <v>0.0</v>
      </c>
      <c r="N459" s="286">
        <v>0.0</v>
      </c>
      <c r="O459" s="286">
        <v>0.0</v>
      </c>
      <c r="P459" s="331">
        <v>0.0</v>
      </c>
      <c r="Q459" s="331">
        <v>0.0</v>
      </c>
      <c r="R459" s="331">
        <v>0.0</v>
      </c>
      <c r="S459" s="331">
        <v>0.0</v>
      </c>
      <c r="T459" s="331">
        <v>0.0</v>
      </c>
      <c r="U459" s="331">
        <v>0.0</v>
      </c>
      <c r="V459" s="331">
        <v>0.0</v>
      </c>
      <c r="W459" s="331">
        <v>0.0</v>
      </c>
      <c r="X459" s="331">
        <v>0.0</v>
      </c>
      <c r="Y459" s="331">
        <v>0.0</v>
      </c>
      <c r="Z459" s="331">
        <v>0.0</v>
      </c>
      <c r="AA459" s="331">
        <v>0.0</v>
      </c>
      <c r="AB459" s="331">
        <v>0.0</v>
      </c>
      <c r="AC459" s="331">
        <v>0.0</v>
      </c>
      <c r="AD459" s="331">
        <v>0.0</v>
      </c>
      <c r="AE459" s="331">
        <v>0.0</v>
      </c>
      <c r="AF459" s="1015">
        <f t="shared" si="174"/>
        <v>0</v>
      </c>
    </row>
    <row r="460">
      <c r="A460" s="1093" t="s">
        <v>1033</v>
      </c>
      <c r="B460" s="331">
        <v>0.0</v>
      </c>
      <c r="C460" s="331">
        <v>0.0</v>
      </c>
      <c r="D460" s="331">
        <v>0.0</v>
      </c>
      <c r="E460" s="331">
        <v>0.0</v>
      </c>
      <c r="F460" s="286">
        <v>0.0</v>
      </c>
      <c r="G460" s="286">
        <v>0.0</v>
      </c>
      <c r="H460" s="286">
        <v>0.0</v>
      </c>
      <c r="I460" s="286">
        <v>0.0</v>
      </c>
      <c r="J460" s="286">
        <v>0.0</v>
      </c>
      <c r="K460" s="286">
        <v>0.0</v>
      </c>
      <c r="L460" s="286">
        <v>0.0</v>
      </c>
      <c r="M460" s="286">
        <v>0.0</v>
      </c>
      <c r="N460" s="286">
        <v>0.0</v>
      </c>
      <c r="O460" s="286">
        <v>0.0</v>
      </c>
      <c r="P460" s="331">
        <v>0.0</v>
      </c>
      <c r="Q460" s="331">
        <v>0.0</v>
      </c>
      <c r="R460" s="331">
        <v>0.0</v>
      </c>
      <c r="S460" s="331">
        <v>0.0</v>
      </c>
      <c r="T460" s="331">
        <v>0.0</v>
      </c>
      <c r="U460" s="331">
        <v>0.0</v>
      </c>
      <c r="V460" s="331">
        <v>0.0</v>
      </c>
      <c r="W460" s="331">
        <v>0.0</v>
      </c>
      <c r="X460" s="331">
        <v>0.0</v>
      </c>
      <c r="Y460" s="331">
        <v>0.0</v>
      </c>
      <c r="Z460" s="331">
        <v>0.0</v>
      </c>
      <c r="AA460" s="331">
        <v>0.0</v>
      </c>
      <c r="AB460" s="331">
        <v>0.0</v>
      </c>
      <c r="AC460" s="331">
        <v>0.0</v>
      </c>
      <c r="AD460" s="331">
        <v>0.0</v>
      </c>
      <c r="AE460" s="331">
        <v>0.0</v>
      </c>
      <c r="AF460" s="1015">
        <f t="shared" si="174"/>
        <v>0</v>
      </c>
    </row>
    <row r="461">
      <c r="A461" s="1093" t="s">
        <v>1034</v>
      </c>
      <c r="B461" s="331">
        <v>0.0</v>
      </c>
      <c r="C461" s="331">
        <v>0.0</v>
      </c>
      <c r="D461" s="331">
        <v>0.0</v>
      </c>
      <c r="E461" s="331">
        <v>0.0</v>
      </c>
      <c r="F461" s="286">
        <v>0.0</v>
      </c>
      <c r="G461" s="286">
        <v>0.0</v>
      </c>
      <c r="H461" s="286">
        <v>0.0</v>
      </c>
      <c r="I461" s="286">
        <v>0.0</v>
      </c>
      <c r="J461" s="286">
        <v>0.0</v>
      </c>
      <c r="K461" s="286">
        <v>0.0</v>
      </c>
      <c r="L461" s="286">
        <v>0.0</v>
      </c>
      <c r="M461" s="286">
        <v>0.0</v>
      </c>
      <c r="N461" s="286">
        <v>0.0</v>
      </c>
      <c r="O461" s="286">
        <v>0.0</v>
      </c>
      <c r="P461" s="331">
        <v>0.0</v>
      </c>
      <c r="Q461" s="331">
        <v>0.0</v>
      </c>
      <c r="R461" s="331">
        <v>0.0</v>
      </c>
      <c r="S461" s="331">
        <v>0.0</v>
      </c>
      <c r="T461" s="331">
        <v>0.0</v>
      </c>
      <c r="U461" s="331">
        <v>0.0</v>
      </c>
      <c r="V461" s="331">
        <v>0.0</v>
      </c>
      <c r="W461" s="331">
        <v>0.0</v>
      </c>
      <c r="X461" s="331">
        <v>0.0</v>
      </c>
      <c r="Y461" s="331">
        <v>0.0</v>
      </c>
      <c r="Z461" s="331">
        <v>0.0</v>
      </c>
      <c r="AA461" s="331">
        <v>0.0</v>
      </c>
      <c r="AB461" s="331">
        <v>0.0</v>
      </c>
      <c r="AC461" s="331">
        <v>0.0</v>
      </c>
      <c r="AD461" s="331">
        <v>0.0</v>
      </c>
      <c r="AE461" s="331">
        <v>0.0</v>
      </c>
      <c r="AF461" s="1015">
        <f t="shared" si="174"/>
        <v>0</v>
      </c>
    </row>
    <row r="462">
      <c r="A462" s="1093" t="s">
        <v>1035</v>
      </c>
      <c r="B462" s="331">
        <v>0.0</v>
      </c>
      <c r="C462" s="331">
        <v>0.0</v>
      </c>
      <c r="D462" s="331">
        <v>0.0</v>
      </c>
      <c r="E462" s="331">
        <v>0.0</v>
      </c>
      <c r="F462" s="286">
        <v>0.0</v>
      </c>
      <c r="G462" s="286">
        <v>0.0</v>
      </c>
      <c r="H462" s="286">
        <v>0.0</v>
      </c>
      <c r="I462" s="286">
        <v>0.0</v>
      </c>
      <c r="J462" s="286">
        <v>0.0</v>
      </c>
      <c r="K462" s="286">
        <v>0.0</v>
      </c>
      <c r="L462" s="286">
        <v>0.0</v>
      </c>
      <c r="M462" s="286">
        <v>0.0</v>
      </c>
      <c r="N462" s="286">
        <v>0.0</v>
      </c>
      <c r="O462" s="286">
        <v>0.0</v>
      </c>
      <c r="P462" s="331">
        <v>0.0</v>
      </c>
      <c r="Q462" s="331">
        <v>0.0</v>
      </c>
      <c r="R462" s="331">
        <v>0.0</v>
      </c>
      <c r="S462" s="331">
        <v>0.0</v>
      </c>
      <c r="T462" s="331">
        <v>0.0</v>
      </c>
      <c r="U462" s="331">
        <v>0.0</v>
      </c>
      <c r="V462" s="331">
        <v>0.0</v>
      </c>
      <c r="W462" s="331">
        <v>0.0</v>
      </c>
      <c r="X462" s="331">
        <v>0.0</v>
      </c>
      <c r="Y462" s="331">
        <v>0.0</v>
      </c>
      <c r="Z462" s="331">
        <v>0.0</v>
      </c>
      <c r="AA462" s="331">
        <v>0.0</v>
      </c>
      <c r="AB462" s="331">
        <v>0.0</v>
      </c>
      <c r="AC462" s="331">
        <v>0.0</v>
      </c>
      <c r="AD462" s="331">
        <v>0.0</v>
      </c>
      <c r="AE462" s="331">
        <v>0.0</v>
      </c>
      <c r="AF462" s="1015">
        <f t="shared" si="174"/>
        <v>0</v>
      </c>
    </row>
    <row r="463">
      <c r="A463" s="598" t="s">
        <v>179</v>
      </c>
      <c r="B463" s="1145">
        <f t="shared" ref="B463:AE463" si="175">B457+B459+B461</f>
        <v>0</v>
      </c>
      <c r="C463" s="594">
        <f t="shared" si="175"/>
        <v>0</v>
      </c>
      <c r="D463" s="594">
        <f t="shared" si="175"/>
        <v>0</v>
      </c>
      <c r="E463" s="594">
        <f t="shared" si="175"/>
        <v>0</v>
      </c>
      <c r="F463" s="594">
        <f t="shared" si="175"/>
        <v>0</v>
      </c>
      <c r="G463" s="594">
        <f t="shared" si="175"/>
        <v>0</v>
      </c>
      <c r="H463" s="594">
        <f t="shared" si="175"/>
        <v>0</v>
      </c>
      <c r="I463" s="594">
        <f t="shared" si="175"/>
        <v>0</v>
      </c>
      <c r="J463" s="594">
        <f t="shared" si="175"/>
        <v>0</v>
      </c>
      <c r="K463" s="594">
        <f t="shared" si="175"/>
        <v>0</v>
      </c>
      <c r="L463" s="594">
        <f t="shared" si="175"/>
        <v>0</v>
      </c>
      <c r="M463" s="594">
        <f t="shared" si="175"/>
        <v>0</v>
      </c>
      <c r="N463" s="594">
        <f t="shared" si="175"/>
        <v>0</v>
      </c>
      <c r="O463" s="594">
        <f t="shared" si="175"/>
        <v>0</v>
      </c>
      <c r="P463" s="594">
        <f t="shared" si="175"/>
        <v>0</v>
      </c>
      <c r="Q463" s="594">
        <f t="shared" si="175"/>
        <v>0</v>
      </c>
      <c r="R463" s="594">
        <f t="shared" si="175"/>
        <v>0</v>
      </c>
      <c r="S463" s="594">
        <f t="shared" si="175"/>
        <v>0</v>
      </c>
      <c r="T463" s="594">
        <f t="shared" si="175"/>
        <v>0</v>
      </c>
      <c r="U463" s="594">
        <f t="shared" si="175"/>
        <v>0</v>
      </c>
      <c r="V463" s="594">
        <f t="shared" si="175"/>
        <v>0</v>
      </c>
      <c r="W463" s="594">
        <f t="shared" si="175"/>
        <v>0</v>
      </c>
      <c r="X463" s="594">
        <f t="shared" si="175"/>
        <v>0</v>
      </c>
      <c r="Y463" s="594">
        <f t="shared" si="175"/>
        <v>0</v>
      </c>
      <c r="Z463" s="594">
        <f t="shared" si="175"/>
        <v>0</v>
      </c>
      <c r="AA463" s="594">
        <f t="shared" si="175"/>
        <v>0</v>
      </c>
      <c r="AB463" s="594">
        <f t="shared" si="175"/>
        <v>0</v>
      </c>
      <c r="AC463" s="594">
        <f t="shared" si="175"/>
        <v>0</v>
      </c>
      <c r="AD463" s="594">
        <f t="shared" si="175"/>
        <v>0</v>
      </c>
      <c r="AE463" s="594">
        <f t="shared" si="175"/>
        <v>0</v>
      </c>
      <c r="AF463" s="1015">
        <f t="shared" si="174"/>
        <v>0</v>
      </c>
    </row>
    <row r="464">
      <c r="A464" s="598" t="s">
        <v>181</v>
      </c>
      <c r="B464" s="1145">
        <f t="shared" ref="B464:AE464" si="176">B458+B460+B462</f>
        <v>0</v>
      </c>
      <c r="C464" s="594">
        <f t="shared" si="176"/>
        <v>0</v>
      </c>
      <c r="D464" s="594">
        <f t="shared" si="176"/>
        <v>0</v>
      </c>
      <c r="E464" s="594">
        <f t="shared" si="176"/>
        <v>0</v>
      </c>
      <c r="F464" s="594">
        <f t="shared" si="176"/>
        <v>0</v>
      </c>
      <c r="G464" s="594">
        <f t="shared" si="176"/>
        <v>0</v>
      </c>
      <c r="H464" s="594">
        <f t="shared" si="176"/>
        <v>0</v>
      </c>
      <c r="I464" s="594">
        <f t="shared" si="176"/>
        <v>0</v>
      </c>
      <c r="J464" s="594">
        <f t="shared" si="176"/>
        <v>0</v>
      </c>
      <c r="K464" s="594">
        <f t="shared" si="176"/>
        <v>0</v>
      </c>
      <c r="L464" s="594">
        <f t="shared" si="176"/>
        <v>0</v>
      </c>
      <c r="M464" s="594">
        <f t="shared" si="176"/>
        <v>0</v>
      </c>
      <c r="N464" s="594">
        <f t="shared" si="176"/>
        <v>0</v>
      </c>
      <c r="O464" s="594">
        <f t="shared" si="176"/>
        <v>0</v>
      </c>
      <c r="P464" s="594">
        <f t="shared" si="176"/>
        <v>0</v>
      </c>
      <c r="Q464" s="594">
        <f t="shared" si="176"/>
        <v>0</v>
      </c>
      <c r="R464" s="594">
        <f t="shared" si="176"/>
        <v>0</v>
      </c>
      <c r="S464" s="594">
        <f t="shared" si="176"/>
        <v>0</v>
      </c>
      <c r="T464" s="594">
        <f t="shared" si="176"/>
        <v>0</v>
      </c>
      <c r="U464" s="594">
        <f t="shared" si="176"/>
        <v>0</v>
      </c>
      <c r="V464" s="594">
        <f t="shared" si="176"/>
        <v>0</v>
      </c>
      <c r="W464" s="594">
        <f t="shared" si="176"/>
        <v>0</v>
      </c>
      <c r="X464" s="594">
        <f t="shared" si="176"/>
        <v>0</v>
      </c>
      <c r="Y464" s="594">
        <f t="shared" si="176"/>
        <v>0</v>
      </c>
      <c r="Z464" s="594">
        <f t="shared" si="176"/>
        <v>0</v>
      </c>
      <c r="AA464" s="594">
        <f t="shared" si="176"/>
        <v>0</v>
      </c>
      <c r="AB464" s="594">
        <f t="shared" si="176"/>
        <v>0</v>
      </c>
      <c r="AC464" s="594">
        <f t="shared" si="176"/>
        <v>0</v>
      </c>
      <c r="AD464" s="594">
        <f t="shared" si="176"/>
        <v>0</v>
      </c>
      <c r="AE464" s="594">
        <f t="shared" si="176"/>
        <v>0</v>
      </c>
      <c r="AF464" s="1015">
        <f t="shared" si="174"/>
        <v>0</v>
      </c>
    </row>
    <row r="465">
      <c r="A465" s="20"/>
      <c r="B465" s="1066"/>
      <c r="C465" s="1066"/>
      <c r="D465" s="1066"/>
      <c r="E465" s="1066"/>
      <c r="F465" s="1066"/>
      <c r="G465" s="1066"/>
      <c r="H465" s="1066"/>
      <c r="I465" s="1066"/>
      <c r="J465" s="1066"/>
      <c r="K465" s="1066"/>
      <c r="L465" s="1066"/>
      <c r="M465" s="1066"/>
      <c r="N465" s="1066"/>
      <c r="O465" s="1066"/>
      <c r="P465" s="1066"/>
      <c r="Q465" s="1066"/>
      <c r="R465" s="1066"/>
      <c r="S465" s="1066"/>
      <c r="T465" s="1066"/>
      <c r="U465" s="1066"/>
      <c r="V465" s="1066"/>
      <c r="W465" s="1066"/>
      <c r="X465" s="1066"/>
      <c r="Y465" s="1066"/>
      <c r="Z465" s="1066"/>
      <c r="AA465" s="1066"/>
      <c r="AB465" s="1066"/>
      <c r="AC465" s="581"/>
      <c r="AD465" s="1066"/>
      <c r="AE465" s="1066"/>
      <c r="AF465" s="700"/>
    </row>
    <row r="466">
      <c r="A466" s="1093" t="s">
        <v>958</v>
      </c>
      <c r="B466" s="331">
        <v>0.0</v>
      </c>
      <c r="C466" s="331">
        <v>0.0</v>
      </c>
      <c r="D466" s="331">
        <v>0.0</v>
      </c>
      <c r="E466" s="331">
        <v>0.0</v>
      </c>
      <c r="F466" s="331">
        <v>0.0</v>
      </c>
      <c r="G466" s="331">
        <v>0.0</v>
      </c>
      <c r="H466" s="331">
        <v>0.0</v>
      </c>
      <c r="I466" s="331">
        <v>0.0</v>
      </c>
      <c r="J466" s="331">
        <v>0.0</v>
      </c>
      <c r="K466" s="331">
        <v>0.0</v>
      </c>
      <c r="L466" s="331">
        <v>0.0</v>
      </c>
      <c r="M466" s="331">
        <v>0.0</v>
      </c>
      <c r="N466" s="331">
        <v>0.0</v>
      </c>
      <c r="O466" s="331">
        <v>0.0</v>
      </c>
      <c r="P466" s="331">
        <v>0.0</v>
      </c>
      <c r="Q466" s="331">
        <v>0.0</v>
      </c>
      <c r="R466" s="331">
        <v>0.0</v>
      </c>
      <c r="S466" s="331">
        <v>0.0</v>
      </c>
      <c r="T466" s="331">
        <v>0.0</v>
      </c>
      <c r="U466" s="331">
        <v>0.0</v>
      </c>
      <c r="V466" s="331">
        <v>0.0</v>
      </c>
      <c r="W466" s="331">
        <v>0.0</v>
      </c>
      <c r="X466" s="331">
        <v>0.0</v>
      </c>
      <c r="Y466" s="331">
        <v>0.0</v>
      </c>
      <c r="Z466" s="331">
        <v>0.0</v>
      </c>
      <c r="AA466" s="331">
        <v>0.0</v>
      </c>
      <c r="AB466" s="331">
        <v>0.0</v>
      </c>
      <c r="AC466" s="331">
        <v>0.0</v>
      </c>
      <c r="AD466" s="331">
        <v>0.0</v>
      </c>
      <c r="AE466" s="331">
        <v>0.0</v>
      </c>
      <c r="AF466" s="1015">
        <f t="shared" ref="AF466:AF470" si="177">SUM(B466:AE466)</f>
        <v>0</v>
      </c>
    </row>
    <row r="467">
      <c r="A467" s="1093" t="s">
        <v>959</v>
      </c>
      <c r="B467" s="1075"/>
      <c r="C467" s="1075"/>
      <c r="D467" s="1075"/>
      <c r="E467" s="1075"/>
      <c r="F467" s="1075"/>
      <c r="G467" s="1075"/>
      <c r="H467" s="1075"/>
      <c r="I467" s="1075"/>
      <c r="J467" s="1075"/>
      <c r="K467" s="1075"/>
      <c r="L467" s="1075"/>
      <c r="M467" s="1075"/>
      <c r="N467" s="1075"/>
      <c r="O467" s="1075"/>
      <c r="P467" s="694"/>
      <c r="Q467" s="694"/>
      <c r="R467" s="694"/>
      <c r="S467" s="694"/>
      <c r="T467" s="694"/>
      <c r="U467" s="694"/>
      <c r="V467" s="694"/>
      <c r="W467" s="694"/>
      <c r="X467" s="694"/>
      <c r="Y467" s="694"/>
      <c r="Z467" s="694"/>
      <c r="AA467" s="694"/>
      <c r="AB467" s="694"/>
      <c r="AC467" s="694"/>
      <c r="AD467" s="694"/>
      <c r="AE467" s="694"/>
      <c r="AF467" s="1015">
        <f t="shared" si="177"/>
        <v>0</v>
      </c>
    </row>
    <row r="468">
      <c r="A468" s="1093" t="s">
        <v>960</v>
      </c>
      <c r="B468" s="331">
        <v>0.0</v>
      </c>
      <c r="C468" s="331">
        <v>0.0</v>
      </c>
      <c r="D468" s="331">
        <v>0.0</v>
      </c>
      <c r="E468" s="331">
        <v>0.0</v>
      </c>
      <c r="F468" s="331">
        <v>0.0</v>
      </c>
      <c r="G468" s="331">
        <v>0.0</v>
      </c>
      <c r="H468" s="331">
        <v>0.0</v>
      </c>
      <c r="I468" s="331">
        <v>0.0</v>
      </c>
      <c r="J468" s="331">
        <v>0.0</v>
      </c>
      <c r="K468" s="331">
        <v>0.0</v>
      </c>
      <c r="L468" s="331">
        <v>0.0</v>
      </c>
      <c r="M468" s="331">
        <v>0.0</v>
      </c>
      <c r="N468" s="331">
        <v>0.0</v>
      </c>
      <c r="O468" s="331">
        <v>0.0</v>
      </c>
      <c r="P468" s="331">
        <v>0.0</v>
      </c>
      <c r="Q468" s="331">
        <v>0.0</v>
      </c>
      <c r="R468" s="331">
        <v>0.0</v>
      </c>
      <c r="S468" s="331">
        <v>0.0</v>
      </c>
      <c r="T468" s="331">
        <v>0.0</v>
      </c>
      <c r="U468" s="331">
        <v>0.0</v>
      </c>
      <c r="V468" s="331">
        <v>0.0</v>
      </c>
      <c r="W468" s="331">
        <v>0.0</v>
      </c>
      <c r="X468" s="331">
        <v>0.0</v>
      </c>
      <c r="Y468" s="331">
        <v>0.0</v>
      </c>
      <c r="Z468" s="331">
        <v>0.0</v>
      </c>
      <c r="AA468" s="331">
        <v>0.0</v>
      </c>
      <c r="AB468" s="331">
        <v>0.0</v>
      </c>
      <c r="AC468" s="331">
        <v>0.0</v>
      </c>
      <c r="AD468" s="331">
        <v>0.0</v>
      </c>
      <c r="AE468" s="331">
        <v>0.0</v>
      </c>
      <c r="AF468" s="1015">
        <f t="shared" si="177"/>
        <v>0</v>
      </c>
    </row>
    <row r="469">
      <c r="A469" s="1093" t="s">
        <v>1036</v>
      </c>
      <c r="B469" s="331">
        <v>0.0</v>
      </c>
      <c r="C469" s="331">
        <v>0.0</v>
      </c>
      <c r="D469" s="331">
        <v>0.0</v>
      </c>
      <c r="E469" s="331">
        <v>0.0</v>
      </c>
      <c r="F469" s="331">
        <v>0.0</v>
      </c>
      <c r="G469" s="331">
        <v>0.0</v>
      </c>
      <c r="H469" s="331">
        <v>0.0</v>
      </c>
      <c r="I469" s="331">
        <v>0.0</v>
      </c>
      <c r="J469" s="331">
        <v>0.0</v>
      </c>
      <c r="K469" s="331">
        <v>0.0</v>
      </c>
      <c r="L469" s="331">
        <v>0.0</v>
      </c>
      <c r="M469" s="331">
        <v>0.0</v>
      </c>
      <c r="N469" s="331">
        <v>0.0</v>
      </c>
      <c r="O469" s="331">
        <v>0.0</v>
      </c>
      <c r="P469" s="331">
        <v>0.0</v>
      </c>
      <c r="Q469" s="331">
        <v>0.0</v>
      </c>
      <c r="R469" s="331">
        <v>0.0</v>
      </c>
      <c r="S469" s="331">
        <v>0.0</v>
      </c>
      <c r="T469" s="331">
        <v>0.0</v>
      </c>
      <c r="U469" s="331">
        <v>0.0</v>
      </c>
      <c r="V469" s="331">
        <v>0.0</v>
      </c>
      <c r="W469" s="331">
        <v>0.0</v>
      </c>
      <c r="X469" s="331">
        <v>0.0</v>
      </c>
      <c r="Y469" s="331">
        <v>0.0</v>
      </c>
      <c r="Z469" s="331">
        <v>0.0</v>
      </c>
      <c r="AA469" s="331">
        <v>0.0</v>
      </c>
      <c r="AB469" s="331">
        <v>0.0</v>
      </c>
      <c r="AC469" s="331">
        <v>0.0</v>
      </c>
      <c r="AD469" s="331">
        <v>0.0</v>
      </c>
      <c r="AE469" s="331">
        <v>0.0</v>
      </c>
      <c r="AF469" s="1015">
        <f t="shared" si="177"/>
        <v>0</v>
      </c>
    </row>
    <row r="470">
      <c r="A470" s="1093" t="s">
        <v>1037</v>
      </c>
      <c r="B470" s="331">
        <v>0.0</v>
      </c>
      <c r="C470" s="331">
        <v>0.0</v>
      </c>
      <c r="D470" s="331">
        <v>0.0</v>
      </c>
      <c r="E470" s="331">
        <v>0.0</v>
      </c>
      <c r="F470" s="331">
        <v>0.0</v>
      </c>
      <c r="G470" s="331">
        <v>0.0</v>
      </c>
      <c r="H470" s="331">
        <v>0.0</v>
      </c>
      <c r="I470" s="331">
        <v>0.0</v>
      </c>
      <c r="J470" s="331">
        <v>0.0</v>
      </c>
      <c r="K470" s="331">
        <v>0.0</v>
      </c>
      <c r="L470" s="331">
        <v>0.0</v>
      </c>
      <c r="M470" s="331">
        <v>0.0</v>
      </c>
      <c r="N470" s="331">
        <v>0.0</v>
      </c>
      <c r="O470" s="331">
        <v>0.0</v>
      </c>
      <c r="P470" s="331">
        <v>0.0</v>
      </c>
      <c r="Q470" s="331">
        <v>0.0</v>
      </c>
      <c r="R470" s="331">
        <v>0.0</v>
      </c>
      <c r="S470" s="331">
        <v>0.0</v>
      </c>
      <c r="T470" s="331">
        <v>0.0</v>
      </c>
      <c r="U470" s="331">
        <v>0.0</v>
      </c>
      <c r="V470" s="331">
        <v>0.0</v>
      </c>
      <c r="W470" s="331">
        <v>0.0</v>
      </c>
      <c r="X470" s="331">
        <v>0.0</v>
      </c>
      <c r="Y470" s="331">
        <v>0.0</v>
      </c>
      <c r="Z470" s="331">
        <v>0.0</v>
      </c>
      <c r="AA470" s="331">
        <v>0.0</v>
      </c>
      <c r="AB470" s="331">
        <v>0.0</v>
      </c>
      <c r="AC470" s="331">
        <v>0.0</v>
      </c>
      <c r="AD470" s="331">
        <v>0.0</v>
      </c>
      <c r="AE470" s="331">
        <v>0.0</v>
      </c>
      <c r="AF470" s="1015">
        <f t="shared" si="177"/>
        <v>0</v>
      </c>
    </row>
    <row r="471">
      <c r="A471" s="1093" t="s">
        <v>1038</v>
      </c>
      <c r="B471" s="1077"/>
      <c r="C471" s="1077"/>
      <c r="D471" s="1077"/>
      <c r="E471" s="1077"/>
      <c r="F471" s="1077"/>
      <c r="G471" s="1077"/>
      <c r="H471" s="1077"/>
      <c r="I471" s="1077"/>
      <c r="J471" s="1077"/>
      <c r="K471" s="1077"/>
      <c r="L471" s="1077"/>
      <c r="M471" s="1077"/>
      <c r="N471" s="1077"/>
      <c r="O471" s="1077"/>
      <c r="P471" s="1077"/>
      <c r="Q471" s="1077"/>
      <c r="R471" s="1077"/>
      <c r="S471" s="331">
        <v>0.0</v>
      </c>
      <c r="T471" s="331">
        <v>0.0</v>
      </c>
      <c r="U471" s="331">
        <v>0.0</v>
      </c>
      <c r="V471" s="331">
        <v>0.0</v>
      </c>
      <c r="W471" s="331">
        <v>0.0</v>
      </c>
      <c r="X471" s="331">
        <v>0.0</v>
      </c>
      <c r="Y471" s="331">
        <v>0.0</v>
      </c>
      <c r="Z471" s="331">
        <v>0.0</v>
      </c>
      <c r="AA471" s="331">
        <v>0.0</v>
      </c>
      <c r="AB471" s="331">
        <v>0.0</v>
      </c>
      <c r="AC471" s="331">
        <v>0.0</v>
      </c>
      <c r="AD471" s="331">
        <v>0.0</v>
      </c>
      <c r="AE471" s="331">
        <v>0.0</v>
      </c>
      <c r="AF471" s="1015"/>
    </row>
    <row r="472">
      <c r="A472" s="1096" t="s">
        <v>581</v>
      </c>
      <c r="B472" s="594">
        <f t="shared" ref="B472:R472" si="178">SUM(B466:B470)</f>
        <v>0</v>
      </c>
      <c r="C472" s="594">
        <f t="shared" si="178"/>
        <v>0</v>
      </c>
      <c r="D472" s="594">
        <f t="shared" si="178"/>
        <v>0</v>
      </c>
      <c r="E472" s="594">
        <f t="shared" si="178"/>
        <v>0</v>
      </c>
      <c r="F472" s="594">
        <f t="shared" si="178"/>
        <v>0</v>
      </c>
      <c r="G472" s="594">
        <f t="shared" si="178"/>
        <v>0</v>
      </c>
      <c r="H472" s="594">
        <f t="shared" si="178"/>
        <v>0</v>
      </c>
      <c r="I472" s="594">
        <f t="shared" si="178"/>
        <v>0</v>
      </c>
      <c r="J472" s="594">
        <f t="shared" si="178"/>
        <v>0</v>
      </c>
      <c r="K472" s="594">
        <f t="shared" si="178"/>
        <v>0</v>
      </c>
      <c r="L472" s="594">
        <f t="shared" si="178"/>
        <v>0</v>
      </c>
      <c r="M472" s="594">
        <f t="shared" si="178"/>
        <v>0</v>
      </c>
      <c r="N472" s="594">
        <f t="shared" si="178"/>
        <v>0</v>
      </c>
      <c r="O472" s="594">
        <f t="shared" si="178"/>
        <v>0</v>
      </c>
      <c r="P472" s="594">
        <f t="shared" si="178"/>
        <v>0</v>
      </c>
      <c r="Q472" s="594">
        <f t="shared" si="178"/>
        <v>0</v>
      </c>
      <c r="R472" s="594">
        <f t="shared" si="178"/>
        <v>0</v>
      </c>
      <c r="S472" s="594">
        <f>SUM(S466:S471)</f>
        <v>0</v>
      </c>
      <c r="T472" s="594">
        <f t="shared" ref="T472:V472" si="179">SUM(T466:T470)</f>
        <v>0</v>
      </c>
      <c r="U472" s="594">
        <f t="shared" si="179"/>
        <v>0</v>
      </c>
      <c r="V472" s="594">
        <f t="shared" si="179"/>
        <v>0</v>
      </c>
      <c r="W472" s="594">
        <f t="shared" ref="W472:X472" si="180">SUM(W466:W471)</f>
        <v>0</v>
      </c>
      <c r="X472" s="594">
        <f t="shared" si="180"/>
        <v>0</v>
      </c>
      <c r="Y472" s="594">
        <f t="shared" ref="Y472:AE472" si="181">SUM(Y466:Y470)</f>
        <v>0</v>
      </c>
      <c r="Z472" s="594">
        <f t="shared" si="181"/>
        <v>0</v>
      </c>
      <c r="AA472" s="594">
        <f t="shared" si="181"/>
        <v>0</v>
      </c>
      <c r="AB472" s="594">
        <f t="shared" si="181"/>
        <v>0</v>
      </c>
      <c r="AC472" s="594">
        <f t="shared" si="181"/>
        <v>0</v>
      </c>
      <c r="AD472" s="594">
        <f t="shared" si="181"/>
        <v>0</v>
      </c>
      <c r="AE472" s="594">
        <f t="shared" si="181"/>
        <v>0</v>
      </c>
      <c r="AF472" s="1015">
        <f>SUM(B472:AE472)</f>
        <v>0</v>
      </c>
    </row>
    <row r="473">
      <c r="A473" s="20"/>
      <c r="B473" s="331"/>
      <c r="C473" s="331"/>
      <c r="D473" s="331"/>
      <c r="E473" s="331"/>
      <c r="F473" s="331"/>
      <c r="G473" s="331"/>
      <c r="H473" s="331"/>
      <c r="I473" s="331"/>
      <c r="J473" s="331"/>
      <c r="K473" s="331"/>
      <c r="L473" s="331"/>
      <c r="M473" s="331"/>
      <c r="N473" s="331"/>
      <c r="O473" s="331"/>
      <c r="P473" s="331"/>
      <c r="Q473" s="331"/>
      <c r="R473" s="331"/>
      <c r="S473" s="331"/>
      <c r="T473" s="331"/>
      <c r="U473" s="331"/>
      <c r="V473" s="331"/>
      <c r="W473" s="331"/>
      <c r="X473" s="331"/>
      <c r="Y473" s="331"/>
      <c r="Z473" s="331"/>
      <c r="AA473" s="331"/>
      <c r="AB473" s="331"/>
      <c r="AC473" s="331"/>
      <c r="AD473" s="331"/>
      <c r="AE473" s="331"/>
      <c r="AF473" s="1015"/>
    </row>
    <row r="474">
      <c r="A474" s="1093" t="s">
        <v>968</v>
      </c>
      <c r="B474" s="331">
        <v>0.0</v>
      </c>
      <c r="C474" s="331">
        <v>0.0</v>
      </c>
      <c r="D474" s="331">
        <v>0.0</v>
      </c>
      <c r="E474" s="331">
        <v>0.0</v>
      </c>
      <c r="F474" s="331">
        <v>0.0</v>
      </c>
      <c r="G474" s="331">
        <v>0.0</v>
      </c>
      <c r="H474" s="331">
        <v>0.0</v>
      </c>
      <c r="I474" s="331">
        <v>0.0</v>
      </c>
      <c r="J474" s="331">
        <v>0.0</v>
      </c>
      <c r="K474" s="331">
        <v>0.0</v>
      </c>
      <c r="L474" s="331">
        <v>0.0</v>
      </c>
      <c r="M474" s="331">
        <v>0.0</v>
      </c>
      <c r="N474" s="331">
        <v>0.0</v>
      </c>
      <c r="O474" s="331">
        <v>0.0</v>
      </c>
      <c r="P474" s="331">
        <v>0.0</v>
      </c>
      <c r="Q474" s="331">
        <v>0.0</v>
      </c>
      <c r="R474" s="331">
        <v>0.0</v>
      </c>
      <c r="S474" s="331">
        <v>0.0</v>
      </c>
      <c r="T474" s="331">
        <v>0.0</v>
      </c>
      <c r="U474" s="331">
        <v>0.0</v>
      </c>
      <c r="V474" s="331">
        <v>0.0</v>
      </c>
      <c r="W474" s="331">
        <v>0.0</v>
      </c>
      <c r="X474" s="331">
        <v>0.0</v>
      </c>
      <c r="Y474" s="331">
        <v>0.0</v>
      </c>
      <c r="Z474" s="331">
        <v>0.0</v>
      </c>
      <c r="AA474" s="331">
        <v>0.0</v>
      </c>
      <c r="AB474" s="331">
        <v>0.0</v>
      </c>
      <c r="AC474" s="331">
        <v>0.0</v>
      </c>
      <c r="AD474" s="331">
        <v>0.0</v>
      </c>
      <c r="AE474" s="331">
        <v>0.0</v>
      </c>
      <c r="AF474" s="1015">
        <f t="shared" ref="AF474:AF478" si="182">SUM(B474:AE474)</f>
        <v>0</v>
      </c>
    </row>
    <row r="475">
      <c r="A475" s="1093" t="s">
        <v>969</v>
      </c>
      <c r="B475" s="1075"/>
      <c r="C475" s="1075"/>
      <c r="D475" s="1075"/>
      <c r="E475" s="1075"/>
      <c r="F475" s="1075"/>
      <c r="G475" s="1075"/>
      <c r="H475" s="1075"/>
      <c r="I475" s="1075"/>
      <c r="J475" s="1075"/>
      <c r="K475" s="1075"/>
      <c r="L475" s="1075"/>
      <c r="M475" s="1075"/>
      <c r="N475" s="1075"/>
      <c r="O475" s="1075"/>
      <c r="P475" s="694"/>
      <c r="Q475" s="694"/>
      <c r="R475" s="694"/>
      <c r="S475" s="694"/>
      <c r="T475" s="694"/>
      <c r="U475" s="694"/>
      <c r="V475" s="694"/>
      <c r="W475" s="694"/>
      <c r="X475" s="694"/>
      <c r="Y475" s="694"/>
      <c r="Z475" s="694"/>
      <c r="AA475" s="694"/>
      <c r="AB475" s="694"/>
      <c r="AC475" s="694"/>
      <c r="AD475" s="694"/>
      <c r="AE475" s="694"/>
      <c r="AF475" s="1015">
        <f t="shared" si="182"/>
        <v>0</v>
      </c>
    </row>
    <row r="476">
      <c r="A476" s="1093" t="s">
        <v>970</v>
      </c>
      <c r="B476" s="331">
        <v>0.0</v>
      </c>
      <c r="C476" s="331">
        <v>0.0</v>
      </c>
      <c r="D476" s="331">
        <v>0.0</v>
      </c>
      <c r="E476" s="331">
        <v>0.0</v>
      </c>
      <c r="F476" s="331">
        <v>0.0</v>
      </c>
      <c r="G476" s="331">
        <v>0.0</v>
      </c>
      <c r="H476" s="331">
        <v>0.0</v>
      </c>
      <c r="I476" s="331">
        <v>0.0</v>
      </c>
      <c r="J476" s="331">
        <v>0.0</v>
      </c>
      <c r="K476" s="331">
        <v>0.0</v>
      </c>
      <c r="L476" s="331">
        <v>0.0</v>
      </c>
      <c r="M476" s="331">
        <v>0.0</v>
      </c>
      <c r="N476" s="331">
        <v>0.0</v>
      </c>
      <c r="O476" s="331">
        <v>0.0</v>
      </c>
      <c r="P476" s="331">
        <v>0.0</v>
      </c>
      <c r="Q476" s="331">
        <v>0.0</v>
      </c>
      <c r="R476" s="331">
        <v>0.0</v>
      </c>
      <c r="S476" s="331">
        <v>0.0</v>
      </c>
      <c r="T476" s="331">
        <v>0.0</v>
      </c>
      <c r="U476" s="331">
        <v>0.0</v>
      </c>
      <c r="V476" s="331">
        <v>0.0</v>
      </c>
      <c r="W476" s="331">
        <v>0.0</v>
      </c>
      <c r="X476" s="331">
        <v>0.0</v>
      </c>
      <c r="Y476" s="331">
        <v>0.0</v>
      </c>
      <c r="Z476" s="331">
        <v>0.0</v>
      </c>
      <c r="AA476" s="331">
        <v>0.0</v>
      </c>
      <c r="AB476" s="331">
        <v>0.0</v>
      </c>
      <c r="AC476" s="331">
        <v>0.0</v>
      </c>
      <c r="AD476" s="331">
        <v>0.0</v>
      </c>
      <c r="AE476" s="331">
        <v>0.0</v>
      </c>
      <c r="AF476" s="1015">
        <f t="shared" si="182"/>
        <v>0</v>
      </c>
    </row>
    <row r="477">
      <c r="A477" s="1093" t="s">
        <v>1039</v>
      </c>
      <c r="B477" s="331">
        <v>0.0</v>
      </c>
      <c r="C477" s="331">
        <v>0.0</v>
      </c>
      <c r="D477" s="331">
        <v>0.0</v>
      </c>
      <c r="E477" s="331">
        <v>0.0</v>
      </c>
      <c r="F477" s="331">
        <v>0.0</v>
      </c>
      <c r="G477" s="331">
        <v>0.0</v>
      </c>
      <c r="H477" s="331">
        <v>0.0</v>
      </c>
      <c r="I477" s="331">
        <v>0.0</v>
      </c>
      <c r="J477" s="331">
        <v>0.0</v>
      </c>
      <c r="K477" s="331">
        <v>0.0</v>
      </c>
      <c r="L477" s="331">
        <v>0.0</v>
      </c>
      <c r="M477" s="331">
        <v>0.0</v>
      </c>
      <c r="N477" s="331">
        <v>0.0</v>
      </c>
      <c r="O477" s="331">
        <v>0.0</v>
      </c>
      <c r="P477" s="331">
        <v>0.0</v>
      </c>
      <c r="Q477" s="331">
        <v>0.0</v>
      </c>
      <c r="R477" s="331">
        <v>0.0</v>
      </c>
      <c r="S477" s="331">
        <v>0.0</v>
      </c>
      <c r="T477" s="331">
        <v>0.0</v>
      </c>
      <c r="U477" s="331">
        <v>0.0</v>
      </c>
      <c r="V477" s="331">
        <v>0.0</v>
      </c>
      <c r="W477" s="331">
        <v>0.0</v>
      </c>
      <c r="X477" s="331">
        <v>0.0</v>
      </c>
      <c r="Y477" s="331">
        <v>0.0</v>
      </c>
      <c r="Z477" s="331">
        <v>0.0</v>
      </c>
      <c r="AA477" s="331">
        <v>0.0</v>
      </c>
      <c r="AB477" s="331">
        <v>0.0</v>
      </c>
      <c r="AC477" s="331">
        <v>0.0</v>
      </c>
      <c r="AD477" s="331">
        <v>0.0</v>
      </c>
      <c r="AE477" s="331">
        <v>0.0</v>
      </c>
      <c r="AF477" s="1015">
        <f t="shared" si="182"/>
        <v>0</v>
      </c>
    </row>
    <row r="478">
      <c r="A478" s="1093" t="s">
        <v>1040</v>
      </c>
      <c r="B478" s="331">
        <v>0.0</v>
      </c>
      <c r="C478" s="331">
        <v>0.0</v>
      </c>
      <c r="D478" s="331">
        <v>0.0</v>
      </c>
      <c r="E478" s="331">
        <v>0.0</v>
      </c>
      <c r="F478" s="331">
        <v>0.0</v>
      </c>
      <c r="G478" s="331">
        <v>0.0</v>
      </c>
      <c r="H478" s="331">
        <v>0.0</v>
      </c>
      <c r="I478" s="331">
        <v>0.0</v>
      </c>
      <c r="J478" s="331">
        <v>0.0</v>
      </c>
      <c r="K478" s="331">
        <v>0.0</v>
      </c>
      <c r="L478" s="331">
        <v>0.0</v>
      </c>
      <c r="M478" s="331">
        <v>0.0</v>
      </c>
      <c r="N478" s="331">
        <v>0.0</v>
      </c>
      <c r="O478" s="331">
        <v>0.0</v>
      </c>
      <c r="P478" s="331">
        <v>0.0</v>
      </c>
      <c r="Q478" s="331">
        <v>0.0</v>
      </c>
      <c r="R478" s="331">
        <v>0.0</v>
      </c>
      <c r="S478" s="331">
        <v>0.0</v>
      </c>
      <c r="T478" s="331">
        <v>0.0</v>
      </c>
      <c r="U478" s="331">
        <v>0.0</v>
      </c>
      <c r="V478" s="331">
        <v>0.0</v>
      </c>
      <c r="W478" s="331">
        <v>0.0</v>
      </c>
      <c r="X478" s="331">
        <v>0.0</v>
      </c>
      <c r="Y478" s="331">
        <v>0.0</v>
      </c>
      <c r="Z478" s="331">
        <v>0.0</v>
      </c>
      <c r="AA478" s="331">
        <v>0.0</v>
      </c>
      <c r="AB478" s="331">
        <v>0.0</v>
      </c>
      <c r="AC478" s="331">
        <v>0.0</v>
      </c>
      <c r="AD478" s="331">
        <v>0.0</v>
      </c>
      <c r="AE478" s="331">
        <v>0.0</v>
      </c>
      <c r="AF478" s="1015">
        <f t="shared" si="182"/>
        <v>0</v>
      </c>
    </row>
    <row r="479">
      <c r="A479" s="1093" t="s">
        <v>1041</v>
      </c>
      <c r="B479" s="1077"/>
      <c r="C479" s="1077"/>
      <c r="D479" s="1077"/>
      <c r="E479" s="1077"/>
      <c r="F479" s="1077"/>
      <c r="G479" s="1077"/>
      <c r="H479" s="1077"/>
      <c r="I479" s="1077"/>
      <c r="J479" s="1077"/>
      <c r="K479" s="1077"/>
      <c r="L479" s="1077"/>
      <c r="M479" s="1077"/>
      <c r="N479" s="1077"/>
      <c r="O479" s="1077"/>
      <c r="P479" s="1077"/>
      <c r="Q479" s="1077"/>
      <c r="R479" s="1077"/>
      <c r="S479" s="331">
        <v>0.0</v>
      </c>
      <c r="T479" s="331">
        <v>0.0</v>
      </c>
      <c r="U479" s="331">
        <v>0.0</v>
      </c>
      <c r="V479" s="331">
        <v>0.0</v>
      </c>
      <c r="W479" s="331">
        <v>0.0</v>
      </c>
      <c r="X479" s="331">
        <v>0.0</v>
      </c>
      <c r="Y479" s="331">
        <v>0.0</v>
      </c>
      <c r="Z479" s="331">
        <v>0.0</v>
      </c>
      <c r="AA479" s="331">
        <v>0.0</v>
      </c>
      <c r="AB479" s="331">
        <v>0.0</v>
      </c>
      <c r="AC479" s="331">
        <v>0.0</v>
      </c>
      <c r="AD479" s="331">
        <v>0.0</v>
      </c>
      <c r="AE479" s="331">
        <v>0.0</v>
      </c>
      <c r="AF479" s="1015"/>
    </row>
    <row r="480">
      <c r="A480" s="1096" t="s">
        <v>977</v>
      </c>
      <c r="B480" s="594">
        <f t="shared" ref="B480:R480" si="183">SUM(B474:B478)</f>
        <v>0</v>
      </c>
      <c r="C480" s="594">
        <f t="shared" si="183"/>
        <v>0</v>
      </c>
      <c r="D480" s="594">
        <f t="shared" si="183"/>
        <v>0</v>
      </c>
      <c r="E480" s="594">
        <f t="shared" si="183"/>
        <v>0</v>
      </c>
      <c r="F480" s="594">
        <f t="shared" si="183"/>
        <v>0</v>
      </c>
      <c r="G480" s="594">
        <f t="shared" si="183"/>
        <v>0</v>
      </c>
      <c r="H480" s="594">
        <f t="shared" si="183"/>
        <v>0</v>
      </c>
      <c r="I480" s="594">
        <f t="shared" si="183"/>
        <v>0</v>
      </c>
      <c r="J480" s="594">
        <f t="shared" si="183"/>
        <v>0</v>
      </c>
      <c r="K480" s="594">
        <f t="shared" si="183"/>
        <v>0</v>
      </c>
      <c r="L480" s="594">
        <f t="shared" si="183"/>
        <v>0</v>
      </c>
      <c r="M480" s="594">
        <f t="shared" si="183"/>
        <v>0</v>
      </c>
      <c r="N480" s="594">
        <f t="shared" si="183"/>
        <v>0</v>
      </c>
      <c r="O480" s="594">
        <f t="shared" si="183"/>
        <v>0</v>
      </c>
      <c r="P480" s="594">
        <f t="shared" si="183"/>
        <v>0</v>
      </c>
      <c r="Q480" s="594">
        <f t="shared" si="183"/>
        <v>0</v>
      </c>
      <c r="R480" s="594">
        <f t="shared" si="183"/>
        <v>0</v>
      </c>
      <c r="S480" s="594">
        <f>SUM(S474:S479)</f>
        <v>0</v>
      </c>
      <c r="T480" s="594">
        <f t="shared" ref="T480:V480" si="184">SUM(T474:T478)</f>
        <v>0</v>
      </c>
      <c r="U480" s="594">
        <f t="shared" si="184"/>
        <v>0</v>
      </c>
      <c r="V480" s="594">
        <f t="shared" si="184"/>
        <v>0</v>
      </c>
      <c r="W480" s="594">
        <f t="shared" ref="W480:X480" si="185">SUM(W474:W479)</f>
        <v>0</v>
      </c>
      <c r="X480" s="594">
        <f t="shared" si="185"/>
        <v>0</v>
      </c>
      <c r="Y480" s="594">
        <f t="shared" ref="Y480:AE480" si="186">SUM(Y474:Y478)</f>
        <v>0</v>
      </c>
      <c r="Z480" s="594">
        <f t="shared" si="186"/>
        <v>0</v>
      </c>
      <c r="AA480" s="594">
        <f t="shared" si="186"/>
        <v>0</v>
      </c>
      <c r="AB480" s="594">
        <f t="shared" si="186"/>
        <v>0</v>
      </c>
      <c r="AC480" s="594">
        <f t="shared" si="186"/>
        <v>0</v>
      </c>
      <c r="AD480" s="594">
        <f t="shared" si="186"/>
        <v>0</v>
      </c>
      <c r="AE480" s="594">
        <f t="shared" si="186"/>
        <v>0</v>
      </c>
      <c r="AF480" s="1015">
        <f>SUM(B480:AE480)</f>
        <v>0</v>
      </c>
    </row>
    <row r="481">
      <c r="A481" s="20"/>
      <c r="B481" s="1066"/>
      <c r="C481" s="1066"/>
      <c r="D481" s="1066"/>
      <c r="E481" s="1066"/>
      <c r="F481" s="1066"/>
      <c r="G481" s="1066"/>
      <c r="H481" s="1066"/>
      <c r="I481" s="1066"/>
      <c r="J481" s="1066"/>
      <c r="K481" s="1066"/>
      <c r="L481" s="1066"/>
      <c r="M481" s="1066"/>
      <c r="N481" s="1066"/>
      <c r="O481" s="1066"/>
      <c r="P481" s="1066"/>
      <c r="Q481" s="1066"/>
      <c r="R481" s="1066"/>
      <c r="S481" s="1066"/>
      <c r="T481" s="1066"/>
      <c r="U481" s="1066"/>
      <c r="V481" s="1066"/>
      <c r="W481" s="1066"/>
      <c r="X481" s="1066"/>
      <c r="Y481" s="1066"/>
      <c r="Z481" s="1066"/>
      <c r="AA481" s="1066"/>
      <c r="AB481" s="1066"/>
      <c r="AC481" s="1066"/>
      <c r="AD481" s="1066"/>
      <c r="AE481" s="1066"/>
      <c r="AF481" s="700"/>
    </row>
    <row r="482">
      <c r="A482" s="1093" t="s">
        <v>979</v>
      </c>
      <c r="B482" s="331">
        <v>0.0</v>
      </c>
      <c r="C482" s="331">
        <v>0.0</v>
      </c>
      <c r="D482" s="331">
        <v>0.0</v>
      </c>
      <c r="E482" s="331">
        <v>0.0</v>
      </c>
      <c r="F482" s="331">
        <v>0.0</v>
      </c>
      <c r="G482" s="331">
        <v>0.0</v>
      </c>
      <c r="H482" s="331">
        <v>0.0</v>
      </c>
      <c r="I482" s="331">
        <v>0.0</v>
      </c>
      <c r="J482" s="331">
        <v>0.0</v>
      </c>
      <c r="K482" s="331">
        <v>0.0</v>
      </c>
      <c r="L482" s="331">
        <v>0.0</v>
      </c>
      <c r="M482" s="331">
        <v>0.0</v>
      </c>
      <c r="N482" s="331">
        <v>0.0</v>
      </c>
      <c r="O482" s="331">
        <v>0.0</v>
      </c>
      <c r="P482" s="331">
        <v>0.0</v>
      </c>
      <c r="Q482" s="331">
        <v>0.0</v>
      </c>
      <c r="R482" s="331">
        <v>0.0</v>
      </c>
      <c r="S482" s="331">
        <v>0.0</v>
      </c>
      <c r="T482" s="331">
        <v>0.0</v>
      </c>
      <c r="U482" s="331">
        <v>0.0</v>
      </c>
      <c r="V482" s="331">
        <v>0.0</v>
      </c>
      <c r="W482" s="331">
        <v>0.0</v>
      </c>
      <c r="X482" s="331">
        <v>0.0</v>
      </c>
      <c r="Y482" s="331">
        <v>0.0</v>
      </c>
      <c r="Z482" s="331">
        <v>0.0</v>
      </c>
      <c r="AA482" s="331">
        <v>0.0</v>
      </c>
      <c r="AB482" s="331">
        <v>0.0</v>
      </c>
      <c r="AC482" s="331">
        <v>0.0</v>
      </c>
      <c r="AD482" s="331">
        <v>0.0</v>
      </c>
      <c r="AE482" s="331">
        <v>0.0</v>
      </c>
      <c r="AF482" s="1015">
        <f t="shared" ref="AF482:AF486" si="187">SUM(B482:AE482)</f>
        <v>0</v>
      </c>
    </row>
    <row r="483">
      <c r="A483" s="1093" t="s">
        <v>980</v>
      </c>
      <c r="B483" s="1075"/>
      <c r="C483" s="1075"/>
      <c r="D483" s="1075"/>
      <c r="E483" s="1075"/>
      <c r="F483" s="1075"/>
      <c r="G483" s="1075"/>
      <c r="H483" s="1075"/>
      <c r="I483" s="1075"/>
      <c r="J483" s="1075"/>
      <c r="K483" s="1075"/>
      <c r="L483" s="1075"/>
      <c r="M483" s="1075"/>
      <c r="N483" s="1075"/>
      <c r="O483" s="1075"/>
      <c r="P483" s="694"/>
      <c r="Q483" s="694"/>
      <c r="R483" s="694"/>
      <c r="S483" s="694"/>
      <c r="T483" s="694"/>
      <c r="U483" s="694"/>
      <c r="V483" s="694"/>
      <c r="W483" s="694"/>
      <c r="X483" s="694"/>
      <c r="Y483" s="694"/>
      <c r="Z483" s="694"/>
      <c r="AA483" s="694"/>
      <c r="AB483" s="694"/>
      <c r="AC483" s="694"/>
      <c r="AD483" s="694"/>
      <c r="AE483" s="694"/>
      <c r="AF483" s="1015">
        <f t="shared" si="187"/>
        <v>0</v>
      </c>
    </row>
    <row r="484">
      <c r="A484" s="1093" t="s">
        <v>981</v>
      </c>
      <c r="B484" s="331">
        <v>0.0</v>
      </c>
      <c r="C484" s="331">
        <v>0.0</v>
      </c>
      <c r="D484" s="331">
        <v>0.0</v>
      </c>
      <c r="E484" s="331">
        <v>0.0</v>
      </c>
      <c r="F484" s="331">
        <v>0.0</v>
      </c>
      <c r="G484" s="331">
        <v>0.0</v>
      </c>
      <c r="H484" s="331">
        <v>0.0</v>
      </c>
      <c r="I484" s="331">
        <v>0.0</v>
      </c>
      <c r="J484" s="331">
        <v>0.0</v>
      </c>
      <c r="K484" s="331">
        <v>0.0</v>
      </c>
      <c r="L484" s="331">
        <v>0.0</v>
      </c>
      <c r="M484" s="331">
        <v>0.0</v>
      </c>
      <c r="N484" s="331">
        <v>0.0</v>
      </c>
      <c r="O484" s="331">
        <v>0.0</v>
      </c>
      <c r="P484" s="331">
        <v>0.0</v>
      </c>
      <c r="Q484" s="331">
        <v>0.0</v>
      </c>
      <c r="R484" s="331">
        <v>0.0</v>
      </c>
      <c r="S484" s="331">
        <v>0.0</v>
      </c>
      <c r="T484" s="331">
        <v>0.0</v>
      </c>
      <c r="U484" s="331">
        <v>0.0</v>
      </c>
      <c r="V484" s="331">
        <v>0.0</v>
      </c>
      <c r="W484" s="331">
        <v>0.0</v>
      </c>
      <c r="X484" s="331">
        <v>0.0</v>
      </c>
      <c r="Y484" s="331">
        <v>0.0</v>
      </c>
      <c r="Z484" s="331">
        <v>0.0</v>
      </c>
      <c r="AA484" s="331">
        <v>0.0</v>
      </c>
      <c r="AB484" s="331">
        <v>0.0</v>
      </c>
      <c r="AC484" s="331">
        <v>0.0</v>
      </c>
      <c r="AD484" s="331">
        <v>0.0</v>
      </c>
      <c r="AE484" s="331">
        <v>0.0</v>
      </c>
      <c r="AF484" s="1015">
        <f t="shared" si="187"/>
        <v>0</v>
      </c>
    </row>
    <row r="485">
      <c r="A485" s="1093" t="s">
        <v>1042</v>
      </c>
      <c r="B485" s="331">
        <v>0.0</v>
      </c>
      <c r="C485" s="331">
        <v>0.0</v>
      </c>
      <c r="D485" s="331">
        <v>0.0</v>
      </c>
      <c r="E485" s="331">
        <v>0.0</v>
      </c>
      <c r="F485" s="331">
        <v>0.0</v>
      </c>
      <c r="G485" s="331">
        <v>0.0</v>
      </c>
      <c r="H485" s="331">
        <v>0.0</v>
      </c>
      <c r="I485" s="331">
        <v>0.0</v>
      </c>
      <c r="J485" s="331">
        <v>0.0</v>
      </c>
      <c r="K485" s="331">
        <v>0.0</v>
      </c>
      <c r="L485" s="331">
        <v>0.0</v>
      </c>
      <c r="M485" s="331">
        <v>0.0</v>
      </c>
      <c r="N485" s="331">
        <v>0.0</v>
      </c>
      <c r="O485" s="331">
        <v>0.0</v>
      </c>
      <c r="P485" s="331">
        <v>0.0</v>
      </c>
      <c r="Q485" s="331">
        <v>0.0</v>
      </c>
      <c r="R485" s="331">
        <v>0.0</v>
      </c>
      <c r="S485" s="331">
        <v>0.0</v>
      </c>
      <c r="T485" s="331">
        <v>0.0</v>
      </c>
      <c r="U485" s="331">
        <v>0.0</v>
      </c>
      <c r="V485" s="331">
        <v>0.0</v>
      </c>
      <c r="W485" s="331">
        <v>0.0</v>
      </c>
      <c r="X485" s="331">
        <v>0.0</v>
      </c>
      <c r="Y485" s="331">
        <v>0.0</v>
      </c>
      <c r="Z485" s="331">
        <v>0.0</v>
      </c>
      <c r="AA485" s="331">
        <v>0.0</v>
      </c>
      <c r="AB485" s="331">
        <v>0.0</v>
      </c>
      <c r="AC485" s="331">
        <v>0.0</v>
      </c>
      <c r="AD485" s="331">
        <v>0.0</v>
      </c>
      <c r="AE485" s="331">
        <v>0.0</v>
      </c>
      <c r="AF485" s="1015">
        <f t="shared" si="187"/>
        <v>0</v>
      </c>
    </row>
    <row r="486">
      <c r="A486" s="1093" t="s">
        <v>1043</v>
      </c>
      <c r="B486" s="331">
        <v>0.0</v>
      </c>
      <c r="C486" s="331">
        <v>0.0</v>
      </c>
      <c r="D486" s="331">
        <v>0.0</v>
      </c>
      <c r="E486" s="331">
        <v>0.0</v>
      </c>
      <c r="F486" s="331">
        <v>0.0</v>
      </c>
      <c r="G486" s="331">
        <v>0.0</v>
      </c>
      <c r="H486" s="331">
        <v>0.0</v>
      </c>
      <c r="I486" s="331">
        <v>0.0</v>
      </c>
      <c r="J486" s="331">
        <v>0.0</v>
      </c>
      <c r="K486" s="331">
        <v>0.0</v>
      </c>
      <c r="L486" s="331">
        <v>0.0</v>
      </c>
      <c r="M486" s="331">
        <v>0.0</v>
      </c>
      <c r="N486" s="331">
        <v>0.0</v>
      </c>
      <c r="O486" s="331">
        <v>0.0</v>
      </c>
      <c r="P486" s="331">
        <v>0.0</v>
      </c>
      <c r="Q486" s="331">
        <v>0.0</v>
      </c>
      <c r="R486" s="331">
        <v>0.0</v>
      </c>
      <c r="S486" s="331">
        <v>0.0</v>
      </c>
      <c r="T486" s="331">
        <v>0.0</v>
      </c>
      <c r="U486" s="331">
        <v>0.0</v>
      </c>
      <c r="V486" s="331">
        <v>0.0</v>
      </c>
      <c r="W486" s="331">
        <v>0.0</v>
      </c>
      <c r="X486" s="331">
        <v>0.0</v>
      </c>
      <c r="Y486" s="331">
        <v>0.0</v>
      </c>
      <c r="Z486" s="331">
        <v>0.0</v>
      </c>
      <c r="AA486" s="331">
        <v>0.0</v>
      </c>
      <c r="AB486" s="331">
        <v>0.0</v>
      </c>
      <c r="AC486" s="331">
        <v>0.0</v>
      </c>
      <c r="AD486" s="331">
        <v>0.0</v>
      </c>
      <c r="AE486" s="331">
        <v>0.0</v>
      </c>
      <c r="AF486" s="1015">
        <f t="shared" si="187"/>
        <v>0</v>
      </c>
    </row>
    <row r="487">
      <c r="A487" s="1093" t="s">
        <v>1044</v>
      </c>
      <c r="B487" s="1077"/>
      <c r="C487" s="1077"/>
      <c r="D487" s="1077"/>
      <c r="E487" s="1077"/>
      <c r="F487" s="1077"/>
      <c r="G487" s="1077"/>
      <c r="H487" s="1077"/>
      <c r="I487" s="1077"/>
      <c r="J487" s="1077"/>
      <c r="K487" s="1077"/>
      <c r="L487" s="1077"/>
      <c r="M487" s="1077"/>
      <c r="N487" s="1077"/>
      <c r="O487" s="1077"/>
      <c r="P487" s="1077"/>
      <c r="Q487" s="1077"/>
      <c r="R487" s="1077"/>
      <c r="S487" s="331">
        <v>0.0</v>
      </c>
      <c r="T487" s="331">
        <v>0.0</v>
      </c>
      <c r="U487" s="331">
        <v>0.0</v>
      </c>
      <c r="V487" s="331">
        <v>0.0</v>
      </c>
      <c r="W487" s="331">
        <v>0.0</v>
      </c>
      <c r="X487" s="331">
        <v>0.0</v>
      </c>
      <c r="Y487" s="331">
        <v>0.0</v>
      </c>
      <c r="Z487" s="331">
        <v>0.0</v>
      </c>
      <c r="AA487" s="331">
        <v>0.0</v>
      </c>
      <c r="AB487" s="331">
        <v>0.0</v>
      </c>
      <c r="AC487" s="331">
        <v>0.0</v>
      </c>
      <c r="AD487" s="331">
        <v>0.0</v>
      </c>
      <c r="AE487" s="331">
        <v>0.0</v>
      </c>
      <c r="AF487" s="1015"/>
    </row>
    <row r="488">
      <c r="A488" s="1096" t="s">
        <v>988</v>
      </c>
      <c r="B488" s="594">
        <f t="shared" ref="B488:R488" si="188">SUM(B482:B486)</f>
        <v>0</v>
      </c>
      <c r="C488" s="594">
        <f t="shared" si="188"/>
        <v>0</v>
      </c>
      <c r="D488" s="594">
        <f t="shared" si="188"/>
        <v>0</v>
      </c>
      <c r="E488" s="594">
        <f t="shared" si="188"/>
        <v>0</v>
      </c>
      <c r="F488" s="594">
        <f t="shared" si="188"/>
        <v>0</v>
      </c>
      <c r="G488" s="594">
        <f t="shared" si="188"/>
        <v>0</v>
      </c>
      <c r="H488" s="594">
        <f t="shared" si="188"/>
        <v>0</v>
      </c>
      <c r="I488" s="594">
        <f t="shared" si="188"/>
        <v>0</v>
      </c>
      <c r="J488" s="594">
        <f t="shared" si="188"/>
        <v>0</v>
      </c>
      <c r="K488" s="594">
        <f t="shared" si="188"/>
        <v>0</v>
      </c>
      <c r="L488" s="594">
        <f t="shared" si="188"/>
        <v>0</v>
      </c>
      <c r="M488" s="594">
        <f t="shared" si="188"/>
        <v>0</v>
      </c>
      <c r="N488" s="594">
        <f t="shared" si="188"/>
        <v>0</v>
      </c>
      <c r="O488" s="594">
        <f t="shared" si="188"/>
        <v>0</v>
      </c>
      <c r="P488" s="594">
        <f t="shared" si="188"/>
        <v>0</v>
      </c>
      <c r="Q488" s="594">
        <f t="shared" si="188"/>
        <v>0</v>
      </c>
      <c r="R488" s="594">
        <f t="shared" si="188"/>
        <v>0</v>
      </c>
      <c r="S488" s="594">
        <f>SUM(S482:S487)</f>
        <v>0</v>
      </c>
      <c r="T488" s="594">
        <f t="shared" ref="T488:V488" si="189">SUM(T482:T486)</f>
        <v>0</v>
      </c>
      <c r="U488" s="594">
        <f t="shared" si="189"/>
        <v>0</v>
      </c>
      <c r="V488" s="594">
        <f t="shared" si="189"/>
        <v>0</v>
      </c>
      <c r="W488" s="594">
        <f t="shared" ref="W488:X488" si="190">SUM(W482:W487)</f>
        <v>0</v>
      </c>
      <c r="X488" s="594">
        <f t="shared" si="190"/>
        <v>0</v>
      </c>
      <c r="Y488" s="594">
        <f t="shared" ref="Y488:AE488" si="191">SUM(Y482:Y486)</f>
        <v>0</v>
      </c>
      <c r="Z488" s="594">
        <f t="shared" si="191"/>
        <v>0</v>
      </c>
      <c r="AA488" s="594">
        <f t="shared" si="191"/>
        <v>0</v>
      </c>
      <c r="AB488" s="594">
        <f t="shared" si="191"/>
        <v>0</v>
      </c>
      <c r="AC488" s="594">
        <f t="shared" si="191"/>
        <v>0</v>
      </c>
      <c r="AD488" s="594">
        <f t="shared" si="191"/>
        <v>0</v>
      </c>
      <c r="AE488" s="594">
        <f t="shared" si="191"/>
        <v>0</v>
      </c>
      <c r="AF488" s="1015">
        <f>SUM(B488:AE488)</f>
        <v>0</v>
      </c>
    </row>
    <row r="489">
      <c r="A489" s="854"/>
      <c r="AF489" s="700"/>
    </row>
    <row r="490">
      <c r="A490" s="854"/>
      <c r="AF490" s="700"/>
    </row>
    <row r="491">
      <c r="A491" s="1174" t="s">
        <v>1077</v>
      </c>
      <c r="B491" s="1175">
        <f t="shared" ref="B491:AE491" si="192">B569</f>
        <v>3325.8</v>
      </c>
      <c r="C491" s="1175">
        <f t="shared" si="192"/>
        <v>831</v>
      </c>
      <c r="D491" s="1175">
        <f t="shared" si="192"/>
        <v>750.3</v>
      </c>
      <c r="E491" s="1175">
        <f t="shared" si="192"/>
        <v>0</v>
      </c>
      <c r="F491" s="1175">
        <f t="shared" si="192"/>
        <v>1366.1</v>
      </c>
      <c r="G491" s="1175">
        <f t="shared" si="192"/>
        <v>3036.53</v>
      </c>
      <c r="H491" s="1175">
        <f t="shared" si="192"/>
        <v>1195</v>
      </c>
      <c r="I491" s="1175">
        <f t="shared" si="192"/>
        <v>24</v>
      </c>
      <c r="J491" s="1175">
        <f t="shared" si="192"/>
        <v>0</v>
      </c>
      <c r="K491" s="1175">
        <f t="shared" si="192"/>
        <v>269</v>
      </c>
      <c r="L491" s="1175">
        <f t="shared" si="192"/>
        <v>6390.39</v>
      </c>
      <c r="M491" s="1175">
        <f t="shared" si="192"/>
        <v>12369.85</v>
      </c>
      <c r="N491" s="1175">
        <f t="shared" si="192"/>
        <v>7895.77</v>
      </c>
      <c r="O491" s="1175">
        <f t="shared" si="192"/>
        <v>6298.88</v>
      </c>
      <c r="P491" s="1175">
        <f t="shared" si="192"/>
        <v>639.39</v>
      </c>
      <c r="Q491" s="1175">
        <f t="shared" si="192"/>
        <v>895.4</v>
      </c>
      <c r="R491" s="1175">
        <f t="shared" si="192"/>
        <v>188.3</v>
      </c>
      <c r="S491" s="1175">
        <f t="shared" si="192"/>
        <v>1182.2</v>
      </c>
      <c r="T491" s="1175">
        <f t="shared" si="192"/>
        <v>2538.008</v>
      </c>
      <c r="U491" s="1175">
        <f t="shared" si="192"/>
        <v>2197.8</v>
      </c>
      <c r="V491" s="1175">
        <f t="shared" si="192"/>
        <v>1567.4</v>
      </c>
      <c r="W491" s="1175">
        <f t="shared" si="192"/>
        <v>215.39</v>
      </c>
      <c r="X491" s="1175">
        <f t="shared" si="192"/>
        <v>198.3</v>
      </c>
      <c r="Y491" s="1175">
        <f t="shared" si="192"/>
        <v>0</v>
      </c>
      <c r="Z491" s="1175">
        <f t="shared" si="192"/>
        <v>0</v>
      </c>
      <c r="AA491" s="1175">
        <f t="shared" si="192"/>
        <v>839</v>
      </c>
      <c r="AB491" s="1175">
        <f t="shared" si="192"/>
        <v>3140.45</v>
      </c>
      <c r="AC491" s="1175">
        <f t="shared" si="192"/>
        <v>199</v>
      </c>
      <c r="AD491" s="1175">
        <f t="shared" si="192"/>
        <v>1285.9</v>
      </c>
      <c r="AE491" s="1175">
        <f t="shared" si="192"/>
        <v>770</v>
      </c>
      <c r="AF491" s="866"/>
    </row>
    <row r="492">
      <c r="A492" s="1174" t="s">
        <v>811</v>
      </c>
      <c r="B492" s="1176">
        <f t="shared" ref="B492:AE492" si="193">B568</f>
        <v>0</v>
      </c>
      <c r="C492" s="1176">
        <f t="shared" si="193"/>
        <v>0</v>
      </c>
      <c r="D492" s="1176">
        <f t="shared" si="193"/>
        <v>159.2</v>
      </c>
      <c r="E492" s="1176">
        <f t="shared" si="193"/>
        <v>288</v>
      </c>
      <c r="F492" s="1176">
        <f t="shared" si="193"/>
        <v>304</v>
      </c>
      <c r="G492" s="1176">
        <f t="shared" si="193"/>
        <v>834.6</v>
      </c>
      <c r="H492" s="1176">
        <f t="shared" si="193"/>
        <v>414.2</v>
      </c>
      <c r="I492" s="1176">
        <f t="shared" si="193"/>
        <v>14</v>
      </c>
      <c r="J492" s="1176">
        <f t="shared" si="193"/>
        <v>269</v>
      </c>
      <c r="K492" s="1176">
        <f t="shared" si="193"/>
        <v>468</v>
      </c>
      <c r="L492" s="1176">
        <f t="shared" si="193"/>
        <v>0</v>
      </c>
      <c r="M492" s="1176">
        <f t="shared" si="193"/>
        <v>22</v>
      </c>
      <c r="N492" s="1176">
        <f t="shared" si="193"/>
        <v>45.46</v>
      </c>
      <c r="O492" s="1176">
        <f t="shared" si="193"/>
        <v>179.1</v>
      </c>
      <c r="P492" s="1176">
        <f t="shared" si="193"/>
        <v>704.68</v>
      </c>
      <c r="Q492" s="1176">
        <f t="shared" si="193"/>
        <v>0</v>
      </c>
      <c r="R492" s="1176">
        <f t="shared" si="193"/>
        <v>24</v>
      </c>
      <c r="S492" s="1176">
        <f t="shared" si="193"/>
        <v>257</v>
      </c>
      <c r="T492" s="1176">
        <f t="shared" si="193"/>
        <v>0</v>
      </c>
      <c r="U492" s="1176">
        <f t="shared" si="193"/>
        <v>83.6</v>
      </c>
      <c r="V492" s="1176">
        <f t="shared" si="193"/>
        <v>39</v>
      </c>
      <c r="W492" s="1176">
        <f t="shared" si="193"/>
        <v>258.17</v>
      </c>
      <c r="X492" s="1176">
        <f t="shared" si="193"/>
        <v>836.25</v>
      </c>
      <c r="Y492" s="1176">
        <f t="shared" si="193"/>
        <v>375</v>
      </c>
      <c r="Z492" s="1176">
        <f t="shared" si="193"/>
        <v>29</v>
      </c>
      <c r="AA492" s="1176">
        <f t="shared" si="193"/>
        <v>1252.28</v>
      </c>
      <c r="AB492" s="1176">
        <f t="shared" si="193"/>
        <v>0</v>
      </c>
      <c r="AC492" s="1176">
        <f t="shared" si="193"/>
        <v>29</v>
      </c>
      <c r="AD492" s="1176">
        <f t="shared" si="193"/>
        <v>0</v>
      </c>
      <c r="AE492" s="1176">
        <f t="shared" si="193"/>
        <v>154</v>
      </c>
      <c r="AF492" s="866"/>
    </row>
    <row r="493">
      <c r="A493" s="1174" t="s">
        <v>1078</v>
      </c>
      <c r="B493" s="1182">
        <f t="shared" ref="B493:AE493" si="194">B633</f>
        <v>-0.09217623997</v>
      </c>
      <c r="C493" s="1182">
        <f t="shared" si="194"/>
        <v>0.1065765141</v>
      </c>
      <c r="D493" s="1182">
        <f t="shared" si="194"/>
        <v>0.1767165365</v>
      </c>
      <c r="E493" s="1182">
        <f t="shared" si="194"/>
        <v>0.2568088188</v>
      </c>
      <c r="F493" s="1182">
        <f t="shared" si="194"/>
        <v>0.04275493606</v>
      </c>
      <c r="G493" s="1182">
        <f t="shared" si="194"/>
        <v>-0.1143513839</v>
      </c>
      <c r="H493" s="1182">
        <f t="shared" si="194"/>
        <v>-0.1315406321</v>
      </c>
      <c r="I493" s="1182">
        <f t="shared" si="194"/>
        <v>0.2303393043</v>
      </c>
      <c r="J493" s="1182">
        <f t="shared" si="194"/>
        <v>0.0496574324</v>
      </c>
      <c r="K493" s="1182">
        <f t="shared" si="194"/>
        <v>0.1129747551</v>
      </c>
      <c r="L493" s="1182">
        <f t="shared" si="194"/>
        <v>-0.4323619128</v>
      </c>
      <c r="M493" s="1182">
        <f t="shared" si="194"/>
        <v>-0.7711386379</v>
      </c>
      <c r="N493" s="1182">
        <f t="shared" si="194"/>
        <v>-0.5763678306</v>
      </c>
      <c r="O493" s="1182">
        <f t="shared" si="194"/>
        <v>-0.1004265671</v>
      </c>
      <c r="P493" s="1182">
        <f t="shared" si="194"/>
        <v>0.04825851124</v>
      </c>
      <c r="Q493" s="1182">
        <f t="shared" si="194"/>
        <v>-0.03895171011</v>
      </c>
      <c r="R493" s="1182">
        <f t="shared" si="194"/>
        <v>-0.01416472925</v>
      </c>
      <c r="S493" s="1182">
        <f t="shared" si="194"/>
        <v>0.5290629564</v>
      </c>
      <c r="T493" s="1182">
        <f t="shared" si="194"/>
        <v>0.3009317478</v>
      </c>
      <c r="U493" s="1182">
        <f t="shared" si="194"/>
        <v>0.1512623291</v>
      </c>
      <c r="V493" s="1182">
        <f t="shared" si="194"/>
        <v>0.2054620927</v>
      </c>
      <c r="W493" s="1182">
        <f t="shared" si="194"/>
        <v>0.2173967794</v>
      </c>
      <c r="X493" s="1182">
        <f t="shared" si="194"/>
        <v>0.2127026349</v>
      </c>
      <c r="Y493" s="1182">
        <f t="shared" si="194"/>
        <v>0.1758905548</v>
      </c>
      <c r="Z493" s="1182">
        <f t="shared" si="194"/>
        <v>0.2571006206</v>
      </c>
      <c r="AA493" s="1182">
        <f t="shared" si="194"/>
        <v>-0.02390916009</v>
      </c>
      <c r="AB493" s="1182">
        <f t="shared" si="194"/>
        <v>0.253265196</v>
      </c>
      <c r="AC493" s="1182">
        <f t="shared" si="194"/>
        <v>0.2235799747</v>
      </c>
      <c r="AD493" s="1182">
        <f t="shared" si="194"/>
        <v>0.2151385831</v>
      </c>
      <c r="AE493" s="1182">
        <f t="shared" si="194"/>
        <v>-0.02790516515</v>
      </c>
      <c r="AF493" s="866"/>
    </row>
    <row r="494">
      <c r="A494" s="854"/>
      <c r="AF494" s="700"/>
    </row>
    <row r="495">
      <c r="A495" s="931" t="s">
        <v>1079</v>
      </c>
      <c r="B495" s="651"/>
      <c r="C495" s="651"/>
      <c r="D495" s="651"/>
      <c r="E495" s="651"/>
      <c r="F495" s="651"/>
      <c r="G495" s="651"/>
      <c r="H495" s="651"/>
      <c r="I495" s="582"/>
      <c r="J495" s="582"/>
      <c r="K495" s="582"/>
      <c r="L495" s="582"/>
      <c r="M495" s="582"/>
      <c r="N495" s="582"/>
      <c r="O495" s="582"/>
      <c r="P495" s="582"/>
      <c r="Q495" s="582"/>
      <c r="R495" s="582"/>
      <c r="S495" s="582"/>
      <c r="T495" s="582"/>
      <c r="U495" s="582"/>
      <c r="V495" s="582"/>
      <c r="W495" s="582"/>
      <c r="X495" s="582"/>
      <c r="Y495" s="582"/>
      <c r="Z495" s="582"/>
      <c r="AA495" s="582"/>
      <c r="AB495" s="582"/>
      <c r="AC495" s="582"/>
      <c r="AD495" s="582"/>
      <c r="AE495" s="582"/>
      <c r="AF495" s="700"/>
    </row>
    <row r="496">
      <c r="A496" s="1185" t="s">
        <v>1030</v>
      </c>
      <c r="B496" s="331">
        <f t="shared" ref="B496:AE496" si="195">B228-B342</f>
        <v>13</v>
      </c>
      <c r="C496" s="331">
        <f t="shared" si="195"/>
        <v>22</v>
      </c>
      <c r="D496" s="331">
        <f t="shared" si="195"/>
        <v>23</v>
      </c>
      <c r="E496" s="331">
        <f t="shared" si="195"/>
        <v>33</v>
      </c>
      <c r="F496" s="331">
        <f t="shared" si="195"/>
        <v>30</v>
      </c>
      <c r="G496" s="331">
        <f t="shared" si="195"/>
        <v>17</v>
      </c>
      <c r="H496" s="331">
        <f t="shared" si="195"/>
        <v>18</v>
      </c>
      <c r="I496" s="331">
        <f t="shared" si="195"/>
        <v>8</v>
      </c>
      <c r="J496" s="331">
        <f t="shared" si="195"/>
        <v>12</v>
      </c>
      <c r="K496" s="331">
        <f t="shared" si="195"/>
        <v>12</v>
      </c>
      <c r="L496" s="331">
        <f t="shared" si="195"/>
        <v>14</v>
      </c>
      <c r="M496" s="331">
        <f t="shared" si="195"/>
        <v>19</v>
      </c>
      <c r="N496" s="331">
        <f t="shared" si="195"/>
        <v>12</v>
      </c>
      <c r="O496" s="331">
        <f t="shared" si="195"/>
        <v>20</v>
      </c>
      <c r="P496" s="331">
        <f t="shared" si="195"/>
        <v>15</v>
      </c>
      <c r="Q496" s="331">
        <f t="shared" si="195"/>
        <v>18</v>
      </c>
      <c r="R496" s="331">
        <f t="shared" si="195"/>
        <v>18</v>
      </c>
      <c r="S496" s="331">
        <f t="shared" si="195"/>
        <v>20</v>
      </c>
      <c r="T496" s="331">
        <f t="shared" si="195"/>
        <v>14</v>
      </c>
      <c r="U496" s="331">
        <f t="shared" si="195"/>
        <v>13</v>
      </c>
      <c r="V496" s="331">
        <f t="shared" si="195"/>
        <v>17</v>
      </c>
      <c r="W496" s="331">
        <f t="shared" si="195"/>
        <v>13</v>
      </c>
      <c r="X496" s="331">
        <f t="shared" si="195"/>
        <v>17</v>
      </c>
      <c r="Y496" s="331">
        <f t="shared" si="195"/>
        <v>6</v>
      </c>
      <c r="Z496" s="331">
        <f t="shared" si="195"/>
        <v>3</v>
      </c>
      <c r="AA496" s="331">
        <f t="shared" si="195"/>
        <v>4</v>
      </c>
      <c r="AB496" s="331">
        <f t="shared" si="195"/>
        <v>13</v>
      </c>
      <c r="AC496" s="331">
        <f t="shared" si="195"/>
        <v>13</v>
      </c>
      <c r="AD496" s="331">
        <f t="shared" si="195"/>
        <v>11</v>
      </c>
      <c r="AE496" s="331">
        <f t="shared" si="195"/>
        <v>13</v>
      </c>
      <c r="AF496" s="1015">
        <f t="shared" ref="AF496:AF503" si="197">SUM(B496:AE496)</f>
        <v>461</v>
      </c>
    </row>
    <row r="497">
      <c r="A497" s="1185" t="s">
        <v>1031</v>
      </c>
      <c r="B497" s="331">
        <f t="shared" ref="B497:AE497" si="196">B230-B343</f>
        <v>12</v>
      </c>
      <c r="C497" s="331">
        <f t="shared" si="196"/>
        <v>20</v>
      </c>
      <c r="D497" s="331">
        <f t="shared" si="196"/>
        <v>25</v>
      </c>
      <c r="E497" s="331">
        <f t="shared" si="196"/>
        <v>23</v>
      </c>
      <c r="F497" s="331">
        <f t="shared" si="196"/>
        <v>23</v>
      </c>
      <c r="G497" s="331">
        <f t="shared" si="196"/>
        <v>19</v>
      </c>
      <c r="H497" s="331">
        <f t="shared" si="196"/>
        <v>16</v>
      </c>
      <c r="I497" s="331">
        <f t="shared" si="196"/>
        <v>11</v>
      </c>
      <c r="J497" s="331">
        <f t="shared" si="196"/>
        <v>12</v>
      </c>
      <c r="K497" s="331">
        <f t="shared" si="196"/>
        <v>16</v>
      </c>
      <c r="L497" s="331">
        <f t="shared" si="196"/>
        <v>15</v>
      </c>
      <c r="M497" s="331">
        <f t="shared" si="196"/>
        <v>12</v>
      </c>
      <c r="N497" s="331">
        <f t="shared" si="196"/>
        <v>12</v>
      </c>
      <c r="O497" s="331">
        <f t="shared" si="196"/>
        <v>10</v>
      </c>
      <c r="P497" s="331">
        <f t="shared" si="196"/>
        <v>10</v>
      </c>
      <c r="Q497" s="331">
        <f t="shared" si="196"/>
        <v>24</v>
      </c>
      <c r="R497" s="331">
        <f t="shared" si="196"/>
        <v>14</v>
      </c>
      <c r="S497" s="331">
        <f t="shared" si="196"/>
        <v>19</v>
      </c>
      <c r="T497" s="331">
        <f t="shared" si="196"/>
        <v>11</v>
      </c>
      <c r="U497" s="331">
        <f t="shared" si="196"/>
        <v>15</v>
      </c>
      <c r="V497" s="331">
        <f t="shared" si="196"/>
        <v>15</v>
      </c>
      <c r="W497" s="331">
        <f t="shared" si="196"/>
        <v>15</v>
      </c>
      <c r="X497" s="331">
        <f t="shared" si="196"/>
        <v>15</v>
      </c>
      <c r="Y497" s="331">
        <f t="shared" si="196"/>
        <v>17</v>
      </c>
      <c r="Z497" s="331">
        <f t="shared" si="196"/>
        <v>7</v>
      </c>
      <c r="AA497" s="331">
        <f t="shared" si="196"/>
        <v>7</v>
      </c>
      <c r="AB497" s="331">
        <f t="shared" si="196"/>
        <v>17</v>
      </c>
      <c r="AC497" s="331">
        <f t="shared" si="196"/>
        <v>13</v>
      </c>
      <c r="AD497" s="331">
        <f t="shared" si="196"/>
        <v>14</v>
      </c>
      <c r="AE497" s="331">
        <f t="shared" si="196"/>
        <v>16</v>
      </c>
      <c r="AF497" s="1015">
        <f t="shared" si="197"/>
        <v>455</v>
      </c>
    </row>
    <row r="498">
      <c r="A498" s="1185" t="s">
        <v>1032</v>
      </c>
      <c r="B498" s="331">
        <f t="shared" ref="B498:M498" si="198">B233-B344</f>
        <v>1</v>
      </c>
      <c r="C498" s="331">
        <f t="shared" si="198"/>
        <v>2</v>
      </c>
      <c r="D498" s="331">
        <f t="shared" si="198"/>
        <v>2</v>
      </c>
      <c r="E498" s="331">
        <f t="shared" si="198"/>
        <v>8</v>
      </c>
      <c r="F498" s="331">
        <f t="shared" si="198"/>
        <v>3</v>
      </c>
      <c r="G498" s="331">
        <f t="shared" si="198"/>
        <v>5</v>
      </c>
      <c r="H498" s="331">
        <f t="shared" si="198"/>
        <v>1</v>
      </c>
      <c r="I498" s="331">
        <f t="shared" si="198"/>
        <v>3</v>
      </c>
      <c r="J498" s="331">
        <f t="shared" si="198"/>
        <v>0</v>
      </c>
      <c r="K498" s="331">
        <f t="shared" si="198"/>
        <v>1</v>
      </c>
      <c r="L498" s="331">
        <f t="shared" si="198"/>
        <v>3</v>
      </c>
      <c r="M498" s="331">
        <f t="shared" si="198"/>
        <v>0</v>
      </c>
      <c r="N498" s="331">
        <f>N233-N342</f>
        <v>3</v>
      </c>
      <c r="O498" s="331">
        <f t="shared" ref="O498:AE498" si="199">O233-O344</f>
        <v>0</v>
      </c>
      <c r="P498" s="331">
        <f t="shared" si="199"/>
        <v>1</v>
      </c>
      <c r="Q498" s="331">
        <f t="shared" si="199"/>
        <v>0</v>
      </c>
      <c r="R498" s="331">
        <f t="shared" si="199"/>
        <v>2</v>
      </c>
      <c r="S498" s="331">
        <f t="shared" si="199"/>
        <v>3</v>
      </c>
      <c r="T498" s="331">
        <f t="shared" si="199"/>
        <v>3</v>
      </c>
      <c r="U498" s="331">
        <f t="shared" si="199"/>
        <v>3</v>
      </c>
      <c r="V498" s="331">
        <f t="shared" si="199"/>
        <v>1</v>
      </c>
      <c r="W498" s="331">
        <f t="shared" si="199"/>
        <v>3</v>
      </c>
      <c r="X498" s="331">
        <f t="shared" si="199"/>
        <v>1</v>
      </c>
      <c r="Y498" s="331">
        <f t="shared" si="199"/>
        <v>0</v>
      </c>
      <c r="Z498" s="331">
        <f t="shared" si="199"/>
        <v>2</v>
      </c>
      <c r="AA498" s="331">
        <f t="shared" si="199"/>
        <v>2</v>
      </c>
      <c r="AB498" s="331">
        <f t="shared" si="199"/>
        <v>0</v>
      </c>
      <c r="AC498" s="331">
        <f t="shared" si="199"/>
        <v>3</v>
      </c>
      <c r="AD498" s="331">
        <f t="shared" si="199"/>
        <v>1</v>
      </c>
      <c r="AE498" s="331">
        <f t="shared" si="199"/>
        <v>1</v>
      </c>
      <c r="AF498" s="1015">
        <f t="shared" si="197"/>
        <v>58</v>
      </c>
    </row>
    <row r="499">
      <c r="A499" s="1185" t="s">
        <v>1033</v>
      </c>
      <c r="B499" s="331">
        <f t="shared" ref="B499:AE499" si="200">B235-B345</f>
        <v>4</v>
      </c>
      <c r="C499" s="331">
        <f t="shared" si="200"/>
        <v>4</v>
      </c>
      <c r="D499" s="331">
        <f t="shared" si="200"/>
        <v>6</v>
      </c>
      <c r="E499" s="331">
        <f t="shared" si="200"/>
        <v>4</v>
      </c>
      <c r="F499" s="331">
        <f t="shared" si="200"/>
        <v>4</v>
      </c>
      <c r="G499" s="331">
        <f t="shared" si="200"/>
        <v>5</v>
      </c>
      <c r="H499" s="331">
        <f t="shared" si="200"/>
        <v>7</v>
      </c>
      <c r="I499" s="331">
        <f t="shared" si="200"/>
        <v>6</v>
      </c>
      <c r="J499" s="331">
        <f t="shared" si="200"/>
        <v>5</v>
      </c>
      <c r="K499" s="331">
        <f t="shared" si="200"/>
        <v>4</v>
      </c>
      <c r="L499" s="331">
        <f t="shared" si="200"/>
        <v>2</v>
      </c>
      <c r="M499" s="331">
        <f t="shared" si="200"/>
        <v>2</v>
      </c>
      <c r="N499" s="331">
        <f t="shared" si="200"/>
        <v>4</v>
      </c>
      <c r="O499" s="331">
        <f t="shared" si="200"/>
        <v>7</v>
      </c>
      <c r="P499" s="331">
        <f t="shared" si="200"/>
        <v>5</v>
      </c>
      <c r="Q499" s="331">
        <f t="shared" si="200"/>
        <v>5</v>
      </c>
      <c r="R499" s="331">
        <f t="shared" si="200"/>
        <v>2</v>
      </c>
      <c r="S499" s="331">
        <f t="shared" si="200"/>
        <v>1</v>
      </c>
      <c r="T499" s="331">
        <f t="shared" si="200"/>
        <v>3</v>
      </c>
      <c r="U499" s="331">
        <f t="shared" si="200"/>
        <v>2</v>
      </c>
      <c r="V499" s="331">
        <f t="shared" si="200"/>
        <v>2</v>
      </c>
      <c r="W499" s="331">
        <f t="shared" si="200"/>
        <v>2</v>
      </c>
      <c r="X499" s="331">
        <f t="shared" si="200"/>
        <v>2</v>
      </c>
      <c r="Y499" s="331">
        <f t="shared" si="200"/>
        <v>2</v>
      </c>
      <c r="Z499" s="331">
        <f t="shared" si="200"/>
        <v>3</v>
      </c>
      <c r="AA499" s="331">
        <f t="shared" si="200"/>
        <v>1</v>
      </c>
      <c r="AB499" s="331">
        <f t="shared" si="200"/>
        <v>1</v>
      </c>
      <c r="AC499" s="331">
        <f t="shared" si="200"/>
        <v>3</v>
      </c>
      <c r="AD499" s="331">
        <f t="shared" si="200"/>
        <v>3</v>
      </c>
      <c r="AE499" s="331">
        <f t="shared" si="200"/>
        <v>3</v>
      </c>
      <c r="AF499" s="1015">
        <f t="shared" si="197"/>
        <v>104</v>
      </c>
    </row>
    <row r="500">
      <c r="A500" s="1185" t="s">
        <v>1034</v>
      </c>
      <c r="B500" s="609">
        <f t="shared" ref="B500:AE500" si="201">B238-B346</f>
        <v>0</v>
      </c>
      <c r="C500" s="609">
        <f t="shared" si="201"/>
        <v>0</v>
      </c>
      <c r="D500" s="609">
        <f t="shared" si="201"/>
        <v>0</v>
      </c>
      <c r="E500" s="609">
        <f t="shared" si="201"/>
        <v>0</v>
      </c>
      <c r="F500" s="609">
        <f t="shared" si="201"/>
        <v>0</v>
      </c>
      <c r="G500" s="609">
        <f t="shared" si="201"/>
        <v>0</v>
      </c>
      <c r="H500" s="609">
        <f t="shared" si="201"/>
        <v>0</v>
      </c>
      <c r="I500" s="609">
        <f t="shared" si="201"/>
        <v>0</v>
      </c>
      <c r="J500" s="609">
        <f t="shared" si="201"/>
        <v>0</v>
      </c>
      <c r="K500" s="609">
        <f t="shared" si="201"/>
        <v>0</v>
      </c>
      <c r="L500" s="609">
        <f t="shared" si="201"/>
        <v>0</v>
      </c>
      <c r="M500" s="609">
        <f t="shared" si="201"/>
        <v>0</v>
      </c>
      <c r="N500" s="609">
        <f t="shared" si="201"/>
        <v>0</v>
      </c>
      <c r="O500" s="609">
        <f t="shared" si="201"/>
        <v>0</v>
      </c>
      <c r="P500" s="609">
        <f t="shared" si="201"/>
        <v>0</v>
      </c>
      <c r="Q500" s="609">
        <f t="shared" si="201"/>
        <v>0</v>
      </c>
      <c r="R500" s="609">
        <f t="shared" si="201"/>
        <v>0</v>
      </c>
      <c r="S500" s="609">
        <f t="shared" si="201"/>
        <v>0</v>
      </c>
      <c r="T500" s="609">
        <f t="shared" si="201"/>
        <v>0</v>
      </c>
      <c r="U500" s="609">
        <f t="shared" si="201"/>
        <v>0</v>
      </c>
      <c r="V500" s="609">
        <f t="shared" si="201"/>
        <v>0</v>
      </c>
      <c r="W500" s="609">
        <f t="shared" si="201"/>
        <v>0</v>
      </c>
      <c r="X500" s="609">
        <f t="shared" si="201"/>
        <v>0</v>
      </c>
      <c r="Y500" s="609">
        <f t="shared" si="201"/>
        <v>0</v>
      </c>
      <c r="Z500" s="609">
        <f t="shared" si="201"/>
        <v>0</v>
      </c>
      <c r="AA500" s="609">
        <f t="shared" si="201"/>
        <v>0</v>
      </c>
      <c r="AB500" s="609">
        <f t="shared" si="201"/>
        <v>0</v>
      </c>
      <c r="AC500" s="609">
        <f t="shared" si="201"/>
        <v>0</v>
      </c>
      <c r="AD500" s="609">
        <f t="shared" si="201"/>
        <v>0</v>
      </c>
      <c r="AE500" s="609">
        <f t="shared" si="201"/>
        <v>0</v>
      </c>
      <c r="AF500" s="1015">
        <f t="shared" si="197"/>
        <v>0</v>
      </c>
    </row>
    <row r="501">
      <c r="A501" s="1185" t="s">
        <v>1035</v>
      </c>
      <c r="B501" s="609">
        <f t="shared" ref="B501:AE501" si="202">B240-B347</f>
        <v>0</v>
      </c>
      <c r="C501" s="609">
        <f t="shared" si="202"/>
        <v>0</v>
      </c>
      <c r="D501" s="609">
        <f t="shared" si="202"/>
        <v>0</v>
      </c>
      <c r="E501" s="609">
        <f t="shared" si="202"/>
        <v>0</v>
      </c>
      <c r="F501" s="609">
        <f t="shared" si="202"/>
        <v>0</v>
      </c>
      <c r="G501" s="609">
        <f t="shared" si="202"/>
        <v>0</v>
      </c>
      <c r="H501" s="609">
        <f t="shared" si="202"/>
        <v>0</v>
      </c>
      <c r="I501" s="609">
        <f t="shared" si="202"/>
        <v>0</v>
      </c>
      <c r="J501" s="609">
        <f t="shared" si="202"/>
        <v>0</v>
      </c>
      <c r="K501" s="609">
        <f t="shared" si="202"/>
        <v>0</v>
      </c>
      <c r="L501" s="609">
        <f t="shared" si="202"/>
        <v>0</v>
      </c>
      <c r="M501" s="609">
        <f t="shared" si="202"/>
        <v>0</v>
      </c>
      <c r="N501" s="609">
        <f t="shared" si="202"/>
        <v>0</v>
      </c>
      <c r="O501" s="609">
        <f t="shared" si="202"/>
        <v>0</v>
      </c>
      <c r="P501" s="609">
        <f t="shared" si="202"/>
        <v>0</v>
      </c>
      <c r="Q501" s="609">
        <f t="shared" si="202"/>
        <v>0</v>
      </c>
      <c r="R501" s="609">
        <f t="shared" si="202"/>
        <v>0</v>
      </c>
      <c r="S501" s="609">
        <f t="shared" si="202"/>
        <v>0</v>
      </c>
      <c r="T501" s="609">
        <f t="shared" si="202"/>
        <v>0</v>
      </c>
      <c r="U501" s="609">
        <f t="shared" si="202"/>
        <v>0</v>
      </c>
      <c r="V501" s="609">
        <f t="shared" si="202"/>
        <v>0</v>
      </c>
      <c r="W501" s="609">
        <f t="shared" si="202"/>
        <v>0</v>
      </c>
      <c r="X501" s="609">
        <f t="shared" si="202"/>
        <v>0</v>
      </c>
      <c r="Y501" s="609">
        <f t="shared" si="202"/>
        <v>0</v>
      </c>
      <c r="Z501" s="609">
        <f t="shared" si="202"/>
        <v>0</v>
      </c>
      <c r="AA501" s="609">
        <f t="shared" si="202"/>
        <v>0</v>
      </c>
      <c r="AB501" s="609">
        <f t="shared" si="202"/>
        <v>0</v>
      </c>
      <c r="AC501" s="609">
        <f t="shared" si="202"/>
        <v>0</v>
      </c>
      <c r="AD501" s="609">
        <f t="shared" si="202"/>
        <v>0</v>
      </c>
      <c r="AE501" s="609">
        <f t="shared" si="202"/>
        <v>0</v>
      </c>
      <c r="AF501" s="1015">
        <f t="shared" si="197"/>
        <v>0</v>
      </c>
    </row>
    <row r="502">
      <c r="A502" s="1196" t="s">
        <v>179</v>
      </c>
      <c r="B502" s="1197">
        <f t="shared" ref="B502:AE502" si="203">B496+B498+B500</f>
        <v>14</v>
      </c>
      <c r="C502" s="1197">
        <f t="shared" si="203"/>
        <v>24</v>
      </c>
      <c r="D502" s="1197">
        <f t="shared" si="203"/>
        <v>25</v>
      </c>
      <c r="E502" s="1197">
        <f t="shared" si="203"/>
        <v>41</v>
      </c>
      <c r="F502" s="1197">
        <f t="shared" si="203"/>
        <v>33</v>
      </c>
      <c r="G502" s="1197">
        <f t="shared" si="203"/>
        <v>22</v>
      </c>
      <c r="H502" s="1197">
        <f t="shared" si="203"/>
        <v>19</v>
      </c>
      <c r="I502" s="1197">
        <f t="shared" si="203"/>
        <v>11</v>
      </c>
      <c r="J502" s="1197">
        <f t="shared" si="203"/>
        <v>12</v>
      </c>
      <c r="K502" s="1197">
        <f t="shared" si="203"/>
        <v>13</v>
      </c>
      <c r="L502" s="1197">
        <f t="shared" si="203"/>
        <v>17</v>
      </c>
      <c r="M502" s="1197">
        <f t="shared" si="203"/>
        <v>19</v>
      </c>
      <c r="N502" s="1197">
        <f t="shared" si="203"/>
        <v>15</v>
      </c>
      <c r="O502" s="1197">
        <f t="shared" si="203"/>
        <v>20</v>
      </c>
      <c r="P502" s="1197">
        <f t="shared" si="203"/>
        <v>16</v>
      </c>
      <c r="Q502" s="1197">
        <f t="shared" si="203"/>
        <v>18</v>
      </c>
      <c r="R502" s="1197">
        <f t="shared" si="203"/>
        <v>20</v>
      </c>
      <c r="S502" s="1197">
        <f t="shared" si="203"/>
        <v>23</v>
      </c>
      <c r="T502" s="1197">
        <f t="shared" si="203"/>
        <v>17</v>
      </c>
      <c r="U502" s="1197">
        <f t="shared" si="203"/>
        <v>16</v>
      </c>
      <c r="V502" s="1197">
        <f t="shared" si="203"/>
        <v>18</v>
      </c>
      <c r="W502" s="1197">
        <f t="shared" si="203"/>
        <v>16</v>
      </c>
      <c r="X502" s="1197">
        <f t="shared" si="203"/>
        <v>18</v>
      </c>
      <c r="Y502" s="1197">
        <f t="shared" si="203"/>
        <v>6</v>
      </c>
      <c r="Z502" s="1197">
        <f t="shared" si="203"/>
        <v>5</v>
      </c>
      <c r="AA502" s="1197">
        <f t="shared" si="203"/>
        <v>6</v>
      </c>
      <c r="AB502" s="1197">
        <f t="shared" si="203"/>
        <v>13</v>
      </c>
      <c r="AC502" s="1197">
        <f t="shared" si="203"/>
        <v>16</v>
      </c>
      <c r="AD502" s="1197">
        <f t="shared" si="203"/>
        <v>12</v>
      </c>
      <c r="AE502" s="1197">
        <f t="shared" si="203"/>
        <v>14</v>
      </c>
      <c r="AF502" s="1015">
        <f t="shared" si="197"/>
        <v>519</v>
      </c>
    </row>
    <row r="503">
      <c r="A503" s="1196" t="s">
        <v>1005</v>
      </c>
      <c r="B503" s="1197">
        <f t="shared" ref="B503:AE503" si="204">B497+B499+B501</f>
        <v>16</v>
      </c>
      <c r="C503" s="1197">
        <f t="shared" si="204"/>
        <v>24</v>
      </c>
      <c r="D503" s="1197">
        <f t="shared" si="204"/>
        <v>31</v>
      </c>
      <c r="E503" s="1197">
        <f t="shared" si="204"/>
        <v>27</v>
      </c>
      <c r="F503" s="1197">
        <f t="shared" si="204"/>
        <v>27</v>
      </c>
      <c r="G503" s="1197">
        <f t="shared" si="204"/>
        <v>24</v>
      </c>
      <c r="H503" s="1197">
        <f t="shared" si="204"/>
        <v>23</v>
      </c>
      <c r="I503" s="1197">
        <f t="shared" si="204"/>
        <v>17</v>
      </c>
      <c r="J503" s="1197">
        <f t="shared" si="204"/>
        <v>17</v>
      </c>
      <c r="K503" s="1197">
        <f t="shared" si="204"/>
        <v>20</v>
      </c>
      <c r="L503" s="1197">
        <f t="shared" si="204"/>
        <v>17</v>
      </c>
      <c r="M503" s="1197">
        <f t="shared" si="204"/>
        <v>14</v>
      </c>
      <c r="N503" s="1197">
        <f t="shared" si="204"/>
        <v>16</v>
      </c>
      <c r="O503" s="1197">
        <f t="shared" si="204"/>
        <v>17</v>
      </c>
      <c r="P503" s="1197">
        <f t="shared" si="204"/>
        <v>15</v>
      </c>
      <c r="Q503" s="1197">
        <f t="shared" si="204"/>
        <v>29</v>
      </c>
      <c r="R503" s="1197">
        <f t="shared" si="204"/>
        <v>16</v>
      </c>
      <c r="S503" s="1197">
        <f t="shared" si="204"/>
        <v>20</v>
      </c>
      <c r="T503" s="1197">
        <f t="shared" si="204"/>
        <v>14</v>
      </c>
      <c r="U503" s="1197">
        <f t="shared" si="204"/>
        <v>17</v>
      </c>
      <c r="V503" s="1197">
        <f t="shared" si="204"/>
        <v>17</v>
      </c>
      <c r="W503" s="1197">
        <f t="shared" si="204"/>
        <v>17</v>
      </c>
      <c r="X503" s="1197">
        <f t="shared" si="204"/>
        <v>17</v>
      </c>
      <c r="Y503" s="1197">
        <f t="shared" si="204"/>
        <v>19</v>
      </c>
      <c r="Z503" s="1197">
        <f t="shared" si="204"/>
        <v>10</v>
      </c>
      <c r="AA503" s="1197">
        <f t="shared" si="204"/>
        <v>8</v>
      </c>
      <c r="AB503" s="1197">
        <f t="shared" si="204"/>
        <v>18</v>
      </c>
      <c r="AC503" s="1197">
        <f t="shared" si="204"/>
        <v>16</v>
      </c>
      <c r="AD503" s="1197">
        <f t="shared" si="204"/>
        <v>17</v>
      </c>
      <c r="AE503" s="1197">
        <f t="shared" si="204"/>
        <v>19</v>
      </c>
      <c r="AF503" s="1015">
        <f t="shared" si="197"/>
        <v>559</v>
      </c>
    </row>
    <row r="504">
      <c r="A504" s="20"/>
      <c r="B504" s="651"/>
      <c r="C504" s="651"/>
      <c r="D504" s="651"/>
      <c r="E504" s="651"/>
      <c r="F504" s="651"/>
      <c r="G504" s="651"/>
      <c r="H504" s="651"/>
      <c r="I504" s="651"/>
      <c r="J504" s="651"/>
      <c r="K504" s="651"/>
      <c r="L504" s="651"/>
      <c r="M504" s="651"/>
      <c r="N504" s="651"/>
      <c r="O504" s="651"/>
      <c r="P504" s="651"/>
      <c r="Q504" s="651"/>
      <c r="R504" s="651"/>
      <c r="S504" s="651"/>
      <c r="T504" s="651"/>
      <c r="U504" s="651"/>
      <c r="V504" s="651"/>
      <c r="W504" s="651"/>
      <c r="X504" s="651"/>
      <c r="Y504" s="651"/>
      <c r="Z504" s="651"/>
      <c r="AA504" s="651"/>
      <c r="AB504" s="651"/>
      <c r="AC504" s="651"/>
      <c r="AD504" s="651"/>
      <c r="AE504" s="651"/>
      <c r="AF504" s="1015"/>
    </row>
    <row r="505">
      <c r="A505" s="1185" t="s">
        <v>958</v>
      </c>
      <c r="B505" s="331">
        <f t="shared" ref="B505:AE505" si="205">B246-B351</f>
        <v>19</v>
      </c>
      <c r="C505" s="331">
        <f t="shared" si="205"/>
        <v>27</v>
      </c>
      <c r="D505" s="331">
        <f t="shared" si="205"/>
        <v>39</v>
      </c>
      <c r="E505" s="331">
        <f t="shared" si="205"/>
        <v>32</v>
      </c>
      <c r="F505" s="331">
        <f t="shared" si="205"/>
        <v>30</v>
      </c>
      <c r="G505" s="331">
        <f t="shared" si="205"/>
        <v>27</v>
      </c>
      <c r="H505" s="331">
        <f t="shared" si="205"/>
        <v>17</v>
      </c>
      <c r="I505" s="331">
        <f t="shared" si="205"/>
        <v>11</v>
      </c>
      <c r="J505" s="331">
        <f t="shared" si="205"/>
        <v>14</v>
      </c>
      <c r="K505" s="331">
        <f t="shared" si="205"/>
        <v>22</v>
      </c>
      <c r="L505" s="331">
        <f t="shared" si="205"/>
        <v>27</v>
      </c>
      <c r="M505" s="331">
        <f t="shared" si="205"/>
        <v>17</v>
      </c>
      <c r="N505" s="331">
        <f t="shared" si="205"/>
        <v>13</v>
      </c>
      <c r="O505" s="331">
        <f t="shared" si="205"/>
        <v>24</v>
      </c>
      <c r="P505" s="331">
        <f t="shared" si="205"/>
        <v>21</v>
      </c>
      <c r="Q505" s="331">
        <f t="shared" si="205"/>
        <v>26</v>
      </c>
      <c r="R505" s="331">
        <f t="shared" si="205"/>
        <v>22</v>
      </c>
      <c r="S505" s="331">
        <f t="shared" si="205"/>
        <v>33</v>
      </c>
      <c r="T505" s="331">
        <f t="shared" si="205"/>
        <v>29</v>
      </c>
      <c r="U505" s="331">
        <f t="shared" si="205"/>
        <v>20</v>
      </c>
      <c r="V505" s="331">
        <f t="shared" si="205"/>
        <v>18</v>
      </c>
      <c r="W505" s="331">
        <f t="shared" si="205"/>
        <v>20</v>
      </c>
      <c r="X505" s="331">
        <f t="shared" si="205"/>
        <v>18</v>
      </c>
      <c r="Y505" s="331">
        <f t="shared" si="205"/>
        <v>25</v>
      </c>
      <c r="Z505" s="331">
        <f t="shared" si="205"/>
        <v>19</v>
      </c>
      <c r="AA505" s="331">
        <f t="shared" si="205"/>
        <v>15</v>
      </c>
      <c r="AB505" s="331">
        <f t="shared" si="205"/>
        <v>28</v>
      </c>
      <c r="AC505" s="331">
        <f t="shared" si="205"/>
        <v>21</v>
      </c>
      <c r="AD505" s="331">
        <f t="shared" si="205"/>
        <v>18</v>
      </c>
      <c r="AE505" s="331">
        <f t="shared" si="205"/>
        <v>17</v>
      </c>
      <c r="AF505" s="1015">
        <f t="shared" ref="AF505:AF511" si="207">SUM(B505:AE505)</f>
        <v>669</v>
      </c>
    </row>
    <row r="506">
      <c r="A506" s="1185" t="s">
        <v>959</v>
      </c>
      <c r="B506" s="331">
        <f t="shared" ref="B506:AE506" si="206">B247-B352</f>
        <v>0</v>
      </c>
      <c r="C506" s="331">
        <f t="shared" si="206"/>
        <v>0</v>
      </c>
      <c r="D506" s="331">
        <f t="shared" si="206"/>
        <v>0</v>
      </c>
      <c r="E506" s="331">
        <f t="shared" si="206"/>
        <v>0</v>
      </c>
      <c r="F506" s="331">
        <f t="shared" si="206"/>
        <v>0</v>
      </c>
      <c r="G506" s="331">
        <f t="shared" si="206"/>
        <v>0</v>
      </c>
      <c r="H506" s="331">
        <f t="shared" si="206"/>
        <v>0</v>
      </c>
      <c r="I506" s="331">
        <f t="shared" si="206"/>
        <v>0</v>
      </c>
      <c r="J506" s="331">
        <f t="shared" si="206"/>
        <v>0</v>
      </c>
      <c r="K506" s="331">
        <f t="shared" si="206"/>
        <v>0</v>
      </c>
      <c r="L506" s="331">
        <f t="shared" si="206"/>
        <v>0</v>
      </c>
      <c r="M506" s="331">
        <f t="shared" si="206"/>
        <v>0</v>
      </c>
      <c r="N506" s="331">
        <f t="shared" si="206"/>
        <v>0</v>
      </c>
      <c r="O506" s="331">
        <f t="shared" si="206"/>
        <v>0</v>
      </c>
      <c r="P506" s="331">
        <f t="shared" si="206"/>
        <v>0</v>
      </c>
      <c r="Q506" s="331">
        <f t="shared" si="206"/>
        <v>0</v>
      </c>
      <c r="R506" s="331">
        <f t="shared" si="206"/>
        <v>0</v>
      </c>
      <c r="S506" s="331">
        <f t="shared" si="206"/>
        <v>0</v>
      </c>
      <c r="T506" s="331">
        <f t="shared" si="206"/>
        <v>0</v>
      </c>
      <c r="U506" s="331">
        <f t="shared" si="206"/>
        <v>0</v>
      </c>
      <c r="V506" s="331">
        <f t="shared" si="206"/>
        <v>0</v>
      </c>
      <c r="W506" s="331">
        <f t="shared" si="206"/>
        <v>0</v>
      </c>
      <c r="X506" s="331">
        <f t="shared" si="206"/>
        <v>-1</v>
      </c>
      <c r="Y506" s="331">
        <f t="shared" si="206"/>
        <v>0</v>
      </c>
      <c r="Z506" s="331">
        <f t="shared" si="206"/>
        <v>0</v>
      </c>
      <c r="AA506" s="331">
        <f t="shared" si="206"/>
        <v>0</v>
      </c>
      <c r="AB506" s="331">
        <f t="shared" si="206"/>
        <v>0</v>
      </c>
      <c r="AC506" s="331">
        <f t="shared" si="206"/>
        <v>0</v>
      </c>
      <c r="AD506" s="331">
        <f t="shared" si="206"/>
        <v>0</v>
      </c>
      <c r="AE506" s="331">
        <f t="shared" si="206"/>
        <v>0</v>
      </c>
      <c r="AF506" s="1015">
        <f t="shared" si="207"/>
        <v>-1</v>
      </c>
    </row>
    <row r="507">
      <c r="A507" s="1185" t="s">
        <v>960</v>
      </c>
      <c r="B507" s="331">
        <f t="shared" ref="B507:AE507" si="208">B248-B353</f>
        <v>9</v>
      </c>
      <c r="C507" s="331">
        <f t="shared" si="208"/>
        <v>17</v>
      </c>
      <c r="D507" s="331">
        <f t="shared" si="208"/>
        <v>21</v>
      </c>
      <c r="E507" s="331">
        <f t="shared" si="208"/>
        <v>22</v>
      </c>
      <c r="F507" s="331">
        <f t="shared" si="208"/>
        <v>20</v>
      </c>
      <c r="G507" s="331">
        <f t="shared" si="208"/>
        <v>18</v>
      </c>
      <c r="H507" s="331">
        <f t="shared" si="208"/>
        <v>10</v>
      </c>
      <c r="I507" s="331">
        <f t="shared" si="208"/>
        <v>8</v>
      </c>
      <c r="J507" s="331">
        <f t="shared" si="208"/>
        <v>7</v>
      </c>
      <c r="K507" s="331">
        <f t="shared" si="208"/>
        <v>19</v>
      </c>
      <c r="L507" s="331">
        <f t="shared" si="208"/>
        <v>17</v>
      </c>
      <c r="M507" s="331">
        <f t="shared" si="208"/>
        <v>10</v>
      </c>
      <c r="N507" s="331">
        <f t="shared" si="208"/>
        <v>11</v>
      </c>
      <c r="O507" s="331">
        <f t="shared" si="208"/>
        <v>19</v>
      </c>
      <c r="P507" s="331">
        <f t="shared" si="208"/>
        <v>10</v>
      </c>
      <c r="Q507" s="331">
        <f t="shared" si="208"/>
        <v>18</v>
      </c>
      <c r="R507" s="331">
        <f t="shared" si="208"/>
        <v>13</v>
      </c>
      <c r="S507" s="331">
        <f t="shared" si="208"/>
        <v>20</v>
      </c>
      <c r="T507" s="331">
        <f t="shared" si="208"/>
        <v>27</v>
      </c>
      <c r="U507" s="331">
        <f t="shared" si="208"/>
        <v>12</v>
      </c>
      <c r="V507" s="331">
        <f t="shared" si="208"/>
        <v>12</v>
      </c>
      <c r="W507" s="331">
        <f t="shared" si="208"/>
        <v>13</v>
      </c>
      <c r="X507" s="331">
        <f t="shared" si="208"/>
        <v>12</v>
      </c>
      <c r="Y507" s="331">
        <f t="shared" si="208"/>
        <v>17</v>
      </c>
      <c r="Z507" s="331">
        <f t="shared" si="208"/>
        <v>16</v>
      </c>
      <c r="AA507" s="331">
        <f t="shared" si="208"/>
        <v>5</v>
      </c>
      <c r="AB507" s="331">
        <f t="shared" si="208"/>
        <v>15</v>
      </c>
      <c r="AC507" s="331">
        <f t="shared" si="208"/>
        <v>15</v>
      </c>
      <c r="AD507" s="331">
        <f t="shared" si="208"/>
        <v>10</v>
      </c>
      <c r="AE507" s="331">
        <f t="shared" si="208"/>
        <v>18</v>
      </c>
      <c r="AF507" s="1015">
        <f t="shared" si="207"/>
        <v>441</v>
      </c>
    </row>
    <row r="508">
      <c r="A508" s="1185" t="s">
        <v>1036</v>
      </c>
      <c r="B508" s="331">
        <f t="shared" ref="B508:AE508" si="209">B249-B354</f>
        <v>6</v>
      </c>
      <c r="C508" s="331">
        <f t="shared" si="209"/>
        <v>17</v>
      </c>
      <c r="D508" s="331">
        <f t="shared" si="209"/>
        <v>24</v>
      </c>
      <c r="E508" s="331">
        <f t="shared" si="209"/>
        <v>19</v>
      </c>
      <c r="F508" s="331">
        <f t="shared" si="209"/>
        <v>18</v>
      </c>
      <c r="G508" s="331">
        <f t="shared" si="209"/>
        <v>16</v>
      </c>
      <c r="H508" s="331">
        <f t="shared" si="209"/>
        <v>11</v>
      </c>
      <c r="I508" s="331">
        <f t="shared" si="209"/>
        <v>8</v>
      </c>
      <c r="J508" s="331">
        <f t="shared" si="209"/>
        <v>6</v>
      </c>
      <c r="K508" s="331">
        <f t="shared" si="209"/>
        <v>10</v>
      </c>
      <c r="L508" s="331">
        <f t="shared" si="209"/>
        <v>13</v>
      </c>
      <c r="M508" s="331">
        <f t="shared" si="209"/>
        <v>11</v>
      </c>
      <c r="N508" s="331">
        <f t="shared" si="209"/>
        <v>5</v>
      </c>
      <c r="O508" s="331">
        <f t="shared" si="209"/>
        <v>5</v>
      </c>
      <c r="P508" s="331">
        <f t="shared" si="209"/>
        <v>4</v>
      </c>
      <c r="Q508" s="331">
        <f t="shared" si="209"/>
        <v>12</v>
      </c>
      <c r="R508" s="331">
        <f t="shared" si="209"/>
        <v>5</v>
      </c>
      <c r="S508" s="331">
        <f t="shared" si="209"/>
        <v>67</v>
      </c>
      <c r="T508" s="331">
        <f t="shared" si="209"/>
        <v>32</v>
      </c>
      <c r="U508" s="331">
        <f t="shared" si="209"/>
        <v>19</v>
      </c>
      <c r="V508" s="331">
        <f t="shared" si="209"/>
        <v>20</v>
      </c>
      <c r="W508" s="331">
        <f t="shared" si="209"/>
        <v>18</v>
      </c>
      <c r="X508" s="331">
        <f t="shared" si="209"/>
        <v>19</v>
      </c>
      <c r="Y508" s="331">
        <f t="shared" si="209"/>
        <v>8</v>
      </c>
      <c r="Z508" s="331">
        <f t="shared" si="209"/>
        <v>6</v>
      </c>
      <c r="AA508" s="331">
        <f t="shared" si="209"/>
        <v>6</v>
      </c>
      <c r="AB508" s="331">
        <f t="shared" si="209"/>
        <v>5</v>
      </c>
      <c r="AC508" s="331">
        <f t="shared" si="209"/>
        <v>5</v>
      </c>
      <c r="AD508" s="331">
        <f t="shared" si="209"/>
        <v>7</v>
      </c>
      <c r="AE508" s="331">
        <f t="shared" si="209"/>
        <v>7</v>
      </c>
      <c r="AF508" s="1015">
        <f t="shared" si="207"/>
        <v>409</v>
      </c>
    </row>
    <row r="509">
      <c r="A509" s="1185" t="s">
        <v>1037</v>
      </c>
      <c r="B509" s="331">
        <f t="shared" ref="B509:AE509" si="210">B251-B355</f>
        <v>2</v>
      </c>
      <c r="C509" s="331">
        <f t="shared" si="210"/>
        <v>4</v>
      </c>
      <c r="D509" s="331">
        <f t="shared" si="210"/>
        <v>7</v>
      </c>
      <c r="E509" s="331">
        <f t="shared" si="210"/>
        <v>6</v>
      </c>
      <c r="F509" s="331">
        <f t="shared" si="210"/>
        <v>6</v>
      </c>
      <c r="G509" s="331">
        <f t="shared" si="210"/>
        <v>8</v>
      </c>
      <c r="H509" s="331">
        <f t="shared" si="210"/>
        <v>5</v>
      </c>
      <c r="I509" s="331">
        <f t="shared" si="210"/>
        <v>3</v>
      </c>
      <c r="J509" s="331">
        <f t="shared" si="210"/>
        <v>-1</v>
      </c>
      <c r="K509" s="331">
        <f t="shared" si="210"/>
        <v>5</v>
      </c>
      <c r="L509" s="331">
        <f t="shared" si="210"/>
        <v>5</v>
      </c>
      <c r="M509" s="331">
        <f t="shared" si="210"/>
        <v>3</v>
      </c>
      <c r="N509" s="331">
        <f t="shared" si="210"/>
        <v>3</v>
      </c>
      <c r="O509" s="331">
        <f t="shared" si="210"/>
        <v>4</v>
      </c>
      <c r="P509" s="331">
        <f t="shared" si="210"/>
        <v>6</v>
      </c>
      <c r="Q509" s="331">
        <f t="shared" si="210"/>
        <v>4</v>
      </c>
      <c r="R509" s="331">
        <f t="shared" si="210"/>
        <v>7</v>
      </c>
      <c r="S509" s="331">
        <f t="shared" si="210"/>
        <v>5</v>
      </c>
      <c r="T509" s="331">
        <f t="shared" si="210"/>
        <v>4</v>
      </c>
      <c r="U509" s="331">
        <f t="shared" si="210"/>
        <v>4</v>
      </c>
      <c r="V509" s="331">
        <f t="shared" si="210"/>
        <v>6</v>
      </c>
      <c r="W509" s="331">
        <f t="shared" si="210"/>
        <v>4</v>
      </c>
      <c r="X509" s="331">
        <f t="shared" si="210"/>
        <v>6</v>
      </c>
      <c r="Y509" s="331">
        <f t="shared" si="210"/>
        <v>3</v>
      </c>
      <c r="Z509" s="331">
        <f t="shared" si="210"/>
        <v>4</v>
      </c>
      <c r="AA509" s="331">
        <f t="shared" si="210"/>
        <v>4</v>
      </c>
      <c r="AB509" s="331">
        <f t="shared" si="210"/>
        <v>4</v>
      </c>
      <c r="AC509" s="331">
        <f t="shared" si="210"/>
        <v>2</v>
      </c>
      <c r="AD509" s="331">
        <f t="shared" si="210"/>
        <v>8</v>
      </c>
      <c r="AE509" s="331">
        <f t="shared" si="210"/>
        <v>2</v>
      </c>
      <c r="AF509" s="1015">
        <f t="shared" si="207"/>
        <v>133</v>
      </c>
    </row>
    <row r="510">
      <c r="A510" s="1185" t="s">
        <v>1038</v>
      </c>
      <c r="B510" s="331">
        <f t="shared" ref="B510:AE510" si="211">B253-B356</f>
        <v>0</v>
      </c>
      <c r="C510" s="331">
        <f t="shared" si="211"/>
        <v>0</v>
      </c>
      <c r="D510" s="331">
        <f t="shared" si="211"/>
        <v>0</v>
      </c>
      <c r="E510" s="331">
        <f t="shared" si="211"/>
        <v>0</v>
      </c>
      <c r="F510" s="331">
        <f t="shared" si="211"/>
        <v>0</v>
      </c>
      <c r="G510" s="331">
        <f t="shared" si="211"/>
        <v>0</v>
      </c>
      <c r="H510" s="331">
        <f t="shared" si="211"/>
        <v>0</v>
      </c>
      <c r="I510" s="331">
        <f t="shared" si="211"/>
        <v>0</v>
      </c>
      <c r="J510" s="331">
        <f t="shared" si="211"/>
        <v>0</v>
      </c>
      <c r="K510" s="331">
        <f t="shared" si="211"/>
        <v>0</v>
      </c>
      <c r="L510" s="331">
        <f t="shared" si="211"/>
        <v>0</v>
      </c>
      <c r="M510" s="331">
        <f t="shared" si="211"/>
        <v>0</v>
      </c>
      <c r="N510" s="331">
        <f t="shared" si="211"/>
        <v>0</v>
      </c>
      <c r="O510" s="331">
        <f t="shared" si="211"/>
        <v>0</v>
      </c>
      <c r="P510" s="331">
        <f t="shared" si="211"/>
        <v>0</v>
      </c>
      <c r="Q510" s="331">
        <f t="shared" si="211"/>
        <v>0</v>
      </c>
      <c r="R510" s="331">
        <f t="shared" si="211"/>
        <v>0</v>
      </c>
      <c r="S510" s="331">
        <f t="shared" si="211"/>
        <v>363</v>
      </c>
      <c r="T510" s="331">
        <f t="shared" si="211"/>
        <v>168</v>
      </c>
      <c r="U510" s="331">
        <f t="shared" si="211"/>
        <v>78</v>
      </c>
      <c r="V510" s="331">
        <f t="shared" si="211"/>
        <v>51</v>
      </c>
      <c r="W510" s="331">
        <f t="shared" si="211"/>
        <v>78</v>
      </c>
      <c r="X510" s="331">
        <f t="shared" si="211"/>
        <v>51</v>
      </c>
      <c r="Y510" s="331">
        <f t="shared" si="211"/>
        <v>44</v>
      </c>
      <c r="Z510" s="331">
        <f t="shared" si="211"/>
        <v>33</v>
      </c>
      <c r="AA510" s="331">
        <f t="shared" si="211"/>
        <v>23</v>
      </c>
      <c r="AB510" s="331">
        <f t="shared" si="211"/>
        <v>30</v>
      </c>
      <c r="AC510" s="331">
        <f t="shared" si="211"/>
        <v>26</v>
      </c>
      <c r="AD510" s="331">
        <f t="shared" si="211"/>
        <v>26</v>
      </c>
      <c r="AE510" s="331">
        <f t="shared" si="211"/>
        <v>25</v>
      </c>
      <c r="AF510" s="1015">
        <f t="shared" si="207"/>
        <v>996</v>
      </c>
    </row>
    <row r="511">
      <c r="A511" s="1213" t="s">
        <v>581</v>
      </c>
      <c r="B511" s="1197">
        <f t="shared" ref="B511:AE511" si="212">SUM(B505:B509)</f>
        <v>36</v>
      </c>
      <c r="C511" s="1197">
        <f t="shared" si="212"/>
        <v>65</v>
      </c>
      <c r="D511" s="1197">
        <f t="shared" si="212"/>
        <v>91</v>
      </c>
      <c r="E511" s="1197">
        <f t="shared" si="212"/>
        <v>79</v>
      </c>
      <c r="F511" s="1197">
        <f t="shared" si="212"/>
        <v>74</v>
      </c>
      <c r="G511" s="1197">
        <f t="shared" si="212"/>
        <v>69</v>
      </c>
      <c r="H511" s="1197">
        <f t="shared" si="212"/>
        <v>43</v>
      </c>
      <c r="I511" s="1197">
        <f t="shared" si="212"/>
        <v>30</v>
      </c>
      <c r="J511" s="1197">
        <f t="shared" si="212"/>
        <v>26</v>
      </c>
      <c r="K511" s="1197">
        <f t="shared" si="212"/>
        <v>56</v>
      </c>
      <c r="L511" s="1197">
        <f t="shared" si="212"/>
        <v>62</v>
      </c>
      <c r="M511" s="1197">
        <f t="shared" si="212"/>
        <v>41</v>
      </c>
      <c r="N511" s="1197">
        <f t="shared" si="212"/>
        <v>32</v>
      </c>
      <c r="O511" s="1197">
        <f t="shared" si="212"/>
        <v>52</v>
      </c>
      <c r="P511" s="1197">
        <f t="shared" si="212"/>
        <v>41</v>
      </c>
      <c r="Q511" s="1197">
        <f t="shared" si="212"/>
        <v>60</v>
      </c>
      <c r="R511" s="1197">
        <f t="shared" si="212"/>
        <v>47</v>
      </c>
      <c r="S511" s="1197">
        <f t="shared" si="212"/>
        <v>125</v>
      </c>
      <c r="T511" s="1197">
        <f t="shared" si="212"/>
        <v>92</v>
      </c>
      <c r="U511" s="1197">
        <f t="shared" si="212"/>
        <v>55</v>
      </c>
      <c r="V511" s="1197">
        <f t="shared" si="212"/>
        <v>56</v>
      </c>
      <c r="W511" s="1197">
        <f t="shared" si="212"/>
        <v>55</v>
      </c>
      <c r="X511" s="1197">
        <f t="shared" si="212"/>
        <v>54</v>
      </c>
      <c r="Y511" s="1197">
        <f t="shared" si="212"/>
        <v>53</v>
      </c>
      <c r="Z511" s="1197">
        <f t="shared" si="212"/>
        <v>45</v>
      </c>
      <c r="AA511" s="1197">
        <f t="shared" si="212"/>
        <v>30</v>
      </c>
      <c r="AB511" s="1197">
        <f t="shared" si="212"/>
        <v>52</v>
      </c>
      <c r="AC511" s="1197">
        <f t="shared" si="212"/>
        <v>43</v>
      </c>
      <c r="AD511" s="1197">
        <f t="shared" si="212"/>
        <v>43</v>
      </c>
      <c r="AE511" s="1197">
        <f t="shared" si="212"/>
        <v>44</v>
      </c>
      <c r="AF511" s="1015">
        <f t="shared" si="207"/>
        <v>1651</v>
      </c>
    </row>
    <row r="512">
      <c r="A512" s="20"/>
      <c r="B512" s="651"/>
      <c r="C512" s="651"/>
      <c r="D512" s="651"/>
      <c r="E512" s="651"/>
      <c r="F512" s="651"/>
      <c r="G512" s="651"/>
      <c r="H512" s="651"/>
      <c r="I512" s="651"/>
      <c r="J512" s="651"/>
      <c r="K512" s="651"/>
      <c r="L512" s="651"/>
      <c r="M512" s="651"/>
      <c r="N512" s="651"/>
      <c r="O512" s="651"/>
      <c r="P512" s="651"/>
      <c r="Q512" s="651"/>
      <c r="R512" s="651"/>
      <c r="S512" s="651"/>
      <c r="T512" s="651"/>
      <c r="U512" s="651"/>
      <c r="V512" s="651"/>
      <c r="W512" s="651"/>
      <c r="X512" s="651"/>
      <c r="Y512" s="651"/>
      <c r="Z512" s="651"/>
      <c r="AA512" s="651"/>
      <c r="AB512" s="651"/>
      <c r="AC512" s="651"/>
      <c r="AD512" s="651"/>
      <c r="AE512" s="651"/>
      <c r="AF512" s="1015"/>
    </row>
    <row r="513">
      <c r="A513" s="1185" t="s">
        <v>968</v>
      </c>
      <c r="B513" s="331">
        <f t="shared" ref="B513:S513" si="213">B258-B359</f>
        <v>1</v>
      </c>
      <c r="C513" s="331">
        <f t="shared" si="213"/>
        <v>6</v>
      </c>
      <c r="D513" s="331">
        <f t="shared" si="213"/>
        <v>7</v>
      </c>
      <c r="E513" s="331">
        <f t="shared" si="213"/>
        <v>7</v>
      </c>
      <c r="F513" s="331">
        <f t="shared" si="213"/>
        <v>5</v>
      </c>
      <c r="G513" s="331">
        <f t="shared" si="213"/>
        <v>1</v>
      </c>
      <c r="H513" s="331">
        <f t="shared" si="213"/>
        <v>3</v>
      </c>
      <c r="I513" s="331">
        <f t="shared" si="213"/>
        <v>2</v>
      </c>
      <c r="J513" s="331">
        <f t="shared" si="213"/>
        <v>3</v>
      </c>
      <c r="K513" s="331">
        <f t="shared" si="213"/>
        <v>5</v>
      </c>
      <c r="L513" s="331">
        <f t="shared" si="213"/>
        <v>3</v>
      </c>
      <c r="M513" s="331">
        <f t="shared" si="213"/>
        <v>2</v>
      </c>
      <c r="N513" s="331">
        <f t="shared" si="213"/>
        <v>4</v>
      </c>
      <c r="O513" s="331">
        <f t="shared" si="213"/>
        <v>1</v>
      </c>
      <c r="P513" s="331">
        <f t="shared" si="213"/>
        <v>0</v>
      </c>
      <c r="Q513" s="331">
        <f t="shared" si="213"/>
        <v>4</v>
      </c>
      <c r="R513" s="331">
        <f t="shared" si="213"/>
        <v>1</v>
      </c>
      <c r="S513" s="331">
        <f t="shared" si="213"/>
        <v>2</v>
      </c>
      <c r="T513" s="331">
        <f>T233-T359</f>
        <v>3</v>
      </c>
      <c r="U513" s="331">
        <f t="shared" ref="U513:AE513" si="214">U258-U359</f>
        <v>2</v>
      </c>
      <c r="V513" s="331">
        <f t="shared" si="214"/>
        <v>0</v>
      </c>
      <c r="W513" s="331">
        <f t="shared" si="214"/>
        <v>2</v>
      </c>
      <c r="X513" s="331">
        <f t="shared" si="214"/>
        <v>0</v>
      </c>
      <c r="Y513" s="331">
        <f t="shared" si="214"/>
        <v>4</v>
      </c>
      <c r="Z513" s="331">
        <f t="shared" si="214"/>
        <v>6</v>
      </c>
      <c r="AA513" s="331">
        <f t="shared" si="214"/>
        <v>3</v>
      </c>
      <c r="AB513" s="331">
        <f t="shared" si="214"/>
        <v>1</v>
      </c>
      <c r="AC513" s="331">
        <f t="shared" si="214"/>
        <v>4</v>
      </c>
      <c r="AD513" s="331">
        <f t="shared" si="214"/>
        <v>2</v>
      </c>
      <c r="AE513" s="331">
        <f t="shared" si="214"/>
        <v>1</v>
      </c>
      <c r="AF513" s="1015">
        <f t="shared" ref="AF513:AF519" si="216">SUM(B513:AE513)</f>
        <v>85</v>
      </c>
    </row>
    <row r="514">
      <c r="A514" s="1185" t="s">
        <v>969</v>
      </c>
      <c r="B514" s="331">
        <f t="shared" ref="B514:AE514" si="215">B259-B360</f>
        <v>0</v>
      </c>
      <c r="C514" s="331">
        <f t="shared" si="215"/>
        <v>0</v>
      </c>
      <c r="D514" s="331">
        <f t="shared" si="215"/>
        <v>0</v>
      </c>
      <c r="E514" s="331">
        <f t="shared" si="215"/>
        <v>0</v>
      </c>
      <c r="F514" s="331">
        <f t="shared" si="215"/>
        <v>0</v>
      </c>
      <c r="G514" s="331">
        <f t="shared" si="215"/>
        <v>0</v>
      </c>
      <c r="H514" s="331">
        <f t="shared" si="215"/>
        <v>0</v>
      </c>
      <c r="I514" s="331">
        <f t="shared" si="215"/>
        <v>0</v>
      </c>
      <c r="J514" s="331">
        <f t="shared" si="215"/>
        <v>0</v>
      </c>
      <c r="K514" s="331">
        <f t="shared" si="215"/>
        <v>0</v>
      </c>
      <c r="L514" s="331">
        <f t="shared" si="215"/>
        <v>0</v>
      </c>
      <c r="M514" s="331">
        <f t="shared" si="215"/>
        <v>0</v>
      </c>
      <c r="N514" s="331">
        <f t="shared" si="215"/>
        <v>0</v>
      </c>
      <c r="O514" s="331">
        <f t="shared" si="215"/>
        <v>0</v>
      </c>
      <c r="P514" s="331">
        <f t="shared" si="215"/>
        <v>0</v>
      </c>
      <c r="Q514" s="331">
        <f t="shared" si="215"/>
        <v>0</v>
      </c>
      <c r="R514" s="331">
        <f t="shared" si="215"/>
        <v>0</v>
      </c>
      <c r="S514" s="331">
        <f t="shared" si="215"/>
        <v>0</v>
      </c>
      <c r="T514" s="331">
        <f t="shared" si="215"/>
        <v>0</v>
      </c>
      <c r="U514" s="331">
        <f t="shared" si="215"/>
        <v>0</v>
      </c>
      <c r="V514" s="331">
        <f t="shared" si="215"/>
        <v>0</v>
      </c>
      <c r="W514" s="331">
        <f t="shared" si="215"/>
        <v>0</v>
      </c>
      <c r="X514" s="331">
        <f t="shared" si="215"/>
        <v>0</v>
      </c>
      <c r="Y514" s="331">
        <f t="shared" si="215"/>
        <v>0</v>
      </c>
      <c r="Z514" s="331">
        <f t="shared" si="215"/>
        <v>0</v>
      </c>
      <c r="AA514" s="331">
        <f t="shared" si="215"/>
        <v>0</v>
      </c>
      <c r="AB514" s="331">
        <f t="shared" si="215"/>
        <v>0</v>
      </c>
      <c r="AC514" s="331">
        <f t="shared" si="215"/>
        <v>0</v>
      </c>
      <c r="AD514" s="331">
        <f t="shared" si="215"/>
        <v>0</v>
      </c>
      <c r="AE514" s="331">
        <f t="shared" si="215"/>
        <v>0</v>
      </c>
      <c r="AF514" s="1015">
        <f t="shared" si="216"/>
        <v>0</v>
      </c>
    </row>
    <row r="515">
      <c r="A515" s="1185" t="s">
        <v>970</v>
      </c>
      <c r="B515" s="331">
        <f t="shared" ref="B515:AE515" si="217">B260-B361</f>
        <v>1</v>
      </c>
      <c r="C515" s="331">
        <f t="shared" si="217"/>
        <v>4</v>
      </c>
      <c r="D515" s="331">
        <f t="shared" si="217"/>
        <v>5</v>
      </c>
      <c r="E515" s="331">
        <f t="shared" si="217"/>
        <v>3</v>
      </c>
      <c r="F515" s="331">
        <f t="shared" si="217"/>
        <v>3</v>
      </c>
      <c r="G515" s="331">
        <f t="shared" si="217"/>
        <v>1</v>
      </c>
      <c r="H515" s="331">
        <f t="shared" si="217"/>
        <v>4</v>
      </c>
      <c r="I515" s="331">
        <f t="shared" si="217"/>
        <v>1</v>
      </c>
      <c r="J515" s="331">
        <f t="shared" si="217"/>
        <v>2</v>
      </c>
      <c r="K515" s="331">
        <f t="shared" si="217"/>
        <v>3</v>
      </c>
      <c r="L515" s="331">
        <f t="shared" si="217"/>
        <v>0</v>
      </c>
      <c r="M515" s="331">
        <f t="shared" si="217"/>
        <v>2</v>
      </c>
      <c r="N515" s="331">
        <f t="shared" si="217"/>
        <v>2</v>
      </c>
      <c r="O515" s="331">
        <f t="shared" si="217"/>
        <v>2</v>
      </c>
      <c r="P515" s="331">
        <f t="shared" si="217"/>
        <v>0</v>
      </c>
      <c r="Q515" s="331">
        <f t="shared" si="217"/>
        <v>1</v>
      </c>
      <c r="R515" s="331">
        <f t="shared" si="217"/>
        <v>0</v>
      </c>
      <c r="S515" s="331">
        <f t="shared" si="217"/>
        <v>5</v>
      </c>
      <c r="T515" s="331">
        <f t="shared" si="217"/>
        <v>6</v>
      </c>
      <c r="U515" s="331">
        <f t="shared" si="217"/>
        <v>3</v>
      </c>
      <c r="V515" s="331">
        <f t="shared" si="217"/>
        <v>0</v>
      </c>
      <c r="W515" s="331">
        <f t="shared" si="217"/>
        <v>3</v>
      </c>
      <c r="X515" s="331">
        <f t="shared" si="217"/>
        <v>0</v>
      </c>
      <c r="Y515" s="331">
        <f t="shared" si="217"/>
        <v>4</v>
      </c>
      <c r="Z515" s="331">
        <f t="shared" si="217"/>
        <v>6</v>
      </c>
      <c r="AA515" s="331">
        <f t="shared" si="217"/>
        <v>3</v>
      </c>
      <c r="AB515" s="331">
        <f t="shared" si="217"/>
        <v>4</v>
      </c>
      <c r="AC515" s="331">
        <f t="shared" si="217"/>
        <v>4</v>
      </c>
      <c r="AD515" s="331">
        <f t="shared" si="217"/>
        <v>3</v>
      </c>
      <c r="AE515" s="331">
        <f t="shared" si="217"/>
        <v>2</v>
      </c>
      <c r="AF515" s="1015">
        <f t="shared" si="216"/>
        <v>77</v>
      </c>
    </row>
    <row r="516">
      <c r="A516" s="1185" t="s">
        <v>1039</v>
      </c>
      <c r="B516" s="331">
        <f t="shared" ref="B516:AE516" si="218">B261-B362</f>
        <v>1</v>
      </c>
      <c r="C516" s="331">
        <f t="shared" si="218"/>
        <v>1</v>
      </c>
      <c r="D516" s="331">
        <f t="shared" si="218"/>
        <v>3</v>
      </c>
      <c r="E516" s="331">
        <f t="shared" si="218"/>
        <v>3</v>
      </c>
      <c r="F516" s="331">
        <f t="shared" si="218"/>
        <v>3</v>
      </c>
      <c r="G516" s="331">
        <f t="shared" si="218"/>
        <v>1</v>
      </c>
      <c r="H516" s="331">
        <f t="shared" si="218"/>
        <v>2</v>
      </c>
      <c r="I516" s="331">
        <f t="shared" si="218"/>
        <v>1</v>
      </c>
      <c r="J516" s="331">
        <f t="shared" si="218"/>
        <v>4</v>
      </c>
      <c r="K516" s="331">
        <f t="shared" si="218"/>
        <v>3</v>
      </c>
      <c r="L516" s="331">
        <f t="shared" si="218"/>
        <v>1</v>
      </c>
      <c r="M516" s="331">
        <f t="shared" si="218"/>
        <v>2</v>
      </c>
      <c r="N516" s="331">
        <f t="shared" si="218"/>
        <v>3</v>
      </c>
      <c r="O516" s="331">
        <f t="shared" si="218"/>
        <v>1</v>
      </c>
      <c r="P516" s="331">
        <f t="shared" si="218"/>
        <v>1</v>
      </c>
      <c r="Q516" s="331">
        <f t="shared" si="218"/>
        <v>1</v>
      </c>
      <c r="R516" s="331">
        <f t="shared" si="218"/>
        <v>0</v>
      </c>
      <c r="S516" s="331">
        <f t="shared" si="218"/>
        <v>16</v>
      </c>
      <c r="T516" s="331">
        <f t="shared" si="218"/>
        <v>4</v>
      </c>
      <c r="U516" s="331">
        <f t="shared" si="218"/>
        <v>-1</v>
      </c>
      <c r="V516" s="331">
        <f t="shared" si="218"/>
        <v>2</v>
      </c>
      <c r="W516" s="331">
        <f t="shared" si="218"/>
        <v>0</v>
      </c>
      <c r="X516" s="331">
        <f t="shared" si="218"/>
        <v>2</v>
      </c>
      <c r="Y516" s="331">
        <f t="shared" si="218"/>
        <v>1</v>
      </c>
      <c r="Z516" s="331">
        <f t="shared" si="218"/>
        <v>2</v>
      </c>
      <c r="AA516" s="331">
        <f t="shared" si="218"/>
        <v>2</v>
      </c>
      <c r="AB516" s="331">
        <f t="shared" si="218"/>
        <v>0</v>
      </c>
      <c r="AC516" s="331">
        <f t="shared" si="218"/>
        <v>3</v>
      </c>
      <c r="AD516" s="331">
        <f t="shared" si="218"/>
        <v>1</v>
      </c>
      <c r="AE516" s="331">
        <f t="shared" si="218"/>
        <v>0</v>
      </c>
      <c r="AF516" s="1015">
        <f t="shared" si="216"/>
        <v>63</v>
      </c>
    </row>
    <row r="517">
      <c r="A517" s="1185" t="s">
        <v>1040</v>
      </c>
      <c r="B517" s="331">
        <f t="shared" ref="B517:W517" si="219">B263-B363</f>
        <v>1</v>
      </c>
      <c r="C517" s="331">
        <f t="shared" si="219"/>
        <v>1</v>
      </c>
      <c r="D517" s="331">
        <f t="shared" si="219"/>
        <v>1</v>
      </c>
      <c r="E517" s="331">
        <f t="shared" si="219"/>
        <v>0</v>
      </c>
      <c r="F517" s="331">
        <f t="shared" si="219"/>
        <v>0</v>
      </c>
      <c r="G517" s="331">
        <f t="shared" si="219"/>
        <v>2</v>
      </c>
      <c r="H517" s="331">
        <f t="shared" si="219"/>
        <v>0</v>
      </c>
      <c r="I517" s="331">
        <f t="shared" si="219"/>
        <v>0</v>
      </c>
      <c r="J517" s="331">
        <f t="shared" si="219"/>
        <v>2</v>
      </c>
      <c r="K517" s="331">
        <f t="shared" si="219"/>
        <v>0</v>
      </c>
      <c r="L517" s="331">
        <f t="shared" si="219"/>
        <v>1</v>
      </c>
      <c r="M517" s="331">
        <f t="shared" si="219"/>
        <v>0</v>
      </c>
      <c r="N517" s="331">
        <f t="shared" si="219"/>
        <v>0</v>
      </c>
      <c r="O517" s="331">
        <f t="shared" si="219"/>
        <v>0</v>
      </c>
      <c r="P517" s="331">
        <f t="shared" si="219"/>
        <v>0</v>
      </c>
      <c r="Q517" s="331">
        <f t="shared" si="219"/>
        <v>0</v>
      </c>
      <c r="R517" s="331">
        <f t="shared" si="219"/>
        <v>0</v>
      </c>
      <c r="S517" s="331">
        <f t="shared" si="219"/>
        <v>0</v>
      </c>
      <c r="T517" s="331">
        <f t="shared" si="219"/>
        <v>2</v>
      </c>
      <c r="U517" s="331">
        <f t="shared" si="219"/>
        <v>1</v>
      </c>
      <c r="V517" s="331">
        <f t="shared" si="219"/>
        <v>1</v>
      </c>
      <c r="W517" s="331">
        <f t="shared" si="219"/>
        <v>1</v>
      </c>
      <c r="X517" s="331">
        <f>X262-X363</f>
        <v>1</v>
      </c>
      <c r="Y517" s="331">
        <f t="shared" ref="Y517:AE517" si="220">Y263-Y363</f>
        <v>2</v>
      </c>
      <c r="Z517" s="331">
        <f t="shared" si="220"/>
        <v>0</v>
      </c>
      <c r="AA517" s="331">
        <f t="shared" si="220"/>
        <v>2</v>
      </c>
      <c r="AB517" s="331">
        <f t="shared" si="220"/>
        <v>0</v>
      </c>
      <c r="AC517" s="331">
        <f t="shared" si="220"/>
        <v>1</v>
      </c>
      <c r="AD517" s="331">
        <f t="shared" si="220"/>
        <v>0</v>
      </c>
      <c r="AE517" s="331">
        <f t="shared" si="220"/>
        <v>0</v>
      </c>
      <c r="AF517" s="1015">
        <f t="shared" si="216"/>
        <v>19</v>
      </c>
    </row>
    <row r="518">
      <c r="A518" s="1185" t="s">
        <v>1041</v>
      </c>
      <c r="B518" s="331">
        <f t="shared" ref="B518:AE518" si="221">B265-B364</f>
        <v>0</v>
      </c>
      <c r="C518" s="331">
        <f t="shared" si="221"/>
        <v>0</v>
      </c>
      <c r="D518" s="331">
        <f t="shared" si="221"/>
        <v>0</v>
      </c>
      <c r="E518" s="331">
        <f t="shared" si="221"/>
        <v>0</v>
      </c>
      <c r="F518" s="331">
        <f t="shared" si="221"/>
        <v>0</v>
      </c>
      <c r="G518" s="331">
        <f t="shared" si="221"/>
        <v>0</v>
      </c>
      <c r="H518" s="331">
        <f t="shared" si="221"/>
        <v>0</v>
      </c>
      <c r="I518" s="331">
        <f t="shared" si="221"/>
        <v>0</v>
      </c>
      <c r="J518" s="331">
        <f t="shared" si="221"/>
        <v>0</v>
      </c>
      <c r="K518" s="331">
        <f t="shared" si="221"/>
        <v>0</v>
      </c>
      <c r="L518" s="331">
        <f t="shared" si="221"/>
        <v>0</v>
      </c>
      <c r="M518" s="331">
        <f t="shared" si="221"/>
        <v>0</v>
      </c>
      <c r="N518" s="331">
        <f t="shared" si="221"/>
        <v>0</v>
      </c>
      <c r="O518" s="331">
        <f t="shared" si="221"/>
        <v>0</v>
      </c>
      <c r="P518" s="331">
        <f t="shared" si="221"/>
        <v>0</v>
      </c>
      <c r="Q518" s="331">
        <f t="shared" si="221"/>
        <v>0</v>
      </c>
      <c r="R518" s="331">
        <f t="shared" si="221"/>
        <v>0</v>
      </c>
      <c r="S518" s="331">
        <f t="shared" si="221"/>
        <v>59</v>
      </c>
      <c r="T518" s="331">
        <f t="shared" si="221"/>
        <v>26</v>
      </c>
      <c r="U518" s="331">
        <f t="shared" si="221"/>
        <v>19</v>
      </c>
      <c r="V518" s="331">
        <f t="shared" si="221"/>
        <v>10</v>
      </c>
      <c r="W518" s="331">
        <f t="shared" si="221"/>
        <v>20</v>
      </c>
      <c r="X518" s="331">
        <f t="shared" si="221"/>
        <v>11</v>
      </c>
      <c r="Y518" s="331">
        <f t="shared" si="221"/>
        <v>10</v>
      </c>
      <c r="Z518" s="331">
        <f t="shared" si="221"/>
        <v>4</v>
      </c>
      <c r="AA518" s="331">
        <f t="shared" si="221"/>
        <v>2</v>
      </c>
      <c r="AB518" s="331">
        <f t="shared" si="221"/>
        <v>4</v>
      </c>
      <c r="AC518" s="331">
        <f t="shared" si="221"/>
        <v>8</v>
      </c>
      <c r="AD518" s="331">
        <f t="shared" si="221"/>
        <v>4</v>
      </c>
      <c r="AE518" s="331">
        <f t="shared" si="221"/>
        <v>1</v>
      </c>
      <c r="AF518" s="1015">
        <f t="shared" si="216"/>
        <v>178</v>
      </c>
    </row>
    <row r="519">
      <c r="A519" s="1213" t="s">
        <v>977</v>
      </c>
      <c r="B519" s="1223">
        <f t="shared" ref="B519:AE519" si="222">SUM(B513:B517)</f>
        <v>4</v>
      </c>
      <c r="C519" s="1197">
        <f t="shared" si="222"/>
        <v>12</v>
      </c>
      <c r="D519" s="1197">
        <f t="shared" si="222"/>
        <v>16</v>
      </c>
      <c r="E519" s="1197">
        <f t="shared" si="222"/>
        <v>13</v>
      </c>
      <c r="F519" s="1197">
        <f t="shared" si="222"/>
        <v>11</v>
      </c>
      <c r="G519" s="1197">
        <f t="shared" si="222"/>
        <v>5</v>
      </c>
      <c r="H519" s="1197">
        <f t="shared" si="222"/>
        <v>9</v>
      </c>
      <c r="I519" s="1197">
        <f t="shared" si="222"/>
        <v>4</v>
      </c>
      <c r="J519" s="1197">
        <f t="shared" si="222"/>
        <v>11</v>
      </c>
      <c r="K519" s="1197">
        <f t="shared" si="222"/>
        <v>11</v>
      </c>
      <c r="L519" s="1197">
        <f t="shared" si="222"/>
        <v>5</v>
      </c>
      <c r="M519" s="1197">
        <f t="shared" si="222"/>
        <v>6</v>
      </c>
      <c r="N519" s="1197">
        <f t="shared" si="222"/>
        <v>9</v>
      </c>
      <c r="O519" s="1197">
        <f t="shared" si="222"/>
        <v>4</v>
      </c>
      <c r="P519" s="1197">
        <f t="shared" si="222"/>
        <v>1</v>
      </c>
      <c r="Q519" s="1197">
        <f t="shared" si="222"/>
        <v>6</v>
      </c>
      <c r="R519" s="1197">
        <f t="shared" si="222"/>
        <v>1</v>
      </c>
      <c r="S519" s="1197">
        <f t="shared" si="222"/>
        <v>23</v>
      </c>
      <c r="T519" s="1197">
        <f t="shared" si="222"/>
        <v>15</v>
      </c>
      <c r="U519" s="1197">
        <f t="shared" si="222"/>
        <v>5</v>
      </c>
      <c r="V519" s="1197">
        <f t="shared" si="222"/>
        <v>3</v>
      </c>
      <c r="W519" s="1197">
        <f t="shared" si="222"/>
        <v>6</v>
      </c>
      <c r="X519" s="1197">
        <f t="shared" si="222"/>
        <v>3</v>
      </c>
      <c r="Y519" s="1197">
        <f t="shared" si="222"/>
        <v>11</v>
      </c>
      <c r="Z519" s="1197">
        <f t="shared" si="222"/>
        <v>14</v>
      </c>
      <c r="AA519" s="1197">
        <f t="shared" si="222"/>
        <v>10</v>
      </c>
      <c r="AB519" s="1197">
        <f t="shared" si="222"/>
        <v>5</v>
      </c>
      <c r="AC519" s="1197">
        <f t="shared" si="222"/>
        <v>12</v>
      </c>
      <c r="AD519" s="1197">
        <f t="shared" si="222"/>
        <v>6</v>
      </c>
      <c r="AE519" s="1197">
        <f t="shared" si="222"/>
        <v>3</v>
      </c>
      <c r="AF519" s="1015">
        <f t="shared" si="216"/>
        <v>244</v>
      </c>
    </row>
    <row r="520">
      <c r="A520" s="20"/>
      <c r="B520" s="651"/>
      <c r="C520" s="651"/>
      <c r="D520" s="651"/>
      <c r="E520" s="651"/>
      <c r="F520" s="651"/>
      <c r="G520" s="651"/>
      <c r="H520" s="651"/>
      <c r="I520" s="651"/>
      <c r="J520" s="651"/>
      <c r="K520" s="651"/>
      <c r="L520" s="651"/>
      <c r="M520" s="651"/>
      <c r="N520" s="651"/>
      <c r="O520" s="651"/>
      <c r="P520" s="651"/>
      <c r="Q520" s="651"/>
      <c r="R520" s="651"/>
      <c r="S520" s="651"/>
      <c r="T520" s="651"/>
      <c r="U520" s="651"/>
      <c r="V520" s="651"/>
      <c r="W520" s="651"/>
      <c r="X520" s="651"/>
      <c r="Y520" s="651"/>
      <c r="Z520" s="651"/>
      <c r="AA520" s="651"/>
      <c r="AB520" s="651"/>
      <c r="AC520" s="651"/>
      <c r="AD520" s="651"/>
      <c r="AE520" s="651"/>
      <c r="AF520" s="1015"/>
    </row>
    <row r="521">
      <c r="A521" s="1185" t="s">
        <v>979</v>
      </c>
      <c r="B521" s="694">
        <f t="shared" ref="B521:AE521" si="223">B270-B367</f>
        <v>0</v>
      </c>
      <c r="C521" s="694">
        <f t="shared" si="223"/>
        <v>0</v>
      </c>
      <c r="D521" s="694">
        <f t="shared" si="223"/>
        <v>0</v>
      </c>
      <c r="E521" s="694">
        <f t="shared" si="223"/>
        <v>0</v>
      </c>
      <c r="F521" s="694">
        <f t="shared" si="223"/>
        <v>0</v>
      </c>
      <c r="G521" s="694">
        <f t="shared" si="223"/>
        <v>0</v>
      </c>
      <c r="H521" s="694">
        <f t="shared" si="223"/>
        <v>0</v>
      </c>
      <c r="I521" s="694">
        <f t="shared" si="223"/>
        <v>0</v>
      </c>
      <c r="J521" s="694">
        <f t="shared" si="223"/>
        <v>0</v>
      </c>
      <c r="K521" s="694">
        <f t="shared" si="223"/>
        <v>0</v>
      </c>
      <c r="L521" s="694">
        <f t="shared" si="223"/>
        <v>0</v>
      </c>
      <c r="M521" s="694">
        <f t="shared" si="223"/>
        <v>0</v>
      </c>
      <c r="N521" s="694">
        <f t="shared" si="223"/>
        <v>0</v>
      </c>
      <c r="O521" s="694">
        <f t="shared" si="223"/>
        <v>0</v>
      </c>
      <c r="P521" s="694">
        <f t="shared" si="223"/>
        <v>0</v>
      </c>
      <c r="Q521" s="694">
        <f t="shared" si="223"/>
        <v>0</v>
      </c>
      <c r="R521" s="694">
        <f t="shared" si="223"/>
        <v>0</v>
      </c>
      <c r="S521" s="694">
        <f t="shared" si="223"/>
        <v>0</v>
      </c>
      <c r="T521" s="694">
        <f t="shared" si="223"/>
        <v>0</v>
      </c>
      <c r="U521" s="694">
        <f t="shared" si="223"/>
        <v>0</v>
      </c>
      <c r="V521" s="694">
        <f t="shared" si="223"/>
        <v>0</v>
      </c>
      <c r="W521" s="694">
        <f t="shared" si="223"/>
        <v>0</v>
      </c>
      <c r="X521" s="694">
        <f t="shared" si="223"/>
        <v>0</v>
      </c>
      <c r="Y521" s="694">
        <f t="shared" si="223"/>
        <v>0</v>
      </c>
      <c r="Z521" s="694">
        <f t="shared" si="223"/>
        <v>0</v>
      </c>
      <c r="AA521" s="694">
        <f t="shared" si="223"/>
        <v>0</v>
      </c>
      <c r="AB521" s="694">
        <f t="shared" si="223"/>
        <v>0</v>
      </c>
      <c r="AC521" s="694">
        <f t="shared" si="223"/>
        <v>0</v>
      </c>
      <c r="AD521" s="694">
        <f t="shared" si="223"/>
        <v>0</v>
      </c>
      <c r="AE521" s="694">
        <f t="shared" si="223"/>
        <v>0</v>
      </c>
      <c r="AF521" s="1015">
        <f t="shared" ref="AF521:AF527" si="225">SUM(B521:AE521)</f>
        <v>0</v>
      </c>
    </row>
    <row r="522">
      <c r="A522" s="1185" t="s">
        <v>980</v>
      </c>
      <c r="B522" s="694">
        <f t="shared" ref="B522:AE522" si="224">B271-B368</f>
        <v>0</v>
      </c>
      <c r="C522" s="694">
        <f t="shared" si="224"/>
        <v>0</v>
      </c>
      <c r="D522" s="694">
        <f t="shared" si="224"/>
        <v>0</v>
      </c>
      <c r="E522" s="694">
        <f t="shared" si="224"/>
        <v>0</v>
      </c>
      <c r="F522" s="694">
        <f t="shared" si="224"/>
        <v>0</v>
      </c>
      <c r="G522" s="694">
        <f t="shared" si="224"/>
        <v>0</v>
      </c>
      <c r="H522" s="694">
        <f t="shared" si="224"/>
        <v>0</v>
      </c>
      <c r="I522" s="694">
        <f t="shared" si="224"/>
        <v>0</v>
      </c>
      <c r="J522" s="694">
        <f t="shared" si="224"/>
        <v>0</v>
      </c>
      <c r="K522" s="694">
        <f t="shared" si="224"/>
        <v>0</v>
      </c>
      <c r="L522" s="694">
        <f t="shared" si="224"/>
        <v>0</v>
      </c>
      <c r="M522" s="694">
        <f t="shared" si="224"/>
        <v>0</v>
      </c>
      <c r="N522" s="694">
        <f t="shared" si="224"/>
        <v>0</v>
      </c>
      <c r="O522" s="694">
        <f t="shared" si="224"/>
        <v>0</v>
      </c>
      <c r="P522" s="694">
        <f t="shared" si="224"/>
        <v>0</v>
      </c>
      <c r="Q522" s="694">
        <f t="shared" si="224"/>
        <v>0</v>
      </c>
      <c r="R522" s="694">
        <f t="shared" si="224"/>
        <v>0</v>
      </c>
      <c r="S522" s="694">
        <f t="shared" si="224"/>
        <v>0</v>
      </c>
      <c r="T522" s="694">
        <f t="shared" si="224"/>
        <v>0</v>
      </c>
      <c r="U522" s="694">
        <f t="shared" si="224"/>
        <v>0</v>
      </c>
      <c r="V522" s="694">
        <f t="shared" si="224"/>
        <v>0</v>
      </c>
      <c r="W522" s="694">
        <f t="shared" si="224"/>
        <v>0</v>
      </c>
      <c r="X522" s="694">
        <f t="shared" si="224"/>
        <v>0</v>
      </c>
      <c r="Y522" s="694">
        <f t="shared" si="224"/>
        <v>0</v>
      </c>
      <c r="Z522" s="694">
        <f t="shared" si="224"/>
        <v>0</v>
      </c>
      <c r="AA522" s="694">
        <f t="shared" si="224"/>
        <v>0</v>
      </c>
      <c r="AB522" s="694">
        <f t="shared" si="224"/>
        <v>0</v>
      </c>
      <c r="AC522" s="694">
        <f t="shared" si="224"/>
        <v>0</v>
      </c>
      <c r="AD522" s="694">
        <f t="shared" si="224"/>
        <v>0</v>
      </c>
      <c r="AE522" s="694">
        <f t="shared" si="224"/>
        <v>0</v>
      </c>
      <c r="AF522" s="1015">
        <f t="shared" si="225"/>
        <v>0</v>
      </c>
    </row>
    <row r="523">
      <c r="A523" s="1185" t="s">
        <v>981</v>
      </c>
      <c r="B523" s="694">
        <f t="shared" ref="B523:AE523" si="226">B272-B369</f>
        <v>0</v>
      </c>
      <c r="C523" s="694">
        <f t="shared" si="226"/>
        <v>0</v>
      </c>
      <c r="D523" s="694">
        <f t="shared" si="226"/>
        <v>0</v>
      </c>
      <c r="E523" s="694">
        <f t="shared" si="226"/>
        <v>0</v>
      </c>
      <c r="F523" s="694">
        <f t="shared" si="226"/>
        <v>0</v>
      </c>
      <c r="G523" s="694">
        <f t="shared" si="226"/>
        <v>0</v>
      </c>
      <c r="H523" s="694">
        <f t="shared" si="226"/>
        <v>0</v>
      </c>
      <c r="I523" s="694">
        <f t="shared" si="226"/>
        <v>0</v>
      </c>
      <c r="J523" s="694">
        <f t="shared" si="226"/>
        <v>0</v>
      </c>
      <c r="K523" s="694">
        <f t="shared" si="226"/>
        <v>0</v>
      </c>
      <c r="L523" s="694">
        <f t="shared" si="226"/>
        <v>0</v>
      </c>
      <c r="M523" s="694">
        <f t="shared" si="226"/>
        <v>0</v>
      </c>
      <c r="N523" s="694">
        <f t="shared" si="226"/>
        <v>0</v>
      </c>
      <c r="O523" s="694">
        <f t="shared" si="226"/>
        <v>0</v>
      </c>
      <c r="P523" s="694">
        <f t="shared" si="226"/>
        <v>0</v>
      </c>
      <c r="Q523" s="694">
        <f t="shared" si="226"/>
        <v>0</v>
      </c>
      <c r="R523" s="694">
        <f t="shared" si="226"/>
        <v>0</v>
      </c>
      <c r="S523" s="694">
        <f t="shared" si="226"/>
        <v>0</v>
      </c>
      <c r="T523" s="694">
        <f t="shared" si="226"/>
        <v>0</v>
      </c>
      <c r="U523" s="694">
        <f t="shared" si="226"/>
        <v>0</v>
      </c>
      <c r="V523" s="694">
        <f t="shared" si="226"/>
        <v>0</v>
      </c>
      <c r="W523" s="694">
        <f t="shared" si="226"/>
        <v>0</v>
      </c>
      <c r="X523" s="694">
        <f t="shared" si="226"/>
        <v>0</v>
      </c>
      <c r="Y523" s="694">
        <f t="shared" si="226"/>
        <v>0</v>
      </c>
      <c r="Z523" s="694">
        <f t="shared" si="226"/>
        <v>0</v>
      </c>
      <c r="AA523" s="694">
        <f t="shared" si="226"/>
        <v>0</v>
      </c>
      <c r="AB523" s="694">
        <f t="shared" si="226"/>
        <v>0</v>
      </c>
      <c r="AC523" s="694">
        <f t="shared" si="226"/>
        <v>0</v>
      </c>
      <c r="AD523" s="694">
        <f t="shared" si="226"/>
        <v>0</v>
      </c>
      <c r="AE523" s="694">
        <f t="shared" si="226"/>
        <v>0</v>
      </c>
      <c r="AF523" s="1015">
        <f t="shared" si="225"/>
        <v>0</v>
      </c>
    </row>
    <row r="524">
      <c r="A524" s="1185" t="s">
        <v>1042</v>
      </c>
      <c r="B524" s="694">
        <f t="shared" ref="B524:AE524" si="227">B273-B370</f>
        <v>0</v>
      </c>
      <c r="C524" s="694">
        <f t="shared" si="227"/>
        <v>0</v>
      </c>
      <c r="D524" s="694">
        <f t="shared" si="227"/>
        <v>0</v>
      </c>
      <c r="E524" s="694">
        <f t="shared" si="227"/>
        <v>0</v>
      </c>
      <c r="F524" s="694">
        <f t="shared" si="227"/>
        <v>0</v>
      </c>
      <c r="G524" s="694">
        <f t="shared" si="227"/>
        <v>0</v>
      </c>
      <c r="H524" s="694">
        <f t="shared" si="227"/>
        <v>0</v>
      </c>
      <c r="I524" s="694">
        <f t="shared" si="227"/>
        <v>0</v>
      </c>
      <c r="J524" s="694">
        <f t="shared" si="227"/>
        <v>0</v>
      </c>
      <c r="K524" s="694">
        <f t="shared" si="227"/>
        <v>0</v>
      </c>
      <c r="L524" s="694">
        <f t="shared" si="227"/>
        <v>0</v>
      </c>
      <c r="M524" s="694">
        <f t="shared" si="227"/>
        <v>0</v>
      </c>
      <c r="N524" s="694">
        <f t="shared" si="227"/>
        <v>0</v>
      </c>
      <c r="O524" s="694">
        <f t="shared" si="227"/>
        <v>0</v>
      </c>
      <c r="P524" s="694">
        <f t="shared" si="227"/>
        <v>0</v>
      </c>
      <c r="Q524" s="694">
        <f t="shared" si="227"/>
        <v>0</v>
      </c>
      <c r="R524" s="694">
        <f t="shared" si="227"/>
        <v>0</v>
      </c>
      <c r="S524" s="694">
        <f t="shared" si="227"/>
        <v>0</v>
      </c>
      <c r="T524" s="694">
        <f t="shared" si="227"/>
        <v>0</v>
      </c>
      <c r="U524" s="694">
        <f t="shared" si="227"/>
        <v>0</v>
      </c>
      <c r="V524" s="694">
        <f t="shared" si="227"/>
        <v>0</v>
      </c>
      <c r="W524" s="694">
        <f t="shared" si="227"/>
        <v>0</v>
      </c>
      <c r="X524" s="694">
        <f t="shared" si="227"/>
        <v>0</v>
      </c>
      <c r="Y524" s="694">
        <f t="shared" si="227"/>
        <v>0</v>
      </c>
      <c r="Z524" s="694">
        <f t="shared" si="227"/>
        <v>0</v>
      </c>
      <c r="AA524" s="694">
        <f t="shared" si="227"/>
        <v>0</v>
      </c>
      <c r="AB524" s="694">
        <f t="shared" si="227"/>
        <v>0</v>
      </c>
      <c r="AC524" s="694">
        <f t="shared" si="227"/>
        <v>0</v>
      </c>
      <c r="AD524" s="694">
        <f t="shared" si="227"/>
        <v>0</v>
      </c>
      <c r="AE524" s="694">
        <f t="shared" si="227"/>
        <v>0</v>
      </c>
      <c r="AF524" s="1015">
        <f t="shared" si="225"/>
        <v>0</v>
      </c>
    </row>
    <row r="525">
      <c r="A525" s="1185" t="s">
        <v>1043</v>
      </c>
      <c r="B525" s="694">
        <f t="shared" ref="B525:AE525" si="228">B275-B371</f>
        <v>0</v>
      </c>
      <c r="C525" s="694">
        <f t="shared" si="228"/>
        <v>0</v>
      </c>
      <c r="D525" s="694">
        <f t="shared" si="228"/>
        <v>0</v>
      </c>
      <c r="E525" s="694">
        <f t="shared" si="228"/>
        <v>0</v>
      </c>
      <c r="F525" s="694">
        <f t="shared" si="228"/>
        <v>0</v>
      </c>
      <c r="G525" s="694">
        <f t="shared" si="228"/>
        <v>0</v>
      </c>
      <c r="H525" s="694">
        <f t="shared" si="228"/>
        <v>0</v>
      </c>
      <c r="I525" s="694">
        <f t="shared" si="228"/>
        <v>0</v>
      </c>
      <c r="J525" s="694">
        <f t="shared" si="228"/>
        <v>0</v>
      </c>
      <c r="K525" s="694">
        <f t="shared" si="228"/>
        <v>0</v>
      </c>
      <c r="L525" s="694">
        <f t="shared" si="228"/>
        <v>0</v>
      </c>
      <c r="M525" s="694">
        <f t="shared" si="228"/>
        <v>0</v>
      </c>
      <c r="N525" s="694">
        <f t="shared" si="228"/>
        <v>0</v>
      </c>
      <c r="O525" s="694">
        <f t="shared" si="228"/>
        <v>0</v>
      </c>
      <c r="P525" s="694">
        <f t="shared" si="228"/>
        <v>0</v>
      </c>
      <c r="Q525" s="694">
        <f t="shared" si="228"/>
        <v>0</v>
      </c>
      <c r="R525" s="694">
        <f t="shared" si="228"/>
        <v>0</v>
      </c>
      <c r="S525" s="694">
        <f t="shared" si="228"/>
        <v>0</v>
      </c>
      <c r="T525" s="694">
        <f t="shared" si="228"/>
        <v>0</v>
      </c>
      <c r="U525" s="694">
        <f t="shared" si="228"/>
        <v>0</v>
      </c>
      <c r="V525" s="694">
        <f t="shared" si="228"/>
        <v>0</v>
      </c>
      <c r="W525" s="694">
        <f t="shared" si="228"/>
        <v>0</v>
      </c>
      <c r="X525" s="694">
        <f t="shared" si="228"/>
        <v>0</v>
      </c>
      <c r="Y525" s="694">
        <f t="shared" si="228"/>
        <v>0</v>
      </c>
      <c r="Z525" s="694">
        <f t="shared" si="228"/>
        <v>0</v>
      </c>
      <c r="AA525" s="694">
        <f t="shared" si="228"/>
        <v>0</v>
      </c>
      <c r="AB525" s="694">
        <f t="shared" si="228"/>
        <v>0</v>
      </c>
      <c r="AC525" s="694">
        <f t="shared" si="228"/>
        <v>0</v>
      </c>
      <c r="AD525" s="694">
        <f t="shared" si="228"/>
        <v>0</v>
      </c>
      <c r="AE525" s="694">
        <f t="shared" si="228"/>
        <v>0</v>
      </c>
      <c r="AF525" s="1015">
        <f t="shared" si="225"/>
        <v>0</v>
      </c>
    </row>
    <row r="526">
      <c r="A526" s="1185" t="s">
        <v>1044</v>
      </c>
      <c r="B526" s="694">
        <f t="shared" ref="B526:AE526" si="229">B277-B372</f>
        <v>0</v>
      </c>
      <c r="C526" s="694">
        <f t="shared" si="229"/>
        <v>0</v>
      </c>
      <c r="D526" s="694">
        <f t="shared" si="229"/>
        <v>0</v>
      </c>
      <c r="E526" s="694">
        <f t="shared" si="229"/>
        <v>0</v>
      </c>
      <c r="F526" s="694">
        <f t="shared" si="229"/>
        <v>0</v>
      </c>
      <c r="G526" s="694">
        <f t="shared" si="229"/>
        <v>0</v>
      </c>
      <c r="H526" s="694">
        <f t="shared" si="229"/>
        <v>0</v>
      </c>
      <c r="I526" s="694">
        <f t="shared" si="229"/>
        <v>0</v>
      </c>
      <c r="J526" s="694">
        <f t="shared" si="229"/>
        <v>0</v>
      </c>
      <c r="K526" s="694">
        <f t="shared" si="229"/>
        <v>0</v>
      </c>
      <c r="L526" s="694">
        <f t="shared" si="229"/>
        <v>0</v>
      </c>
      <c r="M526" s="694">
        <f t="shared" si="229"/>
        <v>0</v>
      </c>
      <c r="N526" s="694">
        <f t="shared" si="229"/>
        <v>0</v>
      </c>
      <c r="O526" s="694">
        <f t="shared" si="229"/>
        <v>0</v>
      </c>
      <c r="P526" s="694">
        <f t="shared" si="229"/>
        <v>0</v>
      </c>
      <c r="Q526" s="694">
        <f t="shared" si="229"/>
        <v>0</v>
      </c>
      <c r="R526" s="694">
        <f t="shared" si="229"/>
        <v>0</v>
      </c>
      <c r="S526" s="694">
        <f t="shared" si="229"/>
        <v>0</v>
      </c>
      <c r="T526" s="694">
        <f t="shared" si="229"/>
        <v>0</v>
      </c>
      <c r="U526" s="694">
        <f t="shared" si="229"/>
        <v>0</v>
      </c>
      <c r="V526" s="694">
        <f t="shared" si="229"/>
        <v>0</v>
      </c>
      <c r="W526" s="694">
        <f t="shared" si="229"/>
        <v>0</v>
      </c>
      <c r="X526" s="694">
        <f t="shared" si="229"/>
        <v>0</v>
      </c>
      <c r="Y526" s="694">
        <f t="shared" si="229"/>
        <v>0</v>
      </c>
      <c r="Z526" s="694">
        <f t="shared" si="229"/>
        <v>0</v>
      </c>
      <c r="AA526" s="694">
        <f t="shared" si="229"/>
        <v>0</v>
      </c>
      <c r="AB526" s="694">
        <f t="shared" si="229"/>
        <v>0</v>
      </c>
      <c r="AC526" s="694">
        <f t="shared" si="229"/>
        <v>0</v>
      </c>
      <c r="AD526" s="694">
        <f t="shared" si="229"/>
        <v>0</v>
      </c>
      <c r="AE526" s="694">
        <f t="shared" si="229"/>
        <v>0</v>
      </c>
      <c r="AF526" s="1015">
        <f t="shared" si="225"/>
        <v>0</v>
      </c>
    </row>
    <row r="527">
      <c r="A527" s="1213" t="s">
        <v>988</v>
      </c>
      <c r="B527" s="1223">
        <f t="shared" ref="B527:AE527" si="230">SUM(B521:B525)</f>
        <v>0</v>
      </c>
      <c r="C527" s="1197">
        <f t="shared" si="230"/>
        <v>0</v>
      </c>
      <c r="D527" s="1197">
        <f t="shared" si="230"/>
        <v>0</v>
      </c>
      <c r="E527" s="1197">
        <f t="shared" si="230"/>
        <v>0</v>
      </c>
      <c r="F527" s="1197">
        <f t="shared" si="230"/>
        <v>0</v>
      </c>
      <c r="G527" s="1197">
        <f t="shared" si="230"/>
        <v>0</v>
      </c>
      <c r="H527" s="1197">
        <f t="shared" si="230"/>
        <v>0</v>
      </c>
      <c r="I527" s="1197">
        <f t="shared" si="230"/>
        <v>0</v>
      </c>
      <c r="J527" s="1197">
        <f t="shared" si="230"/>
        <v>0</v>
      </c>
      <c r="K527" s="1197">
        <f t="shared" si="230"/>
        <v>0</v>
      </c>
      <c r="L527" s="1197">
        <f t="shared" si="230"/>
        <v>0</v>
      </c>
      <c r="M527" s="1197">
        <f t="shared" si="230"/>
        <v>0</v>
      </c>
      <c r="N527" s="1197">
        <f t="shared" si="230"/>
        <v>0</v>
      </c>
      <c r="O527" s="1197">
        <f t="shared" si="230"/>
        <v>0</v>
      </c>
      <c r="P527" s="1197">
        <f t="shared" si="230"/>
        <v>0</v>
      </c>
      <c r="Q527" s="1197">
        <f t="shared" si="230"/>
        <v>0</v>
      </c>
      <c r="R527" s="1197">
        <f t="shared" si="230"/>
        <v>0</v>
      </c>
      <c r="S527" s="1197">
        <f t="shared" si="230"/>
        <v>0</v>
      </c>
      <c r="T527" s="1197">
        <f t="shared" si="230"/>
        <v>0</v>
      </c>
      <c r="U527" s="1197">
        <f t="shared" si="230"/>
        <v>0</v>
      </c>
      <c r="V527" s="1197">
        <f t="shared" si="230"/>
        <v>0</v>
      </c>
      <c r="W527" s="1197">
        <f t="shared" si="230"/>
        <v>0</v>
      </c>
      <c r="X527" s="1197">
        <f t="shared" si="230"/>
        <v>0</v>
      </c>
      <c r="Y527" s="1197">
        <f t="shared" si="230"/>
        <v>0</v>
      </c>
      <c r="Z527" s="1197">
        <f t="shared" si="230"/>
        <v>0</v>
      </c>
      <c r="AA527" s="1197">
        <f t="shared" si="230"/>
        <v>0</v>
      </c>
      <c r="AB527" s="1197">
        <f t="shared" si="230"/>
        <v>0</v>
      </c>
      <c r="AC527" s="1197">
        <f t="shared" si="230"/>
        <v>0</v>
      </c>
      <c r="AD527" s="1197">
        <f t="shared" si="230"/>
        <v>0</v>
      </c>
      <c r="AE527" s="1197">
        <f t="shared" si="230"/>
        <v>0</v>
      </c>
      <c r="AF527" s="1015">
        <f t="shared" si="225"/>
        <v>0</v>
      </c>
    </row>
    <row r="528">
      <c r="A528" s="854"/>
      <c r="B528" s="1097"/>
      <c r="AF528" s="1015"/>
    </row>
    <row r="529">
      <c r="A529" s="1185" t="s">
        <v>1027</v>
      </c>
      <c r="B529" s="1075">
        <f t="shared" ref="B529:AE529" si="231">B162-B375</f>
        <v>0</v>
      </c>
      <c r="C529" s="1075">
        <f t="shared" si="231"/>
        <v>0</v>
      </c>
      <c r="D529" s="1075">
        <f t="shared" si="231"/>
        <v>0</v>
      </c>
      <c r="E529" s="1075">
        <f t="shared" si="231"/>
        <v>0</v>
      </c>
      <c r="F529" s="1075">
        <f t="shared" si="231"/>
        <v>0</v>
      </c>
      <c r="G529" s="1075">
        <f t="shared" si="231"/>
        <v>0</v>
      </c>
      <c r="H529" s="1075">
        <f t="shared" si="231"/>
        <v>0</v>
      </c>
      <c r="I529" s="1075">
        <f t="shared" si="231"/>
        <v>0</v>
      </c>
      <c r="J529" s="1075">
        <f t="shared" si="231"/>
        <v>0</v>
      </c>
      <c r="K529" s="1075">
        <f t="shared" si="231"/>
        <v>0</v>
      </c>
      <c r="L529" s="1075">
        <f t="shared" si="231"/>
        <v>0</v>
      </c>
      <c r="M529" s="1075">
        <f t="shared" si="231"/>
        <v>0</v>
      </c>
      <c r="N529" s="1075">
        <f t="shared" si="231"/>
        <v>0</v>
      </c>
      <c r="O529" s="1075">
        <f t="shared" si="231"/>
        <v>0</v>
      </c>
      <c r="P529" s="1075">
        <f t="shared" si="231"/>
        <v>0</v>
      </c>
      <c r="Q529" s="1075">
        <f t="shared" si="231"/>
        <v>0</v>
      </c>
      <c r="R529" s="1075">
        <f t="shared" si="231"/>
        <v>0</v>
      </c>
      <c r="S529" s="331">
        <f t="shared" si="231"/>
        <v>0</v>
      </c>
      <c r="T529" s="331">
        <f t="shared" si="231"/>
        <v>0</v>
      </c>
      <c r="U529" s="331">
        <f t="shared" si="231"/>
        <v>0</v>
      </c>
      <c r="V529" s="331">
        <f t="shared" si="231"/>
        <v>0</v>
      </c>
      <c r="W529" s="331">
        <f t="shared" si="231"/>
        <v>0</v>
      </c>
      <c r="X529" s="331">
        <f t="shared" si="231"/>
        <v>0</v>
      </c>
      <c r="Y529" s="331">
        <f t="shared" si="231"/>
        <v>0</v>
      </c>
      <c r="Z529" s="331">
        <f t="shared" si="231"/>
        <v>0</v>
      </c>
      <c r="AA529" s="331">
        <f t="shared" si="231"/>
        <v>0</v>
      </c>
      <c r="AB529" s="331">
        <f t="shared" si="231"/>
        <v>0</v>
      </c>
      <c r="AC529" s="331">
        <f t="shared" si="231"/>
        <v>0</v>
      </c>
      <c r="AD529" s="331">
        <f t="shared" si="231"/>
        <v>0</v>
      </c>
      <c r="AE529" s="331">
        <f t="shared" si="231"/>
        <v>0</v>
      </c>
      <c r="AF529" s="1015">
        <f t="shared" ref="AF529:AF531" si="233">SUM(B529:AE529)</f>
        <v>0</v>
      </c>
    </row>
    <row r="530">
      <c r="A530" s="1185" t="s">
        <v>1028</v>
      </c>
      <c r="B530" s="1075">
        <f t="shared" ref="B530:AE530" si="232">B163-B376</f>
        <v>0</v>
      </c>
      <c r="C530" s="1075">
        <f t="shared" si="232"/>
        <v>0</v>
      </c>
      <c r="D530" s="1075">
        <f t="shared" si="232"/>
        <v>0</v>
      </c>
      <c r="E530" s="1075">
        <f t="shared" si="232"/>
        <v>0</v>
      </c>
      <c r="F530" s="1075">
        <f t="shared" si="232"/>
        <v>0</v>
      </c>
      <c r="G530" s="1075">
        <f t="shared" si="232"/>
        <v>0</v>
      </c>
      <c r="H530" s="1075">
        <f t="shared" si="232"/>
        <v>0</v>
      </c>
      <c r="I530" s="1075">
        <f t="shared" si="232"/>
        <v>0</v>
      </c>
      <c r="J530" s="1075">
        <f t="shared" si="232"/>
        <v>0</v>
      </c>
      <c r="K530" s="1075">
        <f t="shared" si="232"/>
        <v>0</v>
      </c>
      <c r="L530" s="1075">
        <f t="shared" si="232"/>
        <v>0</v>
      </c>
      <c r="M530" s="1075">
        <f t="shared" si="232"/>
        <v>0</v>
      </c>
      <c r="N530" s="1075">
        <f t="shared" si="232"/>
        <v>0</v>
      </c>
      <c r="O530" s="1075">
        <f t="shared" si="232"/>
        <v>0</v>
      </c>
      <c r="P530" s="1075">
        <f t="shared" si="232"/>
        <v>0</v>
      </c>
      <c r="Q530" s="1075">
        <f t="shared" si="232"/>
        <v>0</v>
      </c>
      <c r="R530" s="1075">
        <f t="shared" si="232"/>
        <v>0</v>
      </c>
      <c r="S530" s="1075">
        <f t="shared" si="232"/>
        <v>0</v>
      </c>
      <c r="T530" s="1075">
        <f t="shared" si="232"/>
        <v>0</v>
      </c>
      <c r="U530" s="1075">
        <f t="shared" si="232"/>
        <v>0</v>
      </c>
      <c r="V530" s="1075">
        <f t="shared" si="232"/>
        <v>0</v>
      </c>
      <c r="W530" s="1075">
        <f t="shared" si="232"/>
        <v>0</v>
      </c>
      <c r="X530" s="1075">
        <f t="shared" si="232"/>
        <v>0</v>
      </c>
      <c r="Y530" s="1075">
        <f t="shared" si="232"/>
        <v>0</v>
      </c>
      <c r="Z530" s="1075">
        <f t="shared" si="232"/>
        <v>0</v>
      </c>
      <c r="AA530" s="1075">
        <f t="shared" si="232"/>
        <v>0</v>
      </c>
      <c r="AB530" s="1075">
        <f t="shared" si="232"/>
        <v>0</v>
      </c>
      <c r="AC530" s="1075">
        <f t="shared" si="232"/>
        <v>0</v>
      </c>
      <c r="AD530" s="1075">
        <f t="shared" si="232"/>
        <v>0</v>
      </c>
      <c r="AE530" s="1075">
        <f t="shared" si="232"/>
        <v>0</v>
      </c>
      <c r="AF530" s="1015">
        <f t="shared" si="233"/>
        <v>0</v>
      </c>
    </row>
    <row r="531">
      <c r="A531" s="1213" t="s">
        <v>95</v>
      </c>
      <c r="B531" s="1197">
        <f t="shared" ref="B531:AE531" si="234">SUM(B529:B530)</f>
        <v>0</v>
      </c>
      <c r="C531" s="1197">
        <f t="shared" si="234"/>
        <v>0</v>
      </c>
      <c r="D531" s="1197">
        <f t="shared" si="234"/>
        <v>0</v>
      </c>
      <c r="E531" s="1197">
        <f t="shared" si="234"/>
        <v>0</v>
      </c>
      <c r="F531" s="1197">
        <f t="shared" si="234"/>
        <v>0</v>
      </c>
      <c r="G531" s="1197">
        <f t="shared" si="234"/>
        <v>0</v>
      </c>
      <c r="H531" s="1197">
        <f t="shared" si="234"/>
        <v>0</v>
      </c>
      <c r="I531" s="1197">
        <f t="shared" si="234"/>
        <v>0</v>
      </c>
      <c r="J531" s="1197">
        <f t="shared" si="234"/>
        <v>0</v>
      </c>
      <c r="K531" s="1197">
        <f t="shared" si="234"/>
        <v>0</v>
      </c>
      <c r="L531" s="1197">
        <f t="shared" si="234"/>
        <v>0</v>
      </c>
      <c r="M531" s="1197">
        <f t="shared" si="234"/>
        <v>0</v>
      </c>
      <c r="N531" s="1197">
        <f t="shared" si="234"/>
        <v>0</v>
      </c>
      <c r="O531" s="1197">
        <f t="shared" si="234"/>
        <v>0</v>
      </c>
      <c r="P531" s="1197">
        <f t="shared" si="234"/>
        <v>0</v>
      </c>
      <c r="Q531" s="1197">
        <f t="shared" si="234"/>
        <v>0</v>
      </c>
      <c r="R531" s="1197">
        <f t="shared" si="234"/>
        <v>0</v>
      </c>
      <c r="S531" s="1197">
        <f t="shared" si="234"/>
        <v>0</v>
      </c>
      <c r="T531" s="1197">
        <f t="shared" si="234"/>
        <v>0</v>
      </c>
      <c r="U531" s="1197">
        <f t="shared" si="234"/>
        <v>0</v>
      </c>
      <c r="V531" s="1197">
        <f t="shared" si="234"/>
        <v>0</v>
      </c>
      <c r="W531" s="1197">
        <f t="shared" si="234"/>
        <v>0</v>
      </c>
      <c r="X531" s="1197">
        <f t="shared" si="234"/>
        <v>0</v>
      </c>
      <c r="Y531" s="1197">
        <f t="shared" si="234"/>
        <v>0</v>
      </c>
      <c r="Z531" s="1197">
        <f t="shared" si="234"/>
        <v>0</v>
      </c>
      <c r="AA531" s="1197">
        <f t="shared" si="234"/>
        <v>0</v>
      </c>
      <c r="AB531" s="1197">
        <f t="shared" si="234"/>
        <v>0</v>
      </c>
      <c r="AC531" s="1197">
        <f t="shared" si="234"/>
        <v>0</v>
      </c>
      <c r="AD531" s="1197">
        <f t="shared" si="234"/>
        <v>0</v>
      </c>
      <c r="AE531" s="1197">
        <f t="shared" si="234"/>
        <v>0</v>
      </c>
      <c r="AF531" s="1015">
        <f t="shared" si="233"/>
        <v>0</v>
      </c>
    </row>
    <row r="532">
      <c r="A532" s="854"/>
      <c r="AF532" s="700"/>
    </row>
    <row r="533">
      <c r="A533" s="854"/>
      <c r="AF533" s="700"/>
    </row>
    <row r="534">
      <c r="A534" s="901" t="s">
        <v>849</v>
      </c>
      <c r="B534" s="582"/>
      <c r="C534" s="582"/>
      <c r="D534" s="582"/>
      <c r="E534" s="582"/>
      <c r="F534" s="582"/>
      <c r="G534" s="582"/>
      <c r="H534" s="582"/>
      <c r="I534" s="582"/>
      <c r="J534" s="582"/>
      <c r="K534" s="582"/>
      <c r="L534" s="582"/>
      <c r="M534" s="582"/>
      <c r="N534" s="582"/>
      <c r="O534" s="582"/>
      <c r="P534" s="582"/>
      <c r="Q534" s="582"/>
      <c r="R534" s="582"/>
      <c r="S534" s="582"/>
      <c r="T534" s="582"/>
      <c r="U534" s="582"/>
      <c r="V534" s="582"/>
      <c r="W534" s="582"/>
      <c r="X534" s="582"/>
      <c r="Y534" s="582"/>
      <c r="Z534" s="582"/>
      <c r="AA534" s="582"/>
      <c r="AB534" s="582"/>
      <c r="AC534" s="582"/>
      <c r="AD534" s="582"/>
      <c r="AE534" s="582"/>
      <c r="AF534" s="700"/>
    </row>
    <row r="535">
      <c r="A535" s="872" t="s">
        <v>374</v>
      </c>
      <c r="B535" s="1238">
        <f t="shared" ref="B535:AE535" si="235">B32+B38+B35+B40+B31+B33+B41+B34+B42</f>
        <v>8032.22</v>
      </c>
      <c r="C535" s="1239">
        <f t="shared" si="235"/>
        <v>8188.35</v>
      </c>
      <c r="D535" s="1240">
        <f t="shared" si="235"/>
        <v>10617.35</v>
      </c>
      <c r="E535" s="1241">
        <f t="shared" si="235"/>
        <v>10871.11</v>
      </c>
      <c r="F535" s="1242">
        <f t="shared" si="235"/>
        <v>12937.88</v>
      </c>
      <c r="G535" s="1243">
        <f t="shared" si="235"/>
        <v>13711.78</v>
      </c>
      <c r="H535" s="1244">
        <f t="shared" si="235"/>
        <v>7923.47</v>
      </c>
      <c r="I535" s="1245">
        <f t="shared" si="235"/>
        <v>5708.38</v>
      </c>
      <c r="J535" s="1246">
        <f t="shared" si="235"/>
        <v>8144.13</v>
      </c>
      <c r="K535" s="1247">
        <f t="shared" si="235"/>
        <v>12375.46</v>
      </c>
      <c r="L535" s="1248">
        <f t="shared" si="235"/>
        <v>11858.06</v>
      </c>
      <c r="M535" s="1249">
        <f t="shared" si="235"/>
        <v>10984.39</v>
      </c>
      <c r="N535" s="1250">
        <f t="shared" si="235"/>
        <v>10491.43</v>
      </c>
      <c r="O535" s="1251">
        <f t="shared" si="235"/>
        <v>8166.34</v>
      </c>
      <c r="P535" s="1252">
        <f t="shared" si="235"/>
        <v>9102.01</v>
      </c>
      <c r="Q535" s="1253">
        <f t="shared" si="235"/>
        <v>10240.18</v>
      </c>
      <c r="R535" s="1254">
        <f t="shared" si="235"/>
        <v>11094.69</v>
      </c>
      <c r="S535" s="1256">
        <f t="shared" si="235"/>
        <v>10536.99</v>
      </c>
      <c r="T535" s="1256">
        <f t="shared" si="235"/>
        <v>10911.31</v>
      </c>
      <c r="U535" s="1256">
        <f t="shared" si="235"/>
        <v>9198.93</v>
      </c>
      <c r="V535" s="1256">
        <f t="shared" si="235"/>
        <v>8948.39</v>
      </c>
      <c r="W535" s="1256">
        <f t="shared" si="235"/>
        <v>8680.24</v>
      </c>
      <c r="X535" s="1256">
        <f t="shared" si="235"/>
        <v>10597.3</v>
      </c>
      <c r="Y535" s="1256">
        <f t="shared" si="235"/>
        <v>12951.27</v>
      </c>
      <c r="Z535" s="1256">
        <f t="shared" si="235"/>
        <v>11010.63</v>
      </c>
      <c r="AA535" s="1256">
        <f t="shared" si="235"/>
        <v>10232.99</v>
      </c>
      <c r="AB535" s="1256">
        <f t="shared" si="235"/>
        <v>9200.97</v>
      </c>
      <c r="AC535" s="1256">
        <f t="shared" si="235"/>
        <v>9561.24</v>
      </c>
      <c r="AD535" s="1256">
        <f t="shared" si="235"/>
        <v>9648.31</v>
      </c>
      <c r="AE535" s="1256">
        <f t="shared" si="235"/>
        <v>12303.94</v>
      </c>
      <c r="AF535" s="900">
        <f t="shared" ref="AF535:AF556" si="237">SUM(B535:AE535)</f>
        <v>304229.74</v>
      </c>
    </row>
    <row r="536">
      <c r="A536" s="872" t="s">
        <v>545</v>
      </c>
      <c r="B536" s="70">
        <f t="shared" ref="B536:AE536" si="236">B37+B39+B36+B45</f>
        <v>0</v>
      </c>
      <c r="C536" s="70">
        <f t="shared" si="236"/>
        <v>0</v>
      </c>
      <c r="D536" s="70">
        <f t="shared" si="236"/>
        <v>0</v>
      </c>
      <c r="E536" s="70">
        <f t="shared" si="236"/>
        <v>47.81</v>
      </c>
      <c r="F536" s="70">
        <f t="shared" si="236"/>
        <v>113.06</v>
      </c>
      <c r="G536" s="70">
        <f t="shared" si="236"/>
        <v>62.55</v>
      </c>
      <c r="H536" s="70">
        <f t="shared" si="236"/>
        <v>0</v>
      </c>
      <c r="I536" s="70">
        <f t="shared" si="236"/>
        <v>0</v>
      </c>
      <c r="J536" s="70">
        <f t="shared" si="236"/>
        <v>0</v>
      </c>
      <c r="K536" s="70">
        <f t="shared" si="236"/>
        <v>149.78</v>
      </c>
      <c r="L536" s="70">
        <f t="shared" si="236"/>
        <v>0</v>
      </c>
      <c r="M536" s="70">
        <f t="shared" si="236"/>
        <v>0</v>
      </c>
      <c r="N536" s="70">
        <f t="shared" si="236"/>
        <v>0</v>
      </c>
      <c r="O536" s="70">
        <f t="shared" si="236"/>
        <v>139.61</v>
      </c>
      <c r="P536" s="70">
        <f t="shared" si="236"/>
        <v>53.32</v>
      </c>
      <c r="Q536" s="70">
        <f t="shared" si="236"/>
        <v>59.92</v>
      </c>
      <c r="R536" s="70">
        <f t="shared" si="236"/>
        <v>53.62</v>
      </c>
      <c r="S536" s="70">
        <f t="shared" si="236"/>
        <v>15.48</v>
      </c>
      <c r="T536" s="70">
        <f t="shared" si="236"/>
        <v>59.05</v>
      </c>
      <c r="U536" s="70">
        <f t="shared" si="236"/>
        <v>57.04</v>
      </c>
      <c r="V536" s="70">
        <f t="shared" si="236"/>
        <v>0</v>
      </c>
      <c r="W536" s="70">
        <f t="shared" si="236"/>
        <v>57.16</v>
      </c>
      <c r="X536" s="70">
        <f t="shared" si="236"/>
        <v>0</v>
      </c>
      <c r="Y536" s="70">
        <f t="shared" si="236"/>
        <v>26.91</v>
      </c>
      <c r="Z536" s="70">
        <f t="shared" si="236"/>
        <v>0</v>
      </c>
      <c r="AA536" s="70">
        <f t="shared" si="236"/>
        <v>0</v>
      </c>
      <c r="AB536" s="70">
        <f t="shared" si="236"/>
        <v>0</v>
      </c>
      <c r="AC536" s="70">
        <f t="shared" si="236"/>
        <v>0</v>
      </c>
      <c r="AD536" s="70">
        <f t="shared" si="236"/>
        <v>0</v>
      </c>
      <c r="AE536" s="70">
        <f t="shared" si="236"/>
        <v>0</v>
      </c>
      <c r="AF536" s="900">
        <f t="shared" si="237"/>
        <v>895.31</v>
      </c>
    </row>
    <row r="537">
      <c r="A537" s="1257" t="s">
        <v>1110</v>
      </c>
      <c r="B537" s="70">
        <f>(B204+B205)*'OLD  Formulas'!$C$3</f>
        <v>812.2</v>
      </c>
      <c r="C537" s="70">
        <f>(C204+C205)*'OLD  Formulas'!$C$3</f>
        <v>2030.5</v>
      </c>
      <c r="D537" s="70">
        <f>(D204+D205)*'OLD  Formulas'!$C$3</f>
        <v>2111.72</v>
      </c>
      <c r="E537" s="70">
        <f>(E204+E205)*'OLD  Formulas'!$C$3</f>
        <v>3411.24</v>
      </c>
      <c r="F537" s="70">
        <f>(F204+F205)*'OLD  Formulas'!$C$3</f>
        <v>2761.48</v>
      </c>
      <c r="G537" s="70">
        <f>(G204+G205)*'OLD  Formulas'!$C$3</f>
        <v>1543.18</v>
      </c>
      <c r="H537" s="70">
        <f>(H204+H205)*'OLD  Formulas'!$C$3</f>
        <v>1461.96</v>
      </c>
      <c r="I537" s="70">
        <f>(I204+I205)*'OLD  Formulas'!$C$3</f>
        <v>974.64</v>
      </c>
      <c r="J537" s="70">
        <f>(J204+J205)*'OLD  Formulas'!$C$3</f>
        <v>974.64</v>
      </c>
      <c r="K537" s="70">
        <f>(K204+K205)*'OLD  Formulas'!$C$3</f>
        <v>1055.86</v>
      </c>
      <c r="L537" s="70">
        <f>(L204+L205)*'OLD  Formulas'!$C$3</f>
        <v>1380.74</v>
      </c>
      <c r="M537" s="70">
        <f>(M204+M205)*'OLD  Formulas'!$C$3</f>
        <v>1543.18</v>
      </c>
      <c r="N537" s="70">
        <f>(N204+N205)*'OLD  Formulas'!$C$3</f>
        <v>1461.96</v>
      </c>
      <c r="O537" s="70">
        <f>(O204+O205)*'OLD  Formulas'!$C$3</f>
        <v>1461.96</v>
      </c>
      <c r="P537" s="70">
        <f>(P204+P205)*'OLD  Formulas'!$C$3</f>
        <v>1137.08</v>
      </c>
      <c r="Q537" s="70">
        <f>(Q204+Q205)*'OLD  Formulas'!$C$3</f>
        <v>1461.96</v>
      </c>
      <c r="R537" s="70">
        <f>(R204+R205)*'OLD  Formulas'!$C$3</f>
        <v>1624.4</v>
      </c>
      <c r="S537" s="70">
        <f>(S204+S205)*'OLD  Formulas'!$C$3</f>
        <v>2030.5</v>
      </c>
      <c r="T537" s="70">
        <f>(T204+T205)*'OLD  Formulas'!$C$3</f>
        <v>1380.74</v>
      </c>
      <c r="U537" s="70">
        <f>(U204+U205)*'OLD  Formulas'!$C$3</f>
        <v>1624.4</v>
      </c>
      <c r="V537" s="70">
        <f>(V204+V205)*'OLD  Formulas'!$C$3</f>
        <v>1624.4</v>
      </c>
      <c r="W537" s="70">
        <f>(W204+W205)*'OLD  Formulas'!$C$3</f>
        <v>1380.74</v>
      </c>
      <c r="X537" s="70">
        <f>(X204+X205)*'OLD  Formulas'!$C$3</f>
        <v>893.42</v>
      </c>
      <c r="Y537" s="70">
        <f>(Y204+Y205)*'OLD  Formulas'!$C$3</f>
        <v>1380.74</v>
      </c>
      <c r="Z537" s="70">
        <f>(Z204+Z205)*'OLD  Formulas'!$C$3</f>
        <v>1380.74</v>
      </c>
      <c r="AA537" s="70">
        <f>(AA204+AA205)*'OLD  Formulas'!$C$3</f>
        <v>974.64</v>
      </c>
      <c r="AB537" s="70">
        <f>(AB204+AB205)*'OLD  Formulas'!$C$3</f>
        <v>1543.18</v>
      </c>
      <c r="AC537" s="70">
        <f>(AC204+AC205)*'OLD  Formulas'!$C$3</f>
        <v>1868.06</v>
      </c>
      <c r="AD537" s="70">
        <f>(AD204+AD205)*'OLD  Formulas'!$C$3</f>
        <v>1380.74</v>
      </c>
      <c r="AE537" s="70">
        <f>(AE204+AE205)*'OLD  Formulas'!$C$3</f>
        <v>1461.96</v>
      </c>
      <c r="AF537" s="900">
        <f t="shared" si="237"/>
        <v>46132.96</v>
      </c>
    </row>
    <row r="538">
      <c r="A538" s="1260" t="s">
        <v>1112</v>
      </c>
      <c r="B538" s="70">
        <f>(B537)*'OLD  Formulas'!$L$5</f>
        <v>60.915</v>
      </c>
      <c r="C538" s="70">
        <f>(C537)*'OLD  Formulas'!$L$5</f>
        <v>152.2875</v>
      </c>
      <c r="D538" s="70">
        <f>(D537)*'OLD  Formulas'!$L$5</f>
        <v>158.379</v>
      </c>
      <c r="E538" s="70">
        <f>(E537)*'OLD  Formulas'!$L$5</f>
        <v>255.843</v>
      </c>
      <c r="F538" s="70">
        <f>(F537)*'OLD  Formulas'!$L$5</f>
        <v>207.111</v>
      </c>
      <c r="G538" s="70">
        <f>(G537)*'OLD  Formulas'!$L$5</f>
        <v>115.7385</v>
      </c>
      <c r="H538" s="70">
        <f>(H537)*'OLD  Formulas'!$L$5</f>
        <v>109.647</v>
      </c>
      <c r="I538" s="70">
        <f>(I537)*'OLD  Formulas'!$L$5</f>
        <v>73.098</v>
      </c>
      <c r="J538" s="70">
        <f>(J537)*'OLD  Formulas'!$L$5</f>
        <v>73.098</v>
      </c>
      <c r="K538" s="70">
        <f>(K537)*'OLD  Formulas'!$L$5</f>
        <v>79.1895</v>
      </c>
      <c r="L538" s="70">
        <f>(L537)*'OLD  Formulas'!$L$5</f>
        <v>103.5555</v>
      </c>
      <c r="M538" s="70">
        <f>(M537)*'OLD  Formulas'!$L$5</f>
        <v>115.7385</v>
      </c>
      <c r="N538" s="70">
        <f>(N537)*'OLD  Formulas'!$L$5</f>
        <v>109.647</v>
      </c>
      <c r="O538" s="70">
        <f>(O537)*'OLD  Formulas'!$L$5</f>
        <v>109.647</v>
      </c>
      <c r="P538" s="70">
        <f>(P537)*'OLD  Formulas'!$L$5</f>
        <v>85.281</v>
      </c>
      <c r="Q538" s="70">
        <f>(Q537)*'OLD  Formulas'!$L$5</f>
        <v>109.647</v>
      </c>
      <c r="R538" s="70">
        <f>(R537)*'OLD  Formulas'!$L$5</f>
        <v>121.83</v>
      </c>
      <c r="S538" s="70">
        <f>(S537)*'OLD  Formulas'!$L$5</f>
        <v>152.2875</v>
      </c>
      <c r="T538" s="70">
        <f>(T537)*'OLD  Formulas'!$L$5</f>
        <v>103.5555</v>
      </c>
      <c r="U538" s="70">
        <f>(U537)*'OLD  Formulas'!$L$5</f>
        <v>121.83</v>
      </c>
      <c r="V538" s="70">
        <f>(V537)*'OLD  Formulas'!$L$5</f>
        <v>121.83</v>
      </c>
      <c r="W538" s="70">
        <f>(W537)*'OLD  Formulas'!$L$5</f>
        <v>103.5555</v>
      </c>
      <c r="X538" s="70">
        <f>(X537)*'OLD  Formulas'!$L$5</f>
        <v>67.0065</v>
      </c>
      <c r="Y538" s="70">
        <f>(Y537)*'OLD  Formulas'!$L$5</f>
        <v>103.5555</v>
      </c>
      <c r="Z538" s="70">
        <f>(Z537)*'OLD  Formulas'!$L$5</f>
        <v>103.5555</v>
      </c>
      <c r="AA538" s="70">
        <f>(AA537)*'OLD  Formulas'!$L$5</f>
        <v>73.098</v>
      </c>
      <c r="AB538" s="70">
        <f>(AB537)*'OLD  Formulas'!$L$5</f>
        <v>115.7385</v>
      </c>
      <c r="AC538" s="70">
        <f>(AC537)*'OLD  Formulas'!$L$5</f>
        <v>140.1045</v>
      </c>
      <c r="AD538" s="70">
        <f>(AD537)*'OLD  Formulas'!$L$5</f>
        <v>103.5555</v>
      </c>
      <c r="AE538" s="70">
        <f>(AE537)*'OLD  Formulas'!$L$5</f>
        <v>109.647</v>
      </c>
      <c r="AF538" s="900">
        <f t="shared" si="237"/>
        <v>3459.972</v>
      </c>
    </row>
    <row r="539">
      <c r="A539" s="1257" t="s">
        <v>1113</v>
      </c>
      <c r="B539" s="70">
        <f>B206*'OLD  Formulas'!$C$4</f>
        <v>3554.46</v>
      </c>
      <c r="C539" s="70">
        <f>C206*'OLD  Formulas'!$C$4</f>
        <v>5468.4</v>
      </c>
      <c r="D539" s="70">
        <f>D206*'OLD  Formulas'!$C$4</f>
        <v>6106.38</v>
      </c>
      <c r="E539" s="70">
        <f>E206*'OLD  Formulas'!$C$4</f>
        <v>7291.2</v>
      </c>
      <c r="F539" s="70">
        <f>F206*'OLD  Formulas'!$C$4</f>
        <v>7382.34</v>
      </c>
      <c r="G539" s="70">
        <f>G206*'OLD  Formulas'!$C$4</f>
        <v>4465.86</v>
      </c>
      <c r="H539" s="70">
        <f>H206*'OLD  Formulas'!$C$4</f>
        <v>3827.88</v>
      </c>
      <c r="I539" s="70">
        <f>I206*'OLD  Formulas'!$C$4</f>
        <v>2825.34</v>
      </c>
      <c r="J539" s="70">
        <f>J206*'OLD  Formulas'!$C$4</f>
        <v>3463.32</v>
      </c>
      <c r="K539" s="70">
        <f>K206*'OLD  Formulas'!$C$4</f>
        <v>4101.3</v>
      </c>
      <c r="L539" s="70">
        <f>L206*'OLD  Formulas'!$C$4</f>
        <v>3463.32</v>
      </c>
      <c r="M539" s="70">
        <f>M206*'OLD  Formulas'!$C$4</f>
        <v>2460.78</v>
      </c>
      <c r="N539" s="70">
        <f>N206*'OLD  Formulas'!$C$4</f>
        <v>3098.76</v>
      </c>
      <c r="O539" s="70">
        <f>O206*'OLD  Formulas'!$C$4</f>
        <v>3281.04</v>
      </c>
      <c r="P539" s="70">
        <f>P206*'OLD  Formulas'!$C$4</f>
        <v>3645.6</v>
      </c>
      <c r="Q539" s="70">
        <f>Q206*'OLD  Formulas'!$C$4</f>
        <v>4374.72</v>
      </c>
      <c r="R539" s="70">
        <f>R206*'OLD  Formulas'!$C$4</f>
        <v>4101.3</v>
      </c>
      <c r="S539" s="70">
        <f>S206*'OLD  Formulas'!$C$4</f>
        <v>3554.46</v>
      </c>
      <c r="T539" s="70">
        <f>T206*'OLD  Formulas'!$C$4</f>
        <v>2551.92</v>
      </c>
      <c r="U539" s="70">
        <f>U206*'OLD  Formulas'!$C$4</f>
        <v>3189.9</v>
      </c>
      <c r="V539" s="70">
        <f>V206*'OLD  Formulas'!$C$4</f>
        <v>2916.48</v>
      </c>
      <c r="W539" s="70">
        <f>W206*'OLD  Formulas'!$C$4</f>
        <v>2005.08</v>
      </c>
      <c r="X539" s="70">
        <f>X206*'OLD  Formulas'!$C$4</f>
        <v>2551.92</v>
      </c>
      <c r="Y539" s="70">
        <f>Y206*'OLD  Formulas'!$C$4</f>
        <v>2643.06</v>
      </c>
      <c r="Z539" s="70">
        <f>Z206*'OLD  Formulas'!$C$4</f>
        <v>2551.92</v>
      </c>
      <c r="AA539" s="70">
        <f>AA206*'OLD  Formulas'!$C$4</f>
        <v>1275.96</v>
      </c>
      <c r="AB539" s="70">
        <f>AB206*'OLD  Formulas'!$C$4</f>
        <v>3007.62</v>
      </c>
      <c r="AC539" s="70">
        <f>AC206*'OLD  Formulas'!$C$4</f>
        <v>2187.36</v>
      </c>
      <c r="AD539" s="70">
        <f>AD206*'OLD  Formulas'!$C$4</f>
        <v>2734.2</v>
      </c>
      <c r="AE539" s="70">
        <f>AE206*'OLD  Formulas'!$C$4</f>
        <v>3827.88</v>
      </c>
      <c r="AF539" s="900">
        <f t="shared" si="237"/>
        <v>107909.76</v>
      </c>
    </row>
    <row r="540">
      <c r="A540" s="1260" t="s">
        <v>1114</v>
      </c>
      <c r="B540" s="70">
        <f>(B539)*'OLD  Formulas'!$L$5</f>
        <v>266.5845</v>
      </c>
      <c r="C540" s="70">
        <f>(C539)*'OLD  Formulas'!$L$5</f>
        <v>410.13</v>
      </c>
      <c r="D540" s="70">
        <f>(D539)*'OLD  Formulas'!$L$5</f>
        <v>457.9785</v>
      </c>
      <c r="E540" s="70">
        <f>(E539)*'OLD  Formulas'!$L$5</f>
        <v>546.84</v>
      </c>
      <c r="F540" s="70">
        <f>(F539)*'OLD  Formulas'!$L$5</f>
        <v>553.6755</v>
      </c>
      <c r="G540" s="70">
        <f>(G539)*'OLD  Formulas'!$L$5</f>
        <v>334.9395</v>
      </c>
      <c r="H540" s="70">
        <f>(H539)*'OLD  Formulas'!$L$5</f>
        <v>287.091</v>
      </c>
      <c r="I540" s="70">
        <f>(I539)*'OLD  Formulas'!$L$5</f>
        <v>211.9005</v>
      </c>
      <c r="J540" s="70">
        <f>(J539)*'OLD  Formulas'!$L$5</f>
        <v>259.749</v>
      </c>
      <c r="K540" s="70">
        <f>(K539)*'OLD  Formulas'!$L$5</f>
        <v>307.5975</v>
      </c>
      <c r="L540" s="70">
        <f>(L539)*'OLD  Formulas'!$L$5</f>
        <v>259.749</v>
      </c>
      <c r="M540" s="70">
        <f>(M539)*'OLD  Formulas'!$L$5</f>
        <v>184.5585</v>
      </c>
      <c r="N540" s="70">
        <f>(N539)*'OLD  Formulas'!$L$5</f>
        <v>232.407</v>
      </c>
      <c r="O540" s="70">
        <f>(O539)*'OLD  Formulas'!$L$5</f>
        <v>246.078</v>
      </c>
      <c r="P540" s="70">
        <f>(P539)*'OLD  Formulas'!$L$5</f>
        <v>273.42</v>
      </c>
      <c r="Q540" s="70">
        <f>(Q539)*'OLD  Formulas'!$L$5</f>
        <v>328.104</v>
      </c>
      <c r="R540" s="70">
        <f>(R539)*'OLD  Formulas'!$L$5</f>
        <v>307.5975</v>
      </c>
      <c r="S540" s="70">
        <f>(S539)*'OLD  Formulas'!$L$5</f>
        <v>266.5845</v>
      </c>
      <c r="T540" s="70">
        <f>(T539)*'OLD  Formulas'!$L$5</f>
        <v>191.394</v>
      </c>
      <c r="U540" s="70">
        <f>(U539)*'OLD  Formulas'!$L$5</f>
        <v>239.2425</v>
      </c>
      <c r="V540" s="70">
        <f>(V539)*'OLD  Formulas'!$L$5</f>
        <v>218.736</v>
      </c>
      <c r="W540" s="70">
        <f>(W539)*'OLD  Formulas'!$L$5</f>
        <v>150.381</v>
      </c>
      <c r="X540" s="70">
        <f>(X539)*'OLD  Formulas'!$L$5</f>
        <v>191.394</v>
      </c>
      <c r="Y540" s="70">
        <f>(Y539)*'OLD  Formulas'!$L$5</f>
        <v>198.2295</v>
      </c>
      <c r="Z540" s="70">
        <f>(Z539)*'OLD  Formulas'!$L$5</f>
        <v>191.394</v>
      </c>
      <c r="AA540" s="70">
        <f>(AA539)*'OLD  Formulas'!$L$5</f>
        <v>95.697</v>
      </c>
      <c r="AB540" s="70">
        <f>(AB539)*'OLD  Formulas'!$L$5</f>
        <v>225.5715</v>
      </c>
      <c r="AC540" s="70">
        <f>(AC539)*'OLD  Formulas'!$L$5</f>
        <v>164.052</v>
      </c>
      <c r="AD540" s="70">
        <f>(AD539)*'OLD  Formulas'!$L$5</f>
        <v>205.065</v>
      </c>
      <c r="AE540" s="70">
        <f>(AE539)*'OLD  Formulas'!$L$5</f>
        <v>287.091</v>
      </c>
      <c r="AF540" s="900">
        <f t="shared" si="237"/>
        <v>8093.232</v>
      </c>
    </row>
    <row r="541">
      <c r="A541" s="1257" t="s">
        <v>1115</v>
      </c>
      <c r="B541" s="70">
        <f>B211*'OLD  Formulas'!$C$7</f>
        <v>0</v>
      </c>
      <c r="C541" s="70">
        <f>C211*'OLD  Formulas'!$C$7</f>
        <v>0</v>
      </c>
      <c r="D541" s="70">
        <f>D211*'OLD  Formulas'!$C$7</f>
        <v>0</v>
      </c>
      <c r="E541" s="70">
        <f>E211*'OLD  Formulas'!$C$7</f>
        <v>0</v>
      </c>
      <c r="F541" s="70">
        <f>F211*'OLD  Formulas'!$C$7</f>
        <v>0</v>
      </c>
      <c r="G541" s="70">
        <f>G211*'OLD  Formulas'!$C$7</f>
        <v>0</v>
      </c>
      <c r="H541" s="70">
        <f>H211*'OLD  Formulas'!$C$7</f>
        <v>0</v>
      </c>
      <c r="I541" s="70">
        <f>I211*'OLD  Formulas'!$C$7</f>
        <v>0</v>
      </c>
      <c r="J541" s="70">
        <f>J211*'OLD  Formulas'!$C$7</f>
        <v>0</v>
      </c>
      <c r="K541" s="70">
        <f>K211*'OLD  Formulas'!$C$7</f>
        <v>0</v>
      </c>
      <c r="L541" s="70">
        <f>L211*'OLD  Formulas'!$C$7</f>
        <v>0</v>
      </c>
      <c r="M541" s="70">
        <f>M211*'OLD  Formulas'!$C$7</f>
        <v>0</v>
      </c>
      <c r="N541" s="70">
        <f>N211*'OLD  Formulas'!$C$7</f>
        <v>0</v>
      </c>
      <c r="O541" s="70">
        <f>O211*'OLD  Formulas'!$C$7</f>
        <v>0</v>
      </c>
      <c r="P541" s="70">
        <f>P211*'OLD  Formulas'!$C$7</f>
        <v>0</v>
      </c>
      <c r="Q541" s="70">
        <f>Q211*'OLD  Formulas'!$C$7</f>
        <v>0</v>
      </c>
      <c r="R541" s="70">
        <f>R211*'OLD  Formulas'!$C$7</f>
        <v>0</v>
      </c>
      <c r="S541" s="70">
        <f>S211*'OLD  Formulas'!$C$7</f>
        <v>0</v>
      </c>
      <c r="T541" s="70">
        <f>T211*'OLD  Formulas'!$C$7</f>
        <v>0</v>
      </c>
      <c r="U541" s="70">
        <f>U211*'OLD  Formulas'!$C$7</f>
        <v>0</v>
      </c>
      <c r="V541" s="70">
        <f>V211*'OLD  Formulas'!$C$7</f>
        <v>0</v>
      </c>
      <c r="W541" s="70">
        <f>W211*'OLD  Formulas'!$C$7</f>
        <v>0</v>
      </c>
      <c r="X541" s="70">
        <f>X211*'OLD  Formulas'!$C$7</f>
        <v>0</v>
      </c>
      <c r="Y541" s="70">
        <f>Y211*'OLD  Formulas'!$C$7</f>
        <v>0</v>
      </c>
      <c r="Z541" s="70">
        <f>Z211*'OLD  Formulas'!$C$7</f>
        <v>0</v>
      </c>
      <c r="AA541" s="70">
        <f>AA211*'OLD  Formulas'!$C$7</f>
        <v>0</v>
      </c>
      <c r="AB541" s="70">
        <f>AB211*'OLD  Formulas'!$C$7</f>
        <v>0</v>
      </c>
      <c r="AC541" s="70">
        <f>AC211*'OLD  Formulas'!$C$7</f>
        <v>0</v>
      </c>
      <c r="AD541" s="70">
        <f>AD211*'OLD  Formulas'!$C$7</f>
        <v>0</v>
      </c>
      <c r="AE541" s="70">
        <f>AE211*'OLD  Formulas'!$C$7</f>
        <v>0</v>
      </c>
      <c r="AF541" s="900">
        <f t="shared" si="237"/>
        <v>0</v>
      </c>
    </row>
    <row r="542">
      <c r="A542" s="1260" t="s">
        <v>1116</v>
      </c>
      <c r="B542" s="70">
        <f>B541*'OLD  Formulas'!$L$5</f>
        <v>0</v>
      </c>
      <c r="C542" s="70">
        <f>C541*'OLD  Formulas'!$L$5</f>
        <v>0</v>
      </c>
      <c r="D542" s="70">
        <f>D541*'OLD  Formulas'!$L$5</f>
        <v>0</v>
      </c>
      <c r="E542" s="70">
        <f>E541*'OLD  Formulas'!$L$5</f>
        <v>0</v>
      </c>
      <c r="F542" s="70">
        <f>F541*'OLD  Formulas'!$L$5</f>
        <v>0</v>
      </c>
      <c r="G542" s="70">
        <f>G541*'OLD  Formulas'!$L$5</f>
        <v>0</v>
      </c>
      <c r="H542" s="70">
        <f>H541*'OLD  Formulas'!$L$5</f>
        <v>0</v>
      </c>
      <c r="I542" s="70">
        <f>I541*'OLD  Formulas'!$L$5</f>
        <v>0</v>
      </c>
      <c r="J542" s="70">
        <f>J541*'OLD  Formulas'!$L$5</f>
        <v>0</v>
      </c>
      <c r="K542" s="70">
        <f>K541*'OLD  Formulas'!$L$5</f>
        <v>0</v>
      </c>
      <c r="L542" s="70">
        <f>L541*'OLD  Formulas'!$L$5</f>
        <v>0</v>
      </c>
      <c r="M542" s="70">
        <f>M541*'OLD  Formulas'!$L$5</f>
        <v>0</v>
      </c>
      <c r="N542" s="70">
        <f>N541*'OLD  Formulas'!$L$5</f>
        <v>0</v>
      </c>
      <c r="O542" s="70">
        <f>O541*'OLD  Formulas'!$L$5</f>
        <v>0</v>
      </c>
      <c r="P542" s="70">
        <f>P541*'OLD  Formulas'!$L$5</f>
        <v>0</v>
      </c>
      <c r="Q542" s="70">
        <f>Q541*'OLD  Formulas'!$L$5</f>
        <v>0</v>
      </c>
      <c r="R542" s="70">
        <f>R541*'OLD  Formulas'!$L$5</f>
        <v>0</v>
      </c>
      <c r="S542" s="70">
        <f>S541*'OLD  Formulas'!$L$5</f>
        <v>0</v>
      </c>
      <c r="T542" s="70">
        <f>T541*'OLD  Formulas'!$L$5</f>
        <v>0</v>
      </c>
      <c r="U542" s="70">
        <f>U541*'OLD  Formulas'!$L$5</f>
        <v>0</v>
      </c>
      <c r="V542" s="70">
        <f>V541*'OLD  Formulas'!$L$5</f>
        <v>0</v>
      </c>
      <c r="W542" s="70">
        <f>W541*'OLD  Formulas'!$L$5</f>
        <v>0</v>
      </c>
      <c r="X542" s="70">
        <f>X541*'OLD  Formulas'!$L$5</f>
        <v>0</v>
      </c>
      <c r="Y542" s="70">
        <f>Y541*'OLD  Formulas'!$L$5</f>
        <v>0</v>
      </c>
      <c r="Z542" s="70">
        <f>Z541*'OLD  Formulas'!$L$5</f>
        <v>0</v>
      </c>
      <c r="AA542" s="70">
        <f>AA541*'OLD  Formulas'!$L$5</f>
        <v>0</v>
      </c>
      <c r="AB542" s="70">
        <f>AB541*'OLD  Formulas'!$L$5</f>
        <v>0</v>
      </c>
      <c r="AC542" s="70">
        <f>AC541*'OLD  Formulas'!$L$5</f>
        <v>0</v>
      </c>
      <c r="AD542" s="70">
        <f>AD541*'OLD  Formulas'!$L$5</f>
        <v>0</v>
      </c>
      <c r="AE542" s="70">
        <f>AE541*'OLD  Formulas'!$L$5</f>
        <v>0</v>
      </c>
      <c r="AF542" s="900">
        <f t="shared" si="237"/>
        <v>0</v>
      </c>
    </row>
    <row r="543">
      <c r="A543" s="1260" t="s">
        <v>1117</v>
      </c>
      <c r="B543" s="70">
        <f>B541*'OLD  Formulas'!$L$4</f>
        <v>0</v>
      </c>
      <c r="C543" s="70">
        <f>C541*'OLD  Formulas'!$L$4</f>
        <v>0</v>
      </c>
      <c r="D543" s="70">
        <f>D541*'OLD  Formulas'!$L$4</f>
        <v>0</v>
      </c>
      <c r="E543" s="70">
        <f>E541*'OLD  Formulas'!$L$4</f>
        <v>0</v>
      </c>
      <c r="F543" s="70">
        <f>F541*'OLD  Formulas'!$L$4</f>
        <v>0</v>
      </c>
      <c r="G543" s="70">
        <f>G541*'OLD  Formulas'!$L$4</f>
        <v>0</v>
      </c>
      <c r="H543" s="70">
        <f>H541*'OLD  Formulas'!$L$4</f>
        <v>0</v>
      </c>
      <c r="I543" s="70">
        <f>I541*'OLD  Formulas'!$L$4</f>
        <v>0</v>
      </c>
      <c r="J543" s="70">
        <f>J541*'OLD  Formulas'!$L$4</f>
        <v>0</v>
      </c>
      <c r="K543" s="70">
        <f>K541*'OLD  Formulas'!$L$4</f>
        <v>0</v>
      </c>
      <c r="L543" s="70">
        <f>L541*'OLD  Formulas'!$L$4</f>
        <v>0</v>
      </c>
      <c r="M543" s="70">
        <f>M541*'OLD  Formulas'!$L$4</f>
        <v>0</v>
      </c>
      <c r="N543" s="70">
        <f>N541*'OLD  Formulas'!$L$4</f>
        <v>0</v>
      </c>
      <c r="O543" s="70">
        <f>O541*'OLD  Formulas'!$L$4</f>
        <v>0</v>
      </c>
      <c r="P543" s="70">
        <f>P541*'OLD  Formulas'!$L$4</f>
        <v>0</v>
      </c>
      <c r="Q543" s="70">
        <f>Q541*'OLD  Formulas'!$L$4</f>
        <v>0</v>
      </c>
      <c r="R543" s="70">
        <f>R541*'OLD  Formulas'!$L$4</f>
        <v>0</v>
      </c>
      <c r="S543" s="70">
        <f>S541*'OLD  Formulas'!$L$4</f>
        <v>0</v>
      </c>
      <c r="T543" s="70">
        <f>T541*'OLD  Formulas'!$L$4</f>
        <v>0</v>
      </c>
      <c r="U543" s="70">
        <f>U541*'OLD  Formulas'!$L$4</f>
        <v>0</v>
      </c>
      <c r="V543" s="70">
        <f>V541*'OLD  Formulas'!$L$4</f>
        <v>0</v>
      </c>
      <c r="W543" s="70">
        <f>W541*'OLD  Formulas'!$L$4</f>
        <v>0</v>
      </c>
      <c r="X543" s="70">
        <f>X541*'OLD  Formulas'!$L$4</f>
        <v>0</v>
      </c>
      <c r="Y543" s="70">
        <f>Y541*'OLD  Formulas'!$L$4</f>
        <v>0</v>
      </c>
      <c r="Z543" s="70">
        <f>Z541*'OLD  Formulas'!$L$4</f>
        <v>0</v>
      </c>
      <c r="AA543" s="70">
        <f>AA541*'OLD  Formulas'!$L$4</f>
        <v>0</v>
      </c>
      <c r="AB543" s="70">
        <f>AB541*'OLD  Formulas'!$L$4</f>
        <v>0</v>
      </c>
      <c r="AC543" s="70">
        <f>AC541*'OLD  Formulas'!$L$4</f>
        <v>0</v>
      </c>
      <c r="AD543" s="70">
        <f>AD541*'OLD  Formulas'!$L$4</f>
        <v>0</v>
      </c>
      <c r="AE543" s="70">
        <f>AE541*'OLD  Formulas'!$L$4</f>
        <v>0</v>
      </c>
      <c r="AF543" s="900">
        <f t="shared" si="237"/>
        <v>0</v>
      </c>
    </row>
    <row r="544">
      <c r="A544" s="1257" t="s">
        <v>1118</v>
      </c>
      <c r="B544" s="70">
        <f>B210*'OLD  Formulas'!$C$6</f>
        <v>93.67</v>
      </c>
      <c r="C544" s="70">
        <f>C210*'OLD  Formulas'!$C$6</f>
        <v>157.76</v>
      </c>
      <c r="D544" s="70">
        <f>D210*'OLD  Formulas'!$C$6</f>
        <v>216.92</v>
      </c>
      <c r="E544" s="70">
        <f>E210*'OLD  Formulas'!$C$6</f>
        <v>192.27</v>
      </c>
      <c r="F544" s="70">
        <f>F210*'OLD  Formulas'!$C$6</f>
        <v>162.69</v>
      </c>
      <c r="G544" s="70">
        <f>G210*'OLD  Formulas'!$C$6</f>
        <v>123.25</v>
      </c>
      <c r="H544" s="70">
        <f>H210*'OLD  Formulas'!$C$6</f>
        <v>93.67</v>
      </c>
      <c r="I544" s="70">
        <f>I210*'OLD  Formulas'!$C$6</f>
        <v>59.16</v>
      </c>
      <c r="J544" s="70">
        <f>J210*'OLD  Formulas'!$C$6</f>
        <v>78.88</v>
      </c>
      <c r="K544" s="70">
        <f>K210*'OLD  Formulas'!$C$6</f>
        <v>133.11</v>
      </c>
      <c r="L544" s="70">
        <f>L210*'OLD  Formulas'!$C$6</f>
        <v>147.9</v>
      </c>
      <c r="M544" s="70">
        <f>M210*'OLD  Formulas'!$C$6</f>
        <v>88.74</v>
      </c>
      <c r="N544" s="70">
        <f>N210*'OLD  Formulas'!$C$6</f>
        <v>83.81</v>
      </c>
      <c r="O544" s="70">
        <f>O210*'OLD  Formulas'!$C$6</f>
        <v>103.53</v>
      </c>
      <c r="P544" s="70">
        <f>P210*'OLD  Formulas'!$C$6</f>
        <v>93.67</v>
      </c>
      <c r="Q544" s="70">
        <f>Q210*'OLD  Formulas'!$C$6</f>
        <v>138.04</v>
      </c>
      <c r="R544" s="70">
        <f>R210*'OLD  Formulas'!$C$6</f>
        <v>108.46</v>
      </c>
      <c r="S544" s="70">
        <f>S210*'OLD  Formulas'!$C$6</f>
        <v>172.55</v>
      </c>
      <c r="T544" s="70">
        <f>T210*'OLD  Formulas'!$C$6</f>
        <v>177.48</v>
      </c>
      <c r="U544" s="70">
        <f>U210*'OLD  Formulas'!$C$6</f>
        <v>108.46</v>
      </c>
      <c r="V544" s="70">
        <f>V210*'OLD  Formulas'!$C$6</f>
        <v>88.74</v>
      </c>
      <c r="W544" s="70">
        <f>W210*'OLD  Formulas'!$C$6</f>
        <v>88.74</v>
      </c>
      <c r="X544" s="70">
        <f>X210*'OLD  Formulas'!$C$6</f>
        <v>98.6</v>
      </c>
      <c r="Y544" s="70">
        <f>Y210*'OLD  Formulas'!$C$6</f>
        <v>138.04</v>
      </c>
      <c r="Z544" s="70">
        <f>Z210*'OLD  Formulas'!$C$6</f>
        <v>123.25</v>
      </c>
      <c r="AA544" s="70">
        <f>AA210*'OLD  Formulas'!$C$6</f>
        <v>83.81</v>
      </c>
      <c r="AB544" s="70">
        <f>AB210*'OLD  Formulas'!$C$6</f>
        <v>142.97</v>
      </c>
      <c r="AC544" s="70">
        <f>AC210*'OLD  Formulas'!$C$6</f>
        <v>123.25</v>
      </c>
      <c r="AD544" s="70">
        <f>AD210*'OLD  Formulas'!$C$6</f>
        <v>93.67</v>
      </c>
      <c r="AE544" s="70">
        <f>AE210*'OLD  Formulas'!$C$6</f>
        <v>98.6</v>
      </c>
      <c r="AF544" s="900">
        <f t="shared" si="237"/>
        <v>3613.69</v>
      </c>
    </row>
    <row r="545">
      <c r="A545" s="1260" t="s">
        <v>1119</v>
      </c>
      <c r="B545" s="70">
        <f>B544*'OLD  Formulas'!$L$5</f>
        <v>7.02525</v>
      </c>
      <c r="C545" s="70">
        <f>C544*'OLD  Formulas'!$L$5</f>
        <v>11.832</v>
      </c>
      <c r="D545" s="70">
        <f>D544*'OLD  Formulas'!$L$5</f>
        <v>16.269</v>
      </c>
      <c r="E545" s="70">
        <f>E544*'OLD  Formulas'!$L$5</f>
        <v>14.42025</v>
      </c>
      <c r="F545" s="70">
        <f>F544*'OLD  Formulas'!$L$5</f>
        <v>12.20175</v>
      </c>
      <c r="G545" s="70">
        <f>G544*'OLD  Formulas'!$L$5</f>
        <v>9.24375</v>
      </c>
      <c r="H545" s="70">
        <f>H544*'OLD  Formulas'!$L$5</f>
        <v>7.02525</v>
      </c>
      <c r="I545" s="70">
        <f>I544*'OLD  Formulas'!$L$5</f>
        <v>4.437</v>
      </c>
      <c r="J545" s="70">
        <f>J544*'OLD  Formulas'!$L$5</f>
        <v>5.916</v>
      </c>
      <c r="K545" s="70">
        <f>K544*'OLD  Formulas'!$L$5</f>
        <v>9.98325</v>
      </c>
      <c r="L545" s="70">
        <f>L544*'OLD  Formulas'!$L$5</f>
        <v>11.0925</v>
      </c>
      <c r="M545" s="70">
        <f>M544*'OLD  Formulas'!$L$5</f>
        <v>6.6555</v>
      </c>
      <c r="N545" s="70">
        <f>N544*'OLD  Formulas'!$L$5</f>
        <v>6.28575</v>
      </c>
      <c r="O545" s="70">
        <f>O544*'OLD  Formulas'!$L$5</f>
        <v>7.76475</v>
      </c>
      <c r="P545" s="70">
        <f>P544*'OLD  Formulas'!$L$5</f>
        <v>7.02525</v>
      </c>
      <c r="Q545" s="70">
        <f>Q544*'OLD  Formulas'!$L$5</f>
        <v>10.353</v>
      </c>
      <c r="R545" s="70">
        <f>R544*'OLD  Formulas'!$L$5</f>
        <v>8.1345</v>
      </c>
      <c r="S545" s="70">
        <f>S544*'OLD  Formulas'!$L$5</f>
        <v>12.94125</v>
      </c>
      <c r="T545" s="70">
        <f>T544*'OLD  Formulas'!$L$5</f>
        <v>13.311</v>
      </c>
      <c r="U545" s="70">
        <f>U544*'OLD  Formulas'!$L$5</f>
        <v>8.1345</v>
      </c>
      <c r="V545" s="70">
        <f>V544*'OLD  Formulas'!$L$5</f>
        <v>6.6555</v>
      </c>
      <c r="W545" s="70">
        <f>W544*'OLD  Formulas'!$L$5</f>
        <v>6.6555</v>
      </c>
      <c r="X545" s="70">
        <f>X544*'OLD  Formulas'!$L$5</f>
        <v>7.395</v>
      </c>
      <c r="Y545" s="70">
        <f>Y544*'OLD  Formulas'!$L$5</f>
        <v>10.353</v>
      </c>
      <c r="Z545" s="70">
        <f>Z544*'OLD  Formulas'!$L$5</f>
        <v>9.24375</v>
      </c>
      <c r="AA545" s="70">
        <f>AA544*'OLD  Formulas'!$L$5</f>
        <v>6.28575</v>
      </c>
      <c r="AB545" s="70">
        <f>AB544*'OLD  Formulas'!$L$5</f>
        <v>10.72275</v>
      </c>
      <c r="AC545" s="70">
        <f>AC544*'OLD  Formulas'!$L$5</f>
        <v>9.24375</v>
      </c>
      <c r="AD545" s="70">
        <f>AD544*'OLD  Formulas'!$L$5</f>
        <v>7.02525</v>
      </c>
      <c r="AE545" s="70">
        <f>AE544*'OLD  Formulas'!$L$5</f>
        <v>7.395</v>
      </c>
      <c r="AF545" s="900">
        <f t="shared" si="237"/>
        <v>271.02675</v>
      </c>
    </row>
    <row r="546">
      <c r="A546" s="1260" t="s">
        <v>1121</v>
      </c>
      <c r="B546" s="70">
        <f>B544*'OLD  Formulas'!$L$4</f>
        <v>3.18478</v>
      </c>
      <c r="C546" s="70">
        <f>C544*'OLD  Formulas'!$L$4</f>
        <v>5.36384</v>
      </c>
      <c r="D546" s="70">
        <f>D544*'OLD  Formulas'!$L$4</f>
        <v>7.37528</v>
      </c>
      <c r="E546" s="70">
        <f>E544*'OLD  Formulas'!$L$4</f>
        <v>6.53718</v>
      </c>
      <c r="F546" s="70">
        <f>F544*'OLD  Formulas'!$L$4</f>
        <v>5.53146</v>
      </c>
      <c r="G546" s="70">
        <f>G544*'OLD  Formulas'!$L$4</f>
        <v>4.1905</v>
      </c>
      <c r="H546" s="70">
        <f>H544*'OLD  Formulas'!$L$4</f>
        <v>3.18478</v>
      </c>
      <c r="I546" s="70">
        <f>I544*'OLD  Formulas'!$L$4</f>
        <v>2.01144</v>
      </c>
      <c r="J546" s="70">
        <f>J544*'OLD  Formulas'!$L$4</f>
        <v>2.68192</v>
      </c>
      <c r="K546" s="70">
        <f>K544*'OLD  Formulas'!$L$4</f>
        <v>4.52574</v>
      </c>
      <c r="L546" s="70">
        <f>L544*'OLD  Formulas'!$L$4</f>
        <v>5.0286</v>
      </c>
      <c r="M546" s="70">
        <f>M544*'OLD  Formulas'!$L$4</f>
        <v>3.01716</v>
      </c>
      <c r="N546" s="70">
        <f>N544*'OLD  Formulas'!$L$4</f>
        <v>2.84954</v>
      </c>
      <c r="O546" s="70">
        <f>O544*'OLD  Formulas'!$L$4</f>
        <v>3.52002</v>
      </c>
      <c r="P546" s="70">
        <f>P544*'OLD  Formulas'!$L$4</f>
        <v>3.18478</v>
      </c>
      <c r="Q546" s="70">
        <f>Q544*'OLD  Formulas'!$L$4</f>
        <v>4.69336</v>
      </c>
      <c r="R546" s="70">
        <f>R544*'OLD  Formulas'!$L$4</f>
        <v>3.68764</v>
      </c>
      <c r="S546" s="70">
        <f>S544*'OLD  Formulas'!$L$4</f>
        <v>5.8667</v>
      </c>
      <c r="T546" s="70">
        <f>T544*'OLD  Formulas'!$L$4</f>
        <v>6.03432</v>
      </c>
      <c r="U546" s="70">
        <f>U544*'OLD  Formulas'!$L$4</f>
        <v>3.68764</v>
      </c>
      <c r="V546" s="70">
        <f>V544*'OLD  Formulas'!$L$4</f>
        <v>3.01716</v>
      </c>
      <c r="W546" s="70">
        <f>W544*'OLD  Formulas'!$L$4</f>
        <v>3.01716</v>
      </c>
      <c r="X546" s="70">
        <f>X544*'OLD  Formulas'!$L$4</f>
        <v>3.3524</v>
      </c>
      <c r="Y546" s="70">
        <f>Y544*'OLD  Formulas'!$L$4</f>
        <v>4.69336</v>
      </c>
      <c r="Z546" s="70">
        <f>Z544*'OLD  Formulas'!$L$4</f>
        <v>4.1905</v>
      </c>
      <c r="AA546" s="70">
        <f>AA544*'OLD  Formulas'!$L$4</f>
        <v>2.84954</v>
      </c>
      <c r="AB546" s="70">
        <f>AB544*'OLD  Formulas'!$L$4</f>
        <v>4.86098</v>
      </c>
      <c r="AC546" s="70">
        <f>AC544*'OLD  Formulas'!$L$4</f>
        <v>4.1905</v>
      </c>
      <c r="AD546" s="70">
        <f>AD544*'OLD  Formulas'!$L$4</f>
        <v>3.18478</v>
      </c>
      <c r="AE546" s="70">
        <f>AE544*'OLD  Formulas'!$L$4</f>
        <v>3.3524</v>
      </c>
      <c r="AF546" s="900">
        <f t="shared" si="237"/>
        <v>122.86546</v>
      </c>
    </row>
    <row r="547">
      <c r="A547" s="1257" t="s">
        <v>1122</v>
      </c>
      <c r="B547" s="70">
        <f>B212*'OLD  Formulas'!$C$8</f>
        <v>10.7</v>
      </c>
      <c r="C547" s="70">
        <f>C212*'OLD  Formulas'!$C$8</f>
        <v>22.47</v>
      </c>
      <c r="D547" s="70">
        <f>D212*'OLD  Formulas'!$C$8</f>
        <v>27.82</v>
      </c>
      <c r="E547" s="70">
        <f>E212*'OLD  Formulas'!$C$8</f>
        <v>26.75</v>
      </c>
      <c r="F547" s="70">
        <f>F212*'OLD  Formulas'!$C$8</f>
        <v>24.61</v>
      </c>
      <c r="G547" s="70">
        <f>G212*'OLD  Formulas'!$C$8</f>
        <v>20.33</v>
      </c>
      <c r="H547" s="70">
        <f>H212*'OLD  Formulas'!$C$8</f>
        <v>16.05</v>
      </c>
      <c r="I547" s="70">
        <f>I212*'OLD  Formulas'!$C$8</f>
        <v>9.63</v>
      </c>
      <c r="J547" s="70">
        <f>J212*'OLD  Formulas'!$C$8</f>
        <v>6.42</v>
      </c>
      <c r="K547" s="70">
        <f>K212*'OLD  Formulas'!$C$8</f>
        <v>23.54</v>
      </c>
      <c r="L547" s="70">
        <f>L212*'OLD  Formulas'!$C$8</f>
        <v>18.19</v>
      </c>
      <c r="M547" s="70">
        <f>M212*'OLD  Formulas'!$C$8</f>
        <v>12.84</v>
      </c>
      <c r="N547" s="70">
        <f>N212*'OLD  Formulas'!$C$8</f>
        <v>13.91</v>
      </c>
      <c r="O547" s="70">
        <f>O212*'OLD  Formulas'!$C$8</f>
        <v>22.47</v>
      </c>
      <c r="P547" s="70">
        <f>P212*'OLD  Formulas'!$C$8</f>
        <v>8.56</v>
      </c>
      <c r="Q547" s="70">
        <f>Q212*'OLD  Formulas'!$C$8</f>
        <v>20.33</v>
      </c>
      <c r="R547" s="70">
        <f>R212*'OLD  Formulas'!$C$8</f>
        <v>13.91</v>
      </c>
      <c r="S547" s="70">
        <f>S212*'OLD  Formulas'!$C$8</f>
        <v>26.75</v>
      </c>
      <c r="T547" s="70">
        <f>T212*'OLD  Formulas'!$C$8</f>
        <v>36.38</v>
      </c>
      <c r="U547" s="70">
        <f>U212*'OLD  Formulas'!$C$8</f>
        <v>16.05</v>
      </c>
      <c r="V547" s="70">
        <f>V212*'OLD  Formulas'!$C$8</f>
        <v>12.84</v>
      </c>
      <c r="W547" s="70">
        <f>W212*'OLD  Formulas'!$C$8</f>
        <v>17.12</v>
      </c>
      <c r="X547" s="70">
        <f>X212*'OLD  Formulas'!$C$8</f>
        <v>17.12</v>
      </c>
      <c r="Y547" s="70">
        <f>Y212*'OLD  Formulas'!$C$8</f>
        <v>21.4</v>
      </c>
      <c r="Z547" s="70">
        <f>Z212*'OLD  Formulas'!$C$8</f>
        <v>23.54</v>
      </c>
      <c r="AA547" s="70">
        <f>AA212*'OLD  Formulas'!$C$8</f>
        <v>7.49</v>
      </c>
      <c r="AB547" s="70">
        <f>AB212*'OLD  Formulas'!$C$8</f>
        <v>19.26</v>
      </c>
      <c r="AC547" s="70">
        <f>AC212*'OLD  Formulas'!$C$8</f>
        <v>23.54</v>
      </c>
      <c r="AD547" s="70">
        <f>AD212*'OLD  Formulas'!$C$8</f>
        <v>13.91</v>
      </c>
      <c r="AE547" s="70">
        <f>AE212*'OLD  Formulas'!$C$8</f>
        <v>18.19</v>
      </c>
      <c r="AF547" s="900">
        <f t="shared" si="237"/>
        <v>552.12</v>
      </c>
    </row>
    <row r="548">
      <c r="A548" s="1260" t="s">
        <v>1123</v>
      </c>
      <c r="B548" s="70">
        <f>B547*'OLD  Formulas'!$L$5</f>
        <v>0.8025</v>
      </c>
      <c r="C548" s="70">
        <f>C547*'OLD  Formulas'!$L$5</f>
        <v>1.68525</v>
      </c>
      <c r="D548" s="70">
        <f>D547*'OLD  Formulas'!$L$5</f>
        <v>2.0865</v>
      </c>
      <c r="E548" s="70">
        <f>E547*'OLD  Formulas'!$L$5</f>
        <v>2.00625</v>
      </c>
      <c r="F548" s="70">
        <f>F547*'OLD  Formulas'!$L$5</f>
        <v>1.84575</v>
      </c>
      <c r="G548" s="70">
        <f>G547*'OLD  Formulas'!$L$5</f>
        <v>1.52475</v>
      </c>
      <c r="H548" s="70">
        <f>H547*'OLD  Formulas'!$L$5</f>
        <v>1.20375</v>
      </c>
      <c r="I548" s="70">
        <f>I547*'OLD  Formulas'!$L$5</f>
        <v>0.72225</v>
      </c>
      <c r="J548" s="70">
        <f>J547*'OLD  Formulas'!$L$5</f>
        <v>0.4815</v>
      </c>
      <c r="K548" s="70">
        <f>K547*'OLD  Formulas'!$L$5</f>
        <v>1.7655</v>
      </c>
      <c r="L548" s="70">
        <f>L547*'OLD  Formulas'!$L$5</f>
        <v>1.36425</v>
      </c>
      <c r="M548" s="70">
        <f>M547*'OLD  Formulas'!$L$5</f>
        <v>0.963</v>
      </c>
      <c r="N548" s="70">
        <f>N547*'OLD  Formulas'!$L$5</f>
        <v>1.04325</v>
      </c>
      <c r="O548" s="70">
        <f>O547*'OLD  Formulas'!$L$5</f>
        <v>1.68525</v>
      </c>
      <c r="P548" s="70">
        <f>P547*'OLD  Formulas'!$L$5</f>
        <v>0.642</v>
      </c>
      <c r="Q548" s="70">
        <f>Q547*'OLD  Formulas'!$L$5</f>
        <v>1.52475</v>
      </c>
      <c r="R548" s="70">
        <f>R547*'OLD  Formulas'!$L$5</f>
        <v>1.04325</v>
      </c>
      <c r="S548" s="70">
        <f>S547*'OLD  Formulas'!$L$5</f>
        <v>2.00625</v>
      </c>
      <c r="T548" s="70">
        <f>T547*'OLD  Formulas'!$L$5</f>
        <v>2.7285</v>
      </c>
      <c r="U548" s="70">
        <f>U547*'OLD  Formulas'!$L$5</f>
        <v>1.20375</v>
      </c>
      <c r="V548" s="70">
        <f>V547*'OLD  Formulas'!$L$5</f>
        <v>0.963</v>
      </c>
      <c r="W548" s="70">
        <f>W547*'OLD  Formulas'!$L$5</f>
        <v>1.284</v>
      </c>
      <c r="X548" s="70">
        <f>X547*'OLD  Formulas'!$L$5</f>
        <v>1.284</v>
      </c>
      <c r="Y548" s="70">
        <f>Y547*'OLD  Formulas'!$L$5</f>
        <v>1.605</v>
      </c>
      <c r="Z548" s="70">
        <f>Z547*'OLD  Formulas'!$L$5</f>
        <v>1.7655</v>
      </c>
      <c r="AA548" s="70">
        <f>AA547*'OLD  Formulas'!$L$5</f>
        <v>0.56175</v>
      </c>
      <c r="AB548" s="70">
        <f>AB547*'OLD  Formulas'!$L$5</f>
        <v>1.4445</v>
      </c>
      <c r="AC548" s="70">
        <f>AC547*'OLD  Formulas'!$L$5</f>
        <v>1.7655</v>
      </c>
      <c r="AD548" s="70">
        <f>AD547*'OLD  Formulas'!$L$5</f>
        <v>1.04325</v>
      </c>
      <c r="AE548" s="70">
        <f>AE547*'OLD  Formulas'!$L$5</f>
        <v>1.36425</v>
      </c>
      <c r="AF548" s="900">
        <f t="shared" si="237"/>
        <v>41.409</v>
      </c>
    </row>
    <row r="549">
      <c r="A549" s="1260" t="s">
        <v>1124</v>
      </c>
      <c r="B549" s="70">
        <f>B547*'OLD  Formulas'!$L$4</f>
        <v>0.3638</v>
      </c>
      <c r="C549" s="70">
        <f>C547*'OLD  Formulas'!$L$4</f>
        <v>0.76398</v>
      </c>
      <c r="D549" s="70">
        <f>D547*'OLD  Formulas'!$L$4</f>
        <v>0.94588</v>
      </c>
      <c r="E549" s="70">
        <f>E547*'OLD  Formulas'!$L$4</f>
        <v>0.9095</v>
      </c>
      <c r="F549" s="70">
        <f>F547*'OLD  Formulas'!$L$4</f>
        <v>0.83674</v>
      </c>
      <c r="G549" s="70">
        <f>G547*'OLD  Formulas'!$L$4</f>
        <v>0.69122</v>
      </c>
      <c r="H549" s="70">
        <f>H547*'OLD  Formulas'!$L$4</f>
        <v>0.5457</v>
      </c>
      <c r="I549" s="70">
        <f>I547*'OLD  Formulas'!$L$4</f>
        <v>0.32742</v>
      </c>
      <c r="J549" s="70">
        <f>J547*'OLD  Formulas'!$L$4</f>
        <v>0.21828</v>
      </c>
      <c r="K549" s="70">
        <f>K547*'OLD  Formulas'!$L$4</f>
        <v>0.80036</v>
      </c>
      <c r="L549" s="70">
        <f>L547*'OLD  Formulas'!$L$4</f>
        <v>0.61846</v>
      </c>
      <c r="M549" s="70">
        <f>M547*'OLD  Formulas'!$L$4</f>
        <v>0.43656</v>
      </c>
      <c r="N549" s="70">
        <f>N547*'OLD  Formulas'!$L$4</f>
        <v>0.47294</v>
      </c>
      <c r="O549" s="70">
        <f>O547*'OLD  Formulas'!$L$4</f>
        <v>0.76398</v>
      </c>
      <c r="P549" s="70">
        <f>P547*'OLD  Formulas'!$L$4</f>
        <v>0.29104</v>
      </c>
      <c r="Q549" s="70">
        <f>Q547*'OLD  Formulas'!$L$4</f>
        <v>0.69122</v>
      </c>
      <c r="R549" s="70">
        <f>R547*'OLD  Formulas'!$L$4</f>
        <v>0.47294</v>
      </c>
      <c r="S549" s="70">
        <f>S547*'OLD  Formulas'!$L$4</f>
        <v>0.9095</v>
      </c>
      <c r="T549" s="70">
        <f>T547*'OLD  Formulas'!$L$4</f>
        <v>1.23692</v>
      </c>
      <c r="U549" s="70">
        <f>U547*'OLD  Formulas'!$L$4</f>
        <v>0.5457</v>
      </c>
      <c r="V549" s="70">
        <f>V547*'OLD  Formulas'!$L$4</f>
        <v>0.43656</v>
      </c>
      <c r="W549" s="70">
        <f>W547*'OLD  Formulas'!$L$4</f>
        <v>0.58208</v>
      </c>
      <c r="X549" s="70">
        <f>X547*'OLD  Formulas'!$L$4</f>
        <v>0.58208</v>
      </c>
      <c r="Y549" s="70">
        <f>Y547*'OLD  Formulas'!$L$4</f>
        <v>0.7276</v>
      </c>
      <c r="Z549" s="70">
        <f>Z547*'OLD  Formulas'!$L$4</f>
        <v>0.80036</v>
      </c>
      <c r="AA549" s="70">
        <f>AA547*'OLD  Formulas'!$L$4</f>
        <v>0.25466</v>
      </c>
      <c r="AB549" s="70">
        <f>AB547*'OLD  Formulas'!$L$4</f>
        <v>0.65484</v>
      </c>
      <c r="AC549" s="70">
        <f>AC547*'OLD  Formulas'!$L$4</f>
        <v>0.80036</v>
      </c>
      <c r="AD549" s="70">
        <f>AD547*'OLD  Formulas'!$L$4</f>
        <v>0.47294</v>
      </c>
      <c r="AE549" s="70">
        <f>AE547*'OLD  Formulas'!$L$4</f>
        <v>0.61846</v>
      </c>
      <c r="AF549" s="900">
        <f t="shared" si="237"/>
        <v>18.77208</v>
      </c>
    </row>
    <row r="550">
      <c r="A550" s="1257" t="s">
        <v>1125</v>
      </c>
      <c r="B550" s="70">
        <f>B213*'OLD  Formulas'!$C$9</f>
        <v>41.86</v>
      </c>
      <c r="C550" s="70">
        <f>C213*'OLD  Formulas'!$C$9</f>
        <v>113.62</v>
      </c>
      <c r="D550" s="70">
        <f>D213*'OLD  Formulas'!$C$9</f>
        <v>167.44</v>
      </c>
      <c r="E550" s="70">
        <f>E213*'OLD  Formulas'!$C$9</f>
        <v>137.54</v>
      </c>
      <c r="F550" s="70">
        <f>F213*'OLD  Formulas'!$C$9</f>
        <v>137.54</v>
      </c>
      <c r="G550" s="70">
        <f>G213*'OLD  Formulas'!$C$9</f>
        <v>89.7</v>
      </c>
      <c r="H550" s="70">
        <f>H213*'OLD  Formulas'!$C$9</f>
        <v>95.68</v>
      </c>
      <c r="I550" s="70">
        <f>I213*'OLD  Formulas'!$C$9</f>
        <v>53.82</v>
      </c>
      <c r="J550" s="70">
        <f>J213*'OLD  Formulas'!$C$9</f>
        <v>53.82</v>
      </c>
      <c r="K550" s="70">
        <f>K213*'OLD  Formulas'!$C$9</f>
        <v>77.74</v>
      </c>
      <c r="L550" s="70">
        <f>L213*'OLD  Formulas'!$C$9</f>
        <v>77.74</v>
      </c>
      <c r="M550" s="70">
        <f>M213*'OLD  Formulas'!$C$9</f>
        <v>77.74</v>
      </c>
      <c r="N550" s="70">
        <f>N213*'OLD  Formulas'!$C$9</f>
        <v>47.84</v>
      </c>
      <c r="O550" s="70">
        <f>O213*'OLD  Formulas'!$C$9</f>
        <v>35.88</v>
      </c>
      <c r="P550" s="70">
        <f>P213*'OLD  Formulas'!$C$9</f>
        <v>23.92</v>
      </c>
      <c r="Q550" s="70">
        <f>Q213*'OLD  Formulas'!$C$9</f>
        <v>77.74</v>
      </c>
      <c r="R550" s="70">
        <f>R213*'OLD  Formulas'!$C$9</f>
        <v>29.9</v>
      </c>
      <c r="S550" s="70">
        <f>S213*'OLD  Formulas'!$C$9</f>
        <v>0</v>
      </c>
      <c r="T550" s="70">
        <f>T213*'OLD  Formulas'!$C$9</f>
        <v>215.28</v>
      </c>
      <c r="U550" s="70">
        <f>U213*'OLD  Formulas'!$C$9</f>
        <v>101.66</v>
      </c>
      <c r="V550" s="70">
        <f>V213*'OLD  Formulas'!$C$9</f>
        <v>131.56</v>
      </c>
      <c r="W550" s="70">
        <f>W213*'OLD  Formulas'!$C$9</f>
        <v>29.9</v>
      </c>
      <c r="X550" s="70">
        <f>X213*'OLD  Formulas'!$C$9</f>
        <v>65.78</v>
      </c>
      <c r="Y550" s="70">
        <f>Y213*'OLD  Formulas'!$C$9</f>
        <v>41.86</v>
      </c>
      <c r="Z550" s="70">
        <f>Z213*'OLD  Formulas'!$C$9</f>
        <v>47.84</v>
      </c>
      <c r="AA550" s="70">
        <f>AA213*'OLD  Formulas'!$C$9</f>
        <v>47.84</v>
      </c>
      <c r="AB550" s="70">
        <f>AB213*'OLD  Formulas'!$C$9</f>
        <v>29.9</v>
      </c>
      <c r="AC550" s="70">
        <f>AC213*'OLD  Formulas'!$C$9</f>
        <v>47.84</v>
      </c>
      <c r="AD550" s="70">
        <f>AD213*'OLD  Formulas'!$C$9</f>
        <v>47.84</v>
      </c>
      <c r="AE550" s="70">
        <f>AE213*'OLD  Formulas'!$C$9</f>
        <v>41.86</v>
      </c>
      <c r="AF550" s="900">
        <f t="shared" si="237"/>
        <v>2188.68</v>
      </c>
    </row>
    <row r="551">
      <c r="A551" s="1260" t="s">
        <v>1126</v>
      </c>
      <c r="B551" s="70">
        <f>B550*'OLD  Formulas'!$L$5</f>
        <v>3.1395</v>
      </c>
      <c r="C551" s="70">
        <f>C550*'OLD  Formulas'!$L$5</f>
        <v>8.5215</v>
      </c>
      <c r="D551" s="70">
        <f>D550*'OLD  Formulas'!$L$5</f>
        <v>12.558</v>
      </c>
      <c r="E551" s="70">
        <f>E550*'OLD  Formulas'!$L$5</f>
        <v>10.3155</v>
      </c>
      <c r="F551" s="70">
        <f>F550*'OLD  Formulas'!$L$5</f>
        <v>10.3155</v>
      </c>
      <c r="G551" s="70">
        <f>G550*'OLD  Formulas'!$L$5</f>
        <v>6.7275</v>
      </c>
      <c r="H551" s="70">
        <f>H550*'OLD  Formulas'!$L$5</f>
        <v>7.176</v>
      </c>
      <c r="I551" s="70">
        <f>I550*'OLD  Formulas'!$L$5</f>
        <v>4.0365</v>
      </c>
      <c r="J551" s="70">
        <f>J550*'OLD  Formulas'!$L$5</f>
        <v>4.0365</v>
      </c>
      <c r="K551" s="70">
        <f>K550*'OLD  Formulas'!$L$5</f>
        <v>5.8305</v>
      </c>
      <c r="L551" s="70">
        <f>L550*'OLD  Formulas'!$L$5</f>
        <v>5.8305</v>
      </c>
      <c r="M551" s="70">
        <f>M550*'OLD  Formulas'!$L$5</f>
        <v>5.8305</v>
      </c>
      <c r="N551" s="70">
        <f>N550*'OLD  Formulas'!$L$5</f>
        <v>3.588</v>
      </c>
      <c r="O551" s="70">
        <f>O550*'OLD  Formulas'!$L$5</f>
        <v>2.691</v>
      </c>
      <c r="P551" s="70">
        <f>P550*'OLD  Formulas'!$L$5</f>
        <v>1.794</v>
      </c>
      <c r="Q551" s="70">
        <f>Q550*'OLD  Formulas'!$L$5</f>
        <v>5.8305</v>
      </c>
      <c r="R551" s="70">
        <f>R550*'OLD  Formulas'!$L$5</f>
        <v>2.2425</v>
      </c>
      <c r="S551" s="70">
        <f>S550*'OLD  Formulas'!$L$5</f>
        <v>0</v>
      </c>
      <c r="T551" s="70">
        <f>T550*'OLD  Formulas'!$L$5</f>
        <v>16.146</v>
      </c>
      <c r="U551" s="70">
        <f>U550*'OLD  Formulas'!$L$5</f>
        <v>7.6245</v>
      </c>
      <c r="V551" s="70">
        <f>V550*'OLD  Formulas'!$L$5</f>
        <v>9.867</v>
      </c>
      <c r="W551" s="70">
        <f>W550*'OLD  Formulas'!$L$5</f>
        <v>2.2425</v>
      </c>
      <c r="X551" s="70">
        <f>X550*'OLD  Formulas'!$L$5</f>
        <v>4.9335</v>
      </c>
      <c r="Y551" s="70">
        <f>Y550*'OLD  Formulas'!$L$5</f>
        <v>3.1395</v>
      </c>
      <c r="Z551" s="70">
        <f>Z550*'OLD  Formulas'!$L$5</f>
        <v>3.588</v>
      </c>
      <c r="AA551" s="70">
        <f>AA550*'OLD  Formulas'!$L$5</f>
        <v>3.588</v>
      </c>
      <c r="AB551" s="70">
        <f>AB550*'OLD  Formulas'!$L$5</f>
        <v>2.2425</v>
      </c>
      <c r="AC551" s="70">
        <f>AC550*'OLD  Formulas'!$L$5</f>
        <v>3.588</v>
      </c>
      <c r="AD551" s="70">
        <f>AD550*'OLD  Formulas'!$L$5</f>
        <v>3.588</v>
      </c>
      <c r="AE551" s="70">
        <f>AE550*'OLD  Formulas'!$L$5</f>
        <v>3.1395</v>
      </c>
      <c r="AF551" s="900">
        <f t="shared" si="237"/>
        <v>164.151</v>
      </c>
    </row>
    <row r="552">
      <c r="A552" s="1260" t="s">
        <v>1128</v>
      </c>
      <c r="B552" s="70">
        <f>B550*'OLD  Formulas'!$L$4</f>
        <v>1.42324</v>
      </c>
      <c r="C552" s="70">
        <f>C550*'OLD  Formulas'!$L$4</f>
        <v>3.86308</v>
      </c>
      <c r="D552" s="70">
        <f>D550*'OLD  Formulas'!$L$4</f>
        <v>5.69296</v>
      </c>
      <c r="E552" s="70">
        <f>E550*'OLD  Formulas'!$L$4</f>
        <v>4.67636</v>
      </c>
      <c r="F552" s="70">
        <f>F550*'OLD  Formulas'!$L$4</f>
        <v>4.67636</v>
      </c>
      <c r="G552" s="70">
        <f>G550*'OLD  Formulas'!$L$4</f>
        <v>3.0498</v>
      </c>
      <c r="H552" s="70">
        <f>H550*'OLD  Formulas'!$L$4</f>
        <v>3.25312</v>
      </c>
      <c r="I552" s="70">
        <f>I550*'OLD  Formulas'!$L$4</f>
        <v>1.82988</v>
      </c>
      <c r="J552" s="70">
        <f>J550*'OLD  Formulas'!$L$4</f>
        <v>1.82988</v>
      </c>
      <c r="K552" s="70">
        <f>K550*'OLD  Formulas'!$L$4</f>
        <v>2.64316</v>
      </c>
      <c r="L552" s="70">
        <f>L550*'OLD  Formulas'!$L$4</f>
        <v>2.64316</v>
      </c>
      <c r="M552" s="70">
        <f>M550*'OLD  Formulas'!$L$4</f>
        <v>2.64316</v>
      </c>
      <c r="N552" s="70">
        <f>N550*'OLD  Formulas'!$L$4</f>
        <v>1.62656</v>
      </c>
      <c r="O552" s="70">
        <f>O550*'OLD  Formulas'!$L$4</f>
        <v>1.21992</v>
      </c>
      <c r="P552" s="70">
        <f>P550*'OLD  Formulas'!$L$4</f>
        <v>0.81328</v>
      </c>
      <c r="Q552" s="70">
        <f>Q550*'OLD  Formulas'!$L$4</f>
        <v>2.64316</v>
      </c>
      <c r="R552" s="70">
        <f>R550*'OLD  Formulas'!$L$4</f>
        <v>1.0166</v>
      </c>
      <c r="S552" s="70">
        <f>S550*'OLD  Formulas'!$L$4</f>
        <v>0</v>
      </c>
      <c r="T552" s="70">
        <f>T550*'OLD  Formulas'!$L$4</f>
        <v>7.31952</v>
      </c>
      <c r="U552" s="70">
        <f>U550*'OLD  Formulas'!$L$4</f>
        <v>3.45644</v>
      </c>
      <c r="V552" s="70">
        <f>V550*'OLD  Formulas'!$L$4</f>
        <v>4.47304</v>
      </c>
      <c r="W552" s="70">
        <f>W550*'OLD  Formulas'!$L$4</f>
        <v>1.0166</v>
      </c>
      <c r="X552" s="70">
        <f>X550*'OLD  Formulas'!$L$4</f>
        <v>2.23652</v>
      </c>
      <c r="Y552" s="70">
        <f>Y550*'OLD  Formulas'!$L$4</f>
        <v>1.42324</v>
      </c>
      <c r="Z552" s="70">
        <f>Z550*'OLD  Formulas'!$L$4</f>
        <v>1.62656</v>
      </c>
      <c r="AA552" s="70">
        <f>AA550*'OLD  Formulas'!$L$4</f>
        <v>1.62656</v>
      </c>
      <c r="AB552" s="70">
        <f>AB550*'OLD  Formulas'!$L$4</f>
        <v>1.0166</v>
      </c>
      <c r="AC552" s="70">
        <f>AC550*'OLD  Formulas'!$L$4</f>
        <v>1.62656</v>
      </c>
      <c r="AD552" s="70">
        <f>AD550*'OLD  Formulas'!$L$4</f>
        <v>1.62656</v>
      </c>
      <c r="AE552" s="70">
        <f>AE550*'OLD  Formulas'!$L$4</f>
        <v>1.42324</v>
      </c>
      <c r="AF552" s="900">
        <f t="shared" si="237"/>
        <v>74.41512</v>
      </c>
    </row>
    <row r="553">
      <c r="A553" s="1257" t="s">
        <v>1129</v>
      </c>
      <c r="B553" s="70">
        <f>B215*'OLD  Formulas'!$C$5</f>
        <v>31.5</v>
      </c>
      <c r="C553" s="70">
        <f>C215*'OLD  Formulas'!$C$5</f>
        <v>52.5</v>
      </c>
      <c r="D553" s="70">
        <f>D215*'OLD  Formulas'!$C$5</f>
        <v>84</v>
      </c>
      <c r="E553" s="70">
        <f>E215*'OLD  Formulas'!$C$5</f>
        <v>63</v>
      </c>
      <c r="F553" s="70">
        <f>F215*'OLD  Formulas'!$C$5</f>
        <v>73.5</v>
      </c>
      <c r="G553" s="70">
        <f>G215*'OLD  Formulas'!$C$5</f>
        <v>94.5</v>
      </c>
      <c r="H553" s="70">
        <f>H215*'OLD  Formulas'!$C$5</f>
        <v>52.5</v>
      </c>
      <c r="I553" s="70">
        <f>I215*'OLD  Formulas'!$C$5</f>
        <v>31.5</v>
      </c>
      <c r="J553" s="70">
        <f>J215*'OLD  Formulas'!$C$5</f>
        <v>10.5</v>
      </c>
      <c r="K553" s="70">
        <f>K215*'OLD  Formulas'!$C$5</f>
        <v>52.5</v>
      </c>
      <c r="L553" s="70">
        <f>L215*'OLD  Formulas'!$C$5</f>
        <v>52.5</v>
      </c>
      <c r="M553" s="70">
        <f>M215*'OLD  Formulas'!$C$5</f>
        <v>31.5</v>
      </c>
      <c r="N553" s="70">
        <f>N215*'OLD  Formulas'!$C$5</f>
        <v>31.5</v>
      </c>
      <c r="O553" s="70">
        <f>O215*'OLD  Formulas'!$C$5</f>
        <v>42</v>
      </c>
      <c r="P553" s="70">
        <f>P215*'OLD  Formulas'!$C$5</f>
        <v>105</v>
      </c>
      <c r="Q553" s="70">
        <f>Q215*'OLD  Formulas'!$C$5</f>
        <v>42</v>
      </c>
      <c r="R553" s="70">
        <f>R215*'OLD  Formulas'!$C$5</f>
        <v>73.5</v>
      </c>
      <c r="S553" s="70">
        <f>S215*'OLD  Formulas'!$C$5</f>
        <v>52.5</v>
      </c>
      <c r="T553" s="70">
        <f>T215*'OLD  Formulas'!$C$5</f>
        <v>0</v>
      </c>
      <c r="U553" s="70">
        <f>U215*'OLD  Formulas'!$C$5</f>
        <v>42</v>
      </c>
      <c r="V553" s="70">
        <f>V215*'OLD  Formulas'!$C$5</f>
        <v>73.5</v>
      </c>
      <c r="W553" s="70">
        <f>W215*'OLD  Formulas'!$C$5</f>
        <v>73.5</v>
      </c>
      <c r="X553" s="70">
        <f>X215*'OLD  Formulas'!$C$5</f>
        <v>73.5</v>
      </c>
      <c r="Y553" s="70">
        <f>Y215*'OLD  Formulas'!$C$5</f>
        <v>52.5</v>
      </c>
      <c r="Z553" s="70">
        <f>Z215*'OLD  Formulas'!$C$5</f>
        <v>42</v>
      </c>
      <c r="AA553" s="70">
        <f>AA215*'OLD  Formulas'!$C$5</f>
        <v>63</v>
      </c>
      <c r="AB553" s="70">
        <f>AB215*'OLD  Formulas'!$C$5</f>
        <v>42</v>
      </c>
      <c r="AC553" s="70">
        <f>AC215*'OLD  Formulas'!$C$5</f>
        <v>31.5</v>
      </c>
      <c r="AD553" s="70">
        <f>AD215*'OLD  Formulas'!$C$5</f>
        <v>84</v>
      </c>
      <c r="AE553" s="70">
        <f>AE215*'OLD  Formulas'!$C$5</f>
        <v>21</v>
      </c>
      <c r="AF553" s="900">
        <f t="shared" si="237"/>
        <v>1575</v>
      </c>
    </row>
    <row r="554">
      <c r="A554" s="1260" t="s">
        <v>1130</v>
      </c>
      <c r="B554" s="70">
        <f>B553*'OLD  Formulas'!$L$8</f>
        <v>2.3625</v>
      </c>
      <c r="C554" s="70">
        <f>C553*'OLD  Formulas'!$L$8</f>
        <v>3.9375</v>
      </c>
      <c r="D554" s="70">
        <f>D553*'OLD  Formulas'!$L$8</f>
        <v>6.3</v>
      </c>
      <c r="E554" s="70">
        <f>E553*'OLD  Formulas'!$L$8</f>
        <v>4.725</v>
      </c>
      <c r="F554" s="70">
        <f>F553*'OLD  Formulas'!$L$8</f>
        <v>5.5125</v>
      </c>
      <c r="G554" s="70">
        <f>G553*'OLD  Formulas'!$L$8</f>
        <v>7.0875</v>
      </c>
      <c r="H554" s="70">
        <f>H553*'OLD  Formulas'!$L$8</f>
        <v>3.9375</v>
      </c>
      <c r="I554" s="70">
        <f>I553*'OLD  Formulas'!$L$8</f>
        <v>2.3625</v>
      </c>
      <c r="J554" s="70">
        <f>J553*'OLD  Formulas'!$L$8</f>
        <v>0.7875</v>
      </c>
      <c r="K554" s="70">
        <f>K553*'OLD  Formulas'!$L$8</f>
        <v>3.9375</v>
      </c>
      <c r="L554" s="70">
        <f>L553*'OLD  Formulas'!$L$8</f>
        <v>3.9375</v>
      </c>
      <c r="M554" s="70">
        <f>M553*'OLD  Formulas'!$L$8</f>
        <v>2.3625</v>
      </c>
      <c r="N554" s="70">
        <f>N553*'OLD  Formulas'!$L$8</f>
        <v>2.3625</v>
      </c>
      <c r="O554" s="70">
        <f>O553*'OLD  Formulas'!$L$8</f>
        <v>3.15</v>
      </c>
      <c r="P554" s="70">
        <f>P553*'OLD  Formulas'!$L$8</f>
        <v>7.875</v>
      </c>
      <c r="Q554" s="70">
        <f>Q553*'OLD  Formulas'!$L$8</f>
        <v>3.15</v>
      </c>
      <c r="R554" s="70">
        <f>R553*'OLD  Formulas'!$L$8</f>
        <v>5.5125</v>
      </c>
      <c r="S554" s="70">
        <f>S553*'OLD  Formulas'!$L$8</f>
        <v>3.9375</v>
      </c>
      <c r="T554" s="70">
        <f>T553*'OLD  Formulas'!$L$8</f>
        <v>0</v>
      </c>
      <c r="U554" s="70">
        <f>U553*'OLD  Formulas'!$L$8</f>
        <v>3.15</v>
      </c>
      <c r="V554" s="70">
        <f>V553*'OLD  Formulas'!$L$8</f>
        <v>5.5125</v>
      </c>
      <c r="W554" s="70">
        <f>W553*'OLD  Formulas'!$L$8</f>
        <v>5.5125</v>
      </c>
      <c r="X554" s="70">
        <f>X553*'OLD  Formulas'!$L$8</f>
        <v>5.5125</v>
      </c>
      <c r="Y554" s="70">
        <f>Y553*'OLD  Formulas'!$L$8</f>
        <v>3.9375</v>
      </c>
      <c r="Z554" s="70">
        <f>Z553*'OLD  Formulas'!$L$8</f>
        <v>3.15</v>
      </c>
      <c r="AA554" s="70">
        <f>AA553*'OLD  Formulas'!$L$8</f>
        <v>4.725</v>
      </c>
      <c r="AB554" s="70">
        <f>AB553*'OLD  Formulas'!$L$8</f>
        <v>3.15</v>
      </c>
      <c r="AC554" s="70">
        <f>AC553*'OLD  Formulas'!$L$8</f>
        <v>2.3625</v>
      </c>
      <c r="AD554" s="70">
        <f>AD553*'OLD  Formulas'!$L$8</f>
        <v>6.3</v>
      </c>
      <c r="AE554" s="70">
        <f>AE553*'OLD  Formulas'!$L$8</f>
        <v>1.575</v>
      </c>
      <c r="AF554" s="900">
        <f t="shared" si="237"/>
        <v>118.125</v>
      </c>
    </row>
    <row r="555">
      <c r="A555" s="1260" t="s">
        <v>1134</v>
      </c>
      <c r="B555" s="70">
        <f>B553*'OLD  Formulas'!$L$9</f>
        <v>0.7875</v>
      </c>
      <c r="C555" s="70">
        <f>C553*'OLD  Formulas'!$L$9</f>
        <v>1.3125</v>
      </c>
      <c r="D555" s="70">
        <f>D553*'OLD  Formulas'!$L$9</f>
        <v>2.1</v>
      </c>
      <c r="E555" s="70">
        <f>E553*'OLD  Formulas'!$L$9</f>
        <v>1.575</v>
      </c>
      <c r="F555" s="70">
        <f>F553*'OLD  Formulas'!$L$9</f>
        <v>1.8375</v>
      </c>
      <c r="G555" s="70">
        <f>G553*'OLD  Formulas'!$L$9</f>
        <v>2.3625</v>
      </c>
      <c r="H555" s="70">
        <f>H553*'OLD  Formulas'!$L$9</f>
        <v>1.3125</v>
      </c>
      <c r="I555" s="70">
        <f>I553*'OLD  Formulas'!$L$9</f>
        <v>0.7875</v>
      </c>
      <c r="J555" s="70">
        <f>J553*'OLD  Formulas'!$L$9</f>
        <v>0.2625</v>
      </c>
      <c r="K555" s="70">
        <f>K553*'OLD  Formulas'!$L$9</f>
        <v>1.3125</v>
      </c>
      <c r="L555" s="70">
        <f>L553*'OLD  Formulas'!$L$9</f>
        <v>1.3125</v>
      </c>
      <c r="M555" s="70">
        <f>M553*'OLD  Formulas'!$L$9</f>
        <v>0.7875</v>
      </c>
      <c r="N555" s="70">
        <f>N553*'OLD  Formulas'!$L$9</f>
        <v>0.7875</v>
      </c>
      <c r="O555" s="70">
        <f>O553*'OLD  Formulas'!$L$9</f>
        <v>1.05</v>
      </c>
      <c r="P555" s="70">
        <f>P553*'OLD  Formulas'!$L$9</f>
        <v>2.625</v>
      </c>
      <c r="Q555" s="70">
        <f>Q553*'OLD  Formulas'!$L$9</f>
        <v>1.05</v>
      </c>
      <c r="R555" s="70">
        <f>R553*'OLD  Formulas'!$L$9</f>
        <v>1.8375</v>
      </c>
      <c r="S555" s="70">
        <f>S553*'OLD  Formulas'!$L$9</f>
        <v>1.3125</v>
      </c>
      <c r="T555" s="70">
        <f>T553*'OLD  Formulas'!$L$9</f>
        <v>0</v>
      </c>
      <c r="U555" s="70">
        <f>U553*'OLD  Formulas'!$L$9</f>
        <v>1.05</v>
      </c>
      <c r="V555" s="70">
        <f>V553*'OLD  Formulas'!$L$9</f>
        <v>1.8375</v>
      </c>
      <c r="W555" s="70">
        <f>W553*'OLD  Formulas'!$L$9</f>
        <v>1.8375</v>
      </c>
      <c r="X555" s="70">
        <f>X553*'OLD  Formulas'!$L$9</f>
        <v>1.8375</v>
      </c>
      <c r="Y555" s="70">
        <f>Y553*'OLD  Formulas'!$L$9</f>
        <v>1.3125</v>
      </c>
      <c r="Z555" s="70">
        <f>Z553*'OLD  Formulas'!$L$9</f>
        <v>1.05</v>
      </c>
      <c r="AA555" s="70">
        <f>AA553*'OLD  Formulas'!$L$9</f>
        <v>1.575</v>
      </c>
      <c r="AB555" s="70">
        <f>AB553*'OLD  Formulas'!$L$9</f>
        <v>1.05</v>
      </c>
      <c r="AC555" s="70">
        <f>AC553*'OLD  Formulas'!$L$9</f>
        <v>0.7875</v>
      </c>
      <c r="AD555" s="70">
        <f>AD553*'OLD  Formulas'!$L$9</f>
        <v>2.1</v>
      </c>
      <c r="AE555" s="70">
        <f>AE553*'OLD  Formulas'!$L$9</f>
        <v>0.525</v>
      </c>
      <c r="AF555" s="900">
        <f t="shared" si="237"/>
        <v>39.375</v>
      </c>
    </row>
    <row r="556">
      <c r="A556" s="1260" t="s">
        <v>1154</v>
      </c>
      <c r="B556" s="1310">
        <f>(B537+B539+B541+B544+B547+B550+B553)*'OLD  Formulas'!$L$6</f>
        <v>5.6804875</v>
      </c>
      <c r="C556" s="1310">
        <f>(C537+C539+C541+C544+C547+C550+C553)*'OLD  Formulas'!$L$6</f>
        <v>9.8065625</v>
      </c>
      <c r="D556" s="1310">
        <f>(D537+D539+D541+D544+D547+D550+D553)*'OLD  Formulas'!$L$6</f>
        <v>10.89285</v>
      </c>
      <c r="E556" s="1310">
        <f>(E537+E539+E541+E544+E547+E550+E553)*'OLD  Formulas'!$L$6</f>
        <v>13.9025</v>
      </c>
      <c r="F556" s="1310">
        <f>(F537+F539+F541+F544+F547+F550+F553)*'OLD  Formulas'!$L$6</f>
        <v>13.1777</v>
      </c>
      <c r="G556" s="1310">
        <f>(G537+G539+G541+G544+G547+G550+G553)*'OLD  Formulas'!$L$6</f>
        <v>7.921025</v>
      </c>
      <c r="H556" s="1310">
        <f>(H537+H539+H541+H544+H547+H550+H553)*'OLD  Formulas'!$L$6</f>
        <v>6.934675</v>
      </c>
      <c r="I556" s="1310">
        <f>(I537+I539+I541+I544+I547+I550+I553)*'OLD  Formulas'!$L$6</f>
        <v>4.9426125</v>
      </c>
      <c r="J556" s="1310">
        <f>(J537+J539+J541+J544+J547+J550+J553)*'OLD  Formulas'!$L$6</f>
        <v>5.734475</v>
      </c>
      <c r="K556" s="1310">
        <f>(K537+K539+K541+K544+K547+K550+K553)*'OLD  Formulas'!$L$6</f>
        <v>6.8050625</v>
      </c>
      <c r="L556" s="1310">
        <f>(L537+L539+L541+L544+L547+L550+L553)*'OLD  Formulas'!$L$6</f>
        <v>6.4254875</v>
      </c>
      <c r="M556" s="1310">
        <f>(M537+M539+M541+M544+M547+M550+M553)*'OLD  Formulas'!$L$6</f>
        <v>5.268475</v>
      </c>
      <c r="N556" s="1310">
        <f>(N537+N539+N541+N544+N547+N550+N553)*'OLD  Formulas'!$L$6</f>
        <v>5.922225</v>
      </c>
      <c r="O556" s="1310">
        <f>(O537+O539+O541+O544+O547+O550+O553)*'OLD  Formulas'!$L$6</f>
        <v>6.1836</v>
      </c>
      <c r="P556" s="1310">
        <f>(P537+P539+P541+P544+P547+P550+P553)*'OLD  Formulas'!$L$6</f>
        <v>6.2672875</v>
      </c>
      <c r="Q556" s="1310">
        <f>(Q537+Q539+Q541+Q544+Q547+Q550+Q553)*'OLD  Formulas'!$L$6</f>
        <v>7.6434875</v>
      </c>
      <c r="R556" s="1310">
        <f>(R537+R539+R541+R544+R547+R550+R553)*'OLD  Formulas'!$L$6</f>
        <v>7.4393375</v>
      </c>
      <c r="S556" s="1310">
        <f>(S537+S539+S541+S544+S547+S550+S553)*'OLD  Formulas'!$L$6</f>
        <v>7.29595</v>
      </c>
      <c r="T556" s="1310">
        <f>(T537+T539+T541+T544+T547+T550+T553)*'OLD  Formulas'!$L$6</f>
        <v>5.45225</v>
      </c>
      <c r="U556" s="1310">
        <f>(U537+U539+U541+U544+U547+U550+U553)*'OLD  Formulas'!$L$6</f>
        <v>6.3530875</v>
      </c>
      <c r="V556" s="1310">
        <f>(V537+V539+V541+V544+V547+V550+V553)*'OLD  Formulas'!$L$6</f>
        <v>6.0594</v>
      </c>
      <c r="W556" s="1310">
        <f>(W537+W539+W541+W544+W547+W550+W553)*'OLD  Formulas'!$L$6</f>
        <v>4.49385</v>
      </c>
      <c r="X556" s="1310">
        <f>(X537+X539+X541+X544+X547+X550+X553)*'OLD  Formulas'!$L$6</f>
        <v>4.625425</v>
      </c>
      <c r="Y556" s="1310">
        <f>(Y537+Y539+Y541+Y544+Y547+Y550+Y553)*'OLD  Formulas'!$L$6</f>
        <v>5.347</v>
      </c>
      <c r="Z556" s="1310">
        <f>(Z537+Z539+Z541+Z544+Z547+Z550+Z553)*'OLD  Formulas'!$L$6</f>
        <v>5.2116125</v>
      </c>
      <c r="AA556" s="1310">
        <f>(AA537+AA539+AA541+AA544+AA547+AA550+AA553)*'OLD  Formulas'!$L$6</f>
        <v>3.065925</v>
      </c>
      <c r="AB556" s="1310">
        <f>(AB537+AB539+AB541+AB544+AB547+AB550+AB553)*'OLD  Formulas'!$L$6</f>
        <v>5.9811625</v>
      </c>
      <c r="AC556" s="1310">
        <f>(AC537+AC539+AC541+AC544+AC547+AC550+AC553)*'OLD  Formulas'!$L$6</f>
        <v>5.3519375</v>
      </c>
      <c r="AD556" s="1310">
        <f>(AD537+AD539+AD541+AD544+AD547+AD550+AD553)*'OLD  Formulas'!$L$6</f>
        <v>5.44295</v>
      </c>
      <c r="AE556" s="1310">
        <f>(AE537+AE539+AE541+AE544+AE547+AE550+AE553)*'OLD  Formulas'!$L$6</f>
        <v>6.8368625</v>
      </c>
      <c r="AF556" s="900">
        <f t="shared" si="237"/>
        <v>202.4652625</v>
      </c>
    </row>
    <row r="557">
      <c r="A557" s="1260" t="s">
        <v>1166</v>
      </c>
      <c r="B557" s="1310">
        <f t="shared" ref="B557:AE557" si="238">$AF557/31</f>
        <v>17.36774194</v>
      </c>
      <c r="C557" s="1310">
        <f t="shared" si="238"/>
        <v>17.36774194</v>
      </c>
      <c r="D557" s="1310">
        <f t="shared" si="238"/>
        <v>17.36774194</v>
      </c>
      <c r="E557" s="1310">
        <f t="shared" si="238"/>
        <v>17.36774194</v>
      </c>
      <c r="F557" s="1310">
        <f t="shared" si="238"/>
        <v>17.36774194</v>
      </c>
      <c r="G557" s="1310">
        <f t="shared" si="238"/>
        <v>17.36774194</v>
      </c>
      <c r="H557" s="1310">
        <f t="shared" si="238"/>
        <v>17.36774194</v>
      </c>
      <c r="I557" s="1310">
        <f t="shared" si="238"/>
        <v>17.36774194</v>
      </c>
      <c r="J557" s="1310">
        <f t="shared" si="238"/>
        <v>17.36774194</v>
      </c>
      <c r="K557" s="1310">
        <f t="shared" si="238"/>
        <v>17.36774194</v>
      </c>
      <c r="L557" s="1310">
        <f t="shared" si="238"/>
        <v>17.36774194</v>
      </c>
      <c r="M557" s="1310">
        <f t="shared" si="238"/>
        <v>17.36774194</v>
      </c>
      <c r="N557" s="1310">
        <f t="shared" si="238"/>
        <v>17.36774194</v>
      </c>
      <c r="O557" s="1310">
        <f t="shared" si="238"/>
        <v>17.36774194</v>
      </c>
      <c r="P557" s="1310">
        <f t="shared" si="238"/>
        <v>17.36774194</v>
      </c>
      <c r="Q557" s="1310">
        <f t="shared" si="238"/>
        <v>17.36774194</v>
      </c>
      <c r="R557" s="1310">
        <f t="shared" si="238"/>
        <v>17.36774194</v>
      </c>
      <c r="S557" s="1310">
        <f t="shared" si="238"/>
        <v>17.36774194</v>
      </c>
      <c r="T557" s="1310">
        <f t="shared" si="238"/>
        <v>17.36774194</v>
      </c>
      <c r="U557" s="1310">
        <f t="shared" si="238"/>
        <v>17.36774194</v>
      </c>
      <c r="V557" s="1310">
        <f t="shared" si="238"/>
        <v>17.36774194</v>
      </c>
      <c r="W557" s="1310">
        <f t="shared" si="238"/>
        <v>17.36774194</v>
      </c>
      <c r="X557" s="1310">
        <f t="shared" si="238"/>
        <v>17.36774194</v>
      </c>
      <c r="Y557" s="1310">
        <f t="shared" si="238"/>
        <v>17.36774194</v>
      </c>
      <c r="Z557" s="1310">
        <f t="shared" si="238"/>
        <v>17.36774194</v>
      </c>
      <c r="AA557" s="1310">
        <f t="shared" si="238"/>
        <v>17.36774194</v>
      </c>
      <c r="AB557" s="1310">
        <f t="shared" si="238"/>
        <v>17.36774194</v>
      </c>
      <c r="AC557" s="1310">
        <f t="shared" si="238"/>
        <v>17.36774194</v>
      </c>
      <c r="AD557" s="1310">
        <f t="shared" si="238"/>
        <v>17.36774194</v>
      </c>
      <c r="AE557" s="1310">
        <f t="shared" si="238"/>
        <v>17.36774194</v>
      </c>
      <c r="AF557" s="1333">
        <v>538.4</v>
      </c>
    </row>
    <row r="558">
      <c r="A558" s="1334" t="s">
        <v>1169</v>
      </c>
      <c r="B558" s="70">
        <f>(B138*'OLD  Formulas'!$L$12*'OLD  Formulas'!$L$3)+(B138*'OLD  Formulas'!$L$13*'OLD  Formulas'!$L$14)</f>
        <v>447.9566635</v>
      </c>
      <c r="C558" s="70">
        <f>(C138*'OLD  Formulas'!$L$12*'OLD  Formulas'!$L$3)+(C138*'OLD  Formulas'!$L$13*'OLD  Formulas'!$L$14)</f>
        <v>652.720661</v>
      </c>
      <c r="D558" s="70">
        <f>(D138*'OLD  Formulas'!$L$12*'OLD  Formulas'!$L$3)+(D138*'OLD  Formulas'!$L$13*'OLD  Formulas'!$L$14)</f>
        <v>795.422498</v>
      </c>
      <c r="E558" s="70">
        <f>(E138*'OLD  Formulas'!$L$12*'OLD  Formulas'!$L$3)+(E138*'OLD  Formulas'!$L$13*'OLD  Formulas'!$L$14)</f>
        <v>978.5685615</v>
      </c>
      <c r="F558" s="70">
        <f>(F138*'OLD  Formulas'!$L$12*'OLD  Formulas'!$L$3)+(F138*'OLD  Formulas'!$L$13*'OLD  Formulas'!$L$14)</f>
        <v>896.511162</v>
      </c>
      <c r="G558" s="70">
        <f>(G138*'OLD  Formulas'!$L$12*'OLD  Formulas'!$L$3)+(G138*'OLD  Formulas'!$L$13*'OLD  Formulas'!$L$14)</f>
        <v>688.1921125</v>
      </c>
      <c r="H558" s="70">
        <f>(H138*'OLD  Formulas'!$L$12*'OLD  Formulas'!$L$3)+(H138*'OLD  Formulas'!$L$13*'OLD  Formulas'!$L$14)</f>
        <v>499.822018</v>
      </c>
      <c r="I558" s="70">
        <f>(I138*'OLD  Formulas'!$L$12*'OLD  Formulas'!$L$3)+(I138*'OLD  Formulas'!$L$13*'OLD  Formulas'!$L$14)</f>
        <v>386.8590285</v>
      </c>
      <c r="J558" s="70">
        <f>(J138*'OLD  Formulas'!$L$12*'OLD  Formulas'!$L$3)+(J138*'OLD  Formulas'!$L$13*'OLD  Formulas'!$L$14)</f>
        <v>476.0268075</v>
      </c>
      <c r="K558" s="70">
        <f>(K138*'OLD  Formulas'!$L$12*'OLD  Formulas'!$L$3)+(K138*'OLD  Formulas'!$L$13*'OLD  Formulas'!$L$14)</f>
        <v>648.0859245</v>
      </c>
      <c r="L558" s="70">
        <f>(L138*'OLD  Formulas'!$L$12*'OLD  Formulas'!$L$3)+(L138*'OLD  Formulas'!$L$13*'OLD  Formulas'!$L$14)</f>
        <v>555.422326</v>
      </c>
      <c r="M558" s="70">
        <f>(M138*'OLD  Formulas'!$L$12*'OLD  Formulas'!$L$3)+(M138*'OLD  Formulas'!$L$13*'OLD  Formulas'!$L$14)</f>
        <v>481.22687</v>
      </c>
      <c r="N558" s="70">
        <f>(N138*'OLD  Formulas'!$L$12*'OLD  Formulas'!$L$3)+(N138*'OLD  Formulas'!$L$13*'OLD  Formulas'!$L$14)</f>
        <v>454.907253</v>
      </c>
      <c r="O558" s="70">
        <f>(O138*'OLD  Formulas'!$L$12*'OLD  Formulas'!$L$3)+(O138*'OLD  Formulas'!$L$13*'OLD  Formulas'!$L$14)</f>
        <v>563.659225</v>
      </c>
      <c r="P558" s="70">
        <f>(P138*'OLD  Formulas'!$L$12*'OLD  Formulas'!$L$3)+(P138*'OLD  Formulas'!$L$13*'OLD  Formulas'!$L$14)</f>
        <v>563.1663555</v>
      </c>
      <c r="Q558" s="70">
        <f>(Q138*'OLD  Formulas'!$L$12*'OLD  Formulas'!$L$3)+(Q138*'OLD  Formulas'!$L$13*'OLD  Formulas'!$L$14)</f>
        <v>536.401806</v>
      </c>
      <c r="R558" s="70">
        <f>(R138*'OLD  Formulas'!$L$12*'OLD  Formulas'!$L$3)+(R138*'OLD  Formulas'!$L$13*'OLD  Formulas'!$L$14)</f>
        <v>551.429229</v>
      </c>
      <c r="S558" s="70">
        <f>(S138*'OLD  Formulas'!$L$12*'OLD  Formulas'!$L$3)+(S138*'OLD  Formulas'!$L$13*'OLD  Formulas'!$L$14)</f>
        <v>1406.723112</v>
      </c>
      <c r="T558" s="70">
        <f>(T138*'OLD  Formulas'!$L$12*'OLD  Formulas'!$L$3)+(T138*'OLD  Formulas'!$L$13*'OLD  Formulas'!$L$14)</f>
        <v>944.058605</v>
      </c>
      <c r="U558" s="70">
        <f>(U138*'OLD  Formulas'!$L$12*'OLD  Formulas'!$L$3)+(U138*'OLD  Formulas'!$L$13*'OLD  Formulas'!$L$14)</f>
        <v>667.166779</v>
      </c>
      <c r="V558" s="70">
        <f>(V138*'OLD  Formulas'!$L$12*'OLD  Formulas'!$L$3)+(V138*'OLD  Formulas'!$L$13*'OLD  Formulas'!$L$14)</f>
        <v>605.3448545</v>
      </c>
      <c r="W558" s="70">
        <f>(W138*'OLD  Formulas'!$L$12*'OLD  Formulas'!$L$3)+(W138*'OLD  Formulas'!$L$13*'OLD  Formulas'!$L$14)</f>
        <v>540.2420005</v>
      </c>
      <c r="X558" s="70">
        <f>(X138*'OLD  Formulas'!$L$12*'OLD  Formulas'!$L$3)+(X138*'OLD  Formulas'!$L$13*'OLD  Formulas'!$L$14)</f>
        <v>578.971515</v>
      </c>
      <c r="Y558" s="70">
        <f>(Y138*'OLD  Formulas'!$L$12*'OLD  Formulas'!$L$3)+(Y138*'OLD  Formulas'!$L$13*'OLD  Formulas'!$L$14)</f>
        <v>671.0896235</v>
      </c>
      <c r="Z558" s="70">
        <f>(Z138*'OLD  Formulas'!$L$12*'OLD  Formulas'!$L$3)+(Z138*'OLD  Formulas'!$L$13*'OLD  Formulas'!$L$14)</f>
        <v>640.217369</v>
      </c>
      <c r="AA558" s="70">
        <f>(AA138*'OLD  Formulas'!$L$12*'OLD  Formulas'!$L$3)+(AA138*'OLD  Formulas'!$L$13*'OLD  Formulas'!$L$14)</f>
        <v>454.7653705</v>
      </c>
      <c r="AB558" s="70">
        <f>(AB138*'OLD  Formulas'!$L$12*'OLD  Formulas'!$L$3)+(AB138*'OLD  Formulas'!$L$13*'OLD  Formulas'!$L$14)</f>
        <v>720.835281</v>
      </c>
      <c r="AC558" s="70">
        <f>(AC138*'OLD  Formulas'!$L$12*'OLD  Formulas'!$L$3)+(AC138*'OLD  Formulas'!$L$13*'OLD  Formulas'!$L$14)</f>
        <v>559.282081</v>
      </c>
      <c r="AD558" s="70">
        <f>(AD138*'OLD  Formulas'!$L$12*'OLD  Formulas'!$L$3)+(AD138*'OLD  Formulas'!$L$13*'OLD  Formulas'!$L$14)</f>
        <v>635.0459585</v>
      </c>
      <c r="AE558" s="70">
        <f>(AE138*'OLD  Formulas'!$L$12*'OLD  Formulas'!$L$3)+(AE138*'OLD  Formulas'!$L$13*'OLD  Formulas'!$L$14)</f>
        <v>669.9413395</v>
      </c>
      <c r="AF558" s="900">
        <f t="shared" ref="AF558:AF587" si="239">SUM(B558:AE558)</f>
        <v>19270.06239</v>
      </c>
    </row>
    <row r="559">
      <c r="A559" s="1334" t="s">
        <v>1180</v>
      </c>
      <c r="B559" s="70">
        <f>(B131*'OLD  Formulas'!$L$12*'OLD  Formulas'!$I$10)+(B131*'OLD  Formulas'!$L$13*'OLD  Formulas'!$L$15)</f>
        <v>22.515</v>
      </c>
      <c r="C559" s="70">
        <f>(C131*'OLD  Formulas'!$L$12*'OLD  Formulas'!$I$10)+(C131*'OLD  Formulas'!$L$13*'OLD  Formulas'!$L$15)</f>
        <v>31.35</v>
      </c>
      <c r="D559" s="70">
        <f>(D131*'OLD  Formulas'!$L$12*'OLD  Formulas'!$I$10)+(D131*'OLD  Formulas'!$L$13*'OLD  Formulas'!$L$15)</f>
        <v>38.475</v>
      </c>
      <c r="E559" s="70">
        <f>(E131*'OLD  Formulas'!$L$12*'OLD  Formulas'!$I$10)+(E131*'OLD  Formulas'!$L$13*'OLD  Formulas'!$L$15)</f>
        <v>47.025</v>
      </c>
      <c r="F559" s="70">
        <f>(F131*'OLD  Formulas'!$L$12*'OLD  Formulas'!$I$10)+(F131*'OLD  Formulas'!$L$13*'OLD  Formulas'!$L$15)</f>
        <v>42.465</v>
      </c>
      <c r="G559" s="70">
        <f>(G131*'OLD  Formulas'!$L$12*'OLD  Formulas'!$I$10)+(G131*'OLD  Formulas'!$L$13*'OLD  Formulas'!$L$15)</f>
        <v>34.485</v>
      </c>
      <c r="H559" s="70">
        <f>(H131*'OLD  Formulas'!$L$12*'OLD  Formulas'!$I$10)+(H131*'OLD  Formulas'!$L$13*'OLD  Formulas'!$L$15)</f>
        <v>22.515</v>
      </c>
      <c r="I559" s="70">
        <f>(I131*'OLD  Formulas'!$L$12*'OLD  Formulas'!$I$10)+(I131*'OLD  Formulas'!$L$13*'OLD  Formulas'!$L$15)</f>
        <v>14.82</v>
      </c>
      <c r="J559" s="70">
        <f>(J131*'OLD  Formulas'!$L$12*'OLD  Formulas'!$I$10)+(J131*'OLD  Formulas'!$L$13*'OLD  Formulas'!$L$15)</f>
        <v>17.955</v>
      </c>
      <c r="K559" s="70">
        <f>(K131*'OLD  Formulas'!$L$12*'OLD  Formulas'!$I$10)+(K131*'OLD  Formulas'!$L$13*'OLD  Formulas'!$L$15)</f>
        <v>26.505</v>
      </c>
      <c r="L559" s="70">
        <f>(L131*'OLD  Formulas'!$L$12*'OLD  Formulas'!$I$10)+(L131*'OLD  Formulas'!$L$13*'OLD  Formulas'!$L$15)</f>
        <v>23.94</v>
      </c>
      <c r="M559" s="70">
        <f>(M131*'OLD  Formulas'!$L$12*'OLD  Formulas'!$I$10)+(M131*'OLD  Formulas'!$L$13*'OLD  Formulas'!$L$15)</f>
        <v>19.665</v>
      </c>
      <c r="N559" s="70">
        <f>(N131*'OLD  Formulas'!$L$12*'OLD  Formulas'!$I$10)+(N131*'OLD  Formulas'!$L$13*'OLD  Formulas'!$L$15)</f>
        <v>18.24</v>
      </c>
      <c r="O559" s="70">
        <f>(O131*'OLD  Formulas'!$L$12*'OLD  Formulas'!$I$10)+(O131*'OLD  Formulas'!$L$13*'OLD  Formulas'!$L$15)</f>
        <v>22.515</v>
      </c>
      <c r="P559" s="70">
        <f>(P131*'OLD  Formulas'!$L$12*'OLD  Formulas'!$I$10)+(P131*'OLD  Formulas'!$L$13*'OLD  Formulas'!$L$15)</f>
        <v>25.935</v>
      </c>
      <c r="Q559" s="70">
        <f>(Q131*'OLD  Formulas'!$L$12*'OLD  Formulas'!$I$10)+(Q131*'OLD  Formulas'!$L$13*'OLD  Formulas'!$L$15)</f>
        <v>24.51</v>
      </c>
      <c r="R559" s="70">
        <f>(R131*'OLD  Formulas'!$L$12*'OLD  Formulas'!$I$10)+(R131*'OLD  Formulas'!$L$13*'OLD  Formulas'!$L$15)</f>
        <v>23.37</v>
      </c>
      <c r="S559" s="70">
        <f>(S131*'OLD  Formulas'!$L$12*'OLD  Formulas'!$I$10)+(S131*'OLD  Formulas'!$L$13*'OLD  Formulas'!$L$15)</f>
        <v>167.295</v>
      </c>
      <c r="T559" s="70">
        <f>(T131*'OLD  Formulas'!$L$12*'OLD  Formulas'!$I$10)+(T131*'OLD  Formulas'!$L$13*'OLD  Formulas'!$L$15)</f>
        <v>87.495</v>
      </c>
      <c r="U559" s="70">
        <f>(U131*'OLD  Formulas'!$L$12*'OLD  Formulas'!$I$10)+(U131*'OLD  Formulas'!$L$13*'OLD  Formulas'!$L$15)</f>
        <v>49.305</v>
      </c>
      <c r="V559" s="70">
        <f>(V131*'OLD  Formulas'!$L$12*'OLD  Formulas'!$I$10)+(V131*'OLD  Formulas'!$L$13*'OLD  Formulas'!$L$15)</f>
        <v>38.475</v>
      </c>
      <c r="W559" s="70">
        <f>(W131*'OLD  Formulas'!$L$12*'OLD  Formulas'!$I$10)+(W131*'OLD  Formulas'!$L$13*'OLD  Formulas'!$L$15)</f>
        <v>33.915</v>
      </c>
      <c r="X559" s="70">
        <f>(X131*'OLD  Formulas'!$L$12*'OLD  Formulas'!$I$10)+(X131*'OLD  Formulas'!$L$13*'OLD  Formulas'!$L$15)</f>
        <v>35.055</v>
      </c>
      <c r="Y559" s="70">
        <f>(Y131*'OLD  Formulas'!$L$12*'OLD  Formulas'!$I$10)+(Y131*'OLD  Formulas'!$L$13*'OLD  Formulas'!$L$15)</f>
        <v>37.62</v>
      </c>
      <c r="Z559" s="70">
        <f>(Z131*'OLD  Formulas'!$L$12*'OLD  Formulas'!$I$10)+(Z131*'OLD  Formulas'!$L$13*'OLD  Formulas'!$L$15)</f>
        <v>33.915</v>
      </c>
      <c r="AA559" s="70">
        <f>(AA131*'OLD  Formulas'!$L$12*'OLD  Formulas'!$I$10)+(AA131*'OLD  Formulas'!$L$13*'OLD  Formulas'!$L$15)</f>
        <v>27.93</v>
      </c>
      <c r="AB559" s="70">
        <f>(AB131*'OLD  Formulas'!$L$12*'OLD  Formulas'!$I$10)+(AB131*'OLD  Formulas'!$L$13*'OLD  Formulas'!$L$15)</f>
        <v>32.49</v>
      </c>
      <c r="AC559" s="70">
        <f>(AC131*'OLD  Formulas'!$L$12*'OLD  Formulas'!$I$10)+(AC131*'OLD  Formulas'!$L$13*'OLD  Formulas'!$L$15)</f>
        <v>29.355</v>
      </c>
      <c r="AD559" s="70">
        <f>(AD131*'OLD  Formulas'!$L$12*'OLD  Formulas'!$I$10)+(AD131*'OLD  Formulas'!$L$13*'OLD  Formulas'!$L$15)</f>
        <v>28.5</v>
      </c>
      <c r="AE559" s="70">
        <f>(AE131*'OLD  Formulas'!$L$12*'OLD  Formulas'!$I$10)+(AE131*'OLD  Formulas'!$L$13*'OLD  Formulas'!$L$15)</f>
        <v>29.07</v>
      </c>
      <c r="AF559" s="900">
        <f t="shared" si="239"/>
        <v>1086.705</v>
      </c>
    </row>
    <row r="560">
      <c r="A560" s="1357" t="s">
        <v>1185</v>
      </c>
      <c r="B560" s="70">
        <f>((B496+B497)*'OLD  Formulas'!$C$32)+((B498+B499)*'OLD  Formulas'!$C$33)+((B500+B501)*'OLD  Formulas'!$C$34)</f>
        <v>358.2</v>
      </c>
      <c r="C560" s="70">
        <f>((C496+C497)*'OLD  Formulas'!$C$32)+((C498+C499)*'OLD  Formulas'!$C$33)+((C500+C501)*'OLD  Formulas'!$C$34)</f>
        <v>573.12</v>
      </c>
      <c r="D560" s="70">
        <f>((D496+D497)*'OLD  Formulas'!$C$32)+((D498+D499)*'OLD  Formulas'!$C$33)+((D500+D501)*'OLD  Formulas'!$C$34)</f>
        <v>668.64</v>
      </c>
      <c r="E560" s="70">
        <f>((E496+E497)*'OLD  Formulas'!$C$32)+((E498+E499)*'OLD  Formulas'!$C$33)+((E500+E501)*'OLD  Formulas'!$C$34)</f>
        <v>811.92</v>
      </c>
      <c r="F560" s="70">
        <f>((F496+F497)*'OLD  Formulas'!$C$32)+((F498+F499)*'OLD  Formulas'!$C$33)+((F500+F501)*'OLD  Formulas'!$C$34)</f>
        <v>716.4</v>
      </c>
      <c r="G560" s="70">
        <f>((G496+G497)*'OLD  Formulas'!$C$32)+((G498+G499)*'OLD  Formulas'!$C$33)+((G500+G501)*'OLD  Formulas'!$C$34)</f>
        <v>549.24</v>
      </c>
      <c r="H560" s="70">
        <f>((H496+H497)*'OLD  Formulas'!$C$32)+((H498+H499)*'OLD  Formulas'!$C$33)+((H500+H501)*'OLD  Formulas'!$C$34)</f>
        <v>501.48</v>
      </c>
      <c r="I560" s="70">
        <f>((I496+I497)*'OLD  Formulas'!$C$32)+((I498+I499)*'OLD  Formulas'!$C$33)+((I500+I501)*'OLD  Formulas'!$C$34)</f>
        <v>334.32</v>
      </c>
      <c r="J560" s="70">
        <f>((J496+J497)*'OLD  Formulas'!$C$32)+((J498+J499)*'OLD  Formulas'!$C$33)+((J500+J501)*'OLD  Formulas'!$C$34)</f>
        <v>346.26</v>
      </c>
      <c r="K560" s="70">
        <f>((K496+K497)*'OLD  Formulas'!$C$32)+((K498+K499)*'OLD  Formulas'!$C$33)+((K500+K501)*'OLD  Formulas'!$C$34)</f>
        <v>394.02</v>
      </c>
      <c r="L560" s="70">
        <f>((L496+L497)*'OLD  Formulas'!$C$32)+((L498+L499)*'OLD  Formulas'!$C$33)+((L500+L501)*'OLD  Formulas'!$C$34)</f>
        <v>405.96</v>
      </c>
      <c r="M560" s="70">
        <f>((M496+M497)*'OLD  Formulas'!$C$32)+((M498+M499)*'OLD  Formulas'!$C$33)+((M500+M501)*'OLD  Formulas'!$C$34)</f>
        <v>394.02</v>
      </c>
      <c r="N560" s="70">
        <f>((N496+N497)*'OLD  Formulas'!$C$32)+((N498+N499)*'OLD  Formulas'!$C$33)+((N500+N501)*'OLD  Formulas'!$C$34)</f>
        <v>370.14</v>
      </c>
      <c r="O560" s="70">
        <f>((O496+O497)*'OLD  Formulas'!$C$32)+((O498+O499)*'OLD  Formulas'!$C$33)+((O500+O501)*'OLD  Formulas'!$C$34)</f>
        <v>441.78</v>
      </c>
      <c r="P560" s="70">
        <f>((P496+P497)*'OLD  Formulas'!$C$32)+((P498+P499)*'OLD  Formulas'!$C$33)+((P500+P501)*'OLD  Formulas'!$C$34)</f>
        <v>370.14</v>
      </c>
      <c r="Q560" s="70">
        <f>((Q496+Q497)*'OLD  Formulas'!$C$32)+((Q498+Q499)*'OLD  Formulas'!$C$33)+((Q500+Q501)*'OLD  Formulas'!$C$34)</f>
        <v>561.18</v>
      </c>
      <c r="R560" s="70">
        <f>((R496+R497)*'OLD  Formulas'!$C$32)+((R498+R499)*'OLD  Formulas'!$C$33)+((R500+R501)*'OLD  Formulas'!$C$34)</f>
        <v>429.84</v>
      </c>
      <c r="S560" s="70">
        <f>((S496+S497)*'OLD  Formulas'!$C$32)+((S498+S499)*'OLD  Formulas'!$C$33)+((S500+S501)*'OLD  Formulas'!$C$34)</f>
        <v>513.42</v>
      </c>
      <c r="T560" s="70">
        <f>((T496+T497)*'OLD  Formulas'!$C$32)+((T498+T499)*'OLD  Formulas'!$C$33)+((T500+T501)*'OLD  Formulas'!$C$34)</f>
        <v>370.14</v>
      </c>
      <c r="U560" s="70">
        <f>((U496+U497)*'OLD  Formulas'!$C$32)+((U498+U499)*'OLD  Formulas'!$C$33)+((U500+U501)*'OLD  Formulas'!$C$34)</f>
        <v>394.02</v>
      </c>
      <c r="V560" s="70">
        <f>((V496+V497)*'OLD  Formulas'!$C$32)+((V498+V499)*'OLD  Formulas'!$C$33)+((V500+V501)*'OLD  Formulas'!$C$34)</f>
        <v>417.9</v>
      </c>
      <c r="W560" s="70">
        <f>((W496+W497)*'OLD  Formulas'!$C$32)+((W498+W499)*'OLD  Formulas'!$C$33)+((W500+W501)*'OLD  Formulas'!$C$34)</f>
        <v>394.02</v>
      </c>
      <c r="X560" s="70">
        <f>((X496+X497)*'OLD  Formulas'!$C$32)+((X498+X499)*'OLD  Formulas'!$C$33)+((X500+X501)*'OLD  Formulas'!$C$34)</f>
        <v>417.9</v>
      </c>
      <c r="Y560" s="70">
        <f>((Y496+Y497)*'OLD  Formulas'!$C$32)+((Y498+Y499)*'OLD  Formulas'!$C$33)+((Y500+Y501)*'OLD  Formulas'!$C$34)</f>
        <v>298.5</v>
      </c>
      <c r="Z560" s="70">
        <f>((Z496+Z497)*'OLD  Formulas'!$C$32)+((Z498+Z499)*'OLD  Formulas'!$C$33)+((Z500+Z501)*'OLD  Formulas'!$C$34)</f>
        <v>179.1</v>
      </c>
      <c r="AA560" s="70">
        <f>((AA496+AA497)*'OLD  Formulas'!$C$32)+((AA498+AA499)*'OLD  Formulas'!$C$33)+((AA500+AA501)*'OLD  Formulas'!$C$34)</f>
        <v>167.16</v>
      </c>
      <c r="AB560" s="70">
        <f>((AB496+AB497)*'OLD  Formulas'!$C$32)+((AB498+AB499)*'OLD  Formulas'!$C$33)+((AB500+AB501)*'OLD  Formulas'!$C$34)</f>
        <v>370.14</v>
      </c>
      <c r="AC560" s="70">
        <f>((AC496+AC497)*'OLD  Formulas'!$C$32)+((AC498+AC499)*'OLD  Formulas'!$C$33)+((AC500+AC501)*'OLD  Formulas'!$C$34)</f>
        <v>382.08</v>
      </c>
      <c r="AD560" s="70">
        <f>((AD496+AD497)*'OLD  Formulas'!$C$32)+((AD498+AD499)*'OLD  Formulas'!$C$33)+((AD500+AD501)*'OLD  Formulas'!$C$34)</f>
        <v>346.26</v>
      </c>
      <c r="AE560" s="70">
        <f>((AE496+AE497)*'OLD  Formulas'!$C$32)+((AE498+AE499)*'OLD  Formulas'!$C$33)+((AE500+AE501)*'OLD  Formulas'!$C$34)</f>
        <v>394.02</v>
      </c>
      <c r="AF560" s="900">
        <f t="shared" si="239"/>
        <v>12871.32</v>
      </c>
    </row>
    <row r="561">
      <c r="A561" s="1358" t="s">
        <v>1189</v>
      </c>
      <c r="B561" s="1310">
        <f>((B496+B497)*'OLD  Formulas'!$C$28)+((B498+B499)*'OLD  Formulas'!$C$29)+((B500+B501)*'OLD  Formulas'!$C$30)</f>
        <v>451.8</v>
      </c>
      <c r="C561" s="1310">
        <f>((C496+C497)*'OLD  Formulas'!$C$28)+((C498+C499)*'OLD  Formulas'!$C$29)+((C500+C501)*'OLD  Formulas'!$C$30)</f>
        <v>722.88</v>
      </c>
      <c r="D561" s="1310">
        <f>((D496+D497)*'OLD  Formulas'!$C$28)+((D498+D499)*'OLD  Formulas'!$C$29)+((D500+D501)*'OLD  Formulas'!$C$30)</f>
        <v>843.36</v>
      </c>
      <c r="E561" s="1310">
        <f>((E496+E497)*'OLD  Formulas'!$C$28)+((E498+E499)*'OLD  Formulas'!$C$29)+((E500+E501)*'OLD  Formulas'!$C$30)</f>
        <v>1024.08</v>
      </c>
      <c r="F561" s="1310">
        <f>((F496+F497)*'OLD  Formulas'!$C$28)+((F498+F499)*'OLD  Formulas'!$C$29)+((F500+F501)*'OLD  Formulas'!$C$30)</f>
        <v>903.6</v>
      </c>
      <c r="G561" s="1310">
        <f>((G496+G497)*'OLD  Formulas'!$C$28)+((G498+G499)*'OLD  Formulas'!$C$29)+((G500+G501)*'OLD  Formulas'!$C$30)</f>
        <v>692.76</v>
      </c>
      <c r="H561" s="1310">
        <f>((H496+H497)*'OLD  Formulas'!$C$28)+((H498+H499)*'OLD  Formulas'!$C$29)+((H500+H501)*'OLD  Formulas'!$C$30)</f>
        <v>632.52</v>
      </c>
      <c r="I561" s="1310">
        <f>((I496+I497)*'OLD  Formulas'!$C$28)+((I498+I499)*'OLD  Formulas'!$C$29)+((I500+I501)*'OLD  Formulas'!$C$30)</f>
        <v>421.68</v>
      </c>
      <c r="J561" s="1310">
        <f>((J496+J497)*'OLD  Formulas'!$C$28)+((J498+J499)*'OLD  Formulas'!$C$29)+((J500+J501)*'OLD  Formulas'!$C$30)</f>
        <v>436.74</v>
      </c>
      <c r="K561" s="1310">
        <f>((K496+K497)*'OLD  Formulas'!$C$28)+((K498+K499)*'OLD  Formulas'!$C$29)+((K500+K501)*'OLD  Formulas'!$C$30)</f>
        <v>496.98</v>
      </c>
      <c r="L561" s="1310">
        <f>((L496+L497)*'OLD  Formulas'!$C$28)+((L498+L499)*'OLD  Formulas'!$C$29)+((L500+L501)*'OLD  Formulas'!$C$30)</f>
        <v>512.04</v>
      </c>
      <c r="M561" s="1310">
        <f>((M496+M497)*'OLD  Formulas'!$C$28)+((M498+M499)*'OLD  Formulas'!$C$29)+((M500+M501)*'OLD  Formulas'!$C$30)</f>
        <v>496.98</v>
      </c>
      <c r="N561" s="1310">
        <f>((N496+N497)*'OLD  Formulas'!$C$28)+((N498+N499)*'OLD  Formulas'!$C$29)+((N500+N501)*'OLD  Formulas'!$C$30)</f>
        <v>466.86</v>
      </c>
      <c r="O561" s="1310">
        <f>((O496+O497)*'OLD  Formulas'!$C$28)+((O498+O499)*'OLD  Formulas'!$C$29)+((O500+O501)*'OLD  Formulas'!$C$30)</f>
        <v>557.22</v>
      </c>
      <c r="P561" s="1310">
        <f>((P496+P497)*'OLD  Formulas'!$C$28)+((P498+P499)*'OLD  Formulas'!$C$29)+((P500+P501)*'OLD  Formulas'!$C$30)</f>
        <v>466.86</v>
      </c>
      <c r="Q561" s="1310">
        <f>((Q496+Q497)*'OLD  Formulas'!$C$28)+((Q498+Q499)*'OLD  Formulas'!$C$29)+((Q500+Q501)*'OLD  Formulas'!$C$30)</f>
        <v>707.82</v>
      </c>
      <c r="R561" s="1310">
        <f>((R496+R497)*'OLD  Formulas'!$C$28)+((R498+R499)*'OLD  Formulas'!$C$29)+((R500+R501)*'OLD  Formulas'!$C$30)</f>
        <v>542.16</v>
      </c>
      <c r="S561" s="1310">
        <f>((S496+S497)*'OLD  Formulas'!$C$28)+((S498+S499)*'OLD  Formulas'!$C$29)+((S500+S501)*'OLD  Formulas'!$C$30)</f>
        <v>647.58</v>
      </c>
      <c r="T561" s="1310">
        <f>((T496+T497)*'OLD  Formulas'!$C$28)+((T498+T499)*'OLD  Formulas'!$C$29)+((T500+T501)*'OLD  Formulas'!$C$30)</f>
        <v>466.86</v>
      </c>
      <c r="U561" s="1310">
        <f>((U496+U497)*'OLD  Formulas'!$C$28)+((U498+U499)*'OLD  Formulas'!$C$29)+((U500+U501)*'OLD  Formulas'!$C$30)</f>
        <v>496.98</v>
      </c>
      <c r="V561" s="1310">
        <f>((V496+V497)*'OLD  Formulas'!$C$28)+((V498+V499)*'OLD  Formulas'!$C$29)+((V500+V501)*'OLD  Formulas'!$C$30)</f>
        <v>527.1</v>
      </c>
      <c r="W561" s="1310">
        <f>((W496+W497)*'OLD  Formulas'!$C$28)+((W498+W499)*'OLD  Formulas'!$C$29)+((W500+W501)*'OLD  Formulas'!$C$30)</f>
        <v>496.98</v>
      </c>
      <c r="X561" s="1310">
        <f>((X496+X497)*'OLD  Formulas'!$C$28)+((X498+X499)*'OLD  Formulas'!$C$29)+((X500+X501)*'OLD  Formulas'!$C$30)</f>
        <v>527.1</v>
      </c>
      <c r="Y561" s="1310">
        <f>((Y496+Y497)*'OLD  Formulas'!$C$28)+((Y498+Y499)*'OLD  Formulas'!$C$29)+((Y500+Y501)*'OLD  Formulas'!$C$30)</f>
        <v>376.5</v>
      </c>
      <c r="Z561" s="1310">
        <f>((Z496+Z497)*'OLD  Formulas'!$C$28)+((Z498+Z499)*'OLD  Formulas'!$C$29)+((Z500+Z501)*'OLD  Formulas'!$C$30)</f>
        <v>225.9</v>
      </c>
      <c r="AA561" s="1310">
        <f>((AA496+AA497)*'OLD  Formulas'!$C$28)+((AA498+AA499)*'OLD  Formulas'!$C$29)+((AA500+AA501)*'OLD  Formulas'!$C$30)</f>
        <v>210.84</v>
      </c>
      <c r="AB561" s="1310">
        <f>((AB496+AB497)*'OLD  Formulas'!$C$28)+((AB498+AB499)*'OLD  Formulas'!$C$29)+((AB500+AB501)*'OLD  Formulas'!$C$30)</f>
        <v>466.86</v>
      </c>
      <c r="AC561" s="1310">
        <f>((AC496+AC497)*'OLD  Formulas'!$C$28)+((AC498+AC499)*'OLD  Formulas'!$C$29)+((AC500+AC501)*'OLD  Formulas'!$C$30)</f>
        <v>481.92</v>
      </c>
      <c r="AD561" s="1310">
        <f>((AD496+AD497)*'OLD  Formulas'!$C$28)+((AD498+AD499)*'OLD  Formulas'!$C$29)+((AD500+AD501)*'OLD  Formulas'!$C$30)</f>
        <v>436.74</v>
      </c>
      <c r="AE561" s="1310">
        <f>((AE496+AE497)*'OLD  Formulas'!$C$28)+((AE498+AE499)*'OLD  Formulas'!$C$29)+((AE500+AE501)*'OLD  Formulas'!$C$30)</f>
        <v>496.98</v>
      </c>
      <c r="AF561" s="900">
        <f t="shared" si="239"/>
        <v>16234.68</v>
      </c>
    </row>
    <row r="562">
      <c r="A562" s="1358" t="s">
        <v>1191</v>
      </c>
      <c r="B562" s="595">
        <f>(B511*'OLD  Formulas'!$D$32)+(B519*'OLD  Formulas'!$D$33)+(B527*'OLD  Formulas'!$D$34)</f>
        <v>57.42</v>
      </c>
      <c r="C562" s="595">
        <f>(C511*'OLD  Formulas'!$D$32)+(C519*'OLD  Formulas'!$D$33)+(C527*'OLD  Formulas'!$D$34)</f>
        <v>110.555</v>
      </c>
      <c r="D562" s="595">
        <f>(D511*'OLD  Formulas'!$D$32)+(D519*'OLD  Formulas'!$D$33)+(D527*'OLD  Formulas'!$D$34)</f>
        <v>153.625</v>
      </c>
      <c r="E562" s="595">
        <f>(E511*'OLD  Formulas'!$D$32)+(E519*'OLD  Formulas'!$D$33)+(E527*'OLD  Formulas'!$D$34)</f>
        <v>132.085</v>
      </c>
      <c r="F562" s="595">
        <f>(F511*'OLD  Formulas'!$D$32)+(F519*'OLD  Formulas'!$D$33)+(F527*'OLD  Formulas'!$D$34)</f>
        <v>122.03</v>
      </c>
      <c r="G562" s="595">
        <f>(G511*'OLD  Formulas'!$D$32)+(G519*'OLD  Formulas'!$D$33)+(G527*'OLD  Formulas'!$D$34)</f>
        <v>106.215</v>
      </c>
      <c r="H562" s="595">
        <f>(H511*'OLD  Formulas'!$D$32)+(H519*'OLD  Formulas'!$D$33)+(H527*'OLD  Formulas'!$D$34)</f>
        <v>74.665</v>
      </c>
      <c r="I562" s="595">
        <f>(I511*'OLD  Formulas'!$D$32)+(I519*'OLD  Formulas'!$D$33)+(I527*'OLD  Formulas'!$D$34)</f>
        <v>48.81</v>
      </c>
      <c r="J562" s="595">
        <f>(J511*'OLD  Formulas'!$D$32)+(J519*'OLD  Formulas'!$D$33)+(J527*'OLD  Formulas'!$D$34)</f>
        <v>53.15</v>
      </c>
      <c r="K562" s="595">
        <f>(K511*'OLD  Formulas'!$D$32)+(K519*'OLD  Formulas'!$D$33)+(K527*'OLD  Formulas'!$D$34)</f>
        <v>96.2</v>
      </c>
      <c r="L562" s="595">
        <f>(L511*'OLD  Formulas'!$D$32)+(L519*'OLD  Formulas'!$D$33)+(L527*'OLD  Formulas'!$D$34)</f>
        <v>96.17</v>
      </c>
      <c r="M562" s="595">
        <f>(M511*'OLD  Formulas'!$D$32)+(M519*'OLD  Formulas'!$D$33)+(M527*'OLD  Formulas'!$D$34)</f>
        <v>67.475</v>
      </c>
      <c r="N562" s="595">
        <f>(N511*'OLD  Formulas'!$D$32)+(N519*'OLD  Formulas'!$D$33)+(N527*'OLD  Formulas'!$D$34)</f>
        <v>58.88</v>
      </c>
      <c r="O562" s="595">
        <f>(O511*'OLD  Formulas'!$D$32)+(O519*'OLD  Formulas'!$D$33)+(O527*'OLD  Formulas'!$D$34)</f>
        <v>80.38</v>
      </c>
      <c r="P562" s="595">
        <f>(P511*'OLD  Formulas'!$D$32)+(P519*'OLD  Formulas'!$D$33)+(P527*'OLD  Formulas'!$D$34)</f>
        <v>60.275</v>
      </c>
      <c r="Q562" s="595">
        <f>(Q511*'OLD  Formulas'!$D$32)+(Q519*'OLD  Formulas'!$D$33)+(Q527*'OLD  Formulas'!$D$34)</f>
        <v>94.74</v>
      </c>
      <c r="R562" s="595">
        <f>(R511*'OLD  Formulas'!$D$32)+(R519*'OLD  Formulas'!$D$33)+(R527*'OLD  Formulas'!$D$34)</f>
        <v>68.885</v>
      </c>
      <c r="S562" s="595">
        <f>(S511*'OLD  Formulas'!$D$32)+(S519*'OLD  Formulas'!$D$33)+(S527*'OLD  Formulas'!$D$34)</f>
        <v>212.495</v>
      </c>
      <c r="T562" s="595">
        <f>(T511*'OLD  Formulas'!$D$32)+(T519*'OLD  Formulas'!$D$33)+(T527*'OLD  Formulas'!$D$34)</f>
        <v>153.62</v>
      </c>
      <c r="U562" s="595">
        <f>(U511*'OLD  Formulas'!$D$32)+(U519*'OLD  Formulas'!$D$33)+(U527*'OLD  Formulas'!$D$34)</f>
        <v>86.125</v>
      </c>
      <c r="V562" s="595">
        <f>(V511*'OLD  Formulas'!$D$32)+(V519*'OLD  Formulas'!$D$33)+(V527*'OLD  Formulas'!$D$34)</f>
        <v>84.68</v>
      </c>
      <c r="W562" s="595">
        <f>(W511*'OLD  Formulas'!$D$32)+(W519*'OLD  Formulas'!$D$33)+(W527*'OLD  Formulas'!$D$34)</f>
        <v>87.565</v>
      </c>
      <c r="X562" s="595">
        <f>(X511*'OLD  Formulas'!$D$32)+(X519*'OLD  Formulas'!$D$33)+(X527*'OLD  Formulas'!$D$34)</f>
        <v>81.81</v>
      </c>
      <c r="Y562" s="595">
        <f>(Y511*'OLD  Formulas'!$D$32)+(Y519*'OLD  Formulas'!$D$33)+(Y527*'OLD  Formulas'!$D$34)</f>
        <v>91.895</v>
      </c>
      <c r="Z562" s="595">
        <f>(Z511*'OLD  Formulas'!$D$32)+(Z519*'OLD  Formulas'!$D$33)+(Z527*'OLD  Formulas'!$D$34)</f>
        <v>84.735</v>
      </c>
      <c r="AA562" s="595">
        <f>(AA511*'OLD  Formulas'!$D$32)+(AA519*'OLD  Formulas'!$D$33)+(AA527*'OLD  Formulas'!$D$34)</f>
        <v>57.45</v>
      </c>
      <c r="AB562" s="595">
        <f>(AB511*'OLD  Formulas'!$D$32)+(AB519*'OLD  Formulas'!$D$33)+(AB527*'OLD  Formulas'!$D$34)</f>
        <v>81.82</v>
      </c>
      <c r="AC562" s="595">
        <f>(AC511*'OLD  Formulas'!$D$32)+(AC519*'OLD  Formulas'!$D$33)+(AC527*'OLD  Formulas'!$D$34)</f>
        <v>78.985</v>
      </c>
      <c r="AD562" s="595">
        <f>(AD511*'OLD  Formulas'!$D$32)+(AD519*'OLD  Formulas'!$D$33)+(AD527*'OLD  Formulas'!$D$34)</f>
        <v>70.345</v>
      </c>
      <c r="AE562" s="595">
        <f>(AE511*'OLD  Formulas'!$D$32)+(AE519*'OLD  Formulas'!$D$33)+(AE527*'OLD  Formulas'!$D$34)</f>
        <v>67.46</v>
      </c>
      <c r="AF562" s="900">
        <f t="shared" si="239"/>
        <v>2720.545</v>
      </c>
    </row>
    <row r="563">
      <c r="A563" s="1358" t="s">
        <v>1193</v>
      </c>
      <c r="B563" s="595">
        <f>(B201*'OLD  Formulas'!$D$28)</f>
        <v>25.395</v>
      </c>
      <c r="C563" s="595">
        <f>(C201*'OLD  Formulas'!$D$28)</f>
        <v>110.045</v>
      </c>
      <c r="D563" s="595">
        <f>(D201*'OLD  Formulas'!$D$28)</f>
        <v>126.975</v>
      </c>
      <c r="E563" s="595">
        <f>(E201*'OLD  Formulas'!$D$28)</f>
        <v>101.58</v>
      </c>
      <c r="F563" s="595">
        <f>(F201*'OLD  Formulas'!$D$28)</f>
        <v>84.65</v>
      </c>
      <c r="G563" s="595">
        <f>(G201*'OLD  Formulas'!$D$28)</f>
        <v>67.72</v>
      </c>
      <c r="H563" s="595">
        <f>(H201*'OLD  Formulas'!$D$28)</f>
        <v>16.93</v>
      </c>
      <c r="I563" s="595">
        <f>(I201*'OLD  Formulas'!$D$28)</f>
        <v>16.93</v>
      </c>
      <c r="J563" s="595">
        <f>(J201*'OLD  Formulas'!$D$28)</f>
        <v>25.395</v>
      </c>
      <c r="K563" s="595">
        <f>(K201*'OLD  Formulas'!$D$28)</f>
        <v>33.86</v>
      </c>
      <c r="L563" s="595">
        <f>(L201*'OLD  Formulas'!$D$28)</f>
        <v>42.325</v>
      </c>
      <c r="M563" s="595">
        <f>(M201*'OLD  Formulas'!$D$28)</f>
        <v>50.79</v>
      </c>
      <c r="N563" s="595">
        <f>(N201*'OLD  Formulas'!$D$28)</f>
        <v>0</v>
      </c>
      <c r="O563" s="595">
        <f>(O201*'OLD  Formulas'!$D$28)</f>
        <v>33.86</v>
      </c>
      <c r="P563" s="595">
        <f>(P201*'OLD  Formulas'!$D$28)</f>
        <v>110.045</v>
      </c>
      <c r="Q563" s="595">
        <f>(Q201*'OLD  Formulas'!$D$28)</f>
        <v>67.72</v>
      </c>
      <c r="R563" s="595">
        <f>(R201*'OLD  Formulas'!$D$28)</f>
        <v>33.86</v>
      </c>
      <c r="S563" s="595">
        <f>(S201*'OLD  Formulas'!$D$28)</f>
        <v>1032.73</v>
      </c>
      <c r="T563" s="595">
        <f>(T201*'OLD  Formulas'!$D$28)</f>
        <v>347.065</v>
      </c>
      <c r="U563" s="595">
        <f>(U201*'OLD  Formulas'!$D$28)</f>
        <v>67.72</v>
      </c>
      <c r="V563" s="595">
        <f>(V201*'OLD  Formulas'!$D$28)</f>
        <v>8.465</v>
      </c>
      <c r="W563" s="595">
        <f>(W201*'OLD  Formulas'!$D$28)</f>
        <v>33.86</v>
      </c>
      <c r="X563" s="595">
        <f>(X201*'OLD  Formulas'!$D$28)</f>
        <v>33.86</v>
      </c>
      <c r="Y563" s="595">
        <f>(Y201*'OLD  Formulas'!$D$28)</f>
        <v>50.79</v>
      </c>
      <c r="Z563" s="595">
        <f>(Z201*'OLD  Formulas'!$D$28)</f>
        <v>126.975</v>
      </c>
      <c r="AA563" s="595">
        <f>(AA201*'OLD  Formulas'!$D$28)</f>
        <v>84.65</v>
      </c>
      <c r="AB563" s="595">
        <f>(AB201*'OLD  Formulas'!$D$28)</f>
        <v>118.51</v>
      </c>
      <c r="AC563" s="595">
        <f>(AC201*'OLD  Formulas'!$D$28)</f>
        <v>42.325</v>
      </c>
      <c r="AD563" s="595">
        <f>(AD201*'OLD  Formulas'!$D$28)</f>
        <v>33.86</v>
      </c>
      <c r="AE563" s="595">
        <f>(AE201*'OLD  Formulas'!$D$28)</f>
        <v>16.93</v>
      </c>
      <c r="AF563" s="900">
        <f t="shared" si="239"/>
        <v>2945.82</v>
      </c>
    </row>
    <row r="564">
      <c r="A564" s="1373" t="s">
        <v>1194</v>
      </c>
      <c r="B564" s="595">
        <f t="shared" ref="B564:AE564" si="240">B137</f>
        <v>680.07</v>
      </c>
      <c r="C564" s="595">
        <f t="shared" si="240"/>
        <v>1156.12</v>
      </c>
      <c r="D564" s="595">
        <f t="shared" si="240"/>
        <v>1510.56</v>
      </c>
      <c r="E564" s="595">
        <f t="shared" si="240"/>
        <v>1835.08</v>
      </c>
      <c r="F564" s="595">
        <f t="shared" si="240"/>
        <v>1641.24</v>
      </c>
      <c r="G564" s="595">
        <f t="shared" si="240"/>
        <v>1140.25</v>
      </c>
      <c r="H564" s="595">
        <f t="shared" si="240"/>
        <v>895.96</v>
      </c>
      <c r="I564" s="595">
        <f t="shared" si="240"/>
        <v>582.07</v>
      </c>
      <c r="J564" s="595">
        <f t="shared" si="240"/>
        <v>972.35</v>
      </c>
      <c r="K564" s="595">
        <f t="shared" si="240"/>
        <v>1214.24</v>
      </c>
      <c r="L564" s="595">
        <f t="shared" si="240"/>
        <v>1115.02</v>
      </c>
      <c r="M564" s="595">
        <f t="shared" si="240"/>
        <v>845.1</v>
      </c>
      <c r="N564" s="595">
        <f t="shared" si="240"/>
        <v>767.66</v>
      </c>
      <c r="O564" s="595">
        <f t="shared" si="240"/>
        <v>974.8</v>
      </c>
      <c r="P564" s="595">
        <f t="shared" si="240"/>
        <v>995.61</v>
      </c>
      <c r="Q564" s="595">
        <f t="shared" si="240"/>
        <v>990.12</v>
      </c>
      <c r="R564" s="595">
        <f t="shared" si="240"/>
        <v>1138.28</v>
      </c>
      <c r="S564" s="595">
        <f t="shared" si="240"/>
        <v>2581.53</v>
      </c>
      <c r="T564" s="595">
        <f t="shared" si="240"/>
        <v>1564.1</v>
      </c>
      <c r="U564" s="595">
        <f t="shared" si="240"/>
        <v>1114.78</v>
      </c>
      <c r="V564" s="595">
        <f t="shared" si="240"/>
        <v>1086.59</v>
      </c>
      <c r="W564" s="595">
        <f t="shared" si="240"/>
        <v>905.71</v>
      </c>
      <c r="X564" s="595">
        <f t="shared" si="240"/>
        <v>1021.7</v>
      </c>
      <c r="Y564" s="595">
        <f t="shared" si="240"/>
        <v>1232.97</v>
      </c>
      <c r="Z564" s="595">
        <f t="shared" si="240"/>
        <v>1073.38</v>
      </c>
      <c r="AA564" s="595">
        <f t="shared" si="240"/>
        <v>704.83</v>
      </c>
      <c r="AB564" s="595">
        <f t="shared" si="240"/>
        <v>1421.13</v>
      </c>
      <c r="AC564" s="595">
        <f t="shared" si="240"/>
        <v>1044.37</v>
      </c>
      <c r="AD564" s="595">
        <f t="shared" si="240"/>
        <v>1181.27</v>
      </c>
      <c r="AE564" s="595">
        <f t="shared" si="240"/>
        <v>1314.14</v>
      </c>
      <c r="AF564" s="900">
        <f t="shared" si="239"/>
        <v>34701.03</v>
      </c>
    </row>
    <row r="565">
      <c r="A565" s="1373" t="s">
        <v>1195</v>
      </c>
      <c r="B565" s="947">
        <f>(((B288+B290)+(B322))-B432)*'OLD  Formulas'!$O$3</f>
        <v>248.512</v>
      </c>
      <c r="C565" s="947">
        <f>(((C288+C290)+(C322))-C432)*'OLD  Formulas'!$O$3</f>
        <v>314.226</v>
      </c>
      <c r="D565" s="947">
        <f>(((D288+D290)+(D322))-D432)*'OLD  Formulas'!$O$3</f>
        <v>423.632</v>
      </c>
      <c r="E565" s="947">
        <f>(((E288+E290)+(E322))-E432)*'OLD  Formulas'!$O$3</f>
        <v>521.84</v>
      </c>
      <c r="F565" s="947">
        <f>(((F288+F290)+(F322))-F432)*'OLD  Formulas'!$O$3</f>
        <v>372.5964</v>
      </c>
      <c r="G565" s="947">
        <f>(((G288+G290)+(G322))-G432)*'OLD  Formulas'!$O$3</f>
        <v>448.272</v>
      </c>
      <c r="H565" s="947">
        <f>(((H288+H290)+(H322))-H432)*'OLD  Formulas'!$O$3</f>
        <v>437.206</v>
      </c>
      <c r="I565" s="947">
        <f>(((I288+I290)+(I322))-I432)*'OLD  Formulas'!$O$3</f>
        <v>506.44</v>
      </c>
      <c r="J565" s="947">
        <f>(((J288+J290)+(J322))-J432)*'OLD  Formulas'!$O$3</f>
        <v>356.466</v>
      </c>
      <c r="K565" s="947">
        <f>(((K288+K290)+(K322))-K432)*'OLD  Formulas'!$O$3</f>
        <v>341.66</v>
      </c>
      <c r="L565" s="947">
        <f>(((L288+L290)+(L322))-L432)*'OLD  Formulas'!$O$3</f>
        <v>280.94</v>
      </c>
      <c r="M565" s="947">
        <f>(((M288+M290)+(M322))-M432)*'OLD  Formulas'!$O$3</f>
        <v>140.14</v>
      </c>
      <c r="N565" s="947">
        <f>(((N288+N290)+(N322))-N432)*'OLD  Formulas'!$O$3</f>
        <v>381.788</v>
      </c>
      <c r="O565" s="947">
        <f>(((O288+O290)+(O322))-O432)*'OLD  Formulas'!$O$3</f>
        <v>388.872</v>
      </c>
      <c r="P565" s="947">
        <f>(((P288+P290)+(P322))-P432)*'OLD  Formulas'!$O$3</f>
        <v>305.536</v>
      </c>
      <c r="Q565" s="947">
        <f>(((Q288+Q290)+(Q322))-Q432)*'OLD  Formulas'!$O$3</f>
        <v>293.832</v>
      </c>
      <c r="R565" s="947">
        <f>(((R288+R290)+(R322))-R432)*'OLD  Formulas'!$O$3</f>
        <v>190.08</v>
      </c>
      <c r="S565" s="947">
        <f>(((S288+S290)+(S322))-S432)*'OLD  Formulas'!$O$3</f>
        <v>853.754</v>
      </c>
      <c r="T565" s="947">
        <f>(((T288+T290)+(T322))-T432)*'OLD  Formulas'!$O$3</f>
        <v>659.34</v>
      </c>
      <c r="U565" s="947">
        <f>(((U288+U290)+(U322))-U432)*'OLD  Formulas'!$O$3</f>
        <v>268.3956</v>
      </c>
      <c r="V565" s="947">
        <f>(((V288+V290)+(V322))-V432)*'OLD  Formulas'!$O$3</f>
        <v>199.6764</v>
      </c>
      <c r="W565" s="947">
        <f>(((W288+W290)+(W322))-W432)*'OLD  Formulas'!$O$3</f>
        <v>270.864</v>
      </c>
      <c r="X565" s="947">
        <f>(((X288+X290)+(X322))-X432)*'OLD  Formulas'!$O$3</f>
        <v>176.0088</v>
      </c>
      <c r="Y565" s="947">
        <f>(((Y288+Y290)+(Y322))-Y432)*'OLD  Formulas'!$O$3</f>
        <v>198.3564</v>
      </c>
      <c r="Z565" s="947">
        <f>(((Z288+Z290)+(Z322))-Z432)*'OLD  Formulas'!$O$3</f>
        <v>349.58</v>
      </c>
      <c r="AA565" s="947">
        <f>(((AA288+AA290)+(AA322))-AA432)*'OLD  Formulas'!$O$3</f>
        <v>197.868</v>
      </c>
      <c r="AB565" s="947">
        <f>(((AB288+AB290)+(AB322))-AB432)*'OLD  Formulas'!$O$3</f>
        <v>93.94</v>
      </c>
      <c r="AC565" s="947">
        <f>(((AC288+AC290)+(AC322))-AC432)*'OLD  Formulas'!$O$3</f>
        <v>381.9926</v>
      </c>
      <c r="AD565" s="947">
        <f>(((AD288+AD290)+(AD322))-AD432)*'OLD  Formulas'!$O$3</f>
        <v>245.146</v>
      </c>
      <c r="AE565" s="947">
        <f>(((AE288+AE290)+(AE322))-AE432)*'OLD  Formulas'!$O$3</f>
        <v>232.76</v>
      </c>
      <c r="AF565" s="900">
        <f t="shared" si="239"/>
        <v>10079.7202</v>
      </c>
    </row>
    <row r="566">
      <c r="A566" s="1373" t="s">
        <v>1196</v>
      </c>
      <c r="B566" s="1380">
        <f>(((B293+B295)+(B334))-B437)*'OLD  Formulas'!$O$4</f>
        <v>0</v>
      </c>
      <c r="C566" s="1380">
        <f>(((C293+C295)+(C334))-C437)*'OLD  Formulas'!$O$4</f>
        <v>0</v>
      </c>
      <c r="D566" s="1380">
        <f>(((D293+D295)+(D334))-D437)*'OLD  Formulas'!$O$4</f>
        <v>0</v>
      </c>
      <c r="E566" s="1380">
        <f>(((E293+E295)+(E334))-E437)*'OLD  Formulas'!$O$4</f>
        <v>0</v>
      </c>
      <c r="F566" s="1380">
        <f>(((F293+F295)+(F334))-F437)*'OLD  Formulas'!$O$4</f>
        <v>0</v>
      </c>
      <c r="G566" s="1380">
        <f>(((G293+G295)+(G334))-G437)*'OLD  Formulas'!$O$4</f>
        <v>0</v>
      </c>
      <c r="H566" s="1380">
        <f>(((H293+H295)+(H334))-H437)*'OLD  Formulas'!$O$4</f>
        <v>0</v>
      </c>
      <c r="I566" s="1380">
        <f>(((I293+I295)+(I334))-I437)*'OLD  Formulas'!$O$4</f>
        <v>0</v>
      </c>
      <c r="J566" s="1380">
        <f>(((J293+J295)+(J334))-J437)*'OLD  Formulas'!$O$4</f>
        <v>0</v>
      </c>
      <c r="K566" s="1380">
        <f>(((K293+K295)+(K334))-K437)*'OLD  Formulas'!$O$4</f>
        <v>0</v>
      </c>
      <c r="L566" s="1380">
        <f>(((L293+L295)+(L334))-L437)*'OLD  Formulas'!$O$4</f>
        <v>0</v>
      </c>
      <c r="M566" s="1380">
        <f>(((M293+M295)+(M334))-M437)*'OLD  Formulas'!$O$4</f>
        <v>0</v>
      </c>
      <c r="N566" s="1380">
        <f>(((N293+N295)+(N334))-N437)*'OLD  Formulas'!$O$4</f>
        <v>0</v>
      </c>
      <c r="O566" s="1380">
        <f>(((O293+O295)+(O334))-O437)*'OLD  Formulas'!$O$4</f>
        <v>0</v>
      </c>
      <c r="P566" s="1380">
        <f>(((P293+P295)+(P334))-P437)*'OLD  Formulas'!$O$4</f>
        <v>0</v>
      </c>
      <c r="Q566" s="1380">
        <f>(((Q293+Q295)+(Q334))-Q437)*'OLD  Formulas'!$O$4</f>
        <v>0</v>
      </c>
      <c r="R566" s="1380">
        <f>(((R293+R295)+(R334))-R437)*'OLD  Formulas'!$O$4</f>
        <v>0</v>
      </c>
      <c r="S566" s="1380">
        <f>(((S293+S295)+(S334))-S437)*'OLD  Formulas'!$O$4</f>
        <v>0</v>
      </c>
      <c r="T566" s="1380">
        <f>(((T293+T295)+(T334))-T437)*'OLD  Formulas'!$O$4</f>
        <v>0</v>
      </c>
      <c r="U566" s="1380">
        <f>(((U293+U295)+(U334))-U437)*'OLD  Formulas'!$O$4</f>
        <v>0</v>
      </c>
      <c r="V566" s="1380">
        <f>(((V293+V295)+(V334))-V437)*'OLD  Formulas'!$O$4</f>
        <v>0</v>
      </c>
      <c r="W566" s="1380">
        <f>(((W293+W295)+(W334))-W437)*'OLD  Formulas'!$O$4</f>
        <v>0</v>
      </c>
      <c r="X566" s="1380">
        <f>(((X293+X295)+(X334))-X437)*'OLD  Formulas'!$O$4</f>
        <v>0</v>
      </c>
      <c r="Y566" s="1380">
        <f>(((Y293+Y295)+(Y334))-Y437)*'OLD  Formulas'!$O$4</f>
        <v>0</v>
      </c>
      <c r="Z566" s="1380">
        <f>(((Z293+Z295)+(Z334))-Z437)*'OLD  Formulas'!$O$4</f>
        <v>0</v>
      </c>
      <c r="AA566" s="1380">
        <f>(((AA293+AA295)+(AA334))-AA437)*'OLD  Formulas'!$O$4</f>
        <v>0</v>
      </c>
      <c r="AB566" s="1380">
        <f>(((AB293+AB295)+(AB334))-AB437)*'OLD  Formulas'!$O$4</f>
        <v>0</v>
      </c>
      <c r="AC566" s="1380">
        <f>(((AC293+AC295)+(AC334))-AC437)*'OLD  Formulas'!$O$4</f>
        <v>0</v>
      </c>
      <c r="AD566" s="1380">
        <f>(((AD293+AD295)+(AD334))-AD437)*'OLD  Formulas'!$O$4</f>
        <v>0</v>
      </c>
      <c r="AE566" s="1380">
        <f>(((AE293+AE295)+(AE334))-AE437)*'OLD  Formulas'!$O$4</f>
        <v>0</v>
      </c>
      <c r="AF566" s="900">
        <f t="shared" si="239"/>
        <v>0</v>
      </c>
    </row>
    <row r="567">
      <c r="A567" s="1388" t="s">
        <v>444</v>
      </c>
      <c r="B567" s="1389">
        <f t="shared" ref="B567:AE567" si="241">iferror(B568+B569+B570+B571+B572,"")</f>
        <v>3619.05</v>
      </c>
      <c r="C567" s="1389">
        <f t="shared" si="241"/>
        <v>876</v>
      </c>
      <c r="D567" s="1389">
        <f t="shared" si="241"/>
        <v>954.5</v>
      </c>
      <c r="E567" s="1389">
        <f t="shared" si="241"/>
        <v>333</v>
      </c>
      <c r="F567" s="1389">
        <f t="shared" si="241"/>
        <v>1745.1</v>
      </c>
      <c r="G567" s="1389">
        <f t="shared" si="241"/>
        <v>4092.93</v>
      </c>
      <c r="H567" s="1389">
        <f t="shared" si="241"/>
        <v>1684.2</v>
      </c>
      <c r="I567" s="1389">
        <f t="shared" si="241"/>
        <v>53</v>
      </c>
      <c r="J567" s="1389">
        <f t="shared" si="241"/>
        <v>269</v>
      </c>
      <c r="K567" s="1389">
        <f t="shared" si="241"/>
        <v>788.4</v>
      </c>
      <c r="L567" s="1389">
        <f t="shared" si="241"/>
        <v>6865.19</v>
      </c>
      <c r="M567" s="1389">
        <f t="shared" si="241"/>
        <v>13235.19</v>
      </c>
      <c r="N567" s="1389">
        <f t="shared" si="241"/>
        <v>8438.47</v>
      </c>
      <c r="O567" s="1389">
        <f t="shared" si="241"/>
        <v>7345.33</v>
      </c>
      <c r="P567" s="1389">
        <f t="shared" si="241"/>
        <v>1389.07</v>
      </c>
      <c r="Q567" s="1389">
        <f t="shared" si="241"/>
        <v>895.4</v>
      </c>
      <c r="R567" s="1389">
        <f t="shared" si="241"/>
        <v>227.3</v>
      </c>
      <c r="S567" s="1389">
        <f t="shared" si="241"/>
        <v>1524.2</v>
      </c>
      <c r="T567" s="1389">
        <f t="shared" si="241"/>
        <v>2548.008</v>
      </c>
      <c r="U567" s="1389">
        <f t="shared" si="241"/>
        <v>2620.28</v>
      </c>
      <c r="V567" s="1389">
        <f t="shared" si="241"/>
        <v>1721.4</v>
      </c>
      <c r="W567" s="1389">
        <f t="shared" si="241"/>
        <v>488.56</v>
      </c>
      <c r="X567" s="1389">
        <f t="shared" si="241"/>
        <v>1049.55</v>
      </c>
      <c r="Y567" s="1389">
        <f t="shared" si="241"/>
        <v>375</v>
      </c>
      <c r="Z567" s="1389">
        <f t="shared" si="241"/>
        <v>49</v>
      </c>
      <c r="AA567" s="1389">
        <f t="shared" si="241"/>
        <v>2166.12</v>
      </c>
      <c r="AB567" s="1389">
        <f t="shared" si="241"/>
        <v>3402.25</v>
      </c>
      <c r="AC567" s="1389">
        <f t="shared" si="241"/>
        <v>505.14</v>
      </c>
      <c r="AD567" s="1389">
        <f t="shared" si="241"/>
        <v>1375.9</v>
      </c>
      <c r="AE567" s="1389">
        <f t="shared" si="241"/>
        <v>969</v>
      </c>
      <c r="AF567" s="900">
        <f t="shared" si="239"/>
        <v>71605.538</v>
      </c>
    </row>
    <row r="568" outlineLevel="1">
      <c r="A568" s="1093" t="s">
        <v>1198</v>
      </c>
      <c r="B568" s="947">
        <f t="shared" ref="B568:AE568" si="242">B425+B433+B438</f>
        <v>0</v>
      </c>
      <c r="C568" s="947">
        <f t="shared" si="242"/>
        <v>0</v>
      </c>
      <c r="D568" s="947">
        <f t="shared" si="242"/>
        <v>159.2</v>
      </c>
      <c r="E568" s="947">
        <f t="shared" si="242"/>
        <v>288</v>
      </c>
      <c r="F568" s="947">
        <f t="shared" si="242"/>
        <v>304</v>
      </c>
      <c r="G568" s="947">
        <f t="shared" si="242"/>
        <v>834.6</v>
      </c>
      <c r="H568" s="947">
        <f t="shared" si="242"/>
        <v>414.2</v>
      </c>
      <c r="I568" s="947">
        <f t="shared" si="242"/>
        <v>14</v>
      </c>
      <c r="J568" s="947">
        <f t="shared" si="242"/>
        <v>269</v>
      </c>
      <c r="K568" s="947">
        <f t="shared" si="242"/>
        <v>468</v>
      </c>
      <c r="L568" s="947">
        <f t="shared" si="242"/>
        <v>0</v>
      </c>
      <c r="M568" s="947">
        <f t="shared" si="242"/>
        <v>22</v>
      </c>
      <c r="N568" s="947">
        <f t="shared" si="242"/>
        <v>45.46</v>
      </c>
      <c r="O568" s="947">
        <f t="shared" si="242"/>
        <v>179.1</v>
      </c>
      <c r="P568" s="947">
        <f t="shared" si="242"/>
        <v>704.68</v>
      </c>
      <c r="Q568" s="947">
        <f t="shared" si="242"/>
        <v>0</v>
      </c>
      <c r="R568" s="947">
        <f t="shared" si="242"/>
        <v>24</v>
      </c>
      <c r="S568" s="947">
        <f t="shared" si="242"/>
        <v>257</v>
      </c>
      <c r="T568" s="947">
        <f t="shared" si="242"/>
        <v>0</v>
      </c>
      <c r="U568" s="947">
        <f t="shared" si="242"/>
        <v>83.6</v>
      </c>
      <c r="V568" s="947">
        <f t="shared" si="242"/>
        <v>39</v>
      </c>
      <c r="W568" s="947">
        <f t="shared" si="242"/>
        <v>258.17</v>
      </c>
      <c r="X568" s="947">
        <f t="shared" si="242"/>
        <v>836.25</v>
      </c>
      <c r="Y568" s="947">
        <f t="shared" si="242"/>
        <v>375</v>
      </c>
      <c r="Z568" s="947">
        <f t="shared" si="242"/>
        <v>29</v>
      </c>
      <c r="AA568" s="947">
        <f t="shared" si="242"/>
        <v>1252.28</v>
      </c>
      <c r="AB568" s="947">
        <f t="shared" si="242"/>
        <v>0</v>
      </c>
      <c r="AC568" s="947">
        <f t="shared" si="242"/>
        <v>29</v>
      </c>
      <c r="AD568" s="947">
        <f t="shared" si="242"/>
        <v>0</v>
      </c>
      <c r="AE568" s="947">
        <f t="shared" si="242"/>
        <v>154</v>
      </c>
      <c r="AF568" s="900">
        <f t="shared" si="239"/>
        <v>7039.54</v>
      </c>
    </row>
    <row r="569" outlineLevel="1">
      <c r="A569" s="1093" t="s">
        <v>1199</v>
      </c>
      <c r="B569" s="1310">
        <f t="shared" ref="B569:AE569" si="243">(B444+B449+B454)</f>
        <v>3325.8</v>
      </c>
      <c r="C569" s="1310">
        <f t="shared" si="243"/>
        <v>831</v>
      </c>
      <c r="D569" s="1310">
        <f t="shared" si="243"/>
        <v>750.3</v>
      </c>
      <c r="E569" s="1310">
        <f t="shared" si="243"/>
        <v>0</v>
      </c>
      <c r="F569" s="1310">
        <f t="shared" si="243"/>
        <v>1366.1</v>
      </c>
      <c r="G569" s="1310">
        <f t="shared" si="243"/>
        <v>3036.53</v>
      </c>
      <c r="H569" s="1310">
        <f t="shared" si="243"/>
        <v>1195</v>
      </c>
      <c r="I569" s="1310">
        <f t="shared" si="243"/>
        <v>24</v>
      </c>
      <c r="J569" s="1310">
        <f t="shared" si="243"/>
        <v>0</v>
      </c>
      <c r="K569" s="1310">
        <f t="shared" si="243"/>
        <v>269</v>
      </c>
      <c r="L569" s="1310">
        <f t="shared" si="243"/>
        <v>6390.39</v>
      </c>
      <c r="M569" s="1310">
        <f t="shared" si="243"/>
        <v>12369.85</v>
      </c>
      <c r="N569" s="1310">
        <f t="shared" si="243"/>
        <v>7895.77</v>
      </c>
      <c r="O569" s="1310">
        <f t="shared" si="243"/>
        <v>6298.88</v>
      </c>
      <c r="P569" s="1310">
        <f t="shared" si="243"/>
        <v>639.39</v>
      </c>
      <c r="Q569" s="1310">
        <f t="shared" si="243"/>
        <v>895.4</v>
      </c>
      <c r="R569" s="1310">
        <f t="shared" si="243"/>
        <v>188.3</v>
      </c>
      <c r="S569" s="1310">
        <f t="shared" si="243"/>
        <v>1182.2</v>
      </c>
      <c r="T569" s="1310">
        <f t="shared" si="243"/>
        <v>2538.008</v>
      </c>
      <c r="U569" s="1310">
        <f t="shared" si="243"/>
        <v>2197.8</v>
      </c>
      <c r="V569" s="1310">
        <f t="shared" si="243"/>
        <v>1567.4</v>
      </c>
      <c r="W569" s="1310">
        <f t="shared" si="243"/>
        <v>215.39</v>
      </c>
      <c r="X569" s="1310">
        <f t="shared" si="243"/>
        <v>198.3</v>
      </c>
      <c r="Y569" s="1310">
        <f t="shared" si="243"/>
        <v>0</v>
      </c>
      <c r="Z569" s="1310">
        <f t="shared" si="243"/>
        <v>0</v>
      </c>
      <c r="AA569" s="1310">
        <f t="shared" si="243"/>
        <v>839</v>
      </c>
      <c r="AB569" s="1310">
        <f t="shared" si="243"/>
        <v>3140.45</v>
      </c>
      <c r="AC569" s="1310">
        <f t="shared" si="243"/>
        <v>199</v>
      </c>
      <c r="AD569" s="1310">
        <f t="shared" si="243"/>
        <v>1285.9</v>
      </c>
      <c r="AE569" s="1310">
        <f t="shared" si="243"/>
        <v>770</v>
      </c>
      <c r="AF569" s="900">
        <f t="shared" si="239"/>
        <v>59609.158</v>
      </c>
    </row>
    <row r="570" outlineLevel="1">
      <c r="A570" s="966" t="s">
        <v>1201</v>
      </c>
      <c r="B570" s="1310">
        <f>(B419*'OLD  Formulas'!$R$3)+(B420*'OLD  Formulas'!$R$4)+(B421*'OLD  Formulas'!$R$5)</f>
        <v>225</v>
      </c>
      <c r="C570" s="1310">
        <f>(C419*'OLD  Formulas'!$R$3)+(C420*'OLD  Formulas'!$R$4)+(C421*'OLD  Formulas'!$R$5)</f>
        <v>45</v>
      </c>
      <c r="D570" s="1310">
        <f>(D419*'OLD  Formulas'!$R$3)+(D420*'OLD  Formulas'!$R$4)+(D421*'OLD  Formulas'!$R$5)</f>
        <v>45</v>
      </c>
      <c r="E570" s="1310">
        <f>(E419*'OLD  Formulas'!$R$3)+(E420*'OLD  Formulas'!$R$4)+(E421*'OLD  Formulas'!$R$5)</f>
        <v>45</v>
      </c>
      <c r="F570" s="1310">
        <f>(F419*'OLD  Formulas'!$R$3)+(F420*'OLD  Formulas'!$R$4)+(F421*'OLD  Formulas'!$R$5)</f>
        <v>75</v>
      </c>
      <c r="G570" s="1310">
        <f>(G419*'OLD  Formulas'!$R$3)+(G420*'OLD  Formulas'!$R$4)+(G421*'OLD  Formulas'!$R$5)</f>
        <v>180</v>
      </c>
      <c r="H570" s="1310">
        <f>(H419*'OLD  Formulas'!$R$3)+(H420*'OLD  Formulas'!$R$4)+(H421*'OLD  Formulas'!$R$5)</f>
        <v>75</v>
      </c>
      <c r="I570" s="1310">
        <f>(I419*'OLD  Formulas'!$R$3)+(I420*'OLD  Formulas'!$R$4)+(I421*'OLD  Formulas'!$R$5)</f>
        <v>15</v>
      </c>
      <c r="J570" s="1310">
        <f>(J419*'OLD  Formulas'!$R$3)+(J420*'OLD  Formulas'!$R$4)+(J421*'OLD  Formulas'!$R$5)</f>
        <v>0</v>
      </c>
      <c r="K570" s="1310">
        <f>(K419*'OLD  Formulas'!$R$3)+(K420*'OLD  Formulas'!$R$4)+(K421*'OLD  Formulas'!$R$5)</f>
        <v>15</v>
      </c>
      <c r="L570" s="1310">
        <f>(L419*'OLD  Formulas'!$R$3)+(L420*'OLD  Formulas'!$R$4)+(L421*'OLD  Formulas'!$R$5)</f>
        <v>435</v>
      </c>
      <c r="M570" s="1310">
        <f>(M419*'OLD  Formulas'!$R$3)+(M420*'OLD  Formulas'!$R$4)+(M421*'OLD  Formulas'!$R$5)</f>
        <v>715</v>
      </c>
      <c r="N570" s="1310">
        <f>(N419*'OLD  Formulas'!$R$3)+(N420*'OLD  Formulas'!$R$4)+(N421*'OLD  Formulas'!$R$5)</f>
        <v>390</v>
      </c>
      <c r="O570" s="1310">
        <f>(O419*'OLD  Formulas'!$R$3)+(O420*'OLD  Formulas'!$R$4)+(O421*'OLD  Formulas'!$R$5)</f>
        <v>465</v>
      </c>
      <c r="P570" s="1310">
        <f>(P419*'OLD  Formulas'!$R$3)+(P420*'OLD  Formulas'!$R$4)+(P421*'OLD  Formulas'!$R$5)</f>
        <v>45</v>
      </c>
      <c r="Q570" s="1310">
        <f>(Q419*'OLD  Formulas'!$R$3)+(Q420*'OLD  Formulas'!$R$4)+(Q421*'OLD  Formulas'!$R$5)</f>
        <v>0</v>
      </c>
      <c r="R570" s="1310">
        <f>(R419*'OLD  Formulas'!$R$3)+(R420*'OLD  Formulas'!$R$4)+(R421*'OLD  Formulas'!$R$5)</f>
        <v>15</v>
      </c>
      <c r="S570" s="1310">
        <f>(S419*'OLD  Formulas'!$R$3)+(S420*'OLD  Formulas'!$R$4)+(S421*'OLD  Formulas'!$R$5)</f>
        <v>85</v>
      </c>
      <c r="T570" s="1310">
        <f>(T419*'OLD  Formulas'!$R$3)+(T420*'OLD  Formulas'!$R$4)+(T421*'OLD  Formulas'!$R$5)</f>
        <v>0</v>
      </c>
      <c r="U570" s="1310">
        <f>(U419*'OLD  Formulas'!$R$3)+(U420*'OLD  Formulas'!$R$4)+(U421*'OLD  Formulas'!$R$5)</f>
        <v>135</v>
      </c>
      <c r="V570" s="1310">
        <f>(V419*'OLD  Formulas'!$R$3)+(V420*'OLD  Formulas'!$R$4)+(V421*'OLD  Formulas'!$R$5)</f>
        <v>115</v>
      </c>
      <c r="W570" s="1310">
        <f>(W419*'OLD  Formulas'!$R$3)+(W420*'OLD  Formulas'!$R$4)+(W421*'OLD  Formulas'!$R$5)</f>
        <v>15</v>
      </c>
      <c r="X570" s="1310">
        <f>(X419*'OLD  Formulas'!$R$3)+(X420*'OLD  Formulas'!$R$4)+(X421*'OLD  Formulas'!$R$5)</f>
        <v>15</v>
      </c>
      <c r="Y570" s="1310">
        <f>(Y419*'OLD  Formulas'!$R$3)+(Y420*'OLD  Formulas'!$R$4)+(Y421*'OLD  Formulas'!$R$5)</f>
        <v>0</v>
      </c>
      <c r="Z570" s="1310">
        <f>(Z419*'OLD  Formulas'!$R$3)+(Z420*'OLD  Formulas'!$R$4)+(Z421*'OLD  Formulas'!$R$5)</f>
        <v>0</v>
      </c>
      <c r="AA570" s="1310">
        <f>(AA419*'OLD  Formulas'!$R$3)+(AA420*'OLD  Formulas'!$R$4)+(AA421*'OLD  Formulas'!$R$5)</f>
        <v>60</v>
      </c>
      <c r="AB570" s="1310">
        <f>(AB419*'OLD  Formulas'!$R$3)+(AB420*'OLD  Formulas'!$R$4)+(AB421*'OLD  Formulas'!$R$5)</f>
        <v>225</v>
      </c>
      <c r="AC570" s="1310">
        <f>(AC419*'OLD  Formulas'!$R$3)+(AC420*'OLD  Formulas'!$R$4)+(AC421*'OLD  Formulas'!$R$5)</f>
        <v>15</v>
      </c>
      <c r="AD570" s="1310">
        <f>(AD419*'OLD  Formulas'!$R$3)+(AD420*'OLD  Formulas'!$R$4)+(AD421*'OLD  Formulas'!$R$5)</f>
        <v>90</v>
      </c>
      <c r="AE570" s="1310">
        <f>(AE419*'OLD  Formulas'!$R$3)+(AE420*'OLD  Formulas'!$R$4)+(AE421*'OLD  Formulas'!$R$5)</f>
        <v>45</v>
      </c>
      <c r="AF570" s="900">
        <f t="shared" si="239"/>
        <v>3585</v>
      </c>
    </row>
    <row r="571" outlineLevel="1">
      <c r="A571" s="1093" t="s">
        <v>369</v>
      </c>
      <c r="B571" s="1406">
        <v>0.0</v>
      </c>
      <c r="C571" s="1406">
        <v>0.0</v>
      </c>
      <c r="D571" s="1406">
        <v>0.0</v>
      </c>
      <c r="E571" s="1407">
        <v>0.0</v>
      </c>
      <c r="F571" s="1406">
        <v>0.0</v>
      </c>
      <c r="G571" s="1406">
        <v>0.0</v>
      </c>
      <c r="H571" s="1406">
        <v>0.0</v>
      </c>
      <c r="I571" s="1406">
        <v>0.0</v>
      </c>
      <c r="J571" s="1406">
        <v>0.0</v>
      </c>
      <c r="K571" s="1406">
        <v>0.0</v>
      </c>
      <c r="L571" s="1406">
        <v>0.0</v>
      </c>
      <c r="M571" s="1406">
        <v>0.0</v>
      </c>
      <c r="N571" s="1406">
        <v>0.0</v>
      </c>
      <c r="O571" s="1406">
        <v>229.92</v>
      </c>
      <c r="P571" s="1406">
        <v>0.0</v>
      </c>
      <c r="Q571" s="1406">
        <v>0.0</v>
      </c>
      <c r="R571" s="1406">
        <v>0.0</v>
      </c>
      <c r="S571" s="1406">
        <v>0.0</v>
      </c>
      <c r="T571" s="1406">
        <v>0.0</v>
      </c>
      <c r="U571" s="1406">
        <v>0.0</v>
      </c>
      <c r="V571" s="1406">
        <v>0.0</v>
      </c>
      <c r="W571" s="1406">
        <v>0.0</v>
      </c>
      <c r="X571" s="1406">
        <v>0.0</v>
      </c>
      <c r="Y571" s="1406">
        <v>0.0</v>
      </c>
      <c r="Z571" s="1406">
        <v>0.0</v>
      </c>
      <c r="AA571" s="1406"/>
      <c r="AB571" s="1406">
        <v>0.0</v>
      </c>
      <c r="AC571" s="1406">
        <v>0.0</v>
      </c>
      <c r="AD571" s="1406">
        <v>0.0</v>
      </c>
      <c r="AE571" s="1406">
        <v>0.0</v>
      </c>
      <c r="AF571" s="900">
        <f t="shared" si="239"/>
        <v>229.92</v>
      </c>
    </row>
    <row r="572" outlineLevel="1">
      <c r="A572" s="1093" t="s">
        <v>564</v>
      </c>
      <c r="B572" s="1406">
        <v>68.25</v>
      </c>
      <c r="C572" s="1406">
        <v>0.0</v>
      </c>
      <c r="D572" s="1407">
        <v>0.0</v>
      </c>
      <c r="E572" s="1407">
        <v>0.0</v>
      </c>
      <c r="F572" s="1406">
        <v>0.0</v>
      </c>
      <c r="G572" s="1406">
        <v>41.8</v>
      </c>
      <c r="H572" s="1406">
        <v>0.0</v>
      </c>
      <c r="I572" s="1406">
        <v>0.0</v>
      </c>
      <c r="J572" s="1406">
        <v>0.0</v>
      </c>
      <c r="K572" s="1406">
        <v>36.4</v>
      </c>
      <c r="L572" s="1406">
        <v>39.8</v>
      </c>
      <c r="M572" s="1406">
        <v>128.34</v>
      </c>
      <c r="N572" s="1406">
        <v>107.24</v>
      </c>
      <c r="O572" s="1406">
        <v>172.43</v>
      </c>
      <c r="P572" s="1406">
        <v>0.0</v>
      </c>
      <c r="Q572" s="1406">
        <v>0.0</v>
      </c>
      <c r="R572" s="1406">
        <v>0.0</v>
      </c>
      <c r="S572" s="1406">
        <v>0.0</v>
      </c>
      <c r="T572" s="1406">
        <v>10.0</v>
      </c>
      <c r="U572" s="1406">
        <v>203.88</v>
      </c>
      <c r="V572" s="1406">
        <v>0.0</v>
      </c>
      <c r="W572" s="1406">
        <v>0.0</v>
      </c>
      <c r="X572" s="1406">
        <v>0.0</v>
      </c>
      <c r="Y572" s="1406">
        <v>0.0</v>
      </c>
      <c r="Z572" s="1406">
        <v>20.0</v>
      </c>
      <c r="AA572" s="1406">
        <v>14.84</v>
      </c>
      <c r="AB572" s="1406">
        <v>36.8</v>
      </c>
      <c r="AC572" s="1406">
        <v>262.14</v>
      </c>
      <c r="AD572" s="1406">
        <v>0.0</v>
      </c>
      <c r="AE572" s="1406">
        <v>0.0</v>
      </c>
      <c r="AF572" s="900">
        <f t="shared" si="239"/>
        <v>1141.92</v>
      </c>
    </row>
    <row r="573">
      <c r="A573" s="966" t="s">
        <v>1206</v>
      </c>
      <c r="B573" s="1310">
        <f>B131*'OLD  Formulas'!$C$21</f>
        <v>0</v>
      </c>
      <c r="C573" s="1310">
        <f>C131*'OLD  Formulas'!$C$21</f>
        <v>0</v>
      </c>
      <c r="D573" s="1310">
        <f>D131*'OLD  Formulas'!$C$21</f>
        <v>0</v>
      </c>
      <c r="E573" s="1310">
        <f>E131*'OLD  Formulas'!$C$21</f>
        <v>0</v>
      </c>
      <c r="F573" s="1310">
        <f>F131*'OLD  Formulas'!$C$21</f>
        <v>0</v>
      </c>
      <c r="G573" s="1310">
        <f>G131*'OLD  Formulas'!$C$21</f>
        <v>0</v>
      </c>
      <c r="H573" s="1310">
        <f>H131*'OLD  Formulas'!$C$21</f>
        <v>0</v>
      </c>
      <c r="I573" s="1310">
        <f>I131*'OLD  Formulas'!$C$21</f>
        <v>0</v>
      </c>
      <c r="J573" s="1310">
        <f>J131*'OLD  Formulas'!$C$21</f>
        <v>0</v>
      </c>
      <c r="K573" s="1310">
        <f>K131*'OLD  Formulas'!$C$21</f>
        <v>0</v>
      </c>
      <c r="L573" s="1310">
        <f>L131*'OLD  Formulas'!$C$21</f>
        <v>0</v>
      </c>
      <c r="M573" s="1310">
        <f>M131*'OLD  Formulas'!$C$21</f>
        <v>0</v>
      </c>
      <c r="N573" s="1310">
        <f>N131*'OLD  Formulas'!$C$21</f>
        <v>0</v>
      </c>
      <c r="O573" s="1310">
        <f>O131*'OLD  Formulas'!$C$21</f>
        <v>0</v>
      </c>
      <c r="P573" s="1310">
        <f>P131*'OLD  Formulas'!$C$21</f>
        <v>0</v>
      </c>
      <c r="Q573" s="1310">
        <f>Q131*'OLD  Formulas'!$C$21</f>
        <v>0</v>
      </c>
      <c r="R573" s="1310">
        <f>R131*'OLD  Formulas'!$C$21</f>
        <v>0</v>
      </c>
      <c r="S573" s="1310">
        <f>S131*'OLD  Formulas'!$C$21</f>
        <v>0</v>
      </c>
      <c r="T573" s="1310">
        <f>T131*'OLD  Formulas'!$C$21</f>
        <v>0</v>
      </c>
      <c r="U573" s="1310">
        <f>U131*'OLD  Formulas'!$C$21</f>
        <v>0</v>
      </c>
      <c r="V573" s="1310">
        <f>V131*'OLD  Formulas'!$C$21</f>
        <v>0</v>
      </c>
      <c r="W573" s="1310">
        <f>W131*'OLD  Formulas'!$C$21</f>
        <v>0</v>
      </c>
      <c r="X573" s="1310">
        <f>X131*'OLD  Formulas'!$C$21</f>
        <v>0</v>
      </c>
      <c r="Y573" s="1310">
        <f>Y131*'OLD  Formulas'!$C$21</f>
        <v>0</v>
      </c>
      <c r="Z573" s="1310">
        <f>Z131*'OLD  Formulas'!$C$21</f>
        <v>0</v>
      </c>
      <c r="AA573" s="1310">
        <f>AA131*'OLD  Formulas'!$C$21</f>
        <v>0</v>
      </c>
      <c r="AB573" s="1310">
        <f>AB131*'OLD  Formulas'!$C$21</f>
        <v>0</v>
      </c>
      <c r="AC573" s="1310">
        <f>AC131*'OLD  Formulas'!$C$21</f>
        <v>0</v>
      </c>
      <c r="AD573" s="1310">
        <f>AD131*'OLD  Formulas'!$C$21</f>
        <v>0</v>
      </c>
      <c r="AE573" s="1310">
        <f>AE131*'OLD  Formulas'!$C$21</f>
        <v>0</v>
      </c>
      <c r="AF573" s="260">
        <f t="shared" si="239"/>
        <v>0</v>
      </c>
    </row>
    <row r="574" collapsed="1">
      <c r="A574" s="1409" t="s">
        <v>1208</v>
      </c>
      <c r="B574" s="1310">
        <f t="shared" ref="B574:AE574" si="244">sum(B575:B580)</f>
        <v>93.6</v>
      </c>
      <c r="C574" s="1310">
        <f t="shared" si="244"/>
        <v>149.76</v>
      </c>
      <c r="D574" s="1310">
        <f t="shared" si="244"/>
        <v>174.72</v>
      </c>
      <c r="E574" s="1310">
        <f t="shared" si="244"/>
        <v>212.16</v>
      </c>
      <c r="F574" s="1310">
        <f t="shared" si="244"/>
        <v>187.2</v>
      </c>
      <c r="G574" s="1310">
        <f t="shared" si="244"/>
        <v>143.52</v>
      </c>
      <c r="H574" s="1310">
        <f t="shared" si="244"/>
        <v>131.04</v>
      </c>
      <c r="I574" s="1310">
        <f t="shared" si="244"/>
        <v>87.36</v>
      </c>
      <c r="J574" s="1310">
        <f t="shared" si="244"/>
        <v>90.48</v>
      </c>
      <c r="K574" s="1310">
        <f t="shared" si="244"/>
        <v>102.96</v>
      </c>
      <c r="L574" s="1310">
        <f t="shared" si="244"/>
        <v>106.08</v>
      </c>
      <c r="M574" s="1310">
        <f t="shared" si="244"/>
        <v>102.96</v>
      </c>
      <c r="N574" s="1310">
        <f t="shared" si="244"/>
        <v>96.72</v>
      </c>
      <c r="O574" s="1310">
        <f t="shared" si="244"/>
        <v>115.44</v>
      </c>
      <c r="P574" s="1310">
        <f t="shared" si="244"/>
        <v>96.72</v>
      </c>
      <c r="Q574" s="1310">
        <f t="shared" si="244"/>
        <v>146.64</v>
      </c>
      <c r="R574" s="1310">
        <f t="shared" si="244"/>
        <v>112.32</v>
      </c>
      <c r="S574" s="1310">
        <f t="shared" si="244"/>
        <v>134.16</v>
      </c>
      <c r="T574" s="1310">
        <f t="shared" si="244"/>
        <v>96.72</v>
      </c>
      <c r="U574" s="1310">
        <f t="shared" si="244"/>
        <v>102.96</v>
      </c>
      <c r="V574" s="1310">
        <f t="shared" si="244"/>
        <v>109.2</v>
      </c>
      <c r="W574" s="1310">
        <f t="shared" si="244"/>
        <v>102.96</v>
      </c>
      <c r="X574" s="1310">
        <f t="shared" si="244"/>
        <v>109.2</v>
      </c>
      <c r="Y574" s="1310">
        <f t="shared" si="244"/>
        <v>78</v>
      </c>
      <c r="Z574" s="1310">
        <f t="shared" si="244"/>
        <v>46.8</v>
      </c>
      <c r="AA574" s="1310">
        <f t="shared" si="244"/>
        <v>43.68</v>
      </c>
      <c r="AB574" s="1310">
        <f t="shared" si="244"/>
        <v>96.72</v>
      </c>
      <c r="AC574" s="1310">
        <f t="shared" si="244"/>
        <v>99.84</v>
      </c>
      <c r="AD574" s="1310">
        <f t="shared" si="244"/>
        <v>90.48</v>
      </c>
      <c r="AE574" s="1310">
        <f t="shared" si="244"/>
        <v>102.96</v>
      </c>
      <c r="AF574" s="900">
        <f t="shared" si="239"/>
        <v>3363.36</v>
      </c>
    </row>
    <row r="575" hidden="1" outlineLevel="1">
      <c r="A575" s="1409" t="s">
        <v>1209</v>
      </c>
      <c r="B575" s="1310">
        <f>((B502+B503)*'OLD  Formulas'!$C$22)</f>
        <v>9</v>
      </c>
      <c r="C575" s="1310">
        <f>((C502+C503)*'OLD  Formulas'!$C$22)</f>
        <v>14.4</v>
      </c>
      <c r="D575" s="1310">
        <f>((D502+D503)*'OLD  Formulas'!$C$22)</f>
        <v>16.8</v>
      </c>
      <c r="E575" s="1310">
        <f>((E502+E503)*'OLD  Formulas'!$C$22)</f>
        <v>20.4</v>
      </c>
      <c r="F575" s="1310">
        <f>((F502+F503)*'OLD  Formulas'!$C$22)</f>
        <v>18</v>
      </c>
      <c r="G575" s="1310">
        <f>((G502+G503)*'OLD  Formulas'!$C$22)</f>
        <v>13.8</v>
      </c>
      <c r="H575" s="1310">
        <f>((H502+H503)*'OLD  Formulas'!$C$22)</f>
        <v>12.6</v>
      </c>
      <c r="I575" s="1310">
        <f>((I502+I503)*'OLD  Formulas'!$C$22)</f>
        <v>8.4</v>
      </c>
      <c r="J575" s="1310">
        <f>((J502+J503)*'OLD  Formulas'!$C$22)</f>
        <v>8.7</v>
      </c>
      <c r="K575" s="1310">
        <f>((K502+K503)*'OLD  Formulas'!$C$22)</f>
        <v>9.9</v>
      </c>
      <c r="L575" s="1310">
        <f>((L502+L503)*'OLD  Formulas'!$C$22)</f>
        <v>10.2</v>
      </c>
      <c r="M575" s="1310">
        <f>((M502+M503)*'OLD  Formulas'!$C$22)</f>
        <v>9.9</v>
      </c>
      <c r="N575" s="1310">
        <f>((N502+N503)*'OLD  Formulas'!$C$22)</f>
        <v>9.3</v>
      </c>
      <c r="O575" s="1310">
        <f>((O502+O503)*'OLD  Formulas'!$C$22)</f>
        <v>11.1</v>
      </c>
      <c r="P575" s="1310">
        <f>((P502+P503)*'OLD  Formulas'!$C$22)</f>
        <v>9.3</v>
      </c>
      <c r="Q575" s="1310">
        <f>((Q502+Q503)*'OLD  Formulas'!$C$22)</f>
        <v>14.1</v>
      </c>
      <c r="R575" s="1310">
        <f>((R502+R503)*'OLD  Formulas'!$C$22)</f>
        <v>10.8</v>
      </c>
      <c r="S575" s="1310">
        <f>((S502+S503)*'OLD  Formulas'!$C$22)</f>
        <v>12.9</v>
      </c>
      <c r="T575" s="1310">
        <f>((T502+T503)*'OLD  Formulas'!$C$22)</f>
        <v>9.3</v>
      </c>
      <c r="U575" s="1310">
        <f>((U502+U503)*'OLD  Formulas'!$C$22)</f>
        <v>9.9</v>
      </c>
      <c r="V575" s="1310">
        <f>((V502+V503)*'OLD  Formulas'!$C$22)</f>
        <v>10.5</v>
      </c>
      <c r="W575" s="1310">
        <f>((W502+W503)*'OLD  Formulas'!$C$22)</f>
        <v>9.9</v>
      </c>
      <c r="X575" s="1310">
        <f>((X502+X503)*'OLD  Formulas'!$C$22)</f>
        <v>10.5</v>
      </c>
      <c r="Y575" s="1310">
        <f>((Y502+Y503)*'OLD  Formulas'!$C$22)</f>
        <v>7.5</v>
      </c>
      <c r="Z575" s="1310">
        <f>((Z502+Z503)*'OLD  Formulas'!$C$22)</f>
        <v>4.5</v>
      </c>
      <c r="AA575" s="1310">
        <f>((AA502+AA503)*'OLD  Formulas'!$C$22)</f>
        <v>4.2</v>
      </c>
      <c r="AB575" s="1310">
        <f>((AB502+AB503)*'OLD  Formulas'!$C$22)</f>
        <v>9.3</v>
      </c>
      <c r="AC575" s="1310">
        <f>((AC502+AC503)*'OLD  Formulas'!$C$22)</f>
        <v>9.6</v>
      </c>
      <c r="AD575" s="1310">
        <f>((AD502+AD503)*'OLD  Formulas'!$C$22)</f>
        <v>8.7</v>
      </c>
      <c r="AE575" s="1310">
        <f>((AE502+AE503)*'OLD  Formulas'!$C$22)</f>
        <v>9.9</v>
      </c>
      <c r="AF575" s="900">
        <f t="shared" si="239"/>
        <v>323.4</v>
      </c>
    </row>
    <row r="576" hidden="1" outlineLevel="1">
      <c r="A576" s="1409" t="s">
        <v>1211</v>
      </c>
      <c r="B576" s="580">
        <f>((B502+B503)*'OLD  Formulas'!$C$23)</f>
        <v>9.3</v>
      </c>
      <c r="C576" s="580">
        <f>((C502+C503)*'OLD  Formulas'!$C$23)</f>
        <v>14.88</v>
      </c>
      <c r="D576" s="580">
        <f>((D502+D503)*'OLD  Formulas'!$C$23)</f>
        <v>17.36</v>
      </c>
      <c r="E576" s="580">
        <f>((E502+E503)*'OLD  Formulas'!$C$23)</f>
        <v>21.08</v>
      </c>
      <c r="F576" s="580">
        <f>((F502+F503)*'OLD  Formulas'!$C$23)</f>
        <v>18.6</v>
      </c>
      <c r="G576" s="580">
        <f>((G502+G503)*'OLD  Formulas'!$C$23)</f>
        <v>14.26</v>
      </c>
      <c r="H576" s="580">
        <f>((H502+H503)*'OLD  Formulas'!$C$23)</f>
        <v>13.02</v>
      </c>
      <c r="I576" s="580">
        <f>((I502+I503)*'OLD  Formulas'!$C$23)</f>
        <v>8.68</v>
      </c>
      <c r="J576" s="580">
        <f>((J502+J503)*'OLD  Formulas'!$C$23)</f>
        <v>8.99</v>
      </c>
      <c r="K576" s="580">
        <f>((K502+K503)*'OLD  Formulas'!$C$23)</f>
        <v>10.23</v>
      </c>
      <c r="L576" s="580">
        <f>((L502+L503)*'OLD  Formulas'!$C$23)</f>
        <v>10.54</v>
      </c>
      <c r="M576" s="580">
        <f>((M502+M503)*'OLD  Formulas'!$C$23)</f>
        <v>10.23</v>
      </c>
      <c r="N576" s="580">
        <f>((N502+N503)*'OLD  Formulas'!$C$23)</f>
        <v>9.61</v>
      </c>
      <c r="O576" s="580">
        <f>((O502+O503)*'OLD  Formulas'!$C$23)</f>
        <v>11.47</v>
      </c>
      <c r="P576" s="580">
        <f>((P502+P503)*'OLD  Formulas'!$C$23)</f>
        <v>9.61</v>
      </c>
      <c r="Q576" s="580">
        <f>((Q502+Q503)*'OLD  Formulas'!$C$23)</f>
        <v>14.57</v>
      </c>
      <c r="R576" s="580">
        <f>((R502+R503)*'OLD  Formulas'!$C$23)</f>
        <v>11.16</v>
      </c>
      <c r="S576" s="580">
        <f>((S502+S503)*'OLD  Formulas'!$C$23)</f>
        <v>13.33</v>
      </c>
      <c r="T576" s="580">
        <f>((T502+T503)*'OLD  Formulas'!$C$23)</f>
        <v>9.61</v>
      </c>
      <c r="U576" s="580">
        <f>((U502+U503)*'OLD  Formulas'!$C$23)</f>
        <v>10.23</v>
      </c>
      <c r="V576" s="580">
        <f>((V502+V503)*'OLD  Formulas'!$C$23)</f>
        <v>10.85</v>
      </c>
      <c r="W576" s="580">
        <f>((W502+W503)*'OLD  Formulas'!$C$23)</f>
        <v>10.23</v>
      </c>
      <c r="X576" s="580">
        <f>((X502+X503)*'OLD  Formulas'!$C$23)</f>
        <v>10.85</v>
      </c>
      <c r="Y576" s="580">
        <f>((Y502+Y503)*'OLD  Formulas'!$C$23)</f>
        <v>7.75</v>
      </c>
      <c r="Z576" s="580">
        <f>((Z502+Z503)*'OLD  Formulas'!$C$23)</f>
        <v>4.65</v>
      </c>
      <c r="AA576" s="580">
        <f>((AA502+AA503)*'OLD  Formulas'!$C$23)</f>
        <v>4.34</v>
      </c>
      <c r="AB576" s="580">
        <f>((AB502+AB503)*'OLD  Formulas'!$C$23)</f>
        <v>9.61</v>
      </c>
      <c r="AC576" s="580">
        <f>((AC502+AC503)*'OLD  Formulas'!$C$23)</f>
        <v>9.92</v>
      </c>
      <c r="AD576" s="580">
        <f>((AD502+AD503)*'OLD  Formulas'!$C$23)</f>
        <v>8.99</v>
      </c>
      <c r="AE576" s="580">
        <f>((AE502+AE503)*'OLD  Formulas'!$C$23)</f>
        <v>10.23</v>
      </c>
      <c r="AF576" s="900">
        <f t="shared" si="239"/>
        <v>334.18</v>
      </c>
    </row>
    <row r="577" hidden="1" outlineLevel="1">
      <c r="A577" s="1409" t="s">
        <v>1213</v>
      </c>
      <c r="B577" s="580">
        <f>((B502+B503)*'OLD  Formulas'!$C$24)</f>
        <v>30.3</v>
      </c>
      <c r="C577" s="580">
        <f>((C502+C503)*'OLD  Formulas'!$C$24)</f>
        <v>48.48</v>
      </c>
      <c r="D577" s="580">
        <f>((D502+D503)*'OLD  Formulas'!$C$24)</f>
        <v>56.56</v>
      </c>
      <c r="E577" s="580">
        <f>((E502+E503)*'OLD  Formulas'!$C$24)</f>
        <v>68.68</v>
      </c>
      <c r="F577" s="580">
        <f>((F502+F503)*'OLD  Formulas'!$C$24)</f>
        <v>60.6</v>
      </c>
      <c r="G577" s="580">
        <f>((G502+G503)*'OLD  Formulas'!$C$24)</f>
        <v>46.46</v>
      </c>
      <c r="H577" s="580">
        <f>((H502+H503)*'OLD  Formulas'!$C$24)</f>
        <v>42.42</v>
      </c>
      <c r="I577" s="580">
        <f>((I502+I503)*'OLD  Formulas'!$C$24)</f>
        <v>28.28</v>
      </c>
      <c r="J577" s="580">
        <f>((J502+J503)*'OLD  Formulas'!$C$24)</f>
        <v>29.29</v>
      </c>
      <c r="K577" s="580">
        <f>((K502+K503)*'OLD  Formulas'!$C$24)</f>
        <v>33.33</v>
      </c>
      <c r="L577" s="580">
        <f>((L502+L503)*'OLD  Formulas'!$C$24)</f>
        <v>34.34</v>
      </c>
      <c r="M577" s="580">
        <f>((M502+M503)*'OLD  Formulas'!$C$24)</f>
        <v>33.33</v>
      </c>
      <c r="N577" s="580">
        <f>((N502+N503)*'OLD  Formulas'!$C$24)</f>
        <v>31.31</v>
      </c>
      <c r="O577" s="580">
        <f>((O502+O503)*'OLD  Formulas'!$C$24)</f>
        <v>37.37</v>
      </c>
      <c r="P577" s="580">
        <f>((P502+P503)*'OLD  Formulas'!$C$24)</f>
        <v>31.31</v>
      </c>
      <c r="Q577" s="580">
        <f>((Q502+Q503)*'OLD  Formulas'!$C$24)</f>
        <v>47.47</v>
      </c>
      <c r="R577" s="580">
        <f>((R502+R503)*'OLD  Formulas'!$C$24)</f>
        <v>36.36</v>
      </c>
      <c r="S577" s="580">
        <f>((S502+S503)*'OLD  Formulas'!$C$24)</f>
        <v>43.43</v>
      </c>
      <c r="T577" s="580">
        <f>((T502+T503)*'OLD  Formulas'!$C$24)</f>
        <v>31.31</v>
      </c>
      <c r="U577" s="580">
        <f>((U502+U503)*'OLD  Formulas'!$C$24)</f>
        <v>33.33</v>
      </c>
      <c r="V577" s="580">
        <f>((V502+V503)*'OLD  Formulas'!$C$24)</f>
        <v>35.35</v>
      </c>
      <c r="W577" s="580">
        <f>((W502+W503)*'OLD  Formulas'!$C$24)</f>
        <v>33.33</v>
      </c>
      <c r="X577" s="580">
        <f>((X502+X503)*'OLD  Formulas'!$C$24)</f>
        <v>35.35</v>
      </c>
      <c r="Y577" s="580">
        <f>((Y502+Y503)*'OLD  Formulas'!$C$24)</f>
        <v>25.25</v>
      </c>
      <c r="Z577" s="580">
        <f>((Z502+Z503)*'OLD  Formulas'!$C$24)</f>
        <v>15.15</v>
      </c>
      <c r="AA577" s="580">
        <f>((AA502+AA503)*'OLD  Formulas'!$C$24)</f>
        <v>14.14</v>
      </c>
      <c r="AB577" s="580">
        <f>((AB502+AB503)*'OLD  Formulas'!$C$24)</f>
        <v>31.31</v>
      </c>
      <c r="AC577" s="580">
        <f>((AC502+AC503)*'OLD  Formulas'!$C$24)</f>
        <v>32.32</v>
      </c>
      <c r="AD577" s="580">
        <f>((AD502+AD503)*'OLD  Formulas'!$C$24)</f>
        <v>29.29</v>
      </c>
      <c r="AE577" s="580">
        <f>((AE502+AE503)*'OLD  Formulas'!$C$24)</f>
        <v>33.33</v>
      </c>
      <c r="AF577" s="900">
        <f t="shared" si="239"/>
        <v>1088.78</v>
      </c>
    </row>
    <row r="578" hidden="1" outlineLevel="1">
      <c r="A578" s="1409" t="s">
        <v>1216</v>
      </c>
      <c r="B578" s="580">
        <f>((B502+B503)*'OLD  Formulas'!$C$25)</f>
        <v>9</v>
      </c>
      <c r="C578" s="580">
        <f>((C502+C503)*'OLD  Formulas'!$C$25)</f>
        <v>14.4</v>
      </c>
      <c r="D578" s="580">
        <f>((D502+D503)*'OLD  Formulas'!$C$25)</f>
        <v>16.8</v>
      </c>
      <c r="E578" s="580">
        <f>((E502+E503)*'OLD  Formulas'!$C$25)</f>
        <v>20.4</v>
      </c>
      <c r="F578" s="580">
        <f>((F502+F503)*'OLD  Formulas'!$C$25)</f>
        <v>18</v>
      </c>
      <c r="G578" s="580">
        <f>((G502+G503)*'OLD  Formulas'!$C$25)</f>
        <v>13.8</v>
      </c>
      <c r="H578" s="580">
        <f>((H502+H503)*'OLD  Formulas'!$C$25)</f>
        <v>12.6</v>
      </c>
      <c r="I578" s="580">
        <f>((I502+I503)*'OLD  Formulas'!$C$25)</f>
        <v>8.4</v>
      </c>
      <c r="J578" s="580">
        <f>((J502+J503)*'OLD  Formulas'!$C$25)</f>
        <v>8.7</v>
      </c>
      <c r="K578" s="580">
        <f>((K502+K503)*'OLD  Formulas'!$C$25)</f>
        <v>9.9</v>
      </c>
      <c r="L578" s="580">
        <f>((L502+L503)*'OLD  Formulas'!$C$25)</f>
        <v>10.2</v>
      </c>
      <c r="M578" s="580">
        <f>((M502+M503)*'OLD  Formulas'!$C$25)</f>
        <v>9.9</v>
      </c>
      <c r="N578" s="580">
        <f>((N502+N503)*'OLD  Formulas'!$C$25)</f>
        <v>9.3</v>
      </c>
      <c r="O578" s="580">
        <f>((O502+O503)*'OLD  Formulas'!$C$25)</f>
        <v>11.1</v>
      </c>
      <c r="P578" s="580">
        <f>((P502+P503)*'OLD  Formulas'!$C$25)</f>
        <v>9.3</v>
      </c>
      <c r="Q578" s="580">
        <f>((Q502+Q503)*'OLD  Formulas'!$C$25)</f>
        <v>14.1</v>
      </c>
      <c r="R578" s="580">
        <f>((R502+R503)*'OLD  Formulas'!$C$25)</f>
        <v>10.8</v>
      </c>
      <c r="S578" s="580">
        <f>((S502+S503)*'OLD  Formulas'!$C$25)</f>
        <v>12.9</v>
      </c>
      <c r="T578" s="580">
        <f>((T502+T503)*'OLD  Formulas'!$C$25)</f>
        <v>9.3</v>
      </c>
      <c r="U578" s="580">
        <f>((U502+U503)*'OLD  Formulas'!$C$25)</f>
        <v>9.9</v>
      </c>
      <c r="V578" s="580">
        <f>((V502+V503)*'OLD  Formulas'!$C$25)</f>
        <v>10.5</v>
      </c>
      <c r="W578" s="580">
        <f>((W502+W503)*'OLD  Formulas'!$C$25)</f>
        <v>9.9</v>
      </c>
      <c r="X578" s="580">
        <f>((X502+X503)*'OLD  Formulas'!$C$25)</f>
        <v>10.5</v>
      </c>
      <c r="Y578" s="580">
        <f>((Y502+Y503)*'OLD  Formulas'!$C$25)</f>
        <v>7.5</v>
      </c>
      <c r="Z578" s="580">
        <f>((Z502+Z503)*'OLD  Formulas'!$C$25)</f>
        <v>4.5</v>
      </c>
      <c r="AA578" s="580">
        <f>((AA502+AA503)*'OLD  Formulas'!$C$25)</f>
        <v>4.2</v>
      </c>
      <c r="AB578" s="580">
        <f>((AB502+AB503)*'OLD  Formulas'!$C$25)</f>
        <v>9.3</v>
      </c>
      <c r="AC578" s="580">
        <f>((AC502+AC503)*'OLD  Formulas'!$C$25)</f>
        <v>9.6</v>
      </c>
      <c r="AD578" s="580">
        <f>((AD502+AD503)*'OLD  Formulas'!$C$25)</f>
        <v>8.7</v>
      </c>
      <c r="AE578" s="580">
        <f>((AE502+AE503)*'OLD  Formulas'!$C$25)</f>
        <v>9.9</v>
      </c>
      <c r="AF578" s="900">
        <f t="shared" si="239"/>
        <v>323.4</v>
      </c>
    </row>
    <row r="579" hidden="1" outlineLevel="1">
      <c r="A579" s="1409" t="s">
        <v>1260</v>
      </c>
      <c r="B579" s="580">
        <f>((B502+B503)*'OLD  Formulas'!$C$26)</f>
        <v>0</v>
      </c>
      <c r="C579" s="580">
        <f>((C502+C503)*'OLD  Formulas'!$C$26)</f>
        <v>0</v>
      </c>
      <c r="D579" s="580">
        <f>((D502+D503)*'OLD  Formulas'!$C$26)</f>
        <v>0</v>
      </c>
      <c r="E579" s="580">
        <f>((E502+E503)*'OLD  Formulas'!$C$26)</f>
        <v>0</v>
      </c>
      <c r="F579" s="580">
        <f>((F502+F503)*'OLD  Formulas'!$C$26)</f>
        <v>0</v>
      </c>
      <c r="G579" s="580">
        <f>((G502+G503)*'OLD  Formulas'!$C$26)</f>
        <v>0</v>
      </c>
      <c r="H579" s="580">
        <f>((H502+H503)*'OLD  Formulas'!$C$26)</f>
        <v>0</v>
      </c>
      <c r="I579" s="580">
        <f>((I502+I503)*'OLD  Formulas'!$C$26)</f>
        <v>0</v>
      </c>
      <c r="J579" s="580">
        <f>((J502+J503)*'OLD  Formulas'!$C$26)</f>
        <v>0</v>
      </c>
      <c r="K579" s="580">
        <f>((K502+K503)*'OLD  Formulas'!$C$26)</f>
        <v>0</v>
      </c>
      <c r="L579" s="580">
        <f>((L502+L503)*'OLD  Formulas'!$C$26)</f>
        <v>0</v>
      </c>
      <c r="M579" s="580">
        <f>((M502+M503)*'OLD  Formulas'!$C$26)</f>
        <v>0</v>
      </c>
      <c r="N579" s="580">
        <f>((N502+N503)*'OLD  Formulas'!$C$26)</f>
        <v>0</v>
      </c>
      <c r="O579" s="580">
        <f>((O502+O503)*'OLD  Formulas'!$C$26)</f>
        <v>0</v>
      </c>
      <c r="P579" s="580">
        <f>((P502+P503)*'OLD  Formulas'!$C$26)</f>
        <v>0</v>
      </c>
      <c r="Q579" s="580">
        <f>((Q502+Q503)*'OLD  Formulas'!$C$26)</f>
        <v>0</v>
      </c>
      <c r="R579" s="580">
        <f>((R502+R503)*'OLD  Formulas'!$C$26)</f>
        <v>0</v>
      </c>
      <c r="S579" s="580">
        <f>((S502+S503)*'OLD  Formulas'!$C$26)</f>
        <v>0</v>
      </c>
      <c r="T579" s="580">
        <f>((T502+T503)*'OLD  Formulas'!$C$26)</f>
        <v>0</v>
      </c>
      <c r="U579" s="580">
        <f>((U502+U503)*'OLD  Formulas'!$C$26)</f>
        <v>0</v>
      </c>
      <c r="V579" s="580">
        <f>((V502+V503)*'OLD  Formulas'!$C$26)</f>
        <v>0</v>
      </c>
      <c r="W579" s="580">
        <f>((W502+W503)*'OLD  Formulas'!$C$26)</f>
        <v>0</v>
      </c>
      <c r="X579" s="580">
        <f>((X502+X503)*'OLD  Formulas'!$C$26)</f>
        <v>0</v>
      </c>
      <c r="Y579" s="580">
        <f>((Y502+Y503)*'OLD  Formulas'!$C$26)</f>
        <v>0</v>
      </c>
      <c r="Z579" s="580">
        <f>((Z502+Z503)*'OLD  Formulas'!$C$26)</f>
        <v>0</v>
      </c>
      <c r="AA579" s="580">
        <f>((AA502+AA503)*'OLD  Formulas'!$C$26)</f>
        <v>0</v>
      </c>
      <c r="AB579" s="580">
        <f>((AB502+AB503)*'OLD  Formulas'!$C$26)</f>
        <v>0</v>
      </c>
      <c r="AC579" s="580">
        <f>((AC502+AC503)*'OLD  Formulas'!$C$26)</f>
        <v>0</v>
      </c>
      <c r="AD579" s="580">
        <f>((AD502+AD503)*'OLD  Formulas'!$C$26)</f>
        <v>0</v>
      </c>
      <c r="AE579" s="580">
        <f>((AE502+AE503)*'OLD  Formulas'!$C$26)</f>
        <v>0</v>
      </c>
      <c r="AF579" s="900">
        <f t="shared" si="239"/>
        <v>0</v>
      </c>
    </row>
    <row r="580" hidden="1" outlineLevel="1">
      <c r="A580" s="1409" t="s">
        <v>1263</v>
      </c>
      <c r="B580" s="580">
        <f>((B502+B503)*'OLD  Formulas'!$C$27)</f>
        <v>36</v>
      </c>
      <c r="C580" s="580">
        <f>((C502+C503)*'OLD  Formulas'!$C$27)</f>
        <v>57.6</v>
      </c>
      <c r="D580" s="580">
        <f>((D502+D503)*'OLD  Formulas'!$C$27)</f>
        <v>67.2</v>
      </c>
      <c r="E580" s="580">
        <f>((E502+E503)*'OLD  Formulas'!$C$27)</f>
        <v>81.6</v>
      </c>
      <c r="F580" s="580">
        <f>((F502+F503)*'OLD  Formulas'!$C$27)</f>
        <v>72</v>
      </c>
      <c r="G580" s="580">
        <f>((G502+G503)*'OLD  Formulas'!$C$27)</f>
        <v>55.2</v>
      </c>
      <c r="H580" s="580">
        <f>((H502+H503)*'OLD  Formulas'!$C$27)</f>
        <v>50.4</v>
      </c>
      <c r="I580" s="580">
        <f>((I502+I503)*'OLD  Formulas'!$C$27)</f>
        <v>33.6</v>
      </c>
      <c r="J580" s="580">
        <f>((J502+J503)*'OLD  Formulas'!$C$27)</f>
        <v>34.8</v>
      </c>
      <c r="K580" s="580">
        <f>((K502+K503)*'OLD  Formulas'!$C$27)</f>
        <v>39.6</v>
      </c>
      <c r="L580" s="580">
        <f>((L502+L503)*'OLD  Formulas'!$C$27)</f>
        <v>40.8</v>
      </c>
      <c r="M580" s="580">
        <f>((M502+M503)*'OLD  Formulas'!$C$27)</f>
        <v>39.6</v>
      </c>
      <c r="N580" s="580">
        <f>((N502+N503)*'OLD  Formulas'!$C$27)</f>
        <v>37.2</v>
      </c>
      <c r="O580" s="580">
        <f>((O502+O503)*'OLD  Formulas'!$C$27)</f>
        <v>44.4</v>
      </c>
      <c r="P580" s="580">
        <f>((P502+P503)*'OLD  Formulas'!$C$27)</f>
        <v>37.2</v>
      </c>
      <c r="Q580" s="580">
        <f>((Q502+Q503)*'OLD  Formulas'!$C$27)</f>
        <v>56.4</v>
      </c>
      <c r="R580" s="580">
        <f>((R502+R503)*'OLD  Formulas'!$C$27)</f>
        <v>43.2</v>
      </c>
      <c r="S580" s="580">
        <f>((S502+S503)*'OLD  Formulas'!$C$27)</f>
        <v>51.6</v>
      </c>
      <c r="T580" s="580">
        <f>((T502+T503)*'OLD  Formulas'!$C$27)</f>
        <v>37.2</v>
      </c>
      <c r="U580" s="580">
        <f>((U502+U503)*'OLD  Formulas'!$C$27)</f>
        <v>39.6</v>
      </c>
      <c r="V580" s="580">
        <f>((V502+V503)*'OLD  Formulas'!$C$27)</f>
        <v>42</v>
      </c>
      <c r="W580" s="580">
        <f>((W502+W503)*'OLD  Formulas'!$C$27)</f>
        <v>39.6</v>
      </c>
      <c r="X580" s="580">
        <f>((X502+X503)*'OLD  Formulas'!$C$27)</f>
        <v>42</v>
      </c>
      <c r="Y580" s="580">
        <f>((Y502+Y503)*'OLD  Formulas'!$C$27)</f>
        <v>30</v>
      </c>
      <c r="Z580" s="580">
        <f>((Z502+Z503)*'OLD  Formulas'!$C$27)</f>
        <v>18</v>
      </c>
      <c r="AA580" s="580">
        <f>((AA502+AA503)*'OLD  Formulas'!$C$27)</f>
        <v>16.8</v>
      </c>
      <c r="AB580" s="580">
        <f>((AB502+AB503)*'OLD  Formulas'!$C$27)</f>
        <v>37.2</v>
      </c>
      <c r="AC580" s="580">
        <f>((AC502+AC503)*'OLD  Formulas'!$C$27)</f>
        <v>38.4</v>
      </c>
      <c r="AD580" s="580">
        <f>((AD502+AD503)*'OLD  Formulas'!$C$27)</f>
        <v>34.8</v>
      </c>
      <c r="AE580" s="580">
        <f>((AE502+AE503)*'OLD  Formulas'!$C$27)</f>
        <v>39.6</v>
      </c>
      <c r="AF580" s="900">
        <f t="shared" si="239"/>
        <v>1293.6</v>
      </c>
    </row>
    <row r="581" collapsed="1">
      <c r="A581" s="1409" t="s">
        <v>1267</v>
      </c>
      <c r="B581" s="580">
        <f t="shared" ref="B581:AE581" si="245">sum(B582:B587)</f>
        <v>92.4</v>
      </c>
      <c r="C581" s="580">
        <f t="shared" si="245"/>
        <v>177.87</v>
      </c>
      <c r="D581" s="580">
        <f t="shared" si="245"/>
        <v>247.17</v>
      </c>
      <c r="E581" s="580">
        <f t="shared" si="245"/>
        <v>212.52</v>
      </c>
      <c r="F581" s="580">
        <f t="shared" si="245"/>
        <v>196.35</v>
      </c>
      <c r="G581" s="580">
        <f t="shared" si="245"/>
        <v>170.94</v>
      </c>
      <c r="H581" s="580">
        <f t="shared" si="245"/>
        <v>120.12</v>
      </c>
      <c r="I581" s="580">
        <f t="shared" si="245"/>
        <v>78.54</v>
      </c>
      <c r="J581" s="580">
        <f t="shared" si="245"/>
        <v>85.47</v>
      </c>
      <c r="K581" s="580">
        <f t="shared" si="245"/>
        <v>154.77</v>
      </c>
      <c r="L581" s="580">
        <f t="shared" si="245"/>
        <v>154.77</v>
      </c>
      <c r="M581" s="580">
        <f t="shared" si="245"/>
        <v>108.57</v>
      </c>
      <c r="N581" s="580">
        <f t="shared" si="245"/>
        <v>94.71</v>
      </c>
      <c r="O581" s="580">
        <f t="shared" si="245"/>
        <v>129.36</v>
      </c>
      <c r="P581" s="580">
        <f t="shared" si="245"/>
        <v>97.02</v>
      </c>
      <c r="Q581" s="580">
        <f t="shared" si="245"/>
        <v>152.46</v>
      </c>
      <c r="R581" s="580">
        <f t="shared" si="245"/>
        <v>110.88</v>
      </c>
      <c r="S581" s="580">
        <f t="shared" si="245"/>
        <v>341.88</v>
      </c>
      <c r="T581" s="580">
        <f t="shared" si="245"/>
        <v>247.17</v>
      </c>
      <c r="U581" s="580">
        <f t="shared" si="245"/>
        <v>138.6</v>
      </c>
      <c r="V581" s="580">
        <f t="shared" si="245"/>
        <v>136.29</v>
      </c>
      <c r="W581" s="580">
        <f t="shared" si="245"/>
        <v>140.91</v>
      </c>
      <c r="X581" s="580">
        <f t="shared" si="245"/>
        <v>131.67</v>
      </c>
      <c r="Y581" s="580">
        <f t="shared" si="245"/>
        <v>147.84</v>
      </c>
      <c r="Z581" s="580">
        <f t="shared" si="245"/>
        <v>136.29</v>
      </c>
      <c r="AA581" s="580">
        <f t="shared" si="245"/>
        <v>92.4</v>
      </c>
      <c r="AB581" s="580">
        <f t="shared" si="245"/>
        <v>131.67</v>
      </c>
      <c r="AC581" s="580">
        <f t="shared" si="245"/>
        <v>127.05</v>
      </c>
      <c r="AD581" s="580">
        <f t="shared" si="245"/>
        <v>113.19</v>
      </c>
      <c r="AE581" s="580">
        <f t="shared" si="245"/>
        <v>108.57</v>
      </c>
      <c r="AF581" s="900">
        <f t="shared" si="239"/>
        <v>4377.45</v>
      </c>
    </row>
    <row r="582" hidden="1" outlineLevel="1">
      <c r="A582" s="1409" t="s">
        <v>1268</v>
      </c>
      <c r="B582" s="580">
        <f>((B511+B519+B527)*'OLD  Formulas'!$D$22)</f>
        <v>0</v>
      </c>
      <c r="C582" s="580">
        <f>((C511+C519+C527)*'OLD  Formulas'!$D$22)</f>
        <v>0</v>
      </c>
      <c r="D582" s="580">
        <f>((D511+D519+D527)*'OLD  Formulas'!$D$22)</f>
        <v>0</v>
      </c>
      <c r="E582" s="580">
        <f>((E511+E519+E527)*'OLD  Formulas'!$D$22)</f>
        <v>0</v>
      </c>
      <c r="F582" s="580">
        <f>((F511+F519+F527)*'OLD  Formulas'!$D$22)</f>
        <v>0</v>
      </c>
      <c r="G582" s="580">
        <f>((G511+G519+G527)*'OLD  Formulas'!$D$22)</f>
        <v>0</v>
      </c>
      <c r="H582" s="580">
        <f>((H511+H519+H527)*'OLD  Formulas'!$D$22)</f>
        <v>0</v>
      </c>
      <c r="I582" s="580">
        <f>((I511+I519+I527)*'OLD  Formulas'!$D$22)</f>
        <v>0</v>
      </c>
      <c r="J582" s="580">
        <f>((J511+J519+J527)*'OLD  Formulas'!$D$22)</f>
        <v>0</v>
      </c>
      <c r="K582" s="580">
        <f>((K511+K519+K527)*'OLD  Formulas'!$D$22)</f>
        <v>0</v>
      </c>
      <c r="L582" s="580">
        <f>((L511+L519+L527)*'OLD  Formulas'!$D$22)</f>
        <v>0</v>
      </c>
      <c r="M582" s="580">
        <f>((M511+M519+M527)*'OLD  Formulas'!$D$22)</f>
        <v>0</v>
      </c>
      <c r="N582" s="580">
        <f>((N511+N519+N527)*'OLD  Formulas'!$D$22)</f>
        <v>0</v>
      </c>
      <c r="O582" s="580">
        <f>((O511+O519+O527)*'OLD  Formulas'!$D$22)</f>
        <v>0</v>
      </c>
      <c r="P582" s="580">
        <f>((P511+P519+P527)*'OLD  Formulas'!$D$22)</f>
        <v>0</v>
      </c>
      <c r="Q582" s="580">
        <f>((Q511+Q519+Q527)*'OLD  Formulas'!$D$22)</f>
        <v>0</v>
      </c>
      <c r="R582" s="580">
        <f>((R511+R519+R527)*'OLD  Formulas'!$D$22)</f>
        <v>0</v>
      </c>
      <c r="S582" s="580">
        <f>((S511+S519+S527)*'OLD  Formulas'!$D$22)</f>
        <v>0</v>
      </c>
      <c r="T582" s="580">
        <f>((T511+T519+T527)*'OLD  Formulas'!$D$22)</f>
        <v>0</v>
      </c>
      <c r="U582" s="580">
        <f>((U511+U519+U527)*'OLD  Formulas'!$D$22)</f>
        <v>0</v>
      </c>
      <c r="V582" s="580">
        <f>((V511+V519+V527)*'OLD  Formulas'!$D$22)</f>
        <v>0</v>
      </c>
      <c r="W582" s="580">
        <f>((W511+W519+W527)*'OLD  Formulas'!$D$22)</f>
        <v>0</v>
      </c>
      <c r="X582" s="580">
        <f>((X511+X519+X527)*'OLD  Formulas'!$D$22)</f>
        <v>0</v>
      </c>
      <c r="Y582" s="580">
        <f>((Y511+Y519+Y527)*'OLD  Formulas'!$D$22)</f>
        <v>0</v>
      </c>
      <c r="Z582" s="580">
        <f>((Z511+Z519+Z527)*'OLD  Formulas'!$D$22)</f>
        <v>0</v>
      </c>
      <c r="AA582" s="580">
        <f>((AA511+AA519+AA527)*'OLD  Formulas'!$D$22)</f>
        <v>0</v>
      </c>
      <c r="AB582" s="580">
        <f>((AB511+AB519+AB527)*'OLD  Formulas'!$D$22)</f>
        <v>0</v>
      </c>
      <c r="AC582" s="580">
        <f>((AC511+AC519+AC527)*'OLD  Formulas'!$D$22)</f>
        <v>0</v>
      </c>
      <c r="AD582" s="580">
        <f>((AD511+AD519+AD527)*'OLD  Formulas'!$D$22)</f>
        <v>0</v>
      </c>
      <c r="AE582" s="580">
        <f>((AE511+AE519+AE527)*'OLD  Formulas'!$D$22)</f>
        <v>0</v>
      </c>
      <c r="AF582" s="900">
        <f t="shared" si="239"/>
        <v>0</v>
      </c>
    </row>
    <row r="583" hidden="1" outlineLevel="1">
      <c r="A583" s="1409" t="s">
        <v>1269</v>
      </c>
      <c r="B583" s="580">
        <f>((B511+B519+B527)*'OLD  Formulas'!$D$23)</f>
        <v>12.4</v>
      </c>
      <c r="C583" s="580">
        <f>((C511+C519+C527)*'OLD  Formulas'!$D$23)</f>
        <v>23.87</v>
      </c>
      <c r="D583" s="580">
        <f>((D511+D519+D527)*'OLD  Formulas'!$D$23)</f>
        <v>33.17</v>
      </c>
      <c r="E583" s="580">
        <f>((E511+E519+E527)*'OLD  Formulas'!$D$23)</f>
        <v>28.52</v>
      </c>
      <c r="F583" s="580">
        <f>((F511+F519+F527)*'OLD  Formulas'!$D$23)</f>
        <v>26.35</v>
      </c>
      <c r="G583" s="580">
        <f>((G511+G519+G527)*'OLD  Formulas'!$D$23)</f>
        <v>22.94</v>
      </c>
      <c r="H583" s="580">
        <f>((H511+H519+H527)*'OLD  Formulas'!$D$23)</f>
        <v>16.12</v>
      </c>
      <c r="I583" s="580">
        <f>((I511+I519+I527)*'OLD  Formulas'!$D$23)</f>
        <v>10.54</v>
      </c>
      <c r="J583" s="580">
        <f>((J511+J519+J527)*'OLD  Formulas'!$D$23)</f>
        <v>11.47</v>
      </c>
      <c r="K583" s="580">
        <f>((K511+K519+K527)*'OLD  Formulas'!$D$23)</f>
        <v>20.77</v>
      </c>
      <c r="L583" s="580">
        <f>((L511+L519+L527)*'OLD  Formulas'!$D$23)</f>
        <v>20.77</v>
      </c>
      <c r="M583" s="580">
        <f>((M511+M519+M527)*'OLD  Formulas'!$D$23)</f>
        <v>14.57</v>
      </c>
      <c r="N583" s="580">
        <f>((N511+N519+N527)*'OLD  Formulas'!$D$23)</f>
        <v>12.71</v>
      </c>
      <c r="O583" s="580">
        <f>((O511+O519+O527)*'OLD  Formulas'!$D$23)</f>
        <v>17.36</v>
      </c>
      <c r="P583" s="580">
        <f>((P511+P519+P527)*'OLD  Formulas'!$D$23)</f>
        <v>13.02</v>
      </c>
      <c r="Q583" s="580">
        <f>((Q511+Q519+Q527)*'OLD  Formulas'!$D$23)</f>
        <v>20.46</v>
      </c>
      <c r="R583" s="580">
        <f>((R511+R519+R527)*'OLD  Formulas'!$D$23)</f>
        <v>14.88</v>
      </c>
      <c r="S583" s="580">
        <f>((S511+S519+S527)*'OLD  Formulas'!$D$23)</f>
        <v>45.88</v>
      </c>
      <c r="T583" s="580">
        <f>((T511+T519+T527)*'OLD  Formulas'!$D$23)</f>
        <v>33.17</v>
      </c>
      <c r="U583" s="580">
        <f>((U511+U519+U527)*'OLD  Formulas'!$D$23)</f>
        <v>18.6</v>
      </c>
      <c r="V583" s="580">
        <f>((V511+V519+V527)*'OLD  Formulas'!$D$23)</f>
        <v>18.29</v>
      </c>
      <c r="W583" s="580">
        <f>((W511+W519+W527)*'OLD  Formulas'!$D$23)</f>
        <v>18.91</v>
      </c>
      <c r="X583" s="580">
        <f>((X511+X519+X527)*'OLD  Formulas'!$D$23)</f>
        <v>17.67</v>
      </c>
      <c r="Y583" s="580">
        <f>((Y511+Y519+Y527)*'OLD  Formulas'!$D$23)</f>
        <v>19.84</v>
      </c>
      <c r="Z583" s="580">
        <f>((Z511+Z519+Z527)*'OLD  Formulas'!$D$23)</f>
        <v>18.29</v>
      </c>
      <c r="AA583" s="580">
        <f>((AA511+AA519+AA527)*'OLD  Formulas'!$D$23)</f>
        <v>12.4</v>
      </c>
      <c r="AB583" s="580">
        <f>((AB511+AB519+AB527)*'OLD  Formulas'!$D$23)</f>
        <v>17.67</v>
      </c>
      <c r="AC583" s="580">
        <f>((AC511+AC519+AC527)*'OLD  Formulas'!$D$23)</f>
        <v>17.05</v>
      </c>
      <c r="AD583" s="580">
        <f>((AD511+AD519+AD527)*'OLD  Formulas'!$D$23)</f>
        <v>15.19</v>
      </c>
      <c r="AE583" s="580">
        <f>((AE511+AE519+AE527)*'OLD  Formulas'!$D$23)</f>
        <v>14.57</v>
      </c>
      <c r="AF583" s="900">
        <f t="shared" si="239"/>
        <v>587.45</v>
      </c>
    </row>
    <row r="584" hidden="1" outlineLevel="1">
      <c r="A584" s="1409" t="s">
        <v>1270</v>
      </c>
      <c r="B584" s="580">
        <f>((B511+B519+B527)*'OLD  Formulas'!$D$24)</f>
        <v>24</v>
      </c>
      <c r="C584" s="580">
        <f>((C511+C519+C527)*'OLD  Formulas'!$D$24)</f>
        <v>46.2</v>
      </c>
      <c r="D584" s="580">
        <f>((D511+D519+D527)*'OLD  Formulas'!$D$24)</f>
        <v>64.2</v>
      </c>
      <c r="E584" s="580">
        <f>((E511+E519+E527)*'OLD  Formulas'!$D$24)</f>
        <v>55.2</v>
      </c>
      <c r="F584" s="580">
        <f>((F511+F519+F527)*'OLD  Formulas'!$D$24)</f>
        <v>51</v>
      </c>
      <c r="G584" s="580">
        <f>((G511+G519+G527)*'OLD  Formulas'!$D$24)</f>
        <v>44.4</v>
      </c>
      <c r="H584" s="580">
        <f>((H511+H519+H527)*'OLD  Formulas'!$D$24)</f>
        <v>31.2</v>
      </c>
      <c r="I584" s="580">
        <f>((I511+I519+I527)*'OLD  Formulas'!$D$24)</f>
        <v>20.4</v>
      </c>
      <c r="J584" s="580">
        <f>((J511+J519+J527)*'OLD  Formulas'!$D$24)</f>
        <v>22.2</v>
      </c>
      <c r="K584" s="580">
        <f>((K511+K519+K527)*'OLD  Formulas'!$D$24)</f>
        <v>40.2</v>
      </c>
      <c r="L584" s="580">
        <f>((L511+L519+L527)*'OLD  Formulas'!$D$24)</f>
        <v>40.2</v>
      </c>
      <c r="M584" s="580">
        <f>((M511+M519+M527)*'OLD  Formulas'!$D$24)</f>
        <v>28.2</v>
      </c>
      <c r="N584" s="580">
        <f>((N511+N519+N527)*'OLD  Formulas'!$D$24)</f>
        <v>24.6</v>
      </c>
      <c r="O584" s="580">
        <f>((O511+O519+O527)*'OLD  Formulas'!$D$24)</f>
        <v>33.6</v>
      </c>
      <c r="P584" s="580">
        <f>((P511+P519+P527)*'OLD  Formulas'!$D$24)</f>
        <v>25.2</v>
      </c>
      <c r="Q584" s="580">
        <f>((Q511+Q519+Q527)*'OLD  Formulas'!$D$24)</f>
        <v>39.6</v>
      </c>
      <c r="R584" s="580">
        <f>((R511+R519+R527)*'OLD  Formulas'!$D$24)</f>
        <v>28.8</v>
      </c>
      <c r="S584" s="580">
        <f>((S511+S519+S527)*'OLD  Formulas'!$D$24)</f>
        <v>88.8</v>
      </c>
      <c r="T584" s="580">
        <f>((T511+T519+T527)*'OLD  Formulas'!$D$24)</f>
        <v>64.2</v>
      </c>
      <c r="U584" s="580">
        <f>((U511+U519+U527)*'OLD  Formulas'!$D$24)</f>
        <v>36</v>
      </c>
      <c r="V584" s="580">
        <f>((V511+V519+V527)*'OLD  Formulas'!$D$24)</f>
        <v>35.4</v>
      </c>
      <c r="W584" s="580">
        <f>((W511+W519+W527)*'OLD  Formulas'!$D$24)</f>
        <v>36.6</v>
      </c>
      <c r="X584" s="580">
        <f>((X511+X519+X527)*'OLD  Formulas'!$D$24)</f>
        <v>34.2</v>
      </c>
      <c r="Y584" s="580">
        <f>((Y511+Y519+Y527)*'OLD  Formulas'!$D$24)</f>
        <v>38.4</v>
      </c>
      <c r="Z584" s="580">
        <f>((Z511+Z519+Z527)*'OLD  Formulas'!$D$24)</f>
        <v>35.4</v>
      </c>
      <c r="AA584" s="580">
        <f>((AA511+AA519+AA527)*'OLD  Formulas'!$D$24)</f>
        <v>24</v>
      </c>
      <c r="AB584" s="580">
        <f>((AB511+AB519+AB527)*'OLD  Formulas'!$D$24)</f>
        <v>34.2</v>
      </c>
      <c r="AC584" s="580">
        <f>((AC511+AC519+AC527)*'OLD  Formulas'!$D$24)</f>
        <v>33</v>
      </c>
      <c r="AD584" s="580">
        <f>((AD511+AD519+AD527)*'OLD  Formulas'!$D$24)</f>
        <v>29.4</v>
      </c>
      <c r="AE584" s="580">
        <f>((AE511+AE519+AE527)*'OLD  Formulas'!$D$24)</f>
        <v>28.2</v>
      </c>
      <c r="AF584" s="900">
        <f t="shared" si="239"/>
        <v>1137</v>
      </c>
    </row>
    <row r="585" hidden="1" outlineLevel="1">
      <c r="A585" s="1409" t="s">
        <v>1293</v>
      </c>
      <c r="B585" s="580">
        <f>((B511+B519+B527)*'OLD  Formulas'!$D$25)</f>
        <v>12</v>
      </c>
      <c r="C585" s="580">
        <f>((C511+C519+C527)*'OLD  Formulas'!$D$25)</f>
        <v>23.1</v>
      </c>
      <c r="D585" s="580">
        <f>((D511+D519+D527)*'OLD  Formulas'!$D$25)</f>
        <v>32.1</v>
      </c>
      <c r="E585" s="580">
        <f>((E511+E519+E527)*'OLD  Formulas'!$D$25)</f>
        <v>27.6</v>
      </c>
      <c r="F585" s="580">
        <f>((F511+F519+F527)*'OLD  Formulas'!$D$25)</f>
        <v>25.5</v>
      </c>
      <c r="G585" s="580">
        <f>((G511+G519+G527)*'OLD  Formulas'!$D$25)</f>
        <v>22.2</v>
      </c>
      <c r="H585" s="580">
        <f>((H511+H519+H527)*'OLD  Formulas'!$D$25)</f>
        <v>15.6</v>
      </c>
      <c r="I585" s="580">
        <f>((I511+I519+I527)*'OLD  Formulas'!$D$25)</f>
        <v>10.2</v>
      </c>
      <c r="J585" s="580">
        <f>((J511+J519+J527)*'OLD  Formulas'!$D$25)</f>
        <v>11.1</v>
      </c>
      <c r="K585" s="580">
        <f>((K511+K519+K527)*'OLD  Formulas'!$D$25)</f>
        <v>20.1</v>
      </c>
      <c r="L585" s="580">
        <f>((L511+L519+L527)*'OLD  Formulas'!$D$25)</f>
        <v>20.1</v>
      </c>
      <c r="M585" s="580">
        <f>((M511+M519+M527)*'OLD  Formulas'!$D$25)</f>
        <v>14.1</v>
      </c>
      <c r="N585" s="580">
        <f>((N511+N519+N527)*'OLD  Formulas'!$D$25)</f>
        <v>12.3</v>
      </c>
      <c r="O585" s="580">
        <f>((O511+O519+O527)*'OLD  Formulas'!$D$25)</f>
        <v>16.8</v>
      </c>
      <c r="P585" s="580">
        <f>((P511+P519+P527)*'OLD  Formulas'!$D$25)</f>
        <v>12.6</v>
      </c>
      <c r="Q585" s="580">
        <f>((Q511+Q519+Q527)*'OLD  Formulas'!$D$25)</f>
        <v>19.8</v>
      </c>
      <c r="R585" s="580">
        <f>((R511+R519+R527)*'OLD  Formulas'!$D$25)</f>
        <v>14.4</v>
      </c>
      <c r="S585" s="580">
        <f>((S511+S519+S527)*'OLD  Formulas'!$D$25)</f>
        <v>44.4</v>
      </c>
      <c r="T585" s="580">
        <f>((T511+T519+T527)*'OLD  Formulas'!$D$25)</f>
        <v>32.1</v>
      </c>
      <c r="U585" s="580">
        <f>((U511+U519+U527)*'OLD  Formulas'!$D$25)</f>
        <v>18</v>
      </c>
      <c r="V585" s="580">
        <f>((V511+V519+V527)*'OLD  Formulas'!$D$25)</f>
        <v>17.7</v>
      </c>
      <c r="W585" s="580">
        <f>((W511+W519+W527)*'OLD  Formulas'!$D$25)</f>
        <v>18.3</v>
      </c>
      <c r="X585" s="580">
        <f>((X511+X519+X527)*'OLD  Formulas'!$D$25)</f>
        <v>17.1</v>
      </c>
      <c r="Y585" s="580">
        <f>((Y511+Y519+Y527)*'OLD  Formulas'!$D$25)</f>
        <v>19.2</v>
      </c>
      <c r="Z585" s="580">
        <f>((Z511+Z519+Z527)*'OLD  Formulas'!$D$25)</f>
        <v>17.7</v>
      </c>
      <c r="AA585" s="580">
        <f>((AA511+AA519+AA527)*'OLD  Formulas'!$D$25)</f>
        <v>12</v>
      </c>
      <c r="AB585" s="580">
        <f>((AB511+AB519+AB527)*'OLD  Formulas'!$D$25)</f>
        <v>17.1</v>
      </c>
      <c r="AC585" s="580">
        <f>((AC511+AC519+AC527)*'OLD  Formulas'!$D$25)</f>
        <v>16.5</v>
      </c>
      <c r="AD585" s="580">
        <f>((AD511+AD519+AD527)*'OLD  Formulas'!$D$25)</f>
        <v>14.7</v>
      </c>
      <c r="AE585" s="580">
        <f>((AE511+AE519+AE527)*'OLD  Formulas'!$D$25)</f>
        <v>14.1</v>
      </c>
      <c r="AF585" s="900">
        <f t="shared" si="239"/>
        <v>568.5</v>
      </c>
    </row>
    <row r="586" hidden="1" outlineLevel="1">
      <c r="A586" s="1409" t="s">
        <v>1306</v>
      </c>
      <c r="B586" s="580">
        <f>((B511+B519+B527)*'OLD  Formulas'!$D$26)</f>
        <v>44</v>
      </c>
      <c r="C586" s="580">
        <f>((C511+C519+C527)*'OLD  Formulas'!$D$26)</f>
        <v>84.7</v>
      </c>
      <c r="D586" s="580">
        <f>((D511+D519+D527)*'OLD  Formulas'!$D$26)</f>
        <v>117.7</v>
      </c>
      <c r="E586" s="580">
        <f>((E511+E519+E527)*'OLD  Formulas'!$D$26)</f>
        <v>101.2</v>
      </c>
      <c r="F586" s="580">
        <f>((F511+F519+F527)*'OLD  Formulas'!$D$26)</f>
        <v>93.5</v>
      </c>
      <c r="G586" s="580">
        <f>((G511+G519+G527)*'OLD  Formulas'!$D$26)</f>
        <v>81.4</v>
      </c>
      <c r="H586" s="580">
        <f>((H511+H519+H527)*'OLD  Formulas'!$D$26)</f>
        <v>57.2</v>
      </c>
      <c r="I586" s="580">
        <f>((I511+I519+I527)*'OLD  Formulas'!$D$26)</f>
        <v>37.4</v>
      </c>
      <c r="J586" s="580">
        <f>((J511+J519+J527)*'OLD  Formulas'!$D$26)</f>
        <v>40.7</v>
      </c>
      <c r="K586" s="580">
        <f>((K511+K519+K527)*'OLD  Formulas'!$D$26)</f>
        <v>73.7</v>
      </c>
      <c r="L586" s="580">
        <f>((L511+L519+L527)*'OLD  Formulas'!$D$26)</f>
        <v>73.7</v>
      </c>
      <c r="M586" s="580">
        <f>((M511+M519+M527)*'OLD  Formulas'!$D$26)</f>
        <v>51.7</v>
      </c>
      <c r="N586" s="580">
        <f>((N511+N519+N527)*'OLD  Formulas'!$D$26)</f>
        <v>45.1</v>
      </c>
      <c r="O586" s="580">
        <f>((O511+O519+O527)*'OLD  Formulas'!$D$26)</f>
        <v>61.6</v>
      </c>
      <c r="P586" s="580">
        <f>((P511+P519+P527)*'OLD  Formulas'!$D$26)</f>
        <v>46.2</v>
      </c>
      <c r="Q586" s="580">
        <f>((Q511+Q519+Q527)*'OLD  Formulas'!$D$26)</f>
        <v>72.6</v>
      </c>
      <c r="R586" s="580">
        <f>((R511+R519+R527)*'OLD  Formulas'!$D$26)</f>
        <v>52.8</v>
      </c>
      <c r="S586" s="580">
        <f>((S511+S519+S527)*'OLD  Formulas'!$D$26)</f>
        <v>162.8</v>
      </c>
      <c r="T586" s="580">
        <f>((T511+T519+T527)*'OLD  Formulas'!$D$26)</f>
        <v>117.7</v>
      </c>
      <c r="U586" s="580">
        <f>((U511+U519+U527)*'OLD  Formulas'!$D$26)</f>
        <v>66</v>
      </c>
      <c r="V586" s="580">
        <f>((V511+V519+V527)*'OLD  Formulas'!$D$26)</f>
        <v>64.9</v>
      </c>
      <c r="W586" s="580">
        <f>((W511+W519+W527)*'OLD  Formulas'!$D$26)</f>
        <v>67.1</v>
      </c>
      <c r="X586" s="580">
        <f>((X511+X519+X527)*'OLD  Formulas'!$D$26)</f>
        <v>62.7</v>
      </c>
      <c r="Y586" s="580">
        <f>((Y511+Y519+Y527)*'OLD  Formulas'!$D$26)</f>
        <v>70.4</v>
      </c>
      <c r="Z586" s="580">
        <f>((Z511+Z519+Z527)*'OLD  Formulas'!$D$26)</f>
        <v>64.9</v>
      </c>
      <c r="AA586" s="580">
        <f>((AA511+AA519+AA527)*'OLD  Formulas'!$D$26)</f>
        <v>44</v>
      </c>
      <c r="AB586" s="580">
        <f>((AB511+AB519+AB527)*'OLD  Formulas'!$D$26)</f>
        <v>62.7</v>
      </c>
      <c r="AC586" s="580">
        <f>((AC511+AC519+AC527)*'OLD  Formulas'!$D$26)</f>
        <v>60.5</v>
      </c>
      <c r="AD586" s="580">
        <f>((AD511+AD519+AD527)*'OLD  Formulas'!$D$26)</f>
        <v>53.9</v>
      </c>
      <c r="AE586" s="580">
        <f>((AE511+AE519+AE527)*'OLD  Formulas'!$D$26)</f>
        <v>51.7</v>
      </c>
      <c r="AF586" s="900">
        <f t="shared" si="239"/>
        <v>2084.5</v>
      </c>
    </row>
    <row r="587" hidden="1" outlineLevel="1">
      <c r="A587" s="1454" t="s">
        <v>1320</v>
      </c>
      <c r="B587" s="1455">
        <f>((B511+B519+B527)*'OLD  Formulas'!$D$27)</f>
        <v>0</v>
      </c>
      <c r="C587" s="1455">
        <f>((C511+C519+C527)*'OLD  Formulas'!$D$27)</f>
        <v>0</v>
      </c>
      <c r="D587" s="1455">
        <f>((D511+D519+D527)*'OLD  Formulas'!$D$27)</f>
        <v>0</v>
      </c>
      <c r="E587" s="1455">
        <f>((E511+E519+E527)*'OLD  Formulas'!$D$27)</f>
        <v>0</v>
      </c>
      <c r="F587" s="1455">
        <f>((F511+F519+F527)*'OLD  Formulas'!$D$27)</f>
        <v>0</v>
      </c>
      <c r="G587" s="1455">
        <f>((G511+G519+G527)*'OLD  Formulas'!$D$27)</f>
        <v>0</v>
      </c>
      <c r="H587" s="1455">
        <f>((H511+H519+H527)*'OLD  Formulas'!$D$27)</f>
        <v>0</v>
      </c>
      <c r="I587" s="1455">
        <f>((I511+I519+I527)*'OLD  Formulas'!$D$27)</f>
        <v>0</v>
      </c>
      <c r="J587" s="1455">
        <f>((J511+J519+J527)*'OLD  Formulas'!$D$27)</f>
        <v>0</v>
      </c>
      <c r="K587" s="1455">
        <f>((K511+K519+K527)*'OLD  Formulas'!$D$27)</f>
        <v>0</v>
      </c>
      <c r="L587" s="1455">
        <f>((L511+L519+L527)*'OLD  Formulas'!$D$27)</f>
        <v>0</v>
      </c>
      <c r="M587" s="1455">
        <f>((M511+M519+M527)*'OLD  Formulas'!$D$27)</f>
        <v>0</v>
      </c>
      <c r="N587" s="1455">
        <f>((N511+N519+N527)*'OLD  Formulas'!$D$27)</f>
        <v>0</v>
      </c>
      <c r="O587" s="1455">
        <f>((O511+O519+O527)*'OLD  Formulas'!$D$27)</f>
        <v>0</v>
      </c>
      <c r="P587" s="1455">
        <f>((P511+P519+P527)*'OLD  Formulas'!$D$27)</f>
        <v>0</v>
      </c>
      <c r="Q587" s="1455">
        <f>((Q511+Q519+Q527)*'OLD  Formulas'!$D$27)</f>
        <v>0</v>
      </c>
      <c r="R587" s="1455">
        <f>((R511+R519+R527)*'OLD  Formulas'!$D$27)</f>
        <v>0</v>
      </c>
      <c r="S587" s="1455">
        <f>((S511+S519+S527)*'OLD  Formulas'!$D$27)</f>
        <v>0</v>
      </c>
      <c r="T587" s="1455">
        <f>((T511+T519+T527)*'OLD  Formulas'!$D$27)</f>
        <v>0</v>
      </c>
      <c r="U587" s="1455">
        <f>((U511+U519+U527)*'OLD  Formulas'!$D$27)</f>
        <v>0</v>
      </c>
      <c r="V587" s="1455">
        <f>((V511+V519+V527)*'OLD  Formulas'!$D$27)</f>
        <v>0</v>
      </c>
      <c r="W587" s="1455">
        <f>((W511+W519+W527)*'OLD  Formulas'!$D$27)</f>
        <v>0</v>
      </c>
      <c r="X587" s="1455">
        <f>((X511+X519+X527)*'OLD  Formulas'!$D$27)</f>
        <v>0</v>
      </c>
      <c r="Y587" s="1455">
        <f>((Y511+Y519+Y527)*'OLD  Formulas'!$D$27)</f>
        <v>0</v>
      </c>
      <c r="Z587" s="1455">
        <f>((Z511+Z519+Z527)*'OLD  Formulas'!$D$27)</f>
        <v>0</v>
      </c>
      <c r="AA587" s="1455">
        <f>((AA511+AA519+AA527)*'OLD  Formulas'!$D$27)</f>
        <v>0</v>
      </c>
      <c r="AB587" s="1455">
        <f>((AB511+AB519+AB527)*'OLD  Formulas'!$D$27)</f>
        <v>0</v>
      </c>
      <c r="AC587" s="1455">
        <f>((AC511+AC519+AC527)*'OLD  Formulas'!$D$27)</f>
        <v>0</v>
      </c>
      <c r="AD587" s="1455">
        <f>((AD511+AD519+AD527)*'OLD  Formulas'!$D$27)</f>
        <v>0</v>
      </c>
      <c r="AE587" s="1455">
        <f>((AE511+AE519+AE527)*'OLD  Formulas'!$D$27)</f>
        <v>0</v>
      </c>
      <c r="AF587" s="1457">
        <f t="shared" si="239"/>
        <v>0</v>
      </c>
    </row>
    <row r="588" collapsed="1">
      <c r="A588" s="1093" t="s">
        <v>1331</v>
      </c>
      <c r="B588" s="582"/>
      <c r="C588" s="582"/>
      <c r="D588" s="582"/>
      <c r="E588" s="582"/>
      <c r="F588" s="582"/>
      <c r="G588" s="582"/>
      <c r="H588" s="582"/>
      <c r="I588" s="582"/>
      <c r="J588" s="582"/>
      <c r="K588" s="582"/>
      <c r="L588" s="582"/>
      <c r="M588" s="582"/>
      <c r="N588" s="582"/>
      <c r="O588" s="582"/>
      <c r="P588" s="582"/>
      <c r="Q588" s="582"/>
      <c r="R588" s="582"/>
      <c r="S588" s="582"/>
      <c r="T588" s="582"/>
      <c r="U588" s="582"/>
      <c r="V588" s="582"/>
      <c r="W588" s="582"/>
      <c r="X588" s="582"/>
      <c r="Y588" s="582"/>
      <c r="Z588" s="582"/>
      <c r="AA588" s="582"/>
      <c r="AB588" s="582"/>
      <c r="AC588" s="582"/>
      <c r="AD588" s="582"/>
      <c r="AE588" s="1458"/>
      <c r="AF588" s="700"/>
    </row>
    <row r="589" hidden="1" outlineLevel="1">
      <c r="A589" s="1257" t="s">
        <v>1110</v>
      </c>
      <c r="B589" s="580">
        <f>B463*'OLD  Formulas'!$C$3</f>
        <v>0</v>
      </c>
      <c r="C589" s="580">
        <f>C463*'OLD  Formulas'!$C$3</f>
        <v>0</v>
      </c>
      <c r="D589" s="580">
        <f>D463*'OLD  Formulas'!$C$3</f>
        <v>0</v>
      </c>
      <c r="E589" s="580">
        <f>E463*'OLD  Formulas'!$C$3</f>
        <v>0</v>
      </c>
      <c r="F589" s="580">
        <f>F463*'OLD  Formulas'!$C$3</f>
        <v>0</v>
      </c>
      <c r="G589" s="580">
        <f>G463*'OLD  Formulas'!$C$3</f>
        <v>0</v>
      </c>
      <c r="H589" s="580">
        <f>H463*'OLD  Formulas'!$C$3</f>
        <v>0</v>
      </c>
      <c r="I589" s="580">
        <f>I463*'OLD  Formulas'!$C$3</f>
        <v>0</v>
      </c>
      <c r="J589" s="580">
        <f>J463*'OLD  Formulas'!$C$3</f>
        <v>0</v>
      </c>
      <c r="K589" s="580">
        <f>K463*'OLD  Formulas'!$C$3</f>
        <v>0</v>
      </c>
      <c r="L589" s="580">
        <f>L463*'OLD  Formulas'!$C$3</f>
        <v>0</v>
      </c>
      <c r="M589" s="580">
        <f>M463*'OLD  Formulas'!$C$3</f>
        <v>0</v>
      </c>
      <c r="N589" s="580">
        <f>N463*'OLD  Formulas'!$C$3</f>
        <v>0</v>
      </c>
      <c r="O589" s="580">
        <f>O463*'OLD  Formulas'!$C$3</f>
        <v>0</v>
      </c>
      <c r="P589" s="580">
        <f>P463*'OLD  Formulas'!$C$3</f>
        <v>0</v>
      </c>
      <c r="Q589" s="580">
        <f>Q463*'OLD  Formulas'!$C$3</f>
        <v>0</v>
      </c>
      <c r="R589" s="580">
        <f>R463*'OLD  Formulas'!$C$3</f>
        <v>0</v>
      </c>
      <c r="S589" s="580">
        <f>S463*'OLD  Formulas'!$C$3</f>
        <v>0</v>
      </c>
      <c r="T589" s="580">
        <f>T463*'OLD  Formulas'!$C$3</f>
        <v>0</v>
      </c>
      <c r="U589" s="580">
        <f>U463*'OLD  Formulas'!$C$3</f>
        <v>0</v>
      </c>
      <c r="V589" s="580">
        <f>V463*'OLD  Formulas'!$C$3</f>
        <v>0</v>
      </c>
      <c r="W589" s="580">
        <f>W463*'OLD  Formulas'!$C$3</f>
        <v>0</v>
      </c>
      <c r="X589" s="580">
        <f>X463*'OLD  Formulas'!$C$3</f>
        <v>0</v>
      </c>
      <c r="Y589" s="580">
        <f>Y463*'OLD  Formulas'!$C$3</f>
        <v>0</v>
      </c>
      <c r="Z589" s="580">
        <f>Z463*'OLD  Formulas'!$C$3</f>
        <v>0</v>
      </c>
      <c r="AA589" s="580">
        <f>AA463*'OLD  Formulas'!$C$3</f>
        <v>0</v>
      </c>
      <c r="AB589" s="580">
        <f>AB463*'OLD  Formulas'!$C$3</f>
        <v>0</v>
      </c>
      <c r="AC589" s="580">
        <f>AC463*'OLD  Formulas'!$C$3</f>
        <v>0</v>
      </c>
      <c r="AD589" s="580">
        <f>AD463*'OLD  Formulas'!$C$3</f>
        <v>0</v>
      </c>
      <c r="AE589" s="580">
        <f>AE463*'OLD  Formulas'!$C$3</f>
        <v>0</v>
      </c>
      <c r="AF589" s="1459">
        <f>SUM(C589:AD589)</f>
        <v>0</v>
      </c>
    </row>
    <row r="590" hidden="1" outlineLevel="1">
      <c r="A590" s="1260" t="s">
        <v>1112</v>
      </c>
      <c r="B590" s="580">
        <f>B589*'OLD  Formulas'!$L$5</f>
        <v>0</v>
      </c>
      <c r="C590" s="580">
        <f>C589*'OLD  Formulas'!$L$5</f>
        <v>0</v>
      </c>
      <c r="D590" s="580">
        <f>D589*'OLD  Formulas'!$L$5</f>
        <v>0</v>
      </c>
      <c r="E590" s="580">
        <f>E589*'OLD  Formulas'!$L$5</f>
        <v>0</v>
      </c>
      <c r="F590" s="580">
        <f>F589*'OLD  Formulas'!$L$5</f>
        <v>0</v>
      </c>
      <c r="G590" s="580">
        <f>G589*'OLD  Formulas'!$L$5</f>
        <v>0</v>
      </c>
      <c r="H590" s="580">
        <f>H589*'OLD  Formulas'!$L$5</f>
        <v>0</v>
      </c>
      <c r="I590" s="580">
        <f>I589*'OLD  Formulas'!$L$5</f>
        <v>0</v>
      </c>
      <c r="J590" s="580">
        <f>J589*'OLD  Formulas'!$L$5</f>
        <v>0</v>
      </c>
      <c r="K590" s="580">
        <f>K589*'OLD  Formulas'!$L$5</f>
        <v>0</v>
      </c>
      <c r="L590" s="580">
        <f>L589*'OLD  Formulas'!$L$5</f>
        <v>0</v>
      </c>
      <c r="M590" s="580">
        <f>M589*'OLD  Formulas'!$L$5</f>
        <v>0</v>
      </c>
      <c r="N590" s="580">
        <f>N589*'OLD  Formulas'!$L$5</f>
        <v>0</v>
      </c>
      <c r="O590" s="580">
        <f>O589*'OLD  Formulas'!$L$5</f>
        <v>0</v>
      </c>
      <c r="P590" s="580">
        <f>P589*'OLD  Formulas'!$L$5</f>
        <v>0</v>
      </c>
      <c r="Q590" s="580">
        <f>Q589*'OLD  Formulas'!$L$5</f>
        <v>0</v>
      </c>
      <c r="R590" s="580">
        <f>R589*'OLD  Formulas'!$L$5</f>
        <v>0</v>
      </c>
      <c r="S590" s="580">
        <f>S589*'OLD  Formulas'!$L$5</f>
        <v>0</v>
      </c>
      <c r="T590" s="580">
        <f>T589*'OLD  Formulas'!$L$5</f>
        <v>0</v>
      </c>
      <c r="U590" s="580">
        <f>U589*'OLD  Formulas'!$L$5</f>
        <v>0</v>
      </c>
      <c r="V590" s="580">
        <f>V589*'OLD  Formulas'!$L$5</f>
        <v>0</v>
      </c>
      <c r="W590" s="580">
        <f>W589*'OLD  Formulas'!$L$5</f>
        <v>0</v>
      </c>
      <c r="X590" s="580">
        <f>X589*'OLD  Formulas'!$L$5</f>
        <v>0</v>
      </c>
      <c r="Y590" s="580">
        <f>Y589*'OLD  Formulas'!$L$5</f>
        <v>0</v>
      </c>
      <c r="Z590" s="580">
        <f>Z589*'OLD  Formulas'!$L$5</f>
        <v>0</v>
      </c>
      <c r="AA590" s="580">
        <f>AA589*'OLD  Formulas'!$L$5</f>
        <v>0</v>
      </c>
      <c r="AB590" s="580">
        <f>AB589*'OLD  Formulas'!$L$5</f>
        <v>0</v>
      </c>
      <c r="AC590" s="580">
        <f>AC589*'OLD  Formulas'!$L$5</f>
        <v>0</v>
      </c>
      <c r="AD590" s="580">
        <f>AD589*'OLD  Formulas'!$L$5</f>
        <v>0</v>
      </c>
      <c r="AE590" s="580">
        <f>AE589*'OLD  Formulas'!$L$5</f>
        <v>0</v>
      </c>
      <c r="AF590" s="1459">
        <f t="shared" ref="AF590:AF612" si="246">SUM(C590:AE590)</f>
        <v>0</v>
      </c>
    </row>
    <row r="591" hidden="1" outlineLevel="1">
      <c r="A591" s="1257" t="s">
        <v>1113</v>
      </c>
      <c r="B591" s="580">
        <f>B464*'OLD  Formulas'!$C$4</f>
        <v>0</v>
      </c>
      <c r="C591" s="580">
        <f>C464*'OLD  Formulas'!$C$4</f>
        <v>0</v>
      </c>
      <c r="D591" s="580">
        <f>D464*'OLD  Formulas'!$C$4</f>
        <v>0</v>
      </c>
      <c r="E591" s="580">
        <f>E464*'OLD  Formulas'!$C$4</f>
        <v>0</v>
      </c>
      <c r="F591" s="580">
        <f>F464*'OLD  Formulas'!$C$4</f>
        <v>0</v>
      </c>
      <c r="G591" s="580">
        <f>G464*'OLD  Formulas'!$C$4</f>
        <v>0</v>
      </c>
      <c r="H591" s="580">
        <f>H464*'OLD  Formulas'!$C$4</f>
        <v>0</v>
      </c>
      <c r="I591" s="580">
        <f>I464*'OLD  Formulas'!$C$4</f>
        <v>0</v>
      </c>
      <c r="J591" s="580">
        <f>J464*'OLD  Formulas'!$C$4</f>
        <v>0</v>
      </c>
      <c r="K591" s="580">
        <f>K464*'OLD  Formulas'!$C$4</f>
        <v>0</v>
      </c>
      <c r="L591" s="580">
        <f>L464*'OLD  Formulas'!$C$4</f>
        <v>0</v>
      </c>
      <c r="M591" s="580">
        <f>M464*'OLD  Formulas'!$C$4</f>
        <v>0</v>
      </c>
      <c r="N591" s="580">
        <f>N464*'OLD  Formulas'!$C$4</f>
        <v>0</v>
      </c>
      <c r="O591" s="580">
        <f>O464*'OLD  Formulas'!$C$4</f>
        <v>0</v>
      </c>
      <c r="P591" s="580">
        <f>P464*'OLD  Formulas'!$C$4</f>
        <v>0</v>
      </c>
      <c r="Q591" s="580">
        <f>Q464*'OLD  Formulas'!$C$4</f>
        <v>0</v>
      </c>
      <c r="R591" s="580">
        <f>R464*'OLD  Formulas'!$C$4</f>
        <v>0</v>
      </c>
      <c r="S591" s="580">
        <f>S464*'OLD  Formulas'!$C$4</f>
        <v>0</v>
      </c>
      <c r="T591" s="580">
        <f>T464*'OLD  Formulas'!$C$4</f>
        <v>0</v>
      </c>
      <c r="U591" s="580">
        <f>U464*'OLD  Formulas'!$C$4</f>
        <v>0</v>
      </c>
      <c r="V591" s="580">
        <f>V464*'OLD  Formulas'!$C$4</f>
        <v>0</v>
      </c>
      <c r="W591" s="580">
        <f>W464*'OLD  Formulas'!$C$4</f>
        <v>0</v>
      </c>
      <c r="X591" s="580">
        <f>X464*'OLD  Formulas'!$C$4</f>
        <v>0</v>
      </c>
      <c r="Y591" s="580">
        <f>Y464*'OLD  Formulas'!$C$4</f>
        <v>0</v>
      </c>
      <c r="Z591" s="580">
        <f>Z464*'OLD  Formulas'!$C$4</f>
        <v>0</v>
      </c>
      <c r="AA591" s="580">
        <f>AA464*'OLD  Formulas'!$C$4</f>
        <v>0</v>
      </c>
      <c r="AB591" s="580">
        <f>AB464*'OLD  Formulas'!$C$4</f>
        <v>0</v>
      </c>
      <c r="AC591" s="580">
        <f>AC464*'OLD  Formulas'!$C$4</f>
        <v>0</v>
      </c>
      <c r="AD591" s="580">
        <f>AD464*'OLD  Formulas'!$C$4</f>
        <v>0</v>
      </c>
      <c r="AE591" s="580">
        <f>AE464*'OLD  Formulas'!$C$4</f>
        <v>0</v>
      </c>
      <c r="AF591" s="1459">
        <f t="shared" si="246"/>
        <v>0</v>
      </c>
    </row>
    <row r="592" hidden="1" outlineLevel="1">
      <c r="A592" s="1260" t="s">
        <v>1114</v>
      </c>
      <c r="B592" s="580">
        <f>B591*'OLD  Formulas'!$L$5</f>
        <v>0</v>
      </c>
      <c r="C592" s="580">
        <f>C591*'OLD  Formulas'!$L$5</f>
        <v>0</v>
      </c>
      <c r="D592" s="580">
        <f>D591*'OLD  Formulas'!$L$5</f>
        <v>0</v>
      </c>
      <c r="E592" s="580">
        <f>E591*'OLD  Formulas'!$L$5</f>
        <v>0</v>
      </c>
      <c r="F592" s="580">
        <f>F591*'OLD  Formulas'!$L$5</f>
        <v>0</v>
      </c>
      <c r="G592" s="580">
        <f>G591*'OLD  Formulas'!$L$5</f>
        <v>0</v>
      </c>
      <c r="H592" s="580">
        <f>H591*'OLD  Formulas'!$L$5</f>
        <v>0</v>
      </c>
      <c r="I592" s="580">
        <f>I591*'OLD  Formulas'!$L$5</f>
        <v>0</v>
      </c>
      <c r="J592" s="580">
        <f>J591*'OLD  Formulas'!$L$5</f>
        <v>0</v>
      </c>
      <c r="K592" s="580">
        <f>K591*'OLD  Formulas'!$L$5</f>
        <v>0</v>
      </c>
      <c r="L592" s="580">
        <f>L591*'OLD  Formulas'!$L$5</f>
        <v>0</v>
      </c>
      <c r="M592" s="580">
        <f>M591*'OLD  Formulas'!$L$5</f>
        <v>0</v>
      </c>
      <c r="N592" s="580">
        <f>N591*'OLD  Formulas'!$L$5</f>
        <v>0</v>
      </c>
      <c r="O592" s="580">
        <f>O591*'OLD  Formulas'!$L$5</f>
        <v>0</v>
      </c>
      <c r="P592" s="580">
        <f>P591*'OLD  Formulas'!$L$5</f>
        <v>0</v>
      </c>
      <c r="Q592" s="580">
        <f>Q591*'OLD  Formulas'!$L$5</f>
        <v>0</v>
      </c>
      <c r="R592" s="580">
        <f>R591*'OLD  Formulas'!$L$5</f>
        <v>0</v>
      </c>
      <c r="S592" s="580">
        <f>S591*'OLD  Formulas'!$L$5</f>
        <v>0</v>
      </c>
      <c r="T592" s="580">
        <f>T591*'OLD  Formulas'!$L$5</f>
        <v>0</v>
      </c>
      <c r="U592" s="580">
        <f>U591*'OLD  Formulas'!$L$5</f>
        <v>0</v>
      </c>
      <c r="V592" s="580">
        <f>V591*'OLD  Formulas'!$L$5</f>
        <v>0</v>
      </c>
      <c r="W592" s="580">
        <f>W591*'OLD  Formulas'!$L$5</f>
        <v>0</v>
      </c>
      <c r="X592" s="580">
        <f>X591*'OLD  Formulas'!$L$5</f>
        <v>0</v>
      </c>
      <c r="Y592" s="580">
        <f>Y591*'OLD  Formulas'!$L$5</f>
        <v>0</v>
      </c>
      <c r="Z592" s="580">
        <f>Z591*'OLD  Formulas'!$L$5</f>
        <v>0</v>
      </c>
      <c r="AA592" s="580">
        <f>AA591*'OLD  Formulas'!$L$5</f>
        <v>0</v>
      </c>
      <c r="AB592" s="580">
        <f>AB591*'OLD  Formulas'!$L$5</f>
        <v>0</v>
      </c>
      <c r="AC592" s="580">
        <f>AC591*'OLD  Formulas'!$L$5</f>
        <v>0</v>
      </c>
      <c r="AD592" s="580">
        <f>AD591*'OLD  Formulas'!$L$5</f>
        <v>0</v>
      </c>
      <c r="AE592" s="580">
        <f>AE591*'OLD  Formulas'!$L$5</f>
        <v>0</v>
      </c>
      <c r="AF592" s="1459">
        <f t="shared" si="246"/>
        <v>0</v>
      </c>
    </row>
    <row r="593" hidden="1" outlineLevel="1">
      <c r="A593" s="1257" t="s">
        <v>1115</v>
      </c>
      <c r="B593" s="580">
        <f>(B467+B475+B483)*'OLD  Formulas'!$C$7</f>
        <v>0</v>
      </c>
      <c r="C593" s="580">
        <f>(C467+C475+C483)*'OLD  Formulas'!$C$7</f>
        <v>0</v>
      </c>
      <c r="D593" s="580">
        <f>(D467+D475+D483)*'OLD  Formulas'!$C$7</f>
        <v>0</v>
      </c>
      <c r="E593" s="580">
        <f>(E467+E475+E483)*'OLD  Formulas'!$C$7</f>
        <v>0</v>
      </c>
      <c r="F593" s="580">
        <f>(F467+F475+F483)*'OLD  Formulas'!$C$7</f>
        <v>0</v>
      </c>
      <c r="G593" s="580">
        <f>(G467+G475+G483)*'OLD  Formulas'!$C$7</f>
        <v>0</v>
      </c>
      <c r="H593" s="580">
        <f>(H467+H475+H483)*'OLD  Formulas'!$C$7</f>
        <v>0</v>
      </c>
      <c r="I593" s="580">
        <f>(I467+I475+I483)*'OLD  Formulas'!$C$7</f>
        <v>0</v>
      </c>
      <c r="J593" s="580">
        <f>(J467+J475+J483)*'OLD  Formulas'!$C$7</f>
        <v>0</v>
      </c>
      <c r="K593" s="580">
        <f>(K467+K475+K483)*'OLD  Formulas'!$C$7</f>
        <v>0</v>
      </c>
      <c r="L593" s="580">
        <f>(L467+L475+L483)*'OLD  Formulas'!$C$7</f>
        <v>0</v>
      </c>
      <c r="M593" s="580">
        <f>(M467+M475+M483)*'OLD  Formulas'!$C$7</f>
        <v>0</v>
      </c>
      <c r="N593" s="580">
        <f>(N467+N475+N483)*'OLD  Formulas'!$C$7</f>
        <v>0</v>
      </c>
      <c r="O593" s="580">
        <f>(O467+O475+O483)*'OLD  Formulas'!$C$7</f>
        <v>0</v>
      </c>
      <c r="P593" s="580">
        <f>(P467+P475+P483)*'OLD  Formulas'!$C$7</f>
        <v>0</v>
      </c>
      <c r="Q593" s="580">
        <f>(Q467+Q475+Q483)*'OLD  Formulas'!$C$7</f>
        <v>0</v>
      </c>
      <c r="R593" s="580">
        <f>(R467+R475+R483)*'OLD  Formulas'!$C$7</f>
        <v>0</v>
      </c>
      <c r="S593" s="580">
        <f>(S467+S475+S483)*'OLD  Formulas'!$C$7</f>
        <v>0</v>
      </c>
      <c r="T593" s="580">
        <f>(T467+T475+T483)*'OLD  Formulas'!$C$7</f>
        <v>0</v>
      </c>
      <c r="U593" s="580">
        <f>(U467+U475+U483)*'OLD  Formulas'!$C$7</f>
        <v>0</v>
      </c>
      <c r="V593" s="580">
        <f>(V467+V475+V483)*'OLD  Formulas'!$C$7</f>
        <v>0</v>
      </c>
      <c r="W593" s="580">
        <f>(W467+W475+W483)*'OLD  Formulas'!$C$7</f>
        <v>0</v>
      </c>
      <c r="X593" s="580">
        <f>(X467+X475+X483)*'OLD  Formulas'!$C$7</f>
        <v>0</v>
      </c>
      <c r="Y593" s="580">
        <f>(Y467+Y475+Y483)*'OLD  Formulas'!$C$7</f>
        <v>0</v>
      </c>
      <c r="Z593" s="580">
        <f>(Z467+Z475+Z483)*'OLD  Formulas'!$C$7</f>
        <v>0</v>
      </c>
      <c r="AA593" s="580">
        <f>(AA467+AA475+AA483)*'OLD  Formulas'!$C$7</f>
        <v>0</v>
      </c>
      <c r="AB593" s="580">
        <f>(AB467+AB475+AB483)*'OLD  Formulas'!$C$7</f>
        <v>0</v>
      </c>
      <c r="AC593" s="580">
        <f>(AC467+AC475+AC483)*'OLD  Formulas'!$C$7</f>
        <v>0</v>
      </c>
      <c r="AD593" s="580">
        <f>(AD467+AD475+AD483)*'OLD  Formulas'!$C$7</f>
        <v>0</v>
      </c>
      <c r="AE593" s="580">
        <f>(AE467+AE475+AE483)*'OLD  Formulas'!$C$7</f>
        <v>0</v>
      </c>
      <c r="AF593" s="1459">
        <f t="shared" si="246"/>
        <v>0</v>
      </c>
    </row>
    <row r="594" hidden="1" outlineLevel="1">
      <c r="A594" s="1260" t="s">
        <v>1116</v>
      </c>
      <c r="B594" s="580">
        <f>B593*'OLD  Formulas'!$L$5</f>
        <v>0</v>
      </c>
      <c r="C594" s="580">
        <f>C593*'OLD  Formulas'!$L$5</f>
        <v>0</v>
      </c>
      <c r="D594" s="580">
        <f>D593*'OLD  Formulas'!$L$5</f>
        <v>0</v>
      </c>
      <c r="E594" s="580">
        <f>E593*'OLD  Formulas'!$L$5</f>
        <v>0</v>
      </c>
      <c r="F594" s="580">
        <f>F593*'OLD  Formulas'!$L$5</f>
        <v>0</v>
      </c>
      <c r="G594" s="580">
        <f>G593*'OLD  Formulas'!$L$5</f>
        <v>0</v>
      </c>
      <c r="H594" s="580">
        <f>H593*'OLD  Formulas'!$L$5</f>
        <v>0</v>
      </c>
      <c r="I594" s="580">
        <f>I593*'OLD  Formulas'!$L$5</f>
        <v>0</v>
      </c>
      <c r="J594" s="580">
        <f>J593*'OLD  Formulas'!$L$5</f>
        <v>0</v>
      </c>
      <c r="K594" s="580">
        <f>K593*'OLD  Formulas'!$L$5</f>
        <v>0</v>
      </c>
      <c r="L594" s="580">
        <f>L593*'OLD  Formulas'!$L$5</f>
        <v>0</v>
      </c>
      <c r="M594" s="580">
        <f>M593*'OLD  Formulas'!$L$5</f>
        <v>0</v>
      </c>
      <c r="N594" s="580">
        <f>N593*'OLD  Formulas'!$L$5</f>
        <v>0</v>
      </c>
      <c r="O594" s="580">
        <f>O593*'OLD  Formulas'!$L$5</f>
        <v>0</v>
      </c>
      <c r="P594" s="580">
        <f>P593*'OLD  Formulas'!$L$5</f>
        <v>0</v>
      </c>
      <c r="Q594" s="580">
        <f>Q593*'OLD  Formulas'!$L$5</f>
        <v>0</v>
      </c>
      <c r="R594" s="580">
        <f>R593*'OLD  Formulas'!$L$5</f>
        <v>0</v>
      </c>
      <c r="S594" s="580">
        <f>S593*'OLD  Formulas'!$L$5</f>
        <v>0</v>
      </c>
      <c r="T594" s="580">
        <f>T593*'OLD  Formulas'!$L$5</f>
        <v>0</v>
      </c>
      <c r="U594" s="580">
        <f>U593*'OLD  Formulas'!$L$5</f>
        <v>0</v>
      </c>
      <c r="V594" s="580">
        <f>V593*'OLD  Formulas'!$L$5</f>
        <v>0</v>
      </c>
      <c r="W594" s="580">
        <f>W593*'OLD  Formulas'!$L$5</f>
        <v>0</v>
      </c>
      <c r="X594" s="580">
        <f>X593*'OLD  Formulas'!$L$5</f>
        <v>0</v>
      </c>
      <c r="Y594" s="580">
        <f>Y593*'OLD  Formulas'!$L$5</f>
        <v>0</v>
      </c>
      <c r="Z594" s="580">
        <f>Z593*'OLD  Formulas'!$L$5</f>
        <v>0</v>
      </c>
      <c r="AA594" s="580">
        <f>AA593*'OLD  Formulas'!$L$5</f>
        <v>0</v>
      </c>
      <c r="AB594" s="580">
        <f>AB593*'OLD  Formulas'!$L$5</f>
        <v>0</v>
      </c>
      <c r="AC594" s="580">
        <f>AC593*'OLD  Formulas'!$L$5</f>
        <v>0</v>
      </c>
      <c r="AD594" s="580">
        <f>AD593*'OLD  Formulas'!$L$5</f>
        <v>0</v>
      </c>
      <c r="AE594" s="580">
        <f>AE593*'OLD  Formulas'!$L$5</f>
        <v>0</v>
      </c>
      <c r="AF594" s="1459">
        <f t="shared" si="246"/>
        <v>0</v>
      </c>
    </row>
    <row r="595" hidden="1" outlineLevel="1">
      <c r="A595" s="1260" t="s">
        <v>1117</v>
      </c>
      <c r="B595" s="580">
        <f>B593*'OLD  Formulas'!$L$4</f>
        <v>0</v>
      </c>
      <c r="C595" s="580">
        <f>C593*'OLD  Formulas'!$L$4</f>
        <v>0</v>
      </c>
      <c r="D595" s="580">
        <f>D593*'OLD  Formulas'!$L$4</f>
        <v>0</v>
      </c>
      <c r="E595" s="580">
        <f>E593*'OLD  Formulas'!$L$4</f>
        <v>0</v>
      </c>
      <c r="F595" s="580">
        <f>F593*'OLD  Formulas'!$L$4</f>
        <v>0</v>
      </c>
      <c r="G595" s="580">
        <f>G593*'OLD  Formulas'!$L$4</f>
        <v>0</v>
      </c>
      <c r="H595" s="580">
        <f>H593*'OLD  Formulas'!$L$4</f>
        <v>0</v>
      </c>
      <c r="I595" s="580">
        <f>I593*'OLD  Formulas'!$L$4</f>
        <v>0</v>
      </c>
      <c r="J595" s="580">
        <f>J593*'OLD  Formulas'!$L$4</f>
        <v>0</v>
      </c>
      <c r="K595" s="580">
        <f>K593*'OLD  Formulas'!$L$4</f>
        <v>0</v>
      </c>
      <c r="L595" s="580">
        <f>L593*'OLD  Formulas'!$L$4</f>
        <v>0</v>
      </c>
      <c r="M595" s="580">
        <f>M593*'OLD  Formulas'!$L$4</f>
        <v>0</v>
      </c>
      <c r="N595" s="580">
        <f>N593*'OLD  Formulas'!$L$4</f>
        <v>0</v>
      </c>
      <c r="O595" s="580">
        <f>O593*'OLD  Formulas'!$L$4</f>
        <v>0</v>
      </c>
      <c r="P595" s="580">
        <f>P593*'OLD  Formulas'!$L$4</f>
        <v>0</v>
      </c>
      <c r="Q595" s="580">
        <f>Q593*'OLD  Formulas'!$L$4</f>
        <v>0</v>
      </c>
      <c r="R595" s="580">
        <f>R593*'OLD  Formulas'!$L$4</f>
        <v>0</v>
      </c>
      <c r="S595" s="580">
        <f>S593*'OLD  Formulas'!$L$4</f>
        <v>0</v>
      </c>
      <c r="T595" s="580">
        <f>T593*'OLD  Formulas'!$L$4</f>
        <v>0</v>
      </c>
      <c r="U595" s="580">
        <f>U593*'OLD  Formulas'!$L$4</f>
        <v>0</v>
      </c>
      <c r="V595" s="580">
        <f>V593*'OLD  Formulas'!$L$4</f>
        <v>0</v>
      </c>
      <c r="W595" s="580">
        <f>W593*'OLD  Formulas'!$L$4</f>
        <v>0</v>
      </c>
      <c r="X595" s="580">
        <f>X593*'OLD  Formulas'!$L$4</f>
        <v>0</v>
      </c>
      <c r="Y595" s="580">
        <f>Y593*'OLD  Formulas'!$L$4</f>
        <v>0</v>
      </c>
      <c r="Z595" s="580">
        <f>Z593*'OLD  Formulas'!$L$4</f>
        <v>0</v>
      </c>
      <c r="AA595" s="580">
        <f>AA593*'OLD  Formulas'!$L$4</f>
        <v>0</v>
      </c>
      <c r="AB595" s="580">
        <f>AB593*'OLD  Formulas'!$L$4</f>
        <v>0</v>
      </c>
      <c r="AC595" s="580">
        <f>AC593*'OLD  Formulas'!$L$4</f>
        <v>0</v>
      </c>
      <c r="AD595" s="580">
        <f>AD593*'OLD  Formulas'!$L$4</f>
        <v>0</v>
      </c>
      <c r="AE595" s="580">
        <f>AE593*'OLD  Formulas'!$L$4</f>
        <v>0</v>
      </c>
      <c r="AF595" s="1459">
        <f t="shared" si="246"/>
        <v>0</v>
      </c>
    </row>
    <row r="596" hidden="1" outlineLevel="1">
      <c r="A596" s="1257" t="s">
        <v>1118</v>
      </c>
      <c r="B596" s="580">
        <f>(B466+B474+B482)*'OLD  Formulas'!$C$6</f>
        <v>0</v>
      </c>
      <c r="C596" s="580">
        <f>(C466+C474+C482)*'OLD  Formulas'!$C$6</f>
        <v>0</v>
      </c>
      <c r="D596" s="580">
        <f>(D466+D474+D482)*'OLD  Formulas'!$C$6</f>
        <v>0</v>
      </c>
      <c r="E596" s="580">
        <f>(E466+E474+E482)*'OLD  Formulas'!$C$6</f>
        <v>0</v>
      </c>
      <c r="F596" s="580">
        <f>(F466+F474+F482)*'OLD  Formulas'!$C$6</f>
        <v>0</v>
      </c>
      <c r="G596" s="580">
        <f>(G466+G474+G482)*'OLD  Formulas'!$C$6</f>
        <v>0</v>
      </c>
      <c r="H596" s="580">
        <f>(H466+H474+H482)*'OLD  Formulas'!$C$6</f>
        <v>0</v>
      </c>
      <c r="I596" s="580">
        <f>(I466+I474+I482)*'OLD  Formulas'!$C$6</f>
        <v>0</v>
      </c>
      <c r="J596" s="580">
        <f>(J466+J474+J482)*'OLD  Formulas'!$C$6</f>
        <v>0</v>
      </c>
      <c r="K596" s="580">
        <f>(K466+K474+K482)*'OLD  Formulas'!$C$6</f>
        <v>0</v>
      </c>
      <c r="L596" s="580">
        <f>(L466+L474+L482)*'OLD  Formulas'!$C$6</f>
        <v>0</v>
      </c>
      <c r="M596" s="580">
        <f>(M466+M474+M482)*'OLD  Formulas'!$C$6</f>
        <v>0</v>
      </c>
      <c r="N596" s="580">
        <f>(N466+N474+N482)*'OLD  Formulas'!$C$6</f>
        <v>0</v>
      </c>
      <c r="O596" s="580">
        <f>(O466+O474+O482)*'OLD  Formulas'!$C$6</f>
        <v>0</v>
      </c>
      <c r="P596" s="580">
        <f>(P466+P474+P482)*'OLD  Formulas'!$C$6</f>
        <v>0</v>
      </c>
      <c r="Q596" s="580">
        <f>(Q466+Q474+Q482)*'OLD  Formulas'!$C$6</f>
        <v>0</v>
      </c>
      <c r="R596" s="580">
        <f>(R466+R474+R482)*'OLD  Formulas'!$C$6</f>
        <v>0</v>
      </c>
      <c r="S596" s="580">
        <f>(S466+S474+S482)*'OLD  Formulas'!$C$6</f>
        <v>0</v>
      </c>
      <c r="T596" s="580">
        <f>(T466+T474+T482)*'OLD  Formulas'!$C$6</f>
        <v>0</v>
      </c>
      <c r="U596" s="580">
        <f>(U466+U474+U482)*'OLD  Formulas'!$C$6</f>
        <v>0</v>
      </c>
      <c r="V596" s="580">
        <f>(V466+V474+V482)*'OLD  Formulas'!$C$6</f>
        <v>0</v>
      </c>
      <c r="W596" s="580">
        <f>(W466+W474+W482)*'OLD  Formulas'!$C$6</f>
        <v>0</v>
      </c>
      <c r="X596" s="580">
        <f>(X466+X474+X482)*'OLD  Formulas'!$C$6</f>
        <v>0</v>
      </c>
      <c r="Y596" s="580">
        <f>(Y466+Y474+Y482)*'OLD  Formulas'!$C$6</f>
        <v>0</v>
      </c>
      <c r="Z596" s="580">
        <f>(Z466+Z474+Z482)*'OLD  Formulas'!$C$6</f>
        <v>0</v>
      </c>
      <c r="AA596" s="580">
        <f>(AA466+AA474+AA482)*'OLD  Formulas'!$C$6</f>
        <v>0</v>
      </c>
      <c r="AB596" s="580">
        <f>(AB466+AB474+AB482)*'OLD  Formulas'!$C$6</f>
        <v>0</v>
      </c>
      <c r="AC596" s="580">
        <f>(AC466+AC474+AC482)*'OLD  Formulas'!$C$6</f>
        <v>0</v>
      </c>
      <c r="AD596" s="580">
        <f>(AD466+AD474+AD482)*'OLD  Formulas'!$C$6</f>
        <v>0</v>
      </c>
      <c r="AE596" s="580">
        <f>(AE466+AE474+AE482)*'OLD  Formulas'!$C$6</f>
        <v>0</v>
      </c>
      <c r="AF596" s="1459">
        <f t="shared" si="246"/>
        <v>0</v>
      </c>
    </row>
    <row r="597" hidden="1" outlineLevel="1">
      <c r="A597" s="1260" t="s">
        <v>1119</v>
      </c>
      <c r="B597" s="580">
        <f>B596*'OLD  Formulas'!$L$5</f>
        <v>0</v>
      </c>
      <c r="C597" s="580">
        <f>C596*'OLD  Formulas'!$L$5</f>
        <v>0</v>
      </c>
      <c r="D597" s="580">
        <f>D596*'OLD  Formulas'!$L$5</f>
        <v>0</v>
      </c>
      <c r="E597" s="580">
        <f>E596*'OLD  Formulas'!$L$5</f>
        <v>0</v>
      </c>
      <c r="F597" s="580">
        <f>F596*'OLD  Formulas'!$L$5</f>
        <v>0</v>
      </c>
      <c r="G597" s="580">
        <f>G596*'OLD  Formulas'!$L$5</f>
        <v>0</v>
      </c>
      <c r="H597" s="580">
        <f>H596*'OLD  Formulas'!$L$5</f>
        <v>0</v>
      </c>
      <c r="I597" s="580">
        <f>I596*'OLD  Formulas'!$L$5</f>
        <v>0</v>
      </c>
      <c r="J597" s="580">
        <f>J596*'OLD  Formulas'!$L$5</f>
        <v>0</v>
      </c>
      <c r="K597" s="580">
        <f>K596*'OLD  Formulas'!$L$5</f>
        <v>0</v>
      </c>
      <c r="L597" s="580">
        <f>L596*'OLD  Formulas'!$L$5</f>
        <v>0</v>
      </c>
      <c r="M597" s="580">
        <f>M596*'OLD  Formulas'!$L$5</f>
        <v>0</v>
      </c>
      <c r="N597" s="580">
        <f>N596*'OLD  Formulas'!$L$5</f>
        <v>0</v>
      </c>
      <c r="O597" s="580">
        <f>O596*'OLD  Formulas'!$L$5</f>
        <v>0</v>
      </c>
      <c r="P597" s="580">
        <f>P596*'OLD  Formulas'!$L$5</f>
        <v>0</v>
      </c>
      <c r="Q597" s="580">
        <f>Q596*'OLD  Formulas'!$L$5</f>
        <v>0</v>
      </c>
      <c r="R597" s="580">
        <f>R596*'OLD  Formulas'!$L$5</f>
        <v>0</v>
      </c>
      <c r="S597" s="580">
        <f>S596*'OLD  Formulas'!$L$5</f>
        <v>0</v>
      </c>
      <c r="T597" s="580">
        <f>T596*'OLD  Formulas'!$L$5</f>
        <v>0</v>
      </c>
      <c r="U597" s="580">
        <f>U596*'OLD  Formulas'!$L$5</f>
        <v>0</v>
      </c>
      <c r="V597" s="580">
        <f>V596*'OLD  Formulas'!$L$5</f>
        <v>0</v>
      </c>
      <c r="W597" s="580">
        <f>W596*'OLD  Formulas'!$L$5</f>
        <v>0</v>
      </c>
      <c r="X597" s="580">
        <f>X596*'OLD  Formulas'!$L$5</f>
        <v>0</v>
      </c>
      <c r="Y597" s="580">
        <f>Y596*'OLD  Formulas'!$L$5</f>
        <v>0</v>
      </c>
      <c r="Z597" s="580">
        <f>Z596*'OLD  Formulas'!$L$5</f>
        <v>0</v>
      </c>
      <c r="AA597" s="580">
        <f>AA596*'OLD  Formulas'!$L$5</f>
        <v>0</v>
      </c>
      <c r="AB597" s="580">
        <f>AB596*'OLD  Formulas'!$L$5</f>
        <v>0</v>
      </c>
      <c r="AC597" s="580">
        <f>AC596*'OLD  Formulas'!$L$5</f>
        <v>0</v>
      </c>
      <c r="AD597" s="580">
        <f>AD596*'OLD  Formulas'!$L$5</f>
        <v>0</v>
      </c>
      <c r="AE597" s="580">
        <f>AE596*'OLD  Formulas'!$L$5</f>
        <v>0</v>
      </c>
      <c r="AF597" s="1459">
        <f t="shared" si="246"/>
        <v>0</v>
      </c>
    </row>
    <row r="598" hidden="1" outlineLevel="1">
      <c r="A598" s="1260" t="s">
        <v>1121</v>
      </c>
      <c r="B598" s="580">
        <f>B596*'OLD  Formulas'!$L$4</f>
        <v>0</v>
      </c>
      <c r="C598" s="580">
        <f>C596*'OLD  Formulas'!$L$4</f>
        <v>0</v>
      </c>
      <c r="D598" s="580">
        <f>D596*'OLD  Formulas'!$L$4</f>
        <v>0</v>
      </c>
      <c r="E598" s="580">
        <f>E596*'OLD  Formulas'!$L$4</f>
        <v>0</v>
      </c>
      <c r="F598" s="580">
        <f>F596*'OLD  Formulas'!$L$4</f>
        <v>0</v>
      </c>
      <c r="G598" s="580">
        <f>G596*'OLD  Formulas'!$L$4</f>
        <v>0</v>
      </c>
      <c r="H598" s="580">
        <f>H596*'OLD  Formulas'!$L$4</f>
        <v>0</v>
      </c>
      <c r="I598" s="580">
        <f>I596*'OLD  Formulas'!$L$4</f>
        <v>0</v>
      </c>
      <c r="J598" s="580">
        <f>J596*'OLD  Formulas'!$L$4</f>
        <v>0</v>
      </c>
      <c r="K598" s="580">
        <f>K596*'OLD  Formulas'!$L$4</f>
        <v>0</v>
      </c>
      <c r="L598" s="580">
        <f>L596*'OLD  Formulas'!$L$4</f>
        <v>0</v>
      </c>
      <c r="M598" s="580">
        <f>M596*'OLD  Formulas'!$L$4</f>
        <v>0</v>
      </c>
      <c r="N598" s="580">
        <f>N596*'OLD  Formulas'!$L$4</f>
        <v>0</v>
      </c>
      <c r="O598" s="580">
        <f>O596*'OLD  Formulas'!$L$4</f>
        <v>0</v>
      </c>
      <c r="P598" s="580">
        <f>P596*'OLD  Formulas'!$L$4</f>
        <v>0</v>
      </c>
      <c r="Q598" s="580">
        <f>Q596*'OLD  Formulas'!$L$4</f>
        <v>0</v>
      </c>
      <c r="R598" s="580">
        <f>R596*'OLD  Formulas'!$L$4</f>
        <v>0</v>
      </c>
      <c r="S598" s="580">
        <f>S596*'OLD  Formulas'!$L$4</f>
        <v>0</v>
      </c>
      <c r="T598" s="580">
        <f>T596*'OLD  Formulas'!$L$4</f>
        <v>0</v>
      </c>
      <c r="U598" s="580">
        <f>U596*'OLD  Formulas'!$L$4</f>
        <v>0</v>
      </c>
      <c r="V598" s="580">
        <f>V596*'OLD  Formulas'!$L$4</f>
        <v>0</v>
      </c>
      <c r="W598" s="580">
        <f>W596*'OLD  Formulas'!$L$4</f>
        <v>0</v>
      </c>
      <c r="X598" s="580">
        <f>X596*'OLD  Formulas'!$L$4</f>
        <v>0</v>
      </c>
      <c r="Y598" s="580">
        <f>Y596*'OLD  Formulas'!$L$4</f>
        <v>0</v>
      </c>
      <c r="Z598" s="580">
        <f>Z596*'OLD  Formulas'!$L$4</f>
        <v>0</v>
      </c>
      <c r="AA598" s="580">
        <f>AA596*'OLD  Formulas'!$L$4</f>
        <v>0</v>
      </c>
      <c r="AB598" s="580">
        <f>AB596*'OLD  Formulas'!$L$4</f>
        <v>0</v>
      </c>
      <c r="AC598" s="580">
        <f>AC596*'OLD  Formulas'!$L$4</f>
        <v>0</v>
      </c>
      <c r="AD598" s="580">
        <f>AD596*'OLD  Formulas'!$L$4</f>
        <v>0</v>
      </c>
      <c r="AE598" s="580">
        <f>AE596*'OLD  Formulas'!$L$4</f>
        <v>0</v>
      </c>
      <c r="AF598" s="1459">
        <f t="shared" si="246"/>
        <v>0</v>
      </c>
    </row>
    <row r="599" hidden="1" outlineLevel="1">
      <c r="A599" s="1257" t="s">
        <v>1122</v>
      </c>
      <c r="B599" s="580">
        <f>(B468+B476+B484)*'OLD  Formulas'!$C$8</f>
        <v>0</v>
      </c>
      <c r="C599" s="580">
        <f>(C468+C476+C484)*'OLD  Formulas'!$C$8</f>
        <v>0</v>
      </c>
      <c r="D599" s="580">
        <f>(D468+D476+D484)*'OLD  Formulas'!$C$8</f>
        <v>0</v>
      </c>
      <c r="E599" s="580">
        <f>(E468+E476+E484)*'OLD  Formulas'!$C$8</f>
        <v>0</v>
      </c>
      <c r="F599" s="580">
        <f>(F468+F476+F484)*'OLD  Formulas'!$C$8</f>
        <v>0</v>
      </c>
      <c r="G599" s="580">
        <f>(G468+G476+G484)*'OLD  Formulas'!$C$8</f>
        <v>0</v>
      </c>
      <c r="H599" s="580">
        <f>(H468+H476+H484)*'OLD  Formulas'!$C$8</f>
        <v>0</v>
      </c>
      <c r="I599" s="580">
        <f>(I468+I476+I484)*'OLD  Formulas'!$C$8</f>
        <v>0</v>
      </c>
      <c r="J599" s="580">
        <f>(J468+J476+J484)*'OLD  Formulas'!$C$8</f>
        <v>0</v>
      </c>
      <c r="K599" s="580">
        <f>(K468+K476+K484)*'OLD  Formulas'!$C$8</f>
        <v>0</v>
      </c>
      <c r="L599" s="580">
        <f>(L468+L476+L484)*'OLD  Formulas'!$C$8</f>
        <v>0</v>
      </c>
      <c r="M599" s="580">
        <f>(M468+M476+M484)*'OLD  Formulas'!$C$8</f>
        <v>0</v>
      </c>
      <c r="N599" s="580">
        <f>(N468+N476+N484)*'OLD  Formulas'!$C$8</f>
        <v>0</v>
      </c>
      <c r="O599" s="580">
        <f>(O468+O476+O484)*'OLD  Formulas'!$C$8</f>
        <v>0</v>
      </c>
      <c r="P599" s="580">
        <f>(P468+P476+P484)*'OLD  Formulas'!$C$8</f>
        <v>0</v>
      </c>
      <c r="Q599" s="580">
        <f>(Q468+Q476+Q484)*'OLD  Formulas'!$C$8</f>
        <v>0</v>
      </c>
      <c r="R599" s="580">
        <f>(R468+R476+R484)*'OLD  Formulas'!$C$8</f>
        <v>0</v>
      </c>
      <c r="S599" s="580">
        <f>(S468+S476+S484)*'OLD  Formulas'!$C$8</f>
        <v>0</v>
      </c>
      <c r="T599" s="580">
        <f>(T468+T476+T484)*'OLD  Formulas'!$C$8</f>
        <v>0</v>
      </c>
      <c r="U599" s="580">
        <f>(U468+U476+U484)*'OLD  Formulas'!$C$8</f>
        <v>0</v>
      </c>
      <c r="V599" s="580">
        <f>(V468+V476+V484)*'OLD  Formulas'!$C$8</f>
        <v>0</v>
      </c>
      <c r="W599" s="580">
        <f>(W468+W476+W484)*'OLD  Formulas'!$C$8</f>
        <v>0</v>
      </c>
      <c r="X599" s="580">
        <f>(X468+X476+X484)*'OLD  Formulas'!$C$8</f>
        <v>0</v>
      </c>
      <c r="Y599" s="580">
        <f>(Y468+Y476+Y484)*'OLD  Formulas'!$C$8</f>
        <v>0</v>
      </c>
      <c r="Z599" s="580">
        <f>(Z468+Z476+Z484)*'OLD  Formulas'!$C$8</f>
        <v>0</v>
      </c>
      <c r="AA599" s="580">
        <f>(AA468+AA476+AA484)*'OLD  Formulas'!$C$8</f>
        <v>0</v>
      </c>
      <c r="AB599" s="580">
        <f>(AB468+AB476+AB484)*'OLD  Formulas'!$C$8</f>
        <v>0</v>
      </c>
      <c r="AC599" s="580">
        <f>(AC468+AC476+AC484)*'OLD  Formulas'!$C$8</f>
        <v>0</v>
      </c>
      <c r="AD599" s="580">
        <f>(AD468+AD476+AD484)*'OLD  Formulas'!$C$8</f>
        <v>0</v>
      </c>
      <c r="AE599" s="580">
        <f>(AE468+AE476+AE484)*'OLD  Formulas'!$C$8</f>
        <v>0</v>
      </c>
      <c r="AF599" s="1459">
        <f t="shared" si="246"/>
        <v>0</v>
      </c>
    </row>
    <row r="600" hidden="1" outlineLevel="1">
      <c r="A600" s="1260" t="s">
        <v>1123</v>
      </c>
      <c r="B600" s="580">
        <f>B599*'OLD  Formulas'!$L$5</f>
        <v>0</v>
      </c>
      <c r="C600" s="580">
        <f>C599*'OLD  Formulas'!$L$5</f>
        <v>0</v>
      </c>
      <c r="D600" s="580">
        <f>D599*'OLD  Formulas'!$L$5</f>
        <v>0</v>
      </c>
      <c r="E600" s="580">
        <f>E599*'OLD  Formulas'!$L$5</f>
        <v>0</v>
      </c>
      <c r="F600" s="580">
        <f>F599*'OLD  Formulas'!$L$5</f>
        <v>0</v>
      </c>
      <c r="G600" s="580">
        <f>G599*'OLD  Formulas'!$L$5</f>
        <v>0</v>
      </c>
      <c r="H600" s="580">
        <f>H599*'OLD  Formulas'!$L$5</f>
        <v>0</v>
      </c>
      <c r="I600" s="580">
        <f>I599*'OLD  Formulas'!$L$5</f>
        <v>0</v>
      </c>
      <c r="J600" s="580">
        <f>J599*'OLD  Formulas'!$L$5</f>
        <v>0</v>
      </c>
      <c r="K600" s="580">
        <f>K599*'OLD  Formulas'!$L$5</f>
        <v>0</v>
      </c>
      <c r="L600" s="580">
        <f>L599*'OLD  Formulas'!$L$5</f>
        <v>0</v>
      </c>
      <c r="M600" s="580">
        <f>M599*'OLD  Formulas'!$L$5</f>
        <v>0</v>
      </c>
      <c r="N600" s="580">
        <f>N599*'OLD  Formulas'!$L$5</f>
        <v>0</v>
      </c>
      <c r="O600" s="580">
        <f>O599*'OLD  Formulas'!$L$5</f>
        <v>0</v>
      </c>
      <c r="P600" s="580">
        <f>P599*'OLD  Formulas'!$L$5</f>
        <v>0</v>
      </c>
      <c r="Q600" s="580">
        <f>Q599*'OLD  Formulas'!$L$5</f>
        <v>0</v>
      </c>
      <c r="R600" s="580">
        <f>R599*'OLD  Formulas'!$L$5</f>
        <v>0</v>
      </c>
      <c r="S600" s="580">
        <f>S599*'OLD  Formulas'!$L$5</f>
        <v>0</v>
      </c>
      <c r="T600" s="580">
        <f>T599*'OLD  Formulas'!$L$5</f>
        <v>0</v>
      </c>
      <c r="U600" s="580">
        <f>U599*'OLD  Formulas'!$L$5</f>
        <v>0</v>
      </c>
      <c r="V600" s="580">
        <f>V599*'OLD  Formulas'!$L$5</f>
        <v>0</v>
      </c>
      <c r="W600" s="580">
        <f>W599*'OLD  Formulas'!$L$5</f>
        <v>0</v>
      </c>
      <c r="X600" s="580">
        <f>X599*'OLD  Formulas'!$L$5</f>
        <v>0</v>
      </c>
      <c r="Y600" s="580">
        <f>Y599*'OLD  Formulas'!$L$5</f>
        <v>0</v>
      </c>
      <c r="Z600" s="580">
        <f>Z599*'OLD  Formulas'!$L$5</f>
        <v>0</v>
      </c>
      <c r="AA600" s="580">
        <f>AA599*'OLD  Formulas'!$L$5</f>
        <v>0</v>
      </c>
      <c r="AB600" s="580">
        <f>AB599*'OLD  Formulas'!$L$5</f>
        <v>0</v>
      </c>
      <c r="AC600" s="580">
        <f>AC599*'OLD  Formulas'!$L$5</f>
        <v>0</v>
      </c>
      <c r="AD600" s="580">
        <f>AD599*'OLD  Formulas'!$L$5</f>
        <v>0</v>
      </c>
      <c r="AE600" s="580">
        <f>AE599*'OLD  Formulas'!$L$5</f>
        <v>0</v>
      </c>
      <c r="AF600" s="1459">
        <f t="shared" si="246"/>
        <v>0</v>
      </c>
    </row>
    <row r="601" hidden="1" outlineLevel="1">
      <c r="A601" s="1260" t="s">
        <v>1124</v>
      </c>
      <c r="B601" s="580">
        <f>B599*'OLD  Formulas'!$L$4</f>
        <v>0</v>
      </c>
      <c r="C601" s="580">
        <f>C599*'OLD  Formulas'!$L$4</f>
        <v>0</v>
      </c>
      <c r="D601" s="580">
        <f>D599*'OLD  Formulas'!$L$4</f>
        <v>0</v>
      </c>
      <c r="E601" s="580">
        <f>E599*'OLD  Formulas'!$L$4</f>
        <v>0</v>
      </c>
      <c r="F601" s="580">
        <f>F599*'OLD  Formulas'!$L$4</f>
        <v>0</v>
      </c>
      <c r="G601" s="580">
        <f>G599*'OLD  Formulas'!$L$4</f>
        <v>0</v>
      </c>
      <c r="H601" s="580">
        <f>H599*'OLD  Formulas'!$L$4</f>
        <v>0</v>
      </c>
      <c r="I601" s="580">
        <f>I599*'OLD  Formulas'!$L$4</f>
        <v>0</v>
      </c>
      <c r="J601" s="580">
        <f>J599*'OLD  Formulas'!$L$4</f>
        <v>0</v>
      </c>
      <c r="K601" s="580">
        <f>K599*'OLD  Formulas'!$L$4</f>
        <v>0</v>
      </c>
      <c r="L601" s="580">
        <f>L599*'OLD  Formulas'!$L$4</f>
        <v>0</v>
      </c>
      <c r="M601" s="580">
        <f>M599*'OLD  Formulas'!$L$4</f>
        <v>0</v>
      </c>
      <c r="N601" s="580">
        <f>N599*'OLD  Formulas'!$L$4</f>
        <v>0</v>
      </c>
      <c r="O601" s="580">
        <f>O599*'OLD  Formulas'!$L$4</f>
        <v>0</v>
      </c>
      <c r="P601" s="580">
        <f>P599*'OLD  Formulas'!$L$4</f>
        <v>0</v>
      </c>
      <c r="Q601" s="580">
        <f>Q599*'OLD  Formulas'!$L$4</f>
        <v>0</v>
      </c>
      <c r="R601" s="580">
        <f>R599*'OLD  Formulas'!$L$4</f>
        <v>0</v>
      </c>
      <c r="S601" s="580">
        <f>S599*'OLD  Formulas'!$L$4</f>
        <v>0</v>
      </c>
      <c r="T601" s="580">
        <f>T599*'OLD  Formulas'!$L$4</f>
        <v>0</v>
      </c>
      <c r="U601" s="580">
        <f>U599*'OLD  Formulas'!$L$4</f>
        <v>0</v>
      </c>
      <c r="V601" s="580">
        <f>V599*'OLD  Formulas'!$L$4</f>
        <v>0</v>
      </c>
      <c r="W601" s="580">
        <f>W599*'OLD  Formulas'!$L$4</f>
        <v>0</v>
      </c>
      <c r="X601" s="580">
        <f>X599*'OLD  Formulas'!$L$4</f>
        <v>0</v>
      </c>
      <c r="Y601" s="580">
        <f>Y599*'OLD  Formulas'!$L$4</f>
        <v>0</v>
      </c>
      <c r="Z601" s="580">
        <f>Z599*'OLD  Formulas'!$L$4</f>
        <v>0</v>
      </c>
      <c r="AA601" s="580">
        <f>AA599*'OLD  Formulas'!$L$4</f>
        <v>0</v>
      </c>
      <c r="AB601" s="580">
        <f>AB599*'OLD  Formulas'!$L$4</f>
        <v>0</v>
      </c>
      <c r="AC601" s="580">
        <f>AC599*'OLD  Formulas'!$L$4</f>
        <v>0</v>
      </c>
      <c r="AD601" s="580">
        <f>AD599*'OLD  Formulas'!$L$4</f>
        <v>0</v>
      </c>
      <c r="AE601" s="580">
        <f>AE599*'OLD  Formulas'!$L$4</f>
        <v>0</v>
      </c>
      <c r="AF601" s="1459">
        <f t="shared" si="246"/>
        <v>0</v>
      </c>
    </row>
    <row r="602" hidden="1" outlineLevel="1">
      <c r="A602" s="1257" t="s">
        <v>1125</v>
      </c>
      <c r="B602" s="580">
        <f>(B469+B477+B485)*'OLD  Formulas'!$C$9</f>
        <v>0</v>
      </c>
      <c r="C602" s="580">
        <f>(C469+C477+C485)*'OLD  Formulas'!$C$9</f>
        <v>0</v>
      </c>
      <c r="D602" s="580">
        <f>(D469+D477+D485)*'OLD  Formulas'!$C$9</f>
        <v>0</v>
      </c>
      <c r="E602" s="580">
        <f>(E469+E477+E485)*'OLD  Formulas'!$C$9</f>
        <v>0</v>
      </c>
      <c r="F602" s="580">
        <f>(F469+F477+F485)*'OLD  Formulas'!$C$9</f>
        <v>0</v>
      </c>
      <c r="G602" s="580">
        <f>(G469+G477+G485)*'OLD  Formulas'!$C$9</f>
        <v>0</v>
      </c>
      <c r="H602" s="580">
        <f>(H469+H477+H485)*'OLD  Formulas'!$C$9</f>
        <v>0</v>
      </c>
      <c r="I602" s="580">
        <f>(I469+I477+I485)*'OLD  Formulas'!$C$9</f>
        <v>0</v>
      </c>
      <c r="J602" s="580">
        <f>(J469+J477+J485)*'OLD  Formulas'!$C$9</f>
        <v>0</v>
      </c>
      <c r="K602" s="580">
        <f>(K469+K477+K485)*'OLD  Formulas'!$C$9</f>
        <v>0</v>
      </c>
      <c r="L602" s="580">
        <f>(L469+L477+L485)*'OLD  Formulas'!$C$9</f>
        <v>0</v>
      </c>
      <c r="M602" s="580">
        <f>(M469+M477+M485)*'OLD  Formulas'!$C$9</f>
        <v>0</v>
      </c>
      <c r="N602" s="580">
        <f>(N469+N477+N485)*'OLD  Formulas'!$C$9</f>
        <v>0</v>
      </c>
      <c r="O602" s="580">
        <f>(O469+O477+O485)*'OLD  Formulas'!$C$9</f>
        <v>0</v>
      </c>
      <c r="P602" s="580">
        <f>(P469+P477+P485)*'OLD  Formulas'!$C$9</f>
        <v>0</v>
      </c>
      <c r="Q602" s="580">
        <f>(Q469+Q477+Q485)*'OLD  Formulas'!$C$9</f>
        <v>0</v>
      </c>
      <c r="R602" s="580">
        <f>(R469+R477+R485)*'OLD  Formulas'!$C$9</f>
        <v>0</v>
      </c>
      <c r="S602" s="580">
        <f>(S469+S477+S485)*'OLD  Formulas'!$C$9</f>
        <v>0</v>
      </c>
      <c r="T602" s="580">
        <f>(T469+T477+T485)*'OLD  Formulas'!$C$9</f>
        <v>0</v>
      </c>
      <c r="U602" s="580">
        <f>(U469+U477+U485)*'OLD  Formulas'!$C$9</f>
        <v>0</v>
      </c>
      <c r="V602" s="580">
        <f>(V469+V477+V485)*'OLD  Formulas'!$C$9</f>
        <v>0</v>
      </c>
      <c r="W602" s="580">
        <f>(W469+W477+W485)*'OLD  Formulas'!$C$9</f>
        <v>0</v>
      </c>
      <c r="X602" s="580">
        <f>(X469+X477+X485)*'OLD  Formulas'!$C$9</f>
        <v>0</v>
      </c>
      <c r="Y602" s="580">
        <f>(Y469+Y477+Y485)*'OLD  Formulas'!$C$9</f>
        <v>0</v>
      </c>
      <c r="Z602" s="580">
        <f>(Z469+Z477+Z485)*'OLD  Formulas'!$C$9</f>
        <v>0</v>
      </c>
      <c r="AA602" s="580">
        <f>(AA469+AA477+AA485)*'OLD  Formulas'!$C$9</f>
        <v>0</v>
      </c>
      <c r="AB602" s="580">
        <f>(AB469+AB477+AB485)*'OLD  Formulas'!$C$9</f>
        <v>0</v>
      </c>
      <c r="AC602" s="580">
        <f>(AC469+AC477+AC485)*'OLD  Formulas'!$C$9</f>
        <v>0</v>
      </c>
      <c r="AD602" s="580">
        <f>(AD469+AD477+AD485)*'OLD  Formulas'!$C$9</f>
        <v>0</v>
      </c>
      <c r="AE602" s="580">
        <f>(AE469+AE477+AE485)*'OLD  Formulas'!$C$9</f>
        <v>0</v>
      </c>
      <c r="AF602" s="1459">
        <f t="shared" si="246"/>
        <v>0</v>
      </c>
    </row>
    <row r="603" hidden="1" outlineLevel="1">
      <c r="A603" s="1260" t="s">
        <v>1126</v>
      </c>
      <c r="B603" s="580">
        <f>B602*'OLD  Formulas'!$L$5</f>
        <v>0</v>
      </c>
      <c r="C603" s="580">
        <f>C602*'OLD  Formulas'!$L$5</f>
        <v>0</v>
      </c>
      <c r="D603" s="580">
        <f>D602*'OLD  Formulas'!$L$5</f>
        <v>0</v>
      </c>
      <c r="E603" s="580">
        <f>E602*'OLD  Formulas'!$L$5</f>
        <v>0</v>
      </c>
      <c r="F603" s="580">
        <f>F602*'OLD  Formulas'!$L$5</f>
        <v>0</v>
      </c>
      <c r="G603" s="580">
        <f>G602*'OLD  Formulas'!$L$5</f>
        <v>0</v>
      </c>
      <c r="H603" s="580">
        <f>H602*'OLD  Formulas'!$L$5</f>
        <v>0</v>
      </c>
      <c r="I603" s="580">
        <f>I602*'OLD  Formulas'!$L$5</f>
        <v>0</v>
      </c>
      <c r="J603" s="580">
        <f>J602*'OLD  Formulas'!$L$5</f>
        <v>0</v>
      </c>
      <c r="K603" s="580">
        <f>K602*'OLD  Formulas'!$L$5</f>
        <v>0</v>
      </c>
      <c r="L603" s="580">
        <f>L602*'OLD  Formulas'!$L$5</f>
        <v>0</v>
      </c>
      <c r="M603" s="580">
        <f>M602*'OLD  Formulas'!$L$5</f>
        <v>0</v>
      </c>
      <c r="N603" s="580">
        <f>N602*'OLD  Formulas'!$L$5</f>
        <v>0</v>
      </c>
      <c r="O603" s="580">
        <f>O602*'OLD  Formulas'!$L$5</f>
        <v>0</v>
      </c>
      <c r="P603" s="580">
        <f>P602*'OLD  Formulas'!$L$5</f>
        <v>0</v>
      </c>
      <c r="Q603" s="580">
        <f>Q602*'OLD  Formulas'!$L$5</f>
        <v>0</v>
      </c>
      <c r="R603" s="580">
        <f>R602*'OLD  Formulas'!$L$5</f>
        <v>0</v>
      </c>
      <c r="S603" s="580">
        <f>S602*'OLD  Formulas'!$L$5</f>
        <v>0</v>
      </c>
      <c r="T603" s="580">
        <f>T602*'OLD  Formulas'!$L$5</f>
        <v>0</v>
      </c>
      <c r="U603" s="580">
        <f>U602*'OLD  Formulas'!$L$5</f>
        <v>0</v>
      </c>
      <c r="V603" s="580">
        <f>V602*'OLD  Formulas'!$L$5</f>
        <v>0</v>
      </c>
      <c r="W603" s="580">
        <f>W602*'OLD  Formulas'!$L$5</f>
        <v>0</v>
      </c>
      <c r="X603" s="580">
        <f>X602*'OLD  Formulas'!$L$5</f>
        <v>0</v>
      </c>
      <c r="Y603" s="580">
        <f>Y602*'OLD  Formulas'!$L$5</f>
        <v>0</v>
      </c>
      <c r="Z603" s="580">
        <f>Z602*'OLD  Formulas'!$L$5</f>
        <v>0</v>
      </c>
      <c r="AA603" s="580">
        <f>AA602*'OLD  Formulas'!$L$5</f>
        <v>0</v>
      </c>
      <c r="AB603" s="580">
        <f>AB602*'OLD  Formulas'!$L$5</f>
        <v>0</v>
      </c>
      <c r="AC603" s="580">
        <f>AC602*'OLD  Formulas'!$L$5</f>
        <v>0</v>
      </c>
      <c r="AD603" s="580">
        <f>AD602*'OLD  Formulas'!$L$5</f>
        <v>0</v>
      </c>
      <c r="AE603" s="580">
        <f>AE602*'OLD  Formulas'!$L$5</f>
        <v>0</v>
      </c>
      <c r="AF603" s="1459">
        <f t="shared" si="246"/>
        <v>0</v>
      </c>
    </row>
    <row r="604" hidden="1" outlineLevel="1">
      <c r="A604" s="1260" t="s">
        <v>1128</v>
      </c>
      <c r="B604" s="580">
        <f>B602*'OLD  Formulas'!$L$4</f>
        <v>0</v>
      </c>
      <c r="C604" s="580">
        <f>C602*'OLD  Formulas'!$L$4</f>
        <v>0</v>
      </c>
      <c r="D604" s="580">
        <f>D602*'OLD  Formulas'!$L$4</f>
        <v>0</v>
      </c>
      <c r="E604" s="580">
        <f>E602*'OLD  Formulas'!$L$4</f>
        <v>0</v>
      </c>
      <c r="F604" s="580">
        <f>F602*'OLD  Formulas'!$L$4</f>
        <v>0</v>
      </c>
      <c r="G604" s="580">
        <f>G602*'OLD  Formulas'!$L$4</f>
        <v>0</v>
      </c>
      <c r="H604" s="580">
        <f>H602*'OLD  Formulas'!$L$4</f>
        <v>0</v>
      </c>
      <c r="I604" s="580">
        <f>I602*'OLD  Formulas'!$L$4</f>
        <v>0</v>
      </c>
      <c r="J604" s="580">
        <f>J602*'OLD  Formulas'!$L$4</f>
        <v>0</v>
      </c>
      <c r="K604" s="580">
        <f>K602*'OLD  Formulas'!$L$4</f>
        <v>0</v>
      </c>
      <c r="L604" s="580">
        <f>L602*'OLD  Formulas'!$L$4</f>
        <v>0</v>
      </c>
      <c r="M604" s="580">
        <f>M602*'OLD  Formulas'!$L$4</f>
        <v>0</v>
      </c>
      <c r="N604" s="580">
        <f>N602*'OLD  Formulas'!$L$4</f>
        <v>0</v>
      </c>
      <c r="O604" s="580">
        <f>O602*'OLD  Formulas'!$L$4</f>
        <v>0</v>
      </c>
      <c r="P604" s="580">
        <f>P602*'OLD  Formulas'!$L$4</f>
        <v>0</v>
      </c>
      <c r="Q604" s="580">
        <f>Q602*'OLD  Formulas'!$L$4</f>
        <v>0</v>
      </c>
      <c r="R604" s="580">
        <f>R602*'OLD  Formulas'!$L$4</f>
        <v>0</v>
      </c>
      <c r="S604" s="580">
        <f>S602*'OLD  Formulas'!$L$4</f>
        <v>0</v>
      </c>
      <c r="T604" s="580">
        <f>T602*'OLD  Formulas'!$L$4</f>
        <v>0</v>
      </c>
      <c r="U604" s="580">
        <f>U602*'OLD  Formulas'!$L$4</f>
        <v>0</v>
      </c>
      <c r="V604" s="580">
        <f>V602*'OLD  Formulas'!$L$4</f>
        <v>0</v>
      </c>
      <c r="W604" s="580">
        <f>W602*'OLD  Formulas'!$L$4</f>
        <v>0</v>
      </c>
      <c r="X604" s="580">
        <f>X602*'OLD  Formulas'!$L$4</f>
        <v>0</v>
      </c>
      <c r="Y604" s="580">
        <f>Y602*'OLD  Formulas'!$L$4</f>
        <v>0</v>
      </c>
      <c r="Z604" s="580">
        <f>Z602*'OLD  Formulas'!$L$4</f>
        <v>0</v>
      </c>
      <c r="AA604" s="580">
        <f>AA602*'OLD  Formulas'!$L$4</f>
        <v>0</v>
      </c>
      <c r="AB604" s="580">
        <f>AB602*'OLD  Formulas'!$L$4</f>
        <v>0</v>
      </c>
      <c r="AC604" s="580">
        <f>AC602*'OLD  Formulas'!$L$4</f>
        <v>0</v>
      </c>
      <c r="AD604" s="580">
        <f>AD602*'OLD  Formulas'!$L$4</f>
        <v>0</v>
      </c>
      <c r="AE604" s="580">
        <f>AE602*'OLD  Formulas'!$L$4</f>
        <v>0</v>
      </c>
      <c r="AF604" s="1459">
        <f t="shared" si="246"/>
        <v>0</v>
      </c>
    </row>
    <row r="605" hidden="1" outlineLevel="1">
      <c r="A605" s="1257" t="s">
        <v>1129</v>
      </c>
      <c r="B605" s="580">
        <f>(B470+B478+B486)*'OLD  Formulas'!$C$5</f>
        <v>0</v>
      </c>
      <c r="C605" s="580">
        <f>(C470+C478+C486)*'OLD  Formulas'!$C$5</f>
        <v>0</v>
      </c>
      <c r="D605" s="580">
        <f>(D470+D478+D486)*'OLD  Formulas'!$C$5</f>
        <v>0</v>
      </c>
      <c r="E605" s="580">
        <f>(E470+E478+E486)*'OLD  Formulas'!$C$5</f>
        <v>0</v>
      </c>
      <c r="F605" s="580">
        <f>(F470+F478+F486)*'OLD  Formulas'!$C$5</f>
        <v>0</v>
      </c>
      <c r="G605" s="580">
        <f>(G470+G478+G486)*'OLD  Formulas'!$C$5</f>
        <v>0</v>
      </c>
      <c r="H605" s="580">
        <f>(H470+H478+H486)*'OLD  Formulas'!$C$5</f>
        <v>0</v>
      </c>
      <c r="I605" s="580">
        <f>(I470+I478+I486)*'OLD  Formulas'!$C$5</f>
        <v>0</v>
      </c>
      <c r="J605" s="580">
        <f>(J470+J478+J486)*'OLD  Formulas'!$C$5</f>
        <v>0</v>
      </c>
      <c r="K605" s="580">
        <f>(K470+K478+K486)*'OLD  Formulas'!$C$5</f>
        <v>0</v>
      </c>
      <c r="L605" s="580">
        <f>(L470+L478+L486)*'OLD  Formulas'!$C$5</f>
        <v>0</v>
      </c>
      <c r="M605" s="580">
        <f>(M470+M478+M486)*'OLD  Formulas'!$C$5</f>
        <v>0</v>
      </c>
      <c r="N605" s="580">
        <f>(N470+N478+N486)*'OLD  Formulas'!$C$5</f>
        <v>0</v>
      </c>
      <c r="O605" s="580">
        <f>(O470+O478+O486)*'OLD  Formulas'!$C$5</f>
        <v>0</v>
      </c>
      <c r="P605" s="580">
        <f>(P470+P478+P486)*'OLD  Formulas'!$C$5</f>
        <v>0</v>
      </c>
      <c r="Q605" s="580">
        <f>(Q470+Q478+Q486)*'OLD  Formulas'!$C$5</f>
        <v>0</v>
      </c>
      <c r="R605" s="580">
        <f>(R470+R478+R486)*'OLD  Formulas'!$C$5</f>
        <v>0</v>
      </c>
      <c r="S605" s="580">
        <f>(S470+S478+S486)*'OLD  Formulas'!$C$5</f>
        <v>0</v>
      </c>
      <c r="T605" s="580">
        <f>(T470+T478+T486)*'OLD  Formulas'!$C$5</f>
        <v>0</v>
      </c>
      <c r="U605" s="580">
        <f>(U470+U478+U486)*'OLD  Formulas'!$C$5</f>
        <v>0</v>
      </c>
      <c r="V605" s="580">
        <f>(V470+V478+V486)*'OLD  Formulas'!$C$5</f>
        <v>0</v>
      </c>
      <c r="W605" s="580">
        <f>(W470+W478+W486)*'OLD  Formulas'!$C$5</f>
        <v>0</v>
      </c>
      <c r="X605" s="580">
        <f>(X470+X478+X486)*'OLD  Formulas'!$C$5</f>
        <v>0</v>
      </c>
      <c r="Y605" s="580">
        <f>(Y470+Y478+Y486)*'OLD  Formulas'!$C$5</f>
        <v>0</v>
      </c>
      <c r="Z605" s="580">
        <f>(Z470+Z478+Z486)*'OLD  Formulas'!$C$5</f>
        <v>0</v>
      </c>
      <c r="AA605" s="580">
        <f>(AA470+AA478+AA486)*'OLD  Formulas'!$C$5</f>
        <v>0</v>
      </c>
      <c r="AB605" s="580">
        <f>(AB470+AB478+AB486)*'OLD  Formulas'!$C$5</f>
        <v>0</v>
      </c>
      <c r="AC605" s="580">
        <f>(AC470+AC478+AC486)*'OLD  Formulas'!$C$5</f>
        <v>0</v>
      </c>
      <c r="AD605" s="580">
        <f>(AD470+AD478+AD486)*'OLD  Formulas'!$C$5</f>
        <v>0</v>
      </c>
      <c r="AE605" s="580">
        <f>(AE470+AE478+AE486)*'OLD  Formulas'!$C$5</f>
        <v>0</v>
      </c>
      <c r="AF605" s="1459">
        <f t="shared" si="246"/>
        <v>0</v>
      </c>
    </row>
    <row r="606" hidden="1" outlineLevel="1">
      <c r="A606" s="1260" t="s">
        <v>1397</v>
      </c>
      <c r="B606" s="580">
        <f>B605*'OLD  Formulas'!$L$8</f>
        <v>0</v>
      </c>
      <c r="C606" s="580">
        <f>C605*'OLD  Formulas'!$L$8</f>
        <v>0</v>
      </c>
      <c r="D606" s="580">
        <f>D605*'OLD  Formulas'!$L$8</f>
        <v>0</v>
      </c>
      <c r="E606" s="580">
        <f>E605*'OLD  Formulas'!$L$8</f>
        <v>0</v>
      </c>
      <c r="F606" s="580">
        <f>F605*'OLD  Formulas'!$L$8</f>
        <v>0</v>
      </c>
      <c r="G606" s="580">
        <f>G605*'OLD  Formulas'!$L$8</f>
        <v>0</v>
      </c>
      <c r="H606" s="580">
        <f>H605*'OLD  Formulas'!$L$8</f>
        <v>0</v>
      </c>
      <c r="I606" s="580">
        <f>I605*'OLD  Formulas'!$L$8</f>
        <v>0</v>
      </c>
      <c r="J606" s="580">
        <f>J605*'OLD  Formulas'!$L$8</f>
        <v>0</v>
      </c>
      <c r="K606" s="580">
        <f>K605*'OLD  Formulas'!$L$8</f>
        <v>0</v>
      </c>
      <c r="L606" s="580">
        <f>L605*'OLD  Formulas'!$L$8</f>
        <v>0</v>
      </c>
      <c r="M606" s="580">
        <f>M605*'OLD  Formulas'!$L$8</f>
        <v>0</v>
      </c>
      <c r="N606" s="580">
        <f>N605*'OLD  Formulas'!$L$8</f>
        <v>0</v>
      </c>
      <c r="O606" s="580">
        <f>O605*'OLD  Formulas'!$L$8</f>
        <v>0</v>
      </c>
      <c r="P606" s="580">
        <f>P605*'OLD  Formulas'!$L$8</f>
        <v>0</v>
      </c>
      <c r="Q606" s="580">
        <f>Q605*'OLD  Formulas'!$L$8</f>
        <v>0</v>
      </c>
      <c r="R606" s="580">
        <f>R605*'OLD  Formulas'!$L$8</f>
        <v>0</v>
      </c>
      <c r="S606" s="580">
        <f>S605*'OLD  Formulas'!$L$8</f>
        <v>0</v>
      </c>
      <c r="T606" s="580">
        <f>T605*'OLD  Formulas'!$L$8</f>
        <v>0</v>
      </c>
      <c r="U606" s="580">
        <f>U605*'OLD  Formulas'!$L$8</f>
        <v>0</v>
      </c>
      <c r="V606" s="580">
        <f>V605*'OLD  Formulas'!$L$8</f>
        <v>0</v>
      </c>
      <c r="W606" s="580">
        <f>W605*'OLD  Formulas'!$L$8</f>
        <v>0</v>
      </c>
      <c r="X606" s="580">
        <f>X605*'OLD  Formulas'!$L$8</f>
        <v>0</v>
      </c>
      <c r="Y606" s="580">
        <f>Y605*'OLD  Formulas'!$L$8</f>
        <v>0</v>
      </c>
      <c r="Z606" s="580">
        <f>Z605*'OLD  Formulas'!$L$8</f>
        <v>0</v>
      </c>
      <c r="AA606" s="580">
        <f>AA605*'OLD  Formulas'!$L$8</f>
        <v>0</v>
      </c>
      <c r="AB606" s="580">
        <f>AB605*'OLD  Formulas'!$L$8</f>
        <v>0</v>
      </c>
      <c r="AC606" s="580">
        <f>AC605*'OLD  Formulas'!$L$8</f>
        <v>0</v>
      </c>
      <c r="AD606" s="580">
        <f>AD605*'OLD  Formulas'!$L$8</f>
        <v>0</v>
      </c>
      <c r="AE606" s="580">
        <f>AE605*'OLD  Formulas'!$L$8</f>
        <v>0</v>
      </c>
      <c r="AF606" s="1459">
        <f t="shared" si="246"/>
        <v>0</v>
      </c>
    </row>
    <row r="607" hidden="1" outlineLevel="1">
      <c r="A607" s="1260" t="s">
        <v>1134</v>
      </c>
      <c r="B607" s="580">
        <f>B605*'OLD  Formulas'!$L$9</f>
        <v>0</v>
      </c>
      <c r="C607" s="580">
        <f>C605*'OLD  Formulas'!$L$9</f>
        <v>0</v>
      </c>
      <c r="D607" s="580">
        <f>D605*'OLD  Formulas'!$L$9</f>
        <v>0</v>
      </c>
      <c r="E607" s="580">
        <f>E605*'OLD  Formulas'!$L$9</f>
        <v>0</v>
      </c>
      <c r="F607" s="580">
        <f>F605*'OLD  Formulas'!$L$9</f>
        <v>0</v>
      </c>
      <c r="G607" s="580">
        <f>G605*'OLD  Formulas'!$L$9</f>
        <v>0</v>
      </c>
      <c r="H607" s="580">
        <f>H605*'OLD  Formulas'!$L$9</f>
        <v>0</v>
      </c>
      <c r="I607" s="580">
        <f>I605*'OLD  Formulas'!$L$9</f>
        <v>0</v>
      </c>
      <c r="J607" s="580">
        <f>J605*'OLD  Formulas'!$L$9</f>
        <v>0</v>
      </c>
      <c r="K607" s="580">
        <f>K605*'OLD  Formulas'!$L$9</f>
        <v>0</v>
      </c>
      <c r="L607" s="580">
        <f>L605*'OLD  Formulas'!$L$9</f>
        <v>0</v>
      </c>
      <c r="M607" s="580">
        <f>M605*'OLD  Formulas'!$L$9</f>
        <v>0</v>
      </c>
      <c r="N607" s="580">
        <f>N605*'OLD  Formulas'!$L$9</f>
        <v>0</v>
      </c>
      <c r="O607" s="580">
        <f>O605*'OLD  Formulas'!$L$9</f>
        <v>0</v>
      </c>
      <c r="P607" s="580">
        <f>P605*'OLD  Formulas'!$L$9</f>
        <v>0</v>
      </c>
      <c r="Q607" s="580">
        <f>Q605*'OLD  Formulas'!$L$9</f>
        <v>0</v>
      </c>
      <c r="R607" s="580">
        <f>R605*'OLD  Formulas'!$L$9</f>
        <v>0</v>
      </c>
      <c r="S607" s="580">
        <f>S605*'OLD  Formulas'!$L$9</f>
        <v>0</v>
      </c>
      <c r="T607" s="580">
        <f>T605*'OLD  Formulas'!$L$9</f>
        <v>0</v>
      </c>
      <c r="U607" s="580">
        <f>U605*'OLD  Formulas'!$L$9</f>
        <v>0</v>
      </c>
      <c r="V607" s="580">
        <f>V605*'OLD  Formulas'!$L$9</f>
        <v>0</v>
      </c>
      <c r="W607" s="580">
        <f>W605*'OLD  Formulas'!$L$9</f>
        <v>0</v>
      </c>
      <c r="X607" s="580">
        <f>X605*'OLD  Formulas'!$L$9</f>
        <v>0</v>
      </c>
      <c r="Y607" s="580">
        <f>Y605*'OLD  Formulas'!$L$9</f>
        <v>0</v>
      </c>
      <c r="Z607" s="580">
        <f>Z605*'OLD  Formulas'!$L$9</f>
        <v>0</v>
      </c>
      <c r="AA607" s="580">
        <f>AA605*'OLD  Formulas'!$L$9</f>
        <v>0</v>
      </c>
      <c r="AB607" s="580">
        <f>AB605*'OLD  Formulas'!$L$9</f>
        <v>0</v>
      </c>
      <c r="AC607" s="580">
        <f>AC605*'OLD  Formulas'!$L$9</f>
        <v>0</v>
      </c>
      <c r="AD607" s="580">
        <f>AD605*'OLD  Formulas'!$L$9</f>
        <v>0</v>
      </c>
      <c r="AE607" s="580">
        <f>AE605*'OLD  Formulas'!$L$9</f>
        <v>0</v>
      </c>
      <c r="AF607" s="1459">
        <f t="shared" si="246"/>
        <v>0</v>
      </c>
    </row>
    <row r="608" hidden="1" outlineLevel="1">
      <c r="A608" s="1260" t="s">
        <v>1154</v>
      </c>
      <c r="B608" s="580">
        <f>(B589+B591+B593+B596+B599+B602+B605)*'OLD  Formulas'!$L$6</f>
        <v>0</v>
      </c>
      <c r="C608" s="580">
        <f>(C589+C591+C593+C596+C599+C602+C605)*'OLD  Formulas'!$L$6</f>
        <v>0</v>
      </c>
      <c r="D608" s="580">
        <f>(D589+D591+D593+D596+D599+D602+D605)*'OLD  Formulas'!$L$6</f>
        <v>0</v>
      </c>
      <c r="E608" s="580">
        <f>(E589+E591+E593+E596+E599+E602+E605)*'OLD  Formulas'!$L$6</f>
        <v>0</v>
      </c>
      <c r="F608" s="580">
        <f>(F589+F591+F593+F596+F599+F602+F605)*'OLD  Formulas'!$L$6</f>
        <v>0</v>
      </c>
      <c r="G608" s="580">
        <f>(G589+G591+G593+G596+G599+G602+G605)*'OLD  Formulas'!$L$6</f>
        <v>0</v>
      </c>
      <c r="H608" s="580">
        <f>(H589+H591+H593+H596+H599+H602+H605)*'OLD  Formulas'!$L$6</f>
        <v>0</v>
      </c>
      <c r="I608" s="580">
        <f>(I589+I591+I593+I596+I599+I602+I605)*'OLD  Formulas'!$L$6</f>
        <v>0</v>
      </c>
      <c r="J608" s="580">
        <f>(J589+J591+J593+J596+J599+J602+J605)*'OLD  Formulas'!$L$6</f>
        <v>0</v>
      </c>
      <c r="K608" s="580">
        <f>(K589+K591+K593+K596+K599+K602+K605)*'OLD  Formulas'!$L$6</f>
        <v>0</v>
      </c>
      <c r="L608" s="580">
        <f>(L589+L591+L593+L596+L599+L602+L605)*'OLD  Formulas'!$L$6</f>
        <v>0</v>
      </c>
      <c r="M608" s="580">
        <f>(M589+M591+M593+M596+M599+M602+M605)*'OLD  Formulas'!$L$6</f>
        <v>0</v>
      </c>
      <c r="N608" s="580">
        <f>(N589+N591+N593+N596+N599+N602+N605)*'OLD  Formulas'!$L$6</f>
        <v>0</v>
      </c>
      <c r="O608" s="580">
        <f>(O589+O591+O593+O596+O599+O602+O605)*'OLD  Formulas'!$L$6</f>
        <v>0</v>
      </c>
      <c r="P608" s="580">
        <f>(P589+P591+P593+P596+P599+P602+P605)*'OLD  Formulas'!$L$6</f>
        <v>0</v>
      </c>
      <c r="Q608" s="580">
        <f>(Q589+Q591+Q593+Q596+Q599+Q602+Q605)*'OLD  Formulas'!$L$6</f>
        <v>0</v>
      </c>
      <c r="R608" s="580">
        <f>(R589+R591+R593+R596+R599+R602+R605)*'OLD  Formulas'!$L$6</f>
        <v>0</v>
      </c>
      <c r="S608" s="580">
        <f>(S589+S591+S593+S596+S599+S602+S605)*'OLD  Formulas'!$L$6</f>
        <v>0</v>
      </c>
      <c r="T608" s="580">
        <f>(T589+T591+T593+T596+T599+T602+T605)*'OLD  Formulas'!$L$6</f>
        <v>0</v>
      </c>
      <c r="U608" s="580">
        <f>(U589+U591+U593+U596+U599+U602+U605)*'OLD  Formulas'!$L$6</f>
        <v>0</v>
      </c>
      <c r="V608" s="580">
        <f>(V589+V591+V593+V596+V599+V602+V605)*'OLD  Formulas'!$L$6</f>
        <v>0</v>
      </c>
      <c r="W608" s="580">
        <f>(W589+W591+W593+W596+W599+W602+W605)*'OLD  Formulas'!$L$6</f>
        <v>0</v>
      </c>
      <c r="X608" s="580">
        <f>(X589+X591+X593+X596+X599+X602+X605)*'OLD  Formulas'!$L$6</f>
        <v>0</v>
      </c>
      <c r="Y608" s="580">
        <f>(Y589+Y591+Y593+Y596+Y599+Y602+Y605)*'OLD  Formulas'!$L$6</f>
        <v>0</v>
      </c>
      <c r="Z608" s="580">
        <f>(Z589+Z591+Z593+Z596+Z599+Z602+Z605)*'OLD  Formulas'!$L$6</f>
        <v>0</v>
      </c>
      <c r="AA608" s="580">
        <f>(AA589+AA591+AA593+AA596+AA599+AA602+AA605)*'OLD  Formulas'!$L$6</f>
        <v>0</v>
      </c>
      <c r="AB608" s="580">
        <f>(AB589+AB591+AB593+AB596+AB599+AB602+AB605)*'OLD  Formulas'!$L$6</f>
        <v>0</v>
      </c>
      <c r="AC608" s="580">
        <f>(AC589+AC591+AC593+AC596+AC599+AC602+AC605)*'OLD  Formulas'!$L$6</f>
        <v>0</v>
      </c>
      <c r="AD608" s="580">
        <f>(AD589+AD591+AD593+AD596+AD599+AD602+AD605)*'OLD  Formulas'!$L$6</f>
        <v>0</v>
      </c>
      <c r="AE608" s="580">
        <f>(AE589+AE591+AE593+AE596+AE599+AE602+AE605)*'OLD  Formulas'!$L$6</f>
        <v>0</v>
      </c>
      <c r="AF608" s="1459">
        <f t="shared" si="246"/>
        <v>0</v>
      </c>
    </row>
    <row r="609" hidden="1" outlineLevel="1">
      <c r="A609" s="1260" t="s">
        <v>1185</v>
      </c>
      <c r="B609" s="580">
        <f>((B457+B458)*'OLD  Formulas'!$C$32)+((B459+B460)*'OLD  Formulas'!$C$33)+((B461+B462)*'OLD  Formulas'!$C$34)</f>
        <v>0</v>
      </c>
      <c r="C609" s="580">
        <f>((C457+C458)*'OLD  Formulas'!$C$32)+((C459+C460)*'OLD  Formulas'!$C$33)+((C461+C462)*'OLD  Formulas'!$C$34)</f>
        <v>0</v>
      </c>
      <c r="D609" s="580">
        <f>((D457+D458)*'OLD  Formulas'!$C$32)+((D459+D460)*'OLD  Formulas'!$C$33)+((D461+D462)*'OLD  Formulas'!$C$34)</f>
        <v>0</v>
      </c>
      <c r="E609" s="580">
        <f>((E457+E458)*'OLD  Formulas'!$C$32)+((E459+E460)*'OLD  Formulas'!$C$33)+((E461+E462)*'OLD  Formulas'!$C$34)</f>
        <v>0</v>
      </c>
      <c r="F609" s="580">
        <f>((F457+F458)*'OLD  Formulas'!$C$32)+((F459+F460)*'OLD  Formulas'!$C$33)+((F461+F462)*'OLD  Formulas'!$C$34)</f>
        <v>0</v>
      </c>
      <c r="G609" s="580">
        <f>((G457+G458)*'OLD  Formulas'!$C$32)+((G459+G460)*'OLD  Formulas'!$C$33)+((G461+G462)*'OLD  Formulas'!$C$34)</f>
        <v>0</v>
      </c>
      <c r="H609" s="580">
        <f>((H457+H458)*'OLD  Formulas'!$C$32)+((H459+H460)*'OLD  Formulas'!$C$33)+((H461+H462)*'OLD  Formulas'!$C$34)</f>
        <v>0</v>
      </c>
      <c r="I609" s="580">
        <f>((I457+I458)*'OLD  Formulas'!$C$32)+((I459+I460)*'OLD  Formulas'!$C$33)+((I461+I462)*'OLD  Formulas'!$C$34)</f>
        <v>0</v>
      </c>
      <c r="J609" s="580">
        <f>((J457+J458)*'OLD  Formulas'!$C$32)+((J459+J460)*'OLD  Formulas'!$C$33)+((J461+J462)*'OLD  Formulas'!$C$34)</f>
        <v>0</v>
      </c>
      <c r="K609" s="580">
        <f>((K457+K458)*'OLD  Formulas'!$C$32)+((K459+K460)*'OLD  Formulas'!$C$33)+((K461+K462)*'OLD  Formulas'!$C$34)</f>
        <v>0</v>
      </c>
      <c r="L609" s="580">
        <f>((L457+L458)*'OLD  Formulas'!$C$32)+((L459+L460)*'OLD  Formulas'!$C$33)+((L461+L462)*'OLD  Formulas'!$C$34)</f>
        <v>0</v>
      </c>
      <c r="M609" s="580">
        <f>((M457+M458)*'OLD  Formulas'!$C$32)+((M459+M460)*'OLD  Formulas'!$C$33)+((M461+M462)*'OLD  Formulas'!$C$34)</f>
        <v>0</v>
      </c>
      <c r="N609" s="580">
        <f>((N457+N458)*'OLD  Formulas'!$C$32)+((N459+N460)*'OLD  Formulas'!$C$33)+((N461+N462)*'OLD  Formulas'!$C$34)</f>
        <v>0</v>
      </c>
      <c r="O609" s="580">
        <f>((O457+O458)*'OLD  Formulas'!$C$32)+((O459+O460)*'OLD  Formulas'!$C$33)+((O461+O462)*'OLD  Formulas'!$C$34)</f>
        <v>0</v>
      </c>
      <c r="P609" s="580">
        <f>((P457+P458)*'OLD  Formulas'!$C$32)+((P459+P460)*'OLD  Formulas'!$C$33)+((P461+P462)*'OLD  Formulas'!$C$34)</f>
        <v>0</v>
      </c>
      <c r="Q609" s="580">
        <f>((Q457+Q458)*'OLD  Formulas'!$C$32)+((Q459+Q460)*'OLD  Formulas'!$C$33)+((Q461+Q462)*'OLD  Formulas'!$C$34)</f>
        <v>0</v>
      </c>
      <c r="R609" s="580">
        <f>((R457+R458)*'OLD  Formulas'!$C$32)+((R459+R460)*'OLD  Formulas'!$C$33)+((R461+R462)*'OLD  Formulas'!$C$34)</f>
        <v>0</v>
      </c>
      <c r="S609" s="580">
        <f>((S457+S458)*'OLD  Formulas'!$C$32)+((S459+S460)*'OLD  Formulas'!$C$33)+((S461+S462)*'OLD  Formulas'!$C$34)</f>
        <v>0</v>
      </c>
      <c r="T609" s="580">
        <f>((T457+T458)*'OLD  Formulas'!$C$32)+((T459+T460)*'OLD  Formulas'!$C$33)+((T461+T462)*'OLD  Formulas'!$C$34)</f>
        <v>0</v>
      </c>
      <c r="U609" s="580">
        <f>((U457+U458)*'OLD  Formulas'!$C$32)+((U459+U460)*'OLD  Formulas'!$C$33)+((U461+U462)*'OLD  Formulas'!$C$34)</f>
        <v>0</v>
      </c>
      <c r="V609" s="580">
        <f>((V457+V458)*'OLD  Formulas'!$C$32)+((V459+V460)*'OLD  Formulas'!$C$33)+((V461+V462)*'OLD  Formulas'!$C$34)</f>
        <v>0</v>
      </c>
      <c r="W609" s="580">
        <f>((W457+W458)*'OLD  Formulas'!$C$32)+((W459+W460)*'OLD  Formulas'!$C$33)+((W461+W462)*'OLD  Formulas'!$C$34)</f>
        <v>0</v>
      </c>
      <c r="X609" s="580">
        <f>((X457+X458)*'OLD  Formulas'!$C$32)+((X459+X460)*'OLD  Formulas'!$C$33)+((X461+X462)*'OLD  Formulas'!$C$34)</f>
        <v>0</v>
      </c>
      <c r="Y609" s="580">
        <f>((Y457+Y458)*'OLD  Formulas'!$C$32)+((Y459+Y460)*'OLD  Formulas'!$C$33)+((Y461+Y462)*'OLD  Formulas'!$C$34)</f>
        <v>0</v>
      </c>
      <c r="Z609" s="580">
        <f>((Z457+Z458)*'OLD  Formulas'!$C$32)+((Z459+Z460)*'OLD  Formulas'!$C$33)+((Z461+Z462)*'OLD  Formulas'!$C$34)</f>
        <v>0</v>
      </c>
      <c r="AA609" s="580">
        <f>((AA457+AA458)*'OLD  Formulas'!$C$32)+((AA459+AA460)*'OLD  Formulas'!$C$33)+((AA461+AA462)*'OLD  Formulas'!$C$34)</f>
        <v>0</v>
      </c>
      <c r="AB609" s="580">
        <f>((AB457+AB458)*'OLD  Formulas'!$C$32)+((AB459+AB460)*'OLD  Formulas'!$C$33)+((AB461+AB462)*'OLD  Formulas'!$C$34)</f>
        <v>0</v>
      </c>
      <c r="AC609" s="580">
        <f>((AC457+AC458)*'OLD  Formulas'!$C$32)+((AC459+AC460)*'OLD  Formulas'!$C$33)+((AC461+AC462)*'OLD  Formulas'!$C$34)</f>
        <v>0</v>
      </c>
      <c r="AD609" s="580">
        <f>((AD457+AD458)*'OLD  Formulas'!$C$32)+((AD459+AD460)*'OLD  Formulas'!$C$33)+((AD461+AD462)*'OLD  Formulas'!$C$34)</f>
        <v>0</v>
      </c>
      <c r="AE609" s="580">
        <f>((AE457+AE458)*'OLD  Formulas'!$C$32)+((AE459+AE460)*'OLD  Formulas'!$C$33)+((AE461+AE462)*'OLD  Formulas'!$C$34)</f>
        <v>0</v>
      </c>
      <c r="AF609" s="1459">
        <f t="shared" si="246"/>
        <v>0</v>
      </c>
    </row>
    <row r="610" hidden="1" outlineLevel="1">
      <c r="A610" s="1260" t="s">
        <v>1189</v>
      </c>
      <c r="B610" s="580">
        <f>((B457+B458)*'OLD  Formulas'!$C$17)+((B459+B460)*'OLD  Formulas'!$C$18)+((B461+B462)*'OLD  Formulas'!$C$19)</f>
        <v>0</v>
      </c>
      <c r="C610" s="580">
        <f>((C457+C458)*'OLD  Formulas'!$C$17)+((C459+C460)*'OLD  Formulas'!$C$18)+((C461+C462)*'OLD  Formulas'!$C$19)</f>
        <v>0</v>
      </c>
      <c r="D610" s="580">
        <f>((D457+D458)*'OLD  Formulas'!$C$17)+((D459+D460)*'OLD  Formulas'!$C$18)+((D461+D462)*'OLD  Formulas'!$C$19)</f>
        <v>0</v>
      </c>
      <c r="E610" s="580">
        <f>((E457+E458)*'OLD  Formulas'!$C$17)+((E459+E460)*'OLD  Formulas'!$C$18)+((E461+E462)*'OLD  Formulas'!$C$19)</f>
        <v>0</v>
      </c>
      <c r="F610" s="580">
        <f>((F457+F458)*'OLD  Formulas'!$C$17)+((F459+F460)*'OLD  Formulas'!$C$18)+((F461+F462)*'OLD  Formulas'!$C$19)</f>
        <v>0</v>
      </c>
      <c r="G610" s="580">
        <f>((G457+G458)*'OLD  Formulas'!$C$17)+((G459+G460)*'OLD  Formulas'!$C$18)+((G461+G462)*'OLD  Formulas'!$C$19)</f>
        <v>0</v>
      </c>
      <c r="H610" s="580">
        <f>((H457+H458)*'OLD  Formulas'!$C$17)+((H459+H460)*'OLD  Formulas'!$C$18)+((H461+H462)*'OLD  Formulas'!$C$19)</f>
        <v>0</v>
      </c>
      <c r="I610" s="580">
        <f>((I457+I458)*'OLD  Formulas'!$C$17)+((I459+I460)*'OLD  Formulas'!$C$18)+((I461+I462)*'OLD  Formulas'!$C$19)</f>
        <v>0</v>
      </c>
      <c r="J610" s="580">
        <f>((J457+J458)*'OLD  Formulas'!$C$17)+((J459+J460)*'OLD  Formulas'!$C$18)+((J461+J462)*'OLD  Formulas'!$C$19)</f>
        <v>0</v>
      </c>
      <c r="K610" s="580">
        <f>((K457+K458)*'OLD  Formulas'!$C$17)+((K459+K460)*'OLD  Formulas'!$C$18)+((K461+K462)*'OLD  Formulas'!$C$19)</f>
        <v>0</v>
      </c>
      <c r="L610" s="580">
        <f>((L457+L458)*'OLD  Formulas'!$C$17)+((L459+L460)*'OLD  Formulas'!$C$18)+((L461+L462)*'OLD  Formulas'!$C$19)</f>
        <v>0</v>
      </c>
      <c r="M610" s="580">
        <f>((M457+M458)*'OLD  Formulas'!$C$17)+((M459+M460)*'OLD  Formulas'!$C$18)+((M461+M462)*'OLD  Formulas'!$C$19)</f>
        <v>0</v>
      </c>
      <c r="N610" s="580">
        <f>((N457+N458)*'OLD  Formulas'!$C$17)+((N459+N460)*'OLD  Formulas'!$C$18)+((N461+N462)*'OLD  Formulas'!$C$19)</f>
        <v>0</v>
      </c>
      <c r="O610" s="580">
        <f>((O457+O458)*'OLD  Formulas'!$C$17)+((O459+O460)*'OLD  Formulas'!$C$18)+((O461+O462)*'OLD  Formulas'!$C$19)</f>
        <v>0</v>
      </c>
      <c r="P610" s="580">
        <f>((P457+P458)*'OLD  Formulas'!$C$17)+((P459+P460)*'OLD  Formulas'!$C$18)+((P461+P462)*'OLD  Formulas'!$C$19)</f>
        <v>0</v>
      </c>
      <c r="Q610" s="580">
        <f>((Q457+Q458)*'OLD  Formulas'!$C$17)+((Q459+Q460)*'OLD  Formulas'!$C$18)+((Q461+Q462)*'OLD  Formulas'!$C$19)</f>
        <v>0</v>
      </c>
      <c r="R610" s="580">
        <f>((R457+R458)*'OLD  Formulas'!$C$17)+((R459+R460)*'OLD  Formulas'!$C$18)+((R461+R462)*'OLD  Formulas'!$C$19)</f>
        <v>0</v>
      </c>
      <c r="S610" s="580">
        <f>((S457+S458)*'OLD  Formulas'!$C$17)+((S459+S460)*'OLD  Formulas'!$C$18)+((S461+S462)*'OLD  Formulas'!$C$19)</f>
        <v>0</v>
      </c>
      <c r="T610" s="580">
        <f>((T457+T458)*'OLD  Formulas'!$C$17)+((T459+T460)*'OLD  Formulas'!$C$18)+((T461+T462)*'OLD  Formulas'!$C$19)</f>
        <v>0</v>
      </c>
      <c r="U610" s="580">
        <f>((U457+U458)*'OLD  Formulas'!$C$17)+((U459+U460)*'OLD  Formulas'!$C$18)+((U461+U462)*'OLD  Formulas'!$C$19)</f>
        <v>0</v>
      </c>
      <c r="V610" s="580">
        <f>((V457+V458)*'OLD  Formulas'!$C$17)+((V459+V460)*'OLD  Formulas'!$C$18)+((V461+V462)*'OLD  Formulas'!$C$19)</f>
        <v>0</v>
      </c>
      <c r="W610" s="580">
        <f>((W457+W458)*'OLD  Formulas'!$C$17)+((W459+W460)*'OLD  Formulas'!$C$18)+((W461+W462)*'OLD  Formulas'!$C$19)</f>
        <v>0</v>
      </c>
      <c r="X610" s="580">
        <f>((X457+X458)*'OLD  Formulas'!$C$17)+((X459+X460)*'OLD  Formulas'!$C$18)+((X461+X462)*'OLD  Formulas'!$C$19)</f>
        <v>0</v>
      </c>
      <c r="Y610" s="580">
        <f>((Y457+Y458)*'OLD  Formulas'!$C$17)+((Y459+Y460)*'OLD  Formulas'!$C$18)+((Y461+Y462)*'OLD  Formulas'!$C$19)</f>
        <v>0</v>
      </c>
      <c r="Z610" s="580">
        <f>((Z457+Z458)*'OLD  Formulas'!$C$17)+((Z459+Z460)*'OLD  Formulas'!$C$18)+((Z461+Z462)*'OLD  Formulas'!$C$19)</f>
        <v>0</v>
      </c>
      <c r="AA610" s="580">
        <f>((AA457+AA458)*'OLD  Formulas'!$C$17)+((AA459+AA460)*'OLD  Formulas'!$C$18)+((AA461+AA462)*'OLD  Formulas'!$C$19)</f>
        <v>0</v>
      </c>
      <c r="AB610" s="580">
        <f>((AB457+AB458)*'OLD  Formulas'!$C$17)+((AB459+AB460)*'OLD  Formulas'!$C$18)+((AB461+AB462)*'OLD  Formulas'!$C$19)</f>
        <v>0</v>
      </c>
      <c r="AC610" s="580">
        <f>((AC457+AC458)*'OLD  Formulas'!$C$17)+((AC459+AC460)*'OLD  Formulas'!$C$18)+((AC461+AC462)*'OLD  Formulas'!$C$19)</f>
        <v>0</v>
      </c>
      <c r="AD610" s="580">
        <f>((AD457+AD458)*'OLD  Formulas'!$C$17)+((AD459+AD460)*'OLD  Formulas'!$C$18)+((AD461+AD462)*'OLD  Formulas'!$C$19)</f>
        <v>0</v>
      </c>
      <c r="AE610" s="580">
        <f>((AE457+AE458)*'OLD  Formulas'!$C$17)+((AE459+AE460)*'OLD  Formulas'!$C$18)+((AE461+AE462)*'OLD  Formulas'!$C$19)</f>
        <v>0</v>
      </c>
      <c r="AF610" s="1459">
        <f t="shared" si="246"/>
        <v>0</v>
      </c>
    </row>
    <row r="611" hidden="1" outlineLevel="1">
      <c r="A611" s="1260" t="s">
        <v>1191</v>
      </c>
      <c r="B611" s="580">
        <f>(B472*'OLD  Formulas'!$D$32)+(B480*'OLD  Formulas'!$D$33)+(B488*'OLD  Formulas'!$D$34)</f>
        <v>0</v>
      </c>
      <c r="C611" s="580">
        <f>(C472*'OLD  Formulas'!$D$32)+(C480*'OLD  Formulas'!$D$33)+(C488*'OLD  Formulas'!$D$34)</f>
        <v>0</v>
      </c>
      <c r="D611" s="580">
        <f>(D472*'OLD  Formulas'!$D$32)+(D480*'OLD  Formulas'!$D$33)+(D488*'OLD  Formulas'!$D$34)</f>
        <v>0</v>
      </c>
      <c r="E611" s="580">
        <f>(E472*'OLD  Formulas'!$D$32)+(E480*'OLD  Formulas'!$D$33)+(E488*'OLD  Formulas'!$D$34)</f>
        <v>0</v>
      </c>
      <c r="F611" s="580">
        <f>(F472*'OLD  Formulas'!$D$32)+(F480*'OLD  Formulas'!$D$33)+(F488*'OLD  Formulas'!$D$34)</f>
        <v>0</v>
      </c>
      <c r="G611" s="580">
        <f>(G472*'OLD  Formulas'!$D$32)+(G480*'OLD  Formulas'!$D$33)+(G488*'OLD  Formulas'!$D$34)</f>
        <v>0</v>
      </c>
      <c r="H611" s="580">
        <f>(H472*'OLD  Formulas'!$D$32)+(H480*'OLD  Formulas'!$D$33)+(H488*'OLD  Formulas'!$D$34)</f>
        <v>0</v>
      </c>
      <c r="I611" s="580">
        <f>(I472*'OLD  Formulas'!$D$32)+(I480*'OLD  Formulas'!$D$33)+(I488*'OLD  Formulas'!$D$34)</f>
        <v>0</v>
      </c>
      <c r="J611" s="580">
        <f>(J472*'OLD  Formulas'!$D$32)+(J480*'OLD  Formulas'!$D$33)+(J488*'OLD  Formulas'!$D$34)</f>
        <v>0</v>
      </c>
      <c r="K611" s="580">
        <f>(K472*'OLD  Formulas'!$D$32)+(K480*'OLD  Formulas'!$D$33)+(K488*'OLD  Formulas'!$D$34)</f>
        <v>0</v>
      </c>
      <c r="L611" s="580">
        <f>(L472*'OLD  Formulas'!$D$32)+(L480*'OLD  Formulas'!$D$33)+(L488*'OLD  Formulas'!$D$34)</f>
        <v>0</v>
      </c>
      <c r="M611" s="580">
        <f>(M472*'OLD  Formulas'!$D$32)+(M480*'OLD  Formulas'!$D$33)+(M488*'OLD  Formulas'!$D$34)</f>
        <v>0</v>
      </c>
      <c r="N611" s="580">
        <f>(N472*'OLD  Formulas'!$D$32)+(N480*'OLD  Formulas'!$D$33)+(N488*'OLD  Formulas'!$D$34)</f>
        <v>0</v>
      </c>
      <c r="O611" s="580">
        <f>(O472*'OLD  Formulas'!$D$32)+(O480*'OLD  Formulas'!$D$33)+(O488*'OLD  Formulas'!$D$34)</f>
        <v>0</v>
      </c>
      <c r="P611" s="580">
        <f>(P472*'OLD  Formulas'!$D$32)+(P480*'OLD  Formulas'!$D$33)+(P488*'OLD  Formulas'!$D$34)</f>
        <v>0</v>
      </c>
      <c r="Q611" s="580">
        <f>(Q472*'OLD  Formulas'!$D$32)+(Q480*'OLD  Formulas'!$D$33)+(Q488*'OLD  Formulas'!$D$34)</f>
        <v>0</v>
      </c>
      <c r="R611" s="580">
        <f>(R472*'OLD  Formulas'!$D$32)+(R480*'OLD  Formulas'!$D$33)+(R488*'OLD  Formulas'!$D$34)</f>
        <v>0</v>
      </c>
      <c r="S611" s="580">
        <f>(S472*'OLD  Formulas'!$D$32)+(S480*'OLD  Formulas'!$D$33)+(S488*'OLD  Formulas'!$D$34)</f>
        <v>0</v>
      </c>
      <c r="T611" s="580">
        <f>(T472*'OLD  Formulas'!$D$32)+(T480*'OLD  Formulas'!$D$33)+(T488*'OLD  Formulas'!$D$34)</f>
        <v>0</v>
      </c>
      <c r="U611" s="580">
        <f>(U472*'OLD  Formulas'!$D$32)+(U480*'OLD  Formulas'!$D$33)+(U488*'OLD  Formulas'!$D$34)</f>
        <v>0</v>
      </c>
      <c r="V611" s="580">
        <f>(V472*'OLD  Formulas'!$D$32)+(V480*'OLD  Formulas'!$D$33)+(V488*'OLD  Formulas'!$D$34)</f>
        <v>0</v>
      </c>
      <c r="W611" s="580">
        <f>(W472*'OLD  Formulas'!$D$32)+(W480*'OLD  Formulas'!$D$33)+(W488*'OLD  Formulas'!$D$34)</f>
        <v>0</v>
      </c>
      <c r="X611" s="580">
        <f>(X472*'OLD  Formulas'!$D$32)+(X480*'OLD  Formulas'!$D$33)+(X488*'OLD  Formulas'!$D$34)</f>
        <v>0</v>
      </c>
      <c r="Y611" s="580">
        <f>(Y472*'OLD  Formulas'!$D$32)+(Y480*'OLD  Formulas'!$D$33)+(Y488*'OLD  Formulas'!$D$34)</f>
        <v>0</v>
      </c>
      <c r="Z611" s="580">
        <f>(Z472*'OLD  Formulas'!$D$32)+(Z480*'OLD  Formulas'!$D$33)+(Z488*'OLD  Formulas'!$D$34)</f>
        <v>0</v>
      </c>
      <c r="AA611" s="580">
        <f>(AA472*'OLD  Formulas'!$D$32)+(AA480*'OLD  Formulas'!$D$33)+(AA488*'OLD  Formulas'!$D$34)</f>
        <v>0</v>
      </c>
      <c r="AB611" s="580">
        <f>(AB472*'OLD  Formulas'!$D$32)+(AB480*'OLD  Formulas'!$D$33)+(AB488*'OLD  Formulas'!$D$34)</f>
        <v>0</v>
      </c>
      <c r="AC611" s="580">
        <f>(AC472*'OLD  Formulas'!$D$32)+(AC480*'OLD  Formulas'!$D$33)+(AC488*'OLD  Formulas'!$D$34)</f>
        <v>0</v>
      </c>
      <c r="AD611" s="580">
        <f>(AD472*'OLD  Formulas'!$D$32)+(AD480*'OLD  Formulas'!$D$33)+(AD488*'OLD  Formulas'!$D$34)</f>
        <v>0</v>
      </c>
      <c r="AE611" s="580">
        <f>(AE472*'OLD  Formulas'!$D$32)+(AE480*'OLD  Formulas'!$D$33)+(AE488*'OLD  Formulas'!$D$34)</f>
        <v>0</v>
      </c>
      <c r="AF611" s="1459">
        <f t="shared" si="246"/>
        <v>0</v>
      </c>
    </row>
    <row r="612" hidden="1" outlineLevel="1">
      <c r="A612" s="1260" t="s">
        <v>1193</v>
      </c>
      <c r="B612" s="580">
        <f>(B472*'OLD  Formulas'!$D$17)+(B480*'OLD  Formulas'!$D$18)+(B488*'OLD  Formulas'!$D$19)</f>
        <v>0</v>
      </c>
      <c r="C612" s="580">
        <f>(C472*'OLD  Formulas'!$D$17)+(C480*'OLD  Formulas'!$D$18)+(C488*'OLD  Formulas'!$D$19)</f>
        <v>0</v>
      </c>
      <c r="D612" s="580">
        <f>(D472*'OLD  Formulas'!$D$17)+(D480*'OLD  Formulas'!$D$18)+(D488*'OLD  Formulas'!$D$19)</f>
        <v>0</v>
      </c>
      <c r="E612" s="580">
        <f>(E472*'OLD  Formulas'!$D$17)+(E480*'OLD  Formulas'!$D$18)+(E488*'OLD  Formulas'!$D$19)</f>
        <v>0</v>
      </c>
      <c r="F612" s="580">
        <f>(F472*'OLD  Formulas'!$D$17)+(F480*'OLD  Formulas'!$D$18)+(F488*'OLD  Formulas'!$D$19)</f>
        <v>0</v>
      </c>
      <c r="G612" s="580">
        <f>(G472*'OLD  Formulas'!$D$17)+(G480*'OLD  Formulas'!$D$18)+(G488*'OLD  Formulas'!$D$19)</f>
        <v>0</v>
      </c>
      <c r="H612" s="580">
        <f>(H472*'OLD  Formulas'!$D$17)+(H480*'OLD  Formulas'!$D$18)+(H488*'OLD  Formulas'!$D$19)</f>
        <v>0</v>
      </c>
      <c r="I612" s="580">
        <f>(I472*'OLD  Formulas'!$D$17)+(I480*'OLD  Formulas'!$D$18)+(I488*'OLD  Formulas'!$D$19)</f>
        <v>0</v>
      </c>
      <c r="J612" s="580">
        <f>(J472*'OLD  Formulas'!$D$17)+(J480*'OLD  Formulas'!$D$18)+(J488*'OLD  Formulas'!$D$19)</f>
        <v>0</v>
      </c>
      <c r="K612" s="580">
        <f>(K472*'OLD  Formulas'!$D$17)+(K480*'OLD  Formulas'!$D$18)+(K488*'OLD  Formulas'!$D$19)</f>
        <v>0</v>
      </c>
      <c r="L612" s="580">
        <f>(L472*'OLD  Formulas'!$D$17)+(L480*'OLD  Formulas'!$D$18)+(L488*'OLD  Formulas'!$D$19)</f>
        <v>0</v>
      </c>
      <c r="M612" s="580">
        <f>(M472*'OLD  Formulas'!$D$17)+(M480*'OLD  Formulas'!$D$18)+(M488*'OLD  Formulas'!$D$19)</f>
        <v>0</v>
      </c>
      <c r="N612" s="580">
        <f>(N472*'OLD  Formulas'!$D$17)+(N480*'OLD  Formulas'!$D$18)+(N488*'OLD  Formulas'!$D$19)</f>
        <v>0</v>
      </c>
      <c r="O612" s="580">
        <f>(O472*'OLD  Formulas'!$D$17)+(O480*'OLD  Formulas'!$D$18)+(O488*'OLD  Formulas'!$D$19)</f>
        <v>0</v>
      </c>
      <c r="P612" s="580">
        <f>(P472*'OLD  Formulas'!$D$17)+(P480*'OLD  Formulas'!$D$18)+(P488*'OLD  Formulas'!$D$19)</f>
        <v>0</v>
      </c>
      <c r="Q612" s="580">
        <f>(Q472*'OLD  Formulas'!$D$17)+(Q480*'OLD  Formulas'!$D$18)+(Q488*'OLD  Formulas'!$D$19)</f>
        <v>0</v>
      </c>
      <c r="R612" s="580">
        <f>(R472*'OLD  Formulas'!$D$17)+(R480*'OLD  Formulas'!$D$18)+(R488*'OLD  Formulas'!$D$19)</f>
        <v>0</v>
      </c>
      <c r="S612" s="580">
        <f>(S472*'OLD  Formulas'!$D$17)+(S480*'OLD  Formulas'!$D$18)+(S488*'OLD  Formulas'!$D$19)</f>
        <v>0</v>
      </c>
      <c r="T612" s="580">
        <f>(T472*'OLD  Formulas'!$D$17)+(T480*'OLD  Formulas'!$D$18)+(T488*'OLD  Formulas'!$D$19)</f>
        <v>0</v>
      </c>
      <c r="U612" s="580">
        <f>(U472*'OLD  Formulas'!$D$17)+(U480*'OLD  Formulas'!$D$18)+(U488*'OLD  Formulas'!$D$19)</f>
        <v>0</v>
      </c>
      <c r="V612" s="580">
        <f>(V472*'OLD  Formulas'!$D$17)+(V480*'OLD  Formulas'!$D$18)+(V488*'OLD  Formulas'!$D$19)</f>
        <v>0</v>
      </c>
      <c r="W612" s="580">
        <f>(W472*'OLD  Formulas'!$D$17)+(W480*'OLD  Formulas'!$D$18)+(W488*'OLD  Formulas'!$D$19)</f>
        <v>0</v>
      </c>
      <c r="X612" s="580">
        <f>(X472*'OLD  Formulas'!$D$17)+(X480*'OLD  Formulas'!$D$18)+(X488*'OLD  Formulas'!$D$19)</f>
        <v>0</v>
      </c>
      <c r="Y612" s="580">
        <f>(Y472*'OLD  Formulas'!$D$17)+(Y480*'OLD  Formulas'!$D$18)+(Y488*'OLD  Formulas'!$D$19)</f>
        <v>0</v>
      </c>
      <c r="Z612" s="580">
        <f>(Z472*'OLD  Formulas'!$D$17)+(Z480*'OLD  Formulas'!$D$18)+(Z488*'OLD  Formulas'!$D$19)</f>
        <v>0</v>
      </c>
      <c r="AA612" s="580">
        <f>(AA472*'OLD  Formulas'!$D$17)+(AA480*'OLD  Formulas'!$D$18)+(AA488*'OLD  Formulas'!$D$19)</f>
        <v>0</v>
      </c>
      <c r="AB612" s="580">
        <f>(AB472*'OLD  Formulas'!$D$17)+(AB480*'OLD  Formulas'!$D$18)+(AB488*'OLD  Formulas'!$D$19)</f>
        <v>0</v>
      </c>
      <c r="AC612" s="580">
        <f>(AC472*'OLD  Formulas'!$D$17)+(AC480*'OLD  Formulas'!$D$18)+(AC488*'OLD  Formulas'!$D$19)</f>
        <v>0</v>
      </c>
      <c r="AD612" s="580">
        <f>(AD472*'OLD  Formulas'!$D$17)+(AD480*'OLD  Formulas'!$D$18)+(AD488*'OLD  Formulas'!$D$19)</f>
        <v>0</v>
      </c>
      <c r="AE612" s="580">
        <f>(AE472*'OLD  Formulas'!$D$17)+(AE480*'OLD  Formulas'!$D$18)+(AE488*'OLD  Formulas'!$D$19)</f>
        <v>0</v>
      </c>
      <c r="AF612" s="1459">
        <f t="shared" si="246"/>
        <v>0</v>
      </c>
    </row>
    <row r="613" hidden="1" outlineLevel="1">
      <c r="A613" s="1409" t="s">
        <v>1206</v>
      </c>
      <c r="B613" s="582"/>
      <c r="C613" s="582"/>
      <c r="D613" s="582"/>
      <c r="E613" s="582"/>
      <c r="F613" s="582"/>
      <c r="G613" s="582"/>
      <c r="H613" s="582"/>
      <c r="I613" s="582"/>
      <c r="J613" s="582"/>
      <c r="K613" s="582"/>
      <c r="L613" s="582"/>
      <c r="M613" s="582"/>
      <c r="N613" s="582"/>
      <c r="O613" s="582"/>
      <c r="P613" s="582"/>
      <c r="Q613" s="582"/>
      <c r="R613" s="582"/>
      <c r="S613" s="582"/>
      <c r="T613" s="582"/>
      <c r="U613" s="582"/>
      <c r="V613" s="582"/>
      <c r="W613" s="582"/>
      <c r="X613" s="582"/>
      <c r="Y613" s="582"/>
      <c r="Z613" s="582"/>
      <c r="AA613" s="582"/>
      <c r="AB613" s="582"/>
      <c r="AC613" s="582"/>
      <c r="AD613" s="582"/>
      <c r="AE613" s="582"/>
      <c r="AF613" s="1459"/>
    </row>
    <row r="614" hidden="1" outlineLevel="1">
      <c r="A614" s="1409" t="s">
        <v>1209</v>
      </c>
      <c r="B614" s="580">
        <f>(B463+B464)*'OLD  Formulas'!$C$22</f>
        <v>0</v>
      </c>
      <c r="C614" s="580">
        <f>(C463+C464)*'OLD  Formulas'!$C$22</f>
        <v>0</v>
      </c>
      <c r="D614" s="580">
        <f>(D463+D464)*'OLD  Formulas'!$C$22</f>
        <v>0</v>
      </c>
      <c r="E614" s="580">
        <f>(E463+E464)*'OLD  Formulas'!$C$22</f>
        <v>0</v>
      </c>
      <c r="F614" s="580">
        <f>(F463+F464)*'OLD  Formulas'!$C$22</f>
        <v>0</v>
      </c>
      <c r="G614" s="580">
        <f>(G463+G464)*'OLD  Formulas'!$C$22</f>
        <v>0</v>
      </c>
      <c r="H614" s="580">
        <f>(H463+H464)*'OLD  Formulas'!$C$22</f>
        <v>0</v>
      </c>
      <c r="I614" s="580">
        <f>(I463+I464)*'OLD  Formulas'!$C$22</f>
        <v>0</v>
      </c>
      <c r="J614" s="580">
        <f>(J463+J464)*'OLD  Formulas'!$C$22</f>
        <v>0</v>
      </c>
      <c r="K614" s="580">
        <f>(K463+K464)*'OLD  Formulas'!$C$22</f>
        <v>0</v>
      </c>
      <c r="L614" s="580">
        <f>(L463+L464)*'OLD  Formulas'!$C$22</f>
        <v>0</v>
      </c>
      <c r="M614" s="580">
        <f>(M463+M464)*'OLD  Formulas'!$C$22</f>
        <v>0</v>
      </c>
      <c r="N614" s="580">
        <f>(N463+N464)*'OLD  Formulas'!$C$22</f>
        <v>0</v>
      </c>
      <c r="O614" s="580">
        <f>(O463+O464)*'OLD  Formulas'!$C$22</f>
        <v>0</v>
      </c>
      <c r="P614" s="580">
        <f>(P463+P464)*'OLD  Formulas'!$C$22</f>
        <v>0</v>
      </c>
      <c r="Q614" s="580">
        <f>(Q463+Q464)*'OLD  Formulas'!$C$22</f>
        <v>0</v>
      </c>
      <c r="R614" s="580">
        <f>(R463+R464)*'OLD  Formulas'!$C$22</f>
        <v>0</v>
      </c>
      <c r="S614" s="580">
        <f>(S463+S464)*'OLD  Formulas'!$C$22</f>
        <v>0</v>
      </c>
      <c r="T614" s="580">
        <f>(T463+T464)*'OLD  Formulas'!$C$22</f>
        <v>0</v>
      </c>
      <c r="U614" s="580">
        <f>(U463+U464)*'OLD  Formulas'!$C$22</f>
        <v>0</v>
      </c>
      <c r="V614" s="580">
        <f>(V463+V464)*'OLD  Formulas'!$C$22</f>
        <v>0</v>
      </c>
      <c r="W614" s="580">
        <f>(W463+W464)*'OLD  Formulas'!$C$22</f>
        <v>0</v>
      </c>
      <c r="X614" s="580">
        <f>(X463+X464)*'OLD  Formulas'!$C$22</f>
        <v>0</v>
      </c>
      <c r="Y614" s="580">
        <f>(Y463+Y464)*'OLD  Formulas'!$C$22</f>
        <v>0</v>
      </c>
      <c r="Z614" s="580">
        <f>(Z463+Z464)*'OLD  Formulas'!$C$22</f>
        <v>0</v>
      </c>
      <c r="AA614" s="580">
        <f>(AA463+AA464)*'OLD  Formulas'!$C$22</f>
        <v>0</v>
      </c>
      <c r="AB614" s="580">
        <f>(AB463+AB464)*'OLD  Formulas'!$C$22</f>
        <v>0</v>
      </c>
      <c r="AC614" s="580">
        <f>(AC463+AC464)*'OLD  Formulas'!$C$22</f>
        <v>0</v>
      </c>
      <c r="AD614" s="580">
        <f>(AD463+AD464)*'OLD  Formulas'!$C$22</f>
        <v>0</v>
      </c>
      <c r="AE614" s="580">
        <f>(AE463+AE464)*'OLD  Formulas'!$C$22</f>
        <v>0</v>
      </c>
      <c r="AF614" s="1459"/>
    </row>
    <row r="615" hidden="1" outlineLevel="1">
      <c r="A615" s="1409" t="s">
        <v>1211</v>
      </c>
      <c r="B615" s="580">
        <f>(B463+B464)*'OLD  Formulas'!$C$23</f>
        <v>0</v>
      </c>
      <c r="C615" s="580">
        <f>(C463+C464)*'OLD  Formulas'!$C$23</f>
        <v>0</v>
      </c>
      <c r="D615" s="580">
        <f>(D463+D464)*'OLD  Formulas'!$C$23</f>
        <v>0</v>
      </c>
      <c r="E615" s="580">
        <f>(E463+E464)*'OLD  Formulas'!$C$23</f>
        <v>0</v>
      </c>
      <c r="F615" s="580">
        <f>(F463+F464)*'OLD  Formulas'!$C$23</f>
        <v>0</v>
      </c>
      <c r="G615" s="580">
        <f>(G463+G464)*'OLD  Formulas'!$C$23</f>
        <v>0</v>
      </c>
      <c r="H615" s="580">
        <f>(H463+H464)*'OLD  Formulas'!$C$23</f>
        <v>0</v>
      </c>
      <c r="I615" s="580">
        <f>(I463+I464)*'OLD  Formulas'!$C$23</f>
        <v>0</v>
      </c>
      <c r="J615" s="580">
        <f>(J463+J464)*'OLD  Formulas'!$C$23</f>
        <v>0</v>
      </c>
      <c r="K615" s="580">
        <f>(K463+K464)*'OLD  Formulas'!$C$23</f>
        <v>0</v>
      </c>
      <c r="L615" s="580">
        <f>(L463+L464)*'OLD  Formulas'!$C$23</f>
        <v>0</v>
      </c>
      <c r="M615" s="580">
        <f>(M463+M464)*'OLD  Formulas'!$C$23</f>
        <v>0</v>
      </c>
      <c r="N615" s="580">
        <f>(N463+N464)*'OLD  Formulas'!$C$23</f>
        <v>0</v>
      </c>
      <c r="O615" s="580">
        <f>(O463+O464)*'OLD  Formulas'!$C$23</f>
        <v>0</v>
      </c>
      <c r="P615" s="580">
        <f>(P463+P464)*'OLD  Formulas'!$C$23</f>
        <v>0</v>
      </c>
      <c r="Q615" s="580">
        <f>(Q463+Q464)*'OLD  Formulas'!$C$23</f>
        <v>0</v>
      </c>
      <c r="R615" s="580">
        <f>(R463+R464)*'OLD  Formulas'!$C$23</f>
        <v>0</v>
      </c>
      <c r="S615" s="580">
        <f>(S463+S464)*'OLD  Formulas'!$C$23</f>
        <v>0</v>
      </c>
      <c r="T615" s="580">
        <f>(T463+T464)*'OLD  Formulas'!$C$23</f>
        <v>0</v>
      </c>
      <c r="U615" s="580">
        <f>(U463+U464)*'OLD  Formulas'!$C$23</f>
        <v>0</v>
      </c>
      <c r="V615" s="580">
        <f>(V463+V464)*'OLD  Formulas'!$C$23</f>
        <v>0</v>
      </c>
      <c r="W615" s="580">
        <f>(W463+W464)*'OLD  Formulas'!$C$23</f>
        <v>0</v>
      </c>
      <c r="X615" s="580">
        <f>(X463+X464)*'OLD  Formulas'!$C$23</f>
        <v>0</v>
      </c>
      <c r="Y615" s="580">
        <f>(Y463+Y464)*'OLD  Formulas'!$C$23</f>
        <v>0</v>
      </c>
      <c r="Z615" s="580">
        <f>(Z463+Z464)*'OLD  Formulas'!$C$23</f>
        <v>0</v>
      </c>
      <c r="AA615" s="580">
        <f>(AA463+AA464)*'OLD  Formulas'!$C$23</f>
        <v>0</v>
      </c>
      <c r="AB615" s="580">
        <f>(AB463+AB464)*'OLD  Formulas'!$C$23</f>
        <v>0</v>
      </c>
      <c r="AC615" s="580">
        <f>(AC463+AC464)*'OLD  Formulas'!$C$23</f>
        <v>0</v>
      </c>
      <c r="AD615" s="580">
        <f>(AD463+AD464)*'OLD  Formulas'!$C$23</f>
        <v>0</v>
      </c>
      <c r="AE615" s="580">
        <f>(AE463+AE464)*'OLD  Formulas'!$C$23</f>
        <v>0</v>
      </c>
      <c r="AF615" s="1459"/>
    </row>
    <row r="616" hidden="1" outlineLevel="1">
      <c r="A616" s="1409" t="s">
        <v>1213</v>
      </c>
      <c r="B616" s="580">
        <f>(B463+B464)*'OLD  Formulas'!$C$24</f>
        <v>0</v>
      </c>
      <c r="C616" s="580">
        <f>(C463+C464)*'OLD  Formulas'!$C$24</f>
        <v>0</v>
      </c>
      <c r="D616" s="580">
        <f>(D463+D464)*'OLD  Formulas'!$C$24</f>
        <v>0</v>
      </c>
      <c r="E616" s="580">
        <f>(E463+E464)*'OLD  Formulas'!$C$24</f>
        <v>0</v>
      </c>
      <c r="F616" s="580">
        <f>(F463+F464)*'OLD  Formulas'!$C$24</f>
        <v>0</v>
      </c>
      <c r="G616" s="580">
        <f>(G463+G464)*'OLD  Formulas'!$C$24</f>
        <v>0</v>
      </c>
      <c r="H616" s="580">
        <f>(H463+H464)*'OLD  Formulas'!$C$24</f>
        <v>0</v>
      </c>
      <c r="I616" s="580">
        <f>(I463+I464)*'OLD  Formulas'!$C$24</f>
        <v>0</v>
      </c>
      <c r="J616" s="580">
        <f>(J463+J464)*'OLD  Formulas'!$C$24</f>
        <v>0</v>
      </c>
      <c r="K616" s="580">
        <f>(K463+K464)*'OLD  Formulas'!$C$24</f>
        <v>0</v>
      </c>
      <c r="L616" s="580">
        <f>(L463+L464)*'OLD  Formulas'!$C$24</f>
        <v>0</v>
      </c>
      <c r="M616" s="580">
        <f>(M463+M464)*'OLD  Formulas'!$C$24</f>
        <v>0</v>
      </c>
      <c r="N616" s="580">
        <f>(N463+N464)*'OLD  Formulas'!$C$24</f>
        <v>0</v>
      </c>
      <c r="O616" s="580">
        <f>(O463+O464)*'OLD  Formulas'!$C$24</f>
        <v>0</v>
      </c>
      <c r="P616" s="580">
        <f>(P463+P464)*'OLD  Formulas'!$C$24</f>
        <v>0</v>
      </c>
      <c r="Q616" s="580">
        <f>(Q463+Q464)*'OLD  Formulas'!$C$24</f>
        <v>0</v>
      </c>
      <c r="R616" s="580">
        <f>(R463+R464)*'OLD  Formulas'!$C$24</f>
        <v>0</v>
      </c>
      <c r="S616" s="580">
        <f>(S463+S464)*'OLD  Formulas'!$C$24</f>
        <v>0</v>
      </c>
      <c r="T616" s="580">
        <f>(T463+T464)*'OLD  Formulas'!$C$24</f>
        <v>0</v>
      </c>
      <c r="U616" s="580">
        <f>(U463+U464)*'OLD  Formulas'!$C$24</f>
        <v>0</v>
      </c>
      <c r="V616" s="580">
        <f>(V463+V464)*'OLD  Formulas'!$C$24</f>
        <v>0</v>
      </c>
      <c r="W616" s="580">
        <f>(W463+W464)*'OLD  Formulas'!$C$24</f>
        <v>0</v>
      </c>
      <c r="X616" s="580">
        <f>(X463+X464)*'OLD  Formulas'!$C$24</f>
        <v>0</v>
      </c>
      <c r="Y616" s="580">
        <f>(Y463+Y464)*'OLD  Formulas'!$C$24</f>
        <v>0</v>
      </c>
      <c r="Z616" s="580">
        <f>(Z463+Z464)*'OLD  Formulas'!$C$24</f>
        <v>0</v>
      </c>
      <c r="AA616" s="580">
        <f>(AA463+AA464)*'OLD  Formulas'!$C$24</f>
        <v>0</v>
      </c>
      <c r="AB616" s="580">
        <f>(AB463+AB464)*'OLD  Formulas'!$C$24</f>
        <v>0</v>
      </c>
      <c r="AC616" s="580">
        <f>(AC463+AC464)*'OLD  Formulas'!$C$24</f>
        <v>0</v>
      </c>
      <c r="AD616" s="580">
        <f>(AD463+AD464)*'OLD  Formulas'!$C$24</f>
        <v>0</v>
      </c>
      <c r="AE616" s="580">
        <f>(AE463+AE464)*'OLD  Formulas'!$C$24</f>
        <v>0</v>
      </c>
      <c r="AF616" s="1459"/>
    </row>
    <row r="617" hidden="1" outlineLevel="1">
      <c r="A617" s="1409" t="s">
        <v>1216</v>
      </c>
      <c r="B617" s="580">
        <f>(B463+B464)*'OLD  Formulas'!$C$25</f>
        <v>0</v>
      </c>
      <c r="C617" s="580">
        <f>(C463+C464)*'OLD  Formulas'!$C$25</f>
        <v>0</v>
      </c>
      <c r="D617" s="580">
        <f>(D463+D464)*'OLD  Formulas'!$C$25</f>
        <v>0</v>
      </c>
      <c r="E617" s="580">
        <f>(E463+E464)*'OLD  Formulas'!$C$25</f>
        <v>0</v>
      </c>
      <c r="F617" s="580">
        <f>(F463+F464)*'OLD  Formulas'!$C$25</f>
        <v>0</v>
      </c>
      <c r="G617" s="580">
        <f>(G463+G464)*'OLD  Formulas'!$C$25</f>
        <v>0</v>
      </c>
      <c r="H617" s="580">
        <f>(H463+H464)*'OLD  Formulas'!$C$25</f>
        <v>0</v>
      </c>
      <c r="I617" s="580">
        <f>(I463+I464)*'OLD  Formulas'!$C$25</f>
        <v>0</v>
      </c>
      <c r="J617" s="580">
        <f>(J463+J464)*'OLD  Formulas'!$C$25</f>
        <v>0</v>
      </c>
      <c r="K617" s="580">
        <f>(K463+K464)*'OLD  Formulas'!$C$25</f>
        <v>0</v>
      </c>
      <c r="L617" s="580">
        <f>(L463+L464)*'OLD  Formulas'!$C$25</f>
        <v>0</v>
      </c>
      <c r="M617" s="580">
        <f>(M463+M464)*'OLD  Formulas'!$C$25</f>
        <v>0</v>
      </c>
      <c r="N617" s="580">
        <f>(N463+N464)*'OLD  Formulas'!$C$25</f>
        <v>0</v>
      </c>
      <c r="O617" s="580">
        <f>(O463+O464)*'OLD  Formulas'!$C$25</f>
        <v>0</v>
      </c>
      <c r="P617" s="580">
        <f>(P463+P464)*'OLD  Formulas'!$C$25</f>
        <v>0</v>
      </c>
      <c r="Q617" s="580">
        <f>(Q463+Q464)*'OLD  Formulas'!$C$25</f>
        <v>0</v>
      </c>
      <c r="R617" s="580">
        <f>(R463+R464)*'OLD  Formulas'!$C$25</f>
        <v>0</v>
      </c>
      <c r="S617" s="580">
        <f>(S463+S464)*'OLD  Formulas'!$C$25</f>
        <v>0</v>
      </c>
      <c r="T617" s="580">
        <f>(T463+T464)*'OLD  Formulas'!$C$25</f>
        <v>0</v>
      </c>
      <c r="U617" s="580">
        <f>(U463+U464)*'OLD  Formulas'!$C$25</f>
        <v>0</v>
      </c>
      <c r="V617" s="580">
        <f>(V463+V464)*'OLD  Formulas'!$C$25</f>
        <v>0</v>
      </c>
      <c r="W617" s="580">
        <f>(W463+W464)*'OLD  Formulas'!$C$25</f>
        <v>0</v>
      </c>
      <c r="X617" s="580">
        <f>(X463+X464)*'OLD  Formulas'!$C$25</f>
        <v>0</v>
      </c>
      <c r="Y617" s="580">
        <f>(Y463+Y464)*'OLD  Formulas'!$C$25</f>
        <v>0</v>
      </c>
      <c r="Z617" s="580">
        <f>(Z463+Z464)*'OLD  Formulas'!$C$25</f>
        <v>0</v>
      </c>
      <c r="AA617" s="580">
        <f>(AA463+AA464)*'OLD  Formulas'!$C$25</f>
        <v>0</v>
      </c>
      <c r="AB617" s="580">
        <f>(AB463+AB464)*'OLD  Formulas'!$C$25</f>
        <v>0</v>
      </c>
      <c r="AC617" s="580">
        <f>(AC463+AC464)*'OLD  Formulas'!$C$25</f>
        <v>0</v>
      </c>
      <c r="AD617" s="580">
        <f>(AD463+AD464)*'OLD  Formulas'!$C$25</f>
        <v>0</v>
      </c>
      <c r="AE617" s="580">
        <f>(AE463+AE464)*'OLD  Formulas'!$C$25</f>
        <v>0</v>
      </c>
      <c r="AF617" s="1459"/>
    </row>
    <row r="618" hidden="1" outlineLevel="1">
      <c r="A618" s="1409" t="s">
        <v>1260</v>
      </c>
      <c r="B618" s="580">
        <f>(B463+B464)*'OLD  Formulas'!$C$26</f>
        <v>0</v>
      </c>
      <c r="C618" s="580">
        <f>(C463+C464)*'OLD  Formulas'!$C$26</f>
        <v>0</v>
      </c>
      <c r="D618" s="580">
        <f>(D463+D464)*'OLD  Formulas'!$C$26</f>
        <v>0</v>
      </c>
      <c r="E618" s="580">
        <f>(E463+E464)*'OLD  Formulas'!$C$26</f>
        <v>0</v>
      </c>
      <c r="F618" s="580">
        <f>(F463+F464)*'OLD  Formulas'!$C$26</f>
        <v>0</v>
      </c>
      <c r="G618" s="580">
        <f>(G463+G464)*'OLD  Formulas'!$C$26</f>
        <v>0</v>
      </c>
      <c r="H618" s="580">
        <f>(H463+H464)*'OLD  Formulas'!$C$26</f>
        <v>0</v>
      </c>
      <c r="I618" s="580">
        <f>(I463+I464)*'OLD  Formulas'!$C$26</f>
        <v>0</v>
      </c>
      <c r="J618" s="580">
        <f>(J463+J464)*'OLD  Formulas'!$C$26</f>
        <v>0</v>
      </c>
      <c r="K618" s="580">
        <f>(K463+K464)*'OLD  Formulas'!$C$26</f>
        <v>0</v>
      </c>
      <c r="L618" s="580">
        <f>(L463+L464)*'OLD  Formulas'!$C$26</f>
        <v>0</v>
      </c>
      <c r="M618" s="580">
        <f>(M463+M464)*'OLD  Formulas'!$C$26</f>
        <v>0</v>
      </c>
      <c r="N618" s="580">
        <f>(N463+N464)*'OLD  Formulas'!$C$26</f>
        <v>0</v>
      </c>
      <c r="O618" s="580">
        <f>(O463+O464)*'OLD  Formulas'!$C$26</f>
        <v>0</v>
      </c>
      <c r="P618" s="580">
        <f>(P463+P464)*'OLD  Formulas'!$C$26</f>
        <v>0</v>
      </c>
      <c r="Q618" s="580">
        <f>(Q463+Q464)*'OLD  Formulas'!$C$26</f>
        <v>0</v>
      </c>
      <c r="R618" s="580">
        <f>(R463+R464)*'OLD  Formulas'!$C$26</f>
        <v>0</v>
      </c>
      <c r="S618" s="580">
        <f>(S463+S464)*'OLD  Formulas'!$C$26</f>
        <v>0</v>
      </c>
      <c r="T618" s="580">
        <f>(T463+T464)*'OLD  Formulas'!$C$26</f>
        <v>0</v>
      </c>
      <c r="U618" s="580">
        <f>(U463+U464)*'OLD  Formulas'!$C$26</f>
        <v>0</v>
      </c>
      <c r="V618" s="580">
        <f>(V463+V464)*'OLD  Formulas'!$C$26</f>
        <v>0</v>
      </c>
      <c r="W618" s="580">
        <f>(W463+W464)*'OLD  Formulas'!$C$26</f>
        <v>0</v>
      </c>
      <c r="X618" s="580">
        <f>(X463+X464)*'OLD  Formulas'!$C$26</f>
        <v>0</v>
      </c>
      <c r="Y618" s="580">
        <f>(Y463+Y464)*'OLD  Formulas'!$C$26</f>
        <v>0</v>
      </c>
      <c r="Z618" s="580">
        <f>(Z463+Z464)*'OLD  Formulas'!$C$26</f>
        <v>0</v>
      </c>
      <c r="AA618" s="580">
        <f>(AA463+AA464)*'OLD  Formulas'!$C$26</f>
        <v>0</v>
      </c>
      <c r="AB618" s="580">
        <f>(AB463+AB464)*'OLD  Formulas'!$C$26</f>
        <v>0</v>
      </c>
      <c r="AC618" s="580">
        <f>(AC463+AC464)*'OLD  Formulas'!$C$26</f>
        <v>0</v>
      </c>
      <c r="AD618" s="580">
        <f>(AD463+AD464)*'OLD  Formulas'!$C$26</f>
        <v>0</v>
      </c>
      <c r="AE618" s="580">
        <f>(AE463+AE464)*'OLD  Formulas'!$C$26</f>
        <v>0</v>
      </c>
      <c r="AF618" s="1459"/>
    </row>
    <row r="619" hidden="1" outlineLevel="1">
      <c r="A619" s="1409" t="s">
        <v>1263</v>
      </c>
      <c r="B619" s="580">
        <f>(B463+B464)*'OLD  Formulas'!$C$27</f>
        <v>0</v>
      </c>
      <c r="C619" s="580">
        <f>(C463+C464)*'OLD  Formulas'!$C$27</f>
        <v>0</v>
      </c>
      <c r="D619" s="580">
        <f>(D463+D464)*'OLD  Formulas'!$C$27</f>
        <v>0</v>
      </c>
      <c r="E619" s="580">
        <f>(E463+E464)*'OLD  Formulas'!$C$27</f>
        <v>0</v>
      </c>
      <c r="F619" s="580">
        <f>(F463+F464)*'OLD  Formulas'!$C$27</f>
        <v>0</v>
      </c>
      <c r="G619" s="580">
        <f>(G463+G464)*'OLD  Formulas'!$C$27</f>
        <v>0</v>
      </c>
      <c r="H619" s="580">
        <f>(H463+H464)*'OLD  Formulas'!$C$27</f>
        <v>0</v>
      </c>
      <c r="I619" s="580">
        <f>(I463+I464)*'OLD  Formulas'!$C$27</f>
        <v>0</v>
      </c>
      <c r="J619" s="580">
        <f>(J463+J464)*'OLD  Formulas'!$C$27</f>
        <v>0</v>
      </c>
      <c r="K619" s="580">
        <f>(K463+K464)*'OLD  Formulas'!$C$27</f>
        <v>0</v>
      </c>
      <c r="L619" s="580">
        <f>(L463+L464)*'OLD  Formulas'!$C$27</f>
        <v>0</v>
      </c>
      <c r="M619" s="580">
        <f>(M463+M464)*'OLD  Formulas'!$C$27</f>
        <v>0</v>
      </c>
      <c r="N619" s="580">
        <f>(N463+N464)*'OLD  Formulas'!$C$27</f>
        <v>0</v>
      </c>
      <c r="O619" s="580">
        <f>(O463+O464)*'OLD  Formulas'!$C$27</f>
        <v>0</v>
      </c>
      <c r="P619" s="580">
        <f>(P463+P464)*'OLD  Formulas'!$C$27</f>
        <v>0</v>
      </c>
      <c r="Q619" s="580">
        <f>(Q463+Q464)*'OLD  Formulas'!$C$27</f>
        <v>0</v>
      </c>
      <c r="R619" s="580">
        <f>(R463+R464)*'OLD  Formulas'!$C$27</f>
        <v>0</v>
      </c>
      <c r="S619" s="580">
        <f>(S463+S464)*'OLD  Formulas'!$C$27</f>
        <v>0</v>
      </c>
      <c r="T619" s="580">
        <f>(T463+T464)*'OLD  Formulas'!$C$27</f>
        <v>0</v>
      </c>
      <c r="U619" s="580">
        <f>(U463+U464)*'OLD  Formulas'!$C$27</f>
        <v>0</v>
      </c>
      <c r="V619" s="580">
        <f>(V463+V464)*'OLD  Formulas'!$C$27</f>
        <v>0</v>
      </c>
      <c r="W619" s="580">
        <f>(W463+W464)*'OLD  Formulas'!$C$27</f>
        <v>0</v>
      </c>
      <c r="X619" s="580">
        <f>(X463+X464)*'OLD  Formulas'!$C$27</f>
        <v>0</v>
      </c>
      <c r="Y619" s="580">
        <f>(Y463+Y464)*'OLD  Formulas'!$C$27</f>
        <v>0</v>
      </c>
      <c r="Z619" s="580">
        <f>(Z463+Z464)*'OLD  Formulas'!$C$27</f>
        <v>0</v>
      </c>
      <c r="AA619" s="580">
        <f>(AA463+AA464)*'OLD  Formulas'!$C$27</f>
        <v>0</v>
      </c>
      <c r="AB619" s="580">
        <f>(AB463+AB464)*'OLD  Formulas'!$C$27</f>
        <v>0</v>
      </c>
      <c r="AC619" s="580">
        <f>(AC463+AC464)*'OLD  Formulas'!$C$27</f>
        <v>0</v>
      </c>
      <c r="AD619" s="580">
        <f>(AD463+AD464)*'OLD  Formulas'!$C$27</f>
        <v>0</v>
      </c>
      <c r="AE619" s="580">
        <f>(AE463+AE464)*'OLD  Formulas'!$C$27</f>
        <v>0</v>
      </c>
      <c r="AF619" s="1459"/>
    </row>
    <row r="620" hidden="1" outlineLevel="1">
      <c r="A620" s="1409" t="s">
        <v>1268</v>
      </c>
      <c r="B620" s="580">
        <f>(B472+B480+B488)*'OLD  Formulas'!$D$22</f>
        <v>0</v>
      </c>
      <c r="C620" s="580">
        <f>(C472+C480+C488)*'OLD  Formulas'!$D$22</f>
        <v>0</v>
      </c>
      <c r="D620" s="580">
        <f>(D472+D480+D488)*'OLD  Formulas'!$D$22</f>
        <v>0</v>
      </c>
      <c r="E620" s="580">
        <f>(E472+E480+E488)*'OLD  Formulas'!$D$22</f>
        <v>0</v>
      </c>
      <c r="F620" s="580">
        <f>(F472+F480+F488)*'OLD  Formulas'!$D$22</f>
        <v>0</v>
      </c>
      <c r="G620" s="580">
        <f>(G472+G480+G488)*'OLD  Formulas'!$D$22</f>
        <v>0</v>
      </c>
      <c r="H620" s="580">
        <f>(H472+H480+H488)*'OLD  Formulas'!$D$22</f>
        <v>0</v>
      </c>
      <c r="I620" s="580">
        <f>(I472+I480+I488)*'OLD  Formulas'!$D$22</f>
        <v>0</v>
      </c>
      <c r="J620" s="580">
        <f>(J472+J480+J488)*'OLD  Formulas'!$D$22</f>
        <v>0</v>
      </c>
      <c r="K620" s="580">
        <f>(K472+K480+K488)*'OLD  Formulas'!$D$22</f>
        <v>0</v>
      </c>
      <c r="L620" s="580">
        <f>(L472+L480+L488)*'OLD  Formulas'!$D$22</f>
        <v>0</v>
      </c>
      <c r="M620" s="580">
        <f>(M472+M480+M488)*'OLD  Formulas'!$D$22</f>
        <v>0</v>
      </c>
      <c r="N620" s="580">
        <f>(N472+N480+N488)*'OLD  Formulas'!$D$22</f>
        <v>0</v>
      </c>
      <c r="O620" s="580">
        <f>(O472+O480+O488)*'OLD  Formulas'!$D$22</f>
        <v>0</v>
      </c>
      <c r="P620" s="580">
        <f>(P472+P480+P488)*'OLD  Formulas'!$D$22</f>
        <v>0</v>
      </c>
      <c r="Q620" s="580">
        <f>(Q472+Q480+Q488)*'OLD  Formulas'!$D$22</f>
        <v>0</v>
      </c>
      <c r="R620" s="580">
        <f>(R472+R480+R488)*'OLD  Formulas'!$D$22</f>
        <v>0</v>
      </c>
      <c r="S620" s="580">
        <f>(S472+S480+S488)*'OLD  Formulas'!$D$22</f>
        <v>0</v>
      </c>
      <c r="T620" s="580">
        <f>(T472+T480+T488)*'OLD  Formulas'!$D$22</f>
        <v>0</v>
      </c>
      <c r="U620" s="580">
        <f>(U472+U480+U488)*'OLD  Formulas'!$D$22</f>
        <v>0</v>
      </c>
      <c r="V620" s="580">
        <f>(V472+V480+V488)*'OLD  Formulas'!$D$22</f>
        <v>0</v>
      </c>
      <c r="W620" s="580">
        <f>(W472+W480+W488)*'OLD  Formulas'!$D$22</f>
        <v>0</v>
      </c>
      <c r="X620" s="580">
        <f>(X472+X480+X488)*'OLD  Formulas'!$D$22</f>
        <v>0</v>
      </c>
      <c r="Y620" s="580">
        <f>(Y472+Y480+Y488)*'OLD  Formulas'!$D$22</f>
        <v>0</v>
      </c>
      <c r="Z620" s="580">
        <f>(Z472+Z480+Z488)*'OLD  Formulas'!$D$22</f>
        <v>0</v>
      </c>
      <c r="AA620" s="580">
        <f>(AA472+AA480+AA488)*'OLD  Formulas'!$D$22</f>
        <v>0</v>
      </c>
      <c r="AB620" s="580">
        <f>(AB472+AB480+AB488)*'OLD  Formulas'!$D$22</f>
        <v>0</v>
      </c>
      <c r="AC620" s="580">
        <f>(AC472+AC480+AC488)*'OLD  Formulas'!$D$22</f>
        <v>0</v>
      </c>
      <c r="AD620" s="580">
        <f>(AD472+AD480+AD488)*'OLD  Formulas'!$D$22</f>
        <v>0</v>
      </c>
      <c r="AE620" s="580">
        <f>(AE472+AE480+AE488)*'OLD  Formulas'!$D$22</f>
        <v>0</v>
      </c>
      <c r="AF620" s="1459"/>
    </row>
    <row r="621" hidden="1" outlineLevel="1">
      <c r="A621" s="1409" t="s">
        <v>1269</v>
      </c>
      <c r="B621" s="580">
        <f>(B472+B480+B488)*'OLD  Formulas'!$D$23</f>
        <v>0</v>
      </c>
      <c r="C621" s="580">
        <f>(C472+C480+C488)*'OLD  Formulas'!$D$23</f>
        <v>0</v>
      </c>
      <c r="D621" s="580">
        <f>(D472+D480+D488)*'OLD  Formulas'!$D$23</f>
        <v>0</v>
      </c>
      <c r="E621" s="580">
        <f>(E472+E480+E488)*'OLD  Formulas'!$D$23</f>
        <v>0</v>
      </c>
      <c r="F621" s="580">
        <f>(F472+F480+F488)*'OLD  Formulas'!$D$23</f>
        <v>0</v>
      </c>
      <c r="G621" s="580">
        <f>(G472+G480+G488)*'OLD  Formulas'!$D$23</f>
        <v>0</v>
      </c>
      <c r="H621" s="580">
        <f>(H472+H480+H488)*'OLD  Formulas'!$D$23</f>
        <v>0</v>
      </c>
      <c r="I621" s="580">
        <f>(I472+I480+I488)*'OLD  Formulas'!$D$23</f>
        <v>0</v>
      </c>
      <c r="J621" s="580">
        <f>(J472+J480+J488)*'OLD  Formulas'!$D$23</f>
        <v>0</v>
      </c>
      <c r="K621" s="580">
        <f>(K472+K480+K488)*'OLD  Formulas'!$D$23</f>
        <v>0</v>
      </c>
      <c r="L621" s="580">
        <f>(L472+L480+L488)*'OLD  Formulas'!$D$23</f>
        <v>0</v>
      </c>
      <c r="M621" s="580">
        <f>(M472+M480+M488)*'OLD  Formulas'!$D$23</f>
        <v>0</v>
      </c>
      <c r="N621" s="580">
        <f>(N472+N480+N488)*'OLD  Formulas'!$D$23</f>
        <v>0</v>
      </c>
      <c r="O621" s="580">
        <f>(O472+O480+O488)*'OLD  Formulas'!$D$23</f>
        <v>0</v>
      </c>
      <c r="P621" s="580">
        <f>(P472+P480+P488)*'OLD  Formulas'!$D$23</f>
        <v>0</v>
      </c>
      <c r="Q621" s="580">
        <f>(Q472+Q480+Q488)*'OLD  Formulas'!$D$23</f>
        <v>0</v>
      </c>
      <c r="R621" s="580">
        <f>(R472+R480+R488)*'OLD  Formulas'!$D$23</f>
        <v>0</v>
      </c>
      <c r="S621" s="580">
        <f>(S472+S480+S488)*'OLD  Formulas'!$D$23</f>
        <v>0</v>
      </c>
      <c r="T621" s="580">
        <f>(T472+T480+T488)*'OLD  Formulas'!$D$23</f>
        <v>0</v>
      </c>
      <c r="U621" s="580">
        <f>(U472+U480+U488)*'OLD  Formulas'!$D$23</f>
        <v>0</v>
      </c>
      <c r="V621" s="580">
        <f>(V472+V480+V488)*'OLD  Formulas'!$D$23</f>
        <v>0</v>
      </c>
      <c r="W621" s="580">
        <f>(W472+W480+W488)*'OLD  Formulas'!$D$23</f>
        <v>0</v>
      </c>
      <c r="X621" s="580">
        <f>(X472+X480+X488)*'OLD  Formulas'!$D$23</f>
        <v>0</v>
      </c>
      <c r="Y621" s="580">
        <f>(Y472+Y480+Y488)*'OLD  Formulas'!$D$23</f>
        <v>0</v>
      </c>
      <c r="Z621" s="580">
        <f>(Z472+Z480+Z488)*'OLD  Formulas'!$D$23</f>
        <v>0</v>
      </c>
      <c r="AA621" s="580">
        <f>(AA472+AA480+AA488)*'OLD  Formulas'!$D$23</f>
        <v>0</v>
      </c>
      <c r="AB621" s="580">
        <f>(AB472+AB480+AB488)*'OLD  Formulas'!$D$23</f>
        <v>0</v>
      </c>
      <c r="AC621" s="580">
        <f>(AC472+AC480+AC488)*'OLD  Formulas'!$D$23</f>
        <v>0</v>
      </c>
      <c r="AD621" s="580">
        <f>(AD472+AD480+AD488)*'OLD  Formulas'!$D$23</f>
        <v>0</v>
      </c>
      <c r="AE621" s="580">
        <f>(AE472+AE480+AE488)*'OLD  Formulas'!$D$23</f>
        <v>0</v>
      </c>
      <c r="AF621" s="1459"/>
    </row>
    <row r="622" hidden="1" outlineLevel="1">
      <c r="A622" s="1409" t="s">
        <v>1270</v>
      </c>
      <c r="B622" s="580">
        <f>(B472+B480+B488)*'OLD  Formulas'!$D$24</f>
        <v>0</v>
      </c>
      <c r="C622" s="580">
        <f>(C472+C480+C488)*'OLD  Formulas'!$D$24</f>
        <v>0</v>
      </c>
      <c r="D622" s="580">
        <f>(D472+D480+D488)*'OLD  Formulas'!$D$24</f>
        <v>0</v>
      </c>
      <c r="E622" s="580">
        <f>(E472+E480+E488)*'OLD  Formulas'!$D$24</f>
        <v>0</v>
      </c>
      <c r="F622" s="580">
        <f>(F472+F480+F488)*'OLD  Formulas'!$D$24</f>
        <v>0</v>
      </c>
      <c r="G622" s="580">
        <f>(G472+G480+G488)*'OLD  Formulas'!$D$24</f>
        <v>0</v>
      </c>
      <c r="H622" s="580">
        <f>(H472+H480+H488)*'OLD  Formulas'!$D$24</f>
        <v>0</v>
      </c>
      <c r="I622" s="580">
        <f>(I472+I480+I488)*'OLD  Formulas'!$D$24</f>
        <v>0</v>
      </c>
      <c r="J622" s="580">
        <f>(J472+J480+J488)*'OLD  Formulas'!$D$24</f>
        <v>0</v>
      </c>
      <c r="K622" s="580">
        <f>(K472+K480+K488)*'OLD  Formulas'!$D$24</f>
        <v>0</v>
      </c>
      <c r="L622" s="580">
        <f>(L472+L480+L488)*'OLD  Formulas'!$D$24</f>
        <v>0</v>
      </c>
      <c r="M622" s="580">
        <f>(M472+M480+M488)*'OLD  Formulas'!$D$24</f>
        <v>0</v>
      </c>
      <c r="N622" s="580">
        <f>(N472+N480+N488)*'OLD  Formulas'!$D$24</f>
        <v>0</v>
      </c>
      <c r="O622" s="580">
        <f>(O472+O480+O488)*'OLD  Formulas'!$D$24</f>
        <v>0</v>
      </c>
      <c r="P622" s="580">
        <f>(P472+P480+P488)*'OLD  Formulas'!$D$24</f>
        <v>0</v>
      </c>
      <c r="Q622" s="580">
        <f>(Q472+Q480+Q488)*'OLD  Formulas'!$D$24</f>
        <v>0</v>
      </c>
      <c r="R622" s="580">
        <f>(R472+R480+R488)*'OLD  Formulas'!$D$24</f>
        <v>0</v>
      </c>
      <c r="S622" s="580">
        <f>(S472+S480+S488)*'OLD  Formulas'!$D$24</f>
        <v>0</v>
      </c>
      <c r="T622" s="580">
        <f>(T472+T480+T488)*'OLD  Formulas'!$D$24</f>
        <v>0</v>
      </c>
      <c r="U622" s="580">
        <f>(U472+U480+U488)*'OLD  Formulas'!$D$24</f>
        <v>0</v>
      </c>
      <c r="V622" s="580">
        <f>(V472+V480+V488)*'OLD  Formulas'!$D$24</f>
        <v>0</v>
      </c>
      <c r="W622" s="580">
        <f>(W472+W480+W488)*'OLD  Formulas'!$D$24</f>
        <v>0</v>
      </c>
      <c r="X622" s="580">
        <f>(X472+X480+X488)*'OLD  Formulas'!$D$24</f>
        <v>0</v>
      </c>
      <c r="Y622" s="580">
        <f>(Y472+Y480+Y488)*'OLD  Formulas'!$D$24</f>
        <v>0</v>
      </c>
      <c r="Z622" s="580">
        <f>(Z472+Z480+Z488)*'OLD  Formulas'!$D$24</f>
        <v>0</v>
      </c>
      <c r="AA622" s="580">
        <f>(AA472+AA480+AA488)*'OLD  Formulas'!$D$24</f>
        <v>0</v>
      </c>
      <c r="AB622" s="580">
        <f>(AB472+AB480+AB488)*'OLD  Formulas'!$D$24</f>
        <v>0</v>
      </c>
      <c r="AC622" s="580">
        <f>(AC472+AC480+AC488)*'OLD  Formulas'!$D$24</f>
        <v>0</v>
      </c>
      <c r="AD622" s="580">
        <f>(AD472+AD480+AD488)*'OLD  Formulas'!$D$24</f>
        <v>0</v>
      </c>
      <c r="AE622" s="580">
        <f>(AE472+AE480+AE488)*'OLD  Formulas'!$D$24</f>
        <v>0</v>
      </c>
      <c r="AF622" s="1459"/>
    </row>
    <row r="623" hidden="1" outlineLevel="1">
      <c r="A623" s="1409" t="s">
        <v>1293</v>
      </c>
      <c r="B623" s="580">
        <f>(B472+B480+B488)*'OLD  Formulas'!$D$25</f>
        <v>0</v>
      </c>
      <c r="C623" s="580">
        <f>(C472+C480+C488)*'OLD  Formulas'!$D$25</f>
        <v>0</v>
      </c>
      <c r="D623" s="580">
        <f>(D472+D480+D488)*'OLD  Formulas'!$D$25</f>
        <v>0</v>
      </c>
      <c r="E623" s="580">
        <f>(E472+E480+E488)*'OLD  Formulas'!$D$25</f>
        <v>0</v>
      </c>
      <c r="F623" s="580">
        <f>(F472+F480+F488)*'OLD  Formulas'!$D$25</f>
        <v>0</v>
      </c>
      <c r="G623" s="580">
        <f>(G472+G480+G488)*'OLD  Formulas'!$D$25</f>
        <v>0</v>
      </c>
      <c r="H623" s="580">
        <f>(H472+H480+H488)*'OLD  Formulas'!$D$25</f>
        <v>0</v>
      </c>
      <c r="I623" s="580">
        <f>(I472+I480+I488)*'OLD  Formulas'!$D$25</f>
        <v>0</v>
      </c>
      <c r="J623" s="580">
        <f>(J472+J480+J488)*'OLD  Formulas'!$D$25</f>
        <v>0</v>
      </c>
      <c r="K623" s="580">
        <f>(K472+K480+K488)*'OLD  Formulas'!$D$25</f>
        <v>0</v>
      </c>
      <c r="L623" s="580">
        <f>(L472+L480+L488)*'OLD  Formulas'!$D$25</f>
        <v>0</v>
      </c>
      <c r="M623" s="580">
        <f>(M472+M480+M488)*'OLD  Formulas'!$D$25</f>
        <v>0</v>
      </c>
      <c r="N623" s="580">
        <f>(N472+N480+N488)*'OLD  Formulas'!$D$25</f>
        <v>0</v>
      </c>
      <c r="O623" s="580">
        <f>(O472+O480+O488)*'OLD  Formulas'!$D$25</f>
        <v>0</v>
      </c>
      <c r="P623" s="580">
        <f>(P472+P480+P488)*'OLD  Formulas'!$D$25</f>
        <v>0</v>
      </c>
      <c r="Q623" s="580">
        <f>(Q472+Q480+Q488)*'OLD  Formulas'!$D$25</f>
        <v>0</v>
      </c>
      <c r="R623" s="580">
        <f>(R472+R480+R488)*'OLD  Formulas'!$D$25</f>
        <v>0</v>
      </c>
      <c r="S623" s="580">
        <f>(S472+S480+S488)*'OLD  Formulas'!$D$25</f>
        <v>0</v>
      </c>
      <c r="T623" s="580">
        <f>(T472+T480+T488)*'OLD  Formulas'!$D$25</f>
        <v>0</v>
      </c>
      <c r="U623" s="580">
        <f>(U472+U480+U488)*'OLD  Formulas'!$D$25</f>
        <v>0</v>
      </c>
      <c r="V623" s="580">
        <f>(V472+V480+V488)*'OLD  Formulas'!$D$25</f>
        <v>0</v>
      </c>
      <c r="W623" s="580">
        <f>(W472+W480+W488)*'OLD  Formulas'!$D$25</f>
        <v>0</v>
      </c>
      <c r="X623" s="580">
        <f>(X472+X480+X488)*'OLD  Formulas'!$D$25</f>
        <v>0</v>
      </c>
      <c r="Y623" s="580">
        <f>(Y472+Y480+Y488)*'OLD  Formulas'!$D$25</f>
        <v>0</v>
      </c>
      <c r="Z623" s="580">
        <f>(Z472+Z480+Z488)*'OLD  Formulas'!$D$25</f>
        <v>0</v>
      </c>
      <c r="AA623" s="580">
        <f>(AA472+AA480+AA488)*'OLD  Formulas'!$D$25</f>
        <v>0</v>
      </c>
      <c r="AB623" s="580">
        <f>(AB472+AB480+AB488)*'OLD  Formulas'!$D$25</f>
        <v>0</v>
      </c>
      <c r="AC623" s="580">
        <f>(AC472+AC480+AC488)*'OLD  Formulas'!$D$25</f>
        <v>0</v>
      </c>
      <c r="AD623" s="580">
        <f>(AD472+AD480+AD488)*'OLD  Formulas'!$D$25</f>
        <v>0</v>
      </c>
      <c r="AE623" s="580">
        <f>(AE472+AE480+AE488)*'OLD  Formulas'!$D$25</f>
        <v>0</v>
      </c>
      <c r="AF623" s="1459"/>
    </row>
    <row r="624" hidden="1" outlineLevel="1">
      <c r="A624" s="1409" t="s">
        <v>1306</v>
      </c>
      <c r="B624" s="580">
        <f>(B472+B480+B488)*'OLD  Formulas'!$D$26</f>
        <v>0</v>
      </c>
      <c r="C624" s="580">
        <f>(C472+C480+C488)*'OLD  Formulas'!$D$26</f>
        <v>0</v>
      </c>
      <c r="D624" s="580">
        <f>(D472+D480+D488)*'OLD  Formulas'!$D$26</f>
        <v>0</v>
      </c>
      <c r="E624" s="580">
        <f>(E472+E480+E488)*'OLD  Formulas'!$D$26</f>
        <v>0</v>
      </c>
      <c r="F624" s="580">
        <f>(F472+F480+F488)*'OLD  Formulas'!$D$26</f>
        <v>0</v>
      </c>
      <c r="G624" s="580">
        <f>(G472+G480+G488)*'OLD  Formulas'!$D$26</f>
        <v>0</v>
      </c>
      <c r="H624" s="580">
        <f>(H472+H480+H488)*'OLD  Formulas'!$D$26</f>
        <v>0</v>
      </c>
      <c r="I624" s="580">
        <f>(I472+I480+I488)*'OLD  Formulas'!$D$26</f>
        <v>0</v>
      </c>
      <c r="J624" s="580">
        <f>(J472+J480+J488)*'OLD  Formulas'!$D$26</f>
        <v>0</v>
      </c>
      <c r="K624" s="580">
        <f>(K472+K480+K488)*'OLD  Formulas'!$D$26</f>
        <v>0</v>
      </c>
      <c r="L624" s="580">
        <f>(L472+L480+L488)*'OLD  Formulas'!$D$26</f>
        <v>0</v>
      </c>
      <c r="M624" s="580">
        <f>(M472+M480+M488)*'OLD  Formulas'!$D$26</f>
        <v>0</v>
      </c>
      <c r="N624" s="580">
        <f>(N472+N480+N488)*'OLD  Formulas'!$D$26</f>
        <v>0</v>
      </c>
      <c r="O624" s="580">
        <f>(O472+O480+O488)*'OLD  Formulas'!$D$26</f>
        <v>0</v>
      </c>
      <c r="P624" s="580">
        <f>(P472+P480+P488)*'OLD  Formulas'!$D$26</f>
        <v>0</v>
      </c>
      <c r="Q624" s="580">
        <f>(Q472+Q480+Q488)*'OLD  Formulas'!$D$26</f>
        <v>0</v>
      </c>
      <c r="R624" s="580">
        <f>(R472+R480+R488)*'OLD  Formulas'!$D$26</f>
        <v>0</v>
      </c>
      <c r="S624" s="580">
        <f>(S472+S480+S488)*'OLD  Formulas'!$D$26</f>
        <v>0</v>
      </c>
      <c r="T624" s="580">
        <f>(T472+T480+T488)*'OLD  Formulas'!$D$26</f>
        <v>0</v>
      </c>
      <c r="U624" s="580">
        <f>(U472+U480+U488)*'OLD  Formulas'!$D$26</f>
        <v>0</v>
      </c>
      <c r="V624" s="580">
        <f>(V472+V480+V488)*'OLD  Formulas'!$D$26</f>
        <v>0</v>
      </c>
      <c r="W624" s="580">
        <f>(W472+W480+W488)*'OLD  Formulas'!$D$26</f>
        <v>0</v>
      </c>
      <c r="X624" s="580">
        <f>(X472+X480+X488)*'OLD  Formulas'!$D$26</f>
        <v>0</v>
      </c>
      <c r="Y624" s="580">
        <f>(Y472+Y480+Y488)*'OLD  Formulas'!$D$26</f>
        <v>0</v>
      </c>
      <c r="Z624" s="580">
        <f>(Z472+Z480+Z488)*'OLD  Formulas'!$D$26</f>
        <v>0</v>
      </c>
      <c r="AA624" s="580">
        <f>(AA472+AA480+AA488)*'OLD  Formulas'!$D$26</f>
        <v>0</v>
      </c>
      <c r="AB624" s="580">
        <f>(AB472+AB480+AB488)*'OLD  Formulas'!$D$26</f>
        <v>0</v>
      </c>
      <c r="AC624" s="580">
        <f>(AC472+AC480+AC488)*'OLD  Formulas'!$D$26</f>
        <v>0</v>
      </c>
      <c r="AD624" s="580">
        <f>(AD472+AD480+AD488)*'OLD  Formulas'!$D$26</f>
        <v>0</v>
      </c>
      <c r="AE624" s="580">
        <f>(AE472+AE480+AE488)*'OLD  Formulas'!$D$26</f>
        <v>0</v>
      </c>
      <c r="AF624" s="1459"/>
    </row>
    <row r="625" hidden="1" outlineLevel="1">
      <c r="A625" s="1454" t="s">
        <v>1320</v>
      </c>
      <c r="B625" s="1455">
        <f>(B472+B480+B488)*'OLD  Formulas'!$D$27</f>
        <v>0</v>
      </c>
      <c r="C625" s="1455">
        <f>(C472+C480+C488)*'OLD  Formulas'!$D$27</f>
        <v>0</v>
      </c>
      <c r="D625" s="1455">
        <f>(D472+D480+D488)*'OLD  Formulas'!$D$27</f>
        <v>0</v>
      </c>
      <c r="E625" s="1455">
        <f>(E472+E480+E488)*'OLD  Formulas'!$D$27</f>
        <v>0</v>
      </c>
      <c r="F625" s="1455">
        <f>(F472+F480+F488)*'OLD  Formulas'!$D$27</f>
        <v>0</v>
      </c>
      <c r="G625" s="1455">
        <f>(G472+G480+G488)*'OLD  Formulas'!$D$27</f>
        <v>0</v>
      </c>
      <c r="H625" s="1455">
        <f>(H472+H480+H488)*'OLD  Formulas'!$D$27</f>
        <v>0</v>
      </c>
      <c r="I625" s="1455">
        <f>(I472+I480+I488)*'OLD  Formulas'!$D$27</f>
        <v>0</v>
      </c>
      <c r="J625" s="1455">
        <f>(J472+J480+J488)*'OLD  Formulas'!$D$27</f>
        <v>0</v>
      </c>
      <c r="K625" s="1455">
        <f>(K472+K480+K488)*'OLD  Formulas'!$D$27</f>
        <v>0</v>
      </c>
      <c r="L625" s="1455">
        <f>(L472+L480+L488)*'OLD  Formulas'!$D$27</f>
        <v>0</v>
      </c>
      <c r="M625" s="1455">
        <f>(M472+M480+M488)*'OLD  Formulas'!$D$27</f>
        <v>0</v>
      </c>
      <c r="N625" s="1455">
        <f>(N472+N480+N488)*'OLD  Formulas'!$D$27</f>
        <v>0</v>
      </c>
      <c r="O625" s="1455">
        <f>(O472+O480+O488)*'OLD  Formulas'!$D$27</f>
        <v>0</v>
      </c>
      <c r="P625" s="1455">
        <f>(P472+P480+P488)*'OLD  Formulas'!$D$27</f>
        <v>0</v>
      </c>
      <c r="Q625" s="1455">
        <f>(Q472+Q480+Q488)*'OLD  Formulas'!$D$27</f>
        <v>0</v>
      </c>
      <c r="R625" s="1455">
        <f>(R472+R480+R488)*'OLD  Formulas'!$D$27</f>
        <v>0</v>
      </c>
      <c r="S625" s="1455">
        <f>(S472+S480+S488)*'OLD  Formulas'!$D$27</f>
        <v>0</v>
      </c>
      <c r="T625" s="1455">
        <f>(T472+T480+T488)*'OLD  Formulas'!$D$27</f>
        <v>0</v>
      </c>
      <c r="U625" s="1455">
        <f>(U472+U480+U488)*'OLD  Formulas'!$D$27</f>
        <v>0</v>
      </c>
      <c r="V625" s="1455">
        <f>(V472+V480+V488)*'OLD  Formulas'!$D$27</f>
        <v>0</v>
      </c>
      <c r="W625" s="1455">
        <f>(W472+W480+W488)*'OLD  Formulas'!$D$27</f>
        <v>0</v>
      </c>
      <c r="X625" s="1455">
        <f>(X472+X480+X488)*'OLD  Formulas'!$D$27</f>
        <v>0</v>
      </c>
      <c r="Y625" s="1455">
        <f>(Y472+Y480+Y488)*'OLD  Formulas'!$D$27</f>
        <v>0</v>
      </c>
      <c r="Z625" s="1455">
        <f>(Z472+Z480+Z488)*'OLD  Formulas'!$D$27</f>
        <v>0</v>
      </c>
      <c r="AA625" s="1455">
        <f>(AA472+AA480+AA488)*'OLD  Formulas'!$D$27</f>
        <v>0</v>
      </c>
      <c r="AB625" s="1455">
        <f>(AB472+AB480+AB488)*'OLD  Formulas'!$D$27</f>
        <v>0</v>
      </c>
      <c r="AC625" s="1455">
        <f>(AC472+AC480+AC488)*'OLD  Formulas'!$D$27</f>
        <v>0</v>
      </c>
      <c r="AD625" s="1455">
        <f>(AD472+AD480+AD488)*'OLD  Formulas'!$D$27</f>
        <v>0</v>
      </c>
      <c r="AE625" s="1455">
        <f>(AE472+AE480+AE488)*'OLD  Formulas'!$D$27</f>
        <v>0</v>
      </c>
      <c r="AF625" s="1459"/>
    </row>
    <row r="626">
      <c r="A626" s="884" t="s">
        <v>567</v>
      </c>
      <c r="B626" s="580">
        <f t="shared" ref="B626:AE626" si="247">sum(B589:B625)</f>
        <v>0</v>
      </c>
      <c r="C626" s="580">
        <f t="shared" si="247"/>
        <v>0</v>
      </c>
      <c r="D626" s="580">
        <f t="shared" si="247"/>
        <v>0</v>
      </c>
      <c r="E626" s="580">
        <f t="shared" si="247"/>
        <v>0</v>
      </c>
      <c r="F626" s="580">
        <f t="shared" si="247"/>
        <v>0</v>
      </c>
      <c r="G626" s="580">
        <f t="shared" si="247"/>
        <v>0</v>
      </c>
      <c r="H626" s="580">
        <f t="shared" si="247"/>
        <v>0</v>
      </c>
      <c r="I626" s="580">
        <f t="shared" si="247"/>
        <v>0</v>
      </c>
      <c r="J626" s="580">
        <f t="shared" si="247"/>
        <v>0</v>
      </c>
      <c r="K626" s="580">
        <f t="shared" si="247"/>
        <v>0</v>
      </c>
      <c r="L626" s="580">
        <f t="shared" si="247"/>
        <v>0</v>
      </c>
      <c r="M626" s="580">
        <f t="shared" si="247"/>
        <v>0</v>
      </c>
      <c r="N626" s="580">
        <f t="shared" si="247"/>
        <v>0</v>
      </c>
      <c r="O626" s="580">
        <f t="shared" si="247"/>
        <v>0</v>
      </c>
      <c r="P626" s="580">
        <f t="shared" si="247"/>
        <v>0</v>
      </c>
      <c r="Q626" s="580">
        <f t="shared" si="247"/>
        <v>0</v>
      </c>
      <c r="R626" s="580">
        <f t="shared" si="247"/>
        <v>0</v>
      </c>
      <c r="S626" s="580">
        <f t="shared" si="247"/>
        <v>0</v>
      </c>
      <c r="T626" s="580">
        <f t="shared" si="247"/>
        <v>0</v>
      </c>
      <c r="U626" s="580">
        <f t="shared" si="247"/>
        <v>0</v>
      </c>
      <c r="V626" s="580">
        <f t="shared" si="247"/>
        <v>0</v>
      </c>
      <c r="W626" s="580">
        <f t="shared" si="247"/>
        <v>0</v>
      </c>
      <c r="X626" s="580">
        <f t="shared" si="247"/>
        <v>0</v>
      </c>
      <c r="Y626" s="580">
        <f t="shared" si="247"/>
        <v>0</v>
      </c>
      <c r="Z626" s="580">
        <f t="shared" si="247"/>
        <v>0</v>
      </c>
      <c r="AA626" s="580">
        <f t="shared" si="247"/>
        <v>0</v>
      </c>
      <c r="AB626" s="580">
        <f t="shared" si="247"/>
        <v>0</v>
      </c>
      <c r="AC626" s="580">
        <f t="shared" si="247"/>
        <v>0</v>
      </c>
      <c r="AD626" s="580">
        <f t="shared" si="247"/>
        <v>0</v>
      </c>
      <c r="AE626" s="580">
        <f t="shared" si="247"/>
        <v>0</v>
      </c>
      <c r="AF626" s="900">
        <f>SUM(B626:AE626)</f>
        <v>0</v>
      </c>
    </row>
    <row r="627">
      <c r="A627" s="20"/>
      <c r="B627" s="582"/>
      <c r="C627" s="582"/>
      <c r="D627" s="582"/>
      <c r="E627" s="582"/>
      <c r="F627" s="582"/>
      <c r="G627" s="582"/>
      <c r="H627" s="582"/>
      <c r="I627" s="582"/>
      <c r="J627" s="582"/>
      <c r="K627" s="582"/>
      <c r="L627" s="582"/>
      <c r="M627" s="582"/>
      <c r="N627" s="582"/>
      <c r="O627" s="582"/>
      <c r="P627" s="582"/>
      <c r="Q627" s="582"/>
      <c r="R627" s="582"/>
      <c r="S627" s="582"/>
      <c r="T627" s="582"/>
      <c r="U627" s="582"/>
      <c r="V627" s="582"/>
      <c r="W627" s="582"/>
      <c r="X627" s="582"/>
      <c r="Y627" s="582"/>
      <c r="Z627" s="582"/>
      <c r="AA627" s="582"/>
      <c r="AB627" s="582"/>
      <c r="AC627" s="582"/>
      <c r="AD627" s="582"/>
      <c r="AE627" s="582"/>
      <c r="AF627" s="700"/>
    </row>
    <row r="628">
      <c r="A628" s="1546" t="s">
        <v>95</v>
      </c>
      <c r="B628" s="1547">
        <f t="shared" ref="B628:AE628" si="248">SUM(B535:B567)+B626</f>
        <v>18857.16546</v>
      </c>
      <c r="C628" s="1547">
        <f t="shared" si="248"/>
        <v>21207.48812</v>
      </c>
      <c r="D628" s="1547">
        <f t="shared" si="248"/>
        <v>25544.76521</v>
      </c>
      <c r="E628" s="1547">
        <f t="shared" si="248"/>
        <v>28705.21684</v>
      </c>
      <c r="F628" s="1547">
        <f t="shared" si="248"/>
        <v>30951.78206</v>
      </c>
      <c r="G628" s="1547">
        <f t="shared" si="248"/>
        <v>28442.0584</v>
      </c>
      <c r="H628" s="1547">
        <f t="shared" si="248"/>
        <v>18685.18703</v>
      </c>
      <c r="I628" s="1547">
        <f t="shared" si="248"/>
        <v>12351.22237</v>
      </c>
      <c r="J628" s="1547">
        <f t="shared" si="248"/>
        <v>16057.2161</v>
      </c>
      <c r="K628" s="1547">
        <f t="shared" si="248"/>
        <v>22450.99924</v>
      </c>
      <c r="L628" s="1547">
        <f t="shared" si="248"/>
        <v>27314.38253</v>
      </c>
      <c r="M628" s="1547">
        <f t="shared" si="248"/>
        <v>31275.38597</v>
      </c>
      <c r="N628" s="1547">
        <f t="shared" si="248"/>
        <v>26570.51526</v>
      </c>
      <c r="O628" s="1547">
        <f t="shared" si="248"/>
        <v>24062.36749</v>
      </c>
      <c r="P628" s="1547">
        <f t="shared" si="248"/>
        <v>18862.38373</v>
      </c>
      <c r="Q628" s="1547">
        <f t="shared" si="248"/>
        <v>21079.31203</v>
      </c>
      <c r="R628" s="1547">
        <f t="shared" si="248"/>
        <v>20783.16624</v>
      </c>
      <c r="S628" s="1547">
        <f t="shared" si="248"/>
        <v>25799.4665</v>
      </c>
      <c r="T628" s="1547">
        <f t="shared" si="248"/>
        <v>22837.39236</v>
      </c>
      <c r="U628" s="1547">
        <f t="shared" si="248"/>
        <v>20516.85824</v>
      </c>
      <c r="V628" s="1547">
        <f t="shared" si="248"/>
        <v>18882.29666</v>
      </c>
      <c r="W628" s="1547">
        <f t="shared" si="248"/>
        <v>15882.14193</v>
      </c>
      <c r="X628" s="1547">
        <f t="shared" si="248"/>
        <v>18527.12248</v>
      </c>
      <c r="Y628" s="1547">
        <f t="shared" si="248"/>
        <v>20940.19247</v>
      </c>
      <c r="Z628" s="1547">
        <f t="shared" si="248"/>
        <v>18285.66589</v>
      </c>
      <c r="AA628" s="1547">
        <f t="shared" si="248"/>
        <v>16968.0383</v>
      </c>
      <c r="AB628" s="1547">
        <f t="shared" si="248"/>
        <v>21083.67636</v>
      </c>
      <c r="AC628" s="1547">
        <f t="shared" si="248"/>
        <v>17699.48053</v>
      </c>
      <c r="AD628" s="1547">
        <f t="shared" si="248"/>
        <v>18712.50893</v>
      </c>
      <c r="AE628" s="1547">
        <f t="shared" si="248"/>
        <v>22404.06679</v>
      </c>
      <c r="AF628" s="900">
        <f>SUM(B628:AE628)</f>
        <v>651739.5215</v>
      </c>
    </row>
    <row r="629">
      <c r="A629" s="20"/>
      <c r="B629" s="595"/>
      <c r="C629" s="595"/>
      <c r="D629" s="595"/>
      <c r="E629" s="595"/>
      <c r="F629" s="595"/>
      <c r="G629" s="595"/>
      <c r="H629" s="595"/>
      <c r="I629" s="595"/>
      <c r="J629" s="595"/>
      <c r="K629" s="595"/>
      <c r="L629" s="595"/>
      <c r="M629" s="595"/>
      <c r="N629" s="595"/>
      <c r="O629" s="595"/>
      <c r="P629" s="595"/>
      <c r="Q629" s="595"/>
      <c r="R629" s="595"/>
      <c r="S629" s="595"/>
      <c r="T629" s="595"/>
      <c r="U629" s="595"/>
      <c r="V629" s="595"/>
      <c r="W629" s="595"/>
      <c r="X629" s="595"/>
      <c r="Y629" s="595"/>
      <c r="Z629" s="595"/>
      <c r="AA629" s="595"/>
      <c r="AB629" s="595"/>
      <c r="AC629" s="595"/>
      <c r="AD629" s="595"/>
      <c r="AE629" s="595"/>
      <c r="AF629" s="700"/>
    </row>
    <row r="630">
      <c r="A630" s="885" t="s">
        <v>1472</v>
      </c>
      <c r="B630" s="70">
        <f t="shared" ref="B630:AE630" si="249">B141-B628</f>
        <v>-1591.485463</v>
      </c>
      <c r="C630" s="70">
        <f t="shared" si="249"/>
        <v>2529.841885</v>
      </c>
      <c r="D630" s="70">
        <f t="shared" si="249"/>
        <v>5483.14479</v>
      </c>
      <c r="E630" s="70">
        <f t="shared" si="249"/>
        <v>9919.053157</v>
      </c>
      <c r="F630" s="70">
        <f t="shared" si="249"/>
        <v>1382.447936</v>
      </c>
      <c r="G630" s="70">
        <f t="shared" si="249"/>
        <v>-2918.638399</v>
      </c>
      <c r="H630" s="70">
        <f t="shared" si="249"/>
        <v>-2172.137035</v>
      </c>
      <c r="I630" s="70">
        <f t="shared" si="249"/>
        <v>3696.397627</v>
      </c>
      <c r="J630" s="70">
        <f t="shared" si="249"/>
        <v>839.0238956</v>
      </c>
      <c r="K630" s="70">
        <f t="shared" si="249"/>
        <v>2859.440761</v>
      </c>
      <c r="L630" s="70">
        <f t="shared" si="249"/>
        <v>-8244.912525</v>
      </c>
      <c r="M630" s="70">
        <f t="shared" si="249"/>
        <v>-13617.03597</v>
      </c>
      <c r="N630" s="70">
        <f t="shared" si="249"/>
        <v>-9714.98526</v>
      </c>
      <c r="O630" s="70">
        <f t="shared" si="249"/>
        <v>-2195.967487</v>
      </c>
      <c r="P630" s="70">
        <f t="shared" si="249"/>
        <v>956.4262651</v>
      </c>
      <c r="Q630" s="70">
        <f t="shared" si="249"/>
        <v>-790.2920254</v>
      </c>
      <c r="R630" s="70">
        <f t="shared" si="249"/>
        <v>-290.2762384</v>
      </c>
      <c r="S630" s="70">
        <f t="shared" si="249"/>
        <v>28983.7935</v>
      </c>
      <c r="T630" s="70">
        <f t="shared" si="249"/>
        <v>9830.937643</v>
      </c>
      <c r="U630" s="70">
        <f t="shared" si="249"/>
        <v>3656.521762</v>
      </c>
      <c r="V630" s="70">
        <f t="shared" si="249"/>
        <v>4882.833344</v>
      </c>
      <c r="W630" s="70">
        <f t="shared" si="249"/>
        <v>4411.848068</v>
      </c>
      <c r="X630" s="70">
        <f t="shared" si="249"/>
        <v>5005.437518</v>
      </c>
      <c r="Y630" s="70">
        <f t="shared" si="249"/>
        <v>4469.287535</v>
      </c>
      <c r="Z630" s="70">
        <f t="shared" si="249"/>
        <v>6328.254107</v>
      </c>
      <c r="AA630" s="70">
        <f t="shared" si="249"/>
        <v>-396.2182974</v>
      </c>
      <c r="AB630" s="70">
        <f t="shared" si="249"/>
        <v>7150.813645</v>
      </c>
      <c r="AC630" s="70">
        <f t="shared" si="249"/>
        <v>5096.78947</v>
      </c>
      <c r="AD630" s="70">
        <f t="shared" si="249"/>
        <v>5129.29107</v>
      </c>
      <c r="AE630" s="70">
        <f t="shared" si="249"/>
        <v>-608.2167939</v>
      </c>
      <c r="AF630" s="900">
        <f>SUM(B630:AE630)</f>
        <v>70071.41848</v>
      </c>
    </row>
    <row r="631">
      <c r="A631" s="1548">
        <f>SUM(B630:AE630)</f>
        <v>70071.41848</v>
      </c>
      <c r="B631" s="595"/>
      <c r="C631" s="595"/>
      <c r="D631" s="595"/>
      <c r="E631" s="595"/>
      <c r="F631" s="595"/>
      <c r="G631" s="595"/>
      <c r="H631" s="595"/>
      <c r="I631" s="595"/>
      <c r="J631" s="595"/>
      <c r="K631" s="595"/>
      <c r="L631" s="595"/>
      <c r="M631" s="595"/>
      <c r="N631" s="595"/>
      <c r="O631" s="595"/>
      <c r="P631" s="595"/>
      <c r="Q631" s="595"/>
      <c r="R631" s="595"/>
      <c r="S631" s="595"/>
      <c r="T631" s="595"/>
      <c r="U631" s="595"/>
      <c r="V631" s="595"/>
      <c r="W631" s="595"/>
      <c r="X631" s="595"/>
      <c r="Y631" s="595"/>
      <c r="Z631" s="595"/>
      <c r="AA631" s="595"/>
      <c r="AB631" s="595"/>
      <c r="AC631" s="595"/>
      <c r="AD631" s="595"/>
      <c r="AE631" s="595"/>
      <c r="AF631" s="1549"/>
    </row>
    <row r="632">
      <c r="A632" s="20"/>
      <c r="B632" s="595"/>
      <c r="C632" s="595"/>
      <c r="D632" s="595"/>
      <c r="E632" s="595"/>
      <c r="F632" s="595"/>
      <c r="G632" s="595"/>
      <c r="H632" s="595"/>
      <c r="I632" s="595"/>
      <c r="J632" s="595"/>
      <c r="K632" s="595"/>
      <c r="L632" s="595"/>
      <c r="M632" s="595"/>
      <c r="N632" s="595"/>
      <c r="O632" s="595"/>
      <c r="P632" s="595"/>
      <c r="Q632" s="595"/>
      <c r="R632" s="595"/>
      <c r="S632" s="595"/>
      <c r="T632" s="595"/>
      <c r="U632" s="595"/>
      <c r="V632" s="595"/>
      <c r="W632" s="595"/>
      <c r="X632" s="595"/>
      <c r="Y632" s="595"/>
      <c r="Z632" s="595"/>
      <c r="AA632" s="595"/>
      <c r="AB632" s="595"/>
      <c r="AC632" s="595"/>
      <c r="AD632" s="595"/>
      <c r="AE632" s="595"/>
      <c r="AF632" s="1549"/>
    </row>
    <row r="633">
      <c r="A633" s="1550" t="s">
        <v>1473</v>
      </c>
      <c r="B633" s="1551">
        <f t="shared" ref="B633:AE633" si="250">B630/B141</f>
        <v>-0.09217623997</v>
      </c>
      <c r="C633" s="1551">
        <f t="shared" si="250"/>
        <v>0.1065765141</v>
      </c>
      <c r="D633" s="1551">
        <f t="shared" si="250"/>
        <v>0.1767165365</v>
      </c>
      <c r="E633" s="1551">
        <f t="shared" si="250"/>
        <v>0.2568088188</v>
      </c>
      <c r="F633" s="1551">
        <f t="shared" si="250"/>
        <v>0.04275493606</v>
      </c>
      <c r="G633" s="1551">
        <f t="shared" si="250"/>
        <v>-0.1143513839</v>
      </c>
      <c r="H633" s="1551">
        <f t="shared" si="250"/>
        <v>-0.1315406321</v>
      </c>
      <c r="I633" s="1551">
        <f t="shared" si="250"/>
        <v>0.2303393043</v>
      </c>
      <c r="J633" s="1551">
        <f t="shared" si="250"/>
        <v>0.0496574324</v>
      </c>
      <c r="K633" s="1551">
        <f t="shared" si="250"/>
        <v>0.1129747551</v>
      </c>
      <c r="L633" s="1551">
        <f t="shared" si="250"/>
        <v>-0.4323619128</v>
      </c>
      <c r="M633" s="1551">
        <f t="shared" si="250"/>
        <v>-0.7711386379</v>
      </c>
      <c r="N633" s="1551">
        <f t="shared" si="250"/>
        <v>-0.5763678306</v>
      </c>
      <c r="O633" s="1551">
        <f t="shared" si="250"/>
        <v>-0.1004265671</v>
      </c>
      <c r="P633" s="1551">
        <f t="shared" si="250"/>
        <v>0.04825851124</v>
      </c>
      <c r="Q633" s="1551">
        <f t="shared" si="250"/>
        <v>-0.03895171011</v>
      </c>
      <c r="R633" s="1551">
        <f t="shared" si="250"/>
        <v>-0.01416472925</v>
      </c>
      <c r="S633" s="1551">
        <f t="shared" si="250"/>
        <v>0.5290629564</v>
      </c>
      <c r="T633" s="1551">
        <f t="shared" si="250"/>
        <v>0.3009317478</v>
      </c>
      <c r="U633" s="1551">
        <f t="shared" si="250"/>
        <v>0.1512623291</v>
      </c>
      <c r="V633" s="1551">
        <f t="shared" si="250"/>
        <v>0.2054620927</v>
      </c>
      <c r="W633" s="1551">
        <f t="shared" si="250"/>
        <v>0.2173967794</v>
      </c>
      <c r="X633" s="1551">
        <f t="shared" si="250"/>
        <v>0.2127026349</v>
      </c>
      <c r="Y633" s="1551">
        <f t="shared" si="250"/>
        <v>0.1758905548</v>
      </c>
      <c r="Z633" s="1551">
        <f t="shared" si="250"/>
        <v>0.2571006206</v>
      </c>
      <c r="AA633" s="1551">
        <f t="shared" si="250"/>
        <v>-0.02390916009</v>
      </c>
      <c r="AB633" s="1551">
        <f t="shared" si="250"/>
        <v>0.253265196</v>
      </c>
      <c r="AC633" s="1551">
        <f t="shared" si="250"/>
        <v>0.2235799747</v>
      </c>
      <c r="AD633" s="1551">
        <f t="shared" si="250"/>
        <v>0.2151385831</v>
      </c>
      <c r="AE633" s="1551">
        <f t="shared" si="250"/>
        <v>-0.02790516515</v>
      </c>
      <c r="AF633" s="1549"/>
    </row>
    <row r="634">
      <c r="A634" s="1552" t="s">
        <v>1474</v>
      </c>
      <c r="B634" s="554">
        <f t="shared" ref="B634:AE634" si="251">(B141-B564-B565-B566)/B535</f>
        <v>2.033945534</v>
      </c>
      <c r="C634" s="554">
        <f t="shared" si="251"/>
        <v>2.719349319</v>
      </c>
      <c r="D634" s="554">
        <f t="shared" si="251"/>
        <v>2.74020523</v>
      </c>
      <c r="E634" s="554">
        <f t="shared" si="251"/>
        <v>3.33612207</v>
      </c>
      <c r="F634" s="554">
        <f t="shared" si="251"/>
        <v>2.343536468</v>
      </c>
      <c r="G634" s="554">
        <f t="shared" si="251"/>
        <v>1.74557191</v>
      </c>
      <c r="H634" s="554">
        <f t="shared" si="251"/>
        <v>1.915812643</v>
      </c>
      <c r="I634" s="554">
        <f t="shared" si="251"/>
        <v>2.620552591</v>
      </c>
      <c r="J634" s="554">
        <f t="shared" si="251"/>
        <v>1.911490116</v>
      </c>
      <c r="K634" s="554">
        <f t="shared" si="251"/>
        <v>1.919487437</v>
      </c>
      <c r="L634" s="554">
        <f t="shared" si="251"/>
        <v>1.490421705</v>
      </c>
      <c r="M634" s="554">
        <f t="shared" si="251"/>
        <v>1.517891298</v>
      </c>
      <c r="N634" s="554">
        <f t="shared" si="251"/>
        <v>1.497039202</v>
      </c>
      <c r="O634" s="554">
        <f t="shared" si="251"/>
        <v>2.510638548</v>
      </c>
      <c r="P634" s="554">
        <f t="shared" si="251"/>
        <v>2.034458762</v>
      </c>
      <c r="Q634" s="554">
        <f t="shared" si="251"/>
        <v>1.855931048</v>
      </c>
      <c r="R634" s="554">
        <f t="shared" si="251"/>
        <v>1.727360566</v>
      </c>
      <c r="S634" s="554">
        <f t="shared" si="251"/>
        <v>4.873116137</v>
      </c>
      <c r="T634" s="554">
        <f t="shared" si="251"/>
        <v>2.790214007</v>
      </c>
      <c r="U634" s="554">
        <f t="shared" si="251"/>
        <v>2.477484273</v>
      </c>
      <c r="V634" s="554">
        <f t="shared" si="251"/>
        <v>2.512056761</v>
      </c>
      <c r="W634" s="554">
        <f t="shared" si="251"/>
        <v>2.202406385</v>
      </c>
      <c r="X634" s="554">
        <f t="shared" si="251"/>
        <v>2.107598275</v>
      </c>
      <c r="Y634" s="554">
        <f t="shared" si="251"/>
        <v>1.851413305</v>
      </c>
      <c r="Z634" s="554">
        <f t="shared" si="251"/>
        <v>2.106233703</v>
      </c>
      <c r="AA634" s="554">
        <f t="shared" si="251"/>
        <v>1.531235934</v>
      </c>
      <c r="AB634" s="554">
        <f t="shared" si="251"/>
        <v>2.903978602</v>
      </c>
      <c r="AC634" s="554">
        <f t="shared" si="251"/>
        <v>2.23505606</v>
      </c>
      <c r="AD634" s="554">
        <f t="shared" si="251"/>
        <v>2.323244589</v>
      </c>
      <c r="AE634" s="554">
        <f t="shared" si="251"/>
        <v>1.645728929</v>
      </c>
      <c r="AF634" s="1549"/>
    </row>
    <row r="635">
      <c r="A635" s="325" t="s">
        <v>438</v>
      </c>
      <c r="B635" s="554">
        <f>'OLD Sales'!B47</f>
        <v>2.555777102</v>
      </c>
      <c r="C635" s="554">
        <f>'OLD Sales'!C47</f>
        <v>3.760786147</v>
      </c>
      <c r="D635" s="554">
        <f>'OLD Sales'!D47</f>
        <v>3.678585232</v>
      </c>
      <c r="E635" s="554">
        <f>'OLD Sales'!E47</f>
        <v>4.276058711</v>
      </c>
      <c r="F635" s="554">
        <f>'OLD Sales'!F47</f>
        <v>2.775558537</v>
      </c>
      <c r="G635" s="554">
        <f>'OLD Sales'!G47</f>
        <v>2.077902772</v>
      </c>
      <c r="H635" s="554">
        <f>'OLD Sales'!H47</f>
        <v>2.550459183</v>
      </c>
      <c r="I635" s="554">
        <f>'OLD Sales'!I47</f>
        <v>3.794992704</v>
      </c>
      <c r="J635" s="554">
        <f>'OLD Sales'!J47</f>
        <v>2.700866068</v>
      </c>
      <c r="K635" s="554">
        <f>'OLD Sales'!K47</f>
        <v>2.474537926</v>
      </c>
      <c r="L635" s="554">
        <f>'OLD Sales'!L47</f>
        <v>1.860169322</v>
      </c>
      <c r="M635" s="554">
        <f>'OLD Sales'!M47</f>
        <v>1.860681372</v>
      </c>
      <c r="N635" s="554">
        <f>'OLD Sales'!N47</f>
        <v>1.836852722</v>
      </c>
      <c r="O635" s="554">
        <f>'OLD Sales'!O47</f>
        <v>3.119288565</v>
      </c>
      <c r="P635" s="554">
        <f>'OLD Sales'!P47</f>
        <v>2.47475585</v>
      </c>
      <c r="Q635" s="554">
        <f>'OLD Sales'!Q47</f>
        <v>2.386890175</v>
      </c>
      <c r="R635" s="554">
        <f>'OLD Sales'!R47</f>
        <v>2.225250699</v>
      </c>
      <c r="S635" s="554">
        <f>'OLD Sales'!S47</f>
        <v>6.160676352</v>
      </c>
      <c r="T635" s="554">
        <f>'OLD Sales'!T47</f>
        <v>3.565570782</v>
      </c>
      <c r="U635" s="554">
        <f>'OLD Sales'!U47</f>
        <v>3.223435379</v>
      </c>
      <c r="V635" s="554">
        <f>'OLD Sales'!V47</f>
        <v>3.170446768</v>
      </c>
      <c r="W635" s="554">
        <f>'OLD Sales'!W47</f>
        <v>2.662337884</v>
      </c>
      <c r="X635" s="554">
        <f>'OLD Sales'!X47</f>
        <v>2.580545266</v>
      </c>
      <c r="Y635" s="554">
        <f>'OLD Sales'!Y47</f>
        <v>2.283918137</v>
      </c>
      <c r="Z635" s="554">
        <f>'OLD Sales'!Z47</f>
        <v>2.526746293</v>
      </c>
      <c r="AA635" s="554">
        <f>'OLD Sales'!AA47</f>
        <v>1.869465405</v>
      </c>
      <c r="AB635" s="554">
        <f>'OLD Sales'!AB47</f>
        <v>4.116132879</v>
      </c>
      <c r="AC635" s="554">
        <f>'OLD Sales'!AC47</f>
        <v>3.702760957</v>
      </c>
      <c r="AD635" s="554">
        <f>'OLD Sales'!AD47</f>
        <v>3.497860216</v>
      </c>
      <c r="AE635" s="554">
        <f>'OLD Sales'!AE47</f>
        <v>2.603692691</v>
      </c>
      <c r="AF635" s="1549"/>
    </row>
    <row r="636">
      <c r="A636" s="20"/>
      <c r="B636" s="962"/>
      <c r="C636" s="582"/>
      <c r="D636" s="582"/>
      <c r="E636" s="582"/>
      <c r="F636" s="582"/>
      <c r="G636" s="582"/>
      <c r="H636" s="582"/>
      <c r="I636" s="582"/>
      <c r="J636" s="582"/>
      <c r="K636" s="582"/>
      <c r="L636" s="582"/>
      <c r="M636" s="582"/>
      <c r="N636" s="582"/>
      <c r="O636" s="582"/>
      <c r="P636" s="582"/>
      <c r="Q636" s="582"/>
      <c r="R636" s="582"/>
      <c r="S636" s="582"/>
      <c r="T636" s="582"/>
      <c r="U636" s="582"/>
      <c r="V636" s="582"/>
      <c r="W636" s="582"/>
      <c r="X636" s="582"/>
      <c r="Y636" s="582"/>
      <c r="Z636" s="582"/>
      <c r="AA636" s="582"/>
      <c r="AB636" s="582"/>
      <c r="AC636" s="582"/>
      <c r="AD636" s="582"/>
      <c r="AE636" s="582"/>
      <c r="AF636" s="866"/>
    </row>
    <row r="637">
      <c r="A637" s="17"/>
      <c r="B637" s="1553"/>
      <c r="C637" s="115"/>
      <c r="D637" s="115"/>
      <c r="E637" s="115"/>
      <c r="F637" s="115"/>
      <c r="G637" s="115"/>
      <c r="H637" s="115"/>
      <c r="I637" s="115"/>
      <c r="J637" s="115"/>
      <c r="K637" s="115"/>
      <c r="L637" s="115"/>
      <c r="M637" s="115"/>
      <c r="N637" s="115"/>
      <c r="O637" s="115"/>
      <c r="P637" s="115"/>
      <c r="Q637" s="115"/>
      <c r="R637" s="115"/>
      <c r="S637" s="115"/>
      <c r="T637" s="115"/>
      <c r="U637" s="17"/>
      <c r="V637" s="17"/>
      <c r="W637" s="17"/>
      <c r="X637" s="17"/>
      <c r="Y637" s="17"/>
      <c r="Z637" s="17"/>
      <c r="AA637" s="17"/>
      <c r="AB637" s="17"/>
      <c r="AC637" s="17"/>
      <c r="AD637" s="17"/>
      <c r="AE637" s="17"/>
      <c r="AF637" s="866"/>
    </row>
    <row r="638">
      <c r="A638" s="325" t="s">
        <v>98</v>
      </c>
      <c r="B638" s="1554"/>
      <c r="C638" s="1554"/>
      <c r="D638" s="1554"/>
      <c r="E638" s="1554"/>
      <c r="F638" s="1554"/>
      <c r="G638" s="1554"/>
      <c r="H638" s="1554"/>
      <c r="I638" s="1554"/>
      <c r="J638" s="1554"/>
      <c r="K638" s="1554"/>
      <c r="L638" s="1554"/>
      <c r="M638" s="1554"/>
      <c r="N638" s="1554"/>
      <c r="O638" s="1554"/>
      <c r="P638" s="1554"/>
      <c r="Q638" s="1554"/>
      <c r="R638" s="1554"/>
      <c r="S638" s="1554"/>
      <c r="T638" s="1554"/>
      <c r="U638" s="1554"/>
      <c r="V638" s="1554"/>
      <c r="W638" s="1554"/>
      <c r="X638" s="1554"/>
      <c r="Y638" s="1554"/>
      <c r="Z638" s="1554"/>
      <c r="AA638" s="582"/>
      <c r="AB638" s="1554"/>
      <c r="AC638" s="1554"/>
      <c r="AD638" s="1554"/>
      <c r="AE638" s="1554"/>
      <c r="AF638" s="866"/>
    </row>
    <row r="639">
      <c r="A639" s="74">
        <f>SUM(B141:AE141)</f>
        <v>721810.94</v>
      </c>
      <c r="B639" s="1554"/>
      <c r="C639" s="1554"/>
      <c r="D639" s="1554"/>
      <c r="E639" s="1554"/>
      <c r="F639" s="1554"/>
      <c r="G639" s="1554"/>
      <c r="H639" s="1554"/>
      <c r="I639" s="1554"/>
      <c r="J639" s="1554"/>
      <c r="K639" s="1554"/>
      <c r="L639" s="1554"/>
      <c r="M639" s="1554"/>
      <c r="N639" s="1554"/>
      <c r="O639" s="1554"/>
      <c r="P639" s="1554"/>
      <c r="Q639" s="1554"/>
      <c r="R639" s="1554"/>
      <c r="S639" s="1554"/>
      <c r="T639" s="1554"/>
      <c r="U639" s="1554"/>
      <c r="V639" s="1554"/>
      <c r="W639" s="1554"/>
      <c r="X639" s="1554"/>
      <c r="Y639" s="1554"/>
      <c r="Z639" s="1554"/>
      <c r="AA639" s="1554"/>
      <c r="AB639" s="1554"/>
      <c r="AC639" s="1554"/>
      <c r="AD639" s="1554"/>
      <c r="AE639" s="1554"/>
      <c r="AF639" s="1555"/>
    </row>
    <row r="640">
      <c r="A640" s="20"/>
      <c r="B640" s="582"/>
      <c r="C640" s="582"/>
      <c r="D640" s="582"/>
      <c r="E640" s="582"/>
      <c r="F640" s="582"/>
      <c r="G640" s="582"/>
      <c r="H640" s="582"/>
      <c r="I640" s="582"/>
      <c r="J640" s="582"/>
      <c r="K640" s="582"/>
      <c r="L640" s="582"/>
      <c r="M640" s="582"/>
      <c r="N640" s="582"/>
      <c r="O640" s="582"/>
      <c r="P640" s="582"/>
      <c r="Q640" s="582"/>
      <c r="R640" s="582"/>
      <c r="S640" s="582"/>
      <c r="T640" s="582"/>
      <c r="U640" s="582"/>
      <c r="V640" s="582"/>
      <c r="W640" s="582"/>
      <c r="X640" s="582"/>
      <c r="Y640" s="582"/>
      <c r="Z640" s="582"/>
      <c r="AA640" s="582"/>
      <c r="AB640" s="582"/>
      <c r="AC640" s="582"/>
      <c r="AD640" s="582"/>
      <c r="AE640" s="582"/>
      <c r="AF640" s="866"/>
    </row>
    <row r="641">
      <c r="A641" s="1550" t="s">
        <v>849</v>
      </c>
      <c r="B641" s="582"/>
      <c r="C641" s="582"/>
      <c r="D641" s="582"/>
      <c r="E641" s="582"/>
      <c r="F641" s="582"/>
      <c r="G641" s="582"/>
      <c r="H641" s="582"/>
      <c r="I641" s="582"/>
      <c r="J641" s="582"/>
      <c r="K641" s="582"/>
      <c r="L641" s="582"/>
      <c r="M641" s="582"/>
      <c r="N641" s="582"/>
      <c r="O641" s="582"/>
      <c r="P641" s="582"/>
      <c r="Q641" s="582"/>
      <c r="R641" s="582"/>
      <c r="S641" s="582"/>
      <c r="T641" s="582"/>
      <c r="U641" s="582"/>
      <c r="V641" s="582"/>
      <c r="W641" s="582"/>
      <c r="X641" s="582"/>
      <c r="Y641" s="582"/>
      <c r="Z641" s="582"/>
      <c r="AA641" s="582"/>
      <c r="AB641" s="582"/>
      <c r="AC641" s="582"/>
      <c r="AD641" s="582"/>
      <c r="AE641" s="582"/>
      <c r="AF641" s="866"/>
    </row>
    <row r="642">
      <c r="A642" s="74">
        <f>SUM(B628:AE628)</f>
        <v>651739.5215</v>
      </c>
      <c r="B642" s="582"/>
      <c r="C642" s="582"/>
      <c r="D642" s="582"/>
      <c r="E642" s="582"/>
      <c r="F642" s="582"/>
      <c r="G642" s="582"/>
      <c r="H642" s="582"/>
      <c r="I642" s="582"/>
      <c r="J642" s="582"/>
      <c r="K642" s="582"/>
      <c r="L642" s="582"/>
      <c r="M642" s="582"/>
      <c r="N642" s="582"/>
      <c r="O642" s="582"/>
      <c r="P642" s="582"/>
      <c r="Q642" s="582"/>
      <c r="R642" s="582"/>
      <c r="S642" s="582"/>
      <c r="T642" s="582"/>
      <c r="U642" s="582"/>
      <c r="V642" s="582"/>
      <c r="W642" s="582"/>
      <c r="X642" s="582"/>
      <c r="Y642" s="582"/>
      <c r="Z642" s="582"/>
      <c r="AA642" s="582"/>
      <c r="AB642" s="582"/>
      <c r="AC642" s="582"/>
      <c r="AD642" s="582"/>
      <c r="AE642" s="582"/>
      <c r="AF642" s="866"/>
    </row>
    <row r="643">
      <c r="A643" s="20"/>
      <c r="B643" s="582"/>
      <c r="C643" s="582"/>
      <c r="D643" s="582"/>
      <c r="E643" s="582"/>
      <c r="F643" s="582"/>
      <c r="G643" s="582"/>
      <c r="H643" s="582"/>
      <c r="I643" s="582"/>
      <c r="J643" s="582"/>
      <c r="K643" s="582"/>
      <c r="L643" s="582"/>
      <c r="M643" s="582"/>
      <c r="N643" s="582"/>
      <c r="O643" s="582"/>
      <c r="P643" s="582"/>
      <c r="Q643" s="582"/>
      <c r="R643" s="582"/>
      <c r="S643" s="582"/>
      <c r="T643" s="582"/>
      <c r="U643" s="582"/>
      <c r="V643" s="582"/>
      <c r="W643" s="582"/>
      <c r="X643" s="582"/>
      <c r="Y643" s="582"/>
      <c r="Z643" s="582"/>
      <c r="AA643" s="582"/>
      <c r="AB643" s="582"/>
      <c r="AC643" s="582"/>
      <c r="AD643" s="582"/>
      <c r="AE643" s="582"/>
      <c r="AF643" s="866"/>
    </row>
    <row r="644">
      <c r="A644" s="1550" t="s">
        <v>1078</v>
      </c>
      <c r="B644" s="582"/>
      <c r="C644" s="582"/>
      <c r="D644" s="582"/>
      <c r="E644" s="582"/>
      <c r="F644" s="582"/>
      <c r="G644" s="582"/>
      <c r="H644" s="582"/>
      <c r="I644" s="582"/>
      <c r="J644" s="582"/>
      <c r="K644" s="582"/>
      <c r="L644" s="582"/>
      <c r="M644" s="582"/>
      <c r="N644" s="582"/>
      <c r="O644" s="582"/>
      <c r="P644" s="582"/>
      <c r="Q644" s="582"/>
      <c r="R644" s="582"/>
      <c r="S644" s="582"/>
      <c r="T644" s="582"/>
      <c r="U644" s="582"/>
      <c r="V644" s="582"/>
      <c r="W644" s="582"/>
      <c r="X644" s="582"/>
      <c r="Y644" s="582"/>
      <c r="Z644" s="582"/>
      <c r="AA644" s="582"/>
      <c r="AB644" s="582"/>
      <c r="AC644" s="582"/>
      <c r="AD644" s="582"/>
      <c r="AE644" s="582"/>
      <c r="AF644" s="866"/>
    </row>
    <row r="645">
      <c r="A645" s="329">
        <f>A631/A639</f>
        <v>0.0970772464</v>
      </c>
      <c r="B645" s="582"/>
      <c r="C645" s="582"/>
      <c r="D645" s="582"/>
      <c r="E645" s="582"/>
      <c r="F645" s="582"/>
      <c r="G645" s="582"/>
      <c r="H645" s="582"/>
      <c r="I645" s="582"/>
      <c r="J645" s="582"/>
      <c r="K645" s="582"/>
      <c r="L645" s="582"/>
      <c r="M645" s="582"/>
      <c r="N645" s="582"/>
      <c r="O645" s="582"/>
      <c r="P645" s="582"/>
      <c r="Q645" s="582"/>
      <c r="R645" s="582"/>
      <c r="S645" s="582"/>
      <c r="T645" s="582"/>
      <c r="U645" s="582"/>
      <c r="V645" s="582"/>
      <c r="W645" s="582"/>
      <c r="X645" s="582"/>
      <c r="Y645" s="582"/>
      <c r="Z645" s="582"/>
      <c r="AA645" s="582"/>
      <c r="AB645" s="582"/>
      <c r="AC645" s="582"/>
      <c r="AD645" s="582"/>
      <c r="AE645" s="582"/>
      <c r="AF645" s="866"/>
    </row>
    <row r="646">
      <c r="A646" s="20"/>
      <c r="B646" s="582"/>
      <c r="C646" s="582"/>
      <c r="D646" s="582"/>
      <c r="E646" s="582"/>
      <c r="F646" s="582"/>
      <c r="G646" s="582"/>
      <c r="H646" s="582"/>
      <c r="I646" s="582"/>
      <c r="J646" s="582"/>
      <c r="K646" s="582"/>
      <c r="L646" s="582"/>
      <c r="M646" s="582"/>
      <c r="N646" s="582"/>
      <c r="O646" s="582"/>
      <c r="P646" s="582"/>
      <c r="Q646" s="582"/>
      <c r="R646" s="582"/>
      <c r="S646" s="582"/>
      <c r="T646" s="582"/>
      <c r="U646" s="582"/>
      <c r="V646" s="582"/>
      <c r="W646" s="582"/>
      <c r="X646" s="582"/>
      <c r="Y646" s="582"/>
      <c r="Z646" s="582"/>
      <c r="AA646" s="582"/>
      <c r="AB646" s="582"/>
      <c r="AC646" s="582"/>
      <c r="AD646" s="582"/>
      <c r="AE646" s="582"/>
      <c r="AF646" s="866"/>
    </row>
    <row r="647">
      <c r="A647" s="854"/>
      <c r="AF647" s="1097"/>
    </row>
    <row r="648">
      <c r="A648" s="854"/>
      <c r="AF648" s="1097"/>
    </row>
    <row r="649">
      <c r="A649" s="854"/>
      <c r="AF649" s="1097"/>
    </row>
    <row r="650">
      <c r="A650" s="854"/>
      <c r="AF650" s="1097"/>
    </row>
    <row r="651">
      <c r="A651" s="854"/>
      <c r="AF651" s="1097"/>
    </row>
    <row r="652">
      <c r="A652" s="854"/>
      <c r="AF652" s="1097"/>
    </row>
    <row r="653">
      <c r="A653" s="854"/>
      <c r="AF653" s="1097"/>
    </row>
    <row r="654">
      <c r="A654" s="854"/>
      <c r="AF654" s="1097"/>
    </row>
    <row r="655">
      <c r="A655" s="854"/>
      <c r="AF655" s="1097"/>
    </row>
    <row r="656">
      <c r="A656" s="854"/>
      <c r="AF656" s="1097"/>
    </row>
    <row r="657">
      <c r="A657" s="854"/>
      <c r="AF657" s="1097"/>
    </row>
    <row r="658">
      <c r="A658" s="854"/>
      <c r="AF658" s="1097"/>
    </row>
    <row r="659">
      <c r="A659" s="854"/>
      <c r="AF659" s="1097"/>
    </row>
    <row r="660">
      <c r="A660" s="854"/>
      <c r="AF660" s="1097"/>
    </row>
    <row r="661">
      <c r="A661" s="854"/>
      <c r="AF661" s="1097"/>
    </row>
    <row r="662">
      <c r="A662" s="854"/>
      <c r="AF662" s="1097"/>
    </row>
    <row r="663">
      <c r="A663" s="854"/>
      <c r="AF663" s="1097"/>
    </row>
    <row r="664">
      <c r="A664" s="854"/>
      <c r="AF664" s="1097"/>
    </row>
    <row r="665">
      <c r="A665" s="854"/>
      <c r="AF665" s="1097"/>
    </row>
    <row r="666">
      <c r="A666" s="854"/>
      <c r="AF666" s="1097"/>
    </row>
    <row r="667">
      <c r="A667" s="854"/>
      <c r="AF667" s="1097"/>
    </row>
    <row r="668">
      <c r="A668" s="854"/>
      <c r="AF668" s="1097"/>
    </row>
    <row r="669">
      <c r="A669" s="854"/>
      <c r="AF669" s="1097"/>
    </row>
    <row r="670">
      <c r="A670" s="854"/>
      <c r="AF670" s="1097"/>
    </row>
    <row r="671">
      <c r="A671" s="854"/>
      <c r="AF671" s="1097"/>
    </row>
    <row r="672">
      <c r="A672" s="854"/>
      <c r="AF672" s="1097"/>
    </row>
    <row r="673">
      <c r="A673" s="854"/>
      <c r="AF673" s="1097"/>
    </row>
    <row r="674">
      <c r="A674" s="854"/>
      <c r="AF674" s="1097"/>
    </row>
    <row r="675">
      <c r="A675" s="854"/>
      <c r="AF675" s="1097"/>
    </row>
    <row r="676">
      <c r="A676" s="854"/>
      <c r="AF676" s="1097"/>
    </row>
    <row r="677">
      <c r="A677" s="854"/>
      <c r="AF677" s="1097"/>
    </row>
    <row r="678">
      <c r="A678" s="854"/>
      <c r="AF678" s="1097"/>
    </row>
    <row r="679">
      <c r="A679" s="854"/>
      <c r="AF679" s="1097"/>
    </row>
    <row r="680">
      <c r="A680" s="854"/>
      <c r="AF680" s="1097"/>
    </row>
    <row r="681">
      <c r="A681" s="854"/>
      <c r="AF681" s="1097"/>
    </row>
    <row r="682">
      <c r="A682" s="854"/>
      <c r="AF682" s="1097"/>
    </row>
    <row r="683">
      <c r="A683" s="854"/>
      <c r="AF683" s="1097"/>
    </row>
    <row r="684">
      <c r="A684" s="854"/>
      <c r="AF684" s="1097"/>
    </row>
    <row r="685">
      <c r="A685" s="854"/>
      <c r="AF685" s="1097"/>
    </row>
    <row r="686">
      <c r="A686" s="854"/>
      <c r="AF686" s="1097"/>
    </row>
    <row r="687">
      <c r="A687" s="854"/>
      <c r="AF687" s="1097"/>
    </row>
    <row r="688">
      <c r="A688" s="854"/>
      <c r="AF688" s="1097"/>
    </row>
    <row r="689">
      <c r="A689" s="854"/>
      <c r="AF689" s="1097"/>
    </row>
    <row r="690">
      <c r="A690" s="854"/>
      <c r="AF690" s="1097"/>
    </row>
    <row r="691">
      <c r="A691" s="854"/>
      <c r="AF691" s="1097"/>
    </row>
    <row r="692">
      <c r="A692" s="854"/>
      <c r="AF692" s="1097"/>
    </row>
    <row r="693">
      <c r="A693" s="854"/>
      <c r="AF693" s="1097"/>
    </row>
    <row r="694">
      <c r="A694" s="854"/>
      <c r="AF694" s="1097"/>
    </row>
    <row r="695">
      <c r="A695" s="854"/>
      <c r="AF695" s="1097"/>
    </row>
    <row r="696">
      <c r="A696" s="854"/>
      <c r="AF696" s="1097"/>
    </row>
    <row r="697">
      <c r="A697" s="854"/>
      <c r="AF697" s="1097"/>
    </row>
    <row r="698">
      <c r="A698" s="854"/>
      <c r="AF698" s="1097"/>
    </row>
    <row r="699">
      <c r="A699" s="854"/>
      <c r="AF699" s="1097"/>
    </row>
    <row r="700">
      <c r="A700" s="854"/>
      <c r="AF700" s="1097"/>
    </row>
    <row r="701">
      <c r="A701" s="854"/>
      <c r="AF701" s="1097"/>
    </row>
    <row r="702">
      <c r="A702" s="854"/>
      <c r="AF702" s="1097"/>
    </row>
    <row r="703">
      <c r="A703" s="854"/>
      <c r="AF703" s="1097"/>
    </row>
    <row r="704">
      <c r="A704" s="854"/>
      <c r="AF704" s="1097"/>
    </row>
    <row r="705">
      <c r="A705" s="854"/>
      <c r="AF705" s="1097"/>
    </row>
    <row r="706">
      <c r="A706" s="854"/>
      <c r="AF706" s="1097"/>
    </row>
    <row r="707">
      <c r="A707" s="854"/>
      <c r="AF707" s="1097"/>
    </row>
    <row r="708">
      <c r="A708" s="854"/>
      <c r="AF708" s="1097"/>
    </row>
    <row r="709">
      <c r="A709" s="854"/>
      <c r="AF709" s="1097"/>
    </row>
    <row r="710">
      <c r="A710" s="854"/>
      <c r="AF710" s="1097"/>
    </row>
    <row r="711">
      <c r="A711" s="854"/>
      <c r="AF711" s="1097"/>
    </row>
    <row r="712">
      <c r="A712" s="854"/>
      <c r="AF712" s="1097"/>
    </row>
    <row r="713">
      <c r="A713" s="854"/>
      <c r="AF713" s="1097"/>
    </row>
    <row r="714">
      <c r="A714" s="854"/>
      <c r="AF714" s="1097"/>
    </row>
    <row r="715">
      <c r="A715" s="854"/>
      <c r="AF715" s="1097"/>
    </row>
    <row r="716">
      <c r="A716" s="854"/>
      <c r="AF716" s="1097"/>
    </row>
    <row r="717">
      <c r="A717" s="854"/>
      <c r="AF717" s="1097"/>
    </row>
    <row r="718">
      <c r="A718" s="854"/>
      <c r="AF718" s="1097"/>
    </row>
    <row r="719">
      <c r="A719" s="854"/>
      <c r="AF719" s="1097"/>
    </row>
    <row r="720">
      <c r="A720" s="854"/>
      <c r="AF720" s="1097"/>
    </row>
    <row r="721">
      <c r="A721" s="854"/>
      <c r="AF721" s="1097"/>
    </row>
    <row r="722">
      <c r="A722" s="854"/>
      <c r="AF722" s="1097"/>
    </row>
    <row r="723">
      <c r="A723" s="854"/>
      <c r="AF723" s="1097"/>
    </row>
    <row r="724">
      <c r="A724" s="854"/>
      <c r="AF724" s="1097"/>
    </row>
    <row r="725">
      <c r="A725" s="854"/>
      <c r="AF725" s="1097"/>
    </row>
    <row r="726">
      <c r="A726" s="854"/>
      <c r="AF726" s="1097"/>
    </row>
    <row r="727">
      <c r="A727" s="854"/>
      <c r="AF727" s="1097"/>
    </row>
    <row r="728">
      <c r="A728" s="854"/>
      <c r="AF728" s="1097"/>
    </row>
    <row r="729">
      <c r="A729" s="854"/>
      <c r="AF729" s="1097"/>
    </row>
    <row r="730">
      <c r="A730" s="854"/>
      <c r="AF730" s="1097"/>
    </row>
    <row r="731">
      <c r="A731" s="854"/>
      <c r="AF731" s="1097"/>
    </row>
    <row r="732">
      <c r="A732" s="854"/>
      <c r="AF732" s="1097"/>
    </row>
    <row r="733">
      <c r="A733" s="854"/>
      <c r="AF733" s="1097"/>
    </row>
    <row r="734">
      <c r="A734" s="854"/>
      <c r="AF734" s="1097"/>
    </row>
    <row r="735">
      <c r="A735" s="854"/>
      <c r="AF735" s="1097"/>
    </row>
    <row r="736">
      <c r="A736" s="854"/>
      <c r="AF736" s="1097"/>
    </row>
    <row r="737">
      <c r="A737" s="854"/>
      <c r="AF737" s="1097"/>
    </row>
    <row r="738">
      <c r="A738" s="854"/>
      <c r="AF738" s="1097"/>
    </row>
    <row r="739">
      <c r="A739" s="854"/>
      <c r="AF739" s="1097"/>
    </row>
    <row r="740">
      <c r="A740" s="854"/>
      <c r="AF740" s="1097"/>
    </row>
    <row r="741">
      <c r="A741" s="854"/>
      <c r="AF741" s="1097"/>
    </row>
    <row r="742">
      <c r="A742" s="854"/>
      <c r="AF742" s="1097"/>
    </row>
    <row r="743">
      <c r="A743" s="854"/>
      <c r="AF743" s="1097"/>
    </row>
    <row r="744">
      <c r="A744" s="854"/>
      <c r="AF744" s="1097"/>
    </row>
    <row r="745">
      <c r="A745" s="854"/>
      <c r="AF745" s="1097"/>
    </row>
    <row r="746">
      <c r="A746" s="854"/>
      <c r="AF746" s="1097"/>
    </row>
    <row r="747">
      <c r="A747" s="854"/>
      <c r="AF747" s="1097"/>
    </row>
    <row r="748">
      <c r="A748" s="854"/>
      <c r="AF748" s="1097"/>
    </row>
    <row r="749">
      <c r="A749" s="854"/>
      <c r="AF749" s="1097"/>
    </row>
    <row r="750">
      <c r="A750" s="854"/>
      <c r="AF750" s="1097"/>
    </row>
    <row r="751">
      <c r="A751" s="854"/>
      <c r="AF751" s="1097"/>
    </row>
    <row r="752">
      <c r="A752" s="854"/>
      <c r="AF752" s="1097"/>
    </row>
    <row r="753">
      <c r="A753" s="854"/>
      <c r="AF753" s="1097"/>
    </row>
    <row r="754">
      <c r="A754" s="854"/>
      <c r="AF754" s="1097"/>
    </row>
    <row r="755">
      <c r="A755" s="854"/>
      <c r="AF755" s="1097"/>
    </row>
    <row r="756">
      <c r="A756" s="854"/>
      <c r="AF756" s="1097"/>
    </row>
    <row r="757">
      <c r="A757" s="854"/>
      <c r="AF757" s="1097"/>
    </row>
    <row r="758">
      <c r="A758" s="854"/>
      <c r="AF758" s="1097"/>
    </row>
    <row r="759">
      <c r="A759" s="854"/>
      <c r="AF759" s="1097"/>
    </row>
    <row r="760">
      <c r="A760" s="854"/>
      <c r="AF760" s="1097"/>
    </row>
    <row r="761">
      <c r="A761" s="854"/>
      <c r="AF761" s="1097"/>
    </row>
    <row r="762">
      <c r="A762" s="854"/>
      <c r="AF762" s="1097"/>
    </row>
    <row r="763">
      <c r="A763" s="854"/>
      <c r="AF763" s="1097"/>
    </row>
    <row r="764">
      <c r="A764" s="854"/>
      <c r="AF764" s="1097"/>
    </row>
    <row r="765">
      <c r="A765" s="854"/>
      <c r="AF765" s="1097"/>
    </row>
    <row r="766">
      <c r="A766" s="854"/>
      <c r="AF766" s="1097"/>
    </row>
    <row r="767">
      <c r="A767" s="854"/>
      <c r="AF767" s="1097"/>
    </row>
    <row r="768">
      <c r="A768" s="854"/>
      <c r="AF768" s="1097"/>
    </row>
    <row r="769">
      <c r="A769" s="854"/>
      <c r="AF769" s="1097"/>
    </row>
    <row r="770">
      <c r="A770" s="854"/>
      <c r="AF770" s="1097"/>
    </row>
    <row r="771">
      <c r="A771" s="854"/>
      <c r="AF771" s="1097"/>
    </row>
    <row r="772">
      <c r="A772" s="854"/>
      <c r="AF772" s="1097"/>
    </row>
    <row r="773">
      <c r="A773" s="854"/>
      <c r="AF773" s="1097"/>
    </row>
    <row r="774">
      <c r="A774" s="854"/>
      <c r="AF774" s="1097"/>
    </row>
    <row r="775">
      <c r="A775" s="854"/>
      <c r="AF775" s="1097"/>
    </row>
    <row r="776">
      <c r="A776" s="854"/>
      <c r="AF776" s="1097"/>
    </row>
    <row r="777">
      <c r="A777" s="854"/>
      <c r="AF777" s="1097"/>
    </row>
    <row r="778">
      <c r="A778" s="854"/>
      <c r="AF778" s="1097"/>
    </row>
    <row r="779">
      <c r="A779" s="854"/>
      <c r="AF779" s="1097"/>
    </row>
    <row r="780">
      <c r="A780" s="854"/>
      <c r="AF780" s="1097"/>
    </row>
    <row r="781">
      <c r="A781" s="854"/>
      <c r="AF781" s="1097"/>
    </row>
    <row r="782">
      <c r="A782" s="854"/>
      <c r="AF782" s="1097"/>
    </row>
    <row r="783">
      <c r="A783" s="854"/>
      <c r="AF783" s="1097"/>
    </row>
    <row r="784">
      <c r="A784" s="854"/>
      <c r="AF784" s="1097"/>
    </row>
    <row r="785">
      <c r="A785" s="854"/>
      <c r="AF785" s="1097"/>
    </row>
    <row r="786">
      <c r="A786" s="854"/>
      <c r="AF786" s="1097"/>
    </row>
    <row r="787">
      <c r="A787" s="854"/>
      <c r="AF787" s="1097"/>
    </row>
    <row r="788">
      <c r="A788" s="854"/>
      <c r="AF788" s="1097"/>
    </row>
    <row r="789">
      <c r="A789" s="854"/>
      <c r="AF789" s="1097"/>
    </row>
    <row r="790">
      <c r="A790" s="854"/>
      <c r="AF790" s="1097"/>
    </row>
    <row r="791">
      <c r="A791" s="854"/>
      <c r="AF791" s="1097"/>
    </row>
    <row r="792">
      <c r="A792" s="854"/>
      <c r="AF792" s="1097"/>
    </row>
    <row r="793">
      <c r="A793" s="854"/>
      <c r="AF793" s="1097"/>
    </row>
    <row r="794">
      <c r="A794" s="854"/>
      <c r="AF794" s="1097"/>
    </row>
    <row r="795">
      <c r="A795" s="854"/>
      <c r="AF795" s="1097"/>
    </row>
    <row r="796">
      <c r="A796" s="854"/>
      <c r="AF796" s="1097"/>
    </row>
    <row r="797">
      <c r="A797" s="854"/>
      <c r="AF797" s="1097"/>
    </row>
    <row r="798">
      <c r="A798" s="854"/>
      <c r="AF798" s="1097"/>
    </row>
    <row r="799">
      <c r="A799" s="854"/>
      <c r="AF799" s="1097"/>
    </row>
    <row r="800">
      <c r="A800" s="854"/>
      <c r="AF800" s="1097"/>
    </row>
    <row r="801">
      <c r="A801" s="854"/>
      <c r="AF801" s="1097"/>
    </row>
    <row r="802">
      <c r="A802" s="854"/>
      <c r="AF802" s="1097"/>
    </row>
    <row r="803">
      <c r="A803" s="854"/>
      <c r="AF803" s="1097"/>
    </row>
    <row r="804">
      <c r="A804" s="854"/>
      <c r="AF804" s="1097"/>
    </row>
    <row r="805">
      <c r="A805" s="854"/>
      <c r="AF805" s="1097"/>
    </row>
    <row r="806">
      <c r="A806" s="854"/>
      <c r="AF806" s="1097"/>
    </row>
    <row r="807">
      <c r="A807" s="854"/>
      <c r="AF807" s="1097"/>
    </row>
    <row r="808">
      <c r="A808" s="854"/>
      <c r="AF808" s="1097"/>
    </row>
    <row r="809">
      <c r="A809" s="854"/>
      <c r="AF809" s="1097"/>
    </row>
    <row r="810">
      <c r="A810" s="854"/>
      <c r="AF810" s="1097"/>
    </row>
    <row r="811">
      <c r="A811" s="854"/>
      <c r="AF811" s="1097"/>
    </row>
    <row r="812">
      <c r="A812" s="854"/>
      <c r="AF812" s="1097"/>
    </row>
    <row r="813">
      <c r="A813" s="854"/>
      <c r="AF813" s="1097"/>
    </row>
    <row r="814">
      <c r="A814" s="854"/>
      <c r="AF814" s="1097"/>
    </row>
    <row r="815">
      <c r="A815" s="854"/>
      <c r="AF815" s="1097"/>
    </row>
    <row r="816">
      <c r="A816" s="854"/>
      <c r="AF816" s="1097"/>
    </row>
    <row r="817">
      <c r="A817" s="854"/>
      <c r="AF817" s="1097"/>
    </row>
    <row r="818">
      <c r="A818" s="854"/>
      <c r="AF818" s="1097"/>
    </row>
    <row r="819">
      <c r="A819" s="854"/>
      <c r="AF819" s="1097"/>
    </row>
    <row r="820">
      <c r="A820" s="854"/>
      <c r="AF820" s="1097"/>
    </row>
    <row r="821">
      <c r="A821" s="854"/>
      <c r="AF821" s="1097"/>
    </row>
    <row r="822">
      <c r="A822" s="854"/>
      <c r="AF822" s="1097"/>
    </row>
    <row r="823">
      <c r="A823" s="854"/>
      <c r="AF823" s="1097"/>
    </row>
    <row r="824">
      <c r="A824" s="854"/>
      <c r="AF824" s="1097"/>
    </row>
    <row r="825">
      <c r="A825" s="854"/>
      <c r="AF825" s="1097"/>
    </row>
    <row r="826">
      <c r="A826" s="854"/>
      <c r="AF826" s="1097"/>
    </row>
    <row r="827">
      <c r="A827" s="854"/>
      <c r="AF827" s="1097"/>
    </row>
    <row r="828">
      <c r="A828" s="854"/>
      <c r="AF828" s="1097"/>
    </row>
    <row r="829">
      <c r="A829" s="854"/>
      <c r="AF829" s="1097"/>
    </row>
    <row r="830">
      <c r="A830" s="854"/>
      <c r="AF830" s="1097"/>
    </row>
    <row r="831">
      <c r="A831" s="854"/>
      <c r="AF831" s="1097"/>
    </row>
    <row r="832">
      <c r="A832" s="854"/>
      <c r="AF832" s="1097"/>
    </row>
    <row r="833">
      <c r="A833" s="854"/>
      <c r="AF833" s="1097"/>
    </row>
    <row r="834">
      <c r="A834" s="854"/>
      <c r="AF834" s="1097"/>
    </row>
    <row r="835">
      <c r="A835" s="854"/>
      <c r="AF835" s="1097"/>
    </row>
    <row r="836">
      <c r="A836" s="854"/>
      <c r="AF836" s="1097"/>
    </row>
    <row r="837">
      <c r="A837" s="854"/>
      <c r="AF837" s="1097"/>
    </row>
    <row r="838">
      <c r="A838" s="854"/>
      <c r="AF838" s="1097"/>
    </row>
    <row r="839">
      <c r="A839" s="854"/>
      <c r="AF839" s="1097"/>
    </row>
    <row r="840">
      <c r="A840" s="854"/>
      <c r="AF840" s="1097"/>
    </row>
    <row r="841">
      <c r="A841" s="854"/>
      <c r="AF841" s="1097"/>
    </row>
    <row r="842">
      <c r="A842" s="854"/>
      <c r="AF842" s="1097"/>
    </row>
    <row r="843">
      <c r="A843" s="854"/>
      <c r="AF843" s="1097"/>
    </row>
    <row r="844">
      <c r="A844" s="854"/>
      <c r="AF844" s="1097"/>
    </row>
    <row r="845">
      <c r="A845" s="854"/>
      <c r="AF845" s="1097"/>
    </row>
    <row r="846">
      <c r="A846" s="854"/>
      <c r="AF846" s="1097"/>
    </row>
    <row r="847">
      <c r="A847" s="854"/>
      <c r="AF847" s="1097"/>
    </row>
    <row r="848">
      <c r="A848" s="854"/>
      <c r="AF848" s="1097"/>
    </row>
    <row r="849">
      <c r="A849" s="854"/>
      <c r="AF849" s="1097"/>
    </row>
    <row r="850">
      <c r="A850" s="854"/>
      <c r="AF850" s="1097"/>
    </row>
    <row r="851">
      <c r="A851" s="854"/>
      <c r="AF851" s="1097"/>
    </row>
    <row r="852">
      <c r="A852" s="854"/>
      <c r="AF852" s="1097"/>
    </row>
    <row r="853">
      <c r="A853" s="854"/>
      <c r="AF853" s="1097"/>
    </row>
    <row r="854">
      <c r="A854" s="854"/>
      <c r="AF854" s="1097"/>
    </row>
    <row r="855">
      <c r="A855" s="854"/>
      <c r="AF855" s="1097"/>
    </row>
    <row r="856">
      <c r="A856" s="854"/>
      <c r="AF856" s="1097"/>
    </row>
    <row r="857">
      <c r="A857" s="854"/>
      <c r="AF857" s="1097"/>
    </row>
    <row r="858">
      <c r="A858" s="854"/>
      <c r="AF858" s="1097"/>
    </row>
    <row r="859">
      <c r="A859" s="854"/>
      <c r="AF859" s="1097"/>
    </row>
    <row r="860">
      <c r="A860" s="854"/>
      <c r="AF860" s="1097"/>
    </row>
    <row r="861">
      <c r="A861" s="854"/>
      <c r="AF861" s="1097"/>
    </row>
    <row r="862">
      <c r="A862" s="854"/>
      <c r="AF862" s="1097"/>
    </row>
    <row r="863">
      <c r="A863" s="854"/>
      <c r="AF863" s="1097"/>
    </row>
    <row r="864">
      <c r="A864" s="854"/>
      <c r="AF864" s="1097"/>
    </row>
    <row r="865">
      <c r="A865" s="854"/>
      <c r="AF865" s="1097"/>
    </row>
    <row r="866">
      <c r="A866" s="854"/>
      <c r="AF866" s="1097"/>
    </row>
    <row r="867">
      <c r="A867" s="854"/>
      <c r="AF867" s="1097"/>
    </row>
    <row r="868">
      <c r="A868" s="854"/>
      <c r="AF868" s="1097"/>
    </row>
    <row r="869">
      <c r="A869" s="854"/>
      <c r="AF869" s="1097"/>
    </row>
    <row r="870">
      <c r="A870" s="854"/>
      <c r="AF870" s="1097"/>
    </row>
    <row r="871">
      <c r="A871" s="854"/>
      <c r="AF871" s="1097"/>
    </row>
    <row r="872">
      <c r="A872" s="854"/>
      <c r="AF872" s="1097"/>
    </row>
    <row r="873">
      <c r="A873" s="854"/>
      <c r="AF873" s="1097"/>
    </row>
    <row r="874">
      <c r="A874" s="854"/>
      <c r="AF874" s="1097"/>
    </row>
    <row r="875">
      <c r="A875" s="854"/>
      <c r="AF875" s="1097"/>
    </row>
    <row r="876">
      <c r="A876" s="854"/>
      <c r="AF876" s="1097"/>
    </row>
    <row r="877">
      <c r="A877" s="854"/>
      <c r="AF877" s="1097"/>
    </row>
    <row r="878">
      <c r="A878" s="854"/>
      <c r="AF878" s="1097"/>
    </row>
    <row r="879">
      <c r="A879" s="854"/>
      <c r="AF879" s="1097"/>
    </row>
    <row r="880">
      <c r="A880" s="854"/>
      <c r="AF880" s="1097"/>
    </row>
    <row r="881">
      <c r="A881" s="854"/>
      <c r="AF881" s="1097"/>
    </row>
    <row r="882">
      <c r="A882" s="854"/>
      <c r="AF882" s="1097"/>
    </row>
    <row r="883">
      <c r="A883" s="854"/>
      <c r="AF883" s="1097"/>
    </row>
    <row r="884">
      <c r="A884" s="854"/>
      <c r="AF884" s="1097"/>
    </row>
    <row r="885">
      <c r="A885" s="854"/>
      <c r="AF885" s="1097"/>
    </row>
    <row r="886">
      <c r="A886" s="854"/>
      <c r="AF886" s="1097"/>
    </row>
    <row r="887">
      <c r="A887" s="854"/>
      <c r="AF887" s="1097"/>
    </row>
    <row r="888">
      <c r="A888" s="854"/>
      <c r="AF888" s="1097"/>
    </row>
    <row r="889">
      <c r="A889" s="854"/>
      <c r="AF889" s="1097"/>
    </row>
    <row r="890">
      <c r="A890" s="854"/>
      <c r="AF890" s="1097"/>
    </row>
    <row r="891">
      <c r="A891" s="854"/>
      <c r="AF891" s="1097"/>
    </row>
    <row r="892">
      <c r="A892" s="854"/>
      <c r="AF892" s="1097"/>
    </row>
    <row r="893">
      <c r="A893" s="854"/>
      <c r="AF893" s="1097"/>
    </row>
    <row r="894">
      <c r="A894" s="854"/>
      <c r="AF894" s="1097"/>
    </row>
    <row r="895">
      <c r="A895" s="854"/>
      <c r="AF895" s="1097"/>
    </row>
    <row r="896">
      <c r="A896" s="854"/>
      <c r="AF896" s="1097"/>
    </row>
    <row r="897">
      <c r="A897" s="854"/>
      <c r="AF897" s="1097"/>
    </row>
    <row r="898">
      <c r="A898" s="854"/>
      <c r="AF898" s="1097"/>
    </row>
    <row r="899">
      <c r="A899" s="854"/>
      <c r="AF899" s="1097"/>
    </row>
    <row r="900">
      <c r="A900" s="854"/>
      <c r="AF900" s="1097"/>
    </row>
    <row r="901">
      <c r="A901" s="854"/>
      <c r="AF901" s="1097"/>
    </row>
    <row r="902">
      <c r="A902" s="854"/>
      <c r="AF902" s="1097"/>
    </row>
    <row r="903">
      <c r="A903" s="854"/>
      <c r="AF903" s="1097"/>
    </row>
    <row r="904">
      <c r="A904" s="854"/>
      <c r="AF904" s="1097"/>
    </row>
    <row r="905">
      <c r="A905" s="854"/>
      <c r="AF905" s="1097"/>
    </row>
    <row r="906">
      <c r="A906" s="854"/>
      <c r="AF906" s="1097"/>
    </row>
    <row r="907">
      <c r="A907" s="854"/>
      <c r="AF907" s="1097"/>
    </row>
    <row r="908">
      <c r="A908" s="854"/>
      <c r="AF908" s="1097"/>
    </row>
    <row r="909">
      <c r="A909" s="854"/>
      <c r="AF909" s="1097"/>
    </row>
    <row r="910">
      <c r="A910" s="854"/>
      <c r="AF910" s="1097"/>
    </row>
    <row r="911">
      <c r="A911" s="854"/>
      <c r="AF911" s="1097"/>
    </row>
    <row r="912">
      <c r="A912" s="854"/>
      <c r="AF912" s="1097"/>
    </row>
    <row r="913">
      <c r="A913" s="854"/>
      <c r="AF913" s="1097"/>
    </row>
    <row r="914">
      <c r="A914" s="854"/>
      <c r="AF914" s="1097"/>
    </row>
    <row r="915">
      <c r="A915" s="854"/>
      <c r="AF915" s="1097"/>
    </row>
    <row r="916">
      <c r="A916" s="854"/>
      <c r="AF916" s="1097"/>
    </row>
    <row r="917">
      <c r="A917" s="854"/>
      <c r="AF917" s="1097"/>
    </row>
    <row r="918">
      <c r="A918" s="854"/>
      <c r="AF918" s="1097"/>
    </row>
    <row r="919">
      <c r="A919" s="854"/>
      <c r="AF919" s="1097"/>
    </row>
    <row r="920">
      <c r="A920" s="854"/>
      <c r="AF920" s="1097"/>
    </row>
    <row r="921">
      <c r="A921" s="854"/>
      <c r="AF921" s="1097"/>
    </row>
    <row r="922">
      <c r="A922" s="854"/>
      <c r="AF922" s="1097"/>
    </row>
    <row r="923">
      <c r="A923" s="854"/>
      <c r="AF923" s="1097"/>
    </row>
    <row r="924">
      <c r="A924" s="854"/>
      <c r="AF924" s="1097"/>
    </row>
    <row r="925">
      <c r="A925" s="854"/>
      <c r="AF925" s="1097"/>
    </row>
    <row r="926">
      <c r="A926" s="854"/>
      <c r="AF926" s="1097"/>
    </row>
    <row r="927">
      <c r="A927" s="854"/>
      <c r="AF927" s="1097"/>
    </row>
    <row r="928">
      <c r="A928" s="854"/>
      <c r="AF928" s="1097"/>
    </row>
    <row r="929">
      <c r="A929" s="854"/>
      <c r="AF929" s="1097"/>
    </row>
    <row r="930">
      <c r="A930" s="854"/>
      <c r="AF930" s="1097"/>
    </row>
    <row r="931">
      <c r="A931" s="854"/>
      <c r="AF931" s="1097"/>
    </row>
    <row r="932">
      <c r="A932" s="854"/>
      <c r="AF932" s="1097"/>
    </row>
    <row r="933">
      <c r="A933" s="854"/>
      <c r="AF933" s="1097"/>
    </row>
    <row r="934">
      <c r="A934" s="854"/>
      <c r="AF934" s="1097"/>
    </row>
    <row r="935">
      <c r="A935" s="854"/>
      <c r="AF935" s="1097"/>
    </row>
    <row r="936">
      <c r="A936" s="854"/>
      <c r="AF936" s="1097"/>
    </row>
    <row r="937">
      <c r="A937" s="854"/>
      <c r="AF937" s="1097"/>
    </row>
    <row r="938">
      <c r="A938" s="854"/>
      <c r="AF938" s="1097"/>
    </row>
    <row r="939">
      <c r="A939" s="854"/>
      <c r="AF939" s="1097"/>
    </row>
    <row r="940">
      <c r="A940" s="854"/>
      <c r="AF940" s="1097"/>
    </row>
    <row r="941">
      <c r="A941" s="854"/>
      <c r="AF941" s="1097"/>
    </row>
    <row r="942">
      <c r="A942" s="854"/>
      <c r="AF942" s="1097"/>
    </row>
    <row r="943">
      <c r="A943" s="854"/>
      <c r="AF943" s="1097"/>
    </row>
    <row r="944">
      <c r="A944" s="854"/>
      <c r="AF944" s="1097"/>
    </row>
    <row r="945">
      <c r="A945" s="854"/>
      <c r="AF945" s="1097"/>
    </row>
    <row r="946">
      <c r="A946" s="854"/>
      <c r="AF946" s="1097"/>
    </row>
    <row r="947">
      <c r="A947" s="854"/>
      <c r="AF947" s="1097"/>
    </row>
    <row r="948">
      <c r="A948" s="854"/>
      <c r="AF948" s="1097"/>
    </row>
    <row r="949">
      <c r="A949" s="854"/>
      <c r="AF949" s="1097"/>
    </row>
    <row r="950">
      <c r="A950" s="854"/>
      <c r="AF950" s="1097"/>
    </row>
    <row r="951">
      <c r="A951" s="854"/>
      <c r="AF951" s="1097"/>
    </row>
    <row r="952">
      <c r="A952" s="854"/>
      <c r="AF952" s="1097"/>
    </row>
    <row r="953">
      <c r="A953" s="854"/>
      <c r="AF953" s="1097"/>
    </row>
    <row r="954">
      <c r="A954" s="854"/>
      <c r="AF954" s="1097"/>
    </row>
    <row r="955">
      <c r="A955" s="854"/>
      <c r="AF955" s="1097"/>
    </row>
    <row r="956">
      <c r="A956" s="854"/>
      <c r="AF956" s="1097"/>
    </row>
    <row r="957">
      <c r="A957" s="854"/>
      <c r="AF957" s="1097"/>
    </row>
    <row r="958">
      <c r="A958" s="854"/>
      <c r="AF958" s="1097"/>
    </row>
    <row r="959">
      <c r="A959" s="854"/>
      <c r="AF959" s="1097"/>
    </row>
    <row r="960">
      <c r="A960" s="854"/>
      <c r="AF960" s="1097"/>
    </row>
    <row r="961">
      <c r="A961" s="854"/>
      <c r="AF961" s="1097"/>
    </row>
    <row r="962">
      <c r="A962" s="854"/>
      <c r="AF962" s="1097"/>
    </row>
    <row r="963">
      <c r="A963" s="854"/>
      <c r="AF963" s="1097"/>
    </row>
    <row r="964">
      <c r="A964" s="854"/>
      <c r="AF964" s="1097"/>
    </row>
    <row r="965">
      <c r="A965" s="854"/>
      <c r="AF965" s="1097"/>
    </row>
    <row r="966">
      <c r="A966" s="854"/>
      <c r="AF966" s="1097"/>
    </row>
    <row r="967">
      <c r="A967" s="854"/>
      <c r="AF967" s="1097"/>
    </row>
    <row r="968">
      <c r="A968" s="854"/>
      <c r="AF968" s="1097"/>
    </row>
    <row r="969">
      <c r="A969" s="854"/>
      <c r="AF969" s="1097"/>
    </row>
    <row r="970">
      <c r="A970" s="854"/>
      <c r="AF970" s="1097"/>
    </row>
    <row r="971">
      <c r="A971" s="854"/>
      <c r="AF971" s="1097"/>
    </row>
    <row r="972">
      <c r="A972" s="854"/>
      <c r="AF972" s="1097"/>
    </row>
    <row r="973">
      <c r="A973" s="854"/>
      <c r="AF973" s="1097"/>
    </row>
    <row r="974">
      <c r="A974" s="854"/>
      <c r="AF974" s="1097"/>
    </row>
    <row r="975">
      <c r="A975" s="854"/>
      <c r="AF975" s="1097"/>
    </row>
    <row r="976">
      <c r="A976" s="854"/>
      <c r="AF976" s="1097"/>
    </row>
    <row r="977">
      <c r="A977" s="854"/>
      <c r="AF977" s="1097"/>
    </row>
    <row r="978">
      <c r="A978" s="854"/>
      <c r="AF978" s="1097"/>
    </row>
    <row r="979">
      <c r="A979" s="854"/>
      <c r="AF979" s="1097"/>
    </row>
    <row r="980">
      <c r="A980" s="854"/>
      <c r="AF980" s="1097"/>
    </row>
    <row r="981">
      <c r="A981" s="854"/>
      <c r="AF981" s="1097"/>
    </row>
    <row r="982">
      <c r="A982" s="854"/>
      <c r="AF982" s="1097"/>
    </row>
    <row r="983">
      <c r="A983" s="854"/>
      <c r="AF983" s="1097"/>
    </row>
    <row r="984">
      <c r="A984" s="854"/>
      <c r="AF984" s="1097"/>
    </row>
    <row r="985">
      <c r="A985" s="854"/>
      <c r="AF985" s="1097"/>
    </row>
    <row r="986">
      <c r="A986" s="854"/>
      <c r="AF986" s="1097"/>
    </row>
    <row r="987">
      <c r="A987" s="854"/>
      <c r="AF987" s="1097"/>
    </row>
    <row r="988">
      <c r="A988" s="854"/>
      <c r="AF988" s="1097"/>
    </row>
    <row r="989">
      <c r="A989" s="854"/>
      <c r="AF989" s="1097"/>
    </row>
    <row r="990">
      <c r="A990" s="854"/>
      <c r="AF990" s="1097"/>
    </row>
    <row r="991">
      <c r="A991" s="854"/>
      <c r="AF991" s="1097"/>
    </row>
    <row r="992">
      <c r="A992" s="854"/>
      <c r="AF992" s="1097"/>
    </row>
    <row r="993">
      <c r="A993" s="854"/>
      <c r="AF993" s="1097"/>
    </row>
    <row r="994">
      <c r="A994" s="854"/>
      <c r="AF994" s="1097"/>
    </row>
    <row r="995">
      <c r="A995" s="854"/>
      <c r="AF995" s="1097"/>
    </row>
    <row r="996">
      <c r="A996" s="854"/>
      <c r="AF996" s="1097"/>
    </row>
    <row r="997">
      <c r="A997" s="854"/>
      <c r="AF997" s="1097"/>
    </row>
    <row r="998">
      <c r="A998" s="854"/>
      <c r="AF998" s="1097"/>
    </row>
    <row r="999">
      <c r="A999" s="854"/>
      <c r="AF999" s="1097"/>
    </row>
    <row r="1000">
      <c r="A1000" s="854"/>
      <c r="AF1000" s="1097"/>
    </row>
    <row r="1001">
      <c r="A1001" s="854"/>
      <c r="AF1001" s="1097"/>
    </row>
    <row r="1002">
      <c r="A1002" s="854"/>
      <c r="AF1002" s="1097"/>
    </row>
    <row r="1003">
      <c r="A1003" s="854"/>
      <c r="AF1003" s="1097"/>
    </row>
    <row r="1004">
      <c r="A1004" s="854"/>
      <c r="AF1004" s="1097"/>
    </row>
    <row r="1005">
      <c r="A1005" s="854"/>
      <c r="AF1005" s="1097"/>
    </row>
    <row r="1006">
      <c r="A1006" s="854"/>
      <c r="AF1006" s="1097"/>
    </row>
    <row r="1007">
      <c r="A1007" s="854"/>
      <c r="AF1007" s="1097"/>
    </row>
    <row r="1008">
      <c r="A1008" s="854"/>
      <c r="AF1008" s="1097"/>
    </row>
    <row r="1009">
      <c r="A1009" s="854"/>
      <c r="AF1009" s="1097"/>
    </row>
    <row r="1010">
      <c r="A1010" s="854"/>
      <c r="AF1010" s="1097"/>
    </row>
    <row r="1011">
      <c r="A1011" s="854"/>
      <c r="AF1011" s="1097"/>
    </row>
    <row r="1012">
      <c r="A1012" s="854"/>
      <c r="AF1012" s="1097"/>
    </row>
    <row r="1013">
      <c r="A1013" s="854"/>
      <c r="AF1013" s="1097"/>
    </row>
    <row r="1014">
      <c r="A1014" s="854"/>
      <c r="AF1014" s="1097"/>
    </row>
    <row r="1015">
      <c r="A1015" s="854"/>
      <c r="AF1015" s="1097"/>
    </row>
    <row r="1016">
      <c r="A1016" s="854"/>
      <c r="AF1016" s="1097"/>
    </row>
    <row r="1017">
      <c r="A1017" s="854"/>
      <c r="AF1017" s="1097"/>
    </row>
    <row r="1018">
      <c r="A1018" s="854"/>
      <c r="AF1018" s="1097"/>
    </row>
    <row r="1019">
      <c r="A1019" s="854"/>
      <c r="AF1019" s="1097"/>
    </row>
    <row r="1020">
      <c r="A1020" s="854"/>
      <c r="AF1020" s="1097"/>
    </row>
    <row r="1021">
      <c r="A1021" s="854"/>
      <c r="AF1021" s="1097"/>
    </row>
    <row r="1022">
      <c r="A1022" s="854"/>
      <c r="AF1022" s="1097"/>
    </row>
    <row r="1023">
      <c r="A1023" s="854"/>
      <c r="AF1023" s="1097"/>
    </row>
    <row r="1024">
      <c r="A1024" s="854"/>
      <c r="AF1024" s="1097"/>
    </row>
    <row r="1025">
      <c r="A1025" s="854"/>
      <c r="AF1025" s="1097"/>
    </row>
    <row r="1026">
      <c r="A1026" s="854"/>
      <c r="AF1026" s="1097"/>
    </row>
    <row r="1027">
      <c r="A1027" s="854"/>
      <c r="AF1027" s="1097"/>
    </row>
    <row r="1028">
      <c r="A1028" s="854"/>
      <c r="AF1028" s="1097"/>
    </row>
    <row r="1029">
      <c r="A1029" s="854"/>
      <c r="AF1029" s="1097"/>
    </row>
    <row r="1030">
      <c r="A1030" s="854"/>
      <c r="AF1030" s="1097"/>
    </row>
    <row r="1031">
      <c r="A1031" s="854"/>
      <c r="AF1031" s="1097"/>
    </row>
    <row r="1032">
      <c r="A1032" s="854"/>
      <c r="AF1032" s="1097"/>
    </row>
    <row r="1033">
      <c r="A1033" s="854"/>
      <c r="AF1033" s="1097"/>
    </row>
    <row r="1034">
      <c r="A1034" s="854"/>
      <c r="AF1034" s="1097"/>
    </row>
    <row r="1035">
      <c r="A1035" s="854"/>
      <c r="AF1035" s="1097"/>
    </row>
    <row r="1036">
      <c r="A1036" s="854"/>
      <c r="AF1036" s="1097"/>
    </row>
    <row r="1037">
      <c r="A1037" s="854"/>
      <c r="AF1037" s="1097"/>
    </row>
    <row r="1038">
      <c r="A1038" s="854"/>
      <c r="AF1038" s="1097"/>
    </row>
    <row r="1039">
      <c r="A1039" s="854"/>
      <c r="AF1039" s="1097"/>
    </row>
    <row r="1040">
      <c r="A1040" s="854"/>
      <c r="AF1040" s="1097"/>
    </row>
    <row r="1041">
      <c r="A1041" s="854"/>
      <c r="AF1041" s="1097"/>
    </row>
    <row r="1042">
      <c r="A1042" s="854"/>
      <c r="AF1042" s="1097"/>
    </row>
    <row r="1043">
      <c r="A1043" s="854"/>
      <c r="AF1043" s="1097"/>
    </row>
    <row r="1044">
      <c r="A1044" s="854"/>
      <c r="AF1044" s="1097"/>
    </row>
    <row r="1045">
      <c r="A1045" s="854"/>
      <c r="AF1045" s="1097"/>
    </row>
    <row r="1046">
      <c r="A1046" s="854"/>
      <c r="AF1046" s="1097"/>
    </row>
    <row r="1047">
      <c r="A1047" s="854"/>
      <c r="AF1047" s="1097"/>
    </row>
    <row r="1048">
      <c r="A1048" s="854"/>
      <c r="AF1048" s="1097"/>
    </row>
    <row r="1049">
      <c r="A1049" s="854"/>
      <c r="AF1049" s="1097"/>
    </row>
    <row r="1050">
      <c r="A1050" s="854"/>
      <c r="AF1050" s="1097"/>
    </row>
    <row r="1051">
      <c r="A1051" s="854"/>
      <c r="AF1051" s="1097"/>
    </row>
    <row r="1052">
      <c r="A1052" s="854"/>
      <c r="AF1052" s="1097"/>
    </row>
    <row r="1053">
      <c r="A1053" s="854"/>
      <c r="AF1053" s="1097"/>
    </row>
    <row r="1054">
      <c r="A1054" s="854"/>
      <c r="AF1054" s="1097"/>
    </row>
    <row r="1055">
      <c r="A1055" s="854"/>
      <c r="AF1055" s="1097"/>
    </row>
    <row r="1056">
      <c r="A1056" s="854"/>
      <c r="AF1056" s="1097"/>
    </row>
    <row r="1057">
      <c r="A1057" s="854"/>
      <c r="AF1057" s="1097"/>
    </row>
    <row r="1058">
      <c r="A1058" s="854"/>
      <c r="AF1058" s="1097"/>
    </row>
    <row r="1059">
      <c r="A1059" s="854"/>
      <c r="AF1059" s="1097"/>
    </row>
    <row r="1060">
      <c r="A1060" s="854"/>
      <c r="AF1060" s="1097"/>
    </row>
    <row r="1061">
      <c r="A1061" s="854"/>
      <c r="AF1061" s="1097"/>
    </row>
    <row r="1062">
      <c r="A1062" s="854"/>
      <c r="AF1062" s="1097"/>
    </row>
    <row r="1063">
      <c r="A1063" s="854"/>
      <c r="AF1063" s="1097"/>
    </row>
    <row r="1064">
      <c r="A1064" s="854"/>
      <c r="AF1064" s="1097"/>
    </row>
    <row r="1065">
      <c r="A1065" s="854"/>
      <c r="AF1065" s="1097"/>
    </row>
    <row r="1066">
      <c r="A1066" s="854"/>
      <c r="AF1066" s="1097"/>
    </row>
    <row r="1067">
      <c r="A1067" s="854"/>
      <c r="AF1067" s="1097"/>
    </row>
    <row r="1068">
      <c r="A1068" s="854"/>
      <c r="AF1068" s="1097"/>
    </row>
    <row r="1069">
      <c r="A1069" s="854"/>
      <c r="AF1069" s="1097"/>
    </row>
    <row r="1070">
      <c r="A1070" s="854"/>
      <c r="AF1070" s="1097"/>
    </row>
    <row r="1071">
      <c r="A1071" s="854"/>
      <c r="AF1071" s="1097"/>
    </row>
    <row r="1072">
      <c r="A1072" s="854"/>
      <c r="AF1072" s="1097"/>
    </row>
    <row r="1073">
      <c r="A1073" s="854"/>
      <c r="AF1073" s="1097"/>
    </row>
    <row r="1074">
      <c r="A1074" s="854"/>
      <c r="AF1074" s="1097"/>
    </row>
    <row r="1075">
      <c r="A1075" s="854"/>
      <c r="AF1075" s="1097"/>
    </row>
    <row r="1076">
      <c r="A1076" s="854"/>
      <c r="AF1076" s="1097"/>
    </row>
    <row r="1077">
      <c r="A1077" s="854"/>
      <c r="AF1077" s="1097"/>
    </row>
    <row r="1078">
      <c r="A1078" s="854"/>
      <c r="AF1078" s="1097"/>
    </row>
    <row r="1079">
      <c r="A1079" s="854"/>
      <c r="AF1079" s="1097"/>
    </row>
    <row r="1080">
      <c r="A1080" s="854"/>
      <c r="AF1080" s="1097"/>
    </row>
    <row r="1081">
      <c r="A1081" s="854"/>
      <c r="AF1081" s="1097"/>
    </row>
    <row r="1082">
      <c r="A1082" s="854"/>
      <c r="AF1082" s="1097"/>
    </row>
    <row r="1083">
      <c r="A1083" s="854"/>
      <c r="AF1083" s="1097"/>
    </row>
    <row r="1084">
      <c r="A1084" s="854"/>
      <c r="AF1084" s="1097"/>
    </row>
    <row r="1085">
      <c r="A1085" s="854"/>
      <c r="AF1085" s="1097"/>
    </row>
    <row r="1086">
      <c r="A1086" s="854"/>
      <c r="AF1086" s="1097"/>
    </row>
    <row r="1087">
      <c r="A1087" s="854"/>
      <c r="AF1087" s="1097"/>
    </row>
    <row r="1088">
      <c r="A1088" s="854"/>
      <c r="AF1088" s="1097"/>
    </row>
    <row r="1089">
      <c r="A1089" s="854"/>
      <c r="AF1089" s="1097"/>
    </row>
    <row r="1090">
      <c r="A1090" s="854"/>
      <c r="AF1090" s="1097"/>
    </row>
    <row r="1091">
      <c r="A1091" s="854"/>
      <c r="AF1091" s="1097"/>
    </row>
    <row r="1092">
      <c r="A1092" s="854"/>
      <c r="AF1092" s="1097"/>
    </row>
    <row r="1093">
      <c r="A1093" s="854"/>
      <c r="AF1093" s="1097"/>
    </row>
    <row r="1094">
      <c r="A1094" s="854"/>
      <c r="AF1094" s="1097"/>
    </row>
    <row r="1095">
      <c r="A1095" s="854"/>
      <c r="AF1095" s="1097"/>
    </row>
    <row r="1096">
      <c r="A1096" s="854"/>
      <c r="AF1096" s="1097"/>
    </row>
    <row r="1097">
      <c r="A1097" s="854"/>
      <c r="AF1097" s="1097"/>
    </row>
    <row r="1098">
      <c r="A1098" s="854"/>
      <c r="AF1098" s="1097"/>
    </row>
    <row r="1099">
      <c r="A1099" s="854"/>
      <c r="AF1099" s="1097"/>
    </row>
    <row r="1100">
      <c r="A1100" s="854"/>
      <c r="AF1100" s="1097"/>
    </row>
    <row r="1101">
      <c r="A1101" s="854"/>
      <c r="AF1101" s="1097"/>
    </row>
    <row r="1102">
      <c r="A1102" s="854"/>
      <c r="AF1102" s="1097"/>
    </row>
    <row r="1103">
      <c r="A1103" s="854"/>
      <c r="AF1103" s="1097"/>
    </row>
    <row r="1104">
      <c r="A1104" s="854"/>
      <c r="AF1104" s="1097"/>
    </row>
    <row r="1105">
      <c r="A1105" s="854"/>
      <c r="AF1105" s="1097"/>
    </row>
    <row r="1106">
      <c r="A1106" s="854"/>
      <c r="AF1106" s="1097"/>
    </row>
    <row r="1107">
      <c r="A1107" s="854"/>
      <c r="AF1107" s="1097"/>
    </row>
    <row r="1108">
      <c r="A1108" s="854"/>
      <c r="AF1108" s="1097"/>
    </row>
    <row r="1109">
      <c r="A1109" s="854"/>
      <c r="AF1109" s="1097"/>
    </row>
    <row r="1110">
      <c r="A1110" s="854"/>
      <c r="AF1110" s="1097"/>
    </row>
    <row r="1111">
      <c r="A1111" s="854"/>
      <c r="AF1111" s="1097"/>
    </row>
    <row r="1112">
      <c r="A1112" s="854"/>
      <c r="AF1112" s="1097"/>
    </row>
    <row r="1113">
      <c r="A1113" s="854"/>
      <c r="AF1113" s="1097"/>
    </row>
    <row r="1114">
      <c r="A1114" s="854"/>
      <c r="AF1114" s="1097"/>
    </row>
    <row r="1115">
      <c r="A1115" s="854"/>
      <c r="AF1115" s="1097"/>
    </row>
    <row r="1116">
      <c r="A1116" s="854"/>
      <c r="AF1116" s="1097"/>
    </row>
    <row r="1117">
      <c r="A1117" s="854"/>
      <c r="AF1117" s="1097"/>
    </row>
    <row r="1118">
      <c r="A1118" s="854"/>
      <c r="AF1118" s="1097"/>
    </row>
    <row r="1119">
      <c r="A1119" s="854"/>
      <c r="AF1119" s="1097"/>
    </row>
    <row r="1120">
      <c r="A1120" s="854"/>
      <c r="AF1120" s="1097"/>
    </row>
    <row r="1121">
      <c r="A1121" s="854"/>
      <c r="AF1121" s="1097"/>
    </row>
    <row r="1122">
      <c r="A1122" s="854"/>
      <c r="AF1122" s="1097"/>
    </row>
    <row r="1123">
      <c r="A1123" s="854"/>
      <c r="AF1123" s="1097"/>
    </row>
    <row r="1124">
      <c r="A1124" s="854"/>
      <c r="AF1124" s="1097"/>
    </row>
    <row r="1125">
      <c r="A1125" s="854"/>
      <c r="AF1125" s="1097"/>
    </row>
    <row r="1126">
      <c r="A1126" s="854"/>
      <c r="AF1126" s="1097"/>
    </row>
    <row r="1127">
      <c r="A1127" s="854"/>
      <c r="AF1127" s="1097"/>
    </row>
    <row r="1128">
      <c r="A1128" s="854"/>
      <c r="AF1128" s="1097"/>
    </row>
    <row r="1129">
      <c r="A1129" s="854"/>
      <c r="AF1129" s="1097"/>
    </row>
    <row r="1130">
      <c r="A1130" s="854"/>
      <c r="AF1130" s="1097"/>
    </row>
    <row r="1131">
      <c r="A1131" s="854"/>
      <c r="AF1131" s="1097"/>
    </row>
    <row r="1132">
      <c r="A1132" s="854"/>
      <c r="AF1132" s="1097"/>
    </row>
    <row r="1133">
      <c r="A1133" s="854"/>
      <c r="AF1133" s="1097"/>
    </row>
    <row r="1134">
      <c r="A1134" s="854"/>
      <c r="AF1134" s="1097"/>
    </row>
    <row r="1135">
      <c r="A1135" s="854"/>
      <c r="AF1135" s="1097"/>
    </row>
    <row r="1136">
      <c r="A1136" s="854"/>
      <c r="AF1136" s="1097"/>
    </row>
    <row r="1137">
      <c r="A1137" s="854"/>
      <c r="AF1137" s="1097"/>
    </row>
    <row r="1138">
      <c r="A1138" s="854"/>
      <c r="AF1138" s="1097"/>
    </row>
    <row r="1139">
      <c r="A1139" s="854"/>
      <c r="AF1139" s="1097"/>
    </row>
    <row r="1140">
      <c r="A1140" s="854"/>
      <c r="AF1140" s="1097"/>
    </row>
    <row r="1141">
      <c r="A1141" s="854"/>
      <c r="AF1141" s="1097"/>
    </row>
    <row r="1142">
      <c r="A1142" s="854"/>
      <c r="AF1142" s="1097"/>
    </row>
    <row r="1143">
      <c r="A1143" s="854"/>
      <c r="AF1143" s="1097"/>
    </row>
    <row r="1144">
      <c r="A1144" s="854"/>
      <c r="AF1144" s="1097"/>
    </row>
    <row r="1145">
      <c r="A1145" s="854"/>
      <c r="AF1145" s="1097"/>
    </row>
    <row r="1146">
      <c r="A1146" s="854"/>
      <c r="AF1146" s="1097"/>
    </row>
    <row r="1147">
      <c r="A1147" s="854"/>
      <c r="AF1147" s="1097"/>
    </row>
    <row r="1148">
      <c r="A1148" s="854"/>
      <c r="AF1148" s="1097"/>
    </row>
    <row r="1149">
      <c r="A1149" s="854"/>
      <c r="AF1149" s="1097"/>
    </row>
    <row r="1150">
      <c r="A1150" s="854"/>
      <c r="AF1150" s="1097"/>
    </row>
    <row r="1151">
      <c r="A1151" s="854"/>
      <c r="AF1151" s="1097"/>
    </row>
    <row r="1152">
      <c r="A1152" s="854"/>
      <c r="AF1152" s="1097"/>
    </row>
    <row r="1153">
      <c r="A1153" s="854"/>
      <c r="AF1153" s="1097"/>
    </row>
    <row r="1154">
      <c r="A1154" s="854"/>
      <c r="AF1154" s="1097"/>
    </row>
    <row r="1155">
      <c r="A1155" s="854"/>
      <c r="AF1155" s="1097"/>
    </row>
    <row r="1156">
      <c r="A1156" s="854"/>
      <c r="AF1156" s="1097"/>
    </row>
    <row r="1157">
      <c r="A1157" s="854"/>
      <c r="AF1157" s="1097"/>
    </row>
    <row r="1158">
      <c r="A1158" s="854"/>
      <c r="AF1158" s="1097"/>
    </row>
    <row r="1159">
      <c r="A1159" s="854"/>
      <c r="AF1159" s="1097"/>
    </row>
    <row r="1160">
      <c r="A1160" s="854"/>
      <c r="AF1160" s="1097"/>
    </row>
    <row r="1161">
      <c r="A1161" s="854"/>
      <c r="AF1161" s="1097"/>
    </row>
    <row r="1162">
      <c r="A1162" s="854"/>
      <c r="AF1162" s="1097"/>
    </row>
    <row r="1163">
      <c r="A1163" s="854"/>
      <c r="AF1163" s="1097"/>
    </row>
    <row r="1164">
      <c r="A1164" s="854"/>
      <c r="AF1164" s="1097"/>
    </row>
    <row r="1165">
      <c r="A1165" s="854"/>
      <c r="AF1165" s="1097"/>
    </row>
    <row r="1166">
      <c r="A1166" s="854"/>
      <c r="AF1166" s="1097"/>
    </row>
    <row r="1167">
      <c r="A1167" s="854"/>
      <c r="AF1167" s="1097"/>
    </row>
    <row r="1168">
      <c r="A1168" s="854"/>
      <c r="AF1168" s="1097"/>
    </row>
    <row r="1169">
      <c r="A1169" s="854"/>
      <c r="AF1169" s="1097"/>
    </row>
    <row r="1170">
      <c r="A1170" s="854"/>
      <c r="AF1170" s="1097"/>
    </row>
    <row r="1171">
      <c r="A1171" s="854"/>
      <c r="AF1171" s="1097"/>
    </row>
    <row r="1172">
      <c r="A1172" s="854"/>
      <c r="AF1172" s="1097"/>
    </row>
    <row r="1173">
      <c r="A1173" s="854"/>
      <c r="AF1173" s="1097"/>
    </row>
    <row r="1174">
      <c r="A1174" s="854"/>
      <c r="AF1174" s="1097"/>
    </row>
    <row r="1175">
      <c r="A1175" s="854"/>
      <c r="AF1175" s="1097"/>
    </row>
    <row r="1176">
      <c r="A1176" s="854"/>
      <c r="AF1176" s="1097"/>
    </row>
    <row r="1177">
      <c r="A1177" s="854"/>
      <c r="AF1177" s="1097"/>
    </row>
    <row r="1178">
      <c r="A1178" s="854"/>
      <c r="AF1178" s="1097"/>
    </row>
    <row r="1179">
      <c r="A1179" s="854"/>
      <c r="AF1179" s="1097"/>
    </row>
    <row r="1180">
      <c r="A1180" s="854"/>
      <c r="AF1180" s="1097"/>
    </row>
    <row r="1181">
      <c r="A1181" s="854"/>
      <c r="AF1181" s="1097"/>
    </row>
    <row r="1182">
      <c r="A1182" s="854"/>
      <c r="AF1182" s="1097"/>
    </row>
    <row r="1183">
      <c r="A1183" s="854"/>
      <c r="AF1183" s="1097"/>
    </row>
    <row r="1184">
      <c r="A1184" s="854"/>
      <c r="AF1184" s="1097"/>
    </row>
    <row r="1185">
      <c r="A1185" s="854"/>
      <c r="AF1185" s="1097"/>
    </row>
    <row r="1186">
      <c r="A1186" s="854"/>
      <c r="AF1186" s="1097"/>
    </row>
    <row r="1187">
      <c r="A1187" s="854"/>
      <c r="AF1187" s="1097"/>
    </row>
    <row r="1188">
      <c r="A1188" s="854"/>
      <c r="AF1188" s="1097"/>
    </row>
    <row r="1189">
      <c r="A1189" s="854"/>
      <c r="AF1189" s="1097"/>
    </row>
    <row r="1190">
      <c r="A1190" s="854"/>
      <c r="AF1190" s="1097"/>
    </row>
    <row r="1191">
      <c r="A1191" s="854"/>
      <c r="AF1191" s="1097"/>
    </row>
    <row r="1192">
      <c r="A1192" s="854"/>
      <c r="AF1192" s="1097"/>
    </row>
    <row r="1193">
      <c r="A1193" s="854"/>
      <c r="AF1193" s="1097"/>
    </row>
    <row r="1194">
      <c r="A1194" s="854"/>
      <c r="AF1194" s="1097"/>
    </row>
    <row r="1195">
      <c r="A1195" s="854"/>
      <c r="AF1195" s="1097"/>
    </row>
    <row r="1196">
      <c r="A1196" s="854"/>
      <c r="AF1196" s="1097"/>
    </row>
    <row r="1197">
      <c r="A1197" s="854"/>
      <c r="AF1197" s="1097"/>
    </row>
    <row r="1198">
      <c r="A1198" s="854"/>
      <c r="AF1198" s="1097"/>
    </row>
    <row r="1199">
      <c r="A1199" s="854"/>
      <c r="AF1199" s="1097"/>
    </row>
    <row r="1200">
      <c r="A1200" s="854"/>
      <c r="AF1200" s="1097"/>
    </row>
    <row r="1201">
      <c r="A1201" s="854"/>
      <c r="AF1201" s="1097"/>
    </row>
    <row r="1202">
      <c r="A1202" s="854"/>
      <c r="AF1202" s="1097"/>
    </row>
    <row r="1203">
      <c r="A1203" s="854"/>
      <c r="AF1203" s="1097"/>
    </row>
    <row r="1204">
      <c r="A1204" s="854"/>
      <c r="AF1204" s="1097"/>
    </row>
  </sheetData>
  <conditionalFormatting sqref="B630:AE630">
    <cfRule type="cellIs" dxfId="1" priority="1" operator="lessThan">
      <formula>0</formula>
    </cfRule>
  </conditionalFormatting>
  <conditionalFormatting sqref="B630:AE630">
    <cfRule type="cellIs" dxfId="3" priority="2" operator="greaterThan">
      <formula>0</formula>
    </cfRule>
  </conditionalFormatting>
  <conditionalFormatting sqref="B535:AE535">
    <cfRule type="colorScale" priority="3">
      <colorScale>
        <cfvo type="min"/>
        <cfvo type="max"/>
        <color rgb="FFFFFFFF"/>
        <color rgb="FFE67C73"/>
      </colorScale>
    </cfRule>
  </conditionalFormatting>
  <conditionalFormatting sqref="B63:AE63 B75:AE75 B112:AE112 B115:AE115">
    <cfRule type="cellIs" dxfId="1" priority="4" operator="lessThan">
      <formula>0</formula>
    </cfRule>
  </conditionalFormatting>
  <conditionalFormatting sqref="B63:AE63 B75:AE75 B112:AE112 B115:AE115">
    <cfRule type="cellIs" dxfId="3" priority="5" operator="greaterThan">
      <formula>0</formula>
    </cfRule>
  </conditionalFormatting>
  <conditionalFormatting sqref="B81:AE81 B87:AE87 B112:AE112 B115:AE115">
    <cfRule type="cellIs" dxfId="3" priority="6" operator="greaterThan">
      <formula>0</formula>
    </cfRule>
  </conditionalFormatting>
  <conditionalFormatting sqref="B81:AE81 B87:AE87 B112:AE112 B115:AE115">
    <cfRule type="cellIs" dxfId="1" priority="7" operator="lessThan">
      <formula>0</formula>
    </cfRule>
  </conditionalFormatting>
  <conditionalFormatting sqref="B57:AE57">
    <cfRule type="cellIs" dxfId="3" priority="8" operator="greaterThan">
      <formula>0</formula>
    </cfRule>
  </conditionalFormatting>
  <conditionalFormatting sqref="B57:AE57">
    <cfRule type="cellIs" dxfId="1" priority="9" operator="lessThan">
      <formula>0</formula>
    </cfRule>
  </conditionalFormatting>
  <conditionalFormatting sqref="B633:AE633">
    <cfRule type="colorScale" priority="10">
      <colorScale>
        <cfvo type="min"/>
        <cfvo type="max"/>
        <color rgb="FFFFFFFF"/>
        <color rgb="FF57BB8A"/>
      </colorScale>
    </cfRule>
  </conditionalFormatting>
  <conditionalFormatting sqref="B635:AE635">
    <cfRule type="colorScale" priority="11">
      <colorScale>
        <cfvo type="min"/>
        <cfvo type="max"/>
        <color rgb="FFFFFFFF"/>
        <color rgb="FF57BB8A"/>
      </colorScale>
    </cfRule>
  </conditionalFormatting>
  <conditionalFormatting sqref="A58">
    <cfRule type="cellIs" dxfId="4" priority="12" operator="greaterThan">
      <formula>0</formula>
    </cfRule>
  </conditionalFormatting>
  <conditionalFormatting sqref="A58">
    <cfRule type="cellIs" dxfId="1" priority="13" operator="lessThan">
      <formula>0</formula>
    </cfRule>
  </conditionalFormatting>
  <conditionalFormatting sqref="B69:AE69 R91">
    <cfRule type="cellIs" dxfId="3" priority="14" operator="greaterThan">
      <formula>0</formula>
    </cfRule>
  </conditionalFormatting>
  <conditionalFormatting sqref="B69:AE69 R91">
    <cfRule type="cellIs" dxfId="1" priority="15" operator="lessThan">
      <formula>0</formula>
    </cfRule>
  </conditionalFormatting>
  <conditionalFormatting sqref="A631">
    <cfRule type="cellIs" dxfId="0" priority="16" operator="greaterThan">
      <formula>0</formula>
    </cfRule>
  </conditionalFormatting>
  <conditionalFormatting sqref="A631">
    <cfRule type="cellIs" dxfId="5" priority="17" operator="lessThan">
      <formula>0</formula>
    </cfRule>
  </conditionalFormatting>
  <conditionalFormatting sqref="B567:AE568 AE588">
    <cfRule type="colorScale" priority="18">
      <colorScale>
        <cfvo type="min"/>
        <cfvo type="max"/>
        <color rgb="FFFFFFFF"/>
        <color rgb="FFE67C73"/>
      </colorScale>
    </cfRule>
  </conditionalFormatting>
  <conditionalFormatting sqref="B569:AE569">
    <cfRule type="colorScale" priority="19">
      <colorScale>
        <cfvo type="min"/>
        <cfvo type="max"/>
        <color rgb="FFFFFFFF"/>
        <color rgb="FFE67C73"/>
      </colorScale>
    </cfRule>
  </conditionalFormatting>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4.63"/>
    <col customWidth="1" min="3" max="3" width="12.25"/>
    <col customWidth="1" min="4" max="4" width="11.75"/>
    <col customWidth="1" min="5" max="5" width="17.38"/>
    <col customWidth="1" min="7" max="7" width="10.63"/>
    <col customWidth="1" min="8" max="8" width="21.0"/>
    <col customWidth="1" min="11" max="11" width="19.5"/>
    <col customWidth="1" min="14" max="14" width="15.25"/>
    <col customWidth="1" min="20" max="20" width="23.0"/>
  </cols>
  <sheetData>
    <row r="1">
      <c r="B1" s="1101" t="s">
        <v>613</v>
      </c>
      <c r="T1" s="1102"/>
      <c r="U1" s="1104"/>
      <c r="V1" s="1104"/>
      <c r="W1" s="1104"/>
      <c r="X1" s="1104"/>
      <c r="Y1" s="1104"/>
      <c r="Z1" s="1104"/>
      <c r="AA1" s="1104"/>
      <c r="AB1" s="1104"/>
      <c r="AC1" s="1104"/>
      <c r="AD1" s="1104"/>
      <c r="AE1" s="1104"/>
      <c r="AF1" s="1104"/>
      <c r="AG1" s="1106"/>
      <c r="AH1" s="1106"/>
      <c r="AI1" s="1106"/>
      <c r="AJ1" s="1106"/>
      <c r="AK1" s="1106"/>
      <c r="AL1" s="1106"/>
      <c r="AM1" s="1106"/>
      <c r="AN1" s="1106"/>
      <c r="AO1" s="1106"/>
      <c r="AP1" s="1106"/>
      <c r="AQ1" s="1106"/>
      <c r="AR1" s="1106"/>
      <c r="AS1" s="1106"/>
      <c r="AT1" s="1106"/>
      <c r="AU1" s="1106"/>
      <c r="AV1" s="1106"/>
      <c r="AW1" s="1106"/>
      <c r="AX1" s="1106"/>
    </row>
    <row r="2">
      <c r="A2" s="1107" t="s">
        <v>614</v>
      </c>
      <c r="B2" s="1108" t="s">
        <v>615</v>
      </c>
      <c r="C2" s="1109"/>
      <c r="E2" s="1111" t="s">
        <v>616</v>
      </c>
      <c r="F2" s="1109"/>
      <c r="G2" s="1112"/>
      <c r="H2" s="1111" t="s">
        <v>1058</v>
      </c>
      <c r="I2" s="1109"/>
      <c r="J2" s="1113"/>
      <c r="K2" s="1111" t="s">
        <v>618</v>
      </c>
      <c r="L2" s="1109"/>
      <c r="N2" s="1111" t="s">
        <v>619</v>
      </c>
      <c r="O2" s="1109"/>
      <c r="Q2" s="1111" t="s">
        <v>620</v>
      </c>
      <c r="R2" s="1109"/>
      <c r="T2" s="1114" t="s">
        <v>1059</v>
      </c>
      <c r="U2" s="1115">
        <v>45170.0</v>
      </c>
      <c r="V2" s="1115">
        <v>45171.0</v>
      </c>
      <c r="W2" s="1115">
        <v>45172.0</v>
      </c>
      <c r="X2" s="1115">
        <v>45173.0</v>
      </c>
      <c r="Y2" s="1115">
        <v>45174.0</v>
      </c>
      <c r="Z2" s="1115">
        <v>45175.0</v>
      </c>
      <c r="AA2" s="1115">
        <v>45176.0</v>
      </c>
      <c r="AB2" s="1115">
        <v>45177.0</v>
      </c>
      <c r="AC2" s="1115">
        <v>45178.0</v>
      </c>
      <c r="AD2" s="1115">
        <v>45179.0</v>
      </c>
      <c r="AE2" s="1115">
        <v>45180.0</v>
      </c>
      <c r="AF2" s="1115">
        <v>45181.0</v>
      </c>
      <c r="AG2" s="1115">
        <v>45182.0</v>
      </c>
      <c r="AH2" s="1115">
        <v>45183.0</v>
      </c>
      <c r="AI2" s="1115">
        <v>45184.0</v>
      </c>
      <c r="AJ2" s="1115">
        <v>45185.0</v>
      </c>
      <c r="AK2" s="1115">
        <v>45186.0</v>
      </c>
      <c r="AL2" s="1115">
        <v>45187.0</v>
      </c>
      <c r="AM2" s="1115">
        <v>45188.0</v>
      </c>
      <c r="AN2" s="1115">
        <v>45189.0</v>
      </c>
      <c r="AO2" s="1115">
        <v>45190.0</v>
      </c>
      <c r="AP2" s="1115">
        <v>45191.0</v>
      </c>
      <c r="AQ2" s="1115">
        <v>45192.0</v>
      </c>
      <c r="AR2" s="1115">
        <v>45193.0</v>
      </c>
      <c r="AS2" s="1115">
        <v>45194.0</v>
      </c>
      <c r="AT2" s="1115">
        <v>45195.0</v>
      </c>
      <c r="AU2" s="1115">
        <v>45196.0</v>
      </c>
      <c r="AV2" s="1115">
        <v>45197.0</v>
      </c>
      <c r="AW2" s="1115">
        <v>45198.0</v>
      </c>
      <c r="AX2" s="1115">
        <v>45199.0</v>
      </c>
    </row>
    <row r="3">
      <c r="A3" s="1117"/>
      <c r="B3" s="1118" t="s">
        <v>622</v>
      </c>
      <c r="C3" s="1119">
        <v>81.22</v>
      </c>
      <c r="D3" s="1120">
        <v>86.9</v>
      </c>
      <c r="E3" s="1121" t="s">
        <v>623</v>
      </c>
      <c r="F3" s="1122">
        <f>(('OLD Detailed Report'!AF179)/'OLD Detailed Report'!AF172)</f>
        <v>0.06480985538</v>
      </c>
      <c r="G3" s="1123"/>
      <c r="H3" s="1124" t="s">
        <v>615</v>
      </c>
      <c r="I3" s="1125">
        <f>(C3*F9)+(C4*F8)+(C5*F3)+(C6*F4)+(C7*F5)+(C8*F6)+(C9*F7)</f>
        <v>90.99439207</v>
      </c>
      <c r="J3" s="1126">
        <f>(D3*F9)+(D4*F8)+(D5*F3)+(D6*F4)+(D7*F5)+(D8*F6)+(D9*F7)</f>
        <v>97.69234601</v>
      </c>
      <c r="K3" s="1127" t="s">
        <v>1060</v>
      </c>
      <c r="L3" s="1128">
        <v>0.029</v>
      </c>
      <c r="N3" s="1118" t="s">
        <v>627</v>
      </c>
      <c r="O3" s="1129">
        <v>0.22</v>
      </c>
      <c r="Q3" s="1121" t="s">
        <v>628</v>
      </c>
      <c r="R3" s="1130">
        <v>15.0</v>
      </c>
      <c r="T3" s="1131" t="s">
        <v>1061</v>
      </c>
      <c r="U3" s="1132">
        <v>15.0</v>
      </c>
      <c r="V3" s="1132">
        <v>21.0</v>
      </c>
      <c r="W3" s="1132">
        <v>35.0</v>
      </c>
      <c r="X3" s="1132">
        <v>62.0</v>
      </c>
      <c r="Y3" s="1132">
        <v>81.0</v>
      </c>
      <c r="Z3" s="1132">
        <v>32.0</v>
      </c>
      <c r="AA3" s="1132">
        <v>18.0</v>
      </c>
      <c r="AB3" s="1132">
        <v>15.0</v>
      </c>
      <c r="AC3" s="1132">
        <v>15.0</v>
      </c>
      <c r="AD3" s="1132">
        <v>22.0</v>
      </c>
      <c r="AE3" s="1132">
        <v>29.0</v>
      </c>
      <c r="AF3" s="1132">
        <v>18.0</v>
      </c>
      <c r="AG3" s="27">
        <v>23.0</v>
      </c>
      <c r="AH3" s="1133">
        <v>14.0</v>
      </c>
      <c r="AI3" s="1133">
        <v>22.0</v>
      </c>
      <c r="AJ3" s="1133">
        <v>26.0</v>
      </c>
      <c r="AK3" s="1133">
        <v>17.0</v>
      </c>
      <c r="AL3" s="1133">
        <v>114.0</v>
      </c>
      <c r="AM3" s="1133">
        <v>18.0</v>
      </c>
      <c r="AN3" s="1134">
        <v>47.0</v>
      </c>
      <c r="AO3" s="1134">
        <v>37.0</v>
      </c>
      <c r="AP3" s="1134">
        <v>32.0</v>
      </c>
      <c r="AQ3" s="1134">
        <v>32.0</v>
      </c>
      <c r="AR3" s="1133">
        <v>29.0</v>
      </c>
      <c r="AS3" s="1133">
        <v>7.0</v>
      </c>
      <c r="AT3" s="1133">
        <v>0.0</v>
      </c>
      <c r="AU3" s="1133">
        <v>0.0</v>
      </c>
      <c r="AV3" s="1133">
        <v>9.0</v>
      </c>
      <c r="AW3" s="1133">
        <v>28.0</v>
      </c>
      <c r="AX3" s="1133">
        <v>31.0</v>
      </c>
    </row>
    <row r="4">
      <c r="A4" s="1117"/>
      <c r="B4" s="1118" t="s">
        <v>630</v>
      </c>
      <c r="C4" s="1119">
        <v>91.14</v>
      </c>
      <c r="D4" s="1120">
        <v>97.61</v>
      </c>
      <c r="E4" s="1121" t="s">
        <v>147</v>
      </c>
      <c r="F4" s="1122">
        <f>('OLD Detailed Report'!AF174/'OLD Detailed Report'!AF172)</f>
        <v>0.3674343867</v>
      </c>
      <c r="G4" s="1123"/>
      <c r="H4" s="1124" t="s">
        <v>631</v>
      </c>
      <c r="I4" s="1125">
        <f>C32+(D32*0.78)</f>
        <v>13.0593</v>
      </c>
      <c r="J4" s="1135"/>
      <c r="K4" s="1121" t="s">
        <v>632</v>
      </c>
      <c r="L4" s="1128">
        <v>0.034</v>
      </c>
      <c r="N4" s="1118" t="s">
        <v>633</v>
      </c>
      <c r="O4" s="1129">
        <v>0.13</v>
      </c>
      <c r="Q4" s="1121" t="s">
        <v>634</v>
      </c>
      <c r="R4" s="1130">
        <v>40.0</v>
      </c>
      <c r="T4" s="1136" t="s">
        <v>1062</v>
      </c>
      <c r="U4" s="1133">
        <v>31.0</v>
      </c>
      <c r="V4" s="1133">
        <v>36.0</v>
      </c>
      <c r="W4" s="1133">
        <v>55.0</v>
      </c>
      <c r="X4" s="1133">
        <v>70.0</v>
      </c>
      <c r="Y4" s="1133">
        <v>177.0</v>
      </c>
      <c r="Z4" s="1133">
        <v>45.0</v>
      </c>
      <c r="AA4" s="1133">
        <v>26.0</v>
      </c>
      <c r="AB4" s="1133">
        <v>19.0</v>
      </c>
      <c r="AC4" s="1133">
        <v>26.0</v>
      </c>
      <c r="AD4" s="1133">
        <v>34.0</v>
      </c>
      <c r="AE4" s="1133">
        <v>26.0</v>
      </c>
      <c r="AF4" s="1133">
        <v>28.0</v>
      </c>
      <c r="AG4" s="27">
        <v>21.0</v>
      </c>
      <c r="AH4" s="27">
        <v>28.0</v>
      </c>
      <c r="AI4" s="27">
        <v>24.0</v>
      </c>
      <c r="AJ4" s="1133">
        <v>27.0</v>
      </c>
      <c r="AK4" s="1133">
        <v>28.0</v>
      </c>
      <c r="AL4" s="1133">
        <v>132.0</v>
      </c>
      <c r="AM4" s="1133">
        <v>42.0</v>
      </c>
      <c r="AN4" s="1133">
        <v>58.0</v>
      </c>
      <c r="AO4" s="1133">
        <v>25.0</v>
      </c>
      <c r="AP4" s="1133">
        <v>28.0</v>
      </c>
      <c r="AQ4" s="1133">
        <v>34.0</v>
      </c>
      <c r="AR4" s="1133">
        <v>41.0</v>
      </c>
      <c r="AS4" s="1133">
        <v>16.0</v>
      </c>
      <c r="AT4" s="1133">
        <v>0.0</v>
      </c>
      <c r="AU4" s="1133">
        <v>0.0</v>
      </c>
      <c r="AV4" s="1133">
        <v>17.0</v>
      </c>
      <c r="AW4" s="1133">
        <v>33.0</v>
      </c>
      <c r="AX4" s="1133">
        <v>31.0</v>
      </c>
    </row>
    <row r="5">
      <c r="A5" s="1117"/>
      <c r="B5" s="1118" t="s">
        <v>635</v>
      </c>
      <c r="C5" s="1125">
        <v>10.5</v>
      </c>
      <c r="D5" s="1120">
        <v>13.44</v>
      </c>
      <c r="E5" s="1121" t="s">
        <v>636</v>
      </c>
      <c r="F5" s="1122">
        <f>('OLD Detailed Report'!AF175)/'OLD Detailed Report'!AF172</f>
        <v>0</v>
      </c>
      <c r="G5" s="1123"/>
      <c r="H5" s="1118" t="s">
        <v>637</v>
      </c>
      <c r="I5" s="1125">
        <f>C28</f>
        <v>15.06</v>
      </c>
      <c r="K5" s="1121" t="s">
        <v>638</v>
      </c>
      <c r="L5" s="1128">
        <v>0.075</v>
      </c>
      <c r="N5" s="1118" t="s">
        <v>639</v>
      </c>
      <c r="O5" s="1137"/>
      <c r="Q5" s="1121" t="s">
        <v>640</v>
      </c>
      <c r="R5" s="1130">
        <v>20.0</v>
      </c>
      <c r="T5" s="1136" t="s">
        <v>88</v>
      </c>
      <c r="U5" s="1133">
        <v>1.0</v>
      </c>
      <c r="V5" s="1133">
        <v>1.0</v>
      </c>
      <c r="W5" s="1133">
        <v>0.0</v>
      </c>
      <c r="X5" s="1133">
        <v>13.0</v>
      </c>
      <c r="Y5" s="1133">
        <v>27.0</v>
      </c>
      <c r="Z5" s="1133">
        <v>0.0</v>
      </c>
      <c r="AA5" s="1133">
        <v>2.0</v>
      </c>
      <c r="AB5" s="1133">
        <v>0.0</v>
      </c>
      <c r="AC5" s="1133">
        <v>0.0</v>
      </c>
      <c r="AD5" s="1133">
        <v>1.0</v>
      </c>
      <c r="AE5" s="1133">
        <v>1.0</v>
      </c>
      <c r="AF5" s="1133">
        <v>0.0</v>
      </c>
      <c r="AG5" s="27">
        <v>1.0</v>
      </c>
      <c r="AH5" s="27">
        <v>0.0</v>
      </c>
      <c r="AI5" s="27">
        <v>0.0</v>
      </c>
      <c r="AJ5" s="1133">
        <v>1.0</v>
      </c>
      <c r="AK5" s="1133">
        <v>0.0</v>
      </c>
      <c r="AL5" s="1133">
        <v>2.0</v>
      </c>
      <c r="AM5" s="1133">
        <v>0.0</v>
      </c>
      <c r="AN5" s="1133">
        <v>1.0</v>
      </c>
      <c r="AO5" s="1133">
        <v>0.0</v>
      </c>
      <c r="AP5" s="1133">
        <v>1.0</v>
      </c>
      <c r="AQ5" s="1133">
        <v>2.0</v>
      </c>
      <c r="AR5" s="1133">
        <v>0.0</v>
      </c>
      <c r="AS5" s="1133">
        <v>1.0</v>
      </c>
      <c r="AT5" s="1133">
        <v>0.0</v>
      </c>
      <c r="AU5" s="1133">
        <v>0.0</v>
      </c>
      <c r="AV5" s="1133">
        <v>0.0</v>
      </c>
      <c r="AW5" s="1133">
        <v>1.0</v>
      </c>
      <c r="AX5" s="1133">
        <v>0.0</v>
      </c>
    </row>
    <row r="6">
      <c r="A6" s="1117"/>
      <c r="B6" s="1118" t="s">
        <v>147</v>
      </c>
      <c r="C6" s="1125">
        <v>4.93</v>
      </c>
      <c r="D6" s="1120">
        <v>5.49</v>
      </c>
      <c r="E6" s="1121" t="s">
        <v>150</v>
      </c>
      <c r="F6" s="1122">
        <f>('OLD Detailed Report'!AF176)/'OLD Detailed Report'!AF172</f>
        <v>0.2479914301</v>
      </c>
      <c r="G6" s="1123"/>
      <c r="H6" s="1127" t="s">
        <v>642</v>
      </c>
      <c r="I6" s="1125">
        <v>16.81</v>
      </c>
      <c r="K6" s="1121" t="s">
        <v>643</v>
      </c>
      <c r="L6" s="1138">
        <v>0.00125</v>
      </c>
      <c r="Q6" s="1121" t="s">
        <v>644</v>
      </c>
      <c r="R6" s="1139">
        <v>1.0</v>
      </c>
      <c r="T6" s="1136" t="s">
        <v>1064</v>
      </c>
      <c r="U6" s="1133">
        <v>1.0</v>
      </c>
      <c r="V6" s="1133">
        <v>0.0</v>
      </c>
      <c r="W6" s="1133">
        <v>2.0</v>
      </c>
      <c r="X6" s="1133">
        <v>0.0</v>
      </c>
      <c r="Y6" s="1133">
        <v>81.0</v>
      </c>
      <c r="Z6" s="1133">
        <v>1.0</v>
      </c>
      <c r="AA6" s="1133">
        <v>1.0</v>
      </c>
      <c r="AB6" s="1133">
        <v>0.0</v>
      </c>
      <c r="AC6" s="1133">
        <v>0.0</v>
      </c>
      <c r="AD6" s="1133">
        <v>0.0</v>
      </c>
      <c r="AE6" s="1133">
        <v>0.0</v>
      </c>
      <c r="AF6" s="1133">
        <v>0.0</v>
      </c>
      <c r="AG6" s="27">
        <v>0.0</v>
      </c>
      <c r="AH6" s="27">
        <v>1.0</v>
      </c>
      <c r="AI6" s="27">
        <v>0.0</v>
      </c>
      <c r="AJ6" s="1133">
        <v>0.0</v>
      </c>
      <c r="AK6" s="1133">
        <v>2.0</v>
      </c>
      <c r="AL6" s="1133">
        <v>0.0</v>
      </c>
      <c r="AM6" s="1133">
        <v>0.0</v>
      </c>
      <c r="AN6" s="1133">
        <v>1.0</v>
      </c>
      <c r="AO6" s="1133">
        <v>2.0</v>
      </c>
      <c r="AP6" s="1133">
        <v>2.0</v>
      </c>
      <c r="AQ6" s="1133">
        <v>1.0</v>
      </c>
      <c r="AR6" s="1133">
        <v>0.0</v>
      </c>
      <c r="AS6" s="1133">
        <v>0.0</v>
      </c>
      <c r="AT6" s="1133">
        <v>0.0</v>
      </c>
      <c r="AU6" s="1133">
        <v>0.0</v>
      </c>
      <c r="AV6" s="1133">
        <v>0.0</v>
      </c>
      <c r="AW6" s="1133">
        <v>0.0</v>
      </c>
      <c r="AX6" s="1133">
        <v>1.0</v>
      </c>
    </row>
    <row r="7">
      <c r="A7" s="1117"/>
      <c r="B7" s="1118" t="s">
        <v>636</v>
      </c>
      <c r="C7" s="1125">
        <v>6.37</v>
      </c>
      <c r="D7" s="1140"/>
      <c r="E7" s="1121" t="s">
        <v>645</v>
      </c>
      <c r="F7" s="1122">
        <f>('OLD Detailed Report'!AF177)/'OLD Detailed Report'!AF172</f>
        <v>0.1622924478</v>
      </c>
      <c r="G7" s="1123"/>
      <c r="H7" s="1121" t="s">
        <v>646</v>
      </c>
      <c r="I7" s="1141">
        <f>I3*0.075</f>
        <v>6.824579405</v>
      </c>
      <c r="K7" s="1121" t="s">
        <v>647</v>
      </c>
      <c r="L7" s="1142">
        <v>0.003464</v>
      </c>
      <c r="N7" s="1143" t="s">
        <v>1065</v>
      </c>
      <c r="O7" s="1144">
        <v>0.943</v>
      </c>
      <c r="T7" s="1136" t="s">
        <v>1066</v>
      </c>
      <c r="U7" s="1133">
        <v>1.0</v>
      </c>
      <c r="V7" s="1133">
        <v>4.0</v>
      </c>
      <c r="W7" s="1133">
        <v>4.0</v>
      </c>
      <c r="X7" s="1133">
        <v>37.0</v>
      </c>
      <c r="Y7" s="1133">
        <v>28.0</v>
      </c>
      <c r="Z7" s="1133">
        <v>3.0</v>
      </c>
      <c r="AA7" s="1133">
        <v>1.0</v>
      </c>
      <c r="AB7" s="1133">
        <v>1.0</v>
      </c>
      <c r="AC7" s="1133">
        <v>0.0</v>
      </c>
      <c r="AD7" s="1133">
        <v>1.0</v>
      </c>
      <c r="AE7" s="1133">
        <v>3.0</v>
      </c>
      <c r="AF7" s="1133">
        <v>1.0</v>
      </c>
      <c r="AG7" s="27">
        <v>0.0</v>
      </c>
      <c r="AH7" s="27">
        <v>1.0</v>
      </c>
      <c r="AI7" s="27">
        <v>4.0</v>
      </c>
      <c r="AJ7" s="1133">
        <v>2.0</v>
      </c>
      <c r="AK7" s="1133">
        <v>2.0</v>
      </c>
      <c r="AL7" s="1133">
        <v>35.0</v>
      </c>
      <c r="AM7" s="1133">
        <v>1.0</v>
      </c>
      <c r="AN7" s="1133">
        <v>6.0</v>
      </c>
      <c r="AO7" s="1133">
        <v>6.0</v>
      </c>
      <c r="AP7" s="1133">
        <v>1.0</v>
      </c>
      <c r="AQ7" s="1133">
        <v>7.0</v>
      </c>
      <c r="AR7" s="1133">
        <v>2.0</v>
      </c>
      <c r="AS7" s="1133">
        <v>1.0</v>
      </c>
      <c r="AT7" s="1133">
        <v>0.0</v>
      </c>
      <c r="AU7" s="1133">
        <v>0.0</v>
      </c>
      <c r="AV7" s="1133">
        <v>1.0</v>
      </c>
      <c r="AW7" s="1133">
        <v>6.0</v>
      </c>
      <c r="AX7" s="1133">
        <v>3.0</v>
      </c>
    </row>
    <row r="8">
      <c r="A8" s="1117"/>
      <c r="B8" s="1118" t="s">
        <v>150</v>
      </c>
      <c r="C8" s="1125">
        <v>1.07</v>
      </c>
      <c r="D8" s="1120">
        <v>1.19</v>
      </c>
      <c r="E8" s="1121" t="s">
        <v>649</v>
      </c>
      <c r="F8" s="1122">
        <f>'OLD Detailed Report'!AF170/'OLD Detailed Report'!AF172</f>
        <v>0.6095340118</v>
      </c>
      <c r="G8" s="1123"/>
      <c r="H8" s="1121" t="s">
        <v>650</v>
      </c>
      <c r="I8" s="1125">
        <f>(C5*F3)*0.025+(C6*F4)*0.034+(C7*F5)*0.034+(C8*F6)*0.034+(C9*F7)*0.034</f>
        <v>0.1206211676</v>
      </c>
      <c r="K8" s="1121" t="s">
        <v>651</v>
      </c>
      <c r="L8" s="1128">
        <v>0.075</v>
      </c>
      <c r="M8" s="1146" t="s">
        <v>1067</v>
      </c>
      <c r="N8" s="1143" t="s">
        <v>1068</v>
      </c>
      <c r="O8" s="1144">
        <f>1-O7</f>
        <v>0.057</v>
      </c>
      <c r="T8" s="1147" t="s">
        <v>1069</v>
      </c>
      <c r="U8" s="27">
        <v>0.0</v>
      </c>
      <c r="V8" s="27">
        <v>0.0</v>
      </c>
      <c r="W8" s="27">
        <v>0.0</v>
      </c>
      <c r="X8" s="27">
        <v>0.0</v>
      </c>
      <c r="Y8" s="27">
        <v>1.0</v>
      </c>
      <c r="Z8" s="27">
        <v>2.0</v>
      </c>
      <c r="AA8" s="27">
        <v>1.0</v>
      </c>
      <c r="AB8" s="27">
        <v>1.0</v>
      </c>
      <c r="AC8" s="27">
        <v>0.0</v>
      </c>
      <c r="AD8" s="27">
        <v>0.0</v>
      </c>
      <c r="AE8" s="27">
        <v>0.0</v>
      </c>
      <c r="AF8" s="27">
        <v>0.0</v>
      </c>
      <c r="AG8" s="27">
        <v>1.0</v>
      </c>
      <c r="AH8" s="27">
        <v>0.0</v>
      </c>
      <c r="AI8" s="27">
        <v>1.0</v>
      </c>
      <c r="AJ8" s="1133">
        <v>0.0</v>
      </c>
      <c r="AK8" s="1133">
        <v>0.0</v>
      </c>
      <c r="AL8" s="1133">
        <v>3.0</v>
      </c>
      <c r="AM8" s="1133">
        <v>0.0</v>
      </c>
      <c r="AN8" s="1133">
        <v>0.0</v>
      </c>
      <c r="AO8" s="1133">
        <v>1.0</v>
      </c>
      <c r="AP8" s="1133">
        <v>1.0</v>
      </c>
      <c r="AQ8" s="1133">
        <v>0.0</v>
      </c>
      <c r="AR8" s="1133">
        <v>0.0</v>
      </c>
      <c r="AS8" s="1133">
        <v>0.0</v>
      </c>
      <c r="AT8" s="1133">
        <v>0.0</v>
      </c>
      <c r="AU8" s="1133">
        <v>0.0</v>
      </c>
      <c r="AV8" s="1133">
        <v>1.0</v>
      </c>
      <c r="AW8" s="1133">
        <v>0.0</v>
      </c>
      <c r="AX8" s="1133">
        <v>0.0</v>
      </c>
    </row>
    <row r="9">
      <c r="A9" s="1117"/>
      <c r="B9" s="1148" t="s">
        <v>653</v>
      </c>
      <c r="C9" s="1125">
        <v>5.98</v>
      </c>
      <c r="D9" s="1120">
        <v>6.66</v>
      </c>
      <c r="E9" s="1121" t="s">
        <v>622</v>
      </c>
      <c r="F9" s="1122">
        <f>1-F8</f>
        <v>0.3904659882</v>
      </c>
      <c r="G9" s="1123"/>
      <c r="H9" s="1149" t="s">
        <v>654</v>
      </c>
      <c r="I9" s="1125">
        <f>'OLD Sales'!B81*0.029</f>
        <v>2.844355594</v>
      </c>
      <c r="K9" s="1121" t="s">
        <v>655</v>
      </c>
      <c r="L9" s="1128">
        <v>0.025</v>
      </c>
      <c r="T9" s="1147" t="s">
        <v>1070</v>
      </c>
      <c r="U9" s="27">
        <v>5.0</v>
      </c>
      <c r="V9" s="27">
        <v>9.0</v>
      </c>
      <c r="W9" s="27">
        <v>2.0</v>
      </c>
      <c r="X9" s="27">
        <v>16.0</v>
      </c>
      <c r="Y9" s="27">
        <v>4.0</v>
      </c>
      <c r="Z9" s="27">
        <v>1.0</v>
      </c>
      <c r="AA9" s="27">
        <v>2.0</v>
      </c>
      <c r="AB9" s="27">
        <v>1.0</v>
      </c>
      <c r="AC9" s="27">
        <v>3.0</v>
      </c>
      <c r="AD9" s="27">
        <v>2.0</v>
      </c>
      <c r="AE9" s="27">
        <v>5.0</v>
      </c>
      <c r="AF9" s="27">
        <v>2.0</v>
      </c>
      <c r="AG9" s="27">
        <v>5.0</v>
      </c>
      <c r="AH9" s="27">
        <v>5.0</v>
      </c>
      <c r="AI9" s="27">
        <v>4.0</v>
      </c>
      <c r="AJ9" s="1133">
        <v>6.0</v>
      </c>
      <c r="AK9" s="1133">
        <v>2.0</v>
      </c>
      <c r="AL9" s="1133">
        <v>19.0</v>
      </c>
      <c r="AM9" s="1133">
        <v>7.0</v>
      </c>
      <c r="AN9" s="1133">
        <v>6.0</v>
      </c>
      <c r="AO9" s="1133">
        <v>6.0</v>
      </c>
      <c r="AP9" s="1133">
        <v>5.0</v>
      </c>
      <c r="AQ9" s="1133">
        <v>2.0</v>
      </c>
      <c r="AR9" s="1133">
        <v>1.0</v>
      </c>
      <c r="AS9" s="1133">
        <v>0.0</v>
      </c>
      <c r="AT9" s="1133">
        <v>0.0</v>
      </c>
      <c r="AU9" s="1133">
        <v>0.0</v>
      </c>
      <c r="AV9" s="1133">
        <v>5.0</v>
      </c>
      <c r="AW9" s="1133">
        <v>7.0</v>
      </c>
      <c r="AX9" s="1133">
        <v>4.0</v>
      </c>
    </row>
    <row r="10">
      <c r="A10" s="1150"/>
      <c r="B10" s="1121" t="s">
        <v>663</v>
      </c>
      <c r="C10" s="1151"/>
      <c r="E10" s="1121" t="s">
        <v>663</v>
      </c>
      <c r="F10" s="1137"/>
      <c r="H10" s="1121" t="s">
        <v>658</v>
      </c>
      <c r="I10" s="1141">
        <f>0.3</f>
        <v>0.3</v>
      </c>
      <c r="K10" s="1121" t="s">
        <v>659</v>
      </c>
      <c r="L10" s="1125">
        <v>15.0</v>
      </c>
      <c r="T10" s="1147" t="s">
        <v>1071</v>
      </c>
      <c r="U10" s="27">
        <v>1.0</v>
      </c>
      <c r="V10" s="27">
        <v>0.0</v>
      </c>
      <c r="W10" s="27">
        <v>0.0</v>
      </c>
      <c r="X10" s="27">
        <v>0.0</v>
      </c>
      <c r="Y10" s="27">
        <v>1.0</v>
      </c>
      <c r="Z10" s="27">
        <v>0.0</v>
      </c>
      <c r="AA10" s="27">
        <v>0.0</v>
      </c>
      <c r="AB10" s="27">
        <v>0.0</v>
      </c>
      <c r="AC10" s="27">
        <v>0.0</v>
      </c>
      <c r="AD10" s="27">
        <v>0.0</v>
      </c>
      <c r="AE10" s="27">
        <v>1.0</v>
      </c>
      <c r="AF10" s="27">
        <v>0.0</v>
      </c>
      <c r="AG10" s="27">
        <v>0.0</v>
      </c>
      <c r="AH10" s="27">
        <v>1.0</v>
      </c>
      <c r="AI10" s="27">
        <v>0.0</v>
      </c>
      <c r="AJ10" s="1133">
        <v>0.0</v>
      </c>
      <c r="AK10" s="1133">
        <v>0.0</v>
      </c>
      <c r="AL10" s="1133">
        <v>2.0</v>
      </c>
      <c r="AM10" s="1133">
        <v>1.0</v>
      </c>
      <c r="AN10" s="1133">
        <v>0.0</v>
      </c>
      <c r="AO10" s="1133">
        <v>0.0</v>
      </c>
      <c r="AP10" s="1133">
        <v>1.0</v>
      </c>
      <c r="AQ10" s="1133">
        <v>0.0</v>
      </c>
      <c r="AR10" s="1133">
        <v>0.0</v>
      </c>
      <c r="AS10" s="1133">
        <v>0.0</v>
      </c>
      <c r="AT10" s="1133">
        <v>0.0</v>
      </c>
      <c r="AU10" s="1133">
        <v>0.0</v>
      </c>
      <c r="AV10" s="1133">
        <v>0.0</v>
      </c>
      <c r="AW10" s="1133">
        <v>0.0</v>
      </c>
      <c r="AX10" s="1133">
        <v>2.0</v>
      </c>
    </row>
    <row r="11" outlineLevel="1">
      <c r="A11" s="1152"/>
      <c r="B11" s="1121" t="s">
        <v>662</v>
      </c>
      <c r="C11" s="1151"/>
      <c r="D11" s="1112"/>
      <c r="E11" s="1121" t="s">
        <v>662</v>
      </c>
      <c r="F11" s="1137"/>
      <c r="H11" s="1121" t="s">
        <v>663</v>
      </c>
      <c r="I11" s="1137"/>
      <c r="N11" s="1153" t="s">
        <v>1072</v>
      </c>
      <c r="O11" s="1154">
        <v>252.085</v>
      </c>
      <c r="P11" s="1155">
        <f>(O12*O7)+(O13*O8)</f>
        <v>16.80639794</v>
      </c>
      <c r="T11" s="1156" t="s">
        <v>1073</v>
      </c>
      <c r="U11" s="1157">
        <f t="shared" ref="U11:AX11" si="1">SUM(U3:U10)</f>
        <v>55</v>
      </c>
      <c r="V11" s="1157">
        <f t="shared" si="1"/>
        <v>71</v>
      </c>
      <c r="W11" s="1157">
        <f t="shared" si="1"/>
        <v>98</v>
      </c>
      <c r="X11" s="1157">
        <f t="shared" si="1"/>
        <v>198</v>
      </c>
      <c r="Y11" s="1157">
        <f t="shared" si="1"/>
        <v>400</v>
      </c>
      <c r="Z11" s="1157">
        <f t="shared" si="1"/>
        <v>84</v>
      </c>
      <c r="AA11" s="1157">
        <f t="shared" si="1"/>
        <v>51</v>
      </c>
      <c r="AB11" s="1157">
        <f t="shared" si="1"/>
        <v>37</v>
      </c>
      <c r="AC11" s="1157">
        <f t="shared" si="1"/>
        <v>44</v>
      </c>
      <c r="AD11" s="1157">
        <f t="shared" si="1"/>
        <v>60</v>
      </c>
      <c r="AE11" s="1157">
        <f t="shared" si="1"/>
        <v>65</v>
      </c>
      <c r="AF11" s="1157">
        <f t="shared" si="1"/>
        <v>49</v>
      </c>
      <c r="AG11" s="1157">
        <f t="shared" si="1"/>
        <v>51</v>
      </c>
      <c r="AH11" s="1157">
        <f t="shared" si="1"/>
        <v>50</v>
      </c>
      <c r="AI11" s="1157">
        <f t="shared" si="1"/>
        <v>55</v>
      </c>
      <c r="AJ11" s="1157">
        <f t="shared" si="1"/>
        <v>62</v>
      </c>
      <c r="AK11" s="1157">
        <f t="shared" si="1"/>
        <v>51</v>
      </c>
      <c r="AL11" s="1157">
        <f t="shared" si="1"/>
        <v>307</v>
      </c>
      <c r="AM11" s="1157">
        <f t="shared" si="1"/>
        <v>69</v>
      </c>
      <c r="AN11" s="1157">
        <f t="shared" si="1"/>
        <v>119</v>
      </c>
      <c r="AO11" s="1157">
        <f t="shared" si="1"/>
        <v>77</v>
      </c>
      <c r="AP11" s="1157">
        <f t="shared" si="1"/>
        <v>71</v>
      </c>
      <c r="AQ11" s="1157">
        <f t="shared" si="1"/>
        <v>78</v>
      </c>
      <c r="AR11" s="1157">
        <f t="shared" si="1"/>
        <v>73</v>
      </c>
      <c r="AS11" s="1157">
        <f t="shared" si="1"/>
        <v>25</v>
      </c>
      <c r="AT11" s="1157">
        <f t="shared" si="1"/>
        <v>0</v>
      </c>
      <c r="AU11" s="1157">
        <f t="shared" si="1"/>
        <v>0</v>
      </c>
      <c r="AV11" s="1157">
        <f t="shared" si="1"/>
        <v>33</v>
      </c>
      <c r="AW11" s="1157">
        <f t="shared" si="1"/>
        <v>75</v>
      </c>
      <c r="AX11" s="1157">
        <f t="shared" si="1"/>
        <v>72</v>
      </c>
    </row>
    <row r="12" outlineLevel="1">
      <c r="A12" s="1150"/>
      <c r="B12" s="1121" t="s">
        <v>666</v>
      </c>
      <c r="C12" s="1151"/>
      <c r="D12" s="1158"/>
      <c r="E12" s="1121" t="s">
        <v>666</v>
      </c>
      <c r="F12" s="1137"/>
      <c r="H12" s="1121" t="s">
        <v>662</v>
      </c>
      <c r="I12" s="1137"/>
      <c r="K12" s="1121" t="s">
        <v>667</v>
      </c>
      <c r="L12" s="1128">
        <v>0.95</v>
      </c>
      <c r="N12" s="1" t="s">
        <v>1074</v>
      </c>
      <c r="O12" s="1159">
        <v>14.469966</v>
      </c>
      <c r="Q12" s="1160"/>
      <c r="T12" s="1161" t="s">
        <v>1075</v>
      </c>
      <c r="U12" s="1162">
        <v>45170.0</v>
      </c>
      <c r="V12" s="1162">
        <v>45171.0</v>
      </c>
      <c r="W12" s="1162">
        <v>45172.0</v>
      </c>
      <c r="X12" s="1162">
        <v>45173.0</v>
      </c>
      <c r="Y12" s="1162">
        <v>45174.0</v>
      </c>
      <c r="Z12" s="1162">
        <v>45175.0</v>
      </c>
      <c r="AA12" s="1162">
        <v>45176.0</v>
      </c>
      <c r="AB12" s="1162">
        <v>45177.0</v>
      </c>
      <c r="AC12" s="1162">
        <v>45178.0</v>
      </c>
      <c r="AD12" s="1162">
        <v>45179.0</v>
      </c>
      <c r="AE12" s="1162">
        <v>45180.0</v>
      </c>
      <c r="AF12" s="1162">
        <v>45181.0</v>
      </c>
      <c r="AG12" s="1162">
        <v>45182.0</v>
      </c>
      <c r="AH12" s="1162">
        <v>45183.0</v>
      </c>
      <c r="AI12" s="1162">
        <v>45184.0</v>
      </c>
      <c r="AJ12" s="1162">
        <v>45185.0</v>
      </c>
      <c r="AK12" s="1162">
        <v>45186.0</v>
      </c>
      <c r="AL12" s="1162">
        <v>45187.0</v>
      </c>
      <c r="AM12" s="1162">
        <v>45188.0</v>
      </c>
      <c r="AN12" s="1162">
        <v>45189.0</v>
      </c>
      <c r="AO12" s="1162">
        <v>45190.0</v>
      </c>
      <c r="AP12" s="1162">
        <v>45191.0</v>
      </c>
      <c r="AQ12" s="1162">
        <v>45192.0</v>
      </c>
      <c r="AR12" s="1162">
        <v>45193.0</v>
      </c>
      <c r="AS12" s="1162">
        <v>45194.0</v>
      </c>
      <c r="AT12" s="1162">
        <v>45195.0</v>
      </c>
      <c r="AU12" s="1162">
        <v>45196.0</v>
      </c>
      <c r="AV12" s="1162">
        <v>45197.0</v>
      </c>
      <c r="AW12" s="1162">
        <v>45198.0</v>
      </c>
      <c r="AX12" s="1162">
        <v>45199.0</v>
      </c>
    </row>
    <row r="13" outlineLevel="1">
      <c r="A13" s="1150"/>
      <c r="B13" s="1121" t="s">
        <v>669</v>
      </c>
      <c r="C13" s="1151"/>
      <c r="D13" s="1158"/>
      <c r="E13" s="1121" t="s">
        <v>669</v>
      </c>
      <c r="F13" s="1137"/>
      <c r="H13" s="1121" t="s">
        <v>666</v>
      </c>
      <c r="I13" s="1137"/>
      <c r="K13" s="1121" t="s">
        <v>670</v>
      </c>
      <c r="L13" s="1128">
        <v>0.05</v>
      </c>
      <c r="N13" s="1" t="s">
        <v>1076</v>
      </c>
      <c r="O13" s="1154">
        <v>55.46</v>
      </c>
      <c r="T13" s="1136" t="s">
        <v>1061</v>
      </c>
      <c r="U13" s="1163">
        <f t="shared" ref="U13:AS13" si="2">iferror(U3/U$11,"")</f>
        <v>0.2727272727</v>
      </c>
      <c r="V13" s="1163">
        <f t="shared" si="2"/>
        <v>0.2957746479</v>
      </c>
      <c r="W13" s="1163">
        <f t="shared" si="2"/>
        <v>0.3571428571</v>
      </c>
      <c r="X13" s="1163">
        <f t="shared" si="2"/>
        <v>0.3131313131</v>
      </c>
      <c r="Y13" s="1163">
        <f t="shared" si="2"/>
        <v>0.2025</v>
      </c>
      <c r="Z13" s="1163">
        <f t="shared" si="2"/>
        <v>0.380952381</v>
      </c>
      <c r="AA13" s="1163">
        <f t="shared" si="2"/>
        <v>0.3529411765</v>
      </c>
      <c r="AB13" s="1163">
        <f t="shared" si="2"/>
        <v>0.4054054054</v>
      </c>
      <c r="AC13" s="1163">
        <f t="shared" si="2"/>
        <v>0.3409090909</v>
      </c>
      <c r="AD13" s="1163">
        <f t="shared" si="2"/>
        <v>0.3666666667</v>
      </c>
      <c r="AE13" s="1163">
        <f t="shared" si="2"/>
        <v>0.4461538462</v>
      </c>
      <c r="AF13" s="1163">
        <f t="shared" si="2"/>
        <v>0.3673469388</v>
      </c>
      <c r="AG13" s="1163">
        <f t="shared" si="2"/>
        <v>0.4509803922</v>
      </c>
      <c r="AH13" s="1163">
        <f t="shared" si="2"/>
        <v>0.28</v>
      </c>
      <c r="AI13" s="1163">
        <f t="shared" si="2"/>
        <v>0.4</v>
      </c>
      <c r="AJ13" s="1163">
        <f t="shared" si="2"/>
        <v>0.4193548387</v>
      </c>
      <c r="AK13" s="1163">
        <f t="shared" si="2"/>
        <v>0.3333333333</v>
      </c>
      <c r="AL13" s="1163">
        <f t="shared" si="2"/>
        <v>0.3713355049</v>
      </c>
      <c r="AM13" s="1163">
        <f t="shared" si="2"/>
        <v>0.2608695652</v>
      </c>
      <c r="AN13" s="1163">
        <f t="shared" si="2"/>
        <v>0.3949579832</v>
      </c>
      <c r="AO13" s="1163">
        <f t="shared" si="2"/>
        <v>0.4805194805</v>
      </c>
      <c r="AP13" s="1163">
        <f t="shared" si="2"/>
        <v>0.4507042254</v>
      </c>
      <c r="AQ13" s="1163">
        <f t="shared" si="2"/>
        <v>0.4102564103</v>
      </c>
      <c r="AR13" s="1163">
        <f t="shared" si="2"/>
        <v>0.397260274</v>
      </c>
      <c r="AS13" s="1163">
        <f t="shared" si="2"/>
        <v>0.28</v>
      </c>
      <c r="AT13" s="1164">
        <v>0.0</v>
      </c>
      <c r="AU13" s="1164">
        <v>0.0</v>
      </c>
      <c r="AV13" s="1163">
        <f t="shared" ref="AV13:AX13" si="3">iferror(AV3/AV$11,"")</f>
        <v>0.2727272727</v>
      </c>
      <c r="AW13" s="1163">
        <f t="shared" si="3"/>
        <v>0.3733333333</v>
      </c>
      <c r="AX13" s="1163">
        <f t="shared" si="3"/>
        <v>0.4305555556</v>
      </c>
    </row>
    <row r="14" outlineLevel="1">
      <c r="B14" s="1121" t="s">
        <v>672</v>
      </c>
      <c r="C14" s="1151"/>
      <c r="D14" s="1158"/>
      <c r="E14" s="1121" t="s">
        <v>672</v>
      </c>
      <c r="F14" s="1137"/>
      <c r="H14" s="1121" t="s">
        <v>669</v>
      </c>
      <c r="I14" s="1137"/>
      <c r="K14" s="1121" t="s">
        <v>673</v>
      </c>
      <c r="L14" s="1165">
        <v>0.0</v>
      </c>
      <c r="N14" s="27"/>
      <c r="T14" s="1136" t="s">
        <v>1062</v>
      </c>
      <c r="U14" s="1163">
        <f t="shared" ref="U14:AS14" si="4">iferror(U4/U$11,"")</f>
        <v>0.5636363636</v>
      </c>
      <c r="V14" s="1163">
        <f t="shared" si="4"/>
        <v>0.5070422535</v>
      </c>
      <c r="W14" s="1163">
        <f t="shared" si="4"/>
        <v>0.5612244898</v>
      </c>
      <c r="X14" s="1163">
        <f t="shared" si="4"/>
        <v>0.3535353535</v>
      </c>
      <c r="Y14" s="1163">
        <f t="shared" si="4"/>
        <v>0.4425</v>
      </c>
      <c r="Z14" s="1163">
        <f t="shared" si="4"/>
        <v>0.5357142857</v>
      </c>
      <c r="AA14" s="1163">
        <f t="shared" si="4"/>
        <v>0.5098039216</v>
      </c>
      <c r="AB14" s="1163">
        <f t="shared" si="4"/>
        <v>0.5135135135</v>
      </c>
      <c r="AC14" s="1163">
        <f t="shared" si="4"/>
        <v>0.5909090909</v>
      </c>
      <c r="AD14" s="1163">
        <f t="shared" si="4"/>
        <v>0.5666666667</v>
      </c>
      <c r="AE14" s="1163">
        <f t="shared" si="4"/>
        <v>0.4</v>
      </c>
      <c r="AF14" s="1163">
        <f t="shared" si="4"/>
        <v>0.5714285714</v>
      </c>
      <c r="AG14" s="1163">
        <f t="shared" si="4"/>
        <v>0.4117647059</v>
      </c>
      <c r="AH14" s="1163">
        <f t="shared" si="4"/>
        <v>0.56</v>
      </c>
      <c r="AI14" s="1163">
        <f t="shared" si="4"/>
        <v>0.4363636364</v>
      </c>
      <c r="AJ14" s="1163">
        <f t="shared" si="4"/>
        <v>0.435483871</v>
      </c>
      <c r="AK14" s="1163">
        <f t="shared" si="4"/>
        <v>0.5490196078</v>
      </c>
      <c r="AL14" s="1163">
        <f t="shared" si="4"/>
        <v>0.4299674267</v>
      </c>
      <c r="AM14" s="1163">
        <f t="shared" si="4"/>
        <v>0.6086956522</v>
      </c>
      <c r="AN14" s="1163">
        <f t="shared" si="4"/>
        <v>0.487394958</v>
      </c>
      <c r="AO14" s="1163">
        <f t="shared" si="4"/>
        <v>0.3246753247</v>
      </c>
      <c r="AP14" s="1163">
        <f t="shared" si="4"/>
        <v>0.3943661972</v>
      </c>
      <c r="AQ14" s="1163">
        <f t="shared" si="4"/>
        <v>0.4358974359</v>
      </c>
      <c r="AR14" s="1163">
        <f t="shared" si="4"/>
        <v>0.5616438356</v>
      </c>
      <c r="AS14" s="1163">
        <f t="shared" si="4"/>
        <v>0.64</v>
      </c>
      <c r="AT14" s="1164">
        <v>0.0</v>
      </c>
      <c r="AU14" s="1164">
        <v>0.0</v>
      </c>
      <c r="AV14" s="1163">
        <f t="shared" ref="AV14:AX14" si="5">iferror(AV4/AV$11,"")</f>
        <v>0.5151515152</v>
      </c>
      <c r="AW14" s="1163">
        <f t="shared" si="5"/>
        <v>0.44</v>
      </c>
      <c r="AX14" s="1163">
        <f t="shared" si="5"/>
        <v>0.4305555556</v>
      </c>
    </row>
    <row r="15">
      <c r="A15" s="1"/>
      <c r="B15" s="1166"/>
      <c r="C15" s="1112"/>
      <c r="D15" s="1112"/>
      <c r="E15" s="1102"/>
      <c r="F15" s="1167"/>
      <c r="H15" s="1121" t="s">
        <v>95</v>
      </c>
      <c r="I15" s="1168">
        <f>SUM(I3:I13)</f>
        <v>146.0132482</v>
      </c>
      <c r="K15" s="1121" t="s">
        <v>674</v>
      </c>
      <c r="L15" s="1169">
        <v>0.0</v>
      </c>
      <c r="N15" s="27"/>
      <c r="T15" s="1136" t="s">
        <v>88</v>
      </c>
      <c r="U15" s="1163">
        <f t="shared" ref="U15:AS15" si="6">iferror(U5/U$11,"")</f>
        <v>0.01818181818</v>
      </c>
      <c r="V15" s="1163">
        <f t="shared" si="6"/>
        <v>0.01408450704</v>
      </c>
      <c r="W15" s="1163">
        <f t="shared" si="6"/>
        <v>0</v>
      </c>
      <c r="X15" s="1163">
        <f t="shared" si="6"/>
        <v>0.06565656566</v>
      </c>
      <c r="Y15" s="1163">
        <f t="shared" si="6"/>
        <v>0.0675</v>
      </c>
      <c r="Z15" s="1163">
        <f t="shared" si="6"/>
        <v>0</v>
      </c>
      <c r="AA15" s="1163">
        <f t="shared" si="6"/>
        <v>0.03921568627</v>
      </c>
      <c r="AB15" s="1163">
        <f t="shared" si="6"/>
        <v>0</v>
      </c>
      <c r="AC15" s="1163">
        <f t="shared" si="6"/>
        <v>0</v>
      </c>
      <c r="AD15" s="1163">
        <f t="shared" si="6"/>
        <v>0.01666666667</v>
      </c>
      <c r="AE15" s="1163">
        <f t="shared" si="6"/>
        <v>0.01538461538</v>
      </c>
      <c r="AF15" s="1163">
        <f t="shared" si="6"/>
        <v>0</v>
      </c>
      <c r="AG15" s="1163">
        <f t="shared" si="6"/>
        <v>0.01960784314</v>
      </c>
      <c r="AH15" s="1163">
        <f t="shared" si="6"/>
        <v>0</v>
      </c>
      <c r="AI15" s="1163">
        <f t="shared" si="6"/>
        <v>0</v>
      </c>
      <c r="AJ15" s="1163">
        <f t="shared" si="6"/>
        <v>0.01612903226</v>
      </c>
      <c r="AK15" s="1163">
        <f t="shared" si="6"/>
        <v>0</v>
      </c>
      <c r="AL15" s="1163">
        <f t="shared" si="6"/>
        <v>0.00651465798</v>
      </c>
      <c r="AM15" s="1163">
        <f t="shared" si="6"/>
        <v>0</v>
      </c>
      <c r="AN15" s="1163">
        <f t="shared" si="6"/>
        <v>0.008403361345</v>
      </c>
      <c r="AO15" s="1163">
        <f t="shared" si="6"/>
        <v>0</v>
      </c>
      <c r="AP15" s="1163">
        <f t="shared" si="6"/>
        <v>0.01408450704</v>
      </c>
      <c r="AQ15" s="1163">
        <f t="shared" si="6"/>
        <v>0.02564102564</v>
      </c>
      <c r="AR15" s="1163">
        <f t="shared" si="6"/>
        <v>0</v>
      </c>
      <c r="AS15" s="1163">
        <f t="shared" si="6"/>
        <v>0.04</v>
      </c>
      <c r="AT15" s="1164">
        <v>0.0</v>
      </c>
      <c r="AU15" s="1164">
        <v>0.0</v>
      </c>
      <c r="AV15" s="1163">
        <f t="shared" ref="AV15:AX15" si="7">iferror(AV5/AV$11,"")</f>
        <v>0</v>
      </c>
      <c r="AW15" s="1163">
        <f t="shared" si="7"/>
        <v>0.01333333333</v>
      </c>
      <c r="AX15" s="1163">
        <f t="shared" si="7"/>
        <v>0</v>
      </c>
    </row>
    <row r="16">
      <c r="A16" s="1"/>
      <c r="B16" s="1170" t="s">
        <v>677</v>
      </c>
      <c r="C16" s="1171" t="s">
        <v>678</v>
      </c>
      <c r="D16" s="1171" t="s">
        <v>679</v>
      </c>
      <c r="E16" s="1102"/>
      <c r="F16" s="1167"/>
      <c r="N16" s="27"/>
      <c r="T16" s="1136" t="s">
        <v>1064</v>
      </c>
      <c r="U16" s="1163">
        <f t="shared" ref="U16:AS16" si="8">iferror(U6/U$11,"")</f>
        <v>0.01818181818</v>
      </c>
      <c r="V16" s="1163">
        <f t="shared" si="8"/>
        <v>0</v>
      </c>
      <c r="W16" s="1163">
        <f t="shared" si="8"/>
        <v>0.02040816327</v>
      </c>
      <c r="X16" s="1163">
        <f t="shared" si="8"/>
        <v>0</v>
      </c>
      <c r="Y16" s="1163">
        <f t="shared" si="8"/>
        <v>0.2025</v>
      </c>
      <c r="Z16" s="1163">
        <f t="shared" si="8"/>
        <v>0.0119047619</v>
      </c>
      <c r="AA16" s="1163">
        <f t="shared" si="8"/>
        <v>0.01960784314</v>
      </c>
      <c r="AB16" s="1163">
        <f t="shared" si="8"/>
        <v>0</v>
      </c>
      <c r="AC16" s="1163">
        <f t="shared" si="8"/>
        <v>0</v>
      </c>
      <c r="AD16" s="1163">
        <f t="shared" si="8"/>
        <v>0</v>
      </c>
      <c r="AE16" s="1163">
        <f t="shared" si="8"/>
        <v>0</v>
      </c>
      <c r="AF16" s="1163">
        <f t="shared" si="8"/>
        <v>0</v>
      </c>
      <c r="AG16" s="1163">
        <f t="shared" si="8"/>
        <v>0</v>
      </c>
      <c r="AH16" s="1163">
        <f t="shared" si="8"/>
        <v>0.02</v>
      </c>
      <c r="AI16" s="1163">
        <f t="shared" si="8"/>
        <v>0</v>
      </c>
      <c r="AJ16" s="1163">
        <f t="shared" si="8"/>
        <v>0</v>
      </c>
      <c r="AK16" s="1163">
        <f t="shared" si="8"/>
        <v>0.03921568627</v>
      </c>
      <c r="AL16" s="1163">
        <f t="shared" si="8"/>
        <v>0</v>
      </c>
      <c r="AM16" s="1163">
        <f t="shared" si="8"/>
        <v>0</v>
      </c>
      <c r="AN16" s="1163">
        <f t="shared" si="8"/>
        <v>0.008403361345</v>
      </c>
      <c r="AO16" s="1163">
        <f t="shared" si="8"/>
        <v>0.02597402597</v>
      </c>
      <c r="AP16" s="1163">
        <f t="shared" si="8"/>
        <v>0.02816901408</v>
      </c>
      <c r="AQ16" s="1163">
        <f t="shared" si="8"/>
        <v>0.01282051282</v>
      </c>
      <c r="AR16" s="1163">
        <f t="shared" si="8"/>
        <v>0</v>
      </c>
      <c r="AS16" s="1163">
        <f t="shared" si="8"/>
        <v>0</v>
      </c>
      <c r="AT16" s="1164">
        <v>0.0</v>
      </c>
      <c r="AU16" s="1164">
        <v>0.0</v>
      </c>
      <c r="AV16" s="1163">
        <f t="shared" ref="AV16:AX16" si="9">iferror(AV6/AV$11,"")</f>
        <v>0</v>
      </c>
      <c r="AW16" s="1163">
        <f t="shared" si="9"/>
        <v>0</v>
      </c>
      <c r="AX16" s="1163">
        <f t="shared" si="9"/>
        <v>0.01388888889</v>
      </c>
    </row>
    <row r="17">
      <c r="A17" s="1" t="s">
        <v>681</v>
      </c>
      <c r="B17" s="1121" t="s">
        <v>682</v>
      </c>
      <c r="C17" s="1125">
        <v>11.94</v>
      </c>
      <c r="D17" s="1119">
        <v>6.155</v>
      </c>
      <c r="E17" s="1102"/>
      <c r="F17" s="1167"/>
      <c r="N17" s="1172"/>
      <c r="T17" s="1136" t="s">
        <v>1066</v>
      </c>
      <c r="U17" s="1163">
        <f t="shared" ref="U17:AS17" si="10">iferror(U7/U$11,"")</f>
        <v>0.01818181818</v>
      </c>
      <c r="V17" s="1163">
        <f t="shared" si="10"/>
        <v>0.05633802817</v>
      </c>
      <c r="W17" s="1163">
        <f t="shared" si="10"/>
        <v>0.04081632653</v>
      </c>
      <c r="X17" s="1163">
        <f t="shared" si="10"/>
        <v>0.1868686869</v>
      </c>
      <c r="Y17" s="1163">
        <f t="shared" si="10"/>
        <v>0.07</v>
      </c>
      <c r="Z17" s="1163">
        <f t="shared" si="10"/>
        <v>0.03571428571</v>
      </c>
      <c r="AA17" s="1163">
        <f t="shared" si="10"/>
        <v>0.01960784314</v>
      </c>
      <c r="AB17" s="1163">
        <f t="shared" si="10"/>
        <v>0.02702702703</v>
      </c>
      <c r="AC17" s="1163">
        <f t="shared" si="10"/>
        <v>0</v>
      </c>
      <c r="AD17" s="1163">
        <f t="shared" si="10"/>
        <v>0.01666666667</v>
      </c>
      <c r="AE17" s="1163">
        <f t="shared" si="10"/>
        <v>0.04615384615</v>
      </c>
      <c r="AF17" s="1163">
        <f t="shared" si="10"/>
        <v>0.02040816327</v>
      </c>
      <c r="AG17" s="1163">
        <f t="shared" si="10"/>
        <v>0</v>
      </c>
      <c r="AH17" s="1163">
        <f t="shared" si="10"/>
        <v>0.02</v>
      </c>
      <c r="AI17" s="1163">
        <f t="shared" si="10"/>
        <v>0.07272727273</v>
      </c>
      <c r="AJ17" s="1163">
        <f t="shared" si="10"/>
        <v>0.03225806452</v>
      </c>
      <c r="AK17" s="1163">
        <f t="shared" si="10"/>
        <v>0.03921568627</v>
      </c>
      <c r="AL17" s="1163">
        <f t="shared" si="10"/>
        <v>0.1140065147</v>
      </c>
      <c r="AM17" s="1163">
        <f t="shared" si="10"/>
        <v>0.01449275362</v>
      </c>
      <c r="AN17" s="1163">
        <f t="shared" si="10"/>
        <v>0.05042016807</v>
      </c>
      <c r="AO17" s="1163">
        <f t="shared" si="10"/>
        <v>0.07792207792</v>
      </c>
      <c r="AP17" s="1163">
        <f t="shared" si="10"/>
        <v>0.01408450704</v>
      </c>
      <c r="AQ17" s="1163">
        <f t="shared" si="10"/>
        <v>0.08974358974</v>
      </c>
      <c r="AR17" s="1163">
        <f t="shared" si="10"/>
        <v>0.02739726027</v>
      </c>
      <c r="AS17" s="1163">
        <f t="shared" si="10"/>
        <v>0.04</v>
      </c>
      <c r="AT17" s="1164">
        <v>0.0</v>
      </c>
      <c r="AU17" s="1164">
        <v>0.0</v>
      </c>
      <c r="AV17" s="1163">
        <f t="shared" ref="AV17:AX17" si="11">iferror(AV7/AV$11,"")</f>
        <v>0.0303030303</v>
      </c>
      <c r="AW17" s="1163">
        <f t="shared" si="11"/>
        <v>0.08</v>
      </c>
      <c r="AX17" s="1163">
        <f t="shared" si="11"/>
        <v>0.04166666667</v>
      </c>
    </row>
    <row r="18">
      <c r="B18" s="1121" t="s">
        <v>685</v>
      </c>
      <c r="C18" s="1137">
        <v>11.94</v>
      </c>
      <c r="D18" s="1137">
        <v>6.16</v>
      </c>
      <c r="E18" s="1102"/>
      <c r="F18" s="1123"/>
      <c r="L18" s="1173"/>
      <c r="T18" s="1147" t="s">
        <v>1069</v>
      </c>
      <c r="U18" s="1163">
        <f t="shared" ref="U18:AS18" si="12">iferror(U8/U$11,"")</f>
        <v>0</v>
      </c>
      <c r="V18" s="1163">
        <f t="shared" si="12"/>
        <v>0</v>
      </c>
      <c r="W18" s="1163">
        <f t="shared" si="12"/>
        <v>0</v>
      </c>
      <c r="X18" s="1163">
        <f t="shared" si="12"/>
        <v>0</v>
      </c>
      <c r="Y18" s="1163">
        <f t="shared" si="12"/>
        <v>0.0025</v>
      </c>
      <c r="Z18" s="1163">
        <f t="shared" si="12"/>
        <v>0.02380952381</v>
      </c>
      <c r="AA18" s="1163">
        <f t="shared" si="12"/>
        <v>0.01960784314</v>
      </c>
      <c r="AB18" s="1163">
        <f t="shared" si="12"/>
        <v>0.02702702703</v>
      </c>
      <c r="AC18" s="1163">
        <f t="shared" si="12"/>
        <v>0</v>
      </c>
      <c r="AD18" s="1163">
        <f t="shared" si="12"/>
        <v>0</v>
      </c>
      <c r="AE18" s="1163">
        <f t="shared" si="12"/>
        <v>0</v>
      </c>
      <c r="AF18" s="1163">
        <f t="shared" si="12"/>
        <v>0</v>
      </c>
      <c r="AG18" s="1163">
        <f t="shared" si="12"/>
        <v>0.01960784314</v>
      </c>
      <c r="AH18" s="1163">
        <f t="shared" si="12"/>
        <v>0</v>
      </c>
      <c r="AI18" s="1163">
        <f t="shared" si="12"/>
        <v>0.01818181818</v>
      </c>
      <c r="AJ18" s="1163">
        <f t="shared" si="12"/>
        <v>0</v>
      </c>
      <c r="AK18" s="1163">
        <f t="shared" si="12"/>
        <v>0</v>
      </c>
      <c r="AL18" s="1163">
        <f t="shared" si="12"/>
        <v>0.009771986971</v>
      </c>
      <c r="AM18" s="1163">
        <f t="shared" si="12"/>
        <v>0</v>
      </c>
      <c r="AN18" s="1163">
        <f t="shared" si="12"/>
        <v>0</v>
      </c>
      <c r="AO18" s="1163">
        <f t="shared" si="12"/>
        <v>0.01298701299</v>
      </c>
      <c r="AP18" s="1163">
        <f t="shared" si="12"/>
        <v>0.01408450704</v>
      </c>
      <c r="AQ18" s="1163">
        <f t="shared" si="12"/>
        <v>0</v>
      </c>
      <c r="AR18" s="1163">
        <f t="shared" si="12"/>
        <v>0</v>
      </c>
      <c r="AS18" s="1163">
        <f t="shared" si="12"/>
        <v>0</v>
      </c>
      <c r="AT18" s="1164">
        <v>0.0</v>
      </c>
      <c r="AU18" s="1164">
        <v>0.0</v>
      </c>
      <c r="AV18" s="1163">
        <f t="shared" ref="AV18:AX18" si="13">iferror(AV8/AV$11,"")</f>
        <v>0.0303030303</v>
      </c>
      <c r="AW18" s="1163">
        <f t="shared" si="13"/>
        <v>0</v>
      </c>
      <c r="AX18" s="1163">
        <f t="shared" si="13"/>
        <v>0</v>
      </c>
    </row>
    <row r="19">
      <c r="B19" s="1121" t="s">
        <v>688</v>
      </c>
      <c r="C19" s="1137">
        <v>11.94</v>
      </c>
      <c r="D19" s="1137">
        <v>6.16</v>
      </c>
      <c r="E19" s="1102"/>
      <c r="F19" s="1123"/>
      <c r="T19" s="1147" t="s">
        <v>1070</v>
      </c>
      <c r="U19" s="1163">
        <f t="shared" ref="U19:AS19" si="14">iferror(U9/U$11,"")</f>
        <v>0.09090909091</v>
      </c>
      <c r="V19" s="1163">
        <f t="shared" si="14"/>
        <v>0.1267605634</v>
      </c>
      <c r="W19" s="1163">
        <f t="shared" si="14"/>
        <v>0.02040816327</v>
      </c>
      <c r="X19" s="1163">
        <f t="shared" si="14"/>
        <v>0.08080808081</v>
      </c>
      <c r="Y19" s="1163">
        <f t="shared" si="14"/>
        <v>0.01</v>
      </c>
      <c r="Z19" s="1163">
        <f t="shared" si="14"/>
        <v>0.0119047619</v>
      </c>
      <c r="AA19" s="1163">
        <f t="shared" si="14"/>
        <v>0.03921568627</v>
      </c>
      <c r="AB19" s="1163">
        <f t="shared" si="14"/>
        <v>0.02702702703</v>
      </c>
      <c r="AC19" s="1163">
        <f t="shared" si="14"/>
        <v>0.06818181818</v>
      </c>
      <c r="AD19" s="1163">
        <f t="shared" si="14"/>
        <v>0.03333333333</v>
      </c>
      <c r="AE19" s="1163">
        <f t="shared" si="14"/>
        <v>0.07692307692</v>
      </c>
      <c r="AF19" s="1163">
        <f t="shared" si="14"/>
        <v>0.04081632653</v>
      </c>
      <c r="AG19" s="1163">
        <f t="shared" si="14"/>
        <v>0.09803921569</v>
      </c>
      <c r="AH19" s="1163">
        <f t="shared" si="14"/>
        <v>0.1</v>
      </c>
      <c r="AI19" s="1163">
        <f t="shared" si="14"/>
        <v>0.07272727273</v>
      </c>
      <c r="AJ19" s="1163">
        <f t="shared" si="14"/>
        <v>0.09677419355</v>
      </c>
      <c r="AK19" s="1163">
        <f t="shared" si="14"/>
        <v>0.03921568627</v>
      </c>
      <c r="AL19" s="1163">
        <f t="shared" si="14"/>
        <v>0.06188925081</v>
      </c>
      <c r="AM19" s="1163">
        <f t="shared" si="14"/>
        <v>0.1014492754</v>
      </c>
      <c r="AN19" s="1163">
        <f t="shared" si="14"/>
        <v>0.05042016807</v>
      </c>
      <c r="AO19" s="1163">
        <f t="shared" si="14"/>
        <v>0.07792207792</v>
      </c>
      <c r="AP19" s="1163">
        <f t="shared" si="14"/>
        <v>0.07042253521</v>
      </c>
      <c r="AQ19" s="1163">
        <f t="shared" si="14"/>
        <v>0.02564102564</v>
      </c>
      <c r="AR19" s="1163">
        <f t="shared" si="14"/>
        <v>0.01369863014</v>
      </c>
      <c r="AS19" s="1163">
        <f t="shared" si="14"/>
        <v>0</v>
      </c>
      <c r="AT19" s="1164">
        <v>0.0</v>
      </c>
      <c r="AU19" s="1164">
        <v>0.0</v>
      </c>
      <c r="AV19" s="1163">
        <f t="shared" ref="AV19:AX19" si="15">iferror(AV9/AV$11,"")</f>
        <v>0.1515151515</v>
      </c>
      <c r="AW19" s="1163">
        <f t="shared" si="15"/>
        <v>0.09333333333</v>
      </c>
      <c r="AX19" s="1163">
        <f t="shared" si="15"/>
        <v>0.05555555556</v>
      </c>
    </row>
    <row r="20">
      <c r="A20" s="1107" t="s">
        <v>614</v>
      </c>
      <c r="B20" s="1121" t="s">
        <v>691</v>
      </c>
      <c r="C20" s="1141">
        <f t="shared" ref="C20:D20" si="16">sum(C21:C27)</f>
        <v>3.12</v>
      </c>
      <c r="D20" s="1141">
        <f t="shared" si="16"/>
        <v>2.31</v>
      </c>
      <c r="T20" s="1177" t="s">
        <v>1071</v>
      </c>
      <c r="U20" s="1178">
        <f t="shared" ref="U20:AS20" si="17">iferror(U10/U$11,"")</f>
        <v>0.01818181818</v>
      </c>
      <c r="V20" s="1178">
        <f t="shared" si="17"/>
        <v>0</v>
      </c>
      <c r="W20" s="1178">
        <f t="shared" si="17"/>
        <v>0</v>
      </c>
      <c r="X20" s="1178">
        <f t="shared" si="17"/>
        <v>0</v>
      </c>
      <c r="Y20" s="1178">
        <f t="shared" si="17"/>
        <v>0.0025</v>
      </c>
      <c r="Z20" s="1178">
        <f t="shared" si="17"/>
        <v>0</v>
      </c>
      <c r="AA20" s="1178">
        <f t="shared" si="17"/>
        <v>0</v>
      </c>
      <c r="AB20" s="1178">
        <f t="shared" si="17"/>
        <v>0</v>
      </c>
      <c r="AC20" s="1178">
        <f t="shared" si="17"/>
        <v>0</v>
      </c>
      <c r="AD20" s="1178">
        <f t="shared" si="17"/>
        <v>0</v>
      </c>
      <c r="AE20" s="1178">
        <f t="shared" si="17"/>
        <v>0.01538461538</v>
      </c>
      <c r="AF20" s="1178">
        <f t="shared" si="17"/>
        <v>0</v>
      </c>
      <c r="AG20" s="1178">
        <f t="shared" si="17"/>
        <v>0</v>
      </c>
      <c r="AH20" s="1178">
        <f t="shared" si="17"/>
        <v>0.02</v>
      </c>
      <c r="AI20" s="1178">
        <f t="shared" si="17"/>
        <v>0</v>
      </c>
      <c r="AJ20" s="1178">
        <f t="shared" si="17"/>
        <v>0</v>
      </c>
      <c r="AK20" s="1178">
        <f t="shared" si="17"/>
        <v>0</v>
      </c>
      <c r="AL20" s="1178">
        <f t="shared" si="17"/>
        <v>0.00651465798</v>
      </c>
      <c r="AM20" s="1178">
        <f t="shared" si="17"/>
        <v>0.01449275362</v>
      </c>
      <c r="AN20" s="1178">
        <f t="shared" si="17"/>
        <v>0</v>
      </c>
      <c r="AO20" s="1178">
        <f t="shared" si="17"/>
        <v>0</v>
      </c>
      <c r="AP20" s="1178">
        <f t="shared" si="17"/>
        <v>0.01408450704</v>
      </c>
      <c r="AQ20" s="1178">
        <f t="shared" si="17"/>
        <v>0</v>
      </c>
      <c r="AR20" s="1178">
        <f t="shared" si="17"/>
        <v>0</v>
      </c>
      <c r="AS20" s="1178">
        <f t="shared" si="17"/>
        <v>0</v>
      </c>
      <c r="AT20" s="1179">
        <v>0.0</v>
      </c>
      <c r="AU20" s="1179">
        <v>0.0</v>
      </c>
      <c r="AV20" s="1178">
        <f t="shared" ref="AV20:AX20" si="18">iferror(AV10/AV$11,"")</f>
        <v>0</v>
      </c>
      <c r="AW20" s="1178">
        <f t="shared" si="18"/>
        <v>0</v>
      </c>
      <c r="AX20" s="1178">
        <f t="shared" si="18"/>
        <v>0.02777777778</v>
      </c>
    </row>
    <row r="21" outlineLevel="1">
      <c r="B21" s="1180" t="s">
        <v>693</v>
      </c>
      <c r="C21" s="1169"/>
      <c r="D21" s="1169"/>
      <c r="E21" s="1102"/>
      <c r="F21" s="1123"/>
      <c r="T21" s="1181"/>
      <c r="U21" s="1183"/>
      <c r="V21" s="1183"/>
      <c r="W21" s="1183"/>
      <c r="X21" s="1183"/>
      <c r="Y21" s="1183"/>
      <c r="Z21" s="1183"/>
      <c r="AA21" s="1183"/>
      <c r="AB21" s="1183"/>
      <c r="AC21" s="1183"/>
      <c r="AD21" s="1183"/>
      <c r="AE21" s="1183"/>
      <c r="AF21" s="1183"/>
      <c r="AG21" s="1106"/>
      <c r="AH21" s="1106"/>
      <c r="AI21" s="1106"/>
      <c r="AJ21" s="1106"/>
      <c r="AK21" s="1106"/>
      <c r="AL21" s="1106"/>
      <c r="AM21" s="1106"/>
      <c r="AN21" s="1106"/>
      <c r="AO21" s="1106"/>
      <c r="AP21" s="1106"/>
      <c r="AQ21" s="1106"/>
      <c r="AR21" s="1106"/>
      <c r="AS21" s="1106"/>
      <c r="AT21" s="1106"/>
      <c r="AU21" s="1106"/>
      <c r="AV21" s="1106"/>
      <c r="AW21" s="1106"/>
      <c r="AX21" s="1106"/>
    </row>
    <row r="22" outlineLevel="1">
      <c r="B22" s="1180" t="s">
        <v>695</v>
      </c>
      <c r="C22" s="1125">
        <v>0.3</v>
      </c>
      <c r="D22" s="1125">
        <v>0.0</v>
      </c>
      <c r="E22" s="1102"/>
      <c r="F22" s="1123"/>
      <c r="T22" s="1184"/>
      <c r="U22" s="1183"/>
      <c r="V22" s="1183"/>
      <c r="W22" s="1183"/>
      <c r="X22" s="1183"/>
      <c r="Y22" s="1183"/>
      <c r="Z22" s="1183"/>
      <c r="AA22" s="1183"/>
      <c r="AB22" s="1183"/>
      <c r="AC22" s="1183"/>
      <c r="AD22" s="1183"/>
      <c r="AE22" s="1183"/>
      <c r="AF22" s="1183"/>
      <c r="AG22" s="1106"/>
      <c r="AH22" s="1106"/>
      <c r="AI22" s="1106"/>
      <c r="AJ22" s="1106"/>
      <c r="AK22" s="1106"/>
      <c r="AL22" s="1106"/>
      <c r="AM22" s="1106"/>
      <c r="AN22" s="1106"/>
      <c r="AO22" s="1106"/>
      <c r="AP22" s="1106"/>
      <c r="AQ22" s="1106"/>
      <c r="AR22" s="1106"/>
      <c r="AS22" s="1106"/>
      <c r="AT22" s="1106"/>
      <c r="AU22" s="1106"/>
      <c r="AV22" s="1106"/>
      <c r="AW22" s="1106"/>
      <c r="AX22" s="1106"/>
    </row>
    <row r="23" outlineLevel="1">
      <c r="B23" s="1180" t="s">
        <v>696</v>
      </c>
      <c r="C23" s="1125">
        <v>0.31</v>
      </c>
      <c r="D23" s="1125">
        <v>0.31</v>
      </c>
      <c r="E23" s="1102"/>
      <c r="F23" s="1123"/>
      <c r="T23" s="1184"/>
      <c r="U23" s="1183"/>
      <c r="V23" s="1183"/>
      <c r="W23" s="1183"/>
      <c r="X23" s="1183"/>
      <c r="Y23" s="1183"/>
      <c r="Z23" s="1183"/>
      <c r="AA23" s="1183"/>
      <c r="AB23" s="1183"/>
      <c r="AC23" s="1183"/>
      <c r="AD23" s="1183"/>
      <c r="AE23" s="1183"/>
      <c r="AF23" s="1183"/>
      <c r="AG23" s="1106"/>
      <c r="AH23" s="1106"/>
      <c r="AI23" s="1106"/>
      <c r="AJ23" s="1106"/>
      <c r="AK23" s="1106"/>
      <c r="AL23" s="1106"/>
      <c r="AM23" s="1106"/>
      <c r="AN23" s="1106"/>
      <c r="AO23" s="1106"/>
      <c r="AP23" s="1106"/>
      <c r="AQ23" s="1106"/>
      <c r="AR23" s="1106"/>
      <c r="AS23" s="1106"/>
      <c r="AT23" s="1106"/>
      <c r="AU23" s="1106"/>
      <c r="AV23" s="1106"/>
      <c r="AW23" s="1106"/>
      <c r="AX23" s="1106"/>
    </row>
    <row r="24" outlineLevel="1">
      <c r="B24" s="1180" t="s">
        <v>697</v>
      </c>
      <c r="C24" s="1125">
        <v>1.01</v>
      </c>
      <c r="D24" s="1125">
        <v>0.6</v>
      </c>
      <c r="E24" s="1102"/>
      <c r="F24" s="1123"/>
      <c r="T24" s="1184"/>
      <c r="U24" s="1183"/>
      <c r="V24" s="1183"/>
      <c r="W24" s="1183"/>
      <c r="X24" s="1183"/>
      <c r="Y24" s="1183"/>
      <c r="Z24" s="1183"/>
      <c r="AA24" s="1183"/>
      <c r="AB24" s="1183"/>
      <c r="AC24" s="1183"/>
      <c r="AD24" s="1183"/>
      <c r="AE24" s="1183"/>
      <c r="AF24" s="1183"/>
      <c r="AG24" s="1106"/>
      <c r="AH24" s="1106"/>
      <c r="AI24" s="1106"/>
      <c r="AJ24" s="1106"/>
      <c r="AK24" s="1106"/>
      <c r="AL24" s="1106"/>
      <c r="AM24" s="1106"/>
      <c r="AN24" s="1106"/>
      <c r="AO24" s="1106"/>
      <c r="AP24" s="1106"/>
      <c r="AQ24" s="1106"/>
      <c r="AR24" s="1106"/>
      <c r="AS24" s="1106"/>
      <c r="AT24" s="1106"/>
      <c r="AU24" s="1106"/>
      <c r="AV24" s="1106"/>
      <c r="AW24" s="1106"/>
      <c r="AX24" s="1106"/>
    </row>
    <row r="25" outlineLevel="1">
      <c r="B25" s="1180" t="s">
        <v>698</v>
      </c>
      <c r="C25" s="1125">
        <v>0.3</v>
      </c>
      <c r="D25" s="1125">
        <v>0.3</v>
      </c>
      <c r="E25" s="1102"/>
      <c r="F25" s="1123"/>
      <c r="T25" s="1102"/>
      <c r="U25" s="1104"/>
      <c r="V25" s="1104"/>
      <c r="W25" s="1104"/>
      <c r="X25" s="1104"/>
      <c r="Y25" s="1104"/>
      <c r="Z25" s="1104"/>
      <c r="AA25" s="1104"/>
      <c r="AB25" s="1104"/>
      <c r="AC25" s="1104"/>
      <c r="AD25" s="1104"/>
      <c r="AE25" s="1104"/>
      <c r="AF25" s="1104"/>
      <c r="AG25" s="1106"/>
      <c r="AH25" s="1106"/>
      <c r="AI25" s="1106"/>
      <c r="AJ25" s="1106"/>
      <c r="AK25" s="1106"/>
      <c r="AL25" s="1106"/>
      <c r="AM25" s="1106"/>
      <c r="AN25" s="1106"/>
      <c r="AO25" s="1106"/>
      <c r="AP25" s="1106"/>
      <c r="AQ25" s="1106"/>
      <c r="AR25" s="1106"/>
      <c r="AS25" s="1106"/>
      <c r="AT25" s="1106"/>
      <c r="AU25" s="1106"/>
      <c r="AV25" s="1106"/>
      <c r="AW25" s="1106"/>
      <c r="AX25" s="1106"/>
    </row>
    <row r="26" outlineLevel="1">
      <c r="B26" s="1180" t="s">
        <v>699</v>
      </c>
      <c r="C26" s="1125">
        <v>0.0</v>
      </c>
      <c r="D26" s="1125">
        <v>1.1</v>
      </c>
      <c r="E26" s="1102"/>
      <c r="F26" s="1123"/>
      <c r="T26" s="1102"/>
      <c r="U26" s="1104"/>
      <c r="V26" s="1104"/>
      <c r="W26" s="1104"/>
      <c r="X26" s="1104"/>
      <c r="Y26" s="1104"/>
      <c r="Z26" s="1104"/>
      <c r="AA26" s="1104"/>
      <c r="AB26" s="1104"/>
      <c r="AC26" s="1104"/>
      <c r="AD26" s="1104"/>
      <c r="AE26" s="1104"/>
      <c r="AF26" s="1104"/>
      <c r="AG26" s="1106"/>
      <c r="AH26" s="1106"/>
      <c r="AI26" s="1106"/>
      <c r="AJ26" s="1106"/>
      <c r="AK26" s="1106"/>
      <c r="AL26" s="1106"/>
      <c r="AM26" s="1106"/>
      <c r="AN26" s="1106"/>
      <c r="AO26" s="1106"/>
      <c r="AP26" s="1106"/>
      <c r="AQ26" s="1106"/>
      <c r="AR26" s="1106"/>
      <c r="AS26" s="1106"/>
      <c r="AT26" s="1106"/>
      <c r="AU26" s="1106"/>
      <c r="AV26" s="1106"/>
      <c r="AW26" s="1106"/>
      <c r="AX26" s="1106"/>
    </row>
    <row r="27" outlineLevel="1">
      <c r="B27" s="1180" t="s">
        <v>700</v>
      </c>
      <c r="C27" s="1125">
        <v>1.2</v>
      </c>
      <c r="D27" s="1125">
        <v>0.0</v>
      </c>
      <c r="E27" s="1102"/>
      <c r="F27" s="1123"/>
      <c r="T27" s="1102"/>
      <c r="U27" s="1104"/>
      <c r="V27" s="1104"/>
      <c r="W27" s="1104"/>
      <c r="X27" s="1104"/>
      <c r="Y27" s="1104"/>
      <c r="Z27" s="1104"/>
      <c r="AA27" s="1104"/>
      <c r="AB27" s="1104"/>
      <c r="AC27" s="1104"/>
      <c r="AD27" s="1104"/>
      <c r="AE27" s="1104"/>
      <c r="AF27" s="1104"/>
      <c r="AG27" s="1106"/>
      <c r="AH27" s="1106"/>
      <c r="AI27" s="1106"/>
      <c r="AJ27" s="1106"/>
      <c r="AK27" s="1106"/>
      <c r="AL27" s="1106"/>
      <c r="AM27" s="1106"/>
      <c r="AN27" s="1106"/>
      <c r="AO27" s="1106"/>
      <c r="AP27" s="1106"/>
      <c r="AQ27" s="1106"/>
      <c r="AR27" s="1106"/>
      <c r="AS27" s="1106"/>
      <c r="AT27" s="1106"/>
      <c r="AU27" s="1106"/>
      <c r="AV27" s="1106"/>
      <c r="AW27" s="1106"/>
      <c r="AX27" s="1106"/>
    </row>
    <row r="28">
      <c r="B28" s="1186" t="s">
        <v>702</v>
      </c>
      <c r="C28" s="1187">
        <f t="shared" ref="C28:D28" si="19">C20+C17-C21</f>
        <v>15.06</v>
      </c>
      <c r="D28" s="1187">
        <f t="shared" si="19"/>
        <v>8.465</v>
      </c>
      <c r="T28" s="1102"/>
      <c r="U28" s="1104"/>
      <c r="V28" s="1104"/>
      <c r="W28" s="1104"/>
      <c r="X28" s="1104"/>
      <c r="Y28" s="1104"/>
      <c r="Z28" s="1104"/>
      <c r="AA28" s="1104"/>
      <c r="AB28" s="1104"/>
      <c r="AC28" s="1104"/>
      <c r="AD28" s="1104"/>
      <c r="AE28" s="1104"/>
      <c r="AF28" s="1104"/>
      <c r="AG28" s="1106"/>
      <c r="AH28" s="1106"/>
      <c r="AI28" s="1106"/>
      <c r="AJ28" s="1106"/>
      <c r="AK28" s="1106"/>
      <c r="AL28" s="1106"/>
      <c r="AM28" s="1106"/>
      <c r="AN28" s="1106"/>
      <c r="AO28" s="1106"/>
      <c r="AP28" s="1106"/>
      <c r="AQ28" s="1106"/>
      <c r="AR28" s="1106"/>
      <c r="AS28" s="1106"/>
      <c r="AT28" s="1106"/>
      <c r="AU28" s="1106"/>
      <c r="AV28" s="1106"/>
      <c r="AW28" s="1106"/>
      <c r="AX28" s="1106"/>
    </row>
    <row r="29">
      <c r="B29" s="1186" t="s">
        <v>704</v>
      </c>
      <c r="C29" s="1137">
        <v>15.06</v>
      </c>
      <c r="D29" s="1137"/>
      <c r="E29" s="1102"/>
      <c r="F29" s="1123"/>
      <c r="T29" s="1102"/>
      <c r="U29" s="1104"/>
      <c r="V29" s="1104"/>
      <c r="W29" s="1104"/>
      <c r="X29" s="1104"/>
      <c r="Y29" s="1104"/>
      <c r="Z29" s="1104"/>
      <c r="AA29" s="1104"/>
      <c r="AB29" s="1104"/>
      <c r="AC29" s="1104"/>
      <c r="AD29" s="1104"/>
      <c r="AE29" s="1104"/>
      <c r="AF29" s="1104"/>
      <c r="AG29" s="1106"/>
      <c r="AH29" s="1106"/>
      <c r="AI29" s="1106"/>
      <c r="AJ29" s="1106"/>
      <c r="AK29" s="1106"/>
      <c r="AL29" s="1106"/>
      <c r="AM29" s="1106"/>
      <c r="AN29" s="1106"/>
      <c r="AO29" s="1106"/>
      <c r="AP29" s="1106"/>
      <c r="AQ29" s="1106"/>
      <c r="AR29" s="1106"/>
      <c r="AS29" s="1106"/>
      <c r="AT29" s="1106"/>
      <c r="AU29" s="1106"/>
      <c r="AV29" s="1106"/>
      <c r="AW29" s="1106"/>
      <c r="AX29" s="1106"/>
    </row>
    <row r="30">
      <c r="B30" s="1186" t="s">
        <v>706</v>
      </c>
      <c r="C30" s="1137">
        <v>20.0</v>
      </c>
      <c r="D30" s="1137"/>
      <c r="E30" s="1102"/>
      <c r="F30" s="1123"/>
      <c r="T30" s="1102"/>
      <c r="U30" s="1104"/>
      <c r="V30" s="1104"/>
      <c r="W30" s="1104"/>
      <c r="X30" s="1104"/>
      <c r="Y30" s="1104"/>
      <c r="Z30" s="1104"/>
      <c r="AA30" s="1104"/>
      <c r="AB30" s="1104"/>
      <c r="AC30" s="1104"/>
      <c r="AD30" s="1104"/>
      <c r="AE30" s="1104"/>
      <c r="AF30" s="1104"/>
      <c r="AG30" s="1106"/>
      <c r="AH30" s="1106"/>
      <c r="AI30" s="1106"/>
      <c r="AJ30" s="1106"/>
      <c r="AK30" s="1106"/>
      <c r="AL30" s="1106"/>
      <c r="AM30" s="1106"/>
      <c r="AN30" s="1106"/>
      <c r="AO30" s="1106"/>
      <c r="AP30" s="1106"/>
      <c r="AQ30" s="1106"/>
      <c r="AR30" s="1106"/>
      <c r="AS30" s="1106"/>
      <c r="AT30" s="1106"/>
      <c r="AU30" s="1106"/>
      <c r="AV30" s="1106"/>
      <c r="AW30" s="1106"/>
      <c r="AX30" s="1106"/>
    </row>
    <row r="31">
      <c r="A31" s="1188" t="s">
        <v>614</v>
      </c>
      <c r="B31" s="1170" t="s">
        <v>710</v>
      </c>
      <c r="C31" s="1171" t="s">
        <v>678</v>
      </c>
      <c r="D31" s="1171" t="s">
        <v>679</v>
      </c>
      <c r="T31" s="1102"/>
      <c r="U31" s="1104"/>
      <c r="V31" s="1104"/>
      <c r="W31" s="1104"/>
      <c r="X31" s="1104"/>
      <c r="Y31" s="1104"/>
      <c r="Z31" s="1104"/>
      <c r="AA31" s="1104"/>
      <c r="AB31" s="1104"/>
      <c r="AC31" s="1104"/>
      <c r="AD31" s="1104"/>
      <c r="AE31" s="1104"/>
      <c r="AF31" s="1104"/>
      <c r="AG31" s="1106"/>
      <c r="AH31" s="1106"/>
      <c r="AI31" s="1106"/>
      <c r="AJ31" s="1106"/>
      <c r="AK31" s="1106"/>
      <c r="AL31" s="1106"/>
      <c r="AM31" s="1106"/>
      <c r="AN31" s="1106"/>
      <c r="AO31" s="1106"/>
      <c r="AP31" s="1106"/>
      <c r="AQ31" s="1106"/>
      <c r="AR31" s="1106"/>
      <c r="AS31" s="1106"/>
      <c r="AT31" s="1106"/>
      <c r="AU31" s="1106"/>
      <c r="AV31" s="1106"/>
      <c r="AW31" s="1106"/>
      <c r="AX31" s="1106"/>
    </row>
    <row r="32">
      <c r="B32" s="1118" t="s">
        <v>712</v>
      </c>
      <c r="C32" s="1125">
        <v>11.94</v>
      </c>
      <c r="D32" s="1125">
        <v>1.435</v>
      </c>
      <c r="T32" s="1102"/>
      <c r="U32" s="1104"/>
      <c r="V32" s="1104"/>
      <c r="W32" s="1104"/>
      <c r="X32" s="1104"/>
      <c r="Y32" s="1104"/>
      <c r="Z32" s="1104"/>
      <c r="AA32" s="1104"/>
      <c r="AB32" s="1104"/>
      <c r="AC32" s="1104"/>
      <c r="AD32" s="1104"/>
      <c r="AE32" s="1104"/>
      <c r="AF32" s="1104"/>
      <c r="AG32" s="1106"/>
      <c r="AH32" s="1106"/>
      <c r="AI32" s="1106"/>
      <c r="AJ32" s="1106"/>
      <c r="AK32" s="1106"/>
      <c r="AL32" s="1106"/>
      <c r="AM32" s="1106"/>
      <c r="AN32" s="1106"/>
      <c r="AO32" s="1106"/>
      <c r="AP32" s="1106"/>
      <c r="AQ32" s="1106"/>
      <c r="AR32" s="1106"/>
      <c r="AS32" s="1106"/>
      <c r="AT32" s="1106"/>
      <c r="AU32" s="1106"/>
      <c r="AV32" s="1106"/>
      <c r="AW32" s="1106"/>
      <c r="AX32" s="1106"/>
    </row>
    <row r="33">
      <c r="B33" s="1118" t="s">
        <v>713</v>
      </c>
      <c r="C33" s="1125">
        <v>11.94</v>
      </c>
      <c r="D33" s="1125">
        <v>1.44</v>
      </c>
      <c r="E33" s="1166"/>
      <c r="F33" s="1102"/>
      <c r="T33" s="1102"/>
      <c r="U33" s="1104"/>
      <c r="V33" s="1104"/>
      <c r="W33" s="1104"/>
      <c r="X33" s="1104"/>
      <c r="Y33" s="1104"/>
      <c r="Z33" s="1104"/>
      <c r="AA33" s="1104"/>
      <c r="AB33" s="1104"/>
      <c r="AC33" s="1104"/>
      <c r="AD33" s="1104"/>
      <c r="AE33" s="1104"/>
      <c r="AF33" s="1104"/>
      <c r="AG33" s="1106"/>
      <c r="AH33" s="1106"/>
      <c r="AI33" s="1106"/>
      <c r="AJ33" s="1106"/>
      <c r="AK33" s="1106"/>
      <c r="AL33" s="1106"/>
      <c r="AM33" s="1106"/>
      <c r="AN33" s="1106"/>
      <c r="AO33" s="1106"/>
      <c r="AP33" s="1106"/>
      <c r="AQ33" s="1106"/>
      <c r="AR33" s="1106"/>
      <c r="AS33" s="1106"/>
      <c r="AT33" s="1106"/>
      <c r="AU33" s="1106"/>
      <c r="AV33" s="1106"/>
      <c r="AW33" s="1106"/>
      <c r="AX33" s="1106"/>
    </row>
    <row r="34">
      <c r="B34" s="1118" t="s">
        <v>714</v>
      </c>
      <c r="C34" s="1125">
        <v>11.94</v>
      </c>
      <c r="D34" s="1125">
        <v>1.44</v>
      </c>
      <c r="E34" s="1102"/>
      <c r="F34" s="1189"/>
      <c r="T34" s="1102"/>
      <c r="U34" s="1104"/>
      <c r="V34" s="1104"/>
      <c r="W34" s="1104"/>
      <c r="X34" s="1104"/>
      <c r="Y34" s="1104"/>
      <c r="Z34" s="1104"/>
      <c r="AA34" s="1104"/>
      <c r="AB34" s="1104"/>
      <c r="AC34" s="1104"/>
      <c r="AD34" s="1104"/>
      <c r="AE34" s="1104"/>
      <c r="AF34" s="1104"/>
      <c r="AG34" s="1106"/>
      <c r="AH34" s="1106"/>
      <c r="AI34" s="1106"/>
      <c r="AJ34" s="1106"/>
      <c r="AK34" s="1106"/>
      <c r="AL34" s="1106"/>
      <c r="AM34" s="1106"/>
      <c r="AN34" s="1106"/>
      <c r="AO34" s="1106"/>
      <c r="AP34" s="1106"/>
      <c r="AQ34" s="1106"/>
      <c r="AR34" s="1106"/>
      <c r="AS34" s="1106"/>
      <c r="AT34" s="1106"/>
      <c r="AU34" s="1106"/>
      <c r="AV34" s="1106"/>
      <c r="AW34" s="1106"/>
      <c r="AX34" s="1106"/>
    </row>
    <row r="35">
      <c r="B35" s="1190"/>
      <c r="C35" s="1191"/>
      <c r="E35" s="1102"/>
      <c r="F35" s="1189"/>
      <c r="T35" s="1102"/>
      <c r="U35" s="1104"/>
      <c r="V35" s="1104"/>
      <c r="W35" s="1104"/>
      <c r="X35" s="1104"/>
      <c r="Y35" s="1104"/>
      <c r="Z35" s="1104"/>
      <c r="AA35" s="1104"/>
      <c r="AB35" s="1104"/>
      <c r="AC35" s="1104"/>
      <c r="AD35" s="1104"/>
      <c r="AE35" s="1104"/>
      <c r="AF35" s="1104"/>
      <c r="AG35" s="1106"/>
      <c r="AH35" s="1106"/>
      <c r="AI35" s="1106"/>
      <c r="AJ35" s="1106"/>
      <c r="AK35" s="1106"/>
      <c r="AL35" s="1106"/>
      <c r="AM35" s="1106"/>
      <c r="AN35" s="1106"/>
      <c r="AO35" s="1106"/>
      <c r="AP35" s="1106"/>
      <c r="AQ35" s="1106"/>
      <c r="AR35" s="1106"/>
      <c r="AS35" s="1106"/>
      <c r="AT35" s="1106"/>
      <c r="AU35" s="1106"/>
      <c r="AV35" s="1106"/>
      <c r="AW35" s="1106"/>
      <c r="AX35" s="1106"/>
    </row>
    <row r="36">
      <c r="B36" s="1170" t="s">
        <v>716</v>
      </c>
      <c r="C36" s="1171" t="s">
        <v>678</v>
      </c>
      <c r="E36" s="1149" t="s">
        <v>1080</v>
      </c>
      <c r="F36" s="1192"/>
      <c r="G36" s="1" t="s">
        <v>1081</v>
      </c>
      <c r="T36" s="1102"/>
      <c r="U36" s="1104"/>
      <c r="V36" s="1104"/>
      <c r="W36" s="1104"/>
      <c r="X36" s="1104"/>
      <c r="Y36" s="1104"/>
      <c r="Z36" s="1104"/>
      <c r="AA36" s="1104"/>
      <c r="AB36" s="1104"/>
      <c r="AC36" s="1104"/>
      <c r="AD36" s="1104"/>
      <c r="AE36" s="1104"/>
      <c r="AF36" s="1104"/>
      <c r="AG36" s="1106"/>
      <c r="AH36" s="1106"/>
      <c r="AI36" s="1106"/>
      <c r="AJ36" s="1106"/>
      <c r="AK36" s="1106"/>
      <c r="AL36" s="1106"/>
      <c r="AM36" s="1106"/>
      <c r="AN36" s="1106"/>
      <c r="AO36" s="1106"/>
      <c r="AP36" s="1106"/>
      <c r="AQ36" s="1106"/>
      <c r="AR36" s="1106"/>
      <c r="AS36" s="1106"/>
      <c r="AT36" s="1106"/>
      <c r="AU36" s="1106"/>
      <c r="AV36" s="1106"/>
      <c r="AW36" s="1106"/>
      <c r="AX36" s="1106"/>
    </row>
    <row r="37">
      <c r="A37" s="1193">
        <f>AVERAGE(D3:D4)</f>
        <v>92.255</v>
      </c>
      <c r="B37" s="1127" t="s">
        <v>718</v>
      </c>
      <c r="C37" s="1194">
        <v>2.27</v>
      </c>
      <c r="E37" s="1149" t="s">
        <v>1082</v>
      </c>
      <c r="F37" s="1195">
        <v>0.63</v>
      </c>
      <c r="T37" s="1102"/>
      <c r="U37" s="1104"/>
      <c r="V37" s="1104"/>
      <c r="W37" s="1104"/>
      <c r="X37" s="1104"/>
      <c r="Y37" s="1104"/>
      <c r="Z37" s="1104"/>
      <c r="AA37" s="1104"/>
      <c r="AB37" s="1104"/>
      <c r="AC37" s="1104"/>
      <c r="AD37" s="1104"/>
      <c r="AE37" s="1104"/>
      <c r="AF37" s="1104"/>
      <c r="AG37" s="1106"/>
      <c r="AH37" s="1106"/>
      <c r="AI37" s="1106"/>
      <c r="AJ37" s="1106"/>
      <c r="AK37" s="1106"/>
      <c r="AL37" s="1106"/>
      <c r="AM37" s="1106"/>
      <c r="AN37" s="1106"/>
      <c r="AO37" s="1106"/>
      <c r="AP37" s="1106"/>
      <c r="AQ37" s="1106"/>
      <c r="AR37" s="1106"/>
      <c r="AS37" s="1106"/>
      <c r="AT37" s="1106"/>
      <c r="AU37" s="1106"/>
      <c r="AV37" s="1106"/>
      <c r="AW37" s="1106"/>
      <c r="AX37" s="1106"/>
    </row>
    <row r="38">
      <c r="A38" s="1193">
        <f>sum(C37:C38)</f>
        <v>2.51</v>
      </c>
      <c r="B38" s="1127" t="s">
        <v>720</v>
      </c>
      <c r="C38" s="1194">
        <v>0.24</v>
      </c>
      <c r="E38" s="1149" t="s">
        <v>720</v>
      </c>
      <c r="F38" s="1195">
        <v>0.11</v>
      </c>
      <c r="T38" s="1102"/>
      <c r="U38" s="1104"/>
      <c r="V38" s="1104"/>
      <c r="W38" s="1104"/>
      <c r="X38" s="1104"/>
      <c r="Y38" s="1104"/>
      <c r="Z38" s="1104"/>
      <c r="AA38" s="1104"/>
      <c r="AB38" s="1104"/>
      <c r="AC38" s="1104"/>
      <c r="AD38" s="1104"/>
      <c r="AE38" s="1104"/>
      <c r="AF38" s="1104"/>
      <c r="AG38" s="1106"/>
      <c r="AH38" s="1106"/>
      <c r="AI38" s="1106"/>
      <c r="AJ38" s="1106"/>
      <c r="AK38" s="1106"/>
      <c r="AL38" s="1106"/>
      <c r="AM38" s="1106"/>
      <c r="AN38" s="1106"/>
      <c r="AO38" s="1106"/>
      <c r="AP38" s="1106"/>
      <c r="AQ38" s="1106"/>
      <c r="AR38" s="1106"/>
      <c r="AS38" s="1106"/>
      <c r="AT38" s="1106"/>
      <c r="AU38" s="1106"/>
      <c r="AV38" s="1106"/>
      <c r="AW38" s="1106"/>
      <c r="AX38" s="1106"/>
    </row>
    <row r="39">
      <c r="A39" s="1198">
        <f>C40</f>
        <v>11.94</v>
      </c>
      <c r="B39" s="1170" t="s">
        <v>721</v>
      </c>
      <c r="C39" s="1171" t="s">
        <v>678</v>
      </c>
      <c r="E39" s="1149" t="s">
        <v>1083</v>
      </c>
      <c r="F39" s="1195">
        <v>1.01</v>
      </c>
      <c r="T39" s="1102"/>
      <c r="U39" s="1104"/>
      <c r="V39" s="1104"/>
      <c r="W39" s="1104"/>
      <c r="X39" s="1104"/>
      <c r="Y39" s="1104"/>
      <c r="Z39" s="1104"/>
      <c r="AA39" s="1104"/>
      <c r="AB39" s="1104"/>
      <c r="AC39" s="1104"/>
      <c r="AD39" s="1104"/>
      <c r="AE39" s="1104"/>
      <c r="AF39" s="1104"/>
      <c r="AG39" s="1106"/>
      <c r="AH39" s="1106"/>
      <c r="AI39" s="1106"/>
      <c r="AJ39" s="1106"/>
      <c r="AK39" s="1106"/>
      <c r="AL39" s="1106"/>
      <c r="AM39" s="1106"/>
      <c r="AN39" s="1106"/>
      <c r="AO39" s="1106"/>
      <c r="AP39" s="1106"/>
      <c r="AQ39" s="1106"/>
      <c r="AR39" s="1106"/>
      <c r="AS39" s="1106"/>
      <c r="AT39" s="1106"/>
      <c r="AU39" s="1106"/>
      <c r="AV39" s="1106"/>
      <c r="AW39" s="1106"/>
      <c r="AX39" s="1106"/>
    </row>
    <row r="40">
      <c r="A40" s="1193">
        <f>sum(F37:F39)</f>
        <v>1.75</v>
      </c>
      <c r="B40" s="1127" t="s">
        <v>1084</v>
      </c>
      <c r="C40" s="1199">
        <v>11.94</v>
      </c>
      <c r="E40" s="1102"/>
      <c r="F40" s="1200"/>
      <c r="T40" s="1102"/>
      <c r="U40" s="1104"/>
      <c r="V40" s="1104"/>
      <c r="W40" s="1104"/>
      <c r="X40" s="1104"/>
      <c r="Y40" s="1104"/>
      <c r="Z40" s="1104"/>
      <c r="AA40" s="1104"/>
      <c r="AB40" s="1104"/>
      <c r="AC40" s="1104"/>
      <c r="AD40" s="1104"/>
      <c r="AE40" s="1104"/>
      <c r="AF40" s="1104"/>
      <c r="AG40" s="1106"/>
      <c r="AH40" s="1106"/>
      <c r="AI40" s="1106"/>
      <c r="AJ40" s="1106"/>
      <c r="AK40" s="1106"/>
      <c r="AL40" s="1106"/>
      <c r="AM40" s="1106"/>
      <c r="AN40" s="1106"/>
      <c r="AO40" s="1106"/>
      <c r="AP40" s="1106"/>
      <c r="AQ40" s="1106"/>
      <c r="AR40" s="1106"/>
      <c r="AS40" s="1106"/>
      <c r="AT40" s="1106"/>
      <c r="AU40" s="1106"/>
      <c r="AV40" s="1106"/>
      <c r="AW40" s="1106"/>
      <c r="AX40" s="1106"/>
    </row>
    <row r="41">
      <c r="A41" s="1201">
        <f>C32</f>
        <v>11.94</v>
      </c>
      <c r="B41" s="1121" t="s">
        <v>729</v>
      </c>
      <c r="C41" s="1202">
        <v>0.1</v>
      </c>
      <c r="D41" s="1" t="s">
        <v>1085</v>
      </c>
      <c r="E41" s="1102"/>
      <c r="F41" s="1200"/>
      <c r="T41" s="1102"/>
      <c r="U41" s="1104"/>
      <c r="V41" s="1104"/>
      <c r="W41" s="1104"/>
      <c r="X41" s="1104"/>
      <c r="Y41" s="1104"/>
      <c r="Z41" s="1104"/>
      <c r="AA41" s="1104"/>
      <c r="AB41" s="1104"/>
      <c r="AC41" s="1104"/>
      <c r="AD41" s="1104"/>
      <c r="AE41" s="1104"/>
      <c r="AF41" s="1104"/>
      <c r="AG41" s="1106"/>
      <c r="AH41" s="1106"/>
      <c r="AI41" s="1106"/>
      <c r="AJ41" s="1106"/>
      <c r="AK41" s="1106"/>
      <c r="AL41" s="1106"/>
      <c r="AM41" s="1106"/>
      <c r="AN41" s="1106"/>
      <c r="AO41" s="1106"/>
      <c r="AP41" s="1106"/>
      <c r="AQ41" s="1106"/>
      <c r="AR41" s="1106"/>
      <c r="AS41" s="1106"/>
      <c r="AT41" s="1106"/>
      <c r="AU41" s="1106"/>
      <c r="AV41" s="1106"/>
      <c r="AW41" s="1106"/>
      <c r="AX41" s="1106"/>
    </row>
    <row r="42">
      <c r="A42" s="1203"/>
      <c r="E42" s="1102"/>
      <c r="F42" s="1200"/>
      <c r="T42" s="1102"/>
      <c r="U42" s="1104"/>
      <c r="V42" s="1104"/>
      <c r="W42" s="1104"/>
      <c r="X42" s="1104"/>
      <c r="Y42" s="1104"/>
      <c r="Z42" s="1104"/>
      <c r="AA42" s="1104"/>
      <c r="AB42" s="1104"/>
      <c r="AC42" s="1104"/>
      <c r="AD42" s="1104"/>
      <c r="AE42" s="1104"/>
      <c r="AF42" s="1104"/>
      <c r="AG42" s="1106"/>
      <c r="AH42" s="1106"/>
      <c r="AI42" s="1106"/>
      <c r="AJ42" s="1106"/>
      <c r="AK42" s="1106"/>
      <c r="AL42" s="1106"/>
      <c r="AM42" s="1106"/>
      <c r="AN42" s="1106"/>
      <c r="AO42" s="1106"/>
      <c r="AP42" s="1106"/>
      <c r="AQ42" s="1106"/>
      <c r="AR42" s="1106"/>
      <c r="AS42" s="1106"/>
      <c r="AT42" s="1106"/>
      <c r="AU42" s="1106"/>
      <c r="AV42" s="1106"/>
      <c r="AW42" s="1106"/>
      <c r="AX42" s="1106"/>
    </row>
    <row r="43">
      <c r="A43" s="1193">
        <f>sum(A37:A41)</f>
        <v>120.395</v>
      </c>
      <c r="E43" s="1102"/>
      <c r="F43" s="1200"/>
      <c r="T43" s="1102"/>
      <c r="U43" s="1104"/>
      <c r="V43" s="1104"/>
      <c r="W43" s="1104"/>
      <c r="X43" s="1104"/>
      <c r="Y43" s="1104"/>
      <c r="Z43" s="1104"/>
      <c r="AA43" s="1104"/>
      <c r="AB43" s="1104"/>
      <c r="AC43" s="1104"/>
      <c r="AD43" s="1104"/>
      <c r="AE43" s="1104"/>
      <c r="AF43" s="1104"/>
      <c r="AG43" s="1106"/>
      <c r="AH43" s="1106"/>
      <c r="AI43" s="1106"/>
      <c r="AJ43" s="1106"/>
      <c r="AK43" s="1106"/>
      <c r="AL43" s="1106"/>
      <c r="AM43" s="1106"/>
      <c r="AN43" s="1106"/>
      <c r="AO43" s="1106"/>
      <c r="AP43" s="1106"/>
      <c r="AQ43" s="1106"/>
      <c r="AR43" s="1106"/>
      <c r="AS43" s="1106"/>
      <c r="AT43" s="1106"/>
      <c r="AU43" s="1106"/>
      <c r="AV43" s="1106"/>
      <c r="AW43" s="1106"/>
      <c r="AX43" s="1106"/>
    </row>
    <row r="44">
      <c r="T44" s="1102"/>
      <c r="U44" s="1104"/>
      <c r="V44" s="1104"/>
      <c r="W44" s="1104"/>
      <c r="X44" s="1104"/>
      <c r="Y44" s="1104"/>
      <c r="Z44" s="1104"/>
      <c r="AA44" s="1104"/>
      <c r="AB44" s="1104"/>
      <c r="AC44" s="1104"/>
      <c r="AD44" s="1104"/>
      <c r="AE44" s="1104"/>
      <c r="AF44" s="1104"/>
      <c r="AG44" s="1106"/>
      <c r="AH44" s="1106"/>
      <c r="AI44" s="1106"/>
      <c r="AJ44" s="1106"/>
      <c r="AK44" s="1106"/>
      <c r="AL44" s="1106"/>
      <c r="AM44" s="1106"/>
      <c r="AN44" s="1106"/>
      <c r="AO44" s="1106"/>
      <c r="AP44" s="1106"/>
      <c r="AQ44" s="1106"/>
      <c r="AR44" s="1106"/>
      <c r="AS44" s="1106"/>
      <c r="AT44" s="1106"/>
      <c r="AU44" s="1106"/>
      <c r="AV44" s="1106"/>
      <c r="AW44" s="1106"/>
      <c r="AX44" s="1106"/>
    </row>
    <row r="45">
      <c r="T45" s="1102"/>
      <c r="U45" s="1104"/>
      <c r="V45" s="1104"/>
      <c r="W45" s="1104"/>
      <c r="X45" s="1104"/>
      <c r="Y45" s="1104"/>
      <c r="Z45" s="1104"/>
      <c r="AA45" s="1104"/>
      <c r="AB45" s="1104"/>
      <c r="AC45" s="1104"/>
      <c r="AD45" s="1104"/>
      <c r="AE45" s="1104"/>
      <c r="AF45" s="1104"/>
      <c r="AG45" s="1106"/>
      <c r="AH45" s="1106"/>
      <c r="AI45" s="1106"/>
      <c r="AJ45" s="1106"/>
      <c r="AK45" s="1106"/>
      <c r="AL45" s="1106"/>
      <c r="AM45" s="1106"/>
      <c r="AN45" s="1106"/>
      <c r="AO45" s="1106"/>
      <c r="AP45" s="1106"/>
      <c r="AQ45" s="1106"/>
      <c r="AR45" s="1106"/>
      <c r="AS45" s="1106"/>
      <c r="AT45" s="1106"/>
      <c r="AU45" s="1106"/>
      <c r="AV45" s="1106"/>
      <c r="AW45" s="1106"/>
      <c r="AX45" s="1106"/>
    </row>
    <row r="46">
      <c r="A46" s="1204"/>
      <c r="B46" s="1204"/>
      <c r="T46" s="1102"/>
      <c r="U46" s="1104"/>
      <c r="V46" s="1104"/>
      <c r="W46" s="1104"/>
      <c r="X46" s="1104"/>
      <c r="Y46" s="1104"/>
      <c r="Z46" s="1104"/>
      <c r="AA46" s="1104"/>
      <c r="AB46" s="1104"/>
      <c r="AC46" s="1104"/>
      <c r="AD46" s="1104"/>
      <c r="AE46" s="1104"/>
      <c r="AF46" s="1104"/>
      <c r="AG46" s="1106"/>
      <c r="AH46" s="1106"/>
      <c r="AI46" s="1106"/>
      <c r="AJ46" s="1106"/>
      <c r="AK46" s="1106"/>
      <c r="AL46" s="1106"/>
      <c r="AM46" s="1106"/>
      <c r="AN46" s="1106"/>
      <c r="AO46" s="1106"/>
      <c r="AP46" s="1106"/>
      <c r="AQ46" s="1106"/>
      <c r="AR46" s="1106"/>
      <c r="AS46" s="1106"/>
      <c r="AT46" s="1106"/>
      <c r="AU46" s="1106"/>
      <c r="AV46" s="1106"/>
      <c r="AW46" s="1106"/>
      <c r="AX46" s="1106"/>
    </row>
    <row r="47">
      <c r="T47" s="1102"/>
      <c r="U47" s="1104"/>
      <c r="V47" s="1104"/>
      <c r="W47" s="1104"/>
      <c r="X47" s="1104"/>
      <c r="Y47" s="1104"/>
      <c r="Z47" s="1104"/>
      <c r="AA47" s="1104"/>
      <c r="AB47" s="1104"/>
      <c r="AC47" s="1104"/>
      <c r="AD47" s="1104"/>
      <c r="AE47" s="1104"/>
      <c r="AF47" s="1104"/>
      <c r="AG47" s="1106"/>
      <c r="AH47" s="1106"/>
      <c r="AI47" s="1106"/>
      <c r="AJ47" s="1106"/>
      <c r="AK47" s="1106"/>
      <c r="AL47" s="1106"/>
      <c r="AM47" s="1106"/>
      <c r="AN47" s="1106"/>
      <c r="AO47" s="1106"/>
      <c r="AP47" s="1106"/>
      <c r="AQ47" s="1106"/>
      <c r="AR47" s="1106"/>
      <c r="AS47" s="1106"/>
      <c r="AT47" s="1106"/>
      <c r="AU47" s="1106"/>
      <c r="AV47" s="1106"/>
      <c r="AW47" s="1106"/>
      <c r="AX47" s="1106"/>
    </row>
    <row r="48">
      <c r="T48" s="1102"/>
      <c r="U48" s="1104"/>
      <c r="V48" s="1104"/>
      <c r="W48" s="1104"/>
      <c r="X48" s="1104"/>
      <c r="Y48" s="1104"/>
      <c r="Z48" s="1104"/>
      <c r="AA48" s="1104"/>
      <c r="AB48" s="1104"/>
      <c r="AC48" s="1104"/>
      <c r="AD48" s="1104"/>
      <c r="AE48" s="1104"/>
      <c r="AF48" s="1104"/>
      <c r="AG48" s="1106"/>
      <c r="AH48" s="1106"/>
      <c r="AI48" s="1106"/>
      <c r="AJ48" s="1106"/>
      <c r="AK48" s="1106"/>
      <c r="AL48" s="1106"/>
      <c r="AM48" s="1106"/>
      <c r="AN48" s="1106"/>
      <c r="AO48" s="1106"/>
      <c r="AP48" s="1106"/>
      <c r="AQ48" s="1106"/>
      <c r="AR48" s="1106"/>
      <c r="AS48" s="1106"/>
      <c r="AT48" s="1106"/>
      <c r="AU48" s="1106"/>
      <c r="AV48" s="1106"/>
      <c r="AW48" s="1106"/>
      <c r="AX48" s="1106"/>
    </row>
    <row r="49">
      <c r="T49" s="1102"/>
      <c r="U49" s="1104"/>
      <c r="V49" s="1104"/>
      <c r="W49" s="1104"/>
      <c r="X49" s="1104"/>
      <c r="Y49" s="1104"/>
      <c r="Z49" s="1104"/>
      <c r="AA49" s="1104"/>
      <c r="AB49" s="1104"/>
      <c r="AC49" s="1104"/>
      <c r="AD49" s="1104"/>
      <c r="AE49" s="1104"/>
      <c r="AF49" s="1104"/>
      <c r="AG49" s="1106"/>
      <c r="AH49" s="1106"/>
      <c r="AI49" s="1106"/>
      <c r="AJ49" s="1106"/>
      <c r="AK49" s="1106"/>
      <c r="AL49" s="1106"/>
      <c r="AM49" s="1106"/>
      <c r="AN49" s="1106"/>
      <c r="AO49" s="1106"/>
      <c r="AP49" s="1106"/>
      <c r="AQ49" s="1106"/>
      <c r="AR49" s="1106"/>
      <c r="AS49" s="1106"/>
      <c r="AT49" s="1106"/>
      <c r="AU49" s="1106"/>
      <c r="AV49" s="1106"/>
      <c r="AW49" s="1106"/>
      <c r="AX49" s="1106"/>
    </row>
    <row r="50">
      <c r="T50" s="1102"/>
      <c r="U50" s="1104"/>
      <c r="V50" s="1104"/>
      <c r="W50" s="1104"/>
      <c r="X50" s="1104"/>
      <c r="Y50" s="1104"/>
      <c r="Z50" s="1104"/>
      <c r="AA50" s="1104"/>
      <c r="AB50" s="1104"/>
      <c r="AC50" s="1104"/>
      <c r="AD50" s="1104"/>
      <c r="AE50" s="1104"/>
      <c r="AF50" s="1104"/>
      <c r="AG50" s="1106"/>
      <c r="AH50" s="1106"/>
      <c r="AI50" s="1106"/>
      <c r="AJ50" s="1106"/>
      <c r="AK50" s="1106"/>
      <c r="AL50" s="1106"/>
      <c r="AM50" s="1106"/>
      <c r="AN50" s="1106"/>
      <c r="AO50" s="1106"/>
      <c r="AP50" s="1106"/>
      <c r="AQ50" s="1106"/>
      <c r="AR50" s="1106"/>
      <c r="AS50" s="1106"/>
      <c r="AT50" s="1106"/>
      <c r="AU50" s="1106"/>
      <c r="AV50" s="1106"/>
      <c r="AW50" s="1106"/>
      <c r="AX50" s="1106"/>
    </row>
    <row r="51">
      <c r="T51" s="1102"/>
      <c r="U51" s="1104"/>
      <c r="V51" s="1104"/>
      <c r="W51" s="1104"/>
      <c r="X51" s="1104"/>
      <c r="Y51" s="1104"/>
      <c r="Z51" s="1104"/>
      <c r="AA51" s="1104"/>
      <c r="AB51" s="1104"/>
      <c r="AC51" s="1104"/>
      <c r="AD51" s="1104"/>
      <c r="AE51" s="1104"/>
      <c r="AF51" s="1104"/>
      <c r="AG51" s="1106"/>
      <c r="AH51" s="1106"/>
      <c r="AI51" s="1106"/>
      <c r="AJ51" s="1106"/>
      <c r="AK51" s="1106"/>
      <c r="AL51" s="1106"/>
      <c r="AM51" s="1106"/>
      <c r="AN51" s="1106"/>
      <c r="AO51" s="1106"/>
      <c r="AP51" s="1106"/>
      <c r="AQ51" s="1106"/>
      <c r="AR51" s="1106"/>
      <c r="AS51" s="1106"/>
      <c r="AT51" s="1106"/>
      <c r="AU51" s="1106"/>
      <c r="AV51" s="1106"/>
      <c r="AW51" s="1106"/>
      <c r="AX51" s="1106"/>
    </row>
    <row r="52">
      <c r="T52" s="1102"/>
      <c r="U52" s="1104"/>
      <c r="V52" s="1104"/>
      <c r="W52" s="1104"/>
      <c r="X52" s="1104"/>
      <c r="Y52" s="1104"/>
      <c r="Z52" s="1104"/>
      <c r="AA52" s="1104"/>
      <c r="AB52" s="1104"/>
      <c r="AC52" s="1104"/>
      <c r="AD52" s="1104"/>
      <c r="AE52" s="1104"/>
      <c r="AF52" s="1104"/>
      <c r="AG52" s="1106"/>
      <c r="AH52" s="1106"/>
      <c r="AI52" s="1106"/>
      <c r="AJ52" s="1106"/>
      <c r="AK52" s="1106"/>
      <c r="AL52" s="1106"/>
      <c r="AM52" s="1106"/>
      <c r="AN52" s="1106"/>
      <c r="AO52" s="1106"/>
      <c r="AP52" s="1106"/>
      <c r="AQ52" s="1106"/>
      <c r="AR52" s="1106"/>
      <c r="AS52" s="1106"/>
      <c r="AT52" s="1106"/>
      <c r="AU52" s="1106"/>
      <c r="AV52" s="1106"/>
      <c r="AW52" s="1106"/>
      <c r="AX52" s="1106"/>
    </row>
    <row r="53">
      <c r="T53" s="1102"/>
      <c r="U53" s="1104"/>
      <c r="V53" s="1104"/>
      <c r="W53" s="1104"/>
      <c r="X53" s="1104"/>
      <c r="Y53" s="1104"/>
      <c r="Z53" s="1104"/>
      <c r="AA53" s="1104"/>
      <c r="AB53" s="1104"/>
      <c r="AC53" s="1104"/>
      <c r="AD53" s="1104"/>
      <c r="AE53" s="1104"/>
      <c r="AF53" s="1104"/>
      <c r="AG53" s="1106"/>
      <c r="AH53" s="1106"/>
      <c r="AI53" s="1106"/>
      <c r="AJ53" s="1106"/>
      <c r="AK53" s="1106"/>
      <c r="AL53" s="1106"/>
      <c r="AM53" s="1106"/>
      <c r="AN53" s="1106"/>
      <c r="AO53" s="1106"/>
      <c r="AP53" s="1106"/>
      <c r="AQ53" s="1106"/>
      <c r="AR53" s="1106"/>
      <c r="AS53" s="1106"/>
      <c r="AT53" s="1106"/>
      <c r="AU53" s="1106"/>
      <c r="AV53" s="1106"/>
      <c r="AW53" s="1106"/>
      <c r="AX53" s="1106"/>
    </row>
    <row r="54">
      <c r="T54" s="1102"/>
      <c r="U54" s="1104"/>
      <c r="V54" s="1104"/>
      <c r="W54" s="1104"/>
      <c r="X54" s="1104"/>
      <c r="Y54" s="1104"/>
      <c r="Z54" s="1104"/>
      <c r="AA54" s="1104"/>
      <c r="AB54" s="1104"/>
      <c r="AC54" s="1104"/>
      <c r="AD54" s="1104"/>
      <c r="AE54" s="1104"/>
      <c r="AF54" s="1104"/>
      <c r="AG54" s="1106"/>
      <c r="AH54" s="1106"/>
      <c r="AI54" s="1106"/>
      <c r="AJ54" s="1106"/>
      <c r="AK54" s="1106"/>
      <c r="AL54" s="1106"/>
      <c r="AM54" s="1106"/>
      <c r="AN54" s="1106"/>
      <c r="AO54" s="1106"/>
      <c r="AP54" s="1106"/>
      <c r="AQ54" s="1106"/>
      <c r="AR54" s="1106"/>
      <c r="AS54" s="1106"/>
      <c r="AT54" s="1106"/>
      <c r="AU54" s="1106"/>
      <c r="AV54" s="1106"/>
      <c r="AW54" s="1106"/>
      <c r="AX54" s="1106"/>
    </row>
    <row r="55">
      <c r="T55" s="1102"/>
      <c r="U55" s="1104"/>
      <c r="V55" s="1104"/>
      <c r="W55" s="1104"/>
      <c r="X55" s="1104"/>
      <c r="Y55" s="1104"/>
      <c r="Z55" s="1104"/>
      <c r="AA55" s="1104"/>
      <c r="AB55" s="1104"/>
      <c r="AC55" s="1104"/>
      <c r="AD55" s="1104"/>
      <c r="AE55" s="1104"/>
      <c r="AF55" s="1104"/>
      <c r="AG55" s="1106"/>
      <c r="AH55" s="1106"/>
      <c r="AI55" s="1106"/>
      <c r="AJ55" s="1106"/>
      <c r="AK55" s="1106"/>
      <c r="AL55" s="1106"/>
      <c r="AM55" s="1106"/>
      <c r="AN55" s="1106"/>
      <c r="AO55" s="1106"/>
      <c r="AP55" s="1106"/>
      <c r="AQ55" s="1106"/>
      <c r="AR55" s="1106"/>
      <c r="AS55" s="1106"/>
      <c r="AT55" s="1106"/>
      <c r="AU55" s="1106"/>
      <c r="AV55" s="1106"/>
      <c r="AW55" s="1106"/>
      <c r="AX55" s="1106"/>
    </row>
    <row r="56">
      <c r="T56" s="1102"/>
      <c r="U56" s="1104"/>
      <c r="V56" s="1104"/>
      <c r="W56" s="1104"/>
      <c r="X56" s="1104"/>
      <c r="Y56" s="1104"/>
      <c r="Z56" s="1104"/>
      <c r="AA56" s="1104"/>
      <c r="AB56" s="1104"/>
      <c r="AC56" s="1104"/>
      <c r="AD56" s="1104"/>
      <c r="AE56" s="1104"/>
      <c r="AF56" s="1104"/>
      <c r="AG56" s="1106"/>
      <c r="AH56" s="1106"/>
      <c r="AI56" s="1106"/>
      <c r="AJ56" s="1106"/>
      <c r="AK56" s="1106"/>
      <c r="AL56" s="1106"/>
      <c r="AM56" s="1106"/>
      <c r="AN56" s="1106"/>
      <c r="AO56" s="1106"/>
      <c r="AP56" s="1106"/>
      <c r="AQ56" s="1106"/>
      <c r="AR56" s="1106"/>
      <c r="AS56" s="1106"/>
      <c r="AT56" s="1106"/>
      <c r="AU56" s="1106"/>
      <c r="AV56" s="1106"/>
      <c r="AW56" s="1106"/>
      <c r="AX56" s="1106"/>
    </row>
    <row r="57">
      <c r="T57" s="1102"/>
      <c r="U57" s="1104"/>
      <c r="V57" s="1104"/>
      <c r="W57" s="1104"/>
      <c r="X57" s="1104"/>
      <c r="Y57" s="1104"/>
      <c r="Z57" s="1104"/>
      <c r="AA57" s="1104"/>
      <c r="AB57" s="1104"/>
      <c r="AC57" s="1104"/>
      <c r="AD57" s="1104"/>
      <c r="AE57" s="1104"/>
      <c r="AF57" s="1104"/>
      <c r="AG57" s="1106"/>
      <c r="AH57" s="1106"/>
      <c r="AI57" s="1106"/>
      <c r="AJ57" s="1106"/>
      <c r="AK57" s="1106"/>
      <c r="AL57" s="1106"/>
      <c r="AM57" s="1106"/>
      <c r="AN57" s="1106"/>
      <c r="AO57" s="1106"/>
      <c r="AP57" s="1106"/>
      <c r="AQ57" s="1106"/>
      <c r="AR57" s="1106"/>
      <c r="AS57" s="1106"/>
      <c r="AT57" s="1106"/>
      <c r="AU57" s="1106"/>
      <c r="AV57" s="1106"/>
      <c r="AW57" s="1106"/>
      <c r="AX57" s="1106"/>
    </row>
    <row r="58">
      <c r="T58" s="1102"/>
      <c r="U58" s="1104"/>
      <c r="V58" s="1104"/>
      <c r="W58" s="1104"/>
      <c r="X58" s="1104"/>
      <c r="Y58" s="1104"/>
      <c r="Z58" s="1104"/>
      <c r="AA58" s="1104"/>
      <c r="AB58" s="1104"/>
      <c r="AC58" s="1104"/>
      <c r="AD58" s="1104"/>
      <c r="AE58" s="1104"/>
      <c r="AF58" s="1104"/>
      <c r="AG58" s="1106"/>
      <c r="AH58" s="1106"/>
      <c r="AI58" s="1106"/>
      <c r="AJ58" s="1106"/>
      <c r="AK58" s="1106"/>
      <c r="AL58" s="1106"/>
      <c r="AM58" s="1106"/>
      <c r="AN58" s="1106"/>
      <c r="AO58" s="1106"/>
      <c r="AP58" s="1106"/>
      <c r="AQ58" s="1106"/>
      <c r="AR58" s="1106"/>
      <c r="AS58" s="1106"/>
      <c r="AT58" s="1106"/>
      <c r="AU58" s="1106"/>
      <c r="AV58" s="1106"/>
      <c r="AW58" s="1106"/>
      <c r="AX58" s="1106"/>
    </row>
    <row r="59">
      <c r="T59" s="1102"/>
      <c r="U59" s="1104"/>
      <c r="V59" s="1104"/>
      <c r="W59" s="1104"/>
      <c r="X59" s="1104"/>
      <c r="Y59" s="1104"/>
      <c r="Z59" s="1104"/>
      <c r="AA59" s="1104"/>
      <c r="AB59" s="1104"/>
      <c r="AC59" s="1104"/>
      <c r="AD59" s="1104"/>
      <c r="AE59" s="1104"/>
      <c r="AF59" s="1104"/>
      <c r="AG59" s="1106"/>
      <c r="AH59" s="1106"/>
      <c r="AI59" s="1106"/>
      <c r="AJ59" s="1106"/>
      <c r="AK59" s="1106"/>
      <c r="AL59" s="1106"/>
      <c r="AM59" s="1106"/>
      <c r="AN59" s="1106"/>
      <c r="AO59" s="1106"/>
      <c r="AP59" s="1106"/>
      <c r="AQ59" s="1106"/>
      <c r="AR59" s="1106"/>
      <c r="AS59" s="1106"/>
      <c r="AT59" s="1106"/>
      <c r="AU59" s="1106"/>
      <c r="AV59" s="1106"/>
      <c r="AW59" s="1106"/>
      <c r="AX59" s="1106"/>
    </row>
    <row r="60">
      <c r="T60" s="1102"/>
      <c r="U60" s="1104"/>
      <c r="V60" s="1104"/>
      <c r="W60" s="1104"/>
      <c r="X60" s="1104"/>
      <c r="Y60" s="1104"/>
      <c r="Z60" s="1104"/>
      <c r="AA60" s="1104"/>
      <c r="AB60" s="1104"/>
      <c r="AC60" s="1104"/>
      <c r="AD60" s="1104"/>
      <c r="AE60" s="1104"/>
      <c r="AF60" s="1104"/>
      <c r="AG60" s="1106"/>
      <c r="AH60" s="1106"/>
      <c r="AI60" s="1106"/>
      <c r="AJ60" s="1106"/>
      <c r="AK60" s="1106"/>
      <c r="AL60" s="1106"/>
      <c r="AM60" s="1106"/>
      <c r="AN60" s="1106"/>
      <c r="AO60" s="1106"/>
      <c r="AP60" s="1106"/>
      <c r="AQ60" s="1106"/>
      <c r="AR60" s="1106"/>
      <c r="AS60" s="1106"/>
      <c r="AT60" s="1106"/>
      <c r="AU60" s="1106"/>
      <c r="AV60" s="1106"/>
      <c r="AW60" s="1106"/>
      <c r="AX60" s="1106"/>
    </row>
    <row r="61">
      <c r="T61" s="1102"/>
      <c r="U61" s="1104"/>
      <c r="V61" s="1104"/>
      <c r="W61" s="1104"/>
      <c r="X61" s="1104"/>
      <c r="Y61" s="1104"/>
      <c r="Z61" s="1104"/>
      <c r="AA61" s="1104"/>
      <c r="AB61" s="1104"/>
      <c r="AC61" s="1104"/>
      <c r="AD61" s="1104"/>
      <c r="AE61" s="1104"/>
      <c r="AF61" s="1104"/>
      <c r="AG61" s="1106"/>
      <c r="AH61" s="1106"/>
      <c r="AI61" s="1106"/>
      <c r="AJ61" s="1106"/>
      <c r="AK61" s="1106"/>
      <c r="AL61" s="1106"/>
      <c r="AM61" s="1106"/>
      <c r="AN61" s="1106"/>
      <c r="AO61" s="1106"/>
      <c r="AP61" s="1106"/>
      <c r="AQ61" s="1106"/>
      <c r="AR61" s="1106"/>
      <c r="AS61" s="1106"/>
      <c r="AT61" s="1106"/>
      <c r="AU61" s="1106"/>
      <c r="AV61" s="1106"/>
      <c r="AW61" s="1106"/>
      <c r="AX61" s="1106"/>
    </row>
    <row r="62">
      <c r="T62" s="1102"/>
      <c r="U62" s="1104"/>
      <c r="V62" s="1104"/>
      <c r="W62" s="1104"/>
      <c r="X62" s="1104"/>
      <c r="Y62" s="1104"/>
      <c r="Z62" s="1104"/>
      <c r="AA62" s="1104"/>
      <c r="AB62" s="1104"/>
      <c r="AC62" s="1104"/>
      <c r="AD62" s="1104"/>
      <c r="AE62" s="1104"/>
      <c r="AF62" s="1104"/>
      <c r="AG62" s="1106"/>
      <c r="AH62" s="1106"/>
      <c r="AI62" s="1106"/>
      <c r="AJ62" s="1106"/>
      <c r="AK62" s="1106"/>
      <c r="AL62" s="1106"/>
      <c r="AM62" s="1106"/>
      <c r="AN62" s="1106"/>
      <c r="AO62" s="1106"/>
      <c r="AP62" s="1106"/>
      <c r="AQ62" s="1106"/>
      <c r="AR62" s="1106"/>
      <c r="AS62" s="1106"/>
      <c r="AT62" s="1106"/>
      <c r="AU62" s="1106"/>
      <c r="AV62" s="1106"/>
      <c r="AW62" s="1106"/>
      <c r="AX62" s="1106"/>
    </row>
    <row r="63">
      <c r="T63" s="1102"/>
      <c r="U63" s="1104"/>
      <c r="V63" s="1104"/>
      <c r="W63" s="1104"/>
      <c r="X63" s="1104"/>
      <c r="Y63" s="1104"/>
      <c r="Z63" s="1104"/>
      <c r="AA63" s="1104"/>
      <c r="AB63" s="1104"/>
      <c r="AC63" s="1104"/>
      <c r="AD63" s="1104"/>
      <c r="AE63" s="1104"/>
      <c r="AF63" s="1104"/>
      <c r="AG63" s="1106"/>
      <c r="AH63" s="1106"/>
      <c r="AI63" s="1106"/>
      <c r="AJ63" s="1106"/>
      <c r="AK63" s="1106"/>
      <c r="AL63" s="1106"/>
      <c r="AM63" s="1106"/>
      <c r="AN63" s="1106"/>
      <c r="AO63" s="1106"/>
      <c r="AP63" s="1106"/>
      <c r="AQ63" s="1106"/>
      <c r="AR63" s="1106"/>
      <c r="AS63" s="1106"/>
      <c r="AT63" s="1106"/>
      <c r="AU63" s="1106"/>
      <c r="AV63" s="1106"/>
      <c r="AW63" s="1106"/>
      <c r="AX63" s="1106"/>
    </row>
    <row r="64">
      <c r="T64" s="1102"/>
      <c r="U64" s="1104"/>
      <c r="V64" s="1104"/>
      <c r="W64" s="1104"/>
      <c r="X64" s="1104"/>
      <c r="Y64" s="1104"/>
      <c r="Z64" s="1104"/>
      <c r="AA64" s="1104"/>
      <c r="AB64" s="1104"/>
      <c r="AC64" s="1104"/>
      <c r="AD64" s="1104"/>
      <c r="AE64" s="1104"/>
      <c r="AF64" s="1104"/>
      <c r="AG64" s="1106"/>
      <c r="AH64" s="1106"/>
      <c r="AI64" s="1106"/>
      <c r="AJ64" s="1106"/>
      <c r="AK64" s="1106"/>
      <c r="AL64" s="1106"/>
      <c r="AM64" s="1106"/>
      <c r="AN64" s="1106"/>
      <c r="AO64" s="1106"/>
      <c r="AP64" s="1106"/>
      <c r="AQ64" s="1106"/>
      <c r="AR64" s="1106"/>
      <c r="AS64" s="1106"/>
      <c r="AT64" s="1106"/>
      <c r="AU64" s="1106"/>
      <c r="AV64" s="1106"/>
      <c r="AW64" s="1106"/>
      <c r="AX64" s="1106"/>
    </row>
    <row r="65">
      <c r="T65" s="1102"/>
      <c r="U65" s="1104"/>
      <c r="V65" s="1104"/>
      <c r="W65" s="1104"/>
      <c r="X65" s="1104"/>
      <c r="Y65" s="1104"/>
      <c r="Z65" s="1104"/>
      <c r="AA65" s="1104"/>
      <c r="AB65" s="1104"/>
      <c r="AC65" s="1104"/>
      <c r="AD65" s="1104"/>
      <c r="AE65" s="1104"/>
      <c r="AF65" s="1104"/>
      <c r="AG65" s="1106"/>
      <c r="AH65" s="1106"/>
      <c r="AI65" s="1106"/>
      <c r="AJ65" s="1106"/>
      <c r="AK65" s="1106"/>
      <c r="AL65" s="1106"/>
      <c r="AM65" s="1106"/>
      <c r="AN65" s="1106"/>
      <c r="AO65" s="1106"/>
      <c r="AP65" s="1106"/>
      <c r="AQ65" s="1106"/>
      <c r="AR65" s="1106"/>
      <c r="AS65" s="1106"/>
      <c r="AT65" s="1106"/>
      <c r="AU65" s="1106"/>
      <c r="AV65" s="1106"/>
      <c r="AW65" s="1106"/>
      <c r="AX65" s="1106"/>
    </row>
    <row r="66">
      <c r="T66" s="1102"/>
      <c r="U66" s="1104"/>
      <c r="V66" s="1104"/>
      <c r="W66" s="1104"/>
      <c r="X66" s="1104"/>
      <c r="Y66" s="1104"/>
      <c r="Z66" s="1104"/>
      <c r="AA66" s="1104"/>
      <c r="AB66" s="1104"/>
      <c r="AC66" s="1104"/>
      <c r="AD66" s="1104"/>
      <c r="AE66" s="1104"/>
      <c r="AF66" s="1104"/>
      <c r="AG66" s="1106"/>
      <c r="AH66" s="1106"/>
      <c r="AI66" s="1106"/>
      <c r="AJ66" s="1106"/>
      <c r="AK66" s="1106"/>
      <c r="AL66" s="1106"/>
      <c r="AM66" s="1106"/>
      <c r="AN66" s="1106"/>
      <c r="AO66" s="1106"/>
      <c r="AP66" s="1106"/>
      <c r="AQ66" s="1106"/>
      <c r="AR66" s="1106"/>
      <c r="AS66" s="1106"/>
      <c r="AT66" s="1106"/>
      <c r="AU66" s="1106"/>
      <c r="AV66" s="1106"/>
      <c r="AW66" s="1106"/>
      <c r="AX66" s="1106"/>
    </row>
    <row r="67">
      <c r="T67" s="1102"/>
      <c r="U67" s="1104"/>
      <c r="V67" s="1104"/>
      <c r="W67" s="1104"/>
      <c r="X67" s="1104"/>
      <c r="Y67" s="1104"/>
      <c r="Z67" s="1104"/>
      <c r="AA67" s="1104"/>
      <c r="AB67" s="1104"/>
      <c r="AC67" s="1104"/>
      <c r="AD67" s="1104"/>
      <c r="AE67" s="1104"/>
      <c r="AF67" s="1104"/>
      <c r="AG67" s="1106"/>
      <c r="AH67" s="1106"/>
      <c r="AI67" s="1106"/>
      <c r="AJ67" s="1106"/>
      <c r="AK67" s="1106"/>
      <c r="AL67" s="1106"/>
      <c r="AM67" s="1106"/>
      <c r="AN67" s="1106"/>
      <c r="AO67" s="1106"/>
      <c r="AP67" s="1106"/>
      <c r="AQ67" s="1106"/>
      <c r="AR67" s="1106"/>
      <c r="AS67" s="1106"/>
      <c r="AT67" s="1106"/>
      <c r="AU67" s="1106"/>
      <c r="AV67" s="1106"/>
      <c r="AW67" s="1106"/>
      <c r="AX67" s="1106"/>
    </row>
    <row r="68">
      <c r="T68" s="1102"/>
      <c r="U68" s="1104"/>
      <c r="V68" s="1104"/>
      <c r="W68" s="1104"/>
      <c r="X68" s="1104"/>
      <c r="Y68" s="1104"/>
      <c r="Z68" s="1104"/>
      <c r="AA68" s="1104"/>
      <c r="AB68" s="1104"/>
      <c r="AC68" s="1104"/>
      <c r="AD68" s="1104"/>
      <c r="AE68" s="1104"/>
      <c r="AF68" s="1104"/>
      <c r="AG68" s="1106"/>
      <c r="AH68" s="1106"/>
      <c r="AI68" s="1106"/>
      <c r="AJ68" s="1106"/>
      <c r="AK68" s="1106"/>
      <c r="AL68" s="1106"/>
      <c r="AM68" s="1106"/>
      <c r="AN68" s="1106"/>
      <c r="AO68" s="1106"/>
      <c r="AP68" s="1106"/>
      <c r="AQ68" s="1106"/>
      <c r="AR68" s="1106"/>
      <c r="AS68" s="1106"/>
      <c r="AT68" s="1106"/>
      <c r="AU68" s="1106"/>
      <c r="AV68" s="1106"/>
      <c r="AW68" s="1106"/>
      <c r="AX68" s="1106"/>
    </row>
    <row r="69">
      <c r="T69" s="1102"/>
      <c r="U69" s="1104"/>
      <c r="V69" s="1104"/>
      <c r="W69" s="1104"/>
      <c r="X69" s="1104"/>
      <c r="Y69" s="1104"/>
      <c r="Z69" s="1104"/>
      <c r="AA69" s="1104"/>
      <c r="AB69" s="1104"/>
      <c r="AC69" s="1104"/>
      <c r="AD69" s="1104"/>
      <c r="AE69" s="1104"/>
      <c r="AF69" s="1104"/>
      <c r="AG69" s="1106"/>
      <c r="AH69" s="1106"/>
      <c r="AI69" s="1106"/>
      <c r="AJ69" s="1106"/>
      <c r="AK69" s="1106"/>
      <c r="AL69" s="1106"/>
      <c r="AM69" s="1106"/>
      <c r="AN69" s="1106"/>
      <c r="AO69" s="1106"/>
      <c r="AP69" s="1106"/>
      <c r="AQ69" s="1106"/>
      <c r="AR69" s="1106"/>
      <c r="AS69" s="1106"/>
      <c r="AT69" s="1106"/>
      <c r="AU69" s="1106"/>
      <c r="AV69" s="1106"/>
      <c r="AW69" s="1106"/>
      <c r="AX69" s="1106"/>
    </row>
    <row r="70">
      <c r="T70" s="1102"/>
      <c r="U70" s="1104"/>
      <c r="V70" s="1104"/>
      <c r="W70" s="1104"/>
      <c r="X70" s="1104"/>
      <c r="Y70" s="1104"/>
      <c r="Z70" s="1104"/>
      <c r="AA70" s="1104"/>
      <c r="AB70" s="1104"/>
      <c r="AC70" s="1104"/>
      <c r="AD70" s="1104"/>
      <c r="AE70" s="1104"/>
      <c r="AF70" s="1104"/>
      <c r="AG70" s="1106"/>
      <c r="AH70" s="1106"/>
      <c r="AI70" s="1106"/>
      <c r="AJ70" s="1106"/>
      <c r="AK70" s="1106"/>
      <c r="AL70" s="1106"/>
      <c r="AM70" s="1106"/>
      <c r="AN70" s="1106"/>
      <c r="AO70" s="1106"/>
      <c r="AP70" s="1106"/>
      <c r="AQ70" s="1106"/>
      <c r="AR70" s="1106"/>
      <c r="AS70" s="1106"/>
      <c r="AT70" s="1106"/>
      <c r="AU70" s="1106"/>
      <c r="AV70" s="1106"/>
      <c r="AW70" s="1106"/>
      <c r="AX70" s="1106"/>
    </row>
    <row r="71">
      <c r="T71" s="1102"/>
      <c r="U71" s="1104"/>
      <c r="V71" s="1104"/>
      <c r="W71" s="1104"/>
      <c r="X71" s="1104"/>
      <c r="Y71" s="1104"/>
      <c r="Z71" s="1104"/>
      <c r="AA71" s="1104"/>
      <c r="AB71" s="1104"/>
      <c r="AC71" s="1104"/>
      <c r="AD71" s="1104"/>
      <c r="AE71" s="1104"/>
      <c r="AF71" s="1104"/>
      <c r="AG71" s="1106"/>
      <c r="AH71" s="1106"/>
      <c r="AI71" s="1106"/>
      <c r="AJ71" s="1106"/>
      <c r="AK71" s="1106"/>
      <c r="AL71" s="1106"/>
      <c r="AM71" s="1106"/>
      <c r="AN71" s="1106"/>
      <c r="AO71" s="1106"/>
      <c r="AP71" s="1106"/>
      <c r="AQ71" s="1106"/>
      <c r="AR71" s="1106"/>
      <c r="AS71" s="1106"/>
      <c r="AT71" s="1106"/>
      <c r="AU71" s="1106"/>
      <c r="AV71" s="1106"/>
      <c r="AW71" s="1106"/>
      <c r="AX71" s="1106"/>
    </row>
    <row r="72">
      <c r="T72" s="1102"/>
      <c r="U72" s="1104"/>
      <c r="V72" s="1104"/>
      <c r="W72" s="1104"/>
      <c r="X72" s="1104"/>
      <c r="Y72" s="1104"/>
      <c r="Z72" s="1104"/>
      <c r="AA72" s="1104"/>
      <c r="AB72" s="1104"/>
      <c r="AC72" s="1104"/>
      <c r="AD72" s="1104"/>
      <c r="AE72" s="1104"/>
      <c r="AF72" s="1104"/>
      <c r="AG72" s="1106"/>
      <c r="AH72" s="1106"/>
      <c r="AI72" s="1106"/>
      <c r="AJ72" s="1106"/>
      <c r="AK72" s="1106"/>
      <c r="AL72" s="1106"/>
      <c r="AM72" s="1106"/>
      <c r="AN72" s="1106"/>
      <c r="AO72" s="1106"/>
      <c r="AP72" s="1106"/>
      <c r="AQ72" s="1106"/>
      <c r="AR72" s="1106"/>
      <c r="AS72" s="1106"/>
      <c r="AT72" s="1106"/>
      <c r="AU72" s="1106"/>
      <c r="AV72" s="1106"/>
      <c r="AW72" s="1106"/>
      <c r="AX72" s="1106"/>
    </row>
    <row r="73">
      <c r="T73" s="1102"/>
      <c r="U73" s="1104"/>
      <c r="V73" s="1104"/>
      <c r="W73" s="1104"/>
      <c r="X73" s="1104"/>
      <c r="Y73" s="1104"/>
      <c r="Z73" s="1104"/>
      <c r="AA73" s="1104"/>
      <c r="AB73" s="1104"/>
      <c r="AC73" s="1104"/>
      <c r="AD73" s="1104"/>
      <c r="AE73" s="1104"/>
      <c r="AF73" s="1104"/>
      <c r="AG73" s="1106"/>
      <c r="AH73" s="1106"/>
      <c r="AI73" s="1106"/>
      <c r="AJ73" s="1106"/>
      <c r="AK73" s="1106"/>
      <c r="AL73" s="1106"/>
      <c r="AM73" s="1106"/>
      <c r="AN73" s="1106"/>
      <c r="AO73" s="1106"/>
      <c r="AP73" s="1106"/>
      <c r="AQ73" s="1106"/>
      <c r="AR73" s="1106"/>
      <c r="AS73" s="1106"/>
      <c r="AT73" s="1106"/>
      <c r="AU73" s="1106"/>
      <c r="AV73" s="1106"/>
      <c r="AW73" s="1106"/>
      <c r="AX73" s="1106"/>
    </row>
    <row r="74">
      <c r="T74" s="1102"/>
      <c r="U74" s="1104"/>
      <c r="V74" s="1104"/>
      <c r="W74" s="1104"/>
      <c r="X74" s="1104"/>
      <c r="Y74" s="1104"/>
      <c r="Z74" s="1104"/>
      <c r="AA74" s="1104"/>
      <c r="AB74" s="1104"/>
      <c r="AC74" s="1104"/>
      <c r="AD74" s="1104"/>
      <c r="AE74" s="1104"/>
      <c r="AF74" s="1104"/>
      <c r="AG74" s="1106"/>
      <c r="AH74" s="1106"/>
      <c r="AI74" s="1106"/>
      <c r="AJ74" s="1106"/>
      <c r="AK74" s="1106"/>
      <c r="AL74" s="1106"/>
      <c r="AM74" s="1106"/>
      <c r="AN74" s="1106"/>
      <c r="AO74" s="1106"/>
      <c r="AP74" s="1106"/>
      <c r="AQ74" s="1106"/>
      <c r="AR74" s="1106"/>
      <c r="AS74" s="1106"/>
      <c r="AT74" s="1106"/>
      <c r="AU74" s="1106"/>
      <c r="AV74" s="1106"/>
      <c r="AW74" s="1106"/>
      <c r="AX74" s="1106"/>
    </row>
    <row r="75">
      <c r="T75" s="1102"/>
      <c r="U75" s="1104"/>
      <c r="V75" s="1104"/>
      <c r="W75" s="1104"/>
      <c r="X75" s="1104"/>
      <c r="Y75" s="1104"/>
      <c r="Z75" s="1104"/>
      <c r="AA75" s="1104"/>
      <c r="AB75" s="1104"/>
      <c r="AC75" s="1104"/>
      <c r="AD75" s="1104"/>
      <c r="AE75" s="1104"/>
      <c r="AF75" s="1104"/>
      <c r="AG75" s="1106"/>
      <c r="AH75" s="1106"/>
      <c r="AI75" s="1106"/>
      <c r="AJ75" s="1106"/>
      <c r="AK75" s="1106"/>
      <c r="AL75" s="1106"/>
      <c r="AM75" s="1106"/>
      <c r="AN75" s="1106"/>
      <c r="AO75" s="1106"/>
      <c r="AP75" s="1106"/>
      <c r="AQ75" s="1106"/>
      <c r="AR75" s="1106"/>
      <c r="AS75" s="1106"/>
      <c r="AT75" s="1106"/>
      <c r="AU75" s="1106"/>
      <c r="AV75" s="1106"/>
      <c r="AW75" s="1106"/>
      <c r="AX75" s="1106"/>
    </row>
    <row r="76">
      <c r="T76" s="1102"/>
      <c r="U76" s="1104"/>
      <c r="V76" s="1104"/>
      <c r="W76" s="1104"/>
      <c r="X76" s="1104"/>
      <c r="Y76" s="1104"/>
      <c r="Z76" s="1104"/>
      <c r="AA76" s="1104"/>
      <c r="AB76" s="1104"/>
      <c r="AC76" s="1104"/>
      <c r="AD76" s="1104"/>
      <c r="AE76" s="1104"/>
      <c r="AF76" s="1104"/>
      <c r="AG76" s="1106"/>
      <c r="AH76" s="1106"/>
      <c r="AI76" s="1106"/>
      <c r="AJ76" s="1106"/>
      <c r="AK76" s="1106"/>
      <c r="AL76" s="1106"/>
      <c r="AM76" s="1106"/>
      <c r="AN76" s="1106"/>
      <c r="AO76" s="1106"/>
      <c r="AP76" s="1106"/>
      <c r="AQ76" s="1106"/>
      <c r="AR76" s="1106"/>
      <c r="AS76" s="1106"/>
      <c r="AT76" s="1106"/>
      <c r="AU76" s="1106"/>
      <c r="AV76" s="1106"/>
      <c r="AW76" s="1106"/>
      <c r="AX76" s="1106"/>
    </row>
    <row r="77">
      <c r="T77" s="1102"/>
      <c r="U77" s="1104"/>
      <c r="V77" s="1104"/>
      <c r="W77" s="1104"/>
      <c r="X77" s="1104"/>
      <c r="Y77" s="1104"/>
      <c r="Z77" s="1104"/>
      <c r="AA77" s="1104"/>
      <c r="AB77" s="1104"/>
      <c r="AC77" s="1104"/>
      <c r="AD77" s="1104"/>
      <c r="AE77" s="1104"/>
      <c r="AF77" s="1104"/>
      <c r="AG77" s="1106"/>
      <c r="AH77" s="1106"/>
      <c r="AI77" s="1106"/>
      <c r="AJ77" s="1106"/>
      <c r="AK77" s="1106"/>
      <c r="AL77" s="1106"/>
      <c r="AM77" s="1106"/>
      <c r="AN77" s="1106"/>
      <c r="AO77" s="1106"/>
      <c r="AP77" s="1106"/>
      <c r="AQ77" s="1106"/>
      <c r="AR77" s="1106"/>
      <c r="AS77" s="1106"/>
      <c r="AT77" s="1106"/>
      <c r="AU77" s="1106"/>
      <c r="AV77" s="1106"/>
      <c r="AW77" s="1106"/>
      <c r="AX77" s="1106"/>
    </row>
    <row r="78">
      <c r="T78" s="1102"/>
      <c r="U78" s="1104"/>
      <c r="V78" s="1104"/>
      <c r="W78" s="1104"/>
      <c r="X78" s="1104"/>
      <c r="Y78" s="1104"/>
      <c r="Z78" s="1104"/>
      <c r="AA78" s="1104"/>
      <c r="AB78" s="1104"/>
      <c r="AC78" s="1104"/>
      <c r="AD78" s="1104"/>
      <c r="AE78" s="1104"/>
      <c r="AF78" s="1104"/>
      <c r="AG78" s="1106"/>
      <c r="AH78" s="1106"/>
      <c r="AI78" s="1106"/>
      <c r="AJ78" s="1106"/>
      <c r="AK78" s="1106"/>
      <c r="AL78" s="1106"/>
      <c r="AM78" s="1106"/>
      <c r="AN78" s="1106"/>
      <c r="AO78" s="1106"/>
      <c r="AP78" s="1106"/>
      <c r="AQ78" s="1106"/>
      <c r="AR78" s="1106"/>
      <c r="AS78" s="1106"/>
      <c r="AT78" s="1106"/>
      <c r="AU78" s="1106"/>
      <c r="AV78" s="1106"/>
      <c r="AW78" s="1106"/>
      <c r="AX78" s="1106"/>
    </row>
    <row r="79">
      <c r="T79" s="1102"/>
      <c r="U79" s="1104"/>
      <c r="V79" s="1104"/>
      <c r="W79" s="1104"/>
      <c r="X79" s="1104"/>
      <c r="Y79" s="1104"/>
      <c r="Z79" s="1104"/>
      <c r="AA79" s="1104"/>
      <c r="AB79" s="1104"/>
      <c r="AC79" s="1104"/>
      <c r="AD79" s="1104"/>
      <c r="AE79" s="1104"/>
      <c r="AF79" s="1104"/>
      <c r="AG79" s="1106"/>
      <c r="AH79" s="1106"/>
      <c r="AI79" s="1106"/>
      <c r="AJ79" s="1106"/>
      <c r="AK79" s="1106"/>
      <c r="AL79" s="1106"/>
      <c r="AM79" s="1106"/>
      <c r="AN79" s="1106"/>
      <c r="AO79" s="1106"/>
      <c r="AP79" s="1106"/>
      <c r="AQ79" s="1106"/>
      <c r="AR79" s="1106"/>
      <c r="AS79" s="1106"/>
      <c r="AT79" s="1106"/>
      <c r="AU79" s="1106"/>
      <c r="AV79" s="1106"/>
      <c r="AW79" s="1106"/>
      <c r="AX79" s="1106"/>
    </row>
    <row r="80">
      <c r="T80" s="1102"/>
      <c r="U80" s="1104"/>
      <c r="V80" s="1104"/>
      <c r="W80" s="1104"/>
      <c r="X80" s="1104"/>
      <c r="Y80" s="1104"/>
      <c r="Z80" s="1104"/>
      <c r="AA80" s="1104"/>
      <c r="AB80" s="1104"/>
      <c r="AC80" s="1104"/>
      <c r="AD80" s="1104"/>
      <c r="AE80" s="1104"/>
      <c r="AF80" s="1104"/>
      <c r="AG80" s="1106"/>
      <c r="AH80" s="1106"/>
      <c r="AI80" s="1106"/>
      <c r="AJ80" s="1106"/>
      <c r="AK80" s="1106"/>
      <c r="AL80" s="1106"/>
      <c r="AM80" s="1106"/>
      <c r="AN80" s="1106"/>
      <c r="AO80" s="1106"/>
      <c r="AP80" s="1106"/>
      <c r="AQ80" s="1106"/>
      <c r="AR80" s="1106"/>
      <c r="AS80" s="1106"/>
      <c r="AT80" s="1106"/>
      <c r="AU80" s="1106"/>
      <c r="AV80" s="1106"/>
      <c r="AW80" s="1106"/>
      <c r="AX80" s="1106"/>
    </row>
    <row r="81">
      <c r="T81" s="1102"/>
      <c r="U81" s="1104"/>
      <c r="V81" s="1104"/>
      <c r="W81" s="1104"/>
      <c r="X81" s="1104"/>
      <c r="Y81" s="1104"/>
      <c r="Z81" s="1104"/>
      <c r="AA81" s="1104"/>
      <c r="AB81" s="1104"/>
      <c r="AC81" s="1104"/>
      <c r="AD81" s="1104"/>
      <c r="AE81" s="1104"/>
      <c r="AF81" s="1104"/>
      <c r="AG81" s="1106"/>
      <c r="AH81" s="1106"/>
      <c r="AI81" s="1106"/>
      <c r="AJ81" s="1106"/>
      <c r="AK81" s="1106"/>
      <c r="AL81" s="1106"/>
      <c r="AM81" s="1106"/>
      <c r="AN81" s="1106"/>
      <c r="AO81" s="1106"/>
      <c r="AP81" s="1106"/>
      <c r="AQ81" s="1106"/>
      <c r="AR81" s="1106"/>
      <c r="AS81" s="1106"/>
      <c r="AT81" s="1106"/>
      <c r="AU81" s="1106"/>
      <c r="AV81" s="1106"/>
      <c r="AW81" s="1106"/>
      <c r="AX81" s="1106"/>
    </row>
    <row r="82">
      <c r="T82" s="1102"/>
      <c r="U82" s="1104"/>
      <c r="V82" s="1104"/>
      <c r="W82" s="1104"/>
      <c r="X82" s="1104"/>
      <c r="Y82" s="1104"/>
      <c r="Z82" s="1104"/>
      <c r="AA82" s="1104"/>
      <c r="AB82" s="1104"/>
      <c r="AC82" s="1104"/>
      <c r="AD82" s="1104"/>
      <c r="AE82" s="1104"/>
      <c r="AF82" s="1104"/>
      <c r="AG82" s="1106"/>
      <c r="AH82" s="1106"/>
      <c r="AI82" s="1106"/>
      <c r="AJ82" s="1106"/>
      <c r="AK82" s="1106"/>
      <c r="AL82" s="1106"/>
      <c r="AM82" s="1106"/>
      <c r="AN82" s="1106"/>
      <c r="AO82" s="1106"/>
      <c r="AP82" s="1106"/>
      <c r="AQ82" s="1106"/>
      <c r="AR82" s="1106"/>
      <c r="AS82" s="1106"/>
      <c r="AT82" s="1106"/>
      <c r="AU82" s="1106"/>
      <c r="AV82" s="1106"/>
      <c r="AW82" s="1106"/>
      <c r="AX82" s="1106"/>
    </row>
    <row r="83">
      <c r="T83" s="1102"/>
      <c r="U83" s="1104"/>
      <c r="V83" s="1104"/>
      <c r="W83" s="1104"/>
      <c r="X83" s="1104"/>
      <c r="Y83" s="1104"/>
      <c r="Z83" s="1104"/>
      <c r="AA83" s="1104"/>
      <c r="AB83" s="1104"/>
      <c r="AC83" s="1104"/>
      <c r="AD83" s="1104"/>
      <c r="AE83" s="1104"/>
      <c r="AF83" s="1104"/>
      <c r="AG83" s="1106"/>
      <c r="AH83" s="1106"/>
      <c r="AI83" s="1106"/>
      <c r="AJ83" s="1106"/>
      <c r="AK83" s="1106"/>
      <c r="AL83" s="1106"/>
      <c r="AM83" s="1106"/>
      <c r="AN83" s="1106"/>
      <c r="AO83" s="1106"/>
      <c r="AP83" s="1106"/>
      <c r="AQ83" s="1106"/>
      <c r="AR83" s="1106"/>
      <c r="AS83" s="1106"/>
      <c r="AT83" s="1106"/>
      <c r="AU83" s="1106"/>
      <c r="AV83" s="1106"/>
      <c r="AW83" s="1106"/>
      <c r="AX83" s="1106"/>
    </row>
    <row r="84">
      <c r="T84" s="1102"/>
      <c r="U84" s="1104"/>
      <c r="V84" s="1104"/>
      <c r="W84" s="1104"/>
      <c r="X84" s="1104"/>
      <c r="Y84" s="1104"/>
      <c r="Z84" s="1104"/>
      <c r="AA84" s="1104"/>
      <c r="AB84" s="1104"/>
      <c r="AC84" s="1104"/>
      <c r="AD84" s="1104"/>
      <c r="AE84" s="1104"/>
      <c r="AF84" s="1104"/>
      <c r="AG84" s="1106"/>
      <c r="AH84" s="1106"/>
      <c r="AI84" s="1106"/>
      <c r="AJ84" s="1106"/>
      <c r="AK84" s="1106"/>
      <c r="AL84" s="1106"/>
      <c r="AM84" s="1106"/>
      <c r="AN84" s="1106"/>
      <c r="AO84" s="1106"/>
      <c r="AP84" s="1106"/>
      <c r="AQ84" s="1106"/>
      <c r="AR84" s="1106"/>
      <c r="AS84" s="1106"/>
      <c r="AT84" s="1106"/>
      <c r="AU84" s="1106"/>
      <c r="AV84" s="1106"/>
      <c r="AW84" s="1106"/>
      <c r="AX84" s="1106"/>
    </row>
    <row r="85">
      <c r="T85" s="1102"/>
      <c r="U85" s="1104"/>
      <c r="V85" s="1104"/>
      <c r="W85" s="1104"/>
      <c r="X85" s="1104"/>
      <c r="Y85" s="1104"/>
      <c r="Z85" s="1104"/>
      <c r="AA85" s="1104"/>
      <c r="AB85" s="1104"/>
      <c r="AC85" s="1104"/>
      <c r="AD85" s="1104"/>
      <c r="AE85" s="1104"/>
      <c r="AF85" s="1104"/>
      <c r="AG85" s="1106"/>
      <c r="AH85" s="1106"/>
      <c r="AI85" s="1106"/>
      <c r="AJ85" s="1106"/>
      <c r="AK85" s="1106"/>
      <c r="AL85" s="1106"/>
      <c r="AM85" s="1106"/>
      <c r="AN85" s="1106"/>
      <c r="AO85" s="1106"/>
      <c r="AP85" s="1106"/>
      <c r="AQ85" s="1106"/>
      <c r="AR85" s="1106"/>
      <c r="AS85" s="1106"/>
      <c r="AT85" s="1106"/>
      <c r="AU85" s="1106"/>
      <c r="AV85" s="1106"/>
      <c r="AW85" s="1106"/>
      <c r="AX85" s="1106"/>
    </row>
    <row r="86">
      <c r="T86" s="1102"/>
      <c r="U86" s="1104"/>
      <c r="V86" s="1104"/>
      <c r="W86" s="1104"/>
      <c r="X86" s="1104"/>
      <c r="Y86" s="1104"/>
      <c r="Z86" s="1104"/>
      <c r="AA86" s="1104"/>
      <c r="AB86" s="1104"/>
      <c r="AC86" s="1104"/>
      <c r="AD86" s="1104"/>
      <c r="AE86" s="1104"/>
      <c r="AF86" s="1104"/>
      <c r="AG86" s="1106"/>
      <c r="AH86" s="1106"/>
      <c r="AI86" s="1106"/>
      <c r="AJ86" s="1106"/>
      <c r="AK86" s="1106"/>
      <c r="AL86" s="1106"/>
      <c r="AM86" s="1106"/>
      <c r="AN86" s="1106"/>
      <c r="AO86" s="1106"/>
      <c r="AP86" s="1106"/>
      <c r="AQ86" s="1106"/>
      <c r="AR86" s="1106"/>
      <c r="AS86" s="1106"/>
      <c r="AT86" s="1106"/>
      <c r="AU86" s="1106"/>
      <c r="AV86" s="1106"/>
      <c r="AW86" s="1106"/>
      <c r="AX86" s="1106"/>
    </row>
    <row r="87">
      <c r="T87" s="1102"/>
      <c r="U87" s="1104"/>
      <c r="V87" s="1104"/>
      <c r="W87" s="1104"/>
      <c r="X87" s="1104"/>
      <c r="Y87" s="1104"/>
      <c r="Z87" s="1104"/>
      <c r="AA87" s="1104"/>
      <c r="AB87" s="1104"/>
      <c r="AC87" s="1104"/>
      <c r="AD87" s="1104"/>
      <c r="AE87" s="1104"/>
      <c r="AF87" s="1104"/>
      <c r="AG87" s="1106"/>
      <c r="AH87" s="1106"/>
      <c r="AI87" s="1106"/>
      <c r="AJ87" s="1106"/>
      <c r="AK87" s="1106"/>
      <c r="AL87" s="1106"/>
      <c r="AM87" s="1106"/>
      <c r="AN87" s="1106"/>
      <c r="AO87" s="1106"/>
      <c r="AP87" s="1106"/>
      <c r="AQ87" s="1106"/>
      <c r="AR87" s="1106"/>
      <c r="AS87" s="1106"/>
      <c r="AT87" s="1106"/>
      <c r="AU87" s="1106"/>
      <c r="AV87" s="1106"/>
      <c r="AW87" s="1106"/>
      <c r="AX87" s="1106"/>
    </row>
    <row r="88">
      <c r="T88" s="1102"/>
      <c r="U88" s="1104"/>
      <c r="V88" s="1104"/>
      <c r="W88" s="1104"/>
      <c r="X88" s="1104"/>
      <c r="Y88" s="1104"/>
      <c r="Z88" s="1104"/>
      <c r="AA88" s="1104"/>
      <c r="AB88" s="1104"/>
      <c r="AC88" s="1104"/>
      <c r="AD88" s="1104"/>
      <c r="AE88" s="1104"/>
      <c r="AF88" s="1104"/>
      <c r="AG88" s="1106"/>
      <c r="AH88" s="1106"/>
      <c r="AI88" s="1106"/>
      <c r="AJ88" s="1106"/>
      <c r="AK88" s="1106"/>
      <c r="AL88" s="1106"/>
      <c r="AM88" s="1106"/>
      <c r="AN88" s="1106"/>
      <c r="AO88" s="1106"/>
      <c r="AP88" s="1106"/>
      <c r="AQ88" s="1106"/>
      <c r="AR88" s="1106"/>
      <c r="AS88" s="1106"/>
      <c r="AT88" s="1106"/>
      <c r="AU88" s="1106"/>
      <c r="AV88" s="1106"/>
      <c r="AW88" s="1106"/>
      <c r="AX88" s="1106"/>
    </row>
    <row r="89">
      <c r="T89" s="1102"/>
      <c r="U89" s="1104"/>
      <c r="V89" s="1104"/>
      <c r="W89" s="1104"/>
      <c r="X89" s="1104"/>
      <c r="Y89" s="1104"/>
      <c r="Z89" s="1104"/>
      <c r="AA89" s="1104"/>
      <c r="AB89" s="1104"/>
      <c r="AC89" s="1104"/>
      <c r="AD89" s="1104"/>
      <c r="AE89" s="1104"/>
      <c r="AF89" s="1104"/>
      <c r="AG89" s="1106"/>
      <c r="AH89" s="1106"/>
      <c r="AI89" s="1106"/>
      <c r="AJ89" s="1106"/>
      <c r="AK89" s="1106"/>
      <c r="AL89" s="1106"/>
      <c r="AM89" s="1106"/>
      <c r="AN89" s="1106"/>
      <c r="AO89" s="1106"/>
      <c r="AP89" s="1106"/>
      <c r="AQ89" s="1106"/>
      <c r="AR89" s="1106"/>
      <c r="AS89" s="1106"/>
      <c r="AT89" s="1106"/>
      <c r="AU89" s="1106"/>
      <c r="AV89" s="1106"/>
      <c r="AW89" s="1106"/>
      <c r="AX89" s="1106"/>
    </row>
    <row r="90">
      <c r="T90" s="1102"/>
      <c r="U90" s="1104"/>
      <c r="V90" s="1104"/>
      <c r="W90" s="1104"/>
      <c r="X90" s="1104"/>
      <c r="Y90" s="1104"/>
      <c r="Z90" s="1104"/>
      <c r="AA90" s="1104"/>
      <c r="AB90" s="1104"/>
      <c r="AC90" s="1104"/>
      <c r="AD90" s="1104"/>
      <c r="AE90" s="1104"/>
      <c r="AF90" s="1104"/>
      <c r="AG90" s="1106"/>
      <c r="AH90" s="1106"/>
      <c r="AI90" s="1106"/>
      <c r="AJ90" s="1106"/>
      <c r="AK90" s="1106"/>
      <c r="AL90" s="1106"/>
      <c r="AM90" s="1106"/>
      <c r="AN90" s="1106"/>
      <c r="AO90" s="1106"/>
      <c r="AP90" s="1106"/>
      <c r="AQ90" s="1106"/>
      <c r="AR90" s="1106"/>
      <c r="AS90" s="1106"/>
      <c r="AT90" s="1106"/>
      <c r="AU90" s="1106"/>
      <c r="AV90" s="1106"/>
      <c r="AW90" s="1106"/>
      <c r="AX90" s="1106"/>
    </row>
    <row r="91">
      <c r="T91" s="1102"/>
      <c r="U91" s="1104"/>
      <c r="V91" s="1104"/>
      <c r="W91" s="1104"/>
      <c r="X91" s="1104"/>
      <c r="Y91" s="1104"/>
      <c r="Z91" s="1104"/>
      <c r="AA91" s="1104"/>
      <c r="AB91" s="1104"/>
      <c r="AC91" s="1104"/>
      <c r="AD91" s="1104"/>
      <c r="AE91" s="1104"/>
      <c r="AF91" s="1104"/>
      <c r="AG91" s="1106"/>
      <c r="AH91" s="1106"/>
      <c r="AI91" s="1106"/>
      <c r="AJ91" s="1106"/>
      <c r="AK91" s="1106"/>
      <c r="AL91" s="1106"/>
      <c r="AM91" s="1106"/>
      <c r="AN91" s="1106"/>
      <c r="AO91" s="1106"/>
      <c r="AP91" s="1106"/>
      <c r="AQ91" s="1106"/>
      <c r="AR91" s="1106"/>
      <c r="AS91" s="1106"/>
      <c r="AT91" s="1106"/>
      <c r="AU91" s="1106"/>
      <c r="AV91" s="1106"/>
      <c r="AW91" s="1106"/>
      <c r="AX91" s="1106"/>
    </row>
    <row r="92">
      <c r="T92" s="1102"/>
      <c r="U92" s="1104"/>
      <c r="V92" s="1104"/>
      <c r="W92" s="1104"/>
      <c r="X92" s="1104"/>
      <c r="Y92" s="1104"/>
      <c r="Z92" s="1104"/>
      <c r="AA92" s="1104"/>
      <c r="AB92" s="1104"/>
      <c r="AC92" s="1104"/>
      <c r="AD92" s="1104"/>
      <c r="AE92" s="1104"/>
      <c r="AF92" s="1104"/>
      <c r="AG92" s="1106"/>
      <c r="AH92" s="1106"/>
      <c r="AI92" s="1106"/>
      <c r="AJ92" s="1106"/>
      <c r="AK92" s="1106"/>
      <c r="AL92" s="1106"/>
      <c r="AM92" s="1106"/>
      <c r="AN92" s="1106"/>
      <c r="AO92" s="1106"/>
      <c r="AP92" s="1106"/>
      <c r="AQ92" s="1106"/>
      <c r="AR92" s="1106"/>
      <c r="AS92" s="1106"/>
      <c r="AT92" s="1106"/>
      <c r="AU92" s="1106"/>
      <c r="AV92" s="1106"/>
      <c r="AW92" s="1106"/>
      <c r="AX92" s="1106"/>
    </row>
    <row r="93">
      <c r="T93" s="1102"/>
      <c r="U93" s="1104"/>
      <c r="V93" s="1104"/>
      <c r="W93" s="1104"/>
      <c r="X93" s="1104"/>
      <c r="Y93" s="1104"/>
      <c r="Z93" s="1104"/>
      <c r="AA93" s="1104"/>
      <c r="AB93" s="1104"/>
      <c r="AC93" s="1104"/>
      <c r="AD93" s="1104"/>
      <c r="AE93" s="1104"/>
      <c r="AF93" s="1104"/>
      <c r="AG93" s="1106"/>
      <c r="AH93" s="1106"/>
      <c r="AI93" s="1106"/>
      <c r="AJ93" s="1106"/>
      <c r="AK93" s="1106"/>
      <c r="AL93" s="1106"/>
      <c r="AM93" s="1106"/>
      <c r="AN93" s="1106"/>
      <c r="AO93" s="1106"/>
      <c r="AP93" s="1106"/>
      <c r="AQ93" s="1106"/>
      <c r="AR93" s="1106"/>
      <c r="AS93" s="1106"/>
      <c r="AT93" s="1106"/>
      <c r="AU93" s="1106"/>
      <c r="AV93" s="1106"/>
      <c r="AW93" s="1106"/>
      <c r="AX93" s="1106"/>
    </row>
    <row r="94">
      <c r="T94" s="1102"/>
      <c r="U94" s="1104"/>
      <c r="V94" s="1104"/>
      <c r="W94" s="1104"/>
      <c r="X94" s="1104"/>
      <c r="Y94" s="1104"/>
      <c r="Z94" s="1104"/>
      <c r="AA94" s="1104"/>
      <c r="AB94" s="1104"/>
      <c r="AC94" s="1104"/>
      <c r="AD94" s="1104"/>
      <c r="AE94" s="1104"/>
      <c r="AF94" s="1104"/>
      <c r="AG94" s="1106"/>
      <c r="AH94" s="1106"/>
      <c r="AI94" s="1106"/>
      <c r="AJ94" s="1106"/>
      <c r="AK94" s="1106"/>
      <c r="AL94" s="1106"/>
      <c r="AM94" s="1106"/>
      <c r="AN94" s="1106"/>
      <c r="AO94" s="1106"/>
      <c r="AP94" s="1106"/>
      <c r="AQ94" s="1106"/>
      <c r="AR94" s="1106"/>
      <c r="AS94" s="1106"/>
      <c r="AT94" s="1106"/>
      <c r="AU94" s="1106"/>
      <c r="AV94" s="1106"/>
      <c r="AW94" s="1106"/>
      <c r="AX94" s="1106"/>
    </row>
    <row r="95">
      <c r="T95" s="1102"/>
      <c r="U95" s="1104"/>
      <c r="V95" s="1104"/>
      <c r="W95" s="1104"/>
      <c r="X95" s="1104"/>
      <c r="Y95" s="1104"/>
      <c r="Z95" s="1104"/>
      <c r="AA95" s="1104"/>
      <c r="AB95" s="1104"/>
      <c r="AC95" s="1104"/>
      <c r="AD95" s="1104"/>
      <c r="AE95" s="1104"/>
      <c r="AF95" s="1104"/>
      <c r="AG95" s="1106"/>
      <c r="AH95" s="1106"/>
      <c r="AI95" s="1106"/>
      <c r="AJ95" s="1106"/>
      <c r="AK95" s="1106"/>
      <c r="AL95" s="1106"/>
      <c r="AM95" s="1106"/>
      <c r="AN95" s="1106"/>
      <c r="AO95" s="1106"/>
      <c r="AP95" s="1106"/>
      <c r="AQ95" s="1106"/>
      <c r="AR95" s="1106"/>
      <c r="AS95" s="1106"/>
      <c r="AT95" s="1106"/>
      <c r="AU95" s="1106"/>
      <c r="AV95" s="1106"/>
      <c r="AW95" s="1106"/>
      <c r="AX95" s="1106"/>
    </row>
    <row r="96">
      <c r="T96" s="1102"/>
      <c r="U96" s="1104"/>
      <c r="V96" s="1104"/>
      <c r="W96" s="1104"/>
      <c r="X96" s="1104"/>
      <c r="Y96" s="1104"/>
      <c r="Z96" s="1104"/>
      <c r="AA96" s="1104"/>
      <c r="AB96" s="1104"/>
      <c r="AC96" s="1104"/>
      <c r="AD96" s="1104"/>
      <c r="AE96" s="1104"/>
      <c r="AF96" s="1104"/>
      <c r="AG96" s="1106"/>
      <c r="AH96" s="1106"/>
      <c r="AI96" s="1106"/>
      <c r="AJ96" s="1106"/>
      <c r="AK96" s="1106"/>
      <c r="AL96" s="1106"/>
      <c r="AM96" s="1106"/>
      <c r="AN96" s="1106"/>
      <c r="AO96" s="1106"/>
      <c r="AP96" s="1106"/>
      <c r="AQ96" s="1106"/>
      <c r="AR96" s="1106"/>
      <c r="AS96" s="1106"/>
      <c r="AT96" s="1106"/>
      <c r="AU96" s="1106"/>
      <c r="AV96" s="1106"/>
      <c r="AW96" s="1106"/>
      <c r="AX96" s="1106"/>
    </row>
    <row r="97">
      <c r="T97" s="1102"/>
      <c r="U97" s="1104"/>
      <c r="V97" s="1104"/>
      <c r="W97" s="1104"/>
      <c r="X97" s="1104"/>
      <c r="Y97" s="1104"/>
      <c r="Z97" s="1104"/>
      <c r="AA97" s="1104"/>
      <c r="AB97" s="1104"/>
      <c r="AC97" s="1104"/>
      <c r="AD97" s="1104"/>
      <c r="AE97" s="1104"/>
      <c r="AF97" s="1104"/>
      <c r="AG97" s="1106"/>
      <c r="AH97" s="1106"/>
      <c r="AI97" s="1106"/>
      <c r="AJ97" s="1106"/>
      <c r="AK97" s="1106"/>
      <c r="AL97" s="1106"/>
      <c r="AM97" s="1106"/>
      <c r="AN97" s="1106"/>
      <c r="AO97" s="1106"/>
      <c r="AP97" s="1106"/>
      <c r="AQ97" s="1106"/>
      <c r="AR97" s="1106"/>
      <c r="AS97" s="1106"/>
      <c r="AT97" s="1106"/>
      <c r="AU97" s="1106"/>
      <c r="AV97" s="1106"/>
      <c r="AW97" s="1106"/>
      <c r="AX97" s="1106"/>
    </row>
    <row r="98">
      <c r="T98" s="1102"/>
      <c r="U98" s="1104"/>
      <c r="V98" s="1104"/>
      <c r="W98" s="1104"/>
      <c r="X98" s="1104"/>
      <c r="Y98" s="1104"/>
      <c r="Z98" s="1104"/>
      <c r="AA98" s="1104"/>
      <c r="AB98" s="1104"/>
      <c r="AC98" s="1104"/>
      <c r="AD98" s="1104"/>
      <c r="AE98" s="1104"/>
      <c r="AF98" s="1104"/>
      <c r="AG98" s="1106"/>
      <c r="AH98" s="1106"/>
      <c r="AI98" s="1106"/>
      <c r="AJ98" s="1106"/>
      <c r="AK98" s="1106"/>
      <c r="AL98" s="1106"/>
      <c r="AM98" s="1106"/>
      <c r="AN98" s="1106"/>
      <c r="AO98" s="1106"/>
      <c r="AP98" s="1106"/>
      <c r="AQ98" s="1106"/>
      <c r="AR98" s="1106"/>
      <c r="AS98" s="1106"/>
      <c r="AT98" s="1106"/>
      <c r="AU98" s="1106"/>
      <c r="AV98" s="1106"/>
      <c r="AW98" s="1106"/>
      <c r="AX98" s="1106"/>
    </row>
    <row r="99">
      <c r="T99" s="1102"/>
      <c r="U99" s="1104"/>
      <c r="V99" s="1104"/>
      <c r="W99" s="1104"/>
      <c r="X99" s="1104"/>
      <c r="Y99" s="1104"/>
      <c r="Z99" s="1104"/>
      <c r="AA99" s="1104"/>
      <c r="AB99" s="1104"/>
      <c r="AC99" s="1104"/>
      <c r="AD99" s="1104"/>
      <c r="AE99" s="1104"/>
      <c r="AF99" s="1104"/>
      <c r="AG99" s="1106"/>
      <c r="AH99" s="1106"/>
      <c r="AI99" s="1106"/>
      <c r="AJ99" s="1106"/>
      <c r="AK99" s="1106"/>
      <c r="AL99" s="1106"/>
      <c r="AM99" s="1106"/>
      <c r="AN99" s="1106"/>
      <c r="AO99" s="1106"/>
      <c r="AP99" s="1106"/>
      <c r="AQ99" s="1106"/>
      <c r="AR99" s="1106"/>
      <c r="AS99" s="1106"/>
      <c r="AT99" s="1106"/>
      <c r="AU99" s="1106"/>
      <c r="AV99" s="1106"/>
      <c r="AW99" s="1106"/>
      <c r="AX99" s="1106"/>
    </row>
    <row r="100">
      <c r="T100" s="1102"/>
      <c r="U100" s="1104"/>
      <c r="V100" s="1104"/>
      <c r="W100" s="1104"/>
      <c r="X100" s="1104"/>
      <c r="Y100" s="1104"/>
      <c r="Z100" s="1104"/>
      <c r="AA100" s="1104"/>
      <c r="AB100" s="1104"/>
      <c r="AC100" s="1104"/>
      <c r="AD100" s="1104"/>
      <c r="AE100" s="1104"/>
      <c r="AF100" s="1104"/>
      <c r="AG100" s="1106"/>
      <c r="AH100" s="1106"/>
      <c r="AI100" s="1106"/>
      <c r="AJ100" s="1106"/>
      <c r="AK100" s="1106"/>
      <c r="AL100" s="1106"/>
      <c r="AM100" s="1106"/>
      <c r="AN100" s="1106"/>
      <c r="AO100" s="1106"/>
      <c r="AP100" s="1106"/>
      <c r="AQ100" s="1106"/>
      <c r="AR100" s="1106"/>
      <c r="AS100" s="1106"/>
      <c r="AT100" s="1106"/>
      <c r="AU100" s="1106"/>
      <c r="AV100" s="1106"/>
      <c r="AW100" s="1106"/>
      <c r="AX100" s="1106"/>
    </row>
    <row r="101">
      <c r="T101" s="1102"/>
      <c r="U101" s="1104"/>
      <c r="V101" s="1104"/>
      <c r="W101" s="1104"/>
      <c r="X101" s="1104"/>
      <c r="Y101" s="1104"/>
      <c r="Z101" s="1104"/>
      <c r="AA101" s="1104"/>
      <c r="AB101" s="1104"/>
      <c r="AC101" s="1104"/>
      <c r="AD101" s="1104"/>
      <c r="AE101" s="1104"/>
      <c r="AF101" s="1104"/>
      <c r="AG101" s="1106"/>
      <c r="AH101" s="1106"/>
      <c r="AI101" s="1106"/>
      <c r="AJ101" s="1106"/>
      <c r="AK101" s="1106"/>
      <c r="AL101" s="1106"/>
      <c r="AM101" s="1106"/>
      <c r="AN101" s="1106"/>
      <c r="AO101" s="1106"/>
      <c r="AP101" s="1106"/>
      <c r="AQ101" s="1106"/>
      <c r="AR101" s="1106"/>
      <c r="AS101" s="1106"/>
      <c r="AT101" s="1106"/>
      <c r="AU101" s="1106"/>
      <c r="AV101" s="1106"/>
      <c r="AW101" s="1106"/>
      <c r="AX101" s="1106"/>
    </row>
    <row r="102">
      <c r="T102" s="1102"/>
      <c r="U102" s="1104"/>
      <c r="V102" s="1104"/>
      <c r="W102" s="1104"/>
      <c r="X102" s="1104"/>
      <c r="Y102" s="1104"/>
      <c r="Z102" s="1104"/>
      <c r="AA102" s="1104"/>
      <c r="AB102" s="1104"/>
      <c r="AC102" s="1104"/>
      <c r="AD102" s="1104"/>
      <c r="AE102" s="1104"/>
      <c r="AF102" s="1104"/>
      <c r="AG102" s="1106"/>
      <c r="AH102" s="1106"/>
      <c r="AI102" s="1106"/>
      <c r="AJ102" s="1106"/>
      <c r="AK102" s="1106"/>
      <c r="AL102" s="1106"/>
      <c r="AM102" s="1106"/>
      <c r="AN102" s="1106"/>
      <c r="AO102" s="1106"/>
      <c r="AP102" s="1106"/>
      <c r="AQ102" s="1106"/>
      <c r="AR102" s="1106"/>
      <c r="AS102" s="1106"/>
      <c r="AT102" s="1106"/>
      <c r="AU102" s="1106"/>
      <c r="AV102" s="1106"/>
      <c r="AW102" s="1106"/>
      <c r="AX102" s="1106"/>
    </row>
    <row r="103">
      <c r="T103" s="1102"/>
      <c r="U103" s="1104"/>
      <c r="V103" s="1104"/>
      <c r="W103" s="1104"/>
      <c r="X103" s="1104"/>
      <c r="Y103" s="1104"/>
      <c r="Z103" s="1104"/>
      <c r="AA103" s="1104"/>
      <c r="AB103" s="1104"/>
      <c r="AC103" s="1104"/>
      <c r="AD103" s="1104"/>
      <c r="AE103" s="1104"/>
      <c r="AF103" s="1104"/>
      <c r="AG103" s="1106"/>
      <c r="AH103" s="1106"/>
      <c r="AI103" s="1106"/>
      <c r="AJ103" s="1106"/>
      <c r="AK103" s="1106"/>
      <c r="AL103" s="1106"/>
      <c r="AM103" s="1106"/>
      <c r="AN103" s="1106"/>
      <c r="AO103" s="1106"/>
      <c r="AP103" s="1106"/>
      <c r="AQ103" s="1106"/>
      <c r="AR103" s="1106"/>
      <c r="AS103" s="1106"/>
      <c r="AT103" s="1106"/>
      <c r="AU103" s="1106"/>
      <c r="AV103" s="1106"/>
      <c r="AW103" s="1106"/>
      <c r="AX103" s="1106"/>
    </row>
    <row r="104">
      <c r="T104" s="1102"/>
      <c r="U104" s="1104"/>
      <c r="V104" s="1104"/>
      <c r="W104" s="1104"/>
      <c r="X104" s="1104"/>
      <c r="Y104" s="1104"/>
      <c r="Z104" s="1104"/>
      <c r="AA104" s="1104"/>
      <c r="AB104" s="1104"/>
      <c r="AC104" s="1104"/>
      <c r="AD104" s="1104"/>
      <c r="AE104" s="1104"/>
      <c r="AF104" s="1104"/>
      <c r="AG104" s="1106"/>
      <c r="AH104" s="1106"/>
      <c r="AI104" s="1106"/>
      <c r="AJ104" s="1106"/>
      <c r="AK104" s="1106"/>
      <c r="AL104" s="1106"/>
      <c r="AM104" s="1106"/>
      <c r="AN104" s="1106"/>
      <c r="AO104" s="1106"/>
      <c r="AP104" s="1106"/>
      <c r="AQ104" s="1106"/>
      <c r="AR104" s="1106"/>
      <c r="AS104" s="1106"/>
      <c r="AT104" s="1106"/>
      <c r="AU104" s="1106"/>
      <c r="AV104" s="1106"/>
      <c r="AW104" s="1106"/>
      <c r="AX104" s="1106"/>
    </row>
    <row r="105">
      <c r="T105" s="1102"/>
      <c r="U105" s="1104"/>
      <c r="V105" s="1104"/>
      <c r="W105" s="1104"/>
      <c r="X105" s="1104"/>
      <c r="Y105" s="1104"/>
      <c r="Z105" s="1104"/>
      <c r="AA105" s="1104"/>
      <c r="AB105" s="1104"/>
      <c r="AC105" s="1104"/>
      <c r="AD105" s="1104"/>
      <c r="AE105" s="1104"/>
      <c r="AF105" s="1104"/>
      <c r="AG105" s="1106"/>
      <c r="AH105" s="1106"/>
      <c r="AI105" s="1106"/>
      <c r="AJ105" s="1106"/>
      <c r="AK105" s="1106"/>
      <c r="AL105" s="1106"/>
      <c r="AM105" s="1106"/>
      <c r="AN105" s="1106"/>
      <c r="AO105" s="1106"/>
      <c r="AP105" s="1106"/>
      <c r="AQ105" s="1106"/>
      <c r="AR105" s="1106"/>
      <c r="AS105" s="1106"/>
      <c r="AT105" s="1106"/>
      <c r="AU105" s="1106"/>
      <c r="AV105" s="1106"/>
      <c r="AW105" s="1106"/>
      <c r="AX105" s="1106"/>
    </row>
    <row r="106">
      <c r="T106" s="1102"/>
      <c r="U106" s="1104"/>
      <c r="V106" s="1104"/>
      <c r="W106" s="1104"/>
      <c r="X106" s="1104"/>
      <c r="Y106" s="1104"/>
      <c r="Z106" s="1104"/>
      <c r="AA106" s="1104"/>
      <c r="AB106" s="1104"/>
      <c r="AC106" s="1104"/>
      <c r="AD106" s="1104"/>
      <c r="AE106" s="1104"/>
      <c r="AF106" s="1104"/>
      <c r="AG106" s="1106"/>
      <c r="AH106" s="1106"/>
      <c r="AI106" s="1106"/>
      <c r="AJ106" s="1106"/>
      <c r="AK106" s="1106"/>
      <c r="AL106" s="1106"/>
      <c r="AM106" s="1106"/>
      <c r="AN106" s="1106"/>
      <c r="AO106" s="1106"/>
      <c r="AP106" s="1106"/>
      <c r="AQ106" s="1106"/>
      <c r="AR106" s="1106"/>
      <c r="AS106" s="1106"/>
      <c r="AT106" s="1106"/>
      <c r="AU106" s="1106"/>
      <c r="AV106" s="1106"/>
      <c r="AW106" s="1106"/>
      <c r="AX106" s="1106"/>
    </row>
    <row r="107">
      <c r="T107" s="1102"/>
      <c r="U107" s="1104"/>
      <c r="V107" s="1104"/>
      <c r="W107" s="1104"/>
      <c r="X107" s="1104"/>
      <c r="Y107" s="1104"/>
      <c r="Z107" s="1104"/>
      <c r="AA107" s="1104"/>
      <c r="AB107" s="1104"/>
      <c r="AC107" s="1104"/>
      <c r="AD107" s="1104"/>
      <c r="AE107" s="1104"/>
      <c r="AF107" s="1104"/>
      <c r="AG107" s="1106"/>
      <c r="AH107" s="1106"/>
      <c r="AI107" s="1106"/>
      <c r="AJ107" s="1106"/>
      <c r="AK107" s="1106"/>
      <c r="AL107" s="1106"/>
      <c r="AM107" s="1106"/>
      <c r="AN107" s="1106"/>
      <c r="AO107" s="1106"/>
      <c r="AP107" s="1106"/>
      <c r="AQ107" s="1106"/>
      <c r="AR107" s="1106"/>
      <c r="AS107" s="1106"/>
      <c r="AT107" s="1106"/>
      <c r="AU107" s="1106"/>
      <c r="AV107" s="1106"/>
      <c r="AW107" s="1106"/>
      <c r="AX107" s="1106"/>
    </row>
    <row r="108">
      <c r="T108" s="1102"/>
      <c r="U108" s="1104"/>
      <c r="V108" s="1104"/>
      <c r="W108" s="1104"/>
      <c r="X108" s="1104"/>
      <c r="Y108" s="1104"/>
      <c r="Z108" s="1104"/>
      <c r="AA108" s="1104"/>
      <c r="AB108" s="1104"/>
      <c r="AC108" s="1104"/>
      <c r="AD108" s="1104"/>
      <c r="AE108" s="1104"/>
      <c r="AF108" s="1104"/>
      <c r="AG108" s="1106"/>
      <c r="AH108" s="1106"/>
      <c r="AI108" s="1106"/>
      <c r="AJ108" s="1106"/>
      <c r="AK108" s="1106"/>
      <c r="AL108" s="1106"/>
      <c r="AM108" s="1106"/>
      <c r="AN108" s="1106"/>
      <c r="AO108" s="1106"/>
      <c r="AP108" s="1106"/>
      <c r="AQ108" s="1106"/>
      <c r="AR108" s="1106"/>
      <c r="AS108" s="1106"/>
      <c r="AT108" s="1106"/>
      <c r="AU108" s="1106"/>
      <c r="AV108" s="1106"/>
      <c r="AW108" s="1106"/>
      <c r="AX108" s="1106"/>
    </row>
    <row r="109">
      <c r="T109" s="1102"/>
      <c r="U109" s="1104"/>
      <c r="V109" s="1104"/>
      <c r="W109" s="1104"/>
      <c r="X109" s="1104"/>
      <c r="Y109" s="1104"/>
      <c r="Z109" s="1104"/>
      <c r="AA109" s="1104"/>
      <c r="AB109" s="1104"/>
      <c r="AC109" s="1104"/>
      <c r="AD109" s="1104"/>
      <c r="AE109" s="1104"/>
      <c r="AF109" s="1104"/>
      <c r="AG109" s="1106"/>
      <c r="AH109" s="1106"/>
      <c r="AI109" s="1106"/>
      <c r="AJ109" s="1106"/>
      <c r="AK109" s="1106"/>
      <c r="AL109" s="1106"/>
      <c r="AM109" s="1106"/>
      <c r="AN109" s="1106"/>
      <c r="AO109" s="1106"/>
      <c r="AP109" s="1106"/>
      <c r="AQ109" s="1106"/>
      <c r="AR109" s="1106"/>
      <c r="AS109" s="1106"/>
      <c r="AT109" s="1106"/>
      <c r="AU109" s="1106"/>
      <c r="AV109" s="1106"/>
      <c r="AW109" s="1106"/>
      <c r="AX109" s="1106"/>
    </row>
    <row r="110">
      <c r="T110" s="1102"/>
      <c r="U110" s="1104"/>
      <c r="V110" s="1104"/>
      <c r="W110" s="1104"/>
      <c r="X110" s="1104"/>
      <c r="Y110" s="1104"/>
      <c r="Z110" s="1104"/>
      <c r="AA110" s="1104"/>
      <c r="AB110" s="1104"/>
      <c r="AC110" s="1104"/>
      <c r="AD110" s="1104"/>
      <c r="AE110" s="1104"/>
      <c r="AF110" s="1104"/>
      <c r="AG110" s="1106"/>
      <c r="AH110" s="1106"/>
      <c r="AI110" s="1106"/>
      <c r="AJ110" s="1106"/>
      <c r="AK110" s="1106"/>
      <c r="AL110" s="1106"/>
      <c r="AM110" s="1106"/>
      <c r="AN110" s="1106"/>
      <c r="AO110" s="1106"/>
      <c r="AP110" s="1106"/>
      <c r="AQ110" s="1106"/>
      <c r="AR110" s="1106"/>
      <c r="AS110" s="1106"/>
      <c r="AT110" s="1106"/>
      <c r="AU110" s="1106"/>
      <c r="AV110" s="1106"/>
      <c r="AW110" s="1106"/>
      <c r="AX110" s="1106"/>
    </row>
    <row r="111">
      <c r="T111" s="1102"/>
      <c r="U111" s="1104"/>
      <c r="V111" s="1104"/>
      <c r="W111" s="1104"/>
      <c r="X111" s="1104"/>
      <c r="Y111" s="1104"/>
      <c r="Z111" s="1104"/>
      <c r="AA111" s="1104"/>
      <c r="AB111" s="1104"/>
      <c r="AC111" s="1104"/>
      <c r="AD111" s="1104"/>
      <c r="AE111" s="1104"/>
      <c r="AF111" s="1104"/>
      <c r="AG111" s="1106"/>
      <c r="AH111" s="1106"/>
      <c r="AI111" s="1106"/>
      <c r="AJ111" s="1106"/>
      <c r="AK111" s="1106"/>
      <c r="AL111" s="1106"/>
      <c r="AM111" s="1106"/>
      <c r="AN111" s="1106"/>
      <c r="AO111" s="1106"/>
      <c r="AP111" s="1106"/>
      <c r="AQ111" s="1106"/>
      <c r="AR111" s="1106"/>
      <c r="AS111" s="1106"/>
      <c r="AT111" s="1106"/>
      <c r="AU111" s="1106"/>
      <c r="AV111" s="1106"/>
      <c r="AW111" s="1106"/>
      <c r="AX111" s="1106"/>
    </row>
    <row r="112">
      <c r="T112" s="1102"/>
      <c r="U112" s="1104"/>
      <c r="V112" s="1104"/>
      <c r="W112" s="1104"/>
      <c r="X112" s="1104"/>
      <c r="Y112" s="1104"/>
      <c r="Z112" s="1104"/>
      <c r="AA112" s="1104"/>
      <c r="AB112" s="1104"/>
      <c r="AC112" s="1104"/>
      <c r="AD112" s="1104"/>
      <c r="AE112" s="1104"/>
      <c r="AF112" s="1104"/>
      <c r="AG112" s="1106"/>
      <c r="AH112" s="1106"/>
      <c r="AI112" s="1106"/>
      <c r="AJ112" s="1106"/>
      <c r="AK112" s="1106"/>
      <c r="AL112" s="1106"/>
      <c r="AM112" s="1106"/>
      <c r="AN112" s="1106"/>
      <c r="AO112" s="1106"/>
      <c r="AP112" s="1106"/>
      <c r="AQ112" s="1106"/>
      <c r="AR112" s="1106"/>
      <c r="AS112" s="1106"/>
      <c r="AT112" s="1106"/>
      <c r="AU112" s="1106"/>
      <c r="AV112" s="1106"/>
      <c r="AW112" s="1106"/>
      <c r="AX112" s="1106"/>
    </row>
    <row r="113">
      <c r="T113" s="1102"/>
      <c r="U113" s="1104"/>
      <c r="V113" s="1104"/>
      <c r="W113" s="1104"/>
      <c r="X113" s="1104"/>
      <c r="Y113" s="1104"/>
      <c r="Z113" s="1104"/>
      <c r="AA113" s="1104"/>
      <c r="AB113" s="1104"/>
      <c r="AC113" s="1104"/>
      <c r="AD113" s="1104"/>
      <c r="AE113" s="1104"/>
      <c r="AF113" s="1104"/>
      <c r="AG113" s="1106"/>
      <c r="AH113" s="1106"/>
      <c r="AI113" s="1106"/>
      <c r="AJ113" s="1106"/>
      <c r="AK113" s="1106"/>
      <c r="AL113" s="1106"/>
      <c r="AM113" s="1106"/>
      <c r="AN113" s="1106"/>
      <c r="AO113" s="1106"/>
      <c r="AP113" s="1106"/>
      <c r="AQ113" s="1106"/>
      <c r="AR113" s="1106"/>
      <c r="AS113" s="1106"/>
      <c r="AT113" s="1106"/>
      <c r="AU113" s="1106"/>
      <c r="AV113" s="1106"/>
      <c r="AW113" s="1106"/>
      <c r="AX113" s="1106"/>
    </row>
    <row r="114">
      <c r="T114" s="1102"/>
      <c r="U114" s="1104"/>
      <c r="V114" s="1104"/>
      <c r="W114" s="1104"/>
      <c r="X114" s="1104"/>
      <c r="Y114" s="1104"/>
      <c r="Z114" s="1104"/>
      <c r="AA114" s="1104"/>
      <c r="AB114" s="1104"/>
      <c r="AC114" s="1104"/>
      <c r="AD114" s="1104"/>
      <c r="AE114" s="1104"/>
      <c r="AF114" s="1104"/>
      <c r="AG114" s="1106"/>
      <c r="AH114" s="1106"/>
      <c r="AI114" s="1106"/>
      <c r="AJ114" s="1106"/>
      <c r="AK114" s="1106"/>
      <c r="AL114" s="1106"/>
      <c r="AM114" s="1106"/>
      <c r="AN114" s="1106"/>
      <c r="AO114" s="1106"/>
      <c r="AP114" s="1106"/>
      <c r="AQ114" s="1106"/>
      <c r="AR114" s="1106"/>
      <c r="AS114" s="1106"/>
      <c r="AT114" s="1106"/>
      <c r="AU114" s="1106"/>
      <c r="AV114" s="1106"/>
      <c r="AW114" s="1106"/>
      <c r="AX114" s="1106"/>
    </row>
    <row r="115">
      <c r="T115" s="1102"/>
      <c r="U115" s="1104"/>
      <c r="V115" s="1104"/>
      <c r="W115" s="1104"/>
      <c r="X115" s="1104"/>
      <c r="Y115" s="1104"/>
      <c r="Z115" s="1104"/>
      <c r="AA115" s="1104"/>
      <c r="AB115" s="1104"/>
      <c r="AC115" s="1104"/>
      <c r="AD115" s="1104"/>
      <c r="AE115" s="1104"/>
      <c r="AF115" s="1104"/>
      <c r="AG115" s="1106"/>
      <c r="AH115" s="1106"/>
      <c r="AI115" s="1106"/>
      <c r="AJ115" s="1106"/>
      <c r="AK115" s="1106"/>
      <c r="AL115" s="1106"/>
      <c r="AM115" s="1106"/>
      <c r="AN115" s="1106"/>
      <c r="AO115" s="1106"/>
      <c r="AP115" s="1106"/>
      <c r="AQ115" s="1106"/>
      <c r="AR115" s="1106"/>
      <c r="AS115" s="1106"/>
      <c r="AT115" s="1106"/>
      <c r="AU115" s="1106"/>
      <c r="AV115" s="1106"/>
      <c r="AW115" s="1106"/>
      <c r="AX115" s="1106"/>
    </row>
    <row r="116">
      <c r="T116" s="1102"/>
      <c r="U116" s="1104"/>
      <c r="V116" s="1104"/>
      <c r="W116" s="1104"/>
      <c r="X116" s="1104"/>
      <c r="Y116" s="1104"/>
      <c r="Z116" s="1104"/>
      <c r="AA116" s="1104"/>
      <c r="AB116" s="1104"/>
      <c r="AC116" s="1104"/>
      <c r="AD116" s="1104"/>
      <c r="AE116" s="1104"/>
      <c r="AF116" s="1104"/>
      <c r="AG116" s="1106"/>
      <c r="AH116" s="1106"/>
      <c r="AI116" s="1106"/>
      <c r="AJ116" s="1106"/>
      <c r="AK116" s="1106"/>
      <c r="AL116" s="1106"/>
      <c r="AM116" s="1106"/>
      <c r="AN116" s="1106"/>
      <c r="AO116" s="1106"/>
      <c r="AP116" s="1106"/>
      <c r="AQ116" s="1106"/>
      <c r="AR116" s="1106"/>
      <c r="AS116" s="1106"/>
      <c r="AT116" s="1106"/>
      <c r="AU116" s="1106"/>
      <c r="AV116" s="1106"/>
      <c r="AW116" s="1106"/>
      <c r="AX116" s="1106"/>
    </row>
    <row r="117">
      <c r="T117" s="1102"/>
      <c r="U117" s="1104"/>
      <c r="V117" s="1104"/>
      <c r="W117" s="1104"/>
      <c r="X117" s="1104"/>
      <c r="Y117" s="1104"/>
      <c r="Z117" s="1104"/>
      <c r="AA117" s="1104"/>
      <c r="AB117" s="1104"/>
      <c r="AC117" s="1104"/>
      <c r="AD117" s="1104"/>
      <c r="AE117" s="1104"/>
      <c r="AF117" s="1104"/>
      <c r="AG117" s="1106"/>
      <c r="AH117" s="1106"/>
      <c r="AI117" s="1106"/>
      <c r="AJ117" s="1106"/>
      <c r="AK117" s="1106"/>
      <c r="AL117" s="1106"/>
      <c r="AM117" s="1106"/>
      <c r="AN117" s="1106"/>
      <c r="AO117" s="1106"/>
      <c r="AP117" s="1106"/>
      <c r="AQ117" s="1106"/>
      <c r="AR117" s="1106"/>
      <c r="AS117" s="1106"/>
      <c r="AT117" s="1106"/>
      <c r="AU117" s="1106"/>
      <c r="AV117" s="1106"/>
      <c r="AW117" s="1106"/>
      <c r="AX117" s="1106"/>
    </row>
    <row r="118">
      <c r="T118" s="1102"/>
      <c r="U118" s="1104"/>
      <c r="V118" s="1104"/>
      <c r="W118" s="1104"/>
      <c r="X118" s="1104"/>
      <c r="Y118" s="1104"/>
      <c r="Z118" s="1104"/>
      <c r="AA118" s="1104"/>
      <c r="AB118" s="1104"/>
      <c r="AC118" s="1104"/>
      <c r="AD118" s="1104"/>
      <c r="AE118" s="1104"/>
      <c r="AF118" s="1104"/>
      <c r="AG118" s="1106"/>
      <c r="AH118" s="1106"/>
      <c r="AI118" s="1106"/>
      <c r="AJ118" s="1106"/>
      <c r="AK118" s="1106"/>
      <c r="AL118" s="1106"/>
      <c r="AM118" s="1106"/>
      <c r="AN118" s="1106"/>
      <c r="AO118" s="1106"/>
      <c r="AP118" s="1106"/>
      <c r="AQ118" s="1106"/>
      <c r="AR118" s="1106"/>
      <c r="AS118" s="1106"/>
      <c r="AT118" s="1106"/>
      <c r="AU118" s="1106"/>
      <c r="AV118" s="1106"/>
      <c r="AW118" s="1106"/>
      <c r="AX118" s="1106"/>
    </row>
    <row r="119">
      <c r="T119" s="1102"/>
      <c r="U119" s="1104"/>
      <c r="V119" s="1104"/>
      <c r="W119" s="1104"/>
      <c r="X119" s="1104"/>
      <c r="Y119" s="1104"/>
      <c r="Z119" s="1104"/>
      <c r="AA119" s="1104"/>
      <c r="AB119" s="1104"/>
      <c r="AC119" s="1104"/>
      <c r="AD119" s="1104"/>
      <c r="AE119" s="1104"/>
      <c r="AF119" s="1104"/>
      <c r="AG119" s="1106"/>
      <c r="AH119" s="1106"/>
      <c r="AI119" s="1106"/>
      <c r="AJ119" s="1106"/>
      <c r="AK119" s="1106"/>
      <c r="AL119" s="1106"/>
      <c r="AM119" s="1106"/>
      <c r="AN119" s="1106"/>
      <c r="AO119" s="1106"/>
      <c r="AP119" s="1106"/>
      <c r="AQ119" s="1106"/>
      <c r="AR119" s="1106"/>
      <c r="AS119" s="1106"/>
      <c r="AT119" s="1106"/>
      <c r="AU119" s="1106"/>
      <c r="AV119" s="1106"/>
      <c r="AW119" s="1106"/>
      <c r="AX119" s="1106"/>
    </row>
    <row r="120">
      <c r="T120" s="1102"/>
      <c r="U120" s="1104"/>
      <c r="V120" s="1104"/>
      <c r="W120" s="1104"/>
      <c r="X120" s="1104"/>
      <c r="Y120" s="1104"/>
      <c r="Z120" s="1104"/>
      <c r="AA120" s="1104"/>
      <c r="AB120" s="1104"/>
      <c r="AC120" s="1104"/>
      <c r="AD120" s="1104"/>
      <c r="AE120" s="1104"/>
      <c r="AF120" s="1104"/>
      <c r="AG120" s="1106"/>
      <c r="AH120" s="1106"/>
      <c r="AI120" s="1106"/>
      <c r="AJ120" s="1106"/>
      <c r="AK120" s="1106"/>
      <c r="AL120" s="1106"/>
      <c r="AM120" s="1106"/>
      <c r="AN120" s="1106"/>
      <c r="AO120" s="1106"/>
      <c r="AP120" s="1106"/>
      <c r="AQ120" s="1106"/>
      <c r="AR120" s="1106"/>
      <c r="AS120" s="1106"/>
      <c r="AT120" s="1106"/>
      <c r="AU120" s="1106"/>
      <c r="AV120" s="1106"/>
      <c r="AW120" s="1106"/>
      <c r="AX120" s="1106"/>
    </row>
    <row r="121">
      <c r="T121" s="1102"/>
      <c r="U121" s="1104"/>
      <c r="V121" s="1104"/>
      <c r="W121" s="1104"/>
      <c r="X121" s="1104"/>
      <c r="Y121" s="1104"/>
      <c r="Z121" s="1104"/>
      <c r="AA121" s="1104"/>
      <c r="AB121" s="1104"/>
      <c r="AC121" s="1104"/>
      <c r="AD121" s="1104"/>
      <c r="AE121" s="1104"/>
      <c r="AF121" s="1104"/>
      <c r="AG121" s="1106"/>
      <c r="AH121" s="1106"/>
      <c r="AI121" s="1106"/>
      <c r="AJ121" s="1106"/>
      <c r="AK121" s="1106"/>
      <c r="AL121" s="1106"/>
      <c r="AM121" s="1106"/>
      <c r="AN121" s="1106"/>
      <c r="AO121" s="1106"/>
      <c r="AP121" s="1106"/>
      <c r="AQ121" s="1106"/>
      <c r="AR121" s="1106"/>
      <c r="AS121" s="1106"/>
      <c r="AT121" s="1106"/>
      <c r="AU121" s="1106"/>
      <c r="AV121" s="1106"/>
      <c r="AW121" s="1106"/>
      <c r="AX121" s="1106"/>
    </row>
    <row r="122">
      <c r="T122" s="1102"/>
      <c r="U122" s="1104"/>
      <c r="V122" s="1104"/>
      <c r="W122" s="1104"/>
      <c r="X122" s="1104"/>
      <c r="Y122" s="1104"/>
      <c r="Z122" s="1104"/>
      <c r="AA122" s="1104"/>
      <c r="AB122" s="1104"/>
      <c r="AC122" s="1104"/>
      <c r="AD122" s="1104"/>
      <c r="AE122" s="1104"/>
      <c r="AF122" s="1104"/>
      <c r="AG122" s="1106"/>
      <c r="AH122" s="1106"/>
      <c r="AI122" s="1106"/>
      <c r="AJ122" s="1106"/>
      <c r="AK122" s="1106"/>
      <c r="AL122" s="1106"/>
      <c r="AM122" s="1106"/>
      <c r="AN122" s="1106"/>
      <c r="AO122" s="1106"/>
      <c r="AP122" s="1106"/>
      <c r="AQ122" s="1106"/>
      <c r="AR122" s="1106"/>
      <c r="AS122" s="1106"/>
      <c r="AT122" s="1106"/>
      <c r="AU122" s="1106"/>
      <c r="AV122" s="1106"/>
      <c r="AW122" s="1106"/>
      <c r="AX122" s="1106"/>
    </row>
    <row r="123">
      <c r="T123" s="1102"/>
      <c r="U123" s="1104"/>
      <c r="V123" s="1104"/>
      <c r="W123" s="1104"/>
      <c r="X123" s="1104"/>
      <c r="Y123" s="1104"/>
      <c r="Z123" s="1104"/>
      <c r="AA123" s="1104"/>
      <c r="AB123" s="1104"/>
      <c r="AC123" s="1104"/>
      <c r="AD123" s="1104"/>
      <c r="AE123" s="1104"/>
      <c r="AF123" s="1104"/>
      <c r="AG123" s="1106"/>
      <c r="AH123" s="1106"/>
      <c r="AI123" s="1106"/>
      <c r="AJ123" s="1106"/>
      <c r="AK123" s="1106"/>
      <c r="AL123" s="1106"/>
      <c r="AM123" s="1106"/>
      <c r="AN123" s="1106"/>
      <c r="AO123" s="1106"/>
      <c r="AP123" s="1106"/>
      <c r="AQ123" s="1106"/>
      <c r="AR123" s="1106"/>
      <c r="AS123" s="1106"/>
      <c r="AT123" s="1106"/>
      <c r="AU123" s="1106"/>
      <c r="AV123" s="1106"/>
      <c r="AW123" s="1106"/>
      <c r="AX123" s="1106"/>
    </row>
    <row r="124">
      <c r="T124" s="1102"/>
      <c r="U124" s="1104"/>
      <c r="V124" s="1104"/>
      <c r="W124" s="1104"/>
      <c r="X124" s="1104"/>
      <c r="Y124" s="1104"/>
      <c r="Z124" s="1104"/>
      <c r="AA124" s="1104"/>
      <c r="AB124" s="1104"/>
      <c r="AC124" s="1104"/>
      <c r="AD124" s="1104"/>
      <c r="AE124" s="1104"/>
      <c r="AF124" s="1104"/>
      <c r="AG124" s="1106"/>
      <c r="AH124" s="1106"/>
      <c r="AI124" s="1106"/>
      <c r="AJ124" s="1106"/>
      <c r="AK124" s="1106"/>
      <c r="AL124" s="1106"/>
      <c r="AM124" s="1106"/>
      <c r="AN124" s="1106"/>
      <c r="AO124" s="1106"/>
      <c r="AP124" s="1106"/>
      <c r="AQ124" s="1106"/>
      <c r="AR124" s="1106"/>
      <c r="AS124" s="1106"/>
      <c r="AT124" s="1106"/>
      <c r="AU124" s="1106"/>
      <c r="AV124" s="1106"/>
      <c r="AW124" s="1106"/>
      <c r="AX124" s="1106"/>
    </row>
    <row r="125">
      <c r="T125" s="1102"/>
      <c r="U125" s="1104"/>
      <c r="V125" s="1104"/>
      <c r="W125" s="1104"/>
      <c r="X125" s="1104"/>
      <c r="Y125" s="1104"/>
      <c r="Z125" s="1104"/>
      <c r="AA125" s="1104"/>
      <c r="AB125" s="1104"/>
      <c r="AC125" s="1104"/>
      <c r="AD125" s="1104"/>
      <c r="AE125" s="1104"/>
      <c r="AF125" s="1104"/>
      <c r="AG125" s="1106"/>
      <c r="AH125" s="1106"/>
      <c r="AI125" s="1106"/>
      <c r="AJ125" s="1106"/>
      <c r="AK125" s="1106"/>
      <c r="AL125" s="1106"/>
      <c r="AM125" s="1106"/>
      <c r="AN125" s="1106"/>
      <c r="AO125" s="1106"/>
      <c r="AP125" s="1106"/>
      <c r="AQ125" s="1106"/>
      <c r="AR125" s="1106"/>
      <c r="AS125" s="1106"/>
      <c r="AT125" s="1106"/>
      <c r="AU125" s="1106"/>
      <c r="AV125" s="1106"/>
      <c r="AW125" s="1106"/>
      <c r="AX125" s="1106"/>
    </row>
    <row r="126">
      <c r="T126" s="1102"/>
      <c r="U126" s="1104"/>
      <c r="V126" s="1104"/>
      <c r="W126" s="1104"/>
      <c r="X126" s="1104"/>
      <c r="Y126" s="1104"/>
      <c r="Z126" s="1104"/>
      <c r="AA126" s="1104"/>
      <c r="AB126" s="1104"/>
      <c r="AC126" s="1104"/>
      <c r="AD126" s="1104"/>
      <c r="AE126" s="1104"/>
      <c r="AF126" s="1104"/>
      <c r="AG126" s="1106"/>
      <c r="AH126" s="1106"/>
      <c r="AI126" s="1106"/>
      <c r="AJ126" s="1106"/>
      <c r="AK126" s="1106"/>
      <c r="AL126" s="1106"/>
      <c r="AM126" s="1106"/>
      <c r="AN126" s="1106"/>
      <c r="AO126" s="1106"/>
      <c r="AP126" s="1106"/>
      <c r="AQ126" s="1106"/>
      <c r="AR126" s="1106"/>
      <c r="AS126" s="1106"/>
      <c r="AT126" s="1106"/>
      <c r="AU126" s="1106"/>
      <c r="AV126" s="1106"/>
      <c r="AW126" s="1106"/>
      <c r="AX126" s="1106"/>
    </row>
    <row r="127">
      <c r="T127" s="1102"/>
      <c r="U127" s="1104"/>
      <c r="V127" s="1104"/>
      <c r="W127" s="1104"/>
      <c r="X127" s="1104"/>
      <c r="Y127" s="1104"/>
      <c r="Z127" s="1104"/>
      <c r="AA127" s="1104"/>
      <c r="AB127" s="1104"/>
      <c r="AC127" s="1104"/>
      <c r="AD127" s="1104"/>
      <c r="AE127" s="1104"/>
      <c r="AF127" s="1104"/>
      <c r="AG127" s="1106"/>
      <c r="AH127" s="1106"/>
      <c r="AI127" s="1106"/>
      <c r="AJ127" s="1106"/>
      <c r="AK127" s="1106"/>
      <c r="AL127" s="1106"/>
      <c r="AM127" s="1106"/>
      <c r="AN127" s="1106"/>
      <c r="AO127" s="1106"/>
      <c r="AP127" s="1106"/>
      <c r="AQ127" s="1106"/>
      <c r="AR127" s="1106"/>
      <c r="AS127" s="1106"/>
      <c r="AT127" s="1106"/>
      <c r="AU127" s="1106"/>
      <c r="AV127" s="1106"/>
      <c r="AW127" s="1106"/>
      <c r="AX127" s="1106"/>
    </row>
    <row r="128">
      <c r="T128" s="1102"/>
      <c r="U128" s="1104"/>
      <c r="V128" s="1104"/>
      <c r="W128" s="1104"/>
      <c r="X128" s="1104"/>
      <c r="Y128" s="1104"/>
      <c r="Z128" s="1104"/>
      <c r="AA128" s="1104"/>
      <c r="AB128" s="1104"/>
      <c r="AC128" s="1104"/>
      <c r="AD128" s="1104"/>
      <c r="AE128" s="1104"/>
      <c r="AF128" s="1104"/>
      <c r="AG128" s="1106"/>
      <c r="AH128" s="1106"/>
      <c r="AI128" s="1106"/>
      <c r="AJ128" s="1106"/>
      <c r="AK128" s="1106"/>
      <c r="AL128" s="1106"/>
      <c r="AM128" s="1106"/>
      <c r="AN128" s="1106"/>
      <c r="AO128" s="1106"/>
      <c r="AP128" s="1106"/>
      <c r="AQ128" s="1106"/>
      <c r="AR128" s="1106"/>
      <c r="AS128" s="1106"/>
      <c r="AT128" s="1106"/>
      <c r="AU128" s="1106"/>
      <c r="AV128" s="1106"/>
      <c r="AW128" s="1106"/>
      <c r="AX128" s="1106"/>
    </row>
    <row r="129">
      <c r="T129" s="1102"/>
      <c r="U129" s="1104"/>
      <c r="V129" s="1104"/>
      <c r="W129" s="1104"/>
      <c r="X129" s="1104"/>
      <c r="Y129" s="1104"/>
      <c r="Z129" s="1104"/>
      <c r="AA129" s="1104"/>
      <c r="AB129" s="1104"/>
      <c r="AC129" s="1104"/>
      <c r="AD129" s="1104"/>
      <c r="AE129" s="1104"/>
      <c r="AF129" s="1104"/>
      <c r="AG129" s="1106"/>
      <c r="AH129" s="1106"/>
      <c r="AI129" s="1106"/>
      <c r="AJ129" s="1106"/>
      <c r="AK129" s="1106"/>
      <c r="AL129" s="1106"/>
      <c r="AM129" s="1106"/>
      <c r="AN129" s="1106"/>
      <c r="AO129" s="1106"/>
      <c r="AP129" s="1106"/>
      <c r="AQ129" s="1106"/>
      <c r="AR129" s="1106"/>
      <c r="AS129" s="1106"/>
      <c r="AT129" s="1106"/>
      <c r="AU129" s="1106"/>
      <c r="AV129" s="1106"/>
      <c r="AW129" s="1106"/>
      <c r="AX129" s="1106"/>
    </row>
    <row r="130">
      <c r="T130" s="1102"/>
      <c r="U130" s="1104"/>
      <c r="V130" s="1104"/>
      <c r="W130" s="1104"/>
      <c r="X130" s="1104"/>
      <c r="Y130" s="1104"/>
      <c r="Z130" s="1104"/>
      <c r="AA130" s="1104"/>
      <c r="AB130" s="1104"/>
      <c r="AC130" s="1104"/>
      <c r="AD130" s="1104"/>
      <c r="AE130" s="1104"/>
      <c r="AF130" s="1104"/>
      <c r="AG130" s="1106"/>
      <c r="AH130" s="1106"/>
      <c r="AI130" s="1106"/>
      <c r="AJ130" s="1106"/>
      <c r="AK130" s="1106"/>
      <c r="AL130" s="1106"/>
      <c r="AM130" s="1106"/>
      <c r="AN130" s="1106"/>
      <c r="AO130" s="1106"/>
      <c r="AP130" s="1106"/>
      <c r="AQ130" s="1106"/>
      <c r="AR130" s="1106"/>
      <c r="AS130" s="1106"/>
      <c r="AT130" s="1106"/>
      <c r="AU130" s="1106"/>
      <c r="AV130" s="1106"/>
      <c r="AW130" s="1106"/>
      <c r="AX130" s="1106"/>
    </row>
    <row r="131">
      <c r="T131" s="1102"/>
      <c r="U131" s="1104"/>
      <c r="V131" s="1104"/>
      <c r="W131" s="1104"/>
      <c r="X131" s="1104"/>
      <c r="Y131" s="1104"/>
      <c r="Z131" s="1104"/>
      <c r="AA131" s="1104"/>
      <c r="AB131" s="1104"/>
      <c r="AC131" s="1104"/>
      <c r="AD131" s="1104"/>
      <c r="AE131" s="1104"/>
      <c r="AF131" s="1104"/>
      <c r="AG131" s="1106"/>
      <c r="AH131" s="1106"/>
      <c r="AI131" s="1106"/>
      <c r="AJ131" s="1106"/>
      <c r="AK131" s="1106"/>
      <c r="AL131" s="1106"/>
      <c r="AM131" s="1106"/>
      <c r="AN131" s="1106"/>
      <c r="AO131" s="1106"/>
      <c r="AP131" s="1106"/>
      <c r="AQ131" s="1106"/>
      <c r="AR131" s="1106"/>
      <c r="AS131" s="1106"/>
      <c r="AT131" s="1106"/>
      <c r="AU131" s="1106"/>
      <c r="AV131" s="1106"/>
      <c r="AW131" s="1106"/>
      <c r="AX131" s="1106"/>
    </row>
    <row r="132">
      <c r="T132" s="1102"/>
      <c r="U132" s="1104"/>
      <c r="V132" s="1104"/>
      <c r="W132" s="1104"/>
      <c r="X132" s="1104"/>
      <c r="Y132" s="1104"/>
      <c r="Z132" s="1104"/>
      <c r="AA132" s="1104"/>
      <c r="AB132" s="1104"/>
      <c r="AC132" s="1104"/>
      <c r="AD132" s="1104"/>
      <c r="AE132" s="1104"/>
      <c r="AF132" s="1104"/>
      <c r="AG132" s="1106"/>
      <c r="AH132" s="1106"/>
      <c r="AI132" s="1106"/>
      <c r="AJ132" s="1106"/>
      <c r="AK132" s="1106"/>
      <c r="AL132" s="1106"/>
      <c r="AM132" s="1106"/>
      <c r="AN132" s="1106"/>
      <c r="AO132" s="1106"/>
      <c r="AP132" s="1106"/>
      <c r="AQ132" s="1106"/>
      <c r="AR132" s="1106"/>
      <c r="AS132" s="1106"/>
      <c r="AT132" s="1106"/>
      <c r="AU132" s="1106"/>
      <c r="AV132" s="1106"/>
      <c r="AW132" s="1106"/>
      <c r="AX132" s="1106"/>
    </row>
    <row r="133">
      <c r="T133" s="1102"/>
      <c r="U133" s="1104"/>
      <c r="V133" s="1104"/>
      <c r="W133" s="1104"/>
      <c r="X133" s="1104"/>
      <c r="Y133" s="1104"/>
      <c r="Z133" s="1104"/>
      <c r="AA133" s="1104"/>
      <c r="AB133" s="1104"/>
      <c r="AC133" s="1104"/>
      <c r="AD133" s="1104"/>
      <c r="AE133" s="1104"/>
      <c r="AF133" s="1104"/>
      <c r="AG133" s="1106"/>
      <c r="AH133" s="1106"/>
      <c r="AI133" s="1106"/>
      <c r="AJ133" s="1106"/>
      <c r="AK133" s="1106"/>
      <c r="AL133" s="1106"/>
      <c r="AM133" s="1106"/>
      <c r="AN133" s="1106"/>
      <c r="AO133" s="1106"/>
      <c r="AP133" s="1106"/>
      <c r="AQ133" s="1106"/>
      <c r="AR133" s="1106"/>
      <c r="AS133" s="1106"/>
      <c r="AT133" s="1106"/>
      <c r="AU133" s="1106"/>
      <c r="AV133" s="1106"/>
      <c r="AW133" s="1106"/>
      <c r="AX133" s="1106"/>
    </row>
    <row r="134">
      <c r="T134" s="1102"/>
      <c r="U134" s="1104"/>
      <c r="V134" s="1104"/>
      <c r="W134" s="1104"/>
      <c r="X134" s="1104"/>
      <c r="Y134" s="1104"/>
      <c r="Z134" s="1104"/>
      <c r="AA134" s="1104"/>
      <c r="AB134" s="1104"/>
      <c r="AC134" s="1104"/>
      <c r="AD134" s="1104"/>
      <c r="AE134" s="1104"/>
      <c r="AF134" s="1104"/>
      <c r="AG134" s="1106"/>
      <c r="AH134" s="1106"/>
      <c r="AI134" s="1106"/>
      <c r="AJ134" s="1106"/>
      <c r="AK134" s="1106"/>
      <c r="AL134" s="1106"/>
      <c r="AM134" s="1106"/>
      <c r="AN134" s="1106"/>
      <c r="AO134" s="1106"/>
      <c r="AP134" s="1106"/>
      <c r="AQ134" s="1106"/>
      <c r="AR134" s="1106"/>
      <c r="AS134" s="1106"/>
      <c r="AT134" s="1106"/>
      <c r="AU134" s="1106"/>
      <c r="AV134" s="1106"/>
      <c r="AW134" s="1106"/>
      <c r="AX134" s="1106"/>
    </row>
    <row r="135">
      <c r="T135" s="1102"/>
      <c r="U135" s="1104"/>
      <c r="V135" s="1104"/>
      <c r="W135" s="1104"/>
      <c r="X135" s="1104"/>
      <c r="Y135" s="1104"/>
      <c r="Z135" s="1104"/>
      <c r="AA135" s="1104"/>
      <c r="AB135" s="1104"/>
      <c r="AC135" s="1104"/>
      <c r="AD135" s="1104"/>
      <c r="AE135" s="1104"/>
      <c r="AF135" s="1104"/>
      <c r="AG135" s="1106"/>
      <c r="AH135" s="1106"/>
      <c r="AI135" s="1106"/>
      <c r="AJ135" s="1106"/>
      <c r="AK135" s="1106"/>
      <c r="AL135" s="1106"/>
      <c r="AM135" s="1106"/>
      <c r="AN135" s="1106"/>
      <c r="AO135" s="1106"/>
      <c r="AP135" s="1106"/>
      <c r="AQ135" s="1106"/>
      <c r="AR135" s="1106"/>
      <c r="AS135" s="1106"/>
      <c r="AT135" s="1106"/>
      <c r="AU135" s="1106"/>
      <c r="AV135" s="1106"/>
      <c r="AW135" s="1106"/>
      <c r="AX135" s="1106"/>
    </row>
    <row r="136">
      <c r="T136" s="1102"/>
      <c r="U136" s="1104"/>
      <c r="V136" s="1104"/>
      <c r="W136" s="1104"/>
      <c r="X136" s="1104"/>
      <c r="Y136" s="1104"/>
      <c r="Z136" s="1104"/>
      <c r="AA136" s="1104"/>
      <c r="AB136" s="1104"/>
      <c r="AC136" s="1104"/>
      <c r="AD136" s="1104"/>
      <c r="AE136" s="1104"/>
      <c r="AF136" s="1104"/>
      <c r="AG136" s="1106"/>
      <c r="AH136" s="1106"/>
      <c r="AI136" s="1106"/>
      <c r="AJ136" s="1106"/>
      <c r="AK136" s="1106"/>
      <c r="AL136" s="1106"/>
      <c r="AM136" s="1106"/>
      <c r="AN136" s="1106"/>
      <c r="AO136" s="1106"/>
      <c r="AP136" s="1106"/>
      <c r="AQ136" s="1106"/>
      <c r="AR136" s="1106"/>
      <c r="AS136" s="1106"/>
      <c r="AT136" s="1106"/>
      <c r="AU136" s="1106"/>
      <c r="AV136" s="1106"/>
      <c r="AW136" s="1106"/>
      <c r="AX136" s="1106"/>
    </row>
    <row r="137">
      <c r="T137" s="1102"/>
      <c r="U137" s="1104"/>
      <c r="V137" s="1104"/>
      <c r="W137" s="1104"/>
      <c r="X137" s="1104"/>
      <c r="Y137" s="1104"/>
      <c r="Z137" s="1104"/>
      <c r="AA137" s="1104"/>
      <c r="AB137" s="1104"/>
      <c r="AC137" s="1104"/>
      <c r="AD137" s="1104"/>
      <c r="AE137" s="1104"/>
      <c r="AF137" s="1104"/>
      <c r="AG137" s="1106"/>
      <c r="AH137" s="1106"/>
      <c r="AI137" s="1106"/>
      <c r="AJ137" s="1106"/>
      <c r="AK137" s="1106"/>
      <c r="AL137" s="1106"/>
      <c r="AM137" s="1106"/>
      <c r="AN137" s="1106"/>
      <c r="AO137" s="1106"/>
      <c r="AP137" s="1106"/>
      <c r="AQ137" s="1106"/>
      <c r="AR137" s="1106"/>
      <c r="AS137" s="1106"/>
      <c r="AT137" s="1106"/>
      <c r="AU137" s="1106"/>
      <c r="AV137" s="1106"/>
      <c r="AW137" s="1106"/>
      <c r="AX137" s="1106"/>
    </row>
    <row r="138">
      <c r="T138" s="1102"/>
      <c r="U138" s="1104"/>
      <c r="V138" s="1104"/>
      <c r="W138" s="1104"/>
      <c r="X138" s="1104"/>
      <c r="Y138" s="1104"/>
      <c r="Z138" s="1104"/>
      <c r="AA138" s="1104"/>
      <c r="AB138" s="1104"/>
      <c r="AC138" s="1104"/>
      <c r="AD138" s="1104"/>
      <c r="AE138" s="1104"/>
      <c r="AF138" s="1104"/>
      <c r="AG138" s="1106"/>
      <c r="AH138" s="1106"/>
      <c r="AI138" s="1106"/>
      <c r="AJ138" s="1106"/>
      <c r="AK138" s="1106"/>
      <c r="AL138" s="1106"/>
      <c r="AM138" s="1106"/>
      <c r="AN138" s="1106"/>
      <c r="AO138" s="1106"/>
      <c r="AP138" s="1106"/>
      <c r="AQ138" s="1106"/>
      <c r="AR138" s="1106"/>
      <c r="AS138" s="1106"/>
      <c r="AT138" s="1106"/>
      <c r="AU138" s="1106"/>
      <c r="AV138" s="1106"/>
      <c r="AW138" s="1106"/>
      <c r="AX138" s="1106"/>
    </row>
    <row r="139">
      <c r="T139" s="1102"/>
      <c r="U139" s="1104"/>
      <c r="V139" s="1104"/>
      <c r="W139" s="1104"/>
      <c r="X139" s="1104"/>
      <c r="Y139" s="1104"/>
      <c r="Z139" s="1104"/>
      <c r="AA139" s="1104"/>
      <c r="AB139" s="1104"/>
      <c r="AC139" s="1104"/>
      <c r="AD139" s="1104"/>
      <c r="AE139" s="1104"/>
      <c r="AF139" s="1104"/>
      <c r="AG139" s="1106"/>
      <c r="AH139" s="1106"/>
      <c r="AI139" s="1106"/>
      <c r="AJ139" s="1106"/>
      <c r="AK139" s="1106"/>
      <c r="AL139" s="1106"/>
      <c r="AM139" s="1106"/>
      <c r="AN139" s="1106"/>
      <c r="AO139" s="1106"/>
      <c r="AP139" s="1106"/>
      <c r="AQ139" s="1106"/>
      <c r="AR139" s="1106"/>
      <c r="AS139" s="1106"/>
      <c r="AT139" s="1106"/>
      <c r="AU139" s="1106"/>
      <c r="AV139" s="1106"/>
      <c r="AW139" s="1106"/>
      <c r="AX139" s="1106"/>
    </row>
    <row r="140">
      <c r="T140" s="1102"/>
      <c r="U140" s="1104"/>
      <c r="V140" s="1104"/>
      <c r="W140" s="1104"/>
      <c r="X140" s="1104"/>
      <c r="Y140" s="1104"/>
      <c r="Z140" s="1104"/>
      <c r="AA140" s="1104"/>
      <c r="AB140" s="1104"/>
      <c r="AC140" s="1104"/>
      <c r="AD140" s="1104"/>
      <c r="AE140" s="1104"/>
      <c r="AF140" s="1104"/>
      <c r="AG140" s="1106"/>
      <c r="AH140" s="1106"/>
      <c r="AI140" s="1106"/>
      <c r="AJ140" s="1106"/>
      <c r="AK140" s="1106"/>
      <c r="AL140" s="1106"/>
      <c r="AM140" s="1106"/>
      <c r="AN140" s="1106"/>
      <c r="AO140" s="1106"/>
      <c r="AP140" s="1106"/>
      <c r="AQ140" s="1106"/>
      <c r="AR140" s="1106"/>
      <c r="AS140" s="1106"/>
      <c r="AT140" s="1106"/>
      <c r="AU140" s="1106"/>
      <c r="AV140" s="1106"/>
      <c r="AW140" s="1106"/>
      <c r="AX140" s="1106"/>
    </row>
    <row r="141">
      <c r="T141" s="1102"/>
      <c r="U141" s="1104"/>
      <c r="V141" s="1104"/>
      <c r="W141" s="1104"/>
      <c r="X141" s="1104"/>
      <c r="Y141" s="1104"/>
      <c r="Z141" s="1104"/>
      <c r="AA141" s="1104"/>
      <c r="AB141" s="1104"/>
      <c r="AC141" s="1104"/>
      <c r="AD141" s="1104"/>
      <c r="AE141" s="1104"/>
      <c r="AF141" s="1104"/>
      <c r="AG141" s="1106"/>
      <c r="AH141" s="1106"/>
      <c r="AI141" s="1106"/>
      <c r="AJ141" s="1106"/>
      <c r="AK141" s="1106"/>
      <c r="AL141" s="1106"/>
      <c r="AM141" s="1106"/>
      <c r="AN141" s="1106"/>
      <c r="AO141" s="1106"/>
      <c r="AP141" s="1106"/>
      <c r="AQ141" s="1106"/>
      <c r="AR141" s="1106"/>
      <c r="AS141" s="1106"/>
      <c r="AT141" s="1106"/>
      <c r="AU141" s="1106"/>
      <c r="AV141" s="1106"/>
      <c r="AW141" s="1106"/>
      <c r="AX141" s="1106"/>
    </row>
    <row r="142">
      <c r="T142" s="1102"/>
      <c r="U142" s="1104"/>
      <c r="V142" s="1104"/>
      <c r="W142" s="1104"/>
      <c r="X142" s="1104"/>
      <c r="Y142" s="1104"/>
      <c r="Z142" s="1104"/>
      <c r="AA142" s="1104"/>
      <c r="AB142" s="1104"/>
      <c r="AC142" s="1104"/>
      <c r="AD142" s="1104"/>
      <c r="AE142" s="1104"/>
      <c r="AF142" s="1104"/>
      <c r="AG142" s="1106"/>
      <c r="AH142" s="1106"/>
      <c r="AI142" s="1106"/>
      <c r="AJ142" s="1106"/>
      <c r="AK142" s="1106"/>
      <c r="AL142" s="1106"/>
      <c r="AM142" s="1106"/>
      <c r="AN142" s="1106"/>
      <c r="AO142" s="1106"/>
      <c r="AP142" s="1106"/>
      <c r="AQ142" s="1106"/>
      <c r="AR142" s="1106"/>
      <c r="AS142" s="1106"/>
      <c r="AT142" s="1106"/>
      <c r="AU142" s="1106"/>
      <c r="AV142" s="1106"/>
      <c r="AW142" s="1106"/>
      <c r="AX142" s="1106"/>
    </row>
    <row r="143">
      <c r="T143" s="1102"/>
      <c r="U143" s="1104"/>
      <c r="V143" s="1104"/>
      <c r="W143" s="1104"/>
      <c r="X143" s="1104"/>
      <c r="Y143" s="1104"/>
      <c r="Z143" s="1104"/>
      <c r="AA143" s="1104"/>
      <c r="AB143" s="1104"/>
      <c r="AC143" s="1104"/>
      <c r="AD143" s="1104"/>
      <c r="AE143" s="1104"/>
      <c r="AF143" s="1104"/>
      <c r="AG143" s="1106"/>
      <c r="AH143" s="1106"/>
      <c r="AI143" s="1106"/>
      <c r="AJ143" s="1106"/>
      <c r="AK143" s="1106"/>
      <c r="AL143" s="1106"/>
      <c r="AM143" s="1106"/>
      <c r="AN143" s="1106"/>
      <c r="AO143" s="1106"/>
      <c r="AP143" s="1106"/>
      <c r="AQ143" s="1106"/>
      <c r="AR143" s="1106"/>
      <c r="AS143" s="1106"/>
      <c r="AT143" s="1106"/>
      <c r="AU143" s="1106"/>
      <c r="AV143" s="1106"/>
      <c r="AW143" s="1106"/>
      <c r="AX143" s="1106"/>
    </row>
    <row r="144">
      <c r="T144" s="1102"/>
      <c r="U144" s="1104"/>
      <c r="V144" s="1104"/>
      <c r="W144" s="1104"/>
      <c r="X144" s="1104"/>
      <c r="Y144" s="1104"/>
      <c r="Z144" s="1104"/>
      <c r="AA144" s="1104"/>
      <c r="AB144" s="1104"/>
      <c r="AC144" s="1104"/>
      <c r="AD144" s="1104"/>
      <c r="AE144" s="1104"/>
      <c r="AF144" s="1104"/>
      <c r="AG144" s="1106"/>
      <c r="AH144" s="1106"/>
      <c r="AI144" s="1106"/>
      <c r="AJ144" s="1106"/>
      <c r="AK144" s="1106"/>
      <c r="AL144" s="1106"/>
      <c r="AM144" s="1106"/>
      <c r="AN144" s="1106"/>
      <c r="AO144" s="1106"/>
      <c r="AP144" s="1106"/>
      <c r="AQ144" s="1106"/>
      <c r="AR144" s="1106"/>
      <c r="AS144" s="1106"/>
      <c r="AT144" s="1106"/>
      <c r="AU144" s="1106"/>
      <c r="AV144" s="1106"/>
      <c r="AW144" s="1106"/>
      <c r="AX144" s="1106"/>
    </row>
    <row r="145">
      <c r="T145" s="1102"/>
      <c r="U145" s="1104"/>
      <c r="V145" s="1104"/>
      <c r="W145" s="1104"/>
      <c r="X145" s="1104"/>
      <c r="Y145" s="1104"/>
      <c r="Z145" s="1104"/>
      <c r="AA145" s="1104"/>
      <c r="AB145" s="1104"/>
      <c r="AC145" s="1104"/>
      <c r="AD145" s="1104"/>
      <c r="AE145" s="1104"/>
      <c r="AF145" s="1104"/>
      <c r="AG145" s="1106"/>
      <c r="AH145" s="1106"/>
      <c r="AI145" s="1106"/>
      <c r="AJ145" s="1106"/>
      <c r="AK145" s="1106"/>
      <c r="AL145" s="1106"/>
      <c r="AM145" s="1106"/>
      <c r="AN145" s="1106"/>
      <c r="AO145" s="1106"/>
      <c r="AP145" s="1106"/>
      <c r="AQ145" s="1106"/>
      <c r="AR145" s="1106"/>
      <c r="AS145" s="1106"/>
      <c r="AT145" s="1106"/>
      <c r="AU145" s="1106"/>
      <c r="AV145" s="1106"/>
      <c r="AW145" s="1106"/>
      <c r="AX145" s="1106"/>
    </row>
    <row r="146">
      <c r="T146" s="1102"/>
      <c r="U146" s="1104"/>
      <c r="V146" s="1104"/>
      <c r="W146" s="1104"/>
      <c r="X146" s="1104"/>
      <c r="Y146" s="1104"/>
      <c r="Z146" s="1104"/>
      <c r="AA146" s="1104"/>
      <c r="AB146" s="1104"/>
      <c r="AC146" s="1104"/>
      <c r="AD146" s="1104"/>
      <c r="AE146" s="1104"/>
      <c r="AF146" s="1104"/>
      <c r="AG146" s="1106"/>
      <c r="AH146" s="1106"/>
      <c r="AI146" s="1106"/>
      <c r="AJ146" s="1106"/>
      <c r="AK146" s="1106"/>
      <c r="AL146" s="1106"/>
      <c r="AM146" s="1106"/>
      <c r="AN146" s="1106"/>
      <c r="AO146" s="1106"/>
      <c r="AP146" s="1106"/>
      <c r="AQ146" s="1106"/>
      <c r="AR146" s="1106"/>
      <c r="AS146" s="1106"/>
      <c r="AT146" s="1106"/>
      <c r="AU146" s="1106"/>
      <c r="AV146" s="1106"/>
      <c r="AW146" s="1106"/>
      <c r="AX146" s="1106"/>
    </row>
    <row r="147">
      <c r="T147" s="1102"/>
      <c r="U147" s="1104"/>
      <c r="V147" s="1104"/>
      <c r="W147" s="1104"/>
      <c r="X147" s="1104"/>
      <c r="Y147" s="1104"/>
      <c r="Z147" s="1104"/>
      <c r="AA147" s="1104"/>
      <c r="AB147" s="1104"/>
      <c r="AC147" s="1104"/>
      <c r="AD147" s="1104"/>
      <c r="AE147" s="1104"/>
      <c r="AF147" s="1104"/>
      <c r="AG147" s="1106"/>
      <c r="AH147" s="1106"/>
      <c r="AI147" s="1106"/>
      <c r="AJ147" s="1106"/>
      <c r="AK147" s="1106"/>
      <c r="AL147" s="1106"/>
      <c r="AM147" s="1106"/>
      <c r="AN147" s="1106"/>
      <c r="AO147" s="1106"/>
      <c r="AP147" s="1106"/>
      <c r="AQ147" s="1106"/>
      <c r="AR147" s="1106"/>
      <c r="AS147" s="1106"/>
      <c r="AT147" s="1106"/>
      <c r="AU147" s="1106"/>
      <c r="AV147" s="1106"/>
      <c r="AW147" s="1106"/>
      <c r="AX147" s="1106"/>
    </row>
    <row r="148">
      <c r="T148" s="1102"/>
      <c r="U148" s="1104"/>
      <c r="V148" s="1104"/>
      <c r="W148" s="1104"/>
      <c r="X148" s="1104"/>
      <c r="Y148" s="1104"/>
      <c r="Z148" s="1104"/>
      <c r="AA148" s="1104"/>
      <c r="AB148" s="1104"/>
      <c r="AC148" s="1104"/>
      <c r="AD148" s="1104"/>
      <c r="AE148" s="1104"/>
      <c r="AF148" s="1104"/>
      <c r="AG148" s="1106"/>
      <c r="AH148" s="1106"/>
      <c r="AI148" s="1106"/>
      <c r="AJ148" s="1106"/>
      <c r="AK148" s="1106"/>
      <c r="AL148" s="1106"/>
      <c r="AM148" s="1106"/>
      <c r="AN148" s="1106"/>
      <c r="AO148" s="1106"/>
      <c r="AP148" s="1106"/>
      <c r="AQ148" s="1106"/>
      <c r="AR148" s="1106"/>
      <c r="AS148" s="1106"/>
      <c r="AT148" s="1106"/>
      <c r="AU148" s="1106"/>
      <c r="AV148" s="1106"/>
      <c r="AW148" s="1106"/>
      <c r="AX148" s="1106"/>
    </row>
    <row r="149">
      <c r="T149" s="1102"/>
      <c r="U149" s="1104"/>
      <c r="V149" s="1104"/>
      <c r="W149" s="1104"/>
      <c r="X149" s="1104"/>
      <c r="Y149" s="1104"/>
      <c r="Z149" s="1104"/>
      <c r="AA149" s="1104"/>
      <c r="AB149" s="1104"/>
      <c r="AC149" s="1104"/>
      <c r="AD149" s="1104"/>
      <c r="AE149" s="1104"/>
      <c r="AF149" s="1104"/>
      <c r="AG149" s="1106"/>
      <c r="AH149" s="1106"/>
      <c r="AI149" s="1106"/>
      <c r="AJ149" s="1106"/>
      <c r="AK149" s="1106"/>
      <c r="AL149" s="1106"/>
      <c r="AM149" s="1106"/>
      <c r="AN149" s="1106"/>
      <c r="AO149" s="1106"/>
      <c r="AP149" s="1106"/>
      <c r="AQ149" s="1106"/>
      <c r="AR149" s="1106"/>
      <c r="AS149" s="1106"/>
      <c r="AT149" s="1106"/>
      <c r="AU149" s="1106"/>
      <c r="AV149" s="1106"/>
      <c r="AW149" s="1106"/>
      <c r="AX149" s="1106"/>
    </row>
    <row r="150">
      <c r="T150" s="1102"/>
      <c r="U150" s="1104"/>
      <c r="V150" s="1104"/>
      <c r="W150" s="1104"/>
      <c r="X150" s="1104"/>
      <c r="Y150" s="1104"/>
      <c r="Z150" s="1104"/>
      <c r="AA150" s="1104"/>
      <c r="AB150" s="1104"/>
      <c r="AC150" s="1104"/>
      <c r="AD150" s="1104"/>
      <c r="AE150" s="1104"/>
      <c r="AF150" s="1104"/>
      <c r="AG150" s="1106"/>
      <c r="AH150" s="1106"/>
      <c r="AI150" s="1106"/>
      <c r="AJ150" s="1106"/>
      <c r="AK150" s="1106"/>
      <c r="AL150" s="1106"/>
      <c r="AM150" s="1106"/>
      <c r="AN150" s="1106"/>
      <c r="AO150" s="1106"/>
      <c r="AP150" s="1106"/>
      <c r="AQ150" s="1106"/>
      <c r="AR150" s="1106"/>
      <c r="AS150" s="1106"/>
      <c r="AT150" s="1106"/>
      <c r="AU150" s="1106"/>
      <c r="AV150" s="1106"/>
      <c r="AW150" s="1106"/>
      <c r="AX150" s="1106"/>
    </row>
    <row r="151">
      <c r="T151" s="1102"/>
      <c r="U151" s="1104"/>
      <c r="V151" s="1104"/>
      <c r="W151" s="1104"/>
      <c r="X151" s="1104"/>
      <c r="Y151" s="1104"/>
      <c r="Z151" s="1104"/>
      <c r="AA151" s="1104"/>
      <c r="AB151" s="1104"/>
      <c r="AC151" s="1104"/>
      <c r="AD151" s="1104"/>
      <c r="AE151" s="1104"/>
      <c r="AF151" s="1104"/>
      <c r="AG151" s="1106"/>
      <c r="AH151" s="1106"/>
      <c r="AI151" s="1106"/>
      <c r="AJ151" s="1106"/>
      <c r="AK151" s="1106"/>
      <c r="AL151" s="1106"/>
      <c r="AM151" s="1106"/>
      <c r="AN151" s="1106"/>
      <c r="AO151" s="1106"/>
      <c r="AP151" s="1106"/>
      <c r="AQ151" s="1106"/>
      <c r="AR151" s="1106"/>
      <c r="AS151" s="1106"/>
      <c r="AT151" s="1106"/>
      <c r="AU151" s="1106"/>
      <c r="AV151" s="1106"/>
      <c r="AW151" s="1106"/>
      <c r="AX151" s="1106"/>
    </row>
    <row r="152">
      <c r="T152" s="1102"/>
      <c r="U152" s="1104"/>
      <c r="V152" s="1104"/>
      <c r="W152" s="1104"/>
      <c r="X152" s="1104"/>
      <c r="Y152" s="1104"/>
      <c r="Z152" s="1104"/>
      <c r="AA152" s="1104"/>
      <c r="AB152" s="1104"/>
      <c r="AC152" s="1104"/>
      <c r="AD152" s="1104"/>
      <c r="AE152" s="1104"/>
      <c r="AF152" s="1104"/>
      <c r="AG152" s="1106"/>
      <c r="AH152" s="1106"/>
      <c r="AI152" s="1106"/>
      <c r="AJ152" s="1106"/>
      <c r="AK152" s="1106"/>
      <c r="AL152" s="1106"/>
      <c r="AM152" s="1106"/>
      <c r="AN152" s="1106"/>
      <c r="AO152" s="1106"/>
      <c r="AP152" s="1106"/>
      <c r="AQ152" s="1106"/>
      <c r="AR152" s="1106"/>
      <c r="AS152" s="1106"/>
      <c r="AT152" s="1106"/>
      <c r="AU152" s="1106"/>
      <c r="AV152" s="1106"/>
      <c r="AW152" s="1106"/>
      <c r="AX152" s="1106"/>
    </row>
    <row r="153">
      <c r="T153" s="1102"/>
      <c r="U153" s="1104"/>
      <c r="V153" s="1104"/>
      <c r="W153" s="1104"/>
      <c r="X153" s="1104"/>
      <c r="Y153" s="1104"/>
      <c r="Z153" s="1104"/>
      <c r="AA153" s="1104"/>
      <c r="AB153" s="1104"/>
      <c r="AC153" s="1104"/>
      <c r="AD153" s="1104"/>
      <c r="AE153" s="1104"/>
      <c r="AF153" s="1104"/>
      <c r="AG153" s="1106"/>
      <c r="AH153" s="1106"/>
      <c r="AI153" s="1106"/>
      <c r="AJ153" s="1106"/>
      <c r="AK153" s="1106"/>
      <c r="AL153" s="1106"/>
      <c r="AM153" s="1106"/>
      <c r="AN153" s="1106"/>
      <c r="AO153" s="1106"/>
      <c r="AP153" s="1106"/>
      <c r="AQ153" s="1106"/>
      <c r="AR153" s="1106"/>
      <c r="AS153" s="1106"/>
      <c r="AT153" s="1106"/>
      <c r="AU153" s="1106"/>
      <c r="AV153" s="1106"/>
      <c r="AW153" s="1106"/>
      <c r="AX153" s="1106"/>
    </row>
    <row r="154">
      <c r="T154" s="1102"/>
      <c r="U154" s="1104"/>
      <c r="V154" s="1104"/>
      <c r="W154" s="1104"/>
      <c r="X154" s="1104"/>
      <c r="Y154" s="1104"/>
      <c r="Z154" s="1104"/>
      <c r="AA154" s="1104"/>
      <c r="AB154" s="1104"/>
      <c r="AC154" s="1104"/>
      <c r="AD154" s="1104"/>
      <c r="AE154" s="1104"/>
      <c r="AF154" s="1104"/>
      <c r="AG154" s="1106"/>
      <c r="AH154" s="1106"/>
      <c r="AI154" s="1106"/>
      <c r="AJ154" s="1106"/>
      <c r="AK154" s="1106"/>
      <c r="AL154" s="1106"/>
      <c r="AM154" s="1106"/>
      <c r="AN154" s="1106"/>
      <c r="AO154" s="1106"/>
      <c r="AP154" s="1106"/>
      <c r="AQ154" s="1106"/>
      <c r="AR154" s="1106"/>
      <c r="AS154" s="1106"/>
      <c r="AT154" s="1106"/>
      <c r="AU154" s="1106"/>
      <c r="AV154" s="1106"/>
      <c r="AW154" s="1106"/>
      <c r="AX154" s="1106"/>
    </row>
    <row r="155">
      <c r="T155" s="1102"/>
      <c r="U155" s="1104"/>
      <c r="V155" s="1104"/>
      <c r="W155" s="1104"/>
      <c r="X155" s="1104"/>
      <c r="Y155" s="1104"/>
      <c r="Z155" s="1104"/>
      <c r="AA155" s="1104"/>
      <c r="AB155" s="1104"/>
      <c r="AC155" s="1104"/>
      <c r="AD155" s="1104"/>
      <c r="AE155" s="1104"/>
      <c r="AF155" s="1104"/>
      <c r="AG155" s="1106"/>
      <c r="AH155" s="1106"/>
      <c r="AI155" s="1106"/>
      <c r="AJ155" s="1106"/>
      <c r="AK155" s="1106"/>
      <c r="AL155" s="1106"/>
      <c r="AM155" s="1106"/>
      <c r="AN155" s="1106"/>
      <c r="AO155" s="1106"/>
      <c r="AP155" s="1106"/>
      <c r="AQ155" s="1106"/>
      <c r="AR155" s="1106"/>
      <c r="AS155" s="1106"/>
      <c r="AT155" s="1106"/>
      <c r="AU155" s="1106"/>
      <c r="AV155" s="1106"/>
      <c r="AW155" s="1106"/>
      <c r="AX155" s="1106"/>
    </row>
    <row r="156">
      <c r="T156" s="1102"/>
      <c r="U156" s="1104"/>
      <c r="V156" s="1104"/>
      <c r="W156" s="1104"/>
      <c r="X156" s="1104"/>
      <c r="Y156" s="1104"/>
      <c r="Z156" s="1104"/>
      <c r="AA156" s="1104"/>
      <c r="AB156" s="1104"/>
      <c r="AC156" s="1104"/>
      <c r="AD156" s="1104"/>
      <c r="AE156" s="1104"/>
      <c r="AF156" s="1104"/>
      <c r="AG156" s="1106"/>
      <c r="AH156" s="1106"/>
      <c r="AI156" s="1106"/>
      <c r="AJ156" s="1106"/>
      <c r="AK156" s="1106"/>
      <c r="AL156" s="1106"/>
      <c r="AM156" s="1106"/>
      <c r="AN156" s="1106"/>
      <c r="AO156" s="1106"/>
      <c r="AP156" s="1106"/>
      <c r="AQ156" s="1106"/>
      <c r="AR156" s="1106"/>
      <c r="AS156" s="1106"/>
      <c r="AT156" s="1106"/>
      <c r="AU156" s="1106"/>
      <c r="AV156" s="1106"/>
      <c r="AW156" s="1106"/>
      <c r="AX156" s="1106"/>
    </row>
    <row r="157">
      <c r="T157" s="1102"/>
      <c r="U157" s="1104"/>
      <c r="V157" s="1104"/>
      <c r="W157" s="1104"/>
      <c r="X157" s="1104"/>
      <c r="Y157" s="1104"/>
      <c r="Z157" s="1104"/>
      <c r="AA157" s="1104"/>
      <c r="AB157" s="1104"/>
      <c r="AC157" s="1104"/>
      <c r="AD157" s="1104"/>
      <c r="AE157" s="1104"/>
      <c r="AF157" s="1104"/>
      <c r="AG157" s="1106"/>
      <c r="AH157" s="1106"/>
      <c r="AI157" s="1106"/>
      <c r="AJ157" s="1106"/>
      <c r="AK157" s="1106"/>
      <c r="AL157" s="1106"/>
      <c r="AM157" s="1106"/>
      <c r="AN157" s="1106"/>
      <c r="AO157" s="1106"/>
      <c r="AP157" s="1106"/>
      <c r="AQ157" s="1106"/>
      <c r="AR157" s="1106"/>
      <c r="AS157" s="1106"/>
      <c r="AT157" s="1106"/>
      <c r="AU157" s="1106"/>
      <c r="AV157" s="1106"/>
      <c r="AW157" s="1106"/>
      <c r="AX157" s="1106"/>
    </row>
    <row r="158">
      <c r="T158" s="1102"/>
      <c r="U158" s="1104"/>
      <c r="V158" s="1104"/>
      <c r="W158" s="1104"/>
      <c r="X158" s="1104"/>
      <c r="Y158" s="1104"/>
      <c r="Z158" s="1104"/>
      <c r="AA158" s="1104"/>
      <c r="AB158" s="1104"/>
      <c r="AC158" s="1104"/>
      <c r="AD158" s="1104"/>
      <c r="AE158" s="1104"/>
      <c r="AF158" s="1104"/>
      <c r="AG158" s="1106"/>
      <c r="AH158" s="1106"/>
      <c r="AI158" s="1106"/>
      <c r="AJ158" s="1106"/>
      <c r="AK158" s="1106"/>
      <c r="AL158" s="1106"/>
      <c r="AM158" s="1106"/>
      <c r="AN158" s="1106"/>
      <c r="AO158" s="1106"/>
      <c r="AP158" s="1106"/>
      <c r="AQ158" s="1106"/>
      <c r="AR158" s="1106"/>
      <c r="AS158" s="1106"/>
      <c r="AT158" s="1106"/>
      <c r="AU158" s="1106"/>
      <c r="AV158" s="1106"/>
      <c r="AW158" s="1106"/>
      <c r="AX158" s="1106"/>
    </row>
    <row r="159">
      <c r="T159" s="1102"/>
      <c r="U159" s="1104"/>
      <c r="V159" s="1104"/>
      <c r="W159" s="1104"/>
      <c r="X159" s="1104"/>
      <c r="Y159" s="1104"/>
      <c r="Z159" s="1104"/>
      <c r="AA159" s="1104"/>
      <c r="AB159" s="1104"/>
      <c r="AC159" s="1104"/>
      <c r="AD159" s="1104"/>
      <c r="AE159" s="1104"/>
      <c r="AF159" s="1104"/>
      <c r="AG159" s="1106"/>
      <c r="AH159" s="1106"/>
      <c r="AI159" s="1106"/>
      <c r="AJ159" s="1106"/>
      <c r="AK159" s="1106"/>
      <c r="AL159" s="1106"/>
      <c r="AM159" s="1106"/>
      <c r="AN159" s="1106"/>
      <c r="AO159" s="1106"/>
      <c r="AP159" s="1106"/>
      <c r="AQ159" s="1106"/>
      <c r="AR159" s="1106"/>
      <c r="AS159" s="1106"/>
      <c r="AT159" s="1106"/>
      <c r="AU159" s="1106"/>
      <c r="AV159" s="1106"/>
      <c r="AW159" s="1106"/>
      <c r="AX159" s="1106"/>
    </row>
    <row r="160">
      <c r="T160" s="1102"/>
      <c r="U160" s="1104"/>
      <c r="V160" s="1104"/>
      <c r="W160" s="1104"/>
      <c r="X160" s="1104"/>
      <c r="Y160" s="1104"/>
      <c r="Z160" s="1104"/>
      <c r="AA160" s="1104"/>
      <c r="AB160" s="1104"/>
      <c r="AC160" s="1104"/>
      <c r="AD160" s="1104"/>
      <c r="AE160" s="1104"/>
      <c r="AF160" s="1104"/>
      <c r="AG160" s="1106"/>
      <c r="AH160" s="1106"/>
      <c r="AI160" s="1106"/>
      <c r="AJ160" s="1106"/>
      <c r="AK160" s="1106"/>
      <c r="AL160" s="1106"/>
      <c r="AM160" s="1106"/>
      <c r="AN160" s="1106"/>
      <c r="AO160" s="1106"/>
      <c r="AP160" s="1106"/>
      <c r="AQ160" s="1106"/>
      <c r="AR160" s="1106"/>
      <c r="AS160" s="1106"/>
      <c r="AT160" s="1106"/>
      <c r="AU160" s="1106"/>
      <c r="AV160" s="1106"/>
      <c r="AW160" s="1106"/>
      <c r="AX160" s="1106"/>
    </row>
    <row r="161">
      <c r="T161" s="1102"/>
      <c r="U161" s="1104"/>
      <c r="V161" s="1104"/>
      <c r="W161" s="1104"/>
      <c r="X161" s="1104"/>
      <c r="Y161" s="1104"/>
      <c r="Z161" s="1104"/>
      <c r="AA161" s="1104"/>
      <c r="AB161" s="1104"/>
      <c r="AC161" s="1104"/>
      <c r="AD161" s="1104"/>
      <c r="AE161" s="1104"/>
      <c r="AF161" s="1104"/>
      <c r="AG161" s="1106"/>
      <c r="AH161" s="1106"/>
      <c r="AI161" s="1106"/>
      <c r="AJ161" s="1106"/>
      <c r="AK161" s="1106"/>
      <c r="AL161" s="1106"/>
      <c r="AM161" s="1106"/>
      <c r="AN161" s="1106"/>
      <c r="AO161" s="1106"/>
      <c r="AP161" s="1106"/>
      <c r="AQ161" s="1106"/>
      <c r="AR161" s="1106"/>
      <c r="AS161" s="1106"/>
      <c r="AT161" s="1106"/>
      <c r="AU161" s="1106"/>
      <c r="AV161" s="1106"/>
      <c r="AW161" s="1106"/>
      <c r="AX161" s="1106"/>
    </row>
    <row r="162">
      <c r="T162" s="1102"/>
      <c r="U162" s="1104"/>
      <c r="V162" s="1104"/>
      <c r="W162" s="1104"/>
      <c r="X162" s="1104"/>
      <c r="Y162" s="1104"/>
      <c r="Z162" s="1104"/>
      <c r="AA162" s="1104"/>
      <c r="AB162" s="1104"/>
      <c r="AC162" s="1104"/>
      <c r="AD162" s="1104"/>
      <c r="AE162" s="1104"/>
      <c r="AF162" s="1104"/>
      <c r="AG162" s="1106"/>
      <c r="AH162" s="1106"/>
      <c r="AI162" s="1106"/>
      <c r="AJ162" s="1106"/>
      <c r="AK162" s="1106"/>
      <c r="AL162" s="1106"/>
      <c r="AM162" s="1106"/>
      <c r="AN162" s="1106"/>
      <c r="AO162" s="1106"/>
      <c r="AP162" s="1106"/>
      <c r="AQ162" s="1106"/>
      <c r="AR162" s="1106"/>
      <c r="AS162" s="1106"/>
      <c r="AT162" s="1106"/>
      <c r="AU162" s="1106"/>
      <c r="AV162" s="1106"/>
      <c r="AW162" s="1106"/>
      <c r="AX162" s="1106"/>
    </row>
    <row r="163">
      <c r="T163" s="1102"/>
      <c r="U163" s="1104"/>
      <c r="V163" s="1104"/>
      <c r="W163" s="1104"/>
      <c r="X163" s="1104"/>
      <c r="Y163" s="1104"/>
      <c r="Z163" s="1104"/>
      <c r="AA163" s="1104"/>
      <c r="AB163" s="1104"/>
      <c r="AC163" s="1104"/>
      <c r="AD163" s="1104"/>
      <c r="AE163" s="1104"/>
      <c r="AF163" s="1104"/>
      <c r="AG163" s="1106"/>
      <c r="AH163" s="1106"/>
      <c r="AI163" s="1106"/>
      <c r="AJ163" s="1106"/>
      <c r="AK163" s="1106"/>
      <c r="AL163" s="1106"/>
      <c r="AM163" s="1106"/>
      <c r="AN163" s="1106"/>
      <c r="AO163" s="1106"/>
      <c r="AP163" s="1106"/>
      <c r="AQ163" s="1106"/>
      <c r="AR163" s="1106"/>
      <c r="AS163" s="1106"/>
      <c r="AT163" s="1106"/>
      <c r="AU163" s="1106"/>
      <c r="AV163" s="1106"/>
      <c r="AW163" s="1106"/>
      <c r="AX163" s="1106"/>
    </row>
    <row r="164">
      <c r="T164" s="1102"/>
      <c r="U164" s="1104"/>
      <c r="V164" s="1104"/>
      <c r="W164" s="1104"/>
      <c r="X164" s="1104"/>
      <c r="Y164" s="1104"/>
      <c r="Z164" s="1104"/>
      <c r="AA164" s="1104"/>
      <c r="AB164" s="1104"/>
      <c r="AC164" s="1104"/>
      <c r="AD164" s="1104"/>
      <c r="AE164" s="1104"/>
      <c r="AF164" s="1104"/>
      <c r="AG164" s="1106"/>
      <c r="AH164" s="1106"/>
      <c r="AI164" s="1106"/>
      <c r="AJ164" s="1106"/>
      <c r="AK164" s="1106"/>
      <c r="AL164" s="1106"/>
      <c r="AM164" s="1106"/>
      <c r="AN164" s="1106"/>
      <c r="AO164" s="1106"/>
      <c r="AP164" s="1106"/>
      <c r="AQ164" s="1106"/>
      <c r="AR164" s="1106"/>
      <c r="AS164" s="1106"/>
      <c r="AT164" s="1106"/>
      <c r="AU164" s="1106"/>
      <c r="AV164" s="1106"/>
      <c r="AW164" s="1106"/>
      <c r="AX164" s="1106"/>
    </row>
    <row r="165">
      <c r="T165" s="1102"/>
      <c r="U165" s="1104"/>
      <c r="V165" s="1104"/>
      <c r="W165" s="1104"/>
      <c r="X165" s="1104"/>
      <c r="Y165" s="1104"/>
      <c r="Z165" s="1104"/>
      <c r="AA165" s="1104"/>
      <c r="AB165" s="1104"/>
      <c r="AC165" s="1104"/>
      <c r="AD165" s="1104"/>
      <c r="AE165" s="1104"/>
      <c r="AF165" s="1104"/>
      <c r="AG165" s="1106"/>
      <c r="AH165" s="1106"/>
      <c r="AI165" s="1106"/>
      <c r="AJ165" s="1106"/>
      <c r="AK165" s="1106"/>
      <c r="AL165" s="1106"/>
      <c r="AM165" s="1106"/>
      <c r="AN165" s="1106"/>
      <c r="AO165" s="1106"/>
      <c r="AP165" s="1106"/>
      <c r="AQ165" s="1106"/>
      <c r="AR165" s="1106"/>
      <c r="AS165" s="1106"/>
      <c r="AT165" s="1106"/>
      <c r="AU165" s="1106"/>
      <c r="AV165" s="1106"/>
      <c r="AW165" s="1106"/>
      <c r="AX165" s="1106"/>
    </row>
    <row r="166">
      <c r="T166" s="1102"/>
      <c r="U166" s="1104"/>
      <c r="V166" s="1104"/>
      <c r="W166" s="1104"/>
      <c r="X166" s="1104"/>
      <c r="Y166" s="1104"/>
      <c r="Z166" s="1104"/>
      <c r="AA166" s="1104"/>
      <c r="AB166" s="1104"/>
      <c r="AC166" s="1104"/>
      <c r="AD166" s="1104"/>
      <c r="AE166" s="1104"/>
      <c r="AF166" s="1104"/>
      <c r="AG166" s="1106"/>
      <c r="AH166" s="1106"/>
      <c r="AI166" s="1106"/>
      <c r="AJ166" s="1106"/>
      <c r="AK166" s="1106"/>
      <c r="AL166" s="1106"/>
      <c r="AM166" s="1106"/>
      <c r="AN166" s="1106"/>
      <c r="AO166" s="1106"/>
      <c r="AP166" s="1106"/>
      <c r="AQ166" s="1106"/>
      <c r="AR166" s="1106"/>
      <c r="AS166" s="1106"/>
      <c r="AT166" s="1106"/>
      <c r="AU166" s="1106"/>
      <c r="AV166" s="1106"/>
      <c r="AW166" s="1106"/>
      <c r="AX166" s="1106"/>
    </row>
    <row r="167">
      <c r="T167" s="1102"/>
      <c r="U167" s="1104"/>
      <c r="V167" s="1104"/>
      <c r="W167" s="1104"/>
      <c r="X167" s="1104"/>
      <c r="Y167" s="1104"/>
      <c r="Z167" s="1104"/>
      <c r="AA167" s="1104"/>
      <c r="AB167" s="1104"/>
      <c r="AC167" s="1104"/>
      <c r="AD167" s="1104"/>
      <c r="AE167" s="1104"/>
      <c r="AF167" s="1104"/>
      <c r="AG167" s="1106"/>
      <c r="AH167" s="1106"/>
      <c r="AI167" s="1106"/>
      <c r="AJ167" s="1106"/>
      <c r="AK167" s="1106"/>
      <c r="AL167" s="1106"/>
      <c r="AM167" s="1106"/>
      <c r="AN167" s="1106"/>
      <c r="AO167" s="1106"/>
      <c r="AP167" s="1106"/>
      <c r="AQ167" s="1106"/>
      <c r="AR167" s="1106"/>
      <c r="AS167" s="1106"/>
      <c r="AT167" s="1106"/>
      <c r="AU167" s="1106"/>
      <c r="AV167" s="1106"/>
      <c r="AW167" s="1106"/>
      <c r="AX167" s="1106"/>
    </row>
    <row r="168">
      <c r="T168" s="1102"/>
      <c r="U168" s="1104"/>
      <c r="V168" s="1104"/>
      <c r="W168" s="1104"/>
      <c r="X168" s="1104"/>
      <c r="Y168" s="1104"/>
      <c r="Z168" s="1104"/>
      <c r="AA168" s="1104"/>
      <c r="AB168" s="1104"/>
      <c r="AC168" s="1104"/>
      <c r="AD168" s="1104"/>
      <c r="AE168" s="1104"/>
      <c r="AF168" s="1104"/>
      <c r="AG168" s="1106"/>
      <c r="AH168" s="1106"/>
      <c r="AI168" s="1106"/>
      <c r="AJ168" s="1106"/>
      <c r="AK168" s="1106"/>
      <c r="AL168" s="1106"/>
      <c r="AM168" s="1106"/>
      <c r="AN168" s="1106"/>
      <c r="AO168" s="1106"/>
      <c r="AP168" s="1106"/>
      <c r="AQ168" s="1106"/>
      <c r="AR168" s="1106"/>
      <c r="AS168" s="1106"/>
      <c r="AT168" s="1106"/>
      <c r="AU168" s="1106"/>
      <c r="AV168" s="1106"/>
      <c r="AW168" s="1106"/>
      <c r="AX168" s="1106"/>
    </row>
    <row r="169">
      <c r="T169" s="1102"/>
      <c r="U169" s="1104"/>
      <c r="V169" s="1104"/>
      <c r="W169" s="1104"/>
      <c r="X169" s="1104"/>
      <c r="Y169" s="1104"/>
      <c r="Z169" s="1104"/>
      <c r="AA169" s="1104"/>
      <c r="AB169" s="1104"/>
      <c r="AC169" s="1104"/>
      <c r="AD169" s="1104"/>
      <c r="AE169" s="1104"/>
      <c r="AF169" s="1104"/>
      <c r="AG169" s="1106"/>
      <c r="AH169" s="1106"/>
      <c r="AI169" s="1106"/>
      <c r="AJ169" s="1106"/>
      <c r="AK169" s="1106"/>
      <c r="AL169" s="1106"/>
      <c r="AM169" s="1106"/>
      <c r="AN169" s="1106"/>
      <c r="AO169" s="1106"/>
      <c r="AP169" s="1106"/>
      <c r="AQ169" s="1106"/>
      <c r="AR169" s="1106"/>
      <c r="AS169" s="1106"/>
      <c r="AT169" s="1106"/>
      <c r="AU169" s="1106"/>
      <c r="AV169" s="1106"/>
      <c r="AW169" s="1106"/>
      <c r="AX169" s="1106"/>
    </row>
    <row r="170">
      <c r="T170" s="1102"/>
      <c r="U170" s="1104"/>
      <c r="V170" s="1104"/>
      <c r="W170" s="1104"/>
      <c r="X170" s="1104"/>
      <c r="Y170" s="1104"/>
      <c r="Z170" s="1104"/>
      <c r="AA170" s="1104"/>
      <c r="AB170" s="1104"/>
      <c r="AC170" s="1104"/>
      <c r="AD170" s="1104"/>
      <c r="AE170" s="1104"/>
      <c r="AF170" s="1104"/>
      <c r="AG170" s="1106"/>
      <c r="AH170" s="1106"/>
      <c r="AI170" s="1106"/>
      <c r="AJ170" s="1106"/>
      <c r="AK170" s="1106"/>
      <c r="AL170" s="1106"/>
      <c r="AM170" s="1106"/>
      <c r="AN170" s="1106"/>
      <c r="AO170" s="1106"/>
      <c r="AP170" s="1106"/>
      <c r="AQ170" s="1106"/>
      <c r="AR170" s="1106"/>
      <c r="AS170" s="1106"/>
      <c r="AT170" s="1106"/>
      <c r="AU170" s="1106"/>
      <c r="AV170" s="1106"/>
      <c r="AW170" s="1106"/>
      <c r="AX170" s="1106"/>
    </row>
    <row r="171">
      <c r="T171" s="1102"/>
      <c r="U171" s="1104"/>
      <c r="V171" s="1104"/>
      <c r="W171" s="1104"/>
      <c r="X171" s="1104"/>
      <c r="Y171" s="1104"/>
      <c r="Z171" s="1104"/>
      <c r="AA171" s="1104"/>
      <c r="AB171" s="1104"/>
      <c r="AC171" s="1104"/>
      <c r="AD171" s="1104"/>
      <c r="AE171" s="1104"/>
      <c r="AF171" s="1104"/>
      <c r="AG171" s="1106"/>
      <c r="AH171" s="1106"/>
      <c r="AI171" s="1106"/>
      <c r="AJ171" s="1106"/>
      <c r="AK171" s="1106"/>
      <c r="AL171" s="1106"/>
      <c r="AM171" s="1106"/>
      <c r="AN171" s="1106"/>
      <c r="AO171" s="1106"/>
      <c r="AP171" s="1106"/>
      <c r="AQ171" s="1106"/>
      <c r="AR171" s="1106"/>
      <c r="AS171" s="1106"/>
      <c r="AT171" s="1106"/>
      <c r="AU171" s="1106"/>
      <c r="AV171" s="1106"/>
      <c r="AW171" s="1106"/>
      <c r="AX171" s="1106"/>
    </row>
    <row r="172">
      <c r="T172" s="1102"/>
      <c r="U172" s="1104"/>
      <c r="V172" s="1104"/>
      <c r="W172" s="1104"/>
      <c r="X172" s="1104"/>
      <c r="Y172" s="1104"/>
      <c r="Z172" s="1104"/>
      <c r="AA172" s="1104"/>
      <c r="AB172" s="1104"/>
      <c r="AC172" s="1104"/>
      <c r="AD172" s="1104"/>
      <c r="AE172" s="1104"/>
      <c r="AF172" s="1104"/>
      <c r="AG172" s="1106"/>
      <c r="AH172" s="1106"/>
      <c r="AI172" s="1106"/>
      <c r="AJ172" s="1106"/>
      <c r="AK172" s="1106"/>
      <c r="AL172" s="1106"/>
      <c r="AM172" s="1106"/>
      <c r="AN172" s="1106"/>
      <c r="AO172" s="1106"/>
      <c r="AP172" s="1106"/>
      <c r="AQ172" s="1106"/>
      <c r="AR172" s="1106"/>
      <c r="AS172" s="1106"/>
      <c r="AT172" s="1106"/>
      <c r="AU172" s="1106"/>
      <c r="AV172" s="1106"/>
      <c r="AW172" s="1106"/>
      <c r="AX172" s="1106"/>
    </row>
    <row r="173">
      <c r="T173" s="1102"/>
      <c r="U173" s="1104"/>
      <c r="V173" s="1104"/>
      <c r="W173" s="1104"/>
      <c r="X173" s="1104"/>
      <c r="Y173" s="1104"/>
      <c r="Z173" s="1104"/>
      <c r="AA173" s="1104"/>
      <c r="AB173" s="1104"/>
      <c r="AC173" s="1104"/>
      <c r="AD173" s="1104"/>
      <c r="AE173" s="1104"/>
      <c r="AF173" s="1104"/>
      <c r="AG173" s="1106"/>
      <c r="AH173" s="1106"/>
      <c r="AI173" s="1106"/>
      <c r="AJ173" s="1106"/>
      <c r="AK173" s="1106"/>
      <c r="AL173" s="1106"/>
      <c r="AM173" s="1106"/>
      <c r="AN173" s="1106"/>
      <c r="AO173" s="1106"/>
      <c r="AP173" s="1106"/>
      <c r="AQ173" s="1106"/>
      <c r="AR173" s="1106"/>
      <c r="AS173" s="1106"/>
      <c r="AT173" s="1106"/>
      <c r="AU173" s="1106"/>
      <c r="AV173" s="1106"/>
      <c r="AW173" s="1106"/>
      <c r="AX173" s="1106"/>
    </row>
    <row r="174">
      <c r="T174" s="1102"/>
      <c r="U174" s="1104"/>
      <c r="V174" s="1104"/>
      <c r="W174" s="1104"/>
      <c r="X174" s="1104"/>
      <c r="Y174" s="1104"/>
      <c r="Z174" s="1104"/>
      <c r="AA174" s="1104"/>
      <c r="AB174" s="1104"/>
      <c r="AC174" s="1104"/>
      <c r="AD174" s="1104"/>
      <c r="AE174" s="1104"/>
      <c r="AF174" s="1104"/>
      <c r="AG174" s="1106"/>
      <c r="AH174" s="1106"/>
      <c r="AI174" s="1106"/>
      <c r="AJ174" s="1106"/>
      <c r="AK174" s="1106"/>
      <c r="AL174" s="1106"/>
      <c r="AM174" s="1106"/>
      <c r="AN174" s="1106"/>
      <c r="AO174" s="1106"/>
      <c r="AP174" s="1106"/>
      <c r="AQ174" s="1106"/>
      <c r="AR174" s="1106"/>
      <c r="AS174" s="1106"/>
      <c r="AT174" s="1106"/>
      <c r="AU174" s="1106"/>
      <c r="AV174" s="1106"/>
      <c r="AW174" s="1106"/>
      <c r="AX174" s="1106"/>
    </row>
    <row r="175">
      <c r="T175" s="1102"/>
      <c r="U175" s="1104"/>
      <c r="V175" s="1104"/>
      <c r="W175" s="1104"/>
      <c r="X175" s="1104"/>
      <c r="Y175" s="1104"/>
      <c r="Z175" s="1104"/>
      <c r="AA175" s="1104"/>
      <c r="AB175" s="1104"/>
      <c r="AC175" s="1104"/>
      <c r="AD175" s="1104"/>
      <c r="AE175" s="1104"/>
      <c r="AF175" s="1104"/>
      <c r="AG175" s="1106"/>
      <c r="AH175" s="1106"/>
      <c r="AI175" s="1106"/>
      <c r="AJ175" s="1106"/>
      <c r="AK175" s="1106"/>
      <c r="AL175" s="1106"/>
      <c r="AM175" s="1106"/>
      <c r="AN175" s="1106"/>
      <c r="AO175" s="1106"/>
      <c r="AP175" s="1106"/>
      <c r="AQ175" s="1106"/>
      <c r="AR175" s="1106"/>
      <c r="AS175" s="1106"/>
      <c r="AT175" s="1106"/>
      <c r="AU175" s="1106"/>
      <c r="AV175" s="1106"/>
      <c r="AW175" s="1106"/>
      <c r="AX175" s="1106"/>
    </row>
    <row r="176">
      <c r="T176" s="1102"/>
      <c r="U176" s="1104"/>
      <c r="V176" s="1104"/>
      <c r="W176" s="1104"/>
      <c r="X176" s="1104"/>
      <c r="Y176" s="1104"/>
      <c r="Z176" s="1104"/>
      <c r="AA176" s="1104"/>
      <c r="AB176" s="1104"/>
      <c r="AC176" s="1104"/>
      <c r="AD176" s="1104"/>
      <c r="AE176" s="1104"/>
      <c r="AF176" s="1104"/>
      <c r="AG176" s="1106"/>
      <c r="AH176" s="1106"/>
      <c r="AI176" s="1106"/>
      <c r="AJ176" s="1106"/>
      <c r="AK176" s="1106"/>
      <c r="AL176" s="1106"/>
      <c r="AM176" s="1106"/>
      <c r="AN176" s="1106"/>
      <c r="AO176" s="1106"/>
      <c r="AP176" s="1106"/>
      <c r="AQ176" s="1106"/>
      <c r="AR176" s="1106"/>
      <c r="AS176" s="1106"/>
      <c r="AT176" s="1106"/>
      <c r="AU176" s="1106"/>
      <c r="AV176" s="1106"/>
      <c r="AW176" s="1106"/>
      <c r="AX176" s="1106"/>
    </row>
    <row r="177">
      <c r="T177" s="1102"/>
      <c r="U177" s="1104"/>
      <c r="V177" s="1104"/>
      <c r="W177" s="1104"/>
      <c r="X177" s="1104"/>
      <c r="Y177" s="1104"/>
      <c r="Z177" s="1104"/>
      <c r="AA177" s="1104"/>
      <c r="AB177" s="1104"/>
      <c r="AC177" s="1104"/>
      <c r="AD177" s="1104"/>
      <c r="AE177" s="1104"/>
      <c r="AF177" s="1104"/>
      <c r="AG177" s="1106"/>
      <c r="AH177" s="1106"/>
      <c r="AI177" s="1106"/>
      <c r="AJ177" s="1106"/>
      <c r="AK177" s="1106"/>
      <c r="AL177" s="1106"/>
      <c r="AM177" s="1106"/>
      <c r="AN177" s="1106"/>
      <c r="AO177" s="1106"/>
      <c r="AP177" s="1106"/>
      <c r="AQ177" s="1106"/>
      <c r="AR177" s="1106"/>
      <c r="AS177" s="1106"/>
      <c r="AT177" s="1106"/>
      <c r="AU177" s="1106"/>
      <c r="AV177" s="1106"/>
      <c r="AW177" s="1106"/>
      <c r="AX177" s="1106"/>
    </row>
    <row r="178">
      <c r="T178" s="1102"/>
      <c r="U178" s="1104"/>
      <c r="V178" s="1104"/>
      <c r="W178" s="1104"/>
      <c r="X178" s="1104"/>
      <c r="Y178" s="1104"/>
      <c r="Z178" s="1104"/>
      <c r="AA178" s="1104"/>
      <c r="AB178" s="1104"/>
      <c r="AC178" s="1104"/>
      <c r="AD178" s="1104"/>
      <c r="AE178" s="1104"/>
      <c r="AF178" s="1104"/>
      <c r="AG178" s="1106"/>
      <c r="AH178" s="1106"/>
      <c r="AI178" s="1106"/>
      <c r="AJ178" s="1106"/>
      <c r="AK178" s="1106"/>
      <c r="AL178" s="1106"/>
      <c r="AM178" s="1106"/>
      <c r="AN178" s="1106"/>
      <c r="AO178" s="1106"/>
      <c r="AP178" s="1106"/>
      <c r="AQ178" s="1106"/>
      <c r="AR178" s="1106"/>
      <c r="AS178" s="1106"/>
      <c r="AT178" s="1106"/>
      <c r="AU178" s="1106"/>
      <c r="AV178" s="1106"/>
      <c r="AW178" s="1106"/>
      <c r="AX178" s="1106"/>
    </row>
    <row r="179">
      <c r="T179" s="1102"/>
      <c r="U179" s="1104"/>
      <c r="V179" s="1104"/>
      <c r="W179" s="1104"/>
      <c r="X179" s="1104"/>
      <c r="Y179" s="1104"/>
      <c r="Z179" s="1104"/>
      <c r="AA179" s="1104"/>
      <c r="AB179" s="1104"/>
      <c r="AC179" s="1104"/>
      <c r="AD179" s="1104"/>
      <c r="AE179" s="1104"/>
      <c r="AF179" s="1104"/>
      <c r="AG179" s="1106"/>
      <c r="AH179" s="1106"/>
      <c r="AI179" s="1106"/>
      <c r="AJ179" s="1106"/>
      <c r="AK179" s="1106"/>
      <c r="AL179" s="1106"/>
      <c r="AM179" s="1106"/>
      <c r="AN179" s="1106"/>
      <c r="AO179" s="1106"/>
      <c r="AP179" s="1106"/>
      <c r="AQ179" s="1106"/>
      <c r="AR179" s="1106"/>
      <c r="AS179" s="1106"/>
      <c r="AT179" s="1106"/>
      <c r="AU179" s="1106"/>
      <c r="AV179" s="1106"/>
      <c r="AW179" s="1106"/>
      <c r="AX179" s="1106"/>
    </row>
    <row r="180">
      <c r="T180" s="1102"/>
      <c r="U180" s="1104"/>
      <c r="V180" s="1104"/>
      <c r="W180" s="1104"/>
      <c r="X180" s="1104"/>
      <c r="Y180" s="1104"/>
      <c r="Z180" s="1104"/>
      <c r="AA180" s="1104"/>
      <c r="AB180" s="1104"/>
      <c r="AC180" s="1104"/>
      <c r="AD180" s="1104"/>
      <c r="AE180" s="1104"/>
      <c r="AF180" s="1104"/>
      <c r="AG180" s="1106"/>
      <c r="AH180" s="1106"/>
      <c r="AI180" s="1106"/>
      <c r="AJ180" s="1106"/>
      <c r="AK180" s="1106"/>
      <c r="AL180" s="1106"/>
      <c r="AM180" s="1106"/>
      <c r="AN180" s="1106"/>
      <c r="AO180" s="1106"/>
      <c r="AP180" s="1106"/>
      <c r="AQ180" s="1106"/>
      <c r="AR180" s="1106"/>
      <c r="AS180" s="1106"/>
      <c r="AT180" s="1106"/>
      <c r="AU180" s="1106"/>
      <c r="AV180" s="1106"/>
      <c r="AW180" s="1106"/>
      <c r="AX180" s="1106"/>
    </row>
    <row r="181">
      <c r="T181" s="1102"/>
      <c r="U181" s="1104"/>
      <c r="V181" s="1104"/>
      <c r="W181" s="1104"/>
      <c r="X181" s="1104"/>
      <c r="Y181" s="1104"/>
      <c r="Z181" s="1104"/>
      <c r="AA181" s="1104"/>
      <c r="AB181" s="1104"/>
      <c r="AC181" s="1104"/>
      <c r="AD181" s="1104"/>
      <c r="AE181" s="1104"/>
      <c r="AF181" s="1104"/>
      <c r="AG181" s="1106"/>
      <c r="AH181" s="1106"/>
      <c r="AI181" s="1106"/>
      <c r="AJ181" s="1106"/>
      <c r="AK181" s="1106"/>
      <c r="AL181" s="1106"/>
      <c r="AM181" s="1106"/>
      <c r="AN181" s="1106"/>
      <c r="AO181" s="1106"/>
      <c r="AP181" s="1106"/>
      <c r="AQ181" s="1106"/>
      <c r="AR181" s="1106"/>
      <c r="AS181" s="1106"/>
      <c r="AT181" s="1106"/>
      <c r="AU181" s="1106"/>
      <c r="AV181" s="1106"/>
      <c r="AW181" s="1106"/>
      <c r="AX181" s="1106"/>
    </row>
    <row r="182">
      <c r="T182" s="1102"/>
      <c r="U182" s="1104"/>
      <c r="V182" s="1104"/>
      <c r="W182" s="1104"/>
      <c r="X182" s="1104"/>
      <c r="Y182" s="1104"/>
      <c r="Z182" s="1104"/>
      <c r="AA182" s="1104"/>
      <c r="AB182" s="1104"/>
      <c r="AC182" s="1104"/>
      <c r="AD182" s="1104"/>
      <c r="AE182" s="1104"/>
      <c r="AF182" s="1104"/>
      <c r="AG182" s="1106"/>
      <c r="AH182" s="1106"/>
      <c r="AI182" s="1106"/>
      <c r="AJ182" s="1106"/>
      <c r="AK182" s="1106"/>
      <c r="AL182" s="1106"/>
      <c r="AM182" s="1106"/>
      <c r="AN182" s="1106"/>
      <c r="AO182" s="1106"/>
      <c r="AP182" s="1106"/>
      <c r="AQ182" s="1106"/>
      <c r="AR182" s="1106"/>
      <c r="AS182" s="1106"/>
      <c r="AT182" s="1106"/>
      <c r="AU182" s="1106"/>
      <c r="AV182" s="1106"/>
      <c r="AW182" s="1106"/>
      <c r="AX182" s="1106"/>
    </row>
    <row r="183">
      <c r="T183" s="1102"/>
      <c r="U183" s="1104"/>
      <c r="V183" s="1104"/>
      <c r="W183" s="1104"/>
      <c r="X183" s="1104"/>
      <c r="Y183" s="1104"/>
      <c r="Z183" s="1104"/>
      <c r="AA183" s="1104"/>
      <c r="AB183" s="1104"/>
      <c r="AC183" s="1104"/>
      <c r="AD183" s="1104"/>
      <c r="AE183" s="1104"/>
      <c r="AF183" s="1104"/>
      <c r="AG183" s="1106"/>
      <c r="AH183" s="1106"/>
      <c r="AI183" s="1106"/>
      <c r="AJ183" s="1106"/>
      <c r="AK183" s="1106"/>
      <c r="AL183" s="1106"/>
      <c r="AM183" s="1106"/>
      <c r="AN183" s="1106"/>
      <c r="AO183" s="1106"/>
      <c r="AP183" s="1106"/>
      <c r="AQ183" s="1106"/>
      <c r="AR183" s="1106"/>
      <c r="AS183" s="1106"/>
      <c r="AT183" s="1106"/>
      <c r="AU183" s="1106"/>
      <c r="AV183" s="1106"/>
      <c r="AW183" s="1106"/>
      <c r="AX183" s="1106"/>
    </row>
    <row r="184">
      <c r="T184" s="1102"/>
      <c r="U184" s="1104"/>
      <c r="V184" s="1104"/>
      <c r="W184" s="1104"/>
      <c r="X184" s="1104"/>
      <c r="Y184" s="1104"/>
      <c r="Z184" s="1104"/>
      <c r="AA184" s="1104"/>
      <c r="AB184" s="1104"/>
      <c r="AC184" s="1104"/>
      <c r="AD184" s="1104"/>
      <c r="AE184" s="1104"/>
      <c r="AF184" s="1104"/>
      <c r="AG184" s="1106"/>
      <c r="AH184" s="1106"/>
      <c r="AI184" s="1106"/>
      <c r="AJ184" s="1106"/>
      <c r="AK184" s="1106"/>
      <c r="AL184" s="1106"/>
      <c r="AM184" s="1106"/>
      <c r="AN184" s="1106"/>
      <c r="AO184" s="1106"/>
      <c r="AP184" s="1106"/>
      <c r="AQ184" s="1106"/>
      <c r="AR184" s="1106"/>
      <c r="AS184" s="1106"/>
      <c r="AT184" s="1106"/>
      <c r="AU184" s="1106"/>
      <c r="AV184" s="1106"/>
      <c r="AW184" s="1106"/>
      <c r="AX184" s="1106"/>
    </row>
    <row r="185">
      <c r="T185" s="1102"/>
      <c r="U185" s="1104"/>
      <c r="V185" s="1104"/>
      <c r="W185" s="1104"/>
      <c r="X185" s="1104"/>
      <c r="Y185" s="1104"/>
      <c r="Z185" s="1104"/>
      <c r="AA185" s="1104"/>
      <c r="AB185" s="1104"/>
      <c r="AC185" s="1104"/>
      <c r="AD185" s="1104"/>
      <c r="AE185" s="1104"/>
      <c r="AF185" s="1104"/>
      <c r="AG185" s="1106"/>
      <c r="AH185" s="1106"/>
      <c r="AI185" s="1106"/>
      <c r="AJ185" s="1106"/>
      <c r="AK185" s="1106"/>
      <c r="AL185" s="1106"/>
      <c r="AM185" s="1106"/>
      <c r="AN185" s="1106"/>
      <c r="AO185" s="1106"/>
      <c r="AP185" s="1106"/>
      <c r="AQ185" s="1106"/>
      <c r="AR185" s="1106"/>
      <c r="AS185" s="1106"/>
      <c r="AT185" s="1106"/>
      <c r="AU185" s="1106"/>
      <c r="AV185" s="1106"/>
      <c r="AW185" s="1106"/>
      <c r="AX185" s="1106"/>
    </row>
    <row r="186">
      <c r="T186" s="1102"/>
      <c r="U186" s="1104"/>
      <c r="V186" s="1104"/>
      <c r="W186" s="1104"/>
      <c r="X186" s="1104"/>
      <c r="Y186" s="1104"/>
      <c r="Z186" s="1104"/>
      <c r="AA186" s="1104"/>
      <c r="AB186" s="1104"/>
      <c r="AC186" s="1104"/>
      <c r="AD186" s="1104"/>
      <c r="AE186" s="1104"/>
      <c r="AF186" s="1104"/>
      <c r="AG186" s="1106"/>
      <c r="AH186" s="1106"/>
      <c r="AI186" s="1106"/>
      <c r="AJ186" s="1106"/>
      <c r="AK186" s="1106"/>
      <c r="AL186" s="1106"/>
      <c r="AM186" s="1106"/>
      <c r="AN186" s="1106"/>
      <c r="AO186" s="1106"/>
      <c r="AP186" s="1106"/>
      <c r="AQ186" s="1106"/>
      <c r="AR186" s="1106"/>
      <c r="AS186" s="1106"/>
      <c r="AT186" s="1106"/>
      <c r="AU186" s="1106"/>
      <c r="AV186" s="1106"/>
      <c r="AW186" s="1106"/>
      <c r="AX186" s="1106"/>
    </row>
    <row r="187">
      <c r="T187" s="1102"/>
      <c r="U187" s="1104"/>
      <c r="V187" s="1104"/>
      <c r="W187" s="1104"/>
      <c r="X187" s="1104"/>
      <c r="Y187" s="1104"/>
      <c r="Z187" s="1104"/>
      <c r="AA187" s="1104"/>
      <c r="AB187" s="1104"/>
      <c r="AC187" s="1104"/>
      <c r="AD187" s="1104"/>
      <c r="AE187" s="1104"/>
      <c r="AF187" s="1104"/>
      <c r="AG187" s="1106"/>
      <c r="AH187" s="1106"/>
      <c r="AI187" s="1106"/>
      <c r="AJ187" s="1106"/>
      <c r="AK187" s="1106"/>
      <c r="AL187" s="1106"/>
      <c r="AM187" s="1106"/>
      <c r="AN187" s="1106"/>
      <c r="AO187" s="1106"/>
      <c r="AP187" s="1106"/>
      <c r="AQ187" s="1106"/>
      <c r="AR187" s="1106"/>
      <c r="AS187" s="1106"/>
      <c r="AT187" s="1106"/>
      <c r="AU187" s="1106"/>
      <c r="AV187" s="1106"/>
      <c r="AW187" s="1106"/>
      <c r="AX187" s="1106"/>
    </row>
    <row r="188">
      <c r="T188" s="1102"/>
      <c r="U188" s="1104"/>
      <c r="V188" s="1104"/>
      <c r="W188" s="1104"/>
      <c r="X188" s="1104"/>
      <c r="Y188" s="1104"/>
      <c r="Z188" s="1104"/>
      <c r="AA188" s="1104"/>
      <c r="AB188" s="1104"/>
      <c r="AC188" s="1104"/>
      <c r="AD188" s="1104"/>
      <c r="AE188" s="1104"/>
      <c r="AF188" s="1104"/>
      <c r="AG188" s="1106"/>
      <c r="AH188" s="1106"/>
      <c r="AI188" s="1106"/>
      <c r="AJ188" s="1106"/>
      <c r="AK188" s="1106"/>
      <c r="AL188" s="1106"/>
      <c r="AM188" s="1106"/>
      <c r="AN188" s="1106"/>
      <c r="AO188" s="1106"/>
      <c r="AP188" s="1106"/>
      <c r="AQ188" s="1106"/>
      <c r="AR188" s="1106"/>
      <c r="AS188" s="1106"/>
      <c r="AT188" s="1106"/>
      <c r="AU188" s="1106"/>
      <c r="AV188" s="1106"/>
      <c r="AW188" s="1106"/>
      <c r="AX188" s="1106"/>
    </row>
    <row r="189">
      <c r="T189" s="1102"/>
      <c r="U189" s="1104"/>
      <c r="V189" s="1104"/>
      <c r="W189" s="1104"/>
      <c r="X189" s="1104"/>
      <c r="Y189" s="1104"/>
      <c r="Z189" s="1104"/>
      <c r="AA189" s="1104"/>
      <c r="AB189" s="1104"/>
      <c r="AC189" s="1104"/>
      <c r="AD189" s="1104"/>
      <c r="AE189" s="1104"/>
      <c r="AF189" s="1104"/>
      <c r="AG189" s="1106"/>
      <c r="AH189" s="1106"/>
      <c r="AI189" s="1106"/>
      <c r="AJ189" s="1106"/>
      <c r="AK189" s="1106"/>
      <c r="AL189" s="1106"/>
      <c r="AM189" s="1106"/>
      <c r="AN189" s="1106"/>
      <c r="AO189" s="1106"/>
      <c r="AP189" s="1106"/>
      <c r="AQ189" s="1106"/>
      <c r="AR189" s="1106"/>
      <c r="AS189" s="1106"/>
      <c r="AT189" s="1106"/>
      <c r="AU189" s="1106"/>
      <c r="AV189" s="1106"/>
      <c r="AW189" s="1106"/>
      <c r="AX189" s="1106"/>
    </row>
    <row r="190">
      <c r="T190" s="1102"/>
      <c r="U190" s="1104"/>
      <c r="V190" s="1104"/>
      <c r="W190" s="1104"/>
      <c r="X190" s="1104"/>
      <c r="Y190" s="1104"/>
      <c r="Z190" s="1104"/>
      <c r="AA190" s="1104"/>
      <c r="AB190" s="1104"/>
      <c r="AC190" s="1104"/>
      <c r="AD190" s="1104"/>
      <c r="AE190" s="1104"/>
      <c r="AF190" s="1104"/>
      <c r="AG190" s="1106"/>
      <c r="AH190" s="1106"/>
      <c r="AI190" s="1106"/>
      <c r="AJ190" s="1106"/>
      <c r="AK190" s="1106"/>
      <c r="AL190" s="1106"/>
      <c r="AM190" s="1106"/>
      <c r="AN190" s="1106"/>
      <c r="AO190" s="1106"/>
      <c r="AP190" s="1106"/>
      <c r="AQ190" s="1106"/>
      <c r="AR190" s="1106"/>
      <c r="AS190" s="1106"/>
      <c r="AT190" s="1106"/>
      <c r="AU190" s="1106"/>
      <c r="AV190" s="1106"/>
      <c r="AW190" s="1106"/>
      <c r="AX190" s="1106"/>
    </row>
    <row r="191">
      <c r="T191" s="1102"/>
      <c r="U191" s="1104"/>
      <c r="V191" s="1104"/>
      <c r="W191" s="1104"/>
      <c r="X191" s="1104"/>
      <c r="Y191" s="1104"/>
      <c r="Z191" s="1104"/>
      <c r="AA191" s="1104"/>
      <c r="AB191" s="1104"/>
      <c r="AC191" s="1104"/>
      <c r="AD191" s="1104"/>
      <c r="AE191" s="1104"/>
      <c r="AF191" s="1104"/>
      <c r="AG191" s="1106"/>
      <c r="AH191" s="1106"/>
      <c r="AI191" s="1106"/>
      <c r="AJ191" s="1106"/>
      <c r="AK191" s="1106"/>
      <c r="AL191" s="1106"/>
      <c r="AM191" s="1106"/>
      <c r="AN191" s="1106"/>
      <c r="AO191" s="1106"/>
      <c r="AP191" s="1106"/>
      <c r="AQ191" s="1106"/>
      <c r="AR191" s="1106"/>
      <c r="AS191" s="1106"/>
      <c r="AT191" s="1106"/>
      <c r="AU191" s="1106"/>
      <c r="AV191" s="1106"/>
      <c r="AW191" s="1106"/>
      <c r="AX191" s="1106"/>
    </row>
    <row r="192">
      <c r="T192" s="1102"/>
      <c r="U192" s="1104"/>
      <c r="V192" s="1104"/>
      <c r="W192" s="1104"/>
      <c r="X192" s="1104"/>
      <c r="Y192" s="1104"/>
      <c r="Z192" s="1104"/>
      <c r="AA192" s="1104"/>
      <c r="AB192" s="1104"/>
      <c r="AC192" s="1104"/>
      <c r="AD192" s="1104"/>
      <c r="AE192" s="1104"/>
      <c r="AF192" s="1104"/>
      <c r="AG192" s="1106"/>
      <c r="AH192" s="1106"/>
      <c r="AI192" s="1106"/>
      <c r="AJ192" s="1106"/>
      <c r="AK192" s="1106"/>
      <c r="AL192" s="1106"/>
      <c r="AM192" s="1106"/>
      <c r="AN192" s="1106"/>
      <c r="AO192" s="1106"/>
      <c r="AP192" s="1106"/>
      <c r="AQ192" s="1106"/>
      <c r="AR192" s="1106"/>
      <c r="AS192" s="1106"/>
      <c r="AT192" s="1106"/>
      <c r="AU192" s="1106"/>
      <c r="AV192" s="1106"/>
      <c r="AW192" s="1106"/>
      <c r="AX192" s="1106"/>
    </row>
    <row r="193">
      <c r="T193" s="1102"/>
      <c r="U193" s="1104"/>
      <c r="V193" s="1104"/>
      <c r="W193" s="1104"/>
      <c r="X193" s="1104"/>
      <c r="Y193" s="1104"/>
      <c r="Z193" s="1104"/>
      <c r="AA193" s="1104"/>
      <c r="AB193" s="1104"/>
      <c r="AC193" s="1104"/>
      <c r="AD193" s="1104"/>
      <c r="AE193" s="1104"/>
      <c r="AF193" s="1104"/>
      <c r="AG193" s="1106"/>
      <c r="AH193" s="1106"/>
      <c r="AI193" s="1106"/>
      <c r="AJ193" s="1106"/>
      <c r="AK193" s="1106"/>
      <c r="AL193" s="1106"/>
      <c r="AM193" s="1106"/>
      <c r="AN193" s="1106"/>
      <c r="AO193" s="1106"/>
      <c r="AP193" s="1106"/>
      <c r="AQ193" s="1106"/>
      <c r="AR193" s="1106"/>
      <c r="AS193" s="1106"/>
      <c r="AT193" s="1106"/>
      <c r="AU193" s="1106"/>
      <c r="AV193" s="1106"/>
      <c r="AW193" s="1106"/>
      <c r="AX193" s="1106"/>
    </row>
    <row r="194">
      <c r="T194" s="1102"/>
      <c r="U194" s="1104"/>
      <c r="V194" s="1104"/>
      <c r="W194" s="1104"/>
      <c r="X194" s="1104"/>
      <c r="Y194" s="1104"/>
      <c r="Z194" s="1104"/>
      <c r="AA194" s="1104"/>
      <c r="AB194" s="1104"/>
      <c r="AC194" s="1104"/>
      <c r="AD194" s="1104"/>
      <c r="AE194" s="1104"/>
      <c r="AF194" s="1104"/>
      <c r="AG194" s="1106"/>
      <c r="AH194" s="1106"/>
      <c r="AI194" s="1106"/>
      <c r="AJ194" s="1106"/>
      <c r="AK194" s="1106"/>
      <c r="AL194" s="1106"/>
      <c r="AM194" s="1106"/>
      <c r="AN194" s="1106"/>
      <c r="AO194" s="1106"/>
      <c r="AP194" s="1106"/>
      <c r="AQ194" s="1106"/>
      <c r="AR194" s="1106"/>
      <c r="AS194" s="1106"/>
      <c r="AT194" s="1106"/>
      <c r="AU194" s="1106"/>
      <c r="AV194" s="1106"/>
      <c r="AW194" s="1106"/>
      <c r="AX194" s="1106"/>
    </row>
    <row r="195">
      <c r="T195" s="1102"/>
      <c r="U195" s="1104"/>
      <c r="V195" s="1104"/>
      <c r="W195" s="1104"/>
      <c r="X195" s="1104"/>
      <c r="Y195" s="1104"/>
      <c r="Z195" s="1104"/>
      <c r="AA195" s="1104"/>
      <c r="AB195" s="1104"/>
      <c r="AC195" s="1104"/>
      <c r="AD195" s="1104"/>
      <c r="AE195" s="1104"/>
      <c r="AF195" s="1104"/>
      <c r="AG195" s="1106"/>
      <c r="AH195" s="1106"/>
      <c r="AI195" s="1106"/>
      <c r="AJ195" s="1106"/>
      <c r="AK195" s="1106"/>
      <c r="AL195" s="1106"/>
      <c r="AM195" s="1106"/>
      <c r="AN195" s="1106"/>
      <c r="AO195" s="1106"/>
      <c r="AP195" s="1106"/>
      <c r="AQ195" s="1106"/>
      <c r="AR195" s="1106"/>
      <c r="AS195" s="1106"/>
      <c r="AT195" s="1106"/>
      <c r="AU195" s="1106"/>
      <c r="AV195" s="1106"/>
      <c r="AW195" s="1106"/>
      <c r="AX195" s="1106"/>
    </row>
    <row r="196">
      <c r="T196" s="1102"/>
      <c r="U196" s="1104"/>
      <c r="V196" s="1104"/>
      <c r="W196" s="1104"/>
      <c r="X196" s="1104"/>
      <c r="Y196" s="1104"/>
      <c r="Z196" s="1104"/>
      <c r="AA196" s="1104"/>
      <c r="AB196" s="1104"/>
      <c r="AC196" s="1104"/>
      <c r="AD196" s="1104"/>
      <c r="AE196" s="1104"/>
      <c r="AF196" s="1104"/>
      <c r="AG196" s="1106"/>
      <c r="AH196" s="1106"/>
      <c r="AI196" s="1106"/>
      <c r="AJ196" s="1106"/>
      <c r="AK196" s="1106"/>
      <c r="AL196" s="1106"/>
      <c r="AM196" s="1106"/>
      <c r="AN196" s="1106"/>
      <c r="AO196" s="1106"/>
      <c r="AP196" s="1106"/>
      <c r="AQ196" s="1106"/>
      <c r="AR196" s="1106"/>
      <c r="AS196" s="1106"/>
      <c r="AT196" s="1106"/>
      <c r="AU196" s="1106"/>
      <c r="AV196" s="1106"/>
      <c r="AW196" s="1106"/>
      <c r="AX196" s="1106"/>
    </row>
    <row r="197">
      <c r="T197" s="1102"/>
      <c r="U197" s="1104"/>
      <c r="V197" s="1104"/>
      <c r="W197" s="1104"/>
      <c r="X197" s="1104"/>
      <c r="Y197" s="1104"/>
      <c r="Z197" s="1104"/>
      <c r="AA197" s="1104"/>
      <c r="AB197" s="1104"/>
      <c r="AC197" s="1104"/>
      <c r="AD197" s="1104"/>
      <c r="AE197" s="1104"/>
      <c r="AF197" s="1104"/>
      <c r="AG197" s="1106"/>
      <c r="AH197" s="1106"/>
      <c r="AI197" s="1106"/>
      <c r="AJ197" s="1106"/>
      <c r="AK197" s="1106"/>
      <c r="AL197" s="1106"/>
      <c r="AM197" s="1106"/>
      <c r="AN197" s="1106"/>
      <c r="AO197" s="1106"/>
      <c r="AP197" s="1106"/>
      <c r="AQ197" s="1106"/>
      <c r="AR197" s="1106"/>
      <c r="AS197" s="1106"/>
      <c r="AT197" s="1106"/>
      <c r="AU197" s="1106"/>
      <c r="AV197" s="1106"/>
      <c r="AW197" s="1106"/>
      <c r="AX197" s="1106"/>
    </row>
    <row r="198">
      <c r="T198" s="1102"/>
      <c r="U198" s="1104"/>
      <c r="V198" s="1104"/>
      <c r="W198" s="1104"/>
      <c r="X198" s="1104"/>
      <c r="Y198" s="1104"/>
      <c r="Z198" s="1104"/>
      <c r="AA198" s="1104"/>
      <c r="AB198" s="1104"/>
      <c r="AC198" s="1104"/>
      <c r="AD198" s="1104"/>
      <c r="AE198" s="1104"/>
      <c r="AF198" s="1104"/>
      <c r="AG198" s="1106"/>
      <c r="AH198" s="1106"/>
      <c r="AI198" s="1106"/>
      <c r="AJ198" s="1106"/>
      <c r="AK198" s="1106"/>
      <c r="AL198" s="1106"/>
      <c r="AM198" s="1106"/>
      <c r="AN198" s="1106"/>
      <c r="AO198" s="1106"/>
      <c r="AP198" s="1106"/>
      <c r="AQ198" s="1106"/>
      <c r="AR198" s="1106"/>
      <c r="AS198" s="1106"/>
      <c r="AT198" s="1106"/>
      <c r="AU198" s="1106"/>
      <c r="AV198" s="1106"/>
      <c r="AW198" s="1106"/>
      <c r="AX198" s="1106"/>
    </row>
    <row r="199">
      <c r="T199" s="1102"/>
      <c r="U199" s="1104"/>
      <c r="V199" s="1104"/>
      <c r="W199" s="1104"/>
      <c r="X199" s="1104"/>
      <c r="Y199" s="1104"/>
      <c r="Z199" s="1104"/>
      <c r="AA199" s="1104"/>
      <c r="AB199" s="1104"/>
      <c r="AC199" s="1104"/>
      <c r="AD199" s="1104"/>
      <c r="AE199" s="1104"/>
      <c r="AF199" s="1104"/>
      <c r="AG199" s="1106"/>
      <c r="AH199" s="1106"/>
      <c r="AI199" s="1106"/>
      <c r="AJ199" s="1106"/>
      <c r="AK199" s="1106"/>
      <c r="AL199" s="1106"/>
      <c r="AM199" s="1106"/>
      <c r="AN199" s="1106"/>
      <c r="AO199" s="1106"/>
      <c r="AP199" s="1106"/>
      <c r="AQ199" s="1106"/>
      <c r="AR199" s="1106"/>
      <c r="AS199" s="1106"/>
      <c r="AT199" s="1106"/>
      <c r="AU199" s="1106"/>
      <c r="AV199" s="1106"/>
      <c r="AW199" s="1106"/>
      <c r="AX199" s="1106"/>
    </row>
    <row r="200">
      <c r="T200" s="1102"/>
      <c r="U200" s="1104"/>
      <c r="V200" s="1104"/>
      <c r="W200" s="1104"/>
      <c r="X200" s="1104"/>
      <c r="Y200" s="1104"/>
      <c r="Z200" s="1104"/>
      <c r="AA200" s="1104"/>
      <c r="AB200" s="1104"/>
      <c r="AC200" s="1104"/>
      <c r="AD200" s="1104"/>
      <c r="AE200" s="1104"/>
      <c r="AF200" s="1104"/>
      <c r="AG200" s="1106"/>
      <c r="AH200" s="1106"/>
      <c r="AI200" s="1106"/>
      <c r="AJ200" s="1106"/>
      <c r="AK200" s="1106"/>
      <c r="AL200" s="1106"/>
      <c r="AM200" s="1106"/>
      <c r="AN200" s="1106"/>
      <c r="AO200" s="1106"/>
      <c r="AP200" s="1106"/>
      <c r="AQ200" s="1106"/>
      <c r="AR200" s="1106"/>
      <c r="AS200" s="1106"/>
      <c r="AT200" s="1106"/>
      <c r="AU200" s="1106"/>
      <c r="AV200" s="1106"/>
      <c r="AW200" s="1106"/>
      <c r="AX200" s="1106"/>
    </row>
    <row r="201">
      <c r="T201" s="1102"/>
      <c r="U201" s="1104"/>
      <c r="V201" s="1104"/>
      <c r="W201" s="1104"/>
      <c r="X201" s="1104"/>
      <c r="Y201" s="1104"/>
      <c r="Z201" s="1104"/>
      <c r="AA201" s="1104"/>
      <c r="AB201" s="1104"/>
      <c r="AC201" s="1104"/>
      <c r="AD201" s="1104"/>
      <c r="AE201" s="1104"/>
      <c r="AF201" s="1104"/>
      <c r="AG201" s="1106"/>
      <c r="AH201" s="1106"/>
      <c r="AI201" s="1106"/>
      <c r="AJ201" s="1106"/>
      <c r="AK201" s="1106"/>
      <c r="AL201" s="1106"/>
      <c r="AM201" s="1106"/>
      <c r="AN201" s="1106"/>
      <c r="AO201" s="1106"/>
      <c r="AP201" s="1106"/>
      <c r="AQ201" s="1106"/>
      <c r="AR201" s="1106"/>
      <c r="AS201" s="1106"/>
      <c r="AT201" s="1106"/>
      <c r="AU201" s="1106"/>
      <c r="AV201" s="1106"/>
      <c r="AW201" s="1106"/>
      <c r="AX201" s="1106"/>
    </row>
    <row r="202">
      <c r="T202" s="1102"/>
      <c r="U202" s="1104"/>
      <c r="V202" s="1104"/>
      <c r="W202" s="1104"/>
      <c r="X202" s="1104"/>
      <c r="Y202" s="1104"/>
      <c r="Z202" s="1104"/>
      <c r="AA202" s="1104"/>
      <c r="AB202" s="1104"/>
      <c r="AC202" s="1104"/>
      <c r="AD202" s="1104"/>
      <c r="AE202" s="1104"/>
      <c r="AF202" s="1104"/>
      <c r="AG202" s="1106"/>
      <c r="AH202" s="1106"/>
      <c r="AI202" s="1106"/>
      <c r="AJ202" s="1106"/>
      <c r="AK202" s="1106"/>
      <c r="AL202" s="1106"/>
      <c r="AM202" s="1106"/>
      <c r="AN202" s="1106"/>
      <c r="AO202" s="1106"/>
      <c r="AP202" s="1106"/>
      <c r="AQ202" s="1106"/>
      <c r="AR202" s="1106"/>
      <c r="AS202" s="1106"/>
      <c r="AT202" s="1106"/>
      <c r="AU202" s="1106"/>
      <c r="AV202" s="1106"/>
      <c r="AW202" s="1106"/>
      <c r="AX202" s="1106"/>
    </row>
    <row r="203">
      <c r="T203" s="1102"/>
      <c r="U203" s="1104"/>
      <c r="V203" s="1104"/>
      <c r="W203" s="1104"/>
      <c r="X203" s="1104"/>
      <c r="Y203" s="1104"/>
      <c r="Z203" s="1104"/>
      <c r="AA203" s="1104"/>
      <c r="AB203" s="1104"/>
      <c r="AC203" s="1104"/>
      <c r="AD203" s="1104"/>
      <c r="AE203" s="1104"/>
      <c r="AF203" s="1104"/>
      <c r="AG203" s="1106"/>
      <c r="AH203" s="1106"/>
      <c r="AI203" s="1106"/>
      <c r="AJ203" s="1106"/>
      <c r="AK203" s="1106"/>
      <c r="AL203" s="1106"/>
      <c r="AM203" s="1106"/>
      <c r="AN203" s="1106"/>
      <c r="AO203" s="1106"/>
      <c r="AP203" s="1106"/>
      <c r="AQ203" s="1106"/>
      <c r="AR203" s="1106"/>
      <c r="AS203" s="1106"/>
      <c r="AT203" s="1106"/>
      <c r="AU203" s="1106"/>
      <c r="AV203" s="1106"/>
      <c r="AW203" s="1106"/>
      <c r="AX203" s="1106"/>
    </row>
    <row r="204">
      <c r="T204" s="1102"/>
      <c r="U204" s="1104"/>
      <c r="V204" s="1104"/>
      <c r="W204" s="1104"/>
      <c r="X204" s="1104"/>
      <c r="Y204" s="1104"/>
      <c r="Z204" s="1104"/>
      <c r="AA204" s="1104"/>
      <c r="AB204" s="1104"/>
      <c r="AC204" s="1104"/>
      <c r="AD204" s="1104"/>
      <c r="AE204" s="1104"/>
      <c r="AF204" s="1104"/>
      <c r="AG204" s="1106"/>
      <c r="AH204" s="1106"/>
      <c r="AI204" s="1106"/>
      <c r="AJ204" s="1106"/>
      <c r="AK204" s="1106"/>
      <c r="AL204" s="1106"/>
      <c r="AM204" s="1106"/>
      <c r="AN204" s="1106"/>
      <c r="AO204" s="1106"/>
      <c r="AP204" s="1106"/>
      <c r="AQ204" s="1106"/>
      <c r="AR204" s="1106"/>
      <c r="AS204" s="1106"/>
      <c r="AT204" s="1106"/>
      <c r="AU204" s="1106"/>
      <c r="AV204" s="1106"/>
      <c r="AW204" s="1106"/>
      <c r="AX204" s="1106"/>
    </row>
    <row r="205">
      <c r="T205" s="1102"/>
      <c r="U205" s="1104"/>
      <c r="V205" s="1104"/>
      <c r="W205" s="1104"/>
      <c r="X205" s="1104"/>
      <c r="Y205" s="1104"/>
      <c r="Z205" s="1104"/>
      <c r="AA205" s="1104"/>
      <c r="AB205" s="1104"/>
      <c r="AC205" s="1104"/>
      <c r="AD205" s="1104"/>
      <c r="AE205" s="1104"/>
      <c r="AF205" s="1104"/>
      <c r="AG205" s="1106"/>
      <c r="AH205" s="1106"/>
      <c r="AI205" s="1106"/>
      <c r="AJ205" s="1106"/>
      <c r="AK205" s="1106"/>
      <c r="AL205" s="1106"/>
      <c r="AM205" s="1106"/>
      <c r="AN205" s="1106"/>
      <c r="AO205" s="1106"/>
      <c r="AP205" s="1106"/>
      <c r="AQ205" s="1106"/>
      <c r="AR205" s="1106"/>
      <c r="AS205" s="1106"/>
      <c r="AT205" s="1106"/>
      <c r="AU205" s="1106"/>
      <c r="AV205" s="1106"/>
      <c r="AW205" s="1106"/>
      <c r="AX205" s="1106"/>
    </row>
    <row r="206">
      <c r="T206" s="1102"/>
      <c r="U206" s="1104"/>
      <c r="V206" s="1104"/>
      <c r="W206" s="1104"/>
      <c r="X206" s="1104"/>
      <c r="Y206" s="1104"/>
      <c r="Z206" s="1104"/>
      <c r="AA206" s="1104"/>
      <c r="AB206" s="1104"/>
      <c r="AC206" s="1104"/>
      <c r="AD206" s="1104"/>
      <c r="AE206" s="1104"/>
      <c r="AF206" s="1104"/>
      <c r="AG206" s="1106"/>
      <c r="AH206" s="1106"/>
      <c r="AI206" s="1106"/>
      <c r="AJ206" s="1106"/>
      <c r="AK206" s="1106"/>
      <c r="AL206" s="1106"/>
      <c r="AM206" s="1106"/>
      <c r="AN206" s="1106"/>
      <c r="AO206" s="1106"/>
      <c r="AP206" s="1106"/>
      <c r="AQ206" s="1106"/>
      <c r="AR206" s="1106"/>
      <c r="AS206" s="1106"/>
      <c r="AT206" s="1106"/>
      <c r="AU206" s="1106"/>
      <c r="AV206" s="1106"/>
      <c r="AW206" s="1106"/>
      <c r="AX206" s="1106"/>
    </row>
    <row r="207">
      <c r="T207" s="1102"/>
      <c r="U207" s="1104"/>
      <c r="V207" s="1104"/>
      <c r="W207" s="1104"/>
      <c r="X207" s="1104"/>
      <c r="Y207" s="1104"/>
      <c r="Z207" s="1104"/>
      <c r="AA207" s="1104"/>
      <c r="AB207" s="1104"/>
      <c r="AC207" s="1104"/>
      <c r="AD207" s="1104"/>
      <c r="AE207" s="1104"/>
      <c r="AF207" s="1104"/>
      <c r="AG207" s="1106"/>
      <c r="AH207" s="1106"/>
      <c r="AI207" s="1106"/>
      <c r="AJ207" s="1106"/>
      <c r="AK207" s="1106"/>
      <c r="AL207" s="1106"/>
      <c r="AM207" s="1106"/>
      <c r="AN207" s="1106"/>
      <c r="AO207" s="1106"/>
      <c r="AP207" s="1106"/>
      <c r="AQ207" s="1106"/>
      <c r="AR207" s="1106"/>
      <c r="AS207" s="1106"/>
      <c r="AT207" s="1106"/>
      <c r="AU207" s="1106"/>
      <c r="AV207" s="1106"/>
      <c r="AW207" s="1106"/>
      <c r="AX207" s="1106"/>
    </row>
    <row r="208">
      <c r="T208" s="1102"/>
      <c r="U208" s="1104"/>
      <c r="V208" s="1104"/>
      <c r="W208" s="1104"/>
      <c r="X208" s="1104"/>
      <c r="Y208" s="1104"/>
      <c r="Z208" s="1104"/>
      <c r="AA208" s="1104"/>
      <c r="AB208" s="1104"/>
      <c r="AC208" s="1104"/>
      <c r="AD208" s="1104"/>
      <c r="AE208" s="1104"/>
      <c r="AF208" s="1104"/>
      <c r="AG208" s="1106"/>
      <c r="AH208" s="1106"/>
      <c r="AI208" s="1106"/>
      <c r="AJ208" s="1106"/>
      <c r="AK208" s="1106"/>
      <c r="AL208" s="1106"/>
      <c r="AM208" s="1106"/>
      <c r="AN208" s="1106"/>
      <c r="AO208" s="1106"/>
      <c r="AP208" s="1106"/>
      <c r="AQ208" s="1106"/>
      <c r="AR208" s="1106"/>
      <c r="AS208" s="1106"/>
      <c r="AT208" s="1106"/>
      <c r="AU208" s="1106"/>
      <c r="AV208" s="1106"/>
      <c r="AW208" s="1106"/>
      <c r="AX208" s="1106"/>
    </row>
    <row r="209">
      <c r="T209" s="1102"/>
      <c r="U209" s="1104"/>
      <c r="V209" s="1104"/>
      <c r="W209" s="1104"/>
      <c r="X209" s="1104"/>
      <c r="Y209" s="1104"/>
      <c r="Z209" s="1104"/>
      <c r="AA209" s="1104"/>
      <c r="AB209" s="1104"/>
      <c r="AC209" s="1104"/>
      <c r="AD209" s="1104"/>
      <c r="AE209" s="1104"/>
      <c r="AF209" s="1104"/>
      <c r="AG209" s="1106"/>
      <c r="AH209" s="1106"/>
      <c r="AI209" s="1106"/>
      <c r="AJ209" s="1106"/>
      <c r="AK209" s="1106"/>
      <c r="AL209" s="1106"/>
      <c r="AM209" s="1106"/>
      <c r="AN209" s="1106"/>
      <c r="AO209" s="1106"/>
      <c r="AP209" s="1106"/>
      <c r="AQ209" s="1106"/>
      <c r="AR209" s="1106"/>
      <c r="AS209" s="1106"/>
      <c r="AT209" s="1106"/>
      <c r="AU209" s="1106"/>
      <c r="AV209" s="1106"/>
      <c r="AW209" s="1106"/>
      <c r="AX209" s="1106"/>
    </row>
    <row r="210">
      <c r="T210" s="1102"/>
      <c r="U210" s="1104"/>
      <c r="V210" s="1104"/>
      <c r="W210" s="1104"/>
      <c r="X210" s="1104"/>
      <c r="Y210" s="1104"/>
      <c r="Z210" s="1104"/>
      <c r="AA210" s="1104"/>
      <c r="AB210" s="1104"/>
      <c r="AC210" s="1104"/>
      <c r="AD210" s="1104"/>
      <c r="AE210" s="1104"/>
      <c r="AF210" s="1104"/>
      <c r="AG210" s="1106"/>
      <c r="AH210" s="1106"/>
      <c r="AI210" s="1106"/>
      <c r="AJ210" s="1106"/>
      <c r="AK210" s="1106"/>
      <c r="AL210" s="1106"/>
      <c r="AM210" s="1106"/>
      <c r="AN210" s="1106"/>
      <c r="AO210" s="1106"/>
      <c r="AP210" s="1106"/>
      <c r="AQ210" s="1106"/>
      <c r="AR210" s="1106"/>
      <c r="AS210" s="1106"/>
      <c r="AT210" s="1106"/>
      <c r="AU210" s="1106"/>
      <c r="AV210" s="1106"/>
      <c r="AW210" s="1106"/>
      <c r="AX210" s="1106"/>
    </row>
    <row r="211">
      <c r="T211" s="1102"/>
      <c r="U211" s="1104"/>
      <c r="V211" s="1104"/>
      <c r="W211" s="1104"/>
      <c r="X211" s="1104"/>
      <c r="Y211" s="1104"/>
      <c r="Z211" s="1104"/>
      <c r="AA211" s="1104"/>
      <c r="AB211" s="1104"/>
      <c r="AC211" s="1104"/>
      <c r="AD211" s="1104"/>
      <c r="AE211" s="1104"/>
      <c r="AF211" s="1104"/>
      <c r="AG211" s="1106"/>
      <c r="AH211" s="1106"/>
      <c r="AI211" s="1106"/>
      <c r="AJ211" s="1106"/>
      <c r="AK211" s="1106"/>
      <c r="AL211" s="1106"/>
      <c r="AM211" s="1106"/>
      <c r="AN211" s="1106"/>
      <c r="AO211" s="1106"/>
      <c r="AP211" s="1106"/>
      <c r="AQ211" s="1106"/>
      <c r="AR211" s="1106"/>
      <c r="AS211" s="1106"/>
      <c r="AT211" s="1106"/>
      <c r="AU211" s="1106"/>
      <c r="AV211" s="1106"/>
      <c r="AW211" s="1106"/>
      <c r="AX211" s="1106"/>
    </row>
    <row r="212">
      <c r="T212" s="1102"/>
      <c r="U212" s="1104"/>
      <c r="V212" s="1104"/>
      <c r="W212" s="1104"/>
      <c r="X212" s="1104"/>
      <c r="Y212" s="1104"/>
      <c r="Z212" s="1104"/>
      <c r="AA212" s="1104"/>
      <c r="AB212" s="1104"/>
      <c r="AC212" s="1104"/>
      <c r="AD212" s="1104"/>
      <c r="AE212" s="1104"/>
      <c r="AF212" s="1104"/>
      <c r="AG212" s="1106"/>
      <c r="AH212" s="1106"/>
      <c r="AI212" s="1106"/>
      <c r="AJ212" s="1106"/>
      <c r="AK212" s="1106"/>
      <c r="AL212" s="1106"/>
      <c r="AM212" s="1106"/>
      <c r="AN212" s="1106"/>
      <c r="AO212" s="1106"/>
      <c r="AP212" s="1106"/>
      <c r="AQ212" s="1106"/>
      <c r="AR212" s="1106"/>
      <c r="AS212" s="1106"/>
      <c r="AT212" s="1106"/>
      <c r="AU212" s="1106"/>
      <c r="AV212" s="1106"/>
      <c r="AW212" s="1106"/>
      <c r="AX212" s="1106"/>
    </row>
    <row r="213">
      <c r="T213" s="1102"/>
      <c r="U213" s="1104"/>
      <c r="V213" s="1104"/>
      <c r="W213" s="1104"/>
      <c r="X213" s="1104"/>
      <c r="Y213" s="1104"/>
      <c r="Z213" s="1104"/>
      <c r="AA213" s="1104"/>
      <c r="AB213" s="1104"/>
      <c r="AC213" s="1104"/>
      <c r="AD213" s="1104"/>
      <c r="AE213" s="1104"/>
      <c r="AF213" s="1104"/>
      <c r="AG213" s="1106"/>
      <c r="AH213" s="1106"/>
      <c r="AI213" s="1106"/>
      <c r="AJ213" s="1106"/>
      <c r="AK213" s="1106"/>
      <c r="AL213" s="1106"/>
      <c r="AM213" s="1106"/>
      <c r="AN213" s="1106"/>
      <c r="AO213" s="1106"/>
      <c r="AP213" s="1106"/>
      <c r="AQ213" s="1106"/>
      <c r="AR213" s="1106"/>
      <c r="AS213" s="1106"/>
      <c r="AT213" s="1106"/>
      <c r="AU213" s="1106"/>
      <c r="AV213" s="1106"/>
      <c r="AW213" s="1106"/>
      <c r="AX213" s="1106"/>
    </row>
    <row r="214">
      <c r="T214" s="1102"/>
      <c r="U214" s="1104"/>
      <c r="V214" s="1104"/>
      <c r="W214" s="1104"/>
      <c r="X214" s="1104"/>
      <c r="Y214" s="1104"/>
      <c r="Z214" s="1104"/>
      <c r="AA214" s="1104"/>
      <c r="AB214" s="1104"/>
      <c r="AC214" s="1104"/>
      <c r="AD214" s="1104"/>
      <c r="AE214" s="1104"/>
      <c r="AF214" s="1104"/>
      <c r="AG214" s="1106"/>
      <c r="AH214" s="1106"/>
      <c r="AI214" s="1106"/>
      <c r="AJ214" s="1106"/>
      <c r="AK214" s="1106"/>
      <c r="AL214" s="1106"/>
      <c r="AM214" s="1106"/>
      <c r="AN214" s="1106"/>
      <c r="AO214" s="1106"/>
      <c r="AP214" s="1106"/>
      <c r="AQ214" s="1106"/>
      <c r="AR214" s="1106"/>
      <c r="AS214" s="1106"/>
      <c r="AT214" s="1106"/>
      <c r="AU214" s="1106"/>
      <c r="AV214" s="1106"/>
      <c r="AW214" s="1106"/>
      <c r="AX214" s="1106"/>
    </row>
    <row r="215">
      <c r="T215" s="1102"/>
      <c r="U215" s="1104"/>
      <c r="V215" s="1104"/>
      <c r="W215" s="1104"/>
      <c r="X215" s="1104"/>
      <c r="Y215" s="1104"/>
      <c r="Z215" s="1104"/>
      <c r="AA215" s="1104"/>
      <c r="AB215" s="1104"/>
      <c r="AC215" s="1104"/>
      <c r="AD215" s="1104"/>
      <c r="AE215" s="1104"/>
      <c r="AF215" s="1104"/>
      <c r="AG215" s="1106"/>
      <c r="AH215" s="1106"/>
      <c r="AI215" s="1106"/>
      <c r="AJ215" s="1106"/>
      <c r="AK215" s="1106"/>
      <c r="AL215" s="1106"/>
      <c r="AM215" s="1106"/>
      <c r="AN215" s="1106"/>
      <c r="AO215" s="1106"/>
      <c r="AP215" s="1106"/>
      <c r="AQ215" s="1106"/>
      <c r="AR215" s="1106"/>
      <c r="AS215" s="1106"/>
      <c r="AT215" s="1106"/>
      <c r="AU215" s="1106"/>
      <c r="AV215" s="1106"/>
      <c r="AW215" s="1106"/>
      <c r="AX215" s="1106"/>
    </row>
    <row r="216">
      <c r="T216" s="1102"/>
      <c r="U216" s="1104"/>
      <c r="V216" s="1104"/>
      <c r="W216" s="1104"/>
      <c r="X216" s="1104"/>
      <c r="Y216" s="1104"/>
      <c r="Z216" s="1104"/>
      <c r="AA216" s="1104"/>
      <c r="AB216" s="1104"/>
      <c r="AC216" s="1104"/>
      <c r="AD216" s="1104"/>
      <c r="AE216" s="1104"/>
      <c r="AF216" s="1104"/>
      <c r="AG216" s="1106"/>
      <c r="AH216" s="1106"/>
      <c r="AI216" s="1106"/>
      <c r="AJ216" s="1106"/>
      <c r="AK216" s="1106"/>
      <c r="AL216" s="1106"/>
      <c r="AM216" s="1106"/>
      <c r="AN216" s="1106"/>
      <c r="AO216" s="1106"/>
      <c r="AP216" s="1106"/>
      <c r="AQ216" s="1106"/>
      <c r="AR216" s="1106"/>
      <c r="AS216" s="1106"/>
      <c r="AT216" s="1106"/>
      <c r="AU216" s="1106"/>
      <c r="AV216" s="1106"/>
      <c r="AW216" s="1106"/>
      <c r="AX216" s="1106"/>
    </row>
    <row r="217">
      <c r="T217" s="1102"/>
      <c r="U217" s="1104"/>
      <c r="V217" s="1104"/>
      <c r="W217" s="1104"/>
      <c r="X217" s="1104"/>
      <c r="Y217" s="1104"/>
      <c r="Z217" s="1104"/>
      <c r="AA217" s="1104"/>
      <c r="AB217" s="1104"/>
      <c r="AC217" s="1104"/>
      <c r="AD217" s="1104"/>
      <c r="AE217" s="1104"/>
      <c r="AF217" s="1104"/>
      <c r="AG217" s="1106"/>
      <c r="AH217" s="1106"/>
      <c r="AI217" s="1106"/>
      <c r="AJ217" s="1106"/>
      <c r="AK217" s="1106"/>
      <c r="AL217" s="1106"/>
      <c r="AM217" s="1106"/>
      <c r="AN217" s="1106"/>
      <c r="AO217" s="1106"/>
      <c r="AP217" s="1106"/>
      <c r="AQ217" s="1106"/>
      <c r="AR217" s="1106"/>
      <c r="AS217" s="1106"/>
      <c r="AT217" s="1106"/>
      <c r="AU217" s="1106"/>
      <c r="AV217" s="1106"/>
      <c r="AW217" s="1106"/>
      <c r="AX217" s="1106"/>
    </row>
    <row r="218">
      <c r="T218" s="1102"/>
      <c r="U218" s="1104"/>
      <c r="V218" s="1104"/>
      <c r="W218" s="1104"/>
      <c r="X218" s="1104"/>
      <c r="Y218" s="1104"/>
      <c r="Z218" s="1104"/>
      <c r="AA218" s="1104"/>
      <c r="AB218" s="1104"/>
      <c r="AC218" s="1104"/>
      <c r="AD218" s="1104"/>
      <c r="AE218" s="1104"/>
      <c r="AF218" s="1104"/>
      <c r="AG218" s="1106"/>
      <c r="AH218" s="1106"/>
      <c r="AI218" s="1106"/>
      <c r="AJ218" s="1106"/>
      <c r="AK218" s="1106"/>
      <c r="AL218" s="1106"/>
      <c r="AM218" s="1106"/>
      <c r="AN218" s="1106"/>
      <c r="AO218" s="1106"/>
      <c r="AP218" s="1106"/>
      <c r="AQ218" s="1106"/>
      <c r="AR218" s="1106"/>
      <c r="AS218" s="1106"/>
      <c r="AT218" s="1106"/>
      <c r="AU218" s="1106"/>
      <c r="AV218" s="1106"/>
      <c r="AW218" s="1106"/>
      <c r="AX218" s="1106"/>
    </row>
    <row r="219">
      <c r="T219" s="1102"/>
      <c r="U219" s="1104"/>
      <c r="V219" s="1104"/>
      <c r="W219" s="1104"/>
      <c r="X219" s="1104"/>
      <c r="Y219" s="1104"/>
      <c r="Z219" s="1104"/>
      <c r="AA219" s="1104"/>
      <c r="AB219" s="1104"/>
      <c r="AC219" s="1104"/>
      <c r="AD219" s="1104"/>
      <c r="AE219" s="1104"/>
      <c r="AF219" s="1104"/>
      <c r="AG219" s="1106"/>
      <c r="AH219" s="1106"/>
      <c r="AI219" s="1106"/>
      <c r="AJ219" s="1106"/>
      <c r="AK219" s="1106"/>
      <c r="AL219" s="1106"/>
      <c r="AM219" s="1106"/>
      <c r="AN219" s="1106"/>
      <c r="AO219" s="1106"/>
      <c r="AP219" s="1106"/>
      <c r="AQ219" s="1106"/>
      <c r="AR219" s="1106"/>
      <c r="AS219" s="1106"/>
      <c r="AT219" s="1106"/>
      <c r="AU219" s="1106"/>
      <c r="AV219" s="1106"/>
      <c r="AW219" s="1106"/>
      <c r="AX219" s="1106"/>
    </row>
    <row r="220">
      <c r="T220" s="1102"/>
      <c r="U220" s="1104"/>
      <c r="V220" s="1104"/>
      <c r="W220" s="1104"/>
      <c r="X220" s="1104"/>
      <c r="Y220" s="1104"/>
      <c r="Z220" s="1104"/>
      <c r="AA220" s="1104"/>
      <c r="AB220" s="1104"/>
      <c r="AC220" s="1104"/>
      <c r="AD220" s="1104"/>
      <c r="AE220" s="1104"/>
      <c r="AF220" s="1104"/>
      <c r="AG220" s="1106"/>
      <c r="AH220" s="1106"/>
      <c r="AI220" s="1106"/>
      <c r="AJ220" s="1106"/>
      <c r="AK220" s="1106"/>
      <c r="AL220" s="1106"/>
      <c r="AM220" s="1106"/>
      <c r="AN220" s="1106"/>
      <c r="AO220" s="1106"/>
      <c r="AP220" s="1106"/>
      <c r="AQ220" s="1106"/>
      <c r="AR220" s="1106"/>
      <c r="AS220" s="1106"/>
      <c r="AT220" s="1106"/>
      <c r="AU220" s="1106"/>
      <c r="AV220" s="1106"/>
      <c r="AW220" s="1106"/>
      <c r="AX220" s="1106"/>
    </row>
    <row r="221">
      <c r="T221" s="1102"/>
      <c r="U221" s="1104"/>
      <c r="V221" s="1104"/>
      <c r="W221" s="1104"/>
      <c r="X221" s="1104"/>
      <c r="Y221" s="1104"/>
      <c r="Z221" s="1104"/>
      <c r="AA221" s="1104"/>
      <c r="AB221" s="1104"/>
      <c r="AC221" s="1104"/>
      <c r="AD221" s="1104"/>
      <c r="AE221" s="1104"/>
      <c r="AF221" s="1104"/>
      <c r="AG221" s="1106"/>
      <c r="AH221" s="1106"/>
      <c r="AI221" s="1106"/>
      <c r="AJ221" s="1106"/>
      <c r="AK221" s="1106"/>
      <c r="AL221" s="1106"/>
      <c r="AM221" s="1106"/>
      <c r="AN221" s="1106"/>
      <c r="AO221" s="1106"/>
      <c r="AP221" s="1106"/>
      <c r="AQ221" s="1106"/>
      <c r="AR221" s="1106"/>
      <c r="AS221" s="1106"/>
      <c r="AT221" s="1106"/>
      <c r="AU221" s="1106"/>
      <c r="AV221" s="1106"/>
      <c r="AW221" s="1106"/>
      <c r="AX221" s="1106"/>
    </row>
    <row r="222">
      <c r="T222" s="1102"/>
      <c r="U222" s="1104"/>
      <c r="V222" s="1104"/>
      <c r="W222" s="1104"/>
      <c r="X222" s="1104"/>
      <c r="Y222" s="1104"/>
      <c r="Z222" s="1104"/>
      <c r="AA222" s="1104"/>
      <c r="AB222" s="1104"/>
      <c r="AC222" s="1104"/>
      <c r="AD222" s="1104"/>
      <c r="AE222" s="1104"/>
      <c r="AF222" s="1104"/>
      <c r="AG222" s="1106"/>
      <c r="AH222" s="1106"/>
      <c r="AI222" s="1106"/>
      <c r="AJ222" s="1106"/>
      <c r="AK222" s="1106"/>
      <c r="AL222" s="1106"/>
      <c r="AM222" s="1106"/>
      <c r="AN222" s="1106"/>
      <c r="AO222" s="1106"/>
      <c r="AP222" s="1106"/>
      <c r="AQ222" s="1106"/>
      <c r="AR222" s="1106"/>
      <c r="AS222" s="1106"/>
      <c r="AT222" s="1106"/>
      <c r="AU222" s="1106"/>
      <c r="AV222" s="1106"/>
      <c r="AW222" s="1106"/>
      <c r="AX222" s="1106"/>
    </row>
    <row r="223">
      <c r="T223" s="1102"/>
      <c r="U223" s="1104"/>
      <c r="V223" s="1104"/>
      <c r="W223" s="1104"/>
      <c r="X223" s="1104"/>
      <c r="Y223" s="1104"/>
      <c r="Z223" s="1104"/>
      <c r="AA223" s="1104"/>
      <c r="AB223" s="1104"/>
      <c r="AC223" s="1104"/>
      <c r="AD223" s="1104"/>
      <c r="AE223" s="1104"/>
      <c r="AF223" s="1104"/>
      <c r="AG223" s="1106"/>
      <c r="AH223" s="1106"/>
      <c r="AI223" s="1106"/>
      <c r="AJ223" s="1106"/>
      <c r="AK223" s="1106"/>
      <c r="AL223" s="1106"/>
      <c r="AM223" s="1106"/>
      <c r="AN223" s="1106"/>
      <c r="AO223" s="1106"/>
      <c r="AP223" s="1106"/>
      <c r="AQ223" s="1106"/>
      <c r="AR223" s="1106"/>
      <c r="AS223" s="1106"/>
      <c r="AT223" s="1106"/>
      <c r="AU223" s="1106"/>
      <c r="AV223" s="1106"/>
      <c r="AW223" s="1106"/>
      <c r="AX223" s="1106"/>
    </row>
    <row r="224">
      <c r="T224" s="1102"/>
      <c r="U224" s="1104"/>
      <c r="V224" s="1104"/>
      <c r="W224" s="1104"/>
      <c r="X224" s="1104"/>
      <c r="Y224" s="1104"/>
      <c r="Z224" s="1104"/>
      <c r="AA224" s="1104"/>
      <c r="AB224" s="1104"/>
      <c r="AC224" s="1104"/>
      <c r="AD224" s="1104"/>
      <c r="AE224" s="1104"/>
      <c r="AF224" s="1104"/>
      <c r="AG224" s="1106"/>
      <c r="AH224" s="1106"/>
      <c r="AI224" s="1106"/>
      <c r="AJ224" s="1106"/>
      <c r="AK224" s="1106"/>
      <c r="AL224" s="1106"/>
      <c r="AM224" s="1106"/>
      <c r="AN224" s="1106"/>
      <c r="AO224" s="1106"/>
      <c r="AP224" s="1106"/>
      <c r="AQ224" s="1106"/>
      <c r="AR224" s="1106"/>
      <c r="AS224" s="1106"/>
      <c r="AT224" s="1106"/>
      <c r="AU224" s="1106"/>
      <c r="AV224" s="1106"/>
      <c r="AW224" s="1106"/>
      <c r="AX224" s="1106"/>
    </row>
    <row r="225">
      <c r="T225" s="1102"/>
      <c r="U225" s="1104"/>
      <c r="V225" s="1104"/>
      <c r="W225" s="1104"/>
      <c r="X225" s="1104"/>
      <c r="Y225" s="1104"/>
      <c r="Z225" s="1104"/>
      <c r="AA225" s="1104"/>
      <c r="AB225" s="1104"/>
      <c r="AC225" s="1104"/>
      <c r="AD225" s="1104"/>
      <c r="AE225" s="1104"/>
      <c r="AF225" s="1104"/>
      <c r="AG225" s="1106"/>
      <c r="AH225" s="1106"/>
      <c r="AI225" s="1106"/>
      <c r="AJ225" s="1106"/>
      <c r="AK225" s="1106"/>
      <c r="AL225" s="1106"/>
      <c r="AM225" s="1106"/>
      <c r="AN225" s="1106"/>
      <c r="AO225" s="1106"/>
      <c r="AP225" s="1106"/>
      <c r="AQ225" s="1106"/>
      <c r="AR225" s="1106"/>
      <c r="AS225" s="1106"/>
      <c r="AT225" s="1106"/>
      <c r="AU225" s="1106"/>
      <c r="AV225" s="1106"/>
      <c r="AW225" s="1106"/>
      <c r="AX225" s="1106"/>
    </row>
    <row r="226">
      <c r="T226" s="1102"/>
      <c r="U226" s="1104"/>
      <c r="V226" s="1104"/>
      <c r="W226" s="1104"/>
      <c r="X226" s="1104"/>
      <c r="Y226" s="1104"/>
      <c r="Z226" s="1104"/>
      <c r="AA226" s="1104"/>
      <c r="AB226" s="1104"/>
      <c r="AC226" s="1104"/>
      <c r="AD226" s="1104"/>
      <c r="AE226" s="1104"/>
      <c r="AF226" s="1104"/>
      <c r="AG226" s="1106"/>
      <c r="AH226" s="1106"/>
      <c r="AI226" s="1106"/>
      <c r="AJ226" s="1106"/>
      <c r="AK226" s="1106"/>
      <c r="AL226" s="1106"/>
      <c r="AM226" s="1106"/>
      <c r="AN226" s="1106"/>
      <c r="AO226" s="1106"/>
      <c r="AP226" s="1106"/>
      <c r="AQ226" s="1106"/>
      <c r="AR226" s="1106"/>
      <c r="AS226" s="1106"/>
      <c r="AT226" s="1106"/>
      <c r="AU226" s="1106"/>
      <c r="AV226" s="1106"/>
      <c r="AW226" s="1106"/>
      <c r="AX226" s="1106"/>
    </row>
    <row r="227">
      <c r="T227" s="1102"/>
      <c r="U227" s="1104"/>
      <c r="V227" s="1104"/>
      <c r="W227" s="1104"/>
      <c r="X227" s="1104"/>
      <c r="Y227" s="1104"/>
      <c r="Z227" s="1104"/>
      <c r="AA227" s="1104"/>
      <c r="AB227" s="1104"/>
      <c r="AC227" s="1104"/>
      <c r="AD227" s="1104"/>
      <c r="AE227" s="1104"/>
      <c r="AF227" s="1104"/>
      <c r="AG227" s="1106"/>
      <c r="AH227" s="1106"/>
      <c r="AI227" s="1106"/>
      <c r="AJ227" s="1106"/>
      <c r="AK227" s="1106"/>
      <c r="AL227" s="1106"/>
      <c r="AM227" s="1106"/>
      <c r="AN227" s="1106"/>
      <c r="AO227" s="1106"/>
      <c r="AP227" s="1106"/>
      <c r="AQ227" s="1106"/>
      <c r="AR227" s="1106"/>
      <c r="AS227" s="1106"/>
      <c r="AT227" s="1106"/>
      <c r="AU227" s="1106"/>
      <c r="AV227" s="1106"/>
      <c r="AW227" s="1106"/>
      <c r="AX227" s="1106"/>
    </row>
    <row r="228">
      <c r="T228" s="1102"/>
      <c r="U228" s="1104"/>
      <c r="V228" s="1104"/>
      <c r="W228" s="1104"/>
      <c r="X228" s="1104"/>
      <c r="Y228" s="1104"/>
      <c r="Z228" s="1104"/>
      <c r="AA228" s="1104"/>
      <c r="AB228" s="1104"/>
      <c r="AC228" s="1104"/>
      <c r="AD228" s="1104"/>
      <c r="AE228" s="1104"/>
      <c r="AF228" s="1104"/>
      <c r="AG228" s="1106"/>
      <c r="AH228" s="1106"/>
      <c r="AI228" s="1106"/>
      <c r="AJ228" s="1106"/>
      <c r="AK228" s="1106"/>
      <c r="AL228" s="1106"/>
      <c r="AM228" s="1106"/>
      <c r="AN228" s="1106"/>
      <c r="AO228" s="1106"/>
      <c r="AP228" s="1106"/>
      <c r="AQ228" s="1106"/>
      <c r="AR228" s="1106"/>
      <c r="AS228" s="1106"/>
      <c r="AT228" s="1106"/>
      <c r="AU228" s="1106"/>
      <c r="AV228" s="1106"/>
      <c r="AW228" s="1106"/>
      <c r="AX228" s="1106"/>
    </row>
    <row r="229">
      <c r="T229" s="1102"/>
      <c r="U229" s="1104"/>
      <c r="V229" s="1104"/>
      <c r="W229" s="1104"/>
      <c r="X229" s="1104"/>
      <c r="Y229" s="1104"/>
      <c r="Z229" s="1104"/>
      <c r="AA229" s="1104"/>
      <c r="AB229" s="1104"/>
      <c r="AC229" s="1104"/>
      <c r="AD229" s="1104"/>
      <c r="AE229" s="1104"/>
      <c r="AF229" s="1104"/>
      <c r="AG229" s="1106"/>
      <c r="AH229" s="1106"/>
      <c r="AI229" s="1106"/>
      <c r="AJ229" s="1106"/>
      <c r="AK229" s="1106"/>
      <c r="AL229" s="1106"/>
      <c r="AM229" s="1106"/>
      <c r="AN229" s="1106"/>
      <c r="AO229" s="1106"/>
      <c r="AP229" s="1106"/>
      <c r="AQ229" s="1106"/>
      <c r="AR229" s="1106"/>
      <c r="AS229" s="1106"/>
      <c r="AT229" s="1106"/>
      <c r="AU229" s="1106"/>
      <c r="AV229" s="1106"/>
      <c r="AW229" s="1106"/>
      <c r="AX229" s="1106"/>
    </row>
    <row r="230">
      <c r="T230" s="1102"/>
      <c r="U230" s="1104"/>
      <c r="V230" s="1104"/>
      <c r="W230" s="1104"/>
      <c r="X230" s="1104"/>
      <c r="Y230" s="1104"/>
      <c r="Z230" s="1104"/>
      <c r="AA230" s="1104"/>
      <c r="AB230" s="1104"/>
      <c r="AC230" s="1104"/>
      <c r="AD230" s="1104"/>
      <c r="AE230" s="1104"/>
      <c r="AF230" s="1104"/>
      <c r="AG230" s="1106"/>
      <c r="AH230" s="1106"/>
      <c r="AI230" s="1106"/>
      <c r="AJ230" s="1106"/>
      <c r="AK230" s="1106"/>
      <c r="AL230" s="1106"/>
      <c r="AM230" s="1106"/>
      <c r="AN230" s="1106"/>
      <c r="AO230" s="1106"/>
      <c r="AP230" s="1106"/>
      <c r="AQ230" s="1106"/>
      <c r="AR230" s="1106"/>
      <c r="AS230" s="1106"/>
      <c r="AT230" s="1106"/>
      <c r="AU230" s="1106"/>
      <c r="AV230" s="1106"/>
      <c r="AW230" s="1106"/>
      <c r="AX230" s="1106"/>
    </row>
    <row r="231">
      <c r="T231" s="1102"/>
      <c r="U231" s="1104"/>
      <c r="V231" s="1104"/>
      <c r="W231" s="1104"/>
      <c r="X231" s="1104"/>
      <c r="Y231" s="1104"/>
      <c r="Z231" s="1104"/>
      <c r="AA231" s="1104"/>
      <c r="AB231" s="1104"/>
      <c r="AC231" s="1104"/>
      <c r="AD231" s="1104"/>
      <c r="AE231" s="1104"/>
      <c r="AF231" s="1104"/>
      <c r="AG231" s="1106"/>
      <c r="AH231" s="1106"/>
      <c r="AI231" s="1106"/>
      <c r="AJ231" s="1106"/>
      <c r="AK231" s="1106"/>
      <c r="AL231" s="1106"/>
      <c r="AM231" s="1106"/>
      <c r="AN231" s="1106"/>
      <c r="AO231" s="1106"/>
      <c r="AP231" s="1106"/>
      <c r="AQ231" s="1106"/>
      <c r="AR231" s="1106"/>
      <c r="AS231" s="1106"/>
      <c r="AT231" s="1106"/>
      <c r="AU231" s="1106"/>
      <c r="AV231" s="1106"/>
      <c r="AW231" s="1106"/>
      <c r="AX231" s="1106"/>
    </row>
    <row r="232">
      <c r="T232" s="1102"/>
      <c r="U232" s="1104"/>
      <c r="V232" s="1104"/>
      <c r="W232" s="1104"/>
      <c r="X232" s="1104"/>
      <c r="Y232" s="1104"/>
      <c r="Z232" s="1104"/>
      <c r="AA232" s="1104"/>
      <c r="AB232" s="1104"/>
      <c r="AC232" s="1104"/>
      <c r="AD232" s="1104"/>
      <c r="AE232" s="1104"/>
      <c r="AF232" s="1104"/>
      <c r="AG232" s="1106"/>
      <c r="AH232" s="1106"/>
      <c r="AI232" s="1106"/>
      <c r="AJ232" s="1106"/>
      <c r="AK232" s="1106"/>
      <c r="AL232" s="1106"/>
      <c r="AM232" s="1106"/>
      <c r="AN232" s="1106"/>
      <c r="AO232" s="1106"/>
      <c r="AP232" s="1106"/>
      <c r="AQ232" s="1106"/>
      <c r="AR232" s="1106"/>
      <c r="AS232" s="1106"/>
      <c r="AT232" s="1106"/>
      <c r="AU232" s="1106"/>
      <c r="AV232" s="1106"/>
      <c r="AW232" s="1106"/>
      <c r="AX232" s="1106"/>
    </row>
    <row r="233">
      <c r="T233" s="1102"/>
      <c r="U233" s="1104"/>
      <c r="V233" s="1104"/>
      <c r="W233" s="1104"/>
      <c r="X233" s="1104"/>
      <c r="Y233" s="1104"/>
      <c r="Z233" s="1104"/>
      <c r="AA233" s="1104"/>
      <c r="AB233" s="1104"/>
      <c r="AC233" s="1104"/>
      <c r="AD233" s="1104"/>
      <c r="AE233" s="1104"/>
      <c r="AF233" s="1104"/>
      <c r="AG233" s="1106"/>
      <c r="AH233" s="1106"/>
      <c r="AI233" s="1106"/>
      <c r="AJ233" s="1106"/>
      <c r="AK233" s="1106"/>
      <c r="AL233" s="1106"/>
      <c r="AM233" s="1106"/>
      <c r="AN233" s="1106"/>
      <c r="AO233" s="1106"/>
      <c r="AP233" s="1106"/>
      <c r="AQ233" s="1106"/>
      <c r="AR233" s="1106"/>
      <c r="AS233" s="1106"/>
      <c r="AT233" s="1106"/>
      <c r="AU233" s="1106"/>
      <c r="AV233" s="1106"/>
      <c r="AW233" s="1106"/>
      <c r="AX233" s="1106"/>
    </row>
    <row r="234">
      <c r="T234" s="1102"/>
      <c r="U234" s="1104"/>
      <c r="V234" s="1104"/>
      <c r="W234" s="1104"/>
      <c r="X234" s="1104"/>
      <c r="Y234" s="1104"/>
      <c r="Z234" s="1104"/>
      <c r="AA234" s="1104"/>
      <c r="AB234" s="1104"/>
      <c r="AC234" s="1104"/>
      <c r="AD234" s="1104"/>
      <c r="AE234" s="1104"/>
      <c r="AF234" s="1104"/>
      <c r="AG234" s="1106"/>
      <c r="AH234" s="1106"/>
      <c r="AI234" s="1106"/>
      <c r="AJ234" s="1106"/>
      <c r="AK234" s="1106"/>
      <c r="AL234" s="1106"/>
      <c r="AM234" s="1106"/>
      <c r="AN234" s="1106"/>
      <c r="AO234" s="1106"/>
      <c r="AP234" s="1106"/>
      <c r="AQ234" s="1106"/>
      <c r="AR234" s="1106"/>
      <c r="AS234" s="1106"/>
      <c r="AT234" s="1106"/>
      <c r="AU234" s="1106"/>
      <c r="AV234" s="1106"/>
      <c r="AW234" s="1106"/>
      <c r="AX234" s="1106"/>
    </row>
    <row r="235">
      <c r="T235" s="1102"/>
      <c r="U235" s="1104"/>
      <c r="V235" s="1104"/>
      <c r="W235" s="1104"/>
      <c r="X235" s="1104"/>
      <c r="Y235" s="1104"/>
      <c r="Z235" s="1104"/>
      <c r="AA235" s="1104"/>
      <c r="AB235" s="1104"/>
      <c r="AC235" s="1104"/>
      <c r="AD235" s="1104"/>
      <c r="AE235" s="1104"/>
      <c r="AF235" s="1104"/>
      <c r="AG235" s="1106"/>
      <c r="AH235" s="1106"/>
      <c r="AI235" s="1106"/>
      <c r="AJ235" s="1106"/>
      <c r="AK235" s="1106"/>
      <c r="AL235" s="1106"/>
      <c r="AM235" s="1106"/>
      <c r="AN235" s="1106"/>
      <c r="AO235" s="1106"/>
      <c r="AP235" s="1106"/>
      <c r="AQ235" s="1106"/>
      <c r="AR235" s="1106"/>
      <c r="AS235" s="1106"/>
      <c r="AT235" s="1106"/>
      <c r="AU235" s="1106"/>
      <c r="AV235" s="1106"/>
      <c r="AW235" s="1106"/>
      <c r="AX235" s="1106"/>
    </row>
    <row r="236">
      <c r="T236" s="1102"/>
      <c r="U236" s="1104"/>
      <c r="V236" s="1104"/>
      <c r="W236" s="1104"/>
      <c r="X236" s="1104"/>
      <c r="Y236" s="1104"/>
      <c r="Z236" s="1104"/>
      <c r="AA236" s="1104"/>
      <c r="AB236" s="1104"/>
      <c r="AC236" s="1104"/>
      <c r="AD236" s="1104"/>
      <c r="AE236" s="1104"/>
      <c r="AF236" s="1104"/>
      <c r="AG236" s="1106"/>
      <c r="AH236" s="1106"/>
      <c r="AI236" s="1106"/>
      <c r="AJ236" s="1106"/>
      <c r="AK236" s="1106"/>
      <c r="AL236" s="1106"/>
      <c r="AM236" s="1106"/>
      <c r="AN236" s="1106"/>
      <c r="AO236" s="1106"/>
      <c r="AP236" s="1106"/>
      <c r="AQ236" s="1106"/>
      <c r="AR236" s="1106"/>
      <c r="AS236" s="1106"/>
      <c r="AT236" s="1106"/>
      <c r="AU236" s="1106"/>
      <c r="AV236" s="1106"/>
      <c r="AW236" s="1106"/>
      <c r="AX236" s="1106"/>
    </row>
    <row r="237">
      <c r="T237" s="1102"/>
      <c r="U237" s="1104"/>
      <c r="V237" s="1104"/>
      <c r="W237" s="1104"/>
      <c r="X237" s="1104"/>
      <c r="Y237" s="1104"/>
      <c r="Z237" s="1104"/>
      <c r="AA237" s="1104"/>
      <c r="AB237" s="1104"/>
      <c r="AC237" s="1104"/>
      <c r="AD237" s="1104"/>
      <c r="AE237" s="1104"/>
      <c r="AF237" s="1104"/>
      <c r="AG237" s="1106"/>
      <c r="AH237" s="1106"/>
      <c r="AI237" s="1106"/>
      <c r="AJ237" s="1106"/>
      <c r="AK237" s="1106"/>
      <c r="AL237" s="1106"/>
      <c r="AM237" s="1106"/>
      <c r="AN237" s="1106"/>
      <c r="AO237" s="1106"/>
      <c r="AP237" s="1106"/>
      <c r="AQ237" s="1106"/>
      <c r="AR237" s="1106"/>
      <c r="AS237" s="1106"/>
      <c r="AT237" s="1106"/>
      <c r="AU237" s="1106"/>
      <c r="AV237" s="1106"/>
      <c r="AW237" s="1106"/>
      <c r="AX237" s="1106"/>
    </row>
    <row r="238">
      <c r="T238" s="1102"/>
      <c r="U238" s="1104"/>
      <c r="V238" s="1104"/>
      <c r="W238" s="1104"/>
      <c r="X238" s="1104"/>
      <c r="Y238" s="1104"/>
      <c r="Z238" s="1104"/>
      <c r="AA238" s="1104"/>
      <c r="AB238" s="1104"/>
      <c r="AC238" s="1104"/>
      <c r="AD238" s="1104"/>
      <c r="AE238" s="1104"/>
      <c r="AF238" s="1104"/>
      <c r="AG238" s="1106"/>
      <c r="AH238" s="1106"/>
      <c r="AI238" s="1106"/>
      <c r="AJ238" s="1106"/>
      <c r="AK238" s="1106"/>
      <c r="AL238" s="1106"/>
      <c r="AM238" s="1106"/>
      <c r="AN238" s="1106"/>
      <c r="AO238" s="1106"/>
      <c r="AP238" s="1106"/>
      <c r="AQ238" s="1106"/>
      <c r="AR238" s="1106"/>
      <c r="AS238" s="1106"/>
      <c r="AT238" s="1106"/>
      <c r="AU238" s="1106"/>
      <c r="AV238" s="1106"/>
      <c r="AW238" s="1106"/>
      <c r="AX238" s="1106"/>
    </row>
    <row r="239">
      <c r="T239" s="1102"/>
      <c r="U239" s="1104"/>
      <c r="V239" s="1104"/>
      <c r="W239" s="1104"/>
      <c r="X239" s="1104"/>
      <c r="Y239" s="1104"/>
      <c r="Z239" s="1104"/>
      <c r="AA239" s="1104"/>
      <c r="AB239" s="1104"/>
      <c r="AC239" s="1104"/>
      <c r="AD239" s="1104"/>
      <c r="AE239" s="1104"/>
      <c r="AF239" s="1104"/>
      <c r="AG239" s="1106"/>
      <c r="AH239" s="1106"/>
      <c r="AI239" s="1106"/>
      <c r="AJ239" s="1106"/>
      <c r="AK239" s="1106"/>
      <c r="AL239" s="1106"/>
      <c r="AM239" s="1106"/>
      <c r="AN239" s="1106"/>
      <c r="AO239" s="1106"/>
      <c r="AP239" s="1106"/>
      <c r="AQ239" s="1106"/>
      <c r="AR239" s="1106"/>
      <c r="AS239" s="1106"/>
      <c r="AT239" s="1106"/>
      <c r="AU239" s="1106"/>
      <c r="AV239" s="1106"/>
      <c r="AW239" s="1106"/>
      <c r="AX239" s="1106"/>
    </row>
    <row r="240">
      <c r="T240" s="1102"/>
      <c r="U240" s="1104"/>
      <c r="V240" s="1104"/>
      <c r="W240" s="1104"/>
      <c r="X240" s="1104"/>
      <c r="Y240" s="1104"/>
      <c r="Z240" s="1104"/>
      <c r="AA240" s="1104"/>
      <c r="AB240" s="1104"/>
      <c r="AC240" s="1104"/>
      <c r="AD240" s="1104"/>
      <c r="AE240" s="1104"/>
      <c r="AF240" s="1104"/>
      <c r="AG240" s="1106"/>
      <c r="AH240" s="1106"/>
      <c r="AI240" s="1106"/>
      <c r="AJ240" s="1106"/>
      <c r="AK240" s="1106"/>
      <c r="AL240" s="1106"/>
      <c r="AM240" s="1106"/>
      <c r="AN240" s="1106"/>
      <c r="AO240" s="1106"/>
      <c r="AP240" s="1106"/>
      <c r="AQ240" s="1106"/>
      <c r="AR240" s="1106"/>
      <c r="AS240" s="1106"/>
      <c r="AT240" s="1106"/>
      <c r="AU240" s="1106"/>
      <c r="AV240" s="1106"/>
      <c r="AW240" s="1106"/>
      <c r="AX240" s="1106"/>
    </row>
    <row r="241">
      <c r="T241" s="1102"/>
      <c r="U241" s="1104"/>
      <c r="V241" s="1104"/>
      <c r="W241" s="1104"/>
      <c r="X241" s="1104"/>
      <c r="Y241" s="1104"/>
      <c r="Z241" s="1104"/>
      <c r="AA241" s="1104"/>
      <c r="AB241" s="1104"/>
      <c r="AC241" s="1104"/>
      <c r="AD241" s="1104"/>
      <c r="AE241" s="1104"/>
      <c r="AF241" s="1104"/>
      <c r="AG241" s="1106"/>
      <c r="AH241" s="1106"/>
      <c r="AI241" s="1106"/>
      <c r="AJ241" s="1106"/>
      <c r="AK241" s="1106"/>
      <c r="AL241" s="1106"/>
      <c r="AM241" s="1106"/>
      <c r="AN241" s="1106"/>
      <c r="AO241" s="1106"/>
      <c r="AP241" s="1106"/>
      <c r="AQ241" s="1106"/>
      <c r="AR241" s="1106"/>
      <c r="AS241" s="1106"/>
      <c r="AT241" s="1106"/>
      <c r="AU241" s="1106"/>
      <c r="AV241" s="1106"/>
      <c r="AW241" s="1106"/>
      <c r="AX241" s="1106"/>
    </row>
    <row r="242">
      <c r="T242" s="1102"/>
      <c r="U242" s="1104"/>
      <c r="V242" s="1104"/>
      <c r="W242" s="1104"/>
      <c r="X242" s="1104"/>
      <c r="Y242" s="1104"/>
      <c r="Z242" s="1104"/>
      <c r="AA242" s="1104"/>
      <c r="AB242" s="1104"/>
      <c r="AC242" s="1104"/>
      <c r="AD242" s="1104"/>
      <c r="AE242" s="1104"/>
      <c r="AF242" s="1104"/>
      <c r="AG242" s="1106"/>
      <c r="AH242" s="1106"/>
      <c r="AI242" s="1106"/>
      <c r="AJ242" s="1106"/>
      <c r="AK242" s="1106"/>
      <c r="AL242" s="1106"/>
      <c r="AM242" s="1106"/>
      <c r="AN242" s="1106"/>
      <c r="AO242" s="1106"/>
      <c r="AP242" s="1106"/>
      <c r="AQ242" s="1106"/>
      <c r="AR242" s="1106"/>
      <c r="AS242" s="1106"/>
      <c r="AT242" s="1106"/>
      <c r="AU242" s="1106"/>
      <c r="AV242" s="1106"/>
      <c r="AW242" s="1106"/>
      <c r="AX242" s="1106"/>
    </row>
    <row r="243">
      <c r="T243" s="1102"/>
      <c r="U243" s="1104"/>
      <c r="V243" s="1104"/>
      <c r="W243" s="1104"/>
      <c r="X243" s="1104"/>
      <c r="Y243" s="1104"/>
      <c r="Z243" s="1104"/>
      <c r="AA243" s="1104"/>
      <c r="AB243" s="1104"/>
      <c r="AC243" s="1104"/>
      <c r="AD243" s="1104"/>
      <c r="AE243" s="1104"/>
      <c r="AF243" s="1104"/>
      <c r="AG243" s="1106"/>
      <c r="AH243" s="1106"/>
      <c r="AI243" s="1106"/>
      <c r="AJ243" s="1106"/>
      <c r="AK243" s="1106"/>
      <c r="AL243" s="1106"/>
      <c r="AM243" s="1106"/>
      <c r="AN243" s="1106"/>
      <c r="AO243" s="1106"/>
      <c r="AP243" s="1106"/>
      <c r="AQ243" s="1106"/>
      <c r="AR243" s="1106"/>
      <c r="AS243" s="1106"/>
      <c r="AT243" s="1106"/>
      <c r="AU243" s="1106"/>
      <c r="AV243" s="1106"/>
      <c r="AW243" s="1106"/>
      <c r="AX243" s="1106"/>
    </row>
    <row r="244">
      <c r="T244" s="1102"/>
      <c r="U244" s="1104"/>
      <c r="V244" s="1104"/>
      <c r="W244" s="1104"/>
      <c r="X244" s="1104"/>
      <c r="Y244" s="1104"/>
      <c r="Z244" s="1104"/>
      <c r="AA244" s="1104"/>
      <c r="AB244" s="1104"/>
      <c r="AC244" s="1104"/>
      <c r="AD244" s="1104"/>
      <c r="AE244" s="1104"/>
      <c r="AF244" s="1104"/>
      <c r="AG244" s="1106"/>
      <c r="AH244" s="1106"/>
      <c r="AI244" s="1106"/>
      <c r="AJ244" s="1106"/>
      <c r="AK244" s="1106"/>
      <c r="AL244" s="1106"/>
      <c r="AM244" s="1106"/>
      <c r="AN244" s="1106"/>
      <c r="AO244" s="1106"/>
      <c r="AP244" s="1106"/>
      <c r="AQ244" s="1106"/>
      <c r="AR244" s="1106"/>
      <c r="AS244" s="1106"/>
      <c r="AT244" s="1106"/>
      <c r="AU244" s="1106"/>
      <c r="AV244" s="1106"/>
      <c r="AW244" s="1106"/>
      <c r="AX244" s="1106"/>
    </row>
    <row r="245">
      <c r="T245" s="1102"/>
      <c r="U245" s="1104"/>
      <c r="V245" s="1104"/>
      <c r="W245" s="1104"/>
      <c r="X245" s="1104"/>
      <c r="Y245" s="1104"/>
      <c r="Z245" s="1104"/>
      <c r="AA245" s="1104"/>
      <c r="AB245" s="1104"/>
      <c r="AC245" s="1104"/>
      <c r="AD245" s="1104"/>
      <c r="AE245" s="1104"/>
      <c r="AF245" s="1104"/>
      <c r="AG245" s="1106"/>
      <c r="AH245" s="1106"/>
      <c r="AI245" s="1106"/>
      <c r="AJ245" s="1106"/>
      <c r="AK245" s="1106"/>
      <c r="AL245" s="1106"/>
      <c r="AM245" s="1106"/>
      <c r="AN245" s="1106"/>
      <c r="AO245" s="1106"/>
      <c r="AP245" s="1106"/>
      <c r="AQ245" s="1106"/>
      <c r="AR245" s="1106"/>
      <c r="AS245" s="1106"/>
      <c r="AT245" s="1106"/>
      <c r="AU245" s="1106"/>
      <c r="AV245" s="1106"/>
      <c r="AW245" s="1106"/>
      <c r="AX245" s="1106"/>
    </row>
    <row r="246">
      <c r="T246" s="1102"/>
      <c r="U246" s="1104"/>
      <c r="V246" s="1104"/>
      <c r="W246" s="1104"/>
      <c r="X246" s="1104"/>
      <c r="Y246" s="1104"/>
      <c r="Z246" s="1104"/>
      <c r="AA246" s="1104"/>
      <c r="AB246" s="1104"/>
      <c r="AC246" s="1104"/>
      <c r="AD246" s="1104"/>
      <c r="AE246" s="1104"/>
      <c r="AF246" s="1104"/>
      <c r="AG246" s="1106"/>
      <c r="AH246" s="1106"/>
      <c r="AI246" s="1106"/>
      <c r="AJ246" s="1106"/>
      <c r="AK246" s="1106"/>
      <c r="AL246" s="1106"/>
      <c r="AM246" s="1106"/>
      <c r="AN246" s="1106"/>
      <c r="AO246" s="1106"/>
      <c r="AP246" s="1106"/>
      <c r="AQ246" s="1106"/>
      <c r="AR246" s="1106"/>
      <c r="AS246" s="1106"/>
      <c r="AT246" s="1106"/>
      <c r="AU246" s="1106"/>
      <c r="AV246" s="1106"/>
      <c r="AW246" s="1106"/>
      <c r="AX246" s="1106"/>
    </row>
    <row r="247">
      <c r="T247" s="1102"/>
      <c r="U247" s="1104"/>
      <c r="V247" s="1104"/>
      <c r="W247" s="1104"/>
      <c r="X247" s="1104"/>
      <c r="Y247" s="1104"/>
      <c r="Z247" s="1104"/>
      <c r="AA247" s="1104"/>
      <c r="AB247" s="1104"/>
      <c r="AC247" s="1104"/>
      <c r="AD247" s="1104"/>
      <c r="AE247" s="1104"/>
      <c r="AF247" s="1104"/>
      <c r="AG247" s="1106"/>
      <c r="AH247" s="1106"/>
      <c r="AI247" s="1106"/>
      <c r="AJ247" s="1106"/>
      <c r="AK247" s="1106"/>
      <c r="AL247" s="1106"/>
      <c r="AM247" s="1106"/>
      <c r="AN247" s="1106"/>
      <c r="AO247" s="1106"/>
      <c r="AP247" s="1106"/>
      <c r="AQ247" s="1106"/>
      <c r="AR247" s="1106"/>
      <c r="AS247" s="1106"/>
      <c r="AT247" s="1106"/>
      <c r="AU247" s="1106"/>
      <c r="AV247" s="1106"/>
      <c r="AW247" s="1106"/>
      <c r="AX247" s="1106"/>
    </row>
    <row r="248">
      <c r="T248" s="1102"/>
      <c r="U248" s="1104"/>
      <c r="V248" s="1104"/>
      <c r="W248" s="1104"/>
      <c r="X248" s="1104"/>
      <c r="Y248" s="1104"/>
      <c r="Z248" s="1104"/>
      <c r="AA248" s="1104"/>
      <c r="AB248" s="1104"/>
      <c r="AC248" s="1104"/>
      <c r="AD248" s="1104"/>
      <c r="AE248" s="1104"/>
      <c r="AF248" s="1104"/>
      <c r="AG248" s="1106"/>
      <c r="AH248" s="1106"/>
      <c r="AI248" s="1106"/>
      <c r="AJ248" s="1106"/>
      <c r="AK248" s="1106"/>
      <c r="AL248" s="1106"/>
      <c r="AM248" s="1106"/>
      <c r="AN248" s="1106"/>
      <c r="AO248" s="1106"/>
      <c r="AP248" s="1106"/>
      <c r="AQ248" s="1106"/>
      <c r="AR248" s="1106"/>
      <c r="AS248" s="1106"/>
      <c r="AT248" s="1106"/>
      <c r="AU248" s="1106"/>
      <c r="AV248" s="1106"/>
      <c r="AW248" s="1106"/>
      <c r="AX248" s="1106"/>
    </row>
    <row r="249">
      <c r="T249" s="1102"/>
      <c r="U249" s="1104"/>
      <c r="V249" s="1104"/>
      <c r="W249" s="1104"/>
      <c r="X249" s="1104"/>
      <c r="Y249" s="1104"/>
      <c r="Z249" s="1104"/>
      <c r="AA249" s="1104"/>
      <c r="AB249" s="1104"/>
      <c r="AC249" s="1104"/>
      <c r="AD249" s="1104"/>
      <c r="AE249" s="1104"/>
      <c r="AF249" s="1104"/>
      <c r="AG249" s="1106"/>
      <c r="AH249" s="1106"/>
      <c r="AI249" s="1106"/>
      <c r="AJ249" s="1106"/>
      <c r="AK249" s="1106"/>
      <c r="AL249" s="1106"/>
      <c r="AM249" s="1106"/>
      <c r="AN249" s="1106"/>
      <c r="AO249" s="1106"/>
      <c r="AP249" s="1106"/>
      <c r="AQ249" s="1106"/>
      <c r="AR249" s="1106"/>
      <c r="AS249" s="1106"/>
      <c r="AT249" s="1106"/>
      <c r="AU249" s="1106"/>
      <c r="AV249" s="1106"/>
      <c r="AW249" s="1106"/>
      <c r="AX249" s="1106"/>
    </row>
    <row r="250">
      <c r="T250" s="1102"/>
      <c r="U250" s="1104"/>
      <c r="V250" s="1104"/>
      <c r="W250" s="1104"/>
      <c r="X250" s="1104"/>
      <c r="Y250" s="1104"/>
      <c r="Z250" s="1104"/>
      <c r="AA250" s="1104"/>
      <c r="AB250" s="1104"/>
      <c r="AC250" s="1104"/>
      <c r="AD250" s="1104"/>
      <c r="AE250" s="1104"/>
      <c r="AF250" s="1104"/>
      <c r="AG250" s="1106"/>
      <c r="AH250" s="1106"/>
      <c r="AI250" s="1106"/>
      <c r="AJ250" s="1106"/>
      <c r="AK250" s="1106"/>
      <c r="AL250" s="1106"/>
      <c r="AM250" s="1106"/>
      <c r="AN250" s="1106"/>
      <c r="AO250" s="1106"/>
      <c r="AP250" s="1106"/>
      <c r="AQ250" s="1106"/>
      <c r="AR250" s="1106"/>
      <c r="AS250" s="1106"/>
      <c r="AT250" s="1106"/>
      <c r="AU250" s="1106"/>
      <c r="AV250" s="1106"/>
      <c r="AW250" s="1106"/>
      <c r="AX250" s="1106"/>
    </row>
    <row r="251">
      <c r="T251" s="1102"/>
      <c r="U251" s="1104"/>
      <c r="V251" s="1104"/>
      <c r="W251" s="1104"/>
      <c r="X251" s="1104"/>
      <c r="Y251" s="1104"/>
      <c r="Z251" s="1104"/>
      <c r="AA251" s="1104"/>
      <c r="AB251" s="1104"/>
      <c r="AC251" s="1104"/>
      <c r="AD251" s="1104"/>
      <c r="AE251" s="1104"/>
      <c r="AF251" s="1104"/>
      <c r="AG251" s="1106"/>
      <c r="AH251" s="1106"/>
      <c r="AI251" s="1106"/>
      <c r="AJ251" s="1106"/>
      <c r="AK251" s="1106"/>
      <c r="AL251" s="1106"/>
      <c r="AM251" s="1106"/>
      <c r="AN251" s="1106"/>
      <c r="AO251" s="1106"/>
      <c r="AP251" s="1106"/>
      <c r="AQ251" s="1106"/>
      <c r="AR251" s="1106"/>
      <c r="AS251" s="1106"/>
      <c r="AT251" s="1106"/>
      <c r="AU251" s="1106"/>
      <c r="AV251" s="1106"/>
      <c r="AW251" s="1106"/>
      <c r="AX251" s="1106"/>
    </row>
    <row r="252">
      <c r="T252" s="1102"/>
      <c r="U252" s="1104"/>
      <c r="V252" s="1104"/>
      <c r="W252" s="1104"/>
      <c r="X252" s="1104"/>
      <c r="Y252" s="1104"/>
      <c r="Z252" s="1104"/>
      <c r="AA252" s="1104"/>
      <c r="AB252" s="1104"/>
      <c r="AC252" s="1104"/>
      <c r="AD252" s="1104"/>
      <c r="AE252" s="1104"/>
      <c r="AF252" s="1104"/>
      <c r="AG252" s="1106"/>
      <c r="AH252" s="1106"/>
      <c r="AI252" s="1106"/>
      <c r="AJ252" s="1106"/>
      <c r="AK252" s="1106"/>
      <c r="AL252" s="1106"/>
      <c r="AM252" s="1106"/>
      <c r="AN252" s="1106"/>
      <c r="AO252" s="1106"/>
      <c r="AP252" s="1106"/>
      <c r="AQ252" s="1106"/>
      <c r="AR252" s="1106"/>
      <c r="AS252" s="1106"/>
      <c r="AT252" s="1106"/>
      <c r="AU252" s="1106"/>
      <c r="AV252" s="1106"/>
      <c r="AW252" s="1106"/>
      <c r="AX252" s="1106"/>
    </row>
    <row r="253">
      <c r="T253" s="1102"/>
      <c r="U253" s="1104"/>
      <c r="V253" s="1104"/>
      <c r="W253" s="1104"/>
      <c r="X253" s="1104"/>
      <c r="Y253" s="1104"/>
      <c r="Z253" s="1104"/>
      <c r="AA253" s="1104"/>
      <c r="AB253" s="1104"/>
      <c r="AC253" s="1104"/>
      <c r="AD253" s="1104"/>
      <c r="AE253" s="1104"/>
      <c r="AF253" s="1104"/>
      <c r="AG253" s="1106"/>
      <c r="AH253" s="1106"/>
      <c r="AI253" s="1106"/>
      <c r="AJ253" s="1106"/>
      <c r="AK253" s="1106"/>
      <c r="AL253" s="1106"/>
      <c r="AM253" s="1106"/>
      <c r="AN253" s="1106"/>
      <c r="AO253" s="1106"/>
      <c r="AP253" s="1106"/>
      <c r="AQ253" s="1106"/>
      <c r="AR253" s="1106"/>
      <c r="AS253" s="1106"/>
      <c r="AT253" s="1106"/>
      <c r="AU253" s="1106"/>
      <c r="AV253" s="1106"/>
      <c r="AW253" s="1106"/>
      <c r="AX253" s="1106"/>
    </row>
    <row r="254">
      <c r="T254" s="1102"/>
      <c r="U254" s="1104"/>
      <c r="V254" s="1104"/>
      <c r="W254" s="1104"/>
      <c r="X254" s="1104"/>
      <c r="Y254" s="1104"/>
      <c r="Z254" s="1104"/>
      <c r="AA254" s="1104"/>
      <c r="AB254" s="1104"/>
      <c r="AC254" s="1104"/>
      <c r="AD254" s="1104"/>
      <c r="AE254" s="1104"/>
      <c r="AF254" s="1104"/>
      <c r="AG254" s="1106"/>
      <c r="AH254" s="1106"/>
      <c r="AI254" s="1106"/>
      <c r="AJ254" s="1106"/>
      <c r="AK254" s="1106"/>
      <c r="AL254" s="1106"/>
      <c r="AM254" s="1106"/>
      <c r="AN254" s="1106"/>
      <c r="AO254" s="1106"/>
      <c r="AP254" s="1106"/>
      <c r="AQ254" s="1106"/>
      <c r="AR254" s="1106"/>
      <c r="AS254" s="1106"/>
      <c r="AT254" s="1106"/>
      <c r="AU254" s="1106"/>
      <c r="AV254" s="1106"/>
      <c r="AW254" s="1106"/>
      <c r="AX254" s="1106"/>
    </row>
    <row r="255">
      <c r="T255" s="1102"/>
      <c r="U255" s="1104"/>
      <c r="V255" s="1104"/>
      <c r="W255" s="1104"/>
      <c r="X255" s="1104"/>
      <c r="Y255" s="1104"/>
      <c r="Z255" s="1104"/>
      <c r="AA255" s="1104"/>
      <c r="AB255" s="1104"/>
      <c r="AC255" s="1104"/>
      <c r="AD255" s="1104"/>
      <c r="AE255" s="1104"/>
      <c r="AF255" s="1104"/>
      <c r="AG255" s="1106"/>
      <c r="AH255" s="1106"/>
      <c r="AI255" s="1106"/>
      <c r="AJ255" s="1106"/>
      <c r="AK255" s="1106"/>
      <c r="AL255" s="1106"/>
      <c r="AM255" s="1106"/>
      <c r="AN255" s="1106"/>
      <c r="AO255" s="1106"/>
      <c r="AP255" s="1106"/>
      <c r="AQ255" s="1106"/>
      <c r="AR255" s="1106"/>
      <c r="AS255" s="1106"/>
      <c r="AT255" s="1106"/>
      <c r="AU255" s="1106"/>
      <c r="AV255" s="1106"/>
      <c r="AW255" s="1106"/>
      <c r="AX255" s="1106"/>
    </row>
    <row r="256">
      <c r="T256" s="1102"/>
      <c r="U256" s="1104"/>
      <c r="V256" s="1104"/>
      <c r="W256" s="1104"/>
      <c r="X256" s="1104"/>
      <c r="Y256" s="1104"/>
      <c r="Z256" s="1104"/>
      <c r="AA256" s="1104"/>
      <c r="AB256" s="1104"/>
      <c r="AC256" s="1104"/>
      <c r="AD256" s="1104"/>
      <c r="AE256" s="1104"/>
      <c r="AF256" s="1104"/>
      <c r="AG256" s="1106"/>
      <c r="AH256" s="1106"/>
      <c r="AI256" s="1106"/>
      <c r="AJ256" s="1106"/>
      <c r="AK256" s="1106"/>
      <c r="AL256" s="1106"/>
      <c r="AM256" s="1106"/>
      <c r="AN256" s="1106"/>
      <c r="AO256" s="1106"/>
      <c r="AP256" s="1106"/>
      <c r="AQ256" s="1106"/>
      <c r="AR256" s="1106"/>
      <c r="AS256" s="1106"/>
      <c r="AT256" s="1106"/>
      <c r="AU256" s="1106"/>
      <c r="AV256" s="1106"/>
      <c r="AW256" s="1106"/>
      <c r="AX256" s="1106"/>
    </row>
    <row r="257">
      <c r="T257" s="1102"/>
      <c r="U257" s="1104"/>
      <c r="V257" s="1104"/>
      <c r="W257" s="1104"/>
      <c r="X257" s="1104"/>
      <c r="Y257" s="1104"/>
      <c r="Z257" s="1104"/>
      <c r="AA257" s="1104"/>
      <c r="AB257" s="1104"/>
      <c r="AC257" s="1104"/>
      <c r="AD257" s="1104"/>
      <c r="AE257" s="1104"/>
      <c r="AF257" s="1104"/>
      <c r="AG257" s="1106"/>
      <c r="AH257" s="1106"/>
      <c r="AI257" s="1106"/>
      <c r="AJ257" s="1106"/>
      <c r="AK257" s="1106"/>
      <c r="AL257" s="1106"/>
      <c r="AM257" s="1106"/>
      <c r="AN257" s="1106"/>
      <c r="AO257" s="1106"/>
      <c r="AP257" s="1106"/>
      <c r="AQ257" s="1106"/>
      <c r="AR257" s="1106"/>
      <c r="AS257" s="1106"/>
      <c r="AT257" s="1106"/>
      <c r="AU257" s="1106"/>
      <c r="AV257" s="1106"/>
      <c r="AW257" s="1106"/>
      <c r="AX257" s="1106"/>
    </row>
    <row r="258">
      <c r="T258" s="1102"/>
      <c r="U258" s="1104"/>
      <c r="V258" s="1104"/>
      <c r="W258" s="1104"/>
      <c r="X258" s="1104"/>
      <c r="Y258" s="1104"/>
      <c r="Z258" s="1104"/>
      <c r="AA258" s="1104"/>
      <c r="AB258" s="1104"/>
      <c r="AC258" s="1104"/>
      <c r="AD258" s="1104"/>
      <c r="AE258" s="1104"/>
      <c r="AF258" s="1104"/>
      <c r="AG258" s="1106"/>
      <c r="AH258" s="1106"/>
      <c r="AI258" s="1106"/>
      <c r="AJ258" s="1106"/>
      <c r="AK258" s="1106"/>
      <c r="AL258" s="1106"/>
      <c r="AM258" s="1106"/>
      <c r="AN258" s="1106"/>
      <c r="AO258" s="1106"/>
      <c r="AP258" s="1106"/>
      <c r="AQ258" s="1106"/>
      <c r="AR258" s="1106"/>
      <c r="AS258" s="1106"/>
      <c r="AT258" s="1106"/>
      <c r="AU258" s="1106"/>
      <c r="AV258" s="1106"/>
      <c r="AW258" s="1106"/>
      <c r="AX258" s="1106"/>
    </row>
    <row r="259">
      <c r="T259" s="1102"/>
      <c r="U259" s="1104"/>
      <c r="V259" s="1104"/>
      <c r="W259" s="1104"/>
      <c r="X259" s="1104"/>
      <c r="Y259" s="1104"/>
      <c r="Z259" s="1104"/>
      <c r="AA259" s="1104"/>
      <c r="AB259" s="1104"/>
      <c r="AC259" s="1104"/>
      <c r="AD259" s="1104"/>
      <c r="AE259" s="1104"/>
      <c r="AF259" s="1104"/>
      <c r="AG259" s="1106"/>
      <c r="AH259" s="1106"/>
      <c r="AI259" s="1106"/>
      <c r="AJ259" s="1106"/>
      <c r="AK259" s="1106"/>
      <c r="AL259" s="1106"/>
      <c r="AM259" s="1106"/>
      <c r="AN259" s="1106"/>
      <c r="AO259" s="1106"/>
      <c r="AP259" s="1106"/>
      <c r="AQ259" s="1106"/>
      <c r="AR259" s="1106"/>
      <c r="AS259" s="1106"/>
      <c r="AT259" s="1106"/>
      <c r="AU259" s="1106"/>
      <c r="AV259" s="1106"/>
      <c r="AW259" s="1106"/>
      <c r="AX259" s="1106"/>
    </row>
    <row r="260">
      <c r="T260" s="1102"/>
      <c r="U260" s="1104"/>
      <c r="V260" s="1104"/>
      <c r="W260" s="1104"/>
      <c r="X260" s="1104"/>
      <c r="Y260" s="1104"/>
      <c r="Z260" s="1104"/>
      <c r="AA260" s="1104"/>
      <c r="AB260" s="1104"/>
      <c r="AC260" s="1104"/>
      <c r="AD260" s="1104"/>
      <c r="AE260" s="1104"/>
      <c r="AF260" s="1104"/>
      <c r="AG260" s="1106"/>
      <c r="AH260" s="1106"/>
      <c r="AI260" s="1106"/>
      <c r="AJ260" s="1106"/>
      <c r="AK260" s="1106"/>
      <c r="AL260" s="1106"/>
      <c r="AM260" s="1106"/>
      <c r="AN260" s="1106"/>
      <c r="AO260" s="1106"/>
      <c r="AP260" s="1106"/>
      <c r="AQ260" s="1106"/>
      <c r="AR260" s="1106"/>
      <c r="AS260" s="1106"/>
      <c r="AT260" s="1106"/>
      <c r="AU260" s="1106"/>
      <c r="AV260" s="1106"/>
      <c r="AW260" s="1106"/>
      <c r="AX260" s="1106"/>
    </row>
    <row r="261">
      <c r="T261" s="1102"/>
      <c r="U261" s="1104"/>
      <c r="V261" s="1104"/>
      <c r="W261" s="1104"/>
      <c r="X261" s="1104"/>
      <c r="Y261" s="1104"/>
      <c r="Z261" s="1104"/>
      <c r="AA261" s="1104"/>
      <c r="AB261" s="1104"/>
      <c r="AC261" s="1104"/>
      <c r="AD261" s="1104"/>
      <c r="AE261" s="1104"/>
      <c r="AF261" s="1104"/>
      <c r="AG261" s="1106"/>
      <c r="AH261" s="1106"/>
      <c r="AI261" s="1106"/>
      <c r="AJ261" s="1106"/>
      <c r="AK261" s="1106"/>
      <c r="AL261" s="1106"/>
      <c r="AM261" s="1106"/>
      <c r="AN261" s="1106"/>
      <c r="AO261" s="1106"/>
      <c r="AP261" s="1106"/>
      <c r="AQ261" s="1106"/>
      <c r="AR261" s="1106"/>
      <c r="AS261" s="1106"/>
      <c r="AT261" s="1106"/>
      <c r="AU261" s="1106"/>
      <c r="AV261" s="1106"/>
      <c r="AW261" s="1106"/>
      <c r="AX261" s="1106"/>
    </row>
    <row r="262">
      <c r="T262" s="1102"/>
      <c r="U262" s="1104"/>
      <c r="V262" s="1104"/>
      <c r="W262" s="1104"/>
      <c r="X262" s="1104"/>
      <c r="Y262" s="1104"/>
      <c r="Z262" s="1104"/>
      <c r="AA262" s="1104"/>
      <c r="AB262" s="1104"/>
      <c r="AC262" s="1104"/>
      <c r="AD262" s="1104"/>
      <c r="AE262" s="1104"/>
      <c r="AF262" s="1104"/>
      <c r="AG262" s="1106"/>
      <c r="AH262" s="1106"/>
      <c r="AI262" s="1106"/>
      <c r="AJ262" s="1106"/>
      <c r="AK262" s="1106"/>
      <c r="AL262" s="1106"/>
      <c r="AM262" s="1106"/>
      <c r="AN262" s="1106"/>
      <c r="AO262" s="1106"/>
      <c r="AP262" s="1106"/>
      <c r="AQ262" s="1106"/>
      <c r="AR262" s="1106"/>
      <c r="AS262" s="1106"/>
      <c r="AT262" s="1106"/>
      <c r="AU262" s="1106"/>
      <c r="AV262" s="1106"/>
      <c r="AW262" s="1106"/>
      <c r="AX262" s="1106"/>
    </row>
    <row r="263">
      <c r="T263" s="1102"/>
      <c r="U263" s="1104"/>
      <c r="V263" s="1104"/>
      <c r="W263" s="1104"/>
      <c r="X263" s="1104"/>
      <c r="Y263" s="1104"/>
      <c r="Z263" s="1104"/>
      <c r="AA263" s="1104"/>
      <c r="AB263" s="1104"/>
      <c r="AC263" s="1104"/>
      <c r="AD263" s="1104"/>
      <c r="AE263" s="1104"/>
      <c r="AF263" s="1104"/>
      <c r="AG263" s="1106"/>
      <c r="AH263" s="1106"/>
      <c r="AI263" s="1106"/>
      <c r="AJ263" s="1106"/>
      <c r="AK263" s="1106"/>
      <c r="AL263" s="1106"/>
      <c r="AM263" s="1106"/>
      <c r="AN263" s="1106"/>
      <c r="AO263" s="1106"/>
      <c r="AP263" s="1106"/>
      <c r="AQ263" s="1106"/>
      <c r="AR263" s="1106"/>
      <c r="AS263" s="1106"/>
      <c r="AT263" s="1106"/>
      <c r="AU263" s="1106"/>
      <c r="AV263" s="1106"/>
      <c r="AW263" s="1106"/>
      <c r="AX263" s="1106"/>
    </row>
    <row r="264">
      <c r="T264" s="1102"/>
      <c r="U264" s="1104"/>
      <c r="V264" s="1104"/>
      <c r="W264" s="1104"/>
      <c r="X264" s="1104"/>
      <c r="Y264" s="1104"/>
      <c r="Z264" s="1104"/>
      <c r="AA264" s="1104"/>
      <c r="AB264" s="1104"/>
      <c r="AC264" s="1104"/>
      <c r="AD264" s="1104"/>
      <c r="AE264" s="1104"/>
      <c r="AF264" s="1104"/>
      <c r="AG264" s="1106"/>
      <c r="AH264" s="1106"/>
      <c r="AI264" s="1106"/>
      <c r="AJ264" s="1106"/>
      <c r="AK264" s="1106"/>
      <c r="AL264" s="1106"/>
      <c r="AM264" s="1106"/>
      <c r="AN264" s="1106"/>
      <c r="AO264" s="1106"/>
      <c r="AP264" s="1106"/>
      <c r="AQ264" s="1106"/>
      <c r="AR264" s="1106"/>
      <c r="AS264" s="1106"/>
      <c r="AT264" s="1106"/>
      <c r="AU264" s="1106"/>
      <c r="AV264" s="1106"/>
      <c r="AW264" s="1106"/>
      <c r="AX264" s="1106"/>
    </row>
    <row r="265">
      <c r="T265" s="1102"/>
      <c r="U265" s="1104"/>
      <c r="V265" s="1104"/>
      <c r="W265" s="1104"/>
      <c r="X265" s="1104"/>
      <c r="Y265" s="1104"/>
      <c r="Z265" s="1104"/>
      <c r="AA265" s="1104"/>
      <c r="AB265" s="1104"/>
      <c r="AC265" s="1104"/>
      <c r="AD265" s="1104"/>
      <c r="AE265" s="1104"/>
      <c r="AF265" s="1104"/>
      <c r="AG265" s="1106"/>
      <c r="AH265" s="1106"/>
      <c r="AI265" s="1106"/>
      <c r="AJ265" s="1106"/>
      <c r="AK265" s="1106"/>
      <c r="AL265" s="1106"/>
      <c r="AM265" s="1106"/>
      <c r="AN265" s="1106"/>
      <c r="AO265" s="1106"/>
      <c r="AP265" s="1106"/>
      <c r="AQ265" s="1106"/>
      <c r="AR265" s="1106"/>
      <c r="AS265" s="1106"/>
      <c r="AT265" s="1106"/>
      <c r="AU265" s="1106"/>
      <c r="AV265" s="1106"/>
      <c r="AW265" s="1106"/>
      <c r="AX265" s="1106"/>
    </row>
    <row r="266">
      <c r="T266" s="1102"/>
      <c r="U266" s="1104"/>
      <c r="V266" s="1104"/>
      <c r="W266" s="1104"/>
      <c r="X266" s="1104"/>
      <c r="Y266" s="1104"/>
      <c r="Z266" s="1104"/>
      <c r="AA266" s="1104"/>
      <c r="AB266" s="1104"/>
      <c r="AC266" s="1104"/>
      <c r="AD266" s="1104"/>
      <c r="AE266" s="1104"/>
      <c r="AF266" s="1104"/>
      <c r="AG266" s="1106"/>
      <c r="AH266" s="1106"/>
      <c r="AI266" s="1106"/>
      <c r="AJ266" s="1106"/>
      <c r="AK266" s="1106"/>
      <c r="AL266" s="1106"/>
      <c r="AM266" s="1106"/>
      <c r="AN266" s="1106"/>
      <c r="AO266" s="1106"/>
      <c r="AP266" s="1106"/>
      <c r="AQ266" s="1106"/>
      <c r="AR266" s="1106"/>
      <c r="AS266" s="1106"/>
      <c r="AT266" s="1106"/>
      <c r="AU266" s="1106"/>
      <c r="AV266" s="1106"/>
      <c r="AW266" s="1106"/>
      <c r="AX266" s="1106"/>
    </row>
    <row r="267">
      <c r="T267" s="1102"/>
      <c r="U267" s="1104"/>
      <c r="V267" s="1104"/>
      <c r="W267" s="1104"/>
      <c r="X267" s="1104"/>
      <c r="Y267" s="1104"/>
      <c r="Z267" s="1104"/>
      <c r="AA267" s="1104"/>
      <c r="AB267" s="1104"/>
      <c r="AC267" s="1104"/>
      <c r="AD267" s="1104"/>
      <c r="AE267" s="1104"/>
      <c r="AF267" s="1104"/>
      <c r="AG267" s="1106"/>
      <c r="AH267" s="1106"/>
      <c r="AI267" s="1106"/>
      <c r="AJ267" s="1106"/>
      <c r="AK267" s="1106"/>
      <c r="AL267" s="1106"/>
      <c r="AM267" s="1106"/>
      <c r="AN267" s="1106"/>
      <c r="AO267" s="1106"/>
      <c r="AP267" s="1106"/>
      <c r="AQ267" s="1106"/>
      <c r="AR267" s="1106"/>
      <c r="AS267" s="1106"/>
      <c r="AT267" s="1106"/>
      <c r="AU267" s="1106"/>
      <c r="AV267" s="1106"/>
      <c r="AW267" s="1106"/>
      <c r="AX267" s="1106"/>
    </row>
    <row r="268">
      <c r="T268" s="1102"/>
      <c r="U268" s="1104"/>
      <c r="V268" s="1104"/>
      <c r="W268" s="1104"/>
      <c r="X268" s="1104"/>
      <c r="Y268" s="1104"/>
      <c r="Z268" s="1104"/>
      <c r="AA268" s="1104"/>
      <c r="AB268" s="1104"/>
      <c r="AC268" s="1104"/>
      <c r="AD268" s="1104"/>
      <c r="AE268" s="1104"/>
      <c r="AF268" s="1104"/>
      <c r="AG268" s="1106"/>
      <c r="AH268" s="1106"/>
      <c r="AI268" s="1106"/>
      <c r="AJ268" s="1106"/>
      <c r="AK268" s="1106"/>
      <c r="AL268" s="1106"/>
      <c r="AM268" s="1106"/>
      <c r="AN268" s="1106"/>
      <c r="AO268" s="1106"/>
      <c r="AP268" s="1106"/>
      <c r="AQ268" s="1106"/>
      <c r="AR268" s="1106"/>
      <c r="AS268" s="1106"/>
      <c r="AT268" s="1106"/>
      <c r="AU268" s="1106"/>
      <c r="AV268" s="1106"/>
      <c r="AW268" s="1106"/>
      <c r="AX268" s="1106"/>
    </row>
    <row r="269">
      <c r="T269" s="1102"/>
      <c r="U269" s="1104"/>
      <c r="V269" s="1104"/>
      <c r="W269" s="1104"/>
      <c r="X269" s="1104"/>
      <c r="Y269" s="1104"/>
      <c r="Z269" s="1104"/>
      <c r="AA269" s="1104"/>
      <c r="AB269" s="1104"/>
      <c r="AC269" s="1104"/>
      <c r="AD269" s="1104"/>
      <c r="AE269" s="1104"/>
      <c r="AF269" s="1104"/>
      <c r="AG269" s="1106"/>
      <c r="AH269" s="1106"/>
      <c r="AI269" s="1106"/>
      <c r="AJ269" s="1106"/>
      <c r="AK269" s="1106"/>
      <c r="AL269" s="1106"/>
      <c r="AM269" s="1106"/>
      <c r="AN269" s="1106"/>
      <c r="AO269" s="1106"/>
      <c r="AP269" s="1106"/>
      <c r="AQ269" s="1106"/>
      <c r="AR269" s="1106"/>
      <c r="AS269" s="1106"/>
      <c r="AT269" s="1106"/>
      <c r="AU269" s="1106"/>
      <c r="AV269" s="1106"/>
      <c r="AW269" s="1106"/>
      <c r="AX269" s="1106"/>
    </row>
    <row r="270">
      <c r="T270" s="1102"/>
      <c r="U270" s="1104"/>
      <c r="V270" s="1104"/>
      <c r="W270" s="1104"/>
      <c r="X270" s="1104"/>
      <c r="Y270" s="1104"/>
      <c r="Z270" s="1104"/>
      <c r="AA270" s="1104"/>
      <c r="AB270" s="1104"/>
      <c r="AC270" s="1104"/>
      <c r="AD270" s="1104"/>
      <c r="AE270" s="1104"/>
      <c r="AF270" s="1104"/>
      <c r="AG270" s="1106"/>
      <c r="AH270" s="1106"/>
      <c r="AI270" s="1106"/>
      <c r="AJ270" s="1106"/>
      <c r="AK270" s="1106"/>
      <c r="AL270" s="1106"/>
      <c r="AM270" s="1106"/>
      <c r="AN270" s="1106"/>
      <c r="AO270" s="1106"/>
      <c r="AP270" s="1106"/>
      <c r="AQ270" s="1106"/>
      <c r="AR270" s="1106"/>
      <c r="AS270" s="1106"/>
      <c r="AT270" s="1106"/>
      <c r="AU270" s="1106"/>
      <c r="AV270" s="1106"/>
      <c r="AW270" s="1106"/>
      <c r="AX270" s="1106"/>
    </row>
    <row r="271">
      <c r="T271" s="1102"/>
      <c r="U271" s="1104"/>
      <c r="V271" s="1104"/>
      <c r="W271" s="1104"/>
      <c r="X271" s="1104"/>
      <c r="Y271" s="1104"/>
      <c r="Z271" s="1104"/>
      <c r="AA271" s="1104"/>
      <c r="AB271" s="1104"/>
      <c r="AC271" s="1104"/>
      <c r="AD271" s="1104"/>
      <c r="AE271" s="1104"/>
      <c r="AF271" s="1104"/>
      <c r="AG271" s="1106"/>
      <c r="AH271" s="1106"/>
      <c r="AI271" s="1106"/>
      <c r="AJ271" s="1106"/>
      <c r="AK271" s="1106"/>
      <c r="AL271" s="1106"/>
      <c r="AM271" s="1106"/>
      <c r="AN271" s="1106"/>
      <c r="AO271" s="1106"/>
      <c r="AP271" s="1106"/>
      <c r="AQ271" s="1106"/>
      <c r="AR271" s="1106"/>
      <c r="AS271" s="1106"/>
      <c r="AT271" s="1106"/>
      <c r="AU271" s="1106"/>
      <c r="AV271" s="1106"/>
      <c r="AW271" s="1106"/>
      <c r="AX271" s="1106"/>
    </row>
    <row r="272">
      <c r="T272" s="1102"/>
      <c r="U272" s="1104"/>
      <c r="V272" s="1104"/>
      <c r="W272" s="1104"/>
      <c r="X272" s="1104"/>
      <c r="Y272" s="1104"/>
      <c r="Z272" s="1104"/>
      <c r="AA272" s="1104"/>
      <c r="AB272" s="1104"/>
      <c r="AC272" s="1104"/>
      <c r="AD272" s="1104"/>
      <c r="AE272" s="1104"/>
      <c r="AF272" s="1104"/>
      <c r="AG272" s="1106"/>
      <c r="AH272" s="1106"/>
      <c r="AI272" s="1106"/>
      <c r="AJ272" s="1106"/>
      <c r="AK272" s="1106"/>
      <c r="AL272" s="1106"/>
      <c r="AM272" s="1106"/>
      <c r="AN272" s="1106"/>
      <c r="AO272" s="1106"/>
      <c r="AP272" s="1106"/>
      <c r="AQ272" s="1106"/>
      <c r="AR272" s="1106"/>
      <c r="AS272" s="1106"/>
      <c r="AT272" s="1106"/>
      <c r="AU272" s="1106"/>
      <c r="AV272" s="1106"/>
      <c r="AW272" s="1106"/>
      <c r="AX272" s="1106"/>
    </row>
    <row r="273">
      <c r="T273" s="1102"/>
      <c r="U273" s="1104"/>
      <c r="V273" s="1104"/>
      <c r="W273" s="1104"/>
      <c r="X273" s="1104"/>
      <c r="Y273" s="1104"/>
      <c r="Z273" s="1104"/>
      <c r="AA273" s="1104"/>
      <c r="AB273" s="1104"/>
      <c r="AC273" s="1104"/>
      <c r="AD273" s="1104"/>
      <c r="AE273" s="1104"/>
      <c r="AF273" s="1104"/>
      <c r="AG273" s="1106"/>
      <c r="AH273" s="1106"/>
      <c r="AI273" s="1106"/>
      <c r="AJ273" s="1106"/>
      <c r="AK273" s="1106"/>
      <c r="AL273" s="1106"/>
      <c r="AM273" s="1106"/>
      <c r="AN273" s="1106"/>
      <c r="AO273" s="1106"/>
      <c r="AP273" s="1106"/>
      <c r="AQ273" s="1106"/>
      <c r="AR273" s="1106"/>
      <c r="AS273" s="1106"/>
      <c r="AT273" s="1106"/>
      <c r="AU273" s="1106"/>
      <c r="AV273" s="1106"/>
      <c r="AW273" s="1106"/>
      <c r="AX273" s="1106"/>
    </row>
    <row r="274">
      <c r="T274" s="1102"/>
      <c r="U274" s="1104"/>
      <c r="V274" s="1104"/>
      <c r="W274" s="1104"/>
      <c r="X274" s="1104"/>
      <c r="Y274" s="1104"/>
      <c r="Z274" s="1104"/>
      <c r="AA274" s="1104"/>
      <c r="AB274" s="1104"/>
      <c r="AC274" s="1104"/>
      <c r="AD274" s="1104"/>
      <c r="AE274" s="1104"/>
      <c r="AF274" s="1104"/>
      <c r="AG274" s="1106"/>
      <c r="AH274" s="1106"/>
      <c r="AI274" s="1106"/>
      <c r="AJ274" s="1106"/>
      <c r="AK274" s="1106"/>
      <c r="AL274" s="1106"/>
      <c r="AM274" s="1106"/>
      <c r="AN274" s="1106"/>
      <c r="AO274" s="1106"/>
      <c r="AP274" s="1106"/>
      <c r="AQ274" s="1106"/>
      <c r="AR274" s="1106"/>
      <c r="AS274" s="1106"/>
      <c r="AT274" s="1106"/>
      <c r="AU274" s="1106"/>
      <c r="AV274" s="1106"/>
      <c r="AW274" s="1106"/>
      <c r="AX274" s="1106"/>
    </row>
    <row r="275">
      <c r="T275" s="1102"/>
      <c r="U275" s="1104"/>
      <c r="V275" s="1104"/>
      <c r="W275" s="1104"/>
      <c r="X275" s="1104"/>
      <c r="Y275" s="1104"/>
      <c r="Z275" s="1104"/>
      <c r="AA275" s="1104"/>
      <c r="AB275" s="1104"/>
      <c r="AC275" s="1104"/>
      <c r="AD275" s="1104"/>
      <c r="AE275" s="1104"/>
      <c r="AF275" s="1104"/>
      <c r="AG275" s="1106"/>
      <c r="AH275" s="1106"/>
      <c r="AI275" s="1106"/>
      <c r="AJ275" s="1106"/>
      <c r="AK275" s="1106"/>
      <c r="AL275" s="1106"/>
      <c r="AM275" s="1106"/>
      <c r="AN275" s="1106"/>
      <c r="AO275" s="1106"/>
      <c r="AP275" s="1106"/>
      <c r="AQ275" s="1106"/>
      <c r="AR275" s="1106"/>
      <c r="AS275" s="1106"/>
      <c r="AT275" s="1106"/>
      <c r="AU275" s="1106"/>
      <c r="AV275" s="1106"/>
      <c r="AW275" s="1106"/>
      <c r="AX275" s="1106"/>
    </row>
    <row r="276">
      <c r="T276" s="1102"/>
      <c r="U276" s="1104"/>
      <c r="V276" s="1104"/>
      <c r="W276" s="1104"/>
      <c r="X276" s="1104"/>
      <c r="Y276" s="1104"/>
      <c r="Z276" s="1104"/>
      <c r="AA276" s="1104"/>
      <c r="AB276" s="1104"/>
      <c r="AC276" s="1104"/>
      <c r="AD276" s="1104"/>
      <c r="AE276" s="1104"/>
      <c r="AF276" s="1104"/>
      <c r="AG276" s="1106"/>
      <c r="AH276" s="1106"/>
      <c r="AI276" s="1106"/>
      <c r="AJ276" s="1106"/>
      <c r="AK276" s="1106"/>
      <c r="AL276" s="1106"/>
      <c r="AM276" s="1106"/>
      <c r="AN276" s="1106"/>
      <c r="AO276" s="1106"/>
      <c r="AP276" s="1106"/>
      <c r="AQ276" s="1106"/>
      <c r="AR276" s="1106"/>
      <c r="AS276" s="1106"/>
      <c r="AT276" s="1106"/>
      <c r="AU276" s="1106"/>
      <c r="AV276" s="1106"/>
      <c r="AW276" s="1106"/>
      <c r="AX276" s="1106"/>
    </row>
    <row r="277">
      <c r="T277" s="1102"/>
      <c r="U277" s="1104"/>
      <c r="V277" s="1104"/>
      <c r="W277" s="1104"/>
      <c r="X277" s="1104"/>
      <c r="Y277" s="1104"/>
      <c r="Z277" s="1104"/>
      <c r="AA277" s="1104"/>
      <c r="AB277" s="1104"/>
      <c r="AC277" s="1104"/>
      <c r="AD277" s="1104"/>
      <c r="AE277" s="1104"/>
      <c r="AF277" s="1104"/>
      <c r="AG277" s="1106"/>
      <c r="AH277" s="1106"/>
      <c r="AI277" s="1106"/>
      <c r="AJ277" s="1106"/>
      <c r="AK277" s="1106"/>
      <c r="AL277" s="1106"/>
      <c r="AM277" s="1106"/>
      <c r="AN277" s="1106"/>
      <c r="AO277" s="1106"/>
      <c r="AP277" s="1106"/>
      <c r="AQ277" s="1106"/>
      <c r="AR277" s="1106"/>
      <c r="AS277" s="1106"/>
      <c r="AT277" s="1106"/>
      <c r="AU277" s="1106"/>
      <c r="AV277" s="1106"/>
      <c r="AW277" s="1106"/>
      <c r="AX277" s="1106"/>
    </row>
    <row r="278">
      <c r="T278" s="1102"/>
      <c r="U278" s="1104"/>
      <c r="V278" s="1104"/>
      <c r="W278" s="1104"/>
      <c r="X278" s="1104"/>
      <c r="Y278" s="1104"/>
      <c r="Z278" s="1104"/>
      <c r="AA278" s="1104"/>
      <c r="AB278" s="1104"/>
      <c r="AC278" s="1104"/>
      <c r="AD278" s="1104"/>
      <c r="AE278" s="1104"/>
      <c r="AF278" s="1104"/>
      <c r="AG278" s="1106"/>
      <c r="AH278" s="1106"/>
      <c r="AI278" s="1106"/>
      <c r="AJ278" s="1106"/>
      <c r="AK278" s="1106"/>
      <c r="AL278" s="1106"/>
      <c r="AM278" s="1106"/>
      <c r="AN278" s="1106"/>
      <c r="AO278" s="1106"/>
      <c r="AP278" s="1106"/>
      <c r="AQ278" s="1106"/>
      <c r="AR278" s="1106"/>
      <c r="AS278" s="1106"/>
      <c r="AT278" s="1106"/>
      <c r="AU278" s="1106"/>
      <c r="AV278" s="1106"/>
      <c r="AW278" s="1106"/>
      <c r="AX278" s="1106"/>
    </row>
    <row r="279">
      <c r="T279" s="1102"/>
      <c r="U279" s="1104"/>
      <c r="V279" s="1104"/>
      <c r="W279" s="1104"/>
      <c r="X279" s="1104"/>
      <c r="Y279" s="1104"/>
      <c r="Z279" s="1104"/>
      <c r="AA279" s="1104"/>
      <c r="AB279" s="1104"/>
      <c r="AC279" s="1104"/>
      <c r="AD279" s="1104"/>
      <c r="AE279" s="1104"/>
      <c r="AF279" s="1104"/>
      <c r="AG279" s="1106"/>
      <c r="AH279" s="1106"/>
      <c r="AI279" s="1106"/>
      <c r="AJ279" s="1106"/>
      <c r="AK279" s="1106"/>
      <c r="AL279" s="1106"/>
      <c r="AM279" s="1106"/>
      <c r="AN279" s="1106"/>
      <c r="AO279" s="1106"/>
      <c r="AP279" s="1106"/>
      <c r="AQ279" s="1106"/>
      <c r="AR279" s="1106"/>
      <c r="AS279" s="1106"/>
      <c r="AT279" s="1106"/>
      <c r="AU279" s="1106"/>
      <c r="AV279" s="1106"/>
      <c r="AW279" s="1106"/>
      <c r="AX279" s="1106"/>
    </row>
    <row r="280">
      <c r="T280" s="1102"/>
      <c r="U280" s="1104"/>
      <c r="V280" s="1104"/>
      <c r="W280" s="1104"/>
      <c r="X280" s="1104"/>
      <c r="Y280" s="1104"/>
      <c r="Z280" s="1104"/>
      <c r="AA280" s="1104"/>
      <c r="AB280" s="1104"/>
      <c r="AC280" s="1104"/>
      <c r="AD280" s="1104"/>
      <c r="AE280" s="1104"/>
      <c r="AF280" s="1104"/>
      <c r="AG280" s="1106"/>
      <c r="AH280" s="1106"/>
      <c r="AI280" s="1106"/>
      <c r="AJ280" s="1106"/>
      <c r="AK280" s="1106"/>
      <c r="AL280" s="1106"/>
      <c r="AM280" s="1106"/>
      <c r="AN280" s="1106"/>
      <c r="AO280" s="1106"/>
      <c r="AP280" s="1106"/>
      <c r="AQ280" s="1106"/>
      <c r="AR280" s="1106"/>
      <c r="AS280" s="1106"/>
      <c r="AT280" s="1106"/>
      <c r="AU280" s="1106"/>
      <c r="AV280" s="1106"/>
      <c r="AW280" s="1106"/>
      <c r="AX280" s="1106"/>
    </row>
    <row r="281">
      <c r="T281" s="1102"/>
      <c r="U281" s="1104"/>
      <c r="V281" s="1104"/>
      <c r="W281" s="1104"/>
      <c r="X281" s="1104"/>
      <c r="Y281" s="1104"/>
      <c r="Z281" s="1104"/>
      <c r="AA281" s="1104"/>
      <c r="AB281" s="1104"/>
      <c r="AC281" s="1104"/>
      <c r="AD281" s="1104"/>
      <c r="AE281" s="1104"/>
      <c r="AF281" s="1104"/>
      <c r="AG281" s="1106"/>
      <c r="AH281" s="1106"/>
      <c r="AI281" s="1106"/>
      <c r="AJ281" s="1106"/>
      <c r="AK281" s="1106"/>
      <c r="AL281" s="1106"/>
      <c r="AM281" s="1106"/>
      <c r="AN281" s="1106"/>
      <c r="AO281" s="1106"/>
      <c r="AP281" s="1106"/>
      <c r="AQ281" s="1106"/>
      <c r="AR281" s="1106"/>
      <c r="AS281" s="1106"/>
      <c r="AT281" s="1106"/>
      <c r="AU281" s="1106"/>
      <c r="AV281" s="1106"/>
      <c r="AW281" s="1106"/>
      <c r="AX281" s="1106"/>
    </row>
    <row r="282">
      <c r="T282" s="1102"/>
      <c r="U282" s="1104"/>
      <c r="V282" s="1104"/>
      <c r="W282" s="1104"/>
      <c r="X282" s="1104"/>
      <c r="Y282" s="1104"/>
      <c r="Z282" s="1104"/>
      <c r="AA282" s="1104"/>
      <c r="AB282" s="1104"/>
      <c r="AC282" s="1104"/>
      <c r="AD282" s="1104"/>
      <c r="AE282" s="1104"/>
      <c r="AF282" s="1104"/>
      <c r="AG282" s="1106"/>
      <c r="AH282" s="1106"/>
      <c r="AI282" s="1106"/>
      <c r="AJ282" s="1106"/>
      <c r="AK282" s="1106"/>
      <c r="AL282" s="1106"/>
      <c r="AM282" s="1106"/>
      <c r="AN282" s="1106"/>
      <c r="AO282" s="1106"/>
      <c r="AP282" s="1106"/>
      <c r="AQ282" s="1106"/>
      <c r="AR282" s="1106"/>
      <c r="AS282" s="1106"/>
      <c r="AT282" s="1106"/>
      <c r="AU282" s="1106"/>
      <c r="AV282" s="1106"/>
      <c r="AW282" s="1106"/>
      <c r="AX282" s="1106"/>
    </row>
    <row r="283">
      <c r="T283" s="1102"/>
      <c r="U283" s="1104"/>
      <c r="V283" s="1104"/>
      <c r="W283" s="1104"/>
      <c r="X283" s="1104"/>
      <c r="Y283" s="1104"/>
      <c r="Z283" s="1104"/>
      <c r="AA283" s="1104"/>
      <c r="AB283" s="1104"/>
      <c r="AC283" s="1104"/>
      <c r="AD283" s="1104"/>
      <c r="AE283" s="1104"/>
      <c r="AF283" s="1104"/>
      <c r="AG283" s="1106"/>
      <c r="AH283" s="1106"/>
      <c r="AI283" s="1106"/>
      <c r="AJ283" s="1106"/>
      <c r="AK283" s="1106"/>
      <c r="AL283" s="1106"/>
      <c r="AM283" s="1106"/>
      <c r="AN283" s="1106"/>
      <c r="AO283" s="1106"/>
      <c r="AP283" s="1106"/>
      <c r="AQ283" s="1106"/>
      <c r="AR283" s="1106"/>
      <c r="AS283" s="1106"/>
      <c r="AT283" s="1106"/>
      <c r="AU283" s="1106"/>
      <c r="AV283" s="1106"/>
      <c r="AW283" s="1106"/>
      <c r="AX283" s="1106"/>
    </row>
    <row r="284">
      <c r="T284" s="1102"/>
      <c r="U284" s="1104"/>
      <c r="V284" s="1104"/>
      <c r="W284" s="1104"/>
      <c r="X284" s="1104"/>
      <c r="Y284" s="1104"/>
      <c r="Z284" s="1104"/>
      <c r="AA284" s="1104"/>
      <c r="AB284" s="1104"/>
      <c r="AC284" s="1104"/>
      <c r="AD284" s="1104"/>
      <c r="AE284" s="1104"/>
      <c r="AF284" s="1104"/>
      <c r="AG284" s="1106"/>
      <c r="AH284" s="1106"/>
      <c r="AI284" s="1106"/>
      <c r="AJ284" s="1106"/>
      <c r="AK284" s="1106"/>
      <c r="AL284" s="1106"/>
      <c r="AM284" s="1106"/>
      <c r="AN284" s="1106"/>
      <c r="AO284" s="1106"/>
      <c r="AP284" s="1106"/>
      <c r="AQ284" s="1106"/>
      <c r="AR284" s="1106"/>
      <c r="AS284" s="1106"/>
      <c r="AT284" s="1106"/>
      <c r="AU284" s="1106"/>
      <c r="AV284" s="1106"/>
      <c r="AW284" s="1106"/>
      <c r="AX284" s="1106"/>
    </row>
    <row r="285">
      <c r="T285" s="1102"/>
      <c r="U285" s="1104"/>
      <c r="V285" s="1104"/>
      <c r="W285" s="1104"/>
      <c r="X285" s="1104"/>
      <c r="Y285" s="1104"/>
      <c r="Z285" s="1104"/>
      <c r="AA285" s="1104"/>
      <c r="AB285" s="1104"/>
      <c r="AC285" s="1104"/>
      <c r="AD285" s="1104"/>
      <c r="AE285" s="1104"/>
      <c r="AF285" s="1104"/>
      <c r="AG285" s="1106"/>
      <c r="AH285" s="1106"/>
      <c r="AI285" s="1106"/>
      <c r="AJ285" s="1106"/>
      <c r="AK285" s="1106"/>
      <c r="AL285" s="1106"/>
      <c r="AM285" s="1106"/>
      <c r="AN285" s="1106"/>
      <c r="AO285" s="1106"/>
      <c r="AP285" s="1106"/>
      <c r="AQ285" s="1106"/>
      <c r="AR285" s="1106"/>
      <c r="AS285" s="1106"/>
      <c r="AT285" s="1106"/>
      <c r="AU285" s="1106"/>
      <c r="AV285" s="1106"/>
      <c r="AW285" s="1106"/>
      <c r="AX285" s="1106"/>
    </row>
    <row r="286">
      <c r="T286" s="1102"/>
      <c r="U286" s="1104"/>
      <c r="V286" s="1104"/>
      <c r="W286" s="1104"/>
      <c r="X286" s="1104"/>
      <c r="Y286" s="1104"/>
      <c r="Z286" s="1104"/>
      <c r="AA286" s="1104"/>
      <c r="AB286" s="1104"/>
      <c r="AC286" s="1104"/>
      <c r="AD286" s="1104"/>
      <c r="AE286" s="1104"/>
      <c r="AF286" s="1104"/>
      <c r="AG286" s="1106"/>
      <c r="AH286" s="1106"/>
      <c r="AI286" s="1106"/>
      <c r="AJ286" s="1106"/>
      <c r="AK286" s="1106"/>
      <c r="AL286" s="1106"/>
      <c r="AM286" s="1106"/>
      <c r="AN286" s="1106"/>
      <c r="AO286" s="1106"/>
      <c r="AP286" s="1106"/>
      <c r="AQ286" s="1106"/>
      <c r="AR286" s="1106"/>
      <c r="AS286" s="1106"/>
      <c r="AT286" s="1106"/>
      <c r="AU286" s="1106"/>
      <c r="AV286" s="1106"/>
      <c r="AW286" s="1106"/>
      <c r="AX286" s="1106"/>
    </row>
    <row r="287">
      <c r="T287" s="1102"/>
      <c r="U287" s="1104"/>
      <c r="V287" s="1104"/>
      <c r="W287" s="1104"/>
      <c r="X287" s="1104"/>
      <c r="Y287" s="1104"/>
      <c r="Z287" s="1104"/>
      <c r="AA287" s="1104"/>
      <c r="AB287" s="1104"/>
      <c r="AC287" s="1104"/>
      <c r="AD287" s="1104"/>
      <c r="AE287" s="1104"/>
      <c r="AF287" s="1104"/>
      <c r="AG287" s="1106"/>
      <c r="AH287" s="1106"/>
      <c r="AI287" s="1106"/>
      <c r="AJ287" s="1106"/>
      <c r="AK287" s="1106"/>
      <c r="AL287" s="1106"/>
      <c r="AM287" s="1106"/>
      <c r="AN287" s="1106"/>
      <c r="AO287" s="1106"/>
      <c r="AP287" s="1106"/>
      <c r="AQ287" s="1106"/>
      <c r="AR287" s="1106"/>
      <c r="AS287" s="1106"/>
      <c r="AT287" s="1106"/>
      <c r="AU287" s="1106"/>
      <c r="AV287" s="1106"/>
      <c r="AW287" s="1106"/>
      <c r="AX287" s="1106"/>
    </row>
    <row r="288">
      <c r="T288" s="1102"/>
      <c r="U288" s="1104"/>
      <c r="V288" s="1104"/>
      <c r="W288" s="1104"/>
      <c r="X288" s="1104"/>
      <c r="Y288" s="1104"/>
      <c r="Z288" s="1104"/>
      <c r="AA288" s="1104"/>
      <c r="AB288" s="1104"/>
      <c r="AC288" s="1104"/>
      <c r="AD288" s="1104"/>
      <c r="AE288" s="1104"/>
      <c r="AF288" s="1104"/>
      <c r="AG288" s="1106"/>
      <c r="AH288" s="1106"/>
      <c r="AI288" s="1106"/>
      <c r="AJ288" s="1106"/>
      <c r="AK288" s="1106"/>
      <c r="AL288" s="1106"/>
      <c r="AM288" s="1106"/>
      <c r="AN288" s="1106"/>
      <c r="AO288" s="1106"/>
      <c r="AP288" s="1106"/>
      <c r="AQ288" s="1106"/>
      <c r="AR288" s="1106"/>
      <c r="AS288" s="1106"/>
      <c r="AT288" s="1106"/>
      <c r="AU288" s="1106"/>
      <c r="AV288" s="1106"/>
      <c r="AW288" s="1106"/>
      <c r="AX288" s="1106"/>
    </row>
    <row r="289">
      <c r="T289" s="1102"/>
      <c r="U289" s="1104"/>
      <c r="V289" s="1104"/>
      <c r="W289" s="1104"/>
      <c r="X289" s="1104"/>
      <c r="Y289" s="1104"/>
      <c r="Z289" s="1104"/>
      <c r="AA289" s="1104"/>
      <c r="AB289" s="1104"/>
      <c r="AC289" s="1104"/>
      <c r="AD289" s="1104"/>
      <c r="AE289" s="1104"/>
      <c r="AF289" s="1104"/>
      <c r="AG289" s="1106"/>
      <c r="AH289" s="1106"/>
      <c r="AI289" s="1106"/>
      <c r="AJ289" s="1106"/>
      <c r="AK289" s="1106"/>
      <c r="AL289" s="1106"/>
      <c r="AM289" s="1106"/>
      <c r="AN289" s="1106"/>
      <c r="AO289" s="1106"/>
      <c r="AP289" s="1106"/>
      <c r="AQ289" s="1106"/>
      <c r="AR289" s="1106"/>
      <c r="AS289" s="1106"/>
      <c r="AT289" s="1106"/>
      <c r="AU289" s="1106"/>
      <c r="AV289" s="1106"/>
      <c r="AW289" s="1106"/>
      <c r="AX289" s="1106"/>
    </row>
    <row r="290">
      <c r="T290" s="1102"/>
      <c r="U290" s="1104"/>
      <c r="V290" s="1104"/>
      <c r="W290" s="1104"/>
      <c r="X290" s="1104"/>
      <c r="Y290" s="1104"/>
      <c r="Z290" s="1104"/>
      <c r="AA290" s="1104"/>
      <c r="AB290" s="1104"/>
      <c r="AC290" s="1104"/>
      <c r="AD290" s="1104"/>
      <c r="AE290" s="1104"/>
      <c r="AF290" s="1104"/>
      <c r="AG290" s="1106"/>
      <c r="AH290" s="1106"/>
      <c r="AI290" s="1106"/>
      <c r="AJ290" s="1106"/>
      <c r="AK290" s="1106"/>
      <c r="AL290" s="1106"/>
      <c r="AM290" s="1106"/>
      <c r="AN290" s="1106"/>
      <c r="AO290" s="1106"/>
      <c r="AP290" s="1106"/>
      <c r="AQ290" s="1106"/>
      <c r="AR290" s="1106"/>
      <c r="AS290" s="1106"/>
      <c r="AT290" s="1106"/>
      <c r="AU290" s="1106"/>
      <c r="AV290" s="1106"/>
      <c r="AW290" s="1106"/>
      <c r="AX290" s="1106"/>
    </row>
    <row r="291">
      <c r="T291" s="1102"/>
      <c r="U291" s="1104"/>
      <c r="V291" s="1104"/>
      <c r="W291" s="1104"/>
      <c r="X291" s="1104"/>
      <c r="Y291" s="1104"/>
      <c r="Z291" s="1104"/>
      <c r="AA291" s="1104"/>
      <c r="AB291" s="1104"/>
      <c r="AC291" s="1104"/>
      <c r="AD291" s="1104"/>
      <c r="AE291" s="1104"/>
      <c r="AF291" s="1104"/>
      <c r="AG291" s="1106"/>
      <c r="AH291" s="1106"/>
      <c r="AI291" s="1106"/>
      <c r="AJ291" s="1106"/>
      <c r="AK291" s="1106"/>
      <c r="AL291" s="1106"/>
      <c r="AM291" s="1106"/>
      <c r="AN291" s="1106"/>
      <c r="AO291" s="1106"/>
      <c r="AP291" s="1106"/>
      <c r="AQ291" s="1106"/>
      <c r="AR291" s="1106"/>
      <c r="AS291" s="1106"/>
      <c r="AT291" s="1106"/>
      <c r="AU291" s="1106"/>
      <c r="AV291" s="1106"/>
      <c r="AW291" s="1106"/>
      <c r="AX291" s="1106"/>
    </row>
    <row r="292">
      <c r="T292" s="1102"/>
      <c r="U292" s="1104"/>
      <c r="V292" s="1104"/>
      <c r="W292" s="1104"/>
      <c r="X292" s="1104"/>
      <c r="Y292" s="1104"/>
      <c r="Z292" s="1104"/>
      <c r="AA292" s="1104"/>
      <c r="AB292" s="1104"/>
      <c r="AC292" s="1104"/>
      <c r="AD292" s="1104"/>
      <c r="AE292" s="1104"/>
      <c r="AF292" s="1104"/>
      <c r="AG292" s="1106"/>
      <c r="AH292" s="1106"/>
      <c r="AI292" s="1106"/>
      <c r="AJ292" s="1106"/>
      <c r="AK292" s="1106"/>
      <c r="AL292" s="1106"/>
      <c r="AM292" s="1106"/>
      <c r="AN292" s="1106"/>
      <c r="AO292" s="1106"/>
      <c r="AP292" s="1106"/>
      <c r="AQ292" s="1106"/>
      <c r="AR292" s="1106"/>
      <c r="AS292" s="1106"/>
      <c r="AT292" s="1106"/>
      <c r="AU292" s="1106"/>
      <c r="AV292" s="1106"/>
      <c r="AW292" s="1106"/>
      <c r="AX292" s="1106"/>
    </row>
    <row r="293">
      <c r="T293" s="1102"/>
      <c r="U293" s="1104"/>
      <c r="V293" s="1104"/>
      <c r="W293" s="1104"/>
      <c r="X293" s="1104"/>
      <c r="Y293" s="1104"/>
      <c r="Z293" s="1104"/>
      <c r="AA293" s="1104"/>
      <c r="AB293" s="1104"/>
      <c r="AC293" s="1104"/>
      <c r="AD293" s="1104"/>
      <c r="AE293" s="1104"/>
      <c r="AF293" s="1104"/>
      <c r="AG293" s="1106"/>
      <c r="AH293" s="1106"/>
      <c r="AI293" s="1106"/>
      <c r="AJ293" s="1106"/>
      <c r="AK293" s="1106"/>
      <c r="AL293" s="1106"/>
      <c r="AM293" s="1106"/>
      <c r="AN293" s="1106"/>
      <c r="AO293" s="1106"/>
      <c r="AP293" s="1106"/>
      <c r="AQ293" s="1106"/>
      <c r="AR293" s="1106"/>
      <c r="AS293" s="1106"/>
      <c r="AT293" s="1106"/>
      <c r="AU293" s="1106"/>
      <c r="AV293" s="1106"/>
      <c r="AW293" s="1106"/>
      <c r="AX293" s="1106"/>
    </row>
    <row r="294">
      <c r="T294" s="1102"/>
      <c r="U294" s="1104"/>
      <c r="V294" s="1104"/>
      <c r="W294" s="1104"/>
      <c r="X294" s="1104"/>
      <c r="Y294" s="1104"/>
      <c r="Z294" s="1104"/>
      <c r="AA294" s="1104"/>
      <c r="AB294" s="1104"/>
      <c r="AC294" s="1104"/>
      <c r="AD294" s="1104"/>
      <c r="AE294" s="1104"/>
      <c r="AF294" s="1104"/>
      <c r="AG294" s="1106"/>
      <c r="AH294" s="1106"/>
      <c r="AI294" s="1106"/>
      <c r="AJ294" s="1106"/>
      <c r="AK294" s="1106"/>
      <c r="AL294" s="1106"/>
      <c r="AM294" s="1106"/>
      <c r="AN294" s="1106"/>
      <c r="AO294" s="1106"/>
      <c r="AP294" s="1106"/>
      <c r="AQ294" s="1106"/>
      <c r="AR294" s="1106"/>
      <c r="AS294" s="1106"/>
      <c r="AT294" s="1106"/>
      <c r="AU294" s="1106"/>
      <c r="AV294" s="1106"/>
      <c r="AW294" s="1106"/>
      <c r="AX294" s="1106"/>
    </row>
    <row r="295">
      <c r="T295" s="1102"/>
      <c r="U295" s="1104"/>
      <c r="V295" s="1104"/>
      <c r="W295" s="1104"/>
      <c r="X295" s="1104"/>
      <c r="Y295" s="1104"/>
      <c r="Z295" s="1104"/>
      <c r="AA295" s="1104"/>
      <c r="AB295" s="1104"/>
      <c r="AC295" s="1104"/>
      <c r="AD295" s="1104"/>
      <c r="AE295" s="1104"/>
      <c r="AF295" s="1104"/>
      <c r="AG295" s="1106"/>
      <c r="AH295" s="1106"/>
      <c r="AI295" s="1106"/>
      <c r="AJ295" s="1106"/>
      <c r="AK295" s="1106"/>
      <c r="AL295" s="1106"/>
      <c r="AM295" s="1106"/>
      <c r="AN295" s="1106"/>
      <c r="AO295" s="1106"/>
      <c r="AP295" s="1106"/>
      <c r="AQ295" s="1106"/>
      <c r="AR295" s="1106"/>
      <c r="AS295" s="1106"/>
      <c r="AT295" s="1106"/>
      <c r="AU295" s="1106"/>
      <c r="AV295" s="1106"/>
      <c r="AW295" s="1106"/>
      <c r="AX295" s="1106"/>
    </row>
    <row r="296">
      <c r="T296" s="1102"/>
      <c r="U296" s="1104"/>
      <c r="V296" s="1104"/>
      <c r="W296" s="1104"/>
      <c r="X296" s="1104"/>
      <c r="Y296" s="1104"/>
      <c r="Z296" s="1104"/>
      <c r="AA296" s="1104"/>
      <c r="AB296" s="1104"/>
      <c r="AC296" s="1104"/>
      <c r="AD296" s="1104"/>
      <c r="AE296" s="1104"/>
      <c r="AF296" s="1104"/>
      <c r="AG296" s="1106"/>
      <c r="AH296" s="1106"/>
      <c r="AI296" s="1106"/>
      <c r="AJ296" s="1106"/>
      <c r="AK296" s="1106"/>
      <c r="AL296" s="1106"/>
      <c r="AM296" s="1106"/>
      <c r="AN296" s="1106"/>
      <c r="AO296" s="1106"/>
      <c r="AP296" s="1106"/>
      <c r="AQ296" s="1106"/>
      <c r="AR296" s="1106"/>
      <c r="AS296" s="1106"/>
      <c r="AT296" s="1106"/>
      <c r="AU296" s="1106"/>
      <c r="AV296" s="1106"/>
      <c r="AW296" s="1106"/>
      <c r="AX296" s="1106"/>
    </row>
    <row r="297">
      <c r="T297" s="1102"/>
      <c r="U297" s="1104"/>
      <c r="V297" s="1104"/>
      <c r="W297" s="1104"/>
      <c r="X297" s="1104"/>
      <c r="Y297" s="1104"/>
      <c r="Z297" s="1104"/>
      <c r="AA297" s="1104"/>
      <c r="AB297" s="1104"/>
      <c r="AC297" s="1104"/>
      <c r="AD297" s="1104"/>
      <c r="AE297" s="1104"/>
      <c r="AF297" s="1104"/>
      <c r="AG297" s="1106"/>
      <c r="AH297" s="1106"/>
      <c r="AI297" s="1106"/>
      <c r="AJ297" s="1106"/>
      <c r="AK297" s="1106"/>
      <c r="AL297" s="1106"/>
      <c r="AM297" s="1106"/>
      <c r="AN297" s="1106"/>
      <c r="AO297" s="1106"/>
      <c r="AP297" s="1106"/>
      <c r="AQ297" s="1106"/>
      <c r="AR297" s="1106"/>
      <c r="AS297" s="1106"/>
      <c r="AT297" s="1106"/>
      <c r="AU297" s="1106"/>
      <c r="AV297" s="1106"/>
      <c r="AW297" s="1106"/>
      <c r="AX297" s="1106"/>
    </row>
    <row r="298">
      <c r="T298" s="1102"/>
      <c r="U298" s="1104"/>
      <c r="V298" s="1104"/>
      <c r="W298" s="1104"/>
      <c r="X298" s="1104"/>
      <c r="Y298" s="1104"/>
      <c r="Z298" s="1104"/>
      <c r="AA298" s="1104"/>
      <c r="AB298" s="1104"/>
      <c r="AC298" s="1104"/>
      <c r="AD298" s="1104"/>
      <c r="AE298" s="1104"/>
      <c r="AF298" s="1104"/>
      <c r="AG298" s="1106"/>
      <c r="AH298" s="1106"/>
      <c r="AI298" s="1106"/>
      <c r="AJ298" s="1106"/>
      <c r="AK298" s="1106"/>
      <c r="AL298" s="1106"/>
      <c r="AM298" s="1106"/>
      <c r="AN298" s="1106"/>
      <c r="AO298" s="1106"/>
      <c r="AP298" s="1106"/>
      <c r="AQ298" s="1106"/>
      <c r="AR298" s="1106"/>
      <c r="AS298" s="1106"/>
      <c r="AT298" s="1106"/>
      <c r="AU298" s="1106"/>
      <c r="AV298" s="1106"/>
      <c r="AW298" s="1106"/>
      <c r="AX298" s="1106"/>
    </row>
    <row r="299">
      <c r="T299" s="1102"/>
      <c r="U299" s="1104"/>
      <c r="V299" s="1104"/>
      <c r="W299" s="1104"/>
      <c r="X299" s="1104"/>
      <c r="Y299" s="1104"/>
      <c r="Z299" s="1104"/>
      <c r="AA299" s="1104"/>
      <c r="AB299" s="1104"/>
      <c r="AC299" s="1104"/>
      <c r="AD299" s="1104"/>
      <c r="AE299" s="1104"/>
      <c r="AF299" s="1104"/>
      <c r="AG299" s="1106"/>
      <c r="AH299" s="1106"/>
      <c r="AI299" s="1106"/>
      <c r="AJ299" s="1106"/>
      <c r="AK299" s="1106"/>
      <c r="AL299" s="1106"/>
      <c r="AM299" s="1106"/>
      <c r="AN299" s="1106"/>
      <c r="AO299" s="1106"/>
      <c r="AP299" s="1106"/>
      <c r="AQ299" s="1106"/>
      <c r="AR299" s="1106"/>
      <c r="AS299" s="1106"/>
      <c r="AT299" s="1106"/>
      <c r="AU299" s="1106"/>
      <c r="AV299" s="1106"/>
      <c r="AW299" s="1106"/>
      <c r="AX299" s="1106"/>
    </row>
    <row r="300">
      <c r="T300" s="1102"/>
      <c r="U300" s="1104"/>
      <c r="V300" s="1104"/>
      <c r="W300" s="1104"/>
      <c r="X300" s="1104"/>
      <c r="Y300" s="1104"/>
      <c r="Z300" s="1104"/>
      <c r="AA300" s="1104"/>
      <c r="AB300" s="1104"/>
      <c r="AC300" s="1104"/>
      <c r="AD300" s="1104"/>
      <c r="AE300" s="1104"/>
      <c r="AF300" s="1104"/>
      <c r="AG300" s="1106"/>
      <c r="AH300" s="1106"/>
      <c r="AI300" s="1106"/>
      <c r="AJ300" s="1106"/>
      <c r="AK300" s="1106"/>
      <c r="AL300" s="1106"/>
      <c r="AM300" s="1106"/>
      <c r="AN300" s="1106"/>
      <c r="AO300" s="1106"/>
      <c r="AP300" s="1106"/>
      <c r="AQ300" s="1106"/>
      <c r="AR300" s="1106"/>
      <c r="AS300" s="1106"/>
      <c r="AT300" s="1106"/>
      <c r="AU300" s="1106"/>
      <c r="AV300" s="1106"/>
      <c r="AW300" s="1106"/>
      <c r="AX300" s="1106"/>
    </row>
    <row r="301">
      <c r="T301" s="1102"/>
      <c r="U301" s="1104"/>
      <c r="V301" s="1104"/>
      <c r="W301" s="1104"/>
      <c r="X301" s="1104"/>
      <c r="Y301" s="1104"/>
      <c r="Z301" s="1104"/>
      <c r="AA301" s="1104"/>
      <c r="AB301" s="1104"/>
      <c r="AC301" s="1104"/>
      <c r="AD301" s="1104"/>
      <c r="AE301" s="1104"/>
      <c r="AF301" s="1104"/>
      <c r="AG301" s="1106"/>
      <c r="AH301" s="1106"/>
      <c r="AI301" s="1106"/>
      <c r="AJ301" s="1106"/>
      <c r="AK301" s="1106"/>
      <c r="AL301" s="1106"/>
      <c r="AM301" s="1106"/>
      <c r="AN301" s="1106"/>
      <c r="AO301" s="1106"/>
      <c r="AP301" s="1106"/>
      <c r="AQ301" s="1106"/>
      <c r="AR301" s="1106"/>
      <c r="AS301" s="1106"/>
      <c r="AT301" s="1106"/>
      <c r="AU301" s="1106"/>
      <c r="AV301" s="1106"/>
      <c r="AW301" s="1106"/>
      <c r="AX301" s="1106"/>
    </row>
    <row r="302">
      <c r="T302" s="1102"/>
      <c r="U302" s="1104"/>
      <c r="V302" s="1104"/>
      <c r="W302" s="1104"/>
      <c r="X302" s="1104"/>
      <c r="Y302" s="1104"/>
      <c r="Z302" s="1104"/>
      <c r="AA302" s="1104"/>
      <c r="AB302" s="1104"/>
      <c r="AC302" s="1104"/>
      <c r="AD302" s="1104"/>
      <c r="AE302" s="1104"/>
      <c r="AF302" s="1104"/>
      <c r="AG302" s="1106"/>
      <c r="AH302" s="1106"/>
      <c r="AI302" s="1106"/>
      <c r="AJ302" s="1106"/>
      <c r="AK302" s="1106"/>
      <c r="AL302" s="1106"/>
      <c r="AM302" s="1106"/>
      <c r="AN302" s="1106"/>
      <c r="AO302" s="1106"/>
      <c r="AP302" s="1106"/>
      <c r="AQ302" s="1106"/>
      <c r="AR302" s="1106"/>
      <c r="AS302" s="1106"/>
      <c r="AT302" s="1106"/>
      <c r="AU302" s="1106"/>
      <c r="AV302" s="1106"/>
      <c r="AW302" s="1106"/>
      <c r="AX302" s="1106"/>
    </row>
    <row r="303">
      <c r="T303" s="1102"/>
      <c r="U303" s="1104"/>
      <c r="V303" s="1104"/>
      <c r="W303" s="1104"/>
      <c r="X303" s="1104"/>
      <c r="Y303" s="1104"/>
      <c r="Z303" s="1104"/>
      <c r="AA303" s="1104"/>
      <c r="AB303" s="1104"/>
      <c r="AC303" s="1104"/>
      <c r="AD303" s="1104"/>
      <c r="AE303" s="1104"/>
      <c r="AF303" s="1104"/>
      <c r="AG303" s="1106"/>
      <c r="AH303" s="1106"/>
      <c r="AI303" s="1106"/>
      <c r="AJ303" s="1106"/>
      <c r="AK303" s="1106"/>
      <c r="AL303" s="1106"/>
      <c r="AM303" s="1106"/>
      <c r="AN303" s="1106"/>
      <c r="AO303" s="1106"/>
      <c r="AP303" s="1106"/>
      <c r="AQ303" s="1106"/>
      <c r="AR303" s="1106"/>
      <c r="AS303" s="1106"/>
      <c r="AT303" s="1106"/>
      <c r="AU303" s="1106"/>
      <c r="AV303" s="1106"/>
      <c r="AW303" s="1106"/>
      <c r="AX303" s="1106"/>
    </row>
    <row r="304">
      <c r="T304" s="1102"/>
      <c r="U304" s="1104"/>
      <c r="V304" s="1104"/>
      <c r="W304" s="1104"/>
      <c r="X304" s="1104"/>
      <c r="Y304" s="1104"/>
      <c r="Z304" s="1104"/>
      <c r="AA304" s="1104"/>
      <c r="AB304" s="1104"/>
      <c r="AC304" s="1104"/>
      <c r="AD304" s="1104"/>
      <c r="AE304" s="1104"/>
      <c r="AF304" s="1104"/>
      <c r="AG304" s="1106"/>
      <c r="AH304" s="1106"/>
      <c r="AI304" s="1106"/>
      <c r="AJ304" s="1106"/>
      <c r="AK304" s="1106"/>
      <c r="AL304" s="1106"/>
      <c r="AM304" s="1106"/>
      <c r="AN304" s="1106"/>
      <c r="AO304" s="1106"/>
      <c r="AP304" s="1106"/>
      <c r="AQ304" s="1106"/>
      <c r="AR304" s="1106"/>
      <c r="AS304" s="1106"/>
      <c r="AT304" s="1106"/>
      <c r="AU304" s="1106"/>
      <c r="AV304" s="1106"/>
      <c r="AW304" s="1106"/>
      <c r="AX304" s="1106"/>
    </row>
    <row r="305">
      <c r="T305" s="1102"/>
      <c r="U305" s="1104"/>
      <c r="V305" s="1104"/>
      <c r="W305" s="1104"/>
      <c r="X305" s="1104"/>
      <c r="Y305" s="1104"/>
      <c r="Z305" s="1104"/>
      <c r="AA305" s="1104"/>
      <c r="AB305" s="1104"/>
      <c r="AC305" s="1104"/>
      <c r="AD305" s="1104"/>
      <c r="AE305" s="1104"/>
      <c r="AF305" s="1104"/>
      <c r="AG305" s="1106"/>
      <c r="AH305" s="1106"/>
      <c r="AI305" s="1106"/>
      <c r="AJ305" s="1106"/>
      <c r="AK305" s="1106"/>
      <c r="AL305" s="1106"/>
      <c r="AM305" s="1106"/>
      <c r="AN305" s="1106"/>
      <c r="AO305" s="1106"/>
      <c r="AP305" s="1106"/>
      <c r="AQ305" s="1106"/>
      <c r="AR305" s="1106"/>
      <c r="AS305" s="1106"/>
      <c r="AT305" s="1106"/>
      <c r="AU305" s="1106"/>
      <c r="AV305" s="1106"/>
      <c r="AW305" s="1106"/>
      <c r="AX305" s="1106"/>
    </row>
    <row r="306">
      <c r="T306" s="1102"/>
      <c r="U306" s="1104"/>
      <c r="V306" s="1104"/>
      <c r="W306" s="1104"/>
      <c r="X306" s="1104"/>
      <c r="Y306" s="1104"/>
      <c r="Z306" s="1104"/>
      <c r="AA306" s="1104"/>
      <c r="AB306" s="1104"/>
      <c r="AC306" s="1104"/>
      <c r="AD306" s="1104"/>
      <c r="AE306" s="1104"/>
      <c r="AF306" s="1104"/>
      <c r="AG306" s="1106"/>
      <c r="AH306" s="1106"/>
      <c r="AI306" s="1106"/>
      <c r="AJ306" s="1106"/>
      <c r="AK306" s="1106"/>
      <c r="AL306" s="1106"/>
      <c r="AM306" s="1106"/>
      <c r="AN306" s="1106"/>
      <c r="AO306" s="1106"/>
      <c r="AP306" s="1106"/>
      <c r="AQ306" s="1106"/>
      <c r="AR306" s="1106"/>
      <c r="AS306" s="1106"/>
      <c r="AT306" s="1106"/>
      <c r="AU306" s="1106"/>
      <c r="AV306" s="1106"/>
      <c r="AW306" s="1106"/>
      <c r="AX306" s="1106"/>
    </row>
    <row r="307">
      <c r="T307" s="1102"/>
      <c r="U307" s="1104"/>
      <c r="V307" s="1104"/>
      <c r="W307" s="1104"/>
      <c r="X307" s="1104"/>
      <c r="Y307" s="1104"/>
      <c r="Z307" s="1104"/>
      <c r="AA307" s="1104"/>
      <c r="AB307" s="1104"/>
      <c r="AC307" s="1104"/>
      <c r="AD307" s="1104"/>
      <c r="AE307" s="1104"/>
      <c r="AF307" s="1104"/>
      <c r="AG307" s="1106"/>
      <c r="AH307" s="1106"/>
      <c r="AI307" s="1106"/>
      <c r="AJ307" s="1106"/>
      <c r="AK307" s="1106"/>
      <c r="AL307" s="1106"/>
      <c r="AM307" s="1106"/>
      <c r="AN307" s="1106"/>
      <c r="AO307" s="1106"/>
      <c r="AP307" s="1106"/>
      <c r="AQ307" s="1106"/>
      <c r="AR307" s="1106"/>
      <c r="AS307" s="1106"/>
      <c r="AT307" s="1106"/>
      <c r="AU307" s="1106"/>
      <c r="AV307" s="1106"/>
      <c r="AW307" s="1106"/>
      <c r="AX307" s="1106"/>
    </row>
    <row r="308">
      <c r="T308" s="1102"/>
      <c r="U308" s="1104"/>
      <c r="V308" s="1104"/>
      <c r="W308" s="1104"/>
      <c r="X308" s="1104"/>
      <c r="Y308" s="1104"/>
      <c r="Z308" s="1104"/>
      <c r="AA308" s="1104"/>
      <c r="AB308" s="1104"/>
      <c r="AC308" s="1104"/>
      <c r="AD308" s="1104"/>
      <c r="AE308" s="1104"/>
      <c r="AF308" s="1104"/>
      <c r="AG308" s="1106"/>
      <c r="AH308" s="1106"/>
      <c r="AI308" s="1106"/>
      <c r="AJ308" s="1106"/>
      <c r="AK308" s="1106"/>
      <c r="AL308" s="1106"/>
      <c r="AM308" s="1106"/>
      <c r="AN308" s="1106"/>
      <c r="AO308" s="1106"/>
      <c r="AP308" s="1106"/>
      <c r="AQ308" s="1106"/>
      <c r="AR308" s="1106"/>
      <c r="AS308" s="1106"/>
      <c r="AT308" s="1106"/>
      <c r="AU308" s="1106"/>
      <c r="AV308" s="1106"/>
      <c r="AW308" s="1106"/>
      <c r="AX308" s="1106"/>
    </row>
    <row r="309">
      <c r="T309" s="1102"/>
      <c r="U309" s="1104"/>
      <c r="V309" s="1104"/>
      <c r="W309" s="1104"/>
      <c r="X309" s="1104"/>
      <c r="Y309" s="1104"/>
      <c r="Z309" s="1104"/>
      <c r="AA309" s="1104"/>
      <c r="AB309" s="1104"/>
      <c r="AC309" s="1104"/>
      <c r="AD309" s="1104"/>
      <c r="AE309" s="1104"/>
      <c r="AF309" s="1104"/>
      <c r="AG309" s="1106"/>
      <c r="AH309" s="1106"/>
      <c r="AI309" s="1106"/>
      <c r="AJ309" s="1106"/>
      <c r="AK309" s="1106"/>
      <c r="AL309" s="1106"/>
      <c r="AM309" s="1106"/>
      <c r="AN309" s="1106"/>
      <c r="AO309" s="1106"/>
      <c r="AP309" s="1106"/>
      <c r="AQ309" s="1106"/>
      <c r="AR309" s="1106"/>
      <c r="AS309" s="1106"/>
      <c r="AT309" s="1106"/>
      <c r="AU309" s="1106"/>
      <c r="AV309" s="1106"/>
      <c r="AW309" s="1106"/>
      <c r="AX309" s="1106"/>
    </row>
    <row r="310">
      <c r="T310" s="1102"/>
      <c r="U310" s="1104"/>
      <c r="V310" s="1104"/>
      <c r="W310" s="1104"/>
      <c r="X310" s="1104"/>
      <c r="Y310" s="1104"/>
      <c r="Z310" s="1104"/>
      <c r="AA310" s="1104"/>
      <c r="AB310" s="1104"/>
      <c r="AC310" s="1104"/>
      <c r="AD310" s="1104"/>
      <c r="AE310" s="1104"/>
      <c r="AF310" s="1104"/>
      <c r="AG310" s="1106"/>
      <c r="AH310" s="1106"/>
      <c r="AI310" s="1106"/>
      <c r="AJ310" s="1106"/>
      <c r="AK310" s="1106"/>
      <c r="AL310" s="1106"/>
      <c r="AM310" s="1106"/>
      <c r="AN310" s="1106"/>
      <c r="AO310" s="1106"/>
      <c r="AP310" s="1106"/>
      <c r="AQ310" s="1106"/>
      <c r="AR310" s="1106"/>
      <c r="AS310" s="1106"/>
      <c r="AT310" s="1106"/>
      <c r="AU310" s="1106"/>
      <c r="AV310" s="1106"/>
      <c r="AW310" s="1106"/>
      <c r="AX310" s="1106"/>
    </row>
    <row r="311">
      <c r="T311" s="1102"/>
      <c r="U311" s="1104"/>
      <c r="V311" s="1104"/>
      <c r="W311" s="1104"/>
      <c r="X311" s="1104"/>
      <c r="Y311" s="1104"/>
      <c r="Z311" s="1104"/>
      <c r="AA311" s="1104"/>
      <c r="AB311" s="1104"/>
      <c r="AC311" s="1104"/>
      <c r="AD311" s="1104"/>
      <c r="AE311" s="1104"/>
      <c r="AF311" s="1104"/>
      <c r="AG311" s="1106"/>
      <c r="AH311" s="1106"/>
      <c r="AI311" s="1106"/>
      <c r="AJ311" s="1106"/>
      <c r="AK311" s="1106"/>
      <c r="AL311" s="1106"/>
      <c r="AM311" s="1106"/>
      <c r="AN311" s="1106"/>
      <c r="AO311" s="1106"/>
      <c r="AP311" s="1106"/>
      <c r="AQ311" s="1106"/>
      <c r="AR311" s="1106"/>
      <c r="AS311" s="1106"/>
      <c r="AT311" s="1106"/>
      <c r="AU311" s="1106"/>
      <c r="AV311" s="1106"/>
      <c r="AW311" s="1106"/>
      <c r="AX311" s="1106"/>
    </row>
    <row r="312">
      <c r="T312" s="1102"/>
      <c r="U312" s="1104"/>
      <c r="V312" s="1104"/>
      <c r="W312" s="1104"/>
      <c r="X312" s="1104"/>
      <c r="Y312" s="1104"/>
      <c r="Z312" s="1104"/>
      <c r="AA312" s="1104"/>
      <c r="AB312" s="1104"/>
      <c r="AC312" s="1104"/>
      <c r="AD312" s="1104"/>
      <c r="AE312" s="1104"/>
      <c r="AF312" s="1104"/>
      <c r="AG312" s="1106"/>
      <c r="AH312" s="1106"/>
      <c r="AI312" s="1106"/>
      <c r="AJ312" s="1106"/>
      <c r="AK312" s="1106"/>
      <c r="AL312" s="1106"/>
      <c r="AM312" s="1106"/>
      <c r="AN312" s="1106"/>
      <c r="AO312" s="1106"/>
      <c r="AP312" s="1106"/>
      <c r="AQ312" s="1106"/>
      <c r="AR312" s="1106"/>
      <c r="AS312" s="1106"/>
      <c r="AT312" s="1106"/>
      <c r="AU312" s="1106"/>
      <c r="AV312" s="1106"/>
      <c r="AW312" s="1106"/>
      <c r="AX312" s="1106"/>
    </row>
    <row r="313">
      <c r="T313" s="1102"/>
      <c r="U313" s="1104"/>
      <c r="V313" s="1104"/>
      <c r="W313" s="1104"/>
      <c r="X313" s="1104"/>
      <c r="Y313" s="1104"/>
      <c r="Z313" s="1104"/>
      <c r="AA313" s="1104"/>
      <c r="AB313" s="1104"/>
      <c r="AC313" s="1104"/>
      <c r="AD313" s="1104"/>
      <c r="AE313" s="1104"/>
      <c r="AF313" s="1104"/>
      <c r="AG313" s="1106"/>
      <c r="AH313" s="1106"/>
      <c r="AI313" s="1106"/>
      <c r="AJ313" s="1106"/>
      <c r="AK313" s="1106"/>
      <c r="AL313" s="1106"/>
      <c r="AM313" s="1106"/>
      <c r="AN313" s="1106"/>
      <c r="AO313" s="1106"/>
      <c r="AP313" s="1106"/>
      <c r="AQ313" s="1106"/>
      <c r="AR313" s="1106"/>
      <c r="AS313" s="1106"/>
      <c r="AT313" s="1106"/>
      <c r="AU313" s="1106"/>
      <c r="AV313" s="1106"/>
      <c r="AW313" s="1106"/>
      <c r="AX313" s="1106"/>
    </row>
    <row r="314">
      <c r="T314" s="1102"/>
      <c r="U314" s="1104"/>
      <c r="V314" s="1104"/>
      <c r="W314" s="1104"/>
      <c r="X314" s="1104"/>
      <c r="Y314" s="1104"/>
      <c r="Z314" s="1104"/>
      <c r="AA314" s="1104"/>
      <c r="AB314" s="1104"/>
      <c r="AC314" s="1104"/>
      <c r="AD314" s="1104"/>
      <c r="AE314" s="1104"/>
      <c r="AF314" s="1104"/>
      <c r="AG314" s="1106"/>
      <c r="AH314" s="1106"/>
      <c r="AI314" s="1106"/>
      <c r="AJ314" s="1106"/>
      <c r="AK314" s="1106"/>
      <c r="AL314" s="1106"/>
      <c r="AM314" s="1106"/>
      <c r="AN314" s="1106"/>
      <c r="AO314" s="1106"/>
      <c r="AP314" s="1106"/>
      <c r="AQ314" s="1106"/>
      <c r="AR314" s="1106"/>
      <c r="AS314" s="1106"/>
      <c r="AT314" s="1106"/>
      <c r="AU314" s="1106"/>
      <c r="AV314" s="1106"/>
      <c r="AW314" s="1106"/>
      <c r="AX314" s="1106"/>
    </row>
    <row r="315">
      <c r="T315" s="1102"/>
      <c r="U315" s="1104"/>
      <c r="V315" s="1104"/>
      <c r="W315" s="1104"/>
      <c r="X315" s="1104"/>
      <c r="Y315" s="1104"/>
      <c r="Z315" s="1104"/>
      <c r="AA315" s="1104"/>
      <c r="AB315" s="1104"/>
      <c r="AC315" s="1104"/>
      <c r="AD315" s="1104"/>
      <c r="AE315" s="1104"/>
      <c r="AF315" s="1104"/>
      <c r="AG315" s="1106"/>
      <c r="AH315" s="1106"/>
      <c r="AI315" s="1106"/>
      <c r="AJ315" s="1106"/>
      <c r="AK315" s="1106"/>
      <c r="AL315" s="1106"/>
      <c r="AM315" s="1106"/>
      <c r="AN315" s="1106"/>
      <c r="AO315" s="1106"/>
      <c r="AP315" s="1106"/>
      <c r="AQ315" s="1106"/>
      <c r="AR315" s="1106"/>
      <c r="AS315" s="1106"/>
      <c r="AT315" s="1106"/>
      <c r="AU315" s="1106"/>
      <c r="AV315" s="1106"/>
      <c r="AW315" s="1106"/>
      <c r="AX315" s="1106"/>
    </row>
    <row r="316">
      <c r="T316" s="1102"/>
      <c r="U316" s="1104"/>
      <c r="V316" s="1104"/>
      <c r="W316" s="1104"/>
      <c r="X316" s="1104"/>
      <c r="Y316" s="1104"/>
      <c r="Z316" s="1104"/>
      <c r="AA316" s="1104"/>
      <c r="AB316" s="1104"/>
      <c r="AC316" s="1104"/>
      <c r="AD316" s="1104"/>
      <c r="AE316" s="1104"/>
      <c r="AF316" s="1104"/>
      <c r="AG316" s="1106"/>
      <c r="AH316" s="1106"/>
      <c r="AI316" s="1106"/>
      <c r="AJ316" s="1106"/>
      <c r="AK316" s="1106"/>
      <c r="AL316" s="1106"/>
      <c r="AM316" s="1106"/>
      <c r="AN316" s="1106"/>
      <c r="AO316" s="1106"/>
      <c r="AP316" s="1106"/>
      <c r="AQ316" s="1106"/>
      <c r="AR316" s="1106"/>
      <c r="AS316" s="1106"/>
      <c r="AT316" s="1106"/>
      <c r="AU316" s="1106"/>
      <c r="AV316" s="1106"/>
      <c r="AW316" s="1106"/>
      <c r="AX316" s="1106"/>
    </row>
    <row r="317">
      <c r="T317" s="1102"/>
      <c r="U317" s="1104"/>
      <c r="V317" s="1104"/>
      <c r="W317" s="1104"/>
      <c r="X317" s="1104"/>
      <c r="Y317" s="1104"/>
      <c r="Z317" s="1104"/>
      <c r="AA317" s="1104"/>
      <c r="AB317" s="1104"/>
      <c r="AC317" s="1104"/>
      <c r="AD317" s="1104"/>
      <c r="AE317" s="1104"/>
      <c r="AF317" s="1104"/>
      <c r="AG317" s="1106"/>
      <c r="AH317" s="1106"/>
      <c r="AI317" s="1106"/>
      <c r="AJ317" s="1106"/>
      <c r="AK317" s="1106"/>
      <c r="AL317" s="1106"/>
      <c r="AM317" s="1106"/>
      <c r="AN317" s="1106"/>
      <c r="AO317" s="1106"/>
      <c r="AP317" s="1106"/>
      <c r="AQ317" s="1106"/>
      <c r="AR317" s="1106"/>
      <c r="AS317" s="1106"/>
      <c r="AT317" s="1106"/>
      <c r="AU317" s="1106"/>
      <c r="AV317" s="1106"/>
      <c r="AW317" s="1106"/>
      <c r="AX317" s="1106"/>
    </row>
    <row r="318">
      <c r="T318" s="1102"/>
      <c r="U318" s="1104"/>
      <c r="V318" s="1104"/>
      <c r="W318" s="1104"/>
      <c r="X318" s="1104"/>
      <c r="Y318" s="1104"/>
      <c r="Z318" s="1104"/>
      <c r="AA318" s="1104"/>
      <c r="AB318" s="1104"/>
      <c r="AC318" s="1104"/>
      <c r="AD318" s="1104"/>
      <c r="AE318" s="1104"/>
      <c r="AF318" s="1104"/>
      <c r="AG318" s="1106"/>
      <c r="AH318" s="1106"/>
      <c r="AI318" s="1106"/>
      <c r="AJ318" s="1106"/>
      <c r="AK318" s="1106"/>
      <c r="AL318" s="1106"/>
      <c r="AM318" s="1106"/>
      <c r="AN318" s="1106"/>
      <c r="AO318" s="1106"/>
      <c r="AP318" s="1106"/>
      <c r="AQ318" s="1106"/>
      <c r="AR318" s="1106"/>
      <c r="AS318" s="1106"/>
      <c r="AT318" s="1106"/>
      <c r="AU318" s="1106"/>
      <c r="AV318" s="1106"/>
      <c r="AW318" s="1106"/>
      <c r="AX318" s="1106"/>
    </row>
    <row r="319">
      <c r="T319" s="1102"/>
      <c r="U319" s="1104"/>
      <c r="V319" s="1104"/>
      <c r="W319" s="1104"/>
      <c r="X319" s="1104"/>
      <c r="Y319" s="1104"/>
      <c r="Z319" s="1104"/>
      <c r="AA319" s="1104"/>
      <c r="AB319" s="1104"/>
      <c r="AC319" s="1104"/>
      <c r="AD319" s="1104"/>
      <c r="AE319" s="1104"/>
      <c r="AF319" s="1104"/>
      <c r="AG319" s="1106"/>
      <c r="AH319" s="1106"/>
      <c r="AI319" s="1106"/>
      <c r="AJ319" s="1106"/>
      <c r="AK319" s="1106"/>
      <c r="AL319" s="1106"/>
      <c r="AM319" s="1106"/>
      <c r="AN319" s="1106"/>
      <c r="AO319" s="1106"/>
      <c r="AP319" s="1106"/>
      <c r="AQ319" s="1106"/>
      <c r="AR319" s="1106"/>
      <c r="AS319" s="1106"/>
      <c r="AT319" s="1106"/>
      <c r="AU319" s="1106"/>
      <c r="AV319" s="1106"/>
      <c r="AW319" s="1106"/>
      <c r="AX319" s="1106"/>
    </row>
    <row r="320">
      <c r="T320" s="1102"/>
      <c r="U320" s="1104"/>
      <c r="V320" s="1104"/>
      <c r="W320" s="1104"/>
      <c r="X320" s="1104"/>
      <c r="Y320" s="1104"/>
      <c r="Z320" s="1104"/>
      <c r="AA320" s="1104"/>
      <c r="AB320" s="1104"/>
      <c r="AC320" s="1104"/>
      <c r="AD320" s="1104"/>
      <c r="AE320" s="1104"/>
      <c r="AF320" s="1104"/>
      <c r="AG320" s="1106"/>
      <c r="AH320" s="1106"/>
      <c r="AI320" s="1106"/>
      <c r="AJ320" s="1106"/>
      <c r="AK320" s="1106"/>
      <c r="AL320" s="1106"/>
      <c r="AM320" s="1106"/>
      <c r="AN320" s="1106"/>
      <c r="AO320" s="1106"/>
      <c r="AP320" s="1106"/>
      <c r="AQ320" s="1106"/>
      <c r="AR320" s="1106"/>
      <c r="AS320" s="1106"/>
      <c r="AT320" s="1106"/>
      <c r="AU320" s="1106"/>
      <c r="AV320" s="1106"/>
      <c r="AW320" s="1106"/>
      <c r="AX320" s="1106"/>
    </row>
    <row r="321">
      <c r="T321" s="1102"/>
      <c r="U321" s="1104"/>
      <c r="V321" s="1104"/>
      <c r="W321" s="1104"/>
      <c r="X321" s="1104"/>
      <c r="Y321" s="1104"/>
      <c r="Z321" s="1104"/>
      <c r="AA321" s="1104"/>
      <c r="AB321" s="1104"/>
      <c r="AC321" s="1104"/>
      <c r="AD321" s="1104"/>
      <c r="AE321" s="1104"/>
      <c r="AF321" s="1104"/>
      <c r="AG321" s="1106"/>
      <c r="AH321" s="1106"/>
      <c r="AI321" s="1106"/>
      <c r="AJ321" s="1106"/>
      <c r="AK321" s="1106"/>
      <c r="AL321" s="1106"/>
      <c r="AM321" s="1106"/>
      <c r="AN321" s="1106"/>
      <c r="AO321" s="1106"/>
      <c r="AP321" s="1106"/>
      <c r="AQ321" s="1106"/>
      <c r="AR321" s="1106"/>
      <c r="AS321" s="1106"/>
      <c r="AT321" s="1106"/>
      <c r="AU321" s="1106"/>
      <c r="AV321" s="1106"/>
      <c r="AW321" s="1106"/>
      <c r="AX321" s="1106"/>
    </row>
    <row r="322">
      <c r="T322" s="1102"/>
      <c r="U322" s="1104"/>
      <c r="V322" s="1104"/>
      <c r="W322" s="1104"/>
      <c r="X322" s="1104"/>
      <c r="Y322" s="1104"/>
      <c r="Z322" s="1104"/>
      <c r="AA322" s="1104"/>
      <c r="AB322" s="1104"/>
      <c r="AC322" s="1104"/>
      <c r="AD322" s="1104"/>
      <c r="AE322" s="1104"/>
      <c r="AF322" s="1104"/>
      <c r="AG322" s="1106"/>
      <c r="AH322" s="1106"/>
      <c r="AI322" s="1106"/>
      <c r="AJ322" s="1106"/>
      <c r="AK322" s="1106"/>
      <c r="AL322" s="1106"/>
      <c r="AM322" s="1106"/>
      <c r="AN322" s="1106"/>
      <c r="AO322" s="1106"/>
      <c r="AP322" s="1106"/>
      <c r="AQ322" s="1106"/>
      <c r="AR322" s="1106"/>
      <c r="AS322" s="1106"/>
      <c r="AT322" s="1106"/>
      <c r="AU322" s="1106"/>
      <c r="AV322" s="1106"/>
      <c r="AW322" s="1106"/>
      <c r="AX322" s="1106"/>
    </row>
    <row r="323">
      <c r="T323" s="1102"/>
      <c r="U323" s="1104"/>
      <c r="V323" s="1104"/>
      <c r="W323" s="1104"/>
      <c r="X323" s="1104"/>
      <c r="Y323" s="1104"/>
      <c r="Z323" s="1104"/>
      <c r="AA323" s="1104"/>
      <c r="AB323" s="1104"/>
      <c r="AC323" s="1104"/>
      <c r="AD323" s="1104"/>
      <c r="AE323" s="1104"/>
      <c r="AF323" s="1104"/>
      <c r="AG323" s="1106"/>
      <c r="AH323" s="1106"/>
      <c r="AI323" s="1106"/>
      <c r="AJ323" s="1106"/>
      <c r="AK323" s="1106"/>
      <c r="AL323" s="1106"/>
      <c r="AM323" s="1106"/>
      <c r="AN323" s="1106"/>
      <c r="AO323" s="1106"/>
      <c r="AP323" s="1106"/>
      <c r="AQ323" s="1106"/>
      <c r="AR323" s="1106"/>
      <c r="AS323" s="1106"/>
      <c r="AT323" s="1106"/>
      <c r="AU323" s="1106"/>
      <c r="AV323" s="1106"/>
      <c r="AW323" s="1106"/>
      <c r="AX323" s="1106"/>
    </row>
    <row r="324">
      <c r="T324" s="1102"/>
      <c r="U324" s="1104"/>
      <c r="V324" s="1104"/>
      <c r="W324" s="1104"/>
      <c r="X324" s="1104"/>
      <c r="Y324" s="1104"/>
      <c r="Z324" s="1104"/>
      <c r="AA324" s="1104"/>
      <c r="AB324" s="1104"/>
      <c r="AC324" s="1104"/>
      <c r="AD324" s="1104"/>
      <c r="AE324" s="1104"/>
      <c r="AF324" s="1104"/>
      <c r="AG324" s="1106"/>
      <c r="AH324" s="1106"/>
      <c r="AI324" s="1106"/>
      <c r="AJ324" s="1106"/>
      <c r="AK324" s="1106"/>
      <c r="AL324" s="1106"/>
      <c r="AM324" s="1106"/>
      <c r="AN324" s="1106"/>
      <c r="AO324" s="1106"/>
      <c r="AP324" s="1106"/>
      <c r="AQ324" s="1106"/>
      <c r="AR324" s="1106"/>
      <c r="AS324" s="1106"/>
      <c r="AT324" s="1106"/>
      <c r="AU324" s="1106"/>
      <c r="AV324" s="1106"/>
      <c r="AW324" s="1106"/>
      <c r="AX324" s="1106"/>
    </row>
    <row r="325">
      <c r="T325" s="1102"/>
      <c r="U325" s="1104"/>
      <c r="V325" s="1104"/>
      <c r="W325" s="1104"/>
      <c r="X325" s="1104"/>
      <c r="Y325" s="1104"/>
      <c r="Z325" s="1104"/>
      <c r="AA325" s="1104"/>
      <c r="AB325" s="1104"/>
      <c r="AC325" s="1104"/>
      <c r="AD325" s="1104"/>
      <c r="AE325" s="1104"/>
      <c r="AF325" s="1104"/>
      <c r="AG325" s="1106"/>
      <c r="AH325" s="1106"/>
      <c r="AI325" s="1106"/>
      <c r="AJ325" s="1106"/>
      <c r="AK325" s="1106"/>
      <c r="AL325" s="1106"/>
      <c r="AM325" s="1106"/>
      <c r="AN325" s="1106"/>
      <c r="AO325" s="1106"/>
      <c r="AP325" s="1106"/>
      <c r="AQ325" s="1106"/>
      <c r="AR325" s="1106"/>
      <c r="AS325" s="1106"/>
      <c r="AT325" s="1106"/>
      <c r="AU325" s="1106"/>
      <c r="AV325" s="1106"/>
      <c r="AW325" s="1106"/>
      <c r="AX325" s="1106"/>
    </row>
    <row r="326">
      <c r="T326" s="1102"/>
      <c r="U326" s="1104"/>
      <c r="V326" s="1104"/>
      <c r="W326" s="1104"/>
      <c r="X326" s="1104"/>
      <c r="Y326" s="1104"/>
      <c r="Z326" s="1104"/>
      <c r="AA326" s="1104"/>
      <c r="AB326" s="1104"/>
      <c r="AC326" s="1104"/>
      <c r="AD326" s="1104"/>
      <c r="AE326" s="1104"/>
      <c r="AF326" s="1104"/>
      <c r="AG326" s="1106"/>
      <c r="AH326" s="1106"/>
      <c r="AI326" s="1106"/>
      <c r="AJ326" s="1106"/>
      <c r="AK326" s="1106"/>
      <c r="AL326" s="1106"/>
      <c r="AM326" s="1106"/>
      <c r="AN326" s="1106"/>
      <c r="AO326" s="1106"/>
      <c r="AP326" s="1106"/>
      <c r="AQ326" s="1106"/>
      <c r="AR326" s="1106"/>
      <c r="AS326" s="1106"/>
      <c r="AT326" s="1106"/>
      <c r="AU326" s="1106"/>
      <c r="AV326" s="1106"/>
      <c r="AW326" s="1106"/>
      <c r="AX326" s="1106"/>
    </row>
    <row r="327">
      <c r="T327" s="1102"/>
      <c r="U327" s="1104"/>
      <c r="V327" s="1104"/>
      <c r="W327" s="1104"/>
      <c r="X327" s="1104"/>
      <c r="Y327" s="1104"/>
      <c r="Z327" s="1104"/>
      <c r="AA327" s="1104"/>
      <c r="AB327" s="1104"/>
      <c r="AC327" s="1104"/>
      <c r="AD327" s="1104"/>
      <c r="AE327" s="1104"/>
      <c r="AF327" s="1104"/>
      <c r="AG327" s="1106"/>
      <c r="AH327" s="1106"/>
      <c r="AI327" s="1106"/>
      <c r="AJ327" s="1106"/>
      <c r="AK327" s="1106"/>
      <c r="AL327" s="1106"/>
      <c r="AM327" s="1106"/>
      <c r="AN327" s="1106"/>
      <c r="AO327" s="1106"/>
      <c r="AP327" s="1106"/>
      <c r="AQ327" s="1106"/>
      <c r="AR327" s="1106"/>
      <c r="AS327" s="1106"/>
      <c r="AT327" s="1106"/>
      <c r="AU327" s="1106"/>
      <c r="AV327" s="1106"/>
      <c r="AW327" s="1106"/>
      <c r="AX327" s="1106"/>
    </row>
    <row r="328">
      <c r="T328" s="1102"/>
      <c r="U328" s="1104"/>
      <c r="V328" s="1104"/>
      <c r="W328" s="1104"/>
      <c r="X328" s="1104"/>
      <c r="Y328" s="1104"/>
      <c r="Z328" s="1104"/>
      <c r="AA328" s="1104"/>
      <c r="AB328" s="1104"/>
      <c r="AC328" s="1104"/>
      <c r="AD328" s="1104"/>
      <c r="AE328" s="1104"/>
      <c r="AF328" s="1104"/>
      <c r="AG328" s="1106"/>
      <c r="AH328" s="1106"/>
      <c r="AI328" s="1106"/>
      <c r="AJ328" s="1106"/>
      <c r="AK328" s="1106"/>
      <c r="AL328" s="1106"/>
      <c r="AM328" s="1106"/>
      <c r="AN328" s="1106"/>
      <c r="AO328" s="1106"/>
      <c r="AP328" s="1106"/>
      <c r="AQ328" s="1106"/>
      <c r="AR328" s="1106"/>
      <c r="AS328" s="1106"/>
      <c r="AT328" s="1106"/>
      <c r="AU328" s="1106"/>
      <c r="AV328" s="1106"/>
      <c r="AW328" s="1106"/>
      <c r="AX328" s="1106"/>
    </row>
    <row r="329">
      <c r="T329" s="1102"/>
      <c r="U329" s="1104"/>
      <c r="V329" s="1104"/>
      <c r="W329" s="1104"/>
      <c r="X329" s="1104"/>
      <c r="Y329" s="1104"/>
      <c r="Z329" s="1104"/>
      <c r="AA329" s="1104"/>
      <c r="AB329" s="1104"/>
      <c r="AC329" s="1104"/>
      <c r="AD329" s="1104"/>
      <c r="AE329" s="1104"/>
      <c r="AF329" s="1104"/>
      <c r="AG329" s="1106"/>
      <c r="AH329" s="1106"/>
      <c r="AI329" s="1106"/>
      <c r="AJ329" s="1106"/>
      <c r="AK329" s="1106"/>
      <c r="AL329" s="1106"/>
      <c r="AM329" s="1106"/>
      <c r="AN329" s="1106"/>
      <c r="AO329" s="1106"/>
      <c r="AP329" s="1106"/>
      <c r="AQ329" s="1106"/>
      <c r="AR329" s="1106"/>
      <c r="AS329" s="1106"/>
      <c r="AT329" s="1106"/>
      <c r="AU329" s="1106"/>
      <c r="AV329" s="1106"/>
      <c r="AW329" s="1106"/>
      <c r="AX329" s="1106"/>
    </row>
    <row r="330">
      <c r="T330" s="1102"/>
      <c r="U330" s="1104"/>
      <c r="V330" s="1104"/>
      <c r="W330" s="1104"/>
      <c r="X330" s="1104"/>
      <c r="Y330" s="1104"/>
      <c r="Z330" s="1104"/>
      <c r="AA330" s="1104"/>
      <c r="AB330" s="1104"/>
      <c r="AC330" s="1104"/>
      <c r="AD330" s="1104"/>
      <c r="AE330" s="1104"/>
      <c r="AF330" s="1104"/>
      <c r="AG330" s="1106"/>
      <c r="AH330" s="1106"/>
      <c r="AI330" s="1106"/>
      <c r="AJ330" s="1106"/>
      <c r="AK330" s="1106"/>
      <c r="AL330" s="1106"/>
      <c r="AM330" s="1106"/>
      <c r="AN330" s="1106"/>
      <c r="AO330" s="1106"/>
      <c r="AP330" s="1106"/>
      <c r="AQ330" s="1106"/>
      <c r="AR330" s="1106"/>
      <c r="AS330" s="1106"/>
      <c r="AT330" s="1106"/>
      <c r="AU330" s="1106"/>
      <c r="AV330" s="1106"/>
      <c r="AW330" s="1106"/>
      <c r="AX330" s="1106"/>
    </row>
    <row r="331">
      <c r="T331" s="1102"/>
      <c r="U331" s="1104"/>
      <c r="V331" s="1104"/>
      <c r="W331" s="1104"/>
      <c r="X331" s="1104"/>
      <c r="Y331" s="1104"/>
      <c r="Z331" s="1104"/>
      <c r="AA331" s="1104"/>
      <c r="AB331" s="1104"/>
      <c r="AC331" s="1104"/>
      <c r="AD331" s="1104"/>
      <c r="AE331" s="1104"/>
      <c r="AF331" s="1104"/>
      <c r="AG331" s="1106"/>
      <c r="AH331" s="1106"/>
      <c r="AI331" s="1106"/>
      <c r="AJ331" s="1106"/>
      <c r="AK331" s="1106"/>
      <c r="AL331" s="1106"/>
      <c r="AM331" s="1106"/>
      <c r="AN331" s="1106"/>
      <c r="AO331" s="1106"/>
      <c r="AP331" s="1106"/>
      <c r="AQ331" s="1106"/>
      <c r="AR331" s="1106"/>
      <c r="AS331" s="1106"/>
      <c r="AT331" s="1106"/>
      <c r="AU331" s="1106"/>
      <c r="AV331" s="1106"/>
      <c r="AW331" s="1106"/>
      <c r="AX331" s="1106"/>
    </row>
    <row r="332">
      <c r="T332" s="1102"/>
      <c r="U332" s="1104"/>
      <c r="V332" s="1104"/>
      <c r="W332" s="1104"/>
      <c r="X332" s="1104"/>
      <c r="Y332" s="1104"/>
      <c r="Z332" s="1104"/>
      <c r="AA332" s="1104"/>
      <c r="AB332" s="1104"/>
      <c r="AC332" s="1104"/>
      <c r="AD332" s="1104"/>
      <c r="AE332" s="1104"/>
      <c r="AF332" s="1104"/>
      <c r="AG332" s="1106"/>
      <c r="AH332" s="1106"/>
      <c r="AI332" s="1106"/>
      <c r="AJ332" s="1106"/>
      <c r="AK332" s="1106"/>
      <c r="AL332" s="1106"/>
      <c r="AM332" s="1106"/>
      <c r="AN332" s="1106"/>
      <c r="AO332" s="1106"/>
      <c r="AP332" s="1106"/>
      <c r="AQ332" s="1106"/>
      <c r="AR332" s="1106"/>
      <c r="AS332" s="1106"/>
      <c r="AT332" s="1106"/>
      <c r="AU332" s="1106"/>
      <c r="AV332" s="1106"/>
      <c r="AW332" s="1106"/>
      <c r="AX332" s="1106"/>
    </row>
    <row r="333">
      <c r="T333" s="1102"/>
      <c r="U333" s="1104"/>
      <c r="V333" s="1104"/>
      <c r="W333" s="1104"/>
      <c r="X333" s="1104"/>
      <c r="Y333" s="1104"/>
      <c r="Z333" s="1104"/>
      <c r="AA333" s="1104"/>
      <c r="AB333" s="1104"/>
      <c r="AC333" s="1104"/>
      <c r="AD333" s="1104"/>
      <c r="AE333" s="1104"/>
      <c r="AF333" s="1104"/>
      <c r="AG333" s="1106"/>
      <c r="AH333" s="1106"/>
      <c r="AI333" s="1106"/>
      <c r="AJ333" s="1106"/>
      <c r="AK333" s="1106"/>
      <c r="AL333" s="1106"/>
      <c r="AM333" s="1106"/>
      <c r="AN333" s="1106"/>
      <c r="AO333" s="1106"/>
      <c r="AP333" s="1106"/>
      <c r="AQ333" s="1106"/>
      <c r="AR333" s="1106"/>
      <c r="AS333" s="1106"/>
      <c r="AT333" s="1106"/>
      <c r="AU333" s="1106"/>
      <c r="AV333" s="1106"/>
      <c r="AW333" s="1106"/>
      <c r="AX333" s="1106"/>
    </row>
    <row r="334">
      <c r="T334" s="1102"/>
      <c r="U334" s="1104"/>
      <c r="V334" s="1104"/>
      <c r="W334" s="1104"/>
      <c r="X334" s="1104"/>
      <c r="Y334" s="1104"/>
      <c r="Z334" s="1104"/>
      <c r="AA334" s="1104"/>
      <c r="AB334" s="1104"/>
      <c r="AC334" s="1104"/>
      <c r="AD334" s="1104"/>
      <c r="AE334" s="1104"/>
      <c r="AF334" s="1104"/>
      <c r="AG334" s="1106"/>
      <c r="AH334" s="1106"/>
      <c r="AI334" s="1106"/>
      <c r="AJ334" s="1106"/>
      <c r="AK334" s="1106"/>
      <c r="AL334" s="1106"/>
      <c r="AM334" s="1106"/>
      <c r="AN334" s="1106"/>
      <c r="AO334" s="1106"/>
      <c r="AP334" s="1106"/>
      <c r="AQ334" s="1106"/>
      <c r="AR334" s="1106"/>
      <c r="AS334" s="1106"/>
      <c r="AT334" s="1106"/>
      <c r="AU334" s="1106"/>
      <c r="AV334" s="1106"/>
      <c r="AW334" s="1106"/>
      <c r="AX334" s="1106"/>
    </row>
    <row r="335">
      <c r="T335" s="1102"/>
      <c r="U335" s="1104"/>
      <c r="V335" s="1104"/>
      <c r="W335" s="1104"/>
      <c r="X335" s="1104"/>
      <c r="Y335" s="1104"/>
      <c r="Z335" s="1104"/>
      <c r="AA335" s="1104"/>
      <c r="AB335" s="1104"/>
      <c r="AC335" s="1104"/>
      <c r="AD335" s="1104"/>
      <c r="AE335" s="1104"/>
      <c r="AF335" s="1104"/>
      <c r="AG335" s="1106"/>
      <c r="AH335" s="1106"/>
      <c r="AI335" s="1106"/>
      <c r="AJ335" s="1106"/>
      <c r="AK335" s="1106"/>
      <c r="AL335" s="1106"/>
      <c r="AM335" s="1106"/>
      <c r="AN335" s="1106"/>
      <c r="AO335" s="1106"/>
      <c r="AP335" s="1106"/>
      <c r="AQ335" s="1106"/>
      <c r="AR335" s="1106"/>
      <c r="AS335" s="1106"/>
      <c r="AT335" s="1106"/>
      <c r="AU335" s="1106"/>
      <c r="AV335" s="1106"/>
      <c r="AW335" s="1106"/>
      <c r="AX335" s="1106"/>
    </row>
    <row r="336">
      <c r="T336" s="1102"/>
      <c r="U336" s="1104"/>
      <c r="V336" s="1104"/>
      <c r="W336" s="1104"/>
      <c r="X336" s="1104"/>
      <c r="Y336" s="1104"/>
      <c r="Z336" s="1104"/>
      <c r="AA336" s="1104"/>
      <c r="AB336" s="1104"/>
      <c r="AC336" s="1104"/>
      <c r="AD336" s="1104"/>
      <c r="AE336" s="1104"/>
      <c r="AF336" s="1104"/>
      <c r="AG336" s="1106"/>
      <c r="AH336" s="1106"/>
      <c r="AI336" s="1106"/>
      <c r="AJ336" s="1106"/>
      <c r="AK336" s="1106"/>
      <c r="AL336" s="1106"/>
      <c r="AM336" s="1106"/>
      <c r="AN336" s="1106"/>
      <c r="AO336" s="1106"/>
      <c r="AP336" s="1106"/>
      <c r="AQ336" s="1106"/>
      <c r="AR336" s="1106"/>
      <c r="AS336" s="1106"/>
      <c r="AT336" s="1106"/>
      <c r="AU336" s="1106"/>
      <c r="AV336" s="1106"/>
      <c r="AW336" s="1106"/>
      <c r="AX336" s="1106"/>
    </row>
    <row r="337">
      <c r="T337" s="1102"/>
      <c r="U337" s="1104"/>
      <c r="V337" s="1104"/>
      <c r="W337" s="1104"/>
      <c r="X337" s="1104"/>
      <c r="Y337" s="1104"/>
      <c r="Z337" s="1104"/>
      <c r="AA337" s="1104"/>
      <c r="AB337" s="1104"/>
      <c r="AC337" s="1104"/>
      <c r="AD337" s="1104"/>
      <c r="AE337" s="1104"/>
      <c r="AF337" s="1104"/>
      <c r="AG337" s="1106"/>
      <c r="AH337" s="1106"/>
      <c r="AI337" s="1106"/>
      <c r="AJ337" s="1106"/>
      <c r="AK337" s="1106"/>
      <c r="AL337" s="1106"/>
      <c r="AM337" s="1106"/>
      <c r="AN337" s="1106"/>
      <c r="AO337" s="1106"/>
      <c r="AP337" s="1106"/>
      <c r="AQ337" s="1106"/>
      <c r="AR337" s="1106"/>
      <c r="AS337" s="1106"/>
      <c r="AT337" s="1106"/>
      <c r="AU337" s="1106"/>
      <c r="AV337" s="1106"/>
      <c r="AW337" s="1106"/>
      <c r="AX337" s="1106"/>
    </row>
    <row r="338">
      <c r="T338" s="1102"/>
      <c r="U338" s="1104"/>
      <c r="V338" s="1104"/>
      <c r="W338" s="1104"/>
      <c r="X338" s="1104"/>
      <c r="Y338" s="1104"/>
      <c r="Z338" s="1104"/>
      <c r="AA338" s="1104"/>
      <c r="AB338" s="1104"/>
      <c r="AC338" s="1104"/>
      <c r="AD338" s="1104"/>
      <c r="AE338" s="1104"/>
      <c r="AF338" s="1104"/>
      <c r="AG338" s="1106"/>
      <c r="AH338" s="1106"/>
      <c r="AI338" s="1106"/>
      <c r="AJ338" s="1106"/>
      <c r="AK338" s="1106"/>
      <c r="AL338" s="1106"/>
      <c r="AM338" s="1106"/>
      <c r="AN338" s="1106"/>
      <c r="AO338" s="1106"/>
      <c r="AP338" s="1106"/>
      <c r="AQ338" s="1106"/>
      <c r="AR338" s="1106"/>
      <c r="AS338" s="1106"/>
      <c r="AT338" s="1106"/>
      <c r="AU338" s="1106"/>
      <c r="AV338" s="1106"/>
      <c r="AW338" s="1106"/>
      <c r="AX338" s="1106"/>
    </row>
    <row r="339">
      <c r="T339" s="1102"/>
      <c r="U339" s="1104"/>
      <c r="V339" s="1104"/>
      <c r="W339" s="1104"/>
      <c r="X339" s="1104"/>
      <c r="Y339" s="1104"/>
      <c r="Z339" s="1104"/>
      <c r="AA339" s="1104"/>
      <c r="AB339" s="1104"/>
      <c r="AC339" s="1104"/>
      <c r="AD339" s="1104"/>
      <c r="AE339" s="1104"/>
      <c r="AF339" s="1104"/>
      <c r="AG339" s="1106"/>
      <c r="AH339" s="1106"/>
      <c r="AI339" s="1106"/>
      <c r="AJ339" s="1106"/>
      <c r="AK339" s="1106"/>
      <c r="AL339" s="1106"/>
      <c r="AM339" s="1106"/>
      <c r="AN339" s="1106"/>
      <c r="AO339" s="1106"/>
      <c r="AP339" s="1106"/>
      <c r="AQ339" s="1106"/>
      <c r="AR339" s="1106"/>
      <c r="AS339" s="1106"/>
      <c r="AT339" s="1106"/>
      <c r="AU339" s="1106"/>
      <c r="AV339" s="1106"/>
      <c r="AW339" s="1106"/>
      <c r="AX339" s="1106"/>
    </row>
    <row r="340">
      <c r="T340" s="1102"/>
      <c r="U340" s="1104"/>
      <c r="V340" s="1104"/>
      <c r="W340" s="1104"/>
      <c r="X340" s="1104"/>
      <c r="Y340" s="1104"/>
      <c r="Z340" s="1104"/>
      <c r="AA340" s="1104"/>
      <c r="AB340" s="1104"/>
      <c r="AC340" s="1104"/>
      <c r="AD340" s="1104"/>
      <c r="AE340" s="1104"/>
      <c r="AF340" s="1104"/>
      <c r="AG340" s="1106"/>
      <c r="AH340" s="1106"/>
      <c r="AI340" s="1106"/>
      <c r="AJ340" s="1106"/>
      <c r="AK340" s="1106"/>
      <c r="AL340" s="1106"/>
      <c r="AM340" s="1106"/>
      <c r="AN340" s="1106"/>
      <c r="AO340" s="1106"/>
      <c r="AP340" s="1106"/>
      <c r="AQ340" s="1106"/>
      <c r="AR340" s="1106"/>
      <c r="AS340" s="1106"/>
      <c r="AT340" s="1106"/>
      <c r="AU340" s="1106"/>
      <c r="AV340" s="1106"/>
      <c r="AW340" s="1106"/>
      <c r="AX340" s="1106"/>
    </row>
    <row r="341">
      <c r="T341" s="1102"/>
      <c r="U341" s="1104"/>
      <c r="V341" s="1104"/>
      <c r="W341" s="1104"/>
      <c r="X341" s="1104"/>
      <c r="Y341" s="1104"/>
      <c r="Z341" s="1104"/>
      <c r="AA341" s="1104"/>
      <c r="AB341" s="1104"/>
      <c r="AC341" s="1104"/>
      <c r="AD341" s="1104"/>
      <c r="AE341" s="1104"/>
      <c r="AF341" s="1104"/>
      <c r="AG341" s="1106"/>
      <c r="AH341" s="1106"/>
      <c r="AI341" s="1106"/>
      <c r="AJ341" s="1106"/>
      <c r="AK341" s="1106"/>
      <c r="AL341" s="1106"/>
      <c r="AM341" s="1106"/>
      <c r="AN341" s="1106"/>
      <c r="AO341" s="1106"/>
      <c r="AP341" s="1106"/>
      <c r="AQ341" s="1106"/>
      <c r="AR341" s="1106"/>
      <c r="AS341" s="1106"/>
      <c r="AT341" s="1106"/>
      <c r="AU341" s="1106"/>
      <c r="AV341" s="1106"/>
      <c r="AW341" s="1106"/>
      <c r="AX341" s="1106"/>
    </row>
    <row r="342">
      <c r="T342" s="1102"/>
      <c r="U342" s="1104"/>
      <c r="V342" s="1104"/>
      <c r="W342" s="1104"/>
      <c r="X342" s="1104"/>
      <c r="Y342" s="1104"/>
      <c r="Z342" s="1104"/>
      <c r="AA342" s="1104"/>
      <c r="AB342" s="1104"/>
      <c r="AC342" s="1104"/>
      <c r="AD342" s="1104"/>
      <c r="AE342" s="1104"/>
      <c r="AF342" s="1104"/>
      <c r="AG342" s="1106"/>
      <c r="AH342" s="1106"/>
      <c r="AI342" s="1106"/>
      <c r="AJ342" s="1106"/>
      <c r="AK342" s="1106"/>
      <c r="AL342" s="1106"/>
      <c r="AM342" s="1106"/>
      <c r="AN342" s="1106"/>
      <c r="AO342" s="1106"/>
      <c r="AP342" s="1106"/>
      <c r="AQ342" s="1106"/>
      <c r="AR342" s="1106"/>
      <c r="AS342" s="1106"/>
      <c r="AT342" s="1106"/>
      <c r="AU342" s="1106"/>
      <c r="AV342" s="1106"/>
      <c r="AW342" s="1106"/>
      <c r="AX342" s="1106"/>
    </row>
    <row r="343">
      <c r="T343" s="1102"/>
      <c r="U343" s="1104"/>
      <c r="V343" s="1104"/>
      <c r="W343" s="1104"/>
      <c r="X343" s="1104"/>
      <c r="Y343" s="1104"/>
      <c r="Z343" s="1104"/>
      <c r="AA343" s="1104"/>
      <c r="AB343" s="1104"/>
      <c r="AC343" s="1104"/>
      <c r="AD343" s="1104"/>
      <c r="AE343" s="1104"/>
      <c r="AF343" s="1104"/>
      <c r="AG343" s="1106"/>
      <c r="AH343" s="1106"/>
      <c r="AI343" s="1106"/>
      <c r="AJ343" s="1106"/>
      <c r="AK343" s="1106"/>
      <c r="AL343" s="1106"/>
      <c r="AM343" s="1106"/>
      <c r="AN343" s="1106"/>
      <c r="AO343" s="1106"/>
      <c r="AP343" s="1106"/>
      <c r="AQ343" s="1106"/>
      <c r="AR343" s="1106"/>
      <c r="AS343" s="1106"/>
      <c r="AT343" s="1106"/>
      <c r="AU343" s="1106"/>
      <c r="AV343" s="1106"/>
      <c r="AW343" s="1106"/>
      <c r="AX343" s="1106"/>
    </row>
    <row r="344">
      <c r="T344" s="1102"/>
      <c r="U344" s="1104"/>
      <c r="V344" s="1104"/>
      <c r="W344" s="1104"/>
      <c r="X344" s="1104"/>
      <c r="Y344" s="1104"/>
      <c r="Z344" s="1104"/>
      <c r="AA344" s="1104"/>
      <c r="AB344" s="1104"/>
      <c r="AC344" s="1104"/>
      <c r="AD344" s="1104"/>
      <c r="AE344" s="1104"/>
      <c r="AF344" s="1104"/>
      <c r="AG344" s="1106"/>
      <c r="AH344" s="1106"/>
      <c r="AI344" s="1106"/>
      <c r="AJ344" s="1106"/>
      <c r="AK344" s="1106"/>
      <c r="AL344" s="1106"/>
      <c r="AM344" s="1106"/>
      <c r="AN344" s="1106"/>
      <c r="AO344" s="1106"/>
      <c r="AP344" s="1106"/>
      <c r="AQ344" s="1106"/>
      <c r="AR344" s="1106"/>
      <c r="AS344" s="1106"/>
      <c r="AT344" s="1106"/>
      <c r="AU344" s="1106"/>
      <c r="AV344" s="1106"/>
      <c r="AW344" s="1106"/>
      <c r="AX344" s="1106"/>
    </row>
    <row r="345">
      <c r="T345" s="1102"/>
      <c r="U345" s="1104"/>
      <c r="V345" s="1104"/>
      <c r="W345" s="1104"/>
      <c r="X345" s="1104"/>
      <c r="Y345" s="1104"/>
      <c r="Z345" s="1104"/>
      <c r="AA345" s="1104"/>
      <c r="AB345" s="1104"/>
      <c r="AC345" s="1104"/>
      <c r="AD345" s="1104"/>
      <c r="AE345" s="1104"/>
      <c r="AF345" s="1104"/>
      <c r="AG345" s="1106"/>
      <c r="AH345" s="1106"/>
      <c r="AI345" s="1106"/>
      <c r="AJ345" s="1106"/>
      <c r="AK345" s="1106"/>
      <c r="AL345" s="1106"/>
      <c r="AM345" s="1106"/>
      <c r="AN345" s="1106"/>
      <c r="AO345" s="1106"/>
      <c r="AP345" s="1106"/>
      <c r="AQ345" s="1106"/>
      <c r="AR345" s="1106"/>
      <c r="AS345" s="1106"/>
      <c r="AT345" s="1106"/>
      <c r="AU345" s="1106"/>
      <c r="AV345" s="1106"/>
      <c r="AW345" s="1106"/>
      <c r="AX345" s="1106"/>
    </row>
    <row r="346">
      <c r="T346" s="1102"/>
      <c r="U346" s="1104"/>
      <c r="V346" s="1104"/>
      <c r="W346" s="1104"/>
      <c r="X346" s="1104"/>
      <c r="Y346" s="1104"/>
      <c r="Z346" s="1104"/>
      <c r="AA346" s="1104"/>
      <c r="AB346" s="1104"/>
      <c r="AC346" s="1104"/>
      <c r="AD346" s="1104"/>
      <c r="AE346" s="1104"/>
      <c r="AF346" s="1104"/>
      <c r="AG346" s="1106"/>
      <c r="AH346" s="1106"/>
      <c r="AI346" s="1106"/>
      <c r="AJ346" s="1106"/>
      <c r="AK346" s="1106"/>
      <c r="AL346" s="1106"/>
      <c r="AM346" s="1106"/>
      <c r="AN346" s="1106"/>
      <c r="AO346" s="1106"/>
      <c r="AP346" s="1106"/>
      <c r="AQ346" s="1106"/>
      <c r="AR346" s="1106"/>
      <c r="AS346" s="1106"/>
      <c r="AT346" s="1106"/>
      <c r="AU346" s="1106"/>
      <c r="AV346" s="1106"/>
      <c r="AW346" s="1106"/>
      <c r="AX346" s="1106"/>
    </row>
    <row r="347">
      <c r="T347" s="1102"/>
      <c r="U347" s="1104"/>
      <c r="V347" s="1104"/>
      <c r="W347" s="1104"/>
      <c r="X347" s="1104"/>
      <c r="Y347" s="1104"/>
      <c r="Z347" s="1104"/>
      <c r="AA347" s="1104"/>
      <c r="AB347" s="1104"/>
      <c r="AC347" s="1104"/>
      <c r="AD347" s="1104"/>
      <c r="AE347" s="1104"/>
      <c r="AF347" s="1104"/>
      <c r="AG347" s="1106"/>
      <c r="AH347" s="1106"/>
      <c r="AI347" s="1106"/>
      <c r="AJ347" s="1106"/>
      <c r="AK347" s="1106"/>
      <c r="AL347" s="1106"/>
      <c r="AM347" s="1106"/>
      <c r="AN347" s="1106"/>
      <c r="AO347" s="1106"/>
      <c r="AP347" s="1106"/>
      <c r="AQ347" s="1106"/>
      <c r="AR347" s="1106"/>
      <c r="AS347" s="1106"/>
      <c r="AT347" s="1106"/>
      <c r="AU347" s="1106"/>
      <c r="AV347" s="1106"/>
      <c r="AW347" s="1106"/>
      <c r="AX347" s="1106"/>
    </row>
    <row r="348">
      <c r="T348" s="1102"/>
      <c r="U348" s="1104"/>
      <c r="V348" s="1104"/>
      <c r="W348" s="1104"/>
      <c r="X348" s="1104"/>
      <c r="Y348" s="1104"/>
      <c r="Z348" s="1104"/>
      <c r="AA348" s="1104"/>
      <c r="AB348" s="1104"/>
      <c r="AC348" s="1104"/>
      <c r="AD348" s="1104"/>
      <c r="AE348" s="1104"/>
      <c r="AF348" s="1104"/>
      <c r="AG348" s="1106"/>
      <c r="AH348" s="1106"/>
      <c r="AI348" s="1106"/>
      <c r="AJ348" s="1106"/>
      <c r="AK348" s="1106"/>
      <c r="AL348" s="1106"/>
      <c r="AM348" s="1106"/>
      <c r="AN348" s="1106"/>
      <c r="AO348" s="1106"/>
      <c r="AP348" s="1106"/>
      <c r="AQ348" s="1106"/>
      <c r="AR348" s="1106"/>
      <c r="AS348" s="1106"/>
      <c r="AT348" s="1106"/>
      <c r="AU348" s="1106"/>
      <c r="AV348" s="1106"/>
      <c r="AW348" s="1106"/>
      <c r="AX348" s="1106"/>
    </row>
    <row r="349">
      <c r="T349" s="1102"/>
      <c r="U349" s="1104"/>
      <c r="V349" s="1104"/>
      <c r="W349" s="1104"/>
      <c r="X349" s="1104"/>
      <c r="Y349" s="1104"/>
      <c r="Z349" s="1104"/>
      <c r="AA349" s="1104"/>
      <c r="AB349" s="1104"/>
      <c r="AC349" s="1104"/>
      <c r="AD349" s="1104"/>
      <c r="AE349" s="1104"/>
      <c r="AF349" s="1104"/>
      <c r="AG349" s="1106"/>
      <c r="AH349" s="1106"/>
      <c r="AI349" s="1106"/>
      <c r="AJ349" s="1106"/>
      <c r="AK349" s="1106"/>
      <c r="AL349" s="1106"/>
      <c r="AM349" s="1106"/>
      <c r="AN349" s="1106"/>
      <c r="AO349" s="1106"/>
      <c r="AP349" s="1106"/>
      <c r="AQ349" s="1106"/>
      <c r="AR349" s="1106"/>
      <c r="AS349" s="1106"/>
      <c r="AT349" s="1106"/>
      <c r="AU349" s="1106"/>
      <c r="AV349" s="1106"/>
      <c r="AW349" s="1106"/>
      <c r="AX349" s="1106"/>
    </row>
    <row r="350">
      <c r="T350" s="1102"/>
      <c r="U350" s="1104"/>
      <c r="V350" s="1104"/>
      <c r="W350" s="1104"/>
      <c r="X350" s="1104"/>
      <c r="Y350" s="1104"/>
      <c r="Z350" s="1104"/>
      <c r="AA350" s="1104"/>
      <c r="AB350" s="1104"/>
      <c r="AC350" s="1104"/>
      <c r="AD350" s="1104"/>
      <c r="AE350" s="1104"/>
      <c r="AF350" s="1104"/>
      <c r="AG350" s="1106"/>
      <c r="AH350" s="1106"/>
      <c r="AI350" s="1106"/>
      <c r="AJ350" s="1106"/>
      <c r="AK350" s="1106"/>
      <c r="AL350" s="1106"/>
      <c r="AM350" s="1106"/>
      <c r="AN350" s="1106"/>
      <c r="AO350" s="1106"/>
      <c r="AP350" s="1106"/>
      <c r="AQ350" s="1106"/>
      <c r="AR350" s="1106"/>
      <c r="AS350" s="1106"/>
      <c r="AT350" s="1106"/>
      <c r="AU350" s="1106"/>
      <c r="AV350" s="1106"/>
      <c r="AW350" s="1106"/>
      <c r="AX350" s="1106"/>
    </row>
    <row r="351">
      <c r="T351" s="1102"/>
      <c r="U351" s="1104"/>
      <c r="V351" s="1104"/>
      <c r="W351" s="1104"/>
      <c r="X351" s="1104"/>
      <c r="Y351" s="1104"/>
      <c r="Z351" s="1104"/>
      <c r="AA351" s="1104"/>
      <c r="AB351" s="1104"/>
      <c r="AC351" s="1104"/>
      <c r="AD351" s="1104"/>
      <c r="AE351" s="1104"/>
      <c r="AF351" s="1104"/>
      <c r="AG351" s="1106"/>
      <c r="AH351" s="1106"/>
      <c r="AI351" s="1106"/>
      <c r="AJ351" s="1106"/>
      <c r="AK351" s="1106"/>
      <c r="AL351" s="1106"/>
      <c r="AM351" s="1106"/>
      <c r="AN351" s="1106"/>
      <c r="AO351" s="1106"/>
      <c r="AP351" s="1106"/>
      <c r="AQ351" s="1106"/>
      <c r="AR351" s="1106"/>
      <c r="AS351" s="1106"/>
      <c r="AT351" s="1106"/>
      <c r="AU351" s="1106"/>
      <c r="AV351" s="1106"/>
      <c r="AW351" s="1106"/>
      <c r="AX351" s="1106"/>
    </row>
    <row r="352">
      <c r="T352" s="1102"/>
      <c r="U352" s="1104"/>
      <c r="V352" s="1104"/>
      <c r="W352" s="1104"/>
      <c r="X352" s="1104"/>
      <c r="Y352" s="1104"/>
      <c r="Z352" s="1104"/>
      <c r="AA352" s="1104"/>
      <c r="AB352" s="1104"/>
      <c r="AC352" s="1104"/>
      <c r="AD352" s="1104"/>
      <c r="AE352" s="1104"/>
      <c r="AF352" s="1104"/>
      <c r="AG352" s="1106"/>
      <c r="AH352" s="1106"/>
      <c r="AI352" s="1106"/>
      <c r="AJ352" s="1106"/>
      <c r="AK352" s="1106"/>
      <c r="AL352" s="1106"/>
      <c r="AM352" s="1106"/>
      <c r="AN352" s="1106"/>
      <c r="AO352" s="1106"/>
      <c r="AP352" s="1106"/>
      <c r="AQ352" s="1106"/>
      <c r="AR352" s="1106"/>
      <c r="AS352" s="1106"/>
      <c r="AT352" s="1106"/>
      <c r="AU352" s="1106"/>
      <c r="AV352" s="1106"/>
      <c r="AW352" s="1106"/>
      <c r="AX352" s="1106"/>
    </row>
    <row r="353">
      <c r="T353" s="1102"/>
      <c r="U353" s="1104"/>
      <c r="V353" s="1104"/>
      <c r="W353" s="1104"/>
      <c r="X353" s="1104"/>
      <c r="Y353" s="1104"/>
      <c r="Z353" s="1104"/>
      <c r="AA353" s="1104"/>
      <c r="AB353" s="1104"/>
      <c r="AC353" s="1104"/>
      <c r="AD353" s="1104"/>
      <c r="AE353" s="1104"/>
      <c r="AF353" s="1104"/>
      <c r="AG353" s="1106"/>
      <c r="AH353" s="1106"/>
      <c r="AI353" s="1106"/>
      <c r="AJ353" s="1106"/>
      <c r="AK353" s="1106"/>
      <c r="AL353" s="1106"/>
      <c r="AM353" s="1106"/>
      <c r="AN353" s="1106"/>
      <c r="AO353" s="1106"/>
      <c r="AP353" s="1106"/>
      <c r="AQ353" s="1106"/>
      <c r="AR353" s="1106"/>
      <c r="AS353" s="1106"/>
      <c r="AT353" s="1106"/>
      <c r="AU353" s="1106"/>
      <c r="AV353" s="1106"/>
      <c r="AW353" s="1106"/>
      <c r="AX353" s="1106"/>
    </row>
    <row r="354">
      <c r="T354" s="1102"/>
      <c r="U354" s="1104"/>
      <c r="V354" s="1104"/>
      <c r="W354" s="1104"/>
      <c r="X354" s="1104"/>
      <c r="Y354" s="1104"/>
      <c r="Z354" s="1104"/>
      <c r="AA354" s="1104"/>
      <c r="AB354" s="1104"/>
      <c r="AC354" s="1104"/>
      <c r="AD354" s="1104"/>
      <c r="AE354" s="1104"/>
      <c r="AF354" s="1104"/>
      <c r="AG354" s="1106"/>
      <c r="AH354" s="1106"/>
      <c r="AI354" s="1106"/>
      <c r="AJ354" s="1106"/>
      <c r="AK354" s="1106"/>
      <c r="AL354" s="1106"/>
      <c r="AM354" s="1106"/>
      <c r="AN354" s="1106"/>
      <c r="AO354" s="1106"/>
      <c r="AP354" s="1106"/>
      <c r="AQ354" s="1106"/>
      <c r="AR354" s="1106"/>
      <c r="AS354" s="1106"/>
      <c r="AT354" s="1106"/>
      <c r="AU354" s="1106"/>
      <c r="AV354" s="1106"/>
      <c r="AW354" s="1106"/>
      <c r="AX354" s="1106"/>
    </row>
    <row r="355">
      <c r="T355" s="1102"/>
      <c r="U355" s="1104"/>
      <c r="V355" s="1104"/>
      <c r="W355" s="1104"/>
      <c r="X355" s="1104"/>
      <c r="Y355" s="1104"/>
      <c r="Z355" s="1104"/>
      <c r="AA355" s="1104"/>
      <c r="AB355" s="1104"/>
      <c r="AC355" s="1104"/>
      <c r="AD355" s="1104"/>
      <c r="AE355" s="1104"/>
      <c r="AF355" s="1104"/>
      <c r="AG355" s="1106"/>
      <c r="AH355" s="1106"/>
      <c r="AI355" s="1106"/>
      <c r="AJ355" s="1106"/>
      <c r="AK355" s="1106"/>
      <c r="AL355" s="1106"/>
      <c r="AM355" s="1106"/>
      <c r="AN355" s="1106"/>
      <c r="AO355" s="1106"/>
      <c r="AP355" s="1106"/>
      <c r="AQ355" s="1106"/>
      <c r="AR355" s="1106"/>
      <c r="AS355" s="1106"/>
      <c r="AT355" s="1106"/>
      <c r="AU355" s="1106"/>
      <c r="AV355" s="1106"/>
      <c r="AW355" s="1106"/>
      <c r="AX355" s="1106"/>
    </row>
    <row r="356">
      <c r="T356" s="1102"/>
      <c r="U356" s="1104"/>
      <c r="V356" s="1104"/>
      <c r="W356" s="1104"/>
      <c r="X356" s="1104"/>
      <c r="Y356" s="1104"/>
      <c r="Z356" s="1104"/>
      <c r="AA356" s="1104"/>
      <c r="AB356" s="1104"/>
      <c r="AC356" s="1104"/>
      <c r="AD356" s="1104"/>
      <c r="AE356" s="1104"/>
      <c r="AF356" s="1104"/>
      <c r="AG356" s="1106"/>
      <c r="AH356" s="1106"/>
      <c r="AI356" s="1106"/>
      <c r="AJ356" s="1106"/>
      <c r="AK356" s="1106"/>
      <c r="AL356" s="1106"/>
      <c r="AM356" s="1106"/>
      <c r="AN356" s="1106"/>
      <c r="AO356" s="1106"/>
      <c r="AP356" s="1106"/>
      <c r="AQ356" s="1106"/>
      <c r="AR356" s="1106"/>
      <c r="AS356" s="1106"/>
      <c r="AT356" s="1106"/>
      <c r="AU356" s="1106"/>
      <c r="AV356" s="1106"/>
      <c r="AW356" s="1106"/>
      <c r="AX356" s="1106"/>
    </row>
    <row r="357">
      <c r="T357" s="1102"/>
      <c r="U357" s="1104"/>
      <c r="V357" s="1104"/>
      <c r="W357" s="1104"/>
      <c r="X357" s="1104"/>
      <c r="Y357" s="1104"/>
      <c r="Z357" s="1104"/>
      <c r="AA357" s="1104"/>
      <c r="AB357" s="1104"/>
      <c r="AC357" s="1104"/>
      <c r="AD357" s="1104"/>
      <c r="AE357" s="1104"/>
      <c r="AF357" s="1104"/>
      <c r="AG357" s="1106"/>
      <c r="AH357" s="1106"/>
      <c r="AI357" s="1106"/>
      <c r="AJ357" s="1106"/>
      <c r="AK357" s="1106"/>
      <c r="AL357" s="1106"/>
      <c r="AM357" s="1106"/>
      <c r="AN357" s="1106"/>
      <c r="AO357" s="1106"/>
      <c r="AP357" s="1106"/>
      <c r="AQ357" s="1106"/>
      <c r="AR357" s="1106"/>
      <c r="AS357" s="1106"/>
      <c r="AT357" s="1106"/>
      <c r="AU357" s="1106"/>
      <c r="AV357" s="1106"/>
      <c r="AW357" s="1106"/>
      <c r="AX357" s="1106"/>
    </row>
    <row r="358">
      <c r="T358" s="1102"/>
      <c r="U358" s="1104"/>
      <c r="V358" s="1104"/>
      <c r="W358" s="1104"/>
      <c r="X358" s="1104"/>
      <c r="Y358" s="1104"/>
      <c r="Z358" s="1104"/>
      <c r="AA358" s="1104"/>
      <c r="AB358" s="1104"/>
      <c r="AC358" s="1104"/>
      <c r="AD358" s="1104"/>
      <c r="AE358" s="1104"/>
      <c r="AF358" s="1104"/>
      <c r="AG358" s="1106"/>
      <c r="AH358" s="1106"/>
      <c r="AI358" s="1106"/>
      <c r="AJ358" s="1106"/>
      <c r="AK358" s="1106"/>
      <c r="AL358" s="1106"/>
      <c r="AM358" s="1106"/>
      <c r="AN358" s="1106"/>
      <c r="AO358" s="1106"/>
      <c r="AP358" s="1106"/>
      <c r="AQ358" s="1106"/>
      <c r="AR358" s="1106"/>
      <c r="AS358" s="1106"/>
      <c r="AT358" s="1106"/>
      <c r="AU358" s="1106"/>
      <c r="AV358" s="1106"/>
      <c r="AW358" s="1106"/>
      <c r="AX358" s="1106"/>
    </row>
    <row r="359">
      <c r="T359" s="1102"/>
      <c r="U359" s="1104"/>
      <c r="V359" s="1104"/>
      <c r="W359" s="1104"/>
      <c r="X359" s="1104"/>
      <c r="Y359" s="1104"/>
      <c r="Z359" s="1104"/>
      <c r="AA359" s="1104"/>
      <c r="AB359" s="1104"/>
      <c r="AC359" s="1104"/>
      <c r="AD359" s="1104"/>
      <c r="AE359" s="1104"/>
      <c r="AF359" s="1104"/>
      <c r="AG359" s="1106"/>
      <c r="AH359" s="1106"/>
      <c r="AI359" s="1106"/>
      <c r="AJ359" s="1106"/>
      <c r="AK359" s="1106"/>
      <c r="AL359" s="1106"/>
      <c r="AM359" s="1106"/>
      <c r="AN359" s="1106"/>
      <c r="AO359" s="1106"/>
      <c r="AP359" s="1106"/>
      <c r="AQ359" s="1106"/>
      <c r="AR359" s="1106"/>
      <c r="AS359" s="1106"/>
      <c r="AT359" s="1106"/>
      <c r="AU359" s="1106"/>
      <c r="AV359" s="1106"/>
      <c r="AW359" s="1106"/>
      <c r="AX359" s="1106"/>
    </row>
    <row r="360">
      <c r="T360" s="1102"/>
      <c r="U360" s="1104"/>
      <c r="V360" s="1104"/>
      <c r="W360" s="1104"/>
      <c r="X360" s="1104"/>
      <c r="Y360" s="1104"/>
      <c r="Z360" s="1104"/>
      <c r="AA360" s="1104"/>
      <c r="AB360" s="1104"/>
      <c r="AC360" s="1104"/>
      <c r="AD360" s="1104"/>
      <c r="AE360" s="1104"/>
      <c r="AF360" s="1104"/>
      <c r="AG360" s="1106"/>
      <c r="AH360" s="1106"/>
      <c r="AI360" s="1106"/>
      <c r="AJ360" s="1106"/>
      <c r="AK360" s="1106"/>
      <c r="AL360" s="1106"/>
      <c r="AM360" s="1106"/>
      <c r="AN360" s="1106"/>
      <c r="AO360" s="1106"/>
      <c r="AP360" s="1106"/>
      <c r="AQ360" s="1106"/>
      <c r="AR360" s="1106"/>
      <c r="AS360" s="1106"/>
      <c r="AT360" s="1106"/>
      <c r="AU360" s="1106"/>
      <c r="AV360" s="1106"/>
      <c r="AW360" s="1106"/>
      <c r="AX360" s="1106"/>
    </row>
    <row r="361">
      <c r="T361" s="1102"/>
      <c r="U361" s="1104"/>
      <c r="V361" s="1104"/>
      <c r="W361" s="1104"/>
      <c r="X361" s="1104"/>
      <c r="Y361" s="1104"/>
      <c r="Z361" s="1104"/>
      <c r="AA361" s="1104"/>
      <c r="AB361" s="1104"/>
      <c r="AC361" s="1104"/>
      <c r="AD361" s="1104"/>
      <c r="AE361" s="1104"/>
      <c r="AF361" s="1104"/>
      <c r="AG361" s="1106"/>
      <c r="AH361" s="1106"/>
      <c r="AI361" s="1106"/>
      <c r="AJ361" s="1106"/>
      <c r="AK361" s="1106"/>
      <c r="AL361" s="1106"/>
      <c r="AM361" s="1106"/>
      <c r="AN361" s="1106"/>
      <c r="AO361" s="1106"/>
      <c r="AP361" s="1106"/>
      <c r="AQ361" s="1106"/>
      <c r="AR361" s="1106"/>
      <c r="AS361" s="1106"/>
      <c r="AT361" s="1106"/>
      <c r="AU361" s="1106"/>
      <c r="AV361" s="1106"/>
      <c r="AW361" s="1106"/>
      <c r="AX361" s="1106"/>
    </row>
    <row r="362">
      <c r="T362" s="1102"/>
      <c r="U362" s="1104"/>
      <c r="V362" s="1104"/>
      <c r="W362" s="1104"/>
      <c r="X362" s="1104"/>
      <c r="Y362" s="1104"/>
      <c r="Z362" s="1104"/>
      <c r="AA362" s="1104"/>
      <c r="AB362" s="1104"/>
      <c r="AC362" s="1104"/>
      <c r="AD362" s="1104"/>
      <c r="AE362" s="1104"/>
      <c r="AF362" s="1104"/>
      <c r="AG362" s="1106"/>
      <c r="AH362" s="1106"/>
      <c r="AI362" s="1106"/>
      <c r="AJ362" s="1106"/>
      <c r="AK362" s="1106"/>
      <c r="AL362" s="1106"/>
      <c r="AM362" s="1106"/>
      <c r="AN362" s="1106"/>
      <c r="AO362" s="1106"/>
      <c r="AP362" s="1106"/>
      <c r="AQ362" s="1106"/>
      <c r="AR362" s="1106"/>
      <c r="AS362" s="1106"/>
      <c r="AT362" s="1106"/>
      <c r="AU362" s="1106"/>
      <c r="AV362" s="1106"/>
      <c r="AW362" s="1106"/>
      <c r="AX362" s="1106"/>
    </row>
    <row r="363">
      <c r="T363" s="1102"/>
      <c r="U363" s="1104"/>
      <c r="V363" s="1104"/>
      <c r="W363" s="1104"/>
      <c r="X363" s="1104"/>
      <c r="Y363" s="1104"/>
      <c r="Z363" s="1104"/>
      <c r="AA363" s="1104"/>
      <c r="AB363" s="1104"/>
      <c r="AC363" s="1104"/>
      <c r="AD363" s="1104"/>
      <c r="AE363" s="1104"/>
      <c r="AF363" s="1104"/>
      <c r="AG363" s="1106"/>
      <c r="AH363" s="1106"/>
      <c r="AI363" s="1106"/>
      <c r="AJ363" s="1106"/>
      <c r="AK363" s="1106"/>
      <c r="AL363" s="1106"/>
      <c r="AM363" s="1106"/>
      <c r="AN363" s="1106"/>
      <c r="AO363" s="1106"/>
      <c r="AP363" s="1106"/>
      <c r="AQ363" s="1106"/>
      <c r="AR363" s="1106"/>
      <c r="AS363" s="1106"/>
      <c r="AT363" s="1106"/>
      <c r="AU363" s="1106"/>
      <c r="AV363" s="1106"/>
      <c r="AW363" s="1106"/>
      <c r="AX363" s="1106"/>
    </row>
    <row r="364">
      <c r="T364" s="1102"/>
      <c r="U364" s="1104"/>
      <c r="V364" s="1104"/>
      <c r="W364" s="1104"/>
      <c r="X364" s="1104"/>
      <c r="Y364" s="1104"/>
      <c r="Z364" s="1104"/>
      <c r="AA364" s="1104"/>
      <c r="AB364" s="1104"/>
      <c r="AC364" s="1104"/>
      <c r="AD364" s="1104"/>
      <c r="AE364" s="1104"/>
      <c r="AF364" s="1104"/>
      <c r="AG364" s="1106"/>
      <c r="AH364" s="1106"/>
      <c r="AI364" s="1106"/>
      <c r="AJ364" s="1106"/>
      <c r="AK364" s="1106"/>
      <c r="AL364" s="1106"/>
      <c r="AM364" s="1106"/>
      <c r="AN364" s="1106"/>
      <c r="AO364" s="1106"/>
      <c r="AP364" s="1106"/>
      <c r="AQ364" s="1106"/>
      <c r="AR364" s="1106"/>
      <c r="AS364" s="1106"/>
      <c r="AT364" s="1106"/>
      <c r="AU364" s="1106"/>
      <c r="AV364" s="1106"/>
      <c r="AW364" s="1106"/>
      <c r="AX364" s="1106"/>
    </row>
    <row r="365">
      <c r="T365" s="1102"/>
      <c r="U365" s="1104"/>
      <c r="V365" s="1104"/>
      <c r="W365" s="1104"/>
      <c r="X365" s="1104"/>
      <c r="Y365" s="1104"/>
      <c r="Z365" s="1104"/>
      <c r="AA365" s="1104"/>
      <c r="AB365" s="1104"/>
      <c r="AC365" s="1104"/>
      <c r="AD365" s="1104"/>
      <c r="AE365" s="1104"/>
      <c r="AF365" s="1104"/>
      <c r="AG365" s="1106"/>
      <c r="AH365" s="1106"/>
      <c r="AI365" s="1106"/>
      <c r="AJ365" s="1106"/>
      <c r="AK365" s="1106"/>
      <c r="AL365" s="1106"/>
      <c r="AM365" s="1106"/>
      <c r="AN365" s="1106"/>
      <c r="AO365" s="1106"/>
      <c r="AP365" s="1106"/>
      <c r="AQ365" s="1106"/>
      <c r="AR365" s="1106"/>
      <c r="AS365" s="1106"/>
      <c r="AT365" s="1106"/>
      <c r="AU365" s="1106"/>
      <c r="AV365" s="1106"/>
      <c r="AW365" s="1106"/>
      <c r="AX365" s="1106"/>
    </row>
    <row r="366">
      <c r="T366" s="1102"/>
      <c r="U366" s="1104"/>
      <c r="V366" s="1104"/>
      <c r="W366" s="1104"/>
      <c r="X366" s="1104"/>
      <c r="Y366" s="1104"/>
      <c r="Z366" s="1104"/>
      <c r="AA366" s="1104"/>
      <c r="AB366" s="1104"/>
      <c r="AC366" s="1104"/>
      <c r="AD366" s="1104"/>
      <c r="AE366" s="1104"/>
      <c r="AF366" s="1104"/>
      <c r="AG366" s="1106"/>
      <c r="AH366" s="1106"/>
      <c r="AI366" s="1106"/>
      <c r="AJ366" s="1106"/>
      <c r="AK366" s="1106"/>
      <c r="AL366" s="1106"/>
      <c r="AM366" s="1106"/>
      <c r="AN366" s="1106"/>
      <c r="AO366" s="1106"/>
      <c r="AP366" s="1106"/>
      <c r="AQ366" s="1106"/>
      <c r="AR366" s="1106"/>
      <c r="AS366" s="1106"/>
      <c r="AT366" s="1106"/>
      <c r="AU366" s="1106"/>
      <c r="AV366" s="1106"/>
      <c r="AW366" s="1106"/>
      <c r="AX366" s="1106"/>
    </row>
    <row r="367">
      <c r="T367" s="1102"/>
      <c r="U367" s="1104"/>
      <c r="V367" s="1104"/>
      <c r="W367" s="1104"/>
      <c r="X367" s="1104"/>
      <c r="Y367" s="1104"/>
      <c r="Z367" s="1104"/>
      <c r="AA367" s="1104"/>
      <c r="AB367" s="1104"/>
      <c r="AC367" s="1104"/>
      <c r="AD367" s="1104"/>
      <c r="AE367" s="1104"/>
      <c r="AF367" s="1104"/>
      <c r="AG367" s="1106"/>
      <c r="AH367" s="1106"/>
      <c r="AI367" s="1106"/>
      <c r="AJ367" s="1106"/>
      <c r="AK367" s="1106"/>
      <c r="AL367" s="1106"/>
      <c r="AM367" s="1106"/>
      <c r="AN367" s="1106"/>
      <c r="AO367" s="1106"/>
      <c r="AP367" s="1106"/>
      <c r="AQ367" s="1106"/>
      <c r="AR367" s="1106"/>
      <c r="AS367" s="1106"/>
      <c r="AT367" s="1106"/>
      <c r="AU367" s="1106"/>
      <c r="AV367" s="1106"/>
      <c r="AW367" s="1106"/>
      <c r="AX367" s="1106"/>
    </row>
    <row r="368">
      <c r="T368" s="1102"/>
      <c r="U368" s="1104"/>
      <c r="V368" s="1104"/>
      <c r="W368" s="1104"/>
      <c r="X368" s="1104"/>
      <c r="Y368" s="1104"/>
      <c r="Z368" s="1104"/>
      <c r="AA368" s="1104"/>
      <c r="AB368" s="1104"/>
      <c r="AC368" s="1104"/>
      <c r="AD368" s="1104"/>
      <c r="AE368" s="1104"/>
      <c r="AF368" s="1104"/>
      <c r="AG368" s="1106"/>
      <c r="AH368" s="1106"/>
      <c r="AI368" s="1106"/>
      <c r="AJ368" s="1106"/>
      <c r="AK368" s="1106"/>
      <c r="AL368" s="1106"/>
      <c r="AM368" s="1106"/>
      <c r="AN368" s="1106"/>
      <c r="AO368" s="1106"/>
      <c r="AP368" s="1106"/>
      <c r="AQ368" s="1106"/>
      <c r="AR368" s="1106"/>
      <c r="AS368" s="1106"/>
      <c r="AT368" s="1106"/>
      <c r="AU368" s="1106"/>
      <c r="AV368" s="1106"/>
      <c r="AW368" s="1106"/>
      <c r="AX368" s="1106"/>
    </row>
    <row r="369">
      <c r="T369" s="1102"/>
      <c r="U369" s="1104"/>
      <c r="V369" s="1104"/>
      <c r="W369" s="1104"/>
      <c r="X369" s="1104"/>
      <c r="Y369" s="1104"/>
      <c r="Z369" s="1104"/>
      <c r="AA369" s="1104"/>
      <c r="AB369" s="1104"/>
      <c r="AC369" s="1104"/>
      <c r="AD369" s="1104"/>
      <c r="AE369" s="1104"/>
      <c r="AF369" s="1104"/>
      <c r="AG369" s="1106"/>
      <c r="AH369" s="1106"/>
      <c r="AI369" s="1106"/>
      <c r="AJ369" s="1106"/>
      <c r="AK369" s="1106"/>
      <c r="AL369" s="1106"/>
      <c r="AM369" s="1106"/>
      <c r="AN369" s="1106"/>
      <c r="AO369" s="1106"/>
      <c r="AP369" s="1106"/>
      <c r="AQ369" s="1106"/>
      <c r="AR369" s="1106"/>
      <c r="AS369" s="1106"/>
      <c r="AT369" s="1106"/>
      <c r="AU369" s="1106"/>
      <c r="AV369" s="1106"/>
      <c r="AW369" s="1106"/>
      <c r="AX369" s="1106"/>
    </row>
    <row r="370">
      <c r="T370" s="1102"/>
      <c r="U370" s="1104"/>
      <c r="V370" s="1104"/>
      <c r="W370" s="1104"/>
      <c r="X370" s="1104"/>
      <c r="Y370" s="1104"/>
      <c r="Z370" s="1104"/>
      <c r="AA370" s="1104"/>
      <c r="AB370" s="1104"/>
      <c r="AC370" s="1104"/>
      <c r="AD370" s="1104"/>
      <c r="AE370" s="1104"/>
      <c r="AF370" s="1104"/>
      <c r="AG370" s="1106"/>
      <c r="AH370" s="1106"/>
      <c r="AI370" s="1106"/>
      <c r="AJ370" s="1106"/>
      <c r="AK370" s="1106"/>
      <c r="AL370" s="1106"/>
      <c r="AM370" s="1106"/>
      <c r="AN370" s="1106"/>
      <c r="AO370" s="1106"/>
      <c r="AP370" s="1106"/>
      <c r="AQ370" s="1106"/>
      <c r="AR370" s="1106"/>
      <c r="AS370" s="1106"/>
      <c r="AT370" s="1106"/>
      <c r="AU370" s="1106"/>
      <c r="AV370" s="1106"/>
      <c r="AW370" s="1106"/>
      <c r="AX370" s="1106"/>
    </row>
    <row r="371">
      <c r="T371" s="1102"/>
      <c r="U371" s="1104"/>
      <c r="V371" s="1104"/>
      <c r="W371" s="1104"/>
      <c r="X371" s="1104"/>
      <c r="Y371" s="1104"/>
      <c r="Z371" s="1104"/>
      <c r="AA371" s="1104"/>
      <c r="AB371" s="1104"/>
      <c r="AC371" s="1104"/>
      <c r="AD371" s="1104"/>
      <c r="AE371" s="1104"/>
      <c r="AF371" s="1104"/>
      <c r="AG371" s="1106"/>
      <c r="AH371" s="1106"/>
      <c r="AI371" s="1106"/>
      <c r="AJ371" s="1106"/>
      <c r="AK371" s="1106"/>
      <c r="AL371" s="1106"/>
      <c r="AM371" s="1106"/>
      <c r="AN371" s="1106"/>
      <c r="AO371" s="1106"/>
      <c r="AP371" s="1106"/>
      <c r="AQ371" s="1106"/>
      <c r="AR371" s="1106"/>
      <c r="AS371" s="1106"/>
      <c r="AT371" s="1106"/>
      <c r="AU371" s="1106"/>
      <c r="AV371" s="1106"/>
      <c r="AW371" s="1106"/>
      <c r="AX371" s="1106"/>
    </row>
    <row r="372">
      <c r="T372" s="1102"/>
      <c r="U372" s="1104"/>
      <c r="V372" s="1104"/>
      <c r="W372" s="1104"/>
      <c r="X372" s="1104"/>
      <c r="Y372" s="1104"/>
      <c r="Z372" s="1104"/>
      <c r="AA372" s="1104"/>
      <c r="AB372" s="1104"/>
      <c r="AC372" s="1104"/>
      <c r="AD372" s="1104"/>
      <c r="AE372" s="1104"/>
      <c r="AF372" s="1104"/>
      <c r="AG372" s="1106"/>
      <c r="AH372" s="1106"/>
      <c r="AI372" s="1106"/>
      <c r="AJ372" s="1106"/>
      <c r="AK372" s="1106"/>
      <c r="AL372" s="1106"/>
      <c r="AM372" s="1106"/>
      <c r="AN372" s="1106"/>
      <c r="AO372" s="1106"/>
      <c r="AP372" s="1106"/>
      <c r="AQ372" s="1106"/>
      <c r="AR372" s="1106"/>
      <c r="AS372" s="1106"/>
      <c r="AT372" s="1106"/>
      <c r="AU372" s="1106"/>
      <c r="AV372" s="1106"/>
      <c r="AW372" s="1106"/>
      <c r="AX372" s="1106"/>
    </row>
    <row r="373">
      <c r="T373" s="1102"/>
      <c r="U373" s="1104"/>
      <c r="V373" s="1104"/>
      <c r="W373" s="1104"/>
      <c r="X373" s="1104"/>
      <c r="Y373" s="1104"/>
      <c r="Z373" s="1104"/>
      <c r="AA373" s="1104"/>
      <c r="AB373" s="1104"/>
      <c r="AC373" s="1104"/>
      <c r="AD373" s="1104"/>
      <c r="AE373" s="1104"/>
      <c r="AF373" s="1104"/>
      <c r="AG373" s="1106"/>
      <c r="AH373" s="1106"/>
      <c r="AI373" s="1106"/>
      <c r="AJ373" s="1106"/>
      <c r="AK373" s="1106"/>
      <c r="AL373" s="1106"/>
      <c r="AM373" s="1106"/>
      <c r="AN373" s="1106"/>
      <c r="AO373" s="1106"/>
      <c r="AP373" s="1106"/>
      <c r="AQ373" s="1106"/>
      <c r="AR373" s="1106"/>
      <c r="AS373" s="1106"/>
      <c r="AT373" s="1106"/>
      <c r="AU373" s="1106"/>
      <c r="AV373" s="1106"/>
      <c r="AW373" s="1106"/>
      <c r="AX373" s="1106"/>
    </row>
    <row r="374">
      <c r="T374" s="1102"/>
      <c r="U374" s="1104"/>
      <c r="V374" s="1104"/>
      <c r="W374" s="1104"/>
      <c r="X374" s="1104"/>
      <c r="Y374" s="1104"/>
      <c r="Z374" s="1104"/>
      <c r="AA374" s="1104"/>
      <c r="AB374" s="1104"/>
      <c r="AC374" s="1104"/>
      <c r="AD374" s="1104"/>
      <c r="AE374" s="1104"/>
      <c r="AF374" s="1104"/>
      <c r="AG374" s="1106"/>
      <c r="AH374" s="1106"/>
      <c r="AI374" s="1106"/>
      <c r="AJ374" s="1106"/>
      <c r="AK374" s="1106"/>
      <c r="AL374" s="1106"/>
      <c r="AM374" s="1106"/>
      <c r="AN374" s="1106"/>
      <c r="AO374" s="1106"/>
      <c r="AP374" s="1106"/>
      <c r="AQ374" s="1106"/>
      <c r="AR374" s="1106"/>
      <c r="AS374" s="1106"/>
      <c r="AT374" s="1106"/>
      <c r="AU374" s="1106"/>
      <c r="AV374" s="1106"/>
      <c r="AW374" s="1106"/>
      <c r="AX374" s="1106"/>
    </row>
    <row r="375">
      <c r="T375" s="1102"/>
      <c r="U375" s="1104"/>
      <c r="V375" s="1104"/>
      <c r="W375" s="1104"/>
      <c r="X375" s="1104"/>
      <c r="Y375" s="1104"/>
      <c r="Z375" s="1104"/>
      <c r="AA375" s="1104"/>
      <c r="AB375" s="1104"/>
      <c r="AC375" s="1104"/>
      <c r="AD375" s="1104"/>
      <c r="AE375" s="1104"/>
      <c r="AF375" s="1104"/>
      <c r="AG375" s="1106"/>
      <c r="AH375" s="1106"/>
      <c r="AI375" s="1106"/>
      <c r="AJ375" s="1106"/>
      <c r="AK375" s="1106"/>
      <c r="AL375" s="1106"/>
      <c r="AM375" s="1106"/>
      <c r="AN375" s="1106"/>
      <c r="AO375" s="1106"/>
      <c r="AP375" s="1106"/>
      <c r="AQ375" s="1106"/>
      <c r="AR375" s="1106"/>
      <c r="AS375" s="1106"/>
      <c r="AT375" s="1106"/>
      <c r="AU375" s="1106"/>
      <c r="AV375" s="1106"/>
      <c r="AW375" s="1106"/>
      <c r="AX375" s="1106"/>
    </row>
    <row r="376">
      <c r="T376" s="1102"/>
      <c r="U376" s="1104"/>
      <c r="V376" s="1104"/>
      <c r="W376" s="1104"/>
      <c r="X376" s="1104"/>
      <c r="Y376" s="1104"/>
      <c r="Z376" s="1104"/>
      <c r="AA376" s="1104"/>
      <c r="AB376" s="1104"/>
      <c r="AC376" s="1104"/>
      <c r="AD376" s="1104"/>
      <c r="AE376" s="1104"/>
      <c r="AF376" s="1104"/>
      <c r="AG376" s="1106"/>
      <c r="AH376" s="1106"/>
      <c r="AI376" s="1106"/>
      <c r="AJ376" s="1106"/>
      <c r="AK376" s="1106"/>
      <c r="AL376" s="1106"/>
      <c r="AM376" s="1106"/>
      <c r="AN376" s="1106"/>
      <c r="AO376" s="1106"/>
      <c r="AP376" s="1106"/>
      <c r="AQ376" s="1106"/>
      <c r="AR376" s="1106"/>
      <c r="AS376" s="1106"/>
      <c r="AT376" s="1106"/>
      <c r="AU376" s="1106"/>
      <c r="AV376" s="1106"/>
      <c r="AW376" s="1106"/>
      <c r="AX376" s="1106"/>
    </row>
    <row r="377">
      <c r="T377" s="1102"/>
      <c r="U377" s="1104"/>
      <c r="V377" s="1104"/>
      <c r="W377" s="1104"/>
      <c r="X377" s="1104"/>
      <c r="Y377" s="1104"/>
      <c r="Z377" s="1104"/>
      <c r="AA377" s="1104"/>
      <c r="AB377" s="1104"/>
      <c r="AC377" s="1104"/>
      <c r="AD377" s="1104"/>
      <c r="AE377" s="1104"/>
      <c r="AF377" s="1104"/>
      <c r="AG377" s="1106"/>
      <c r="AH377" s="1106"/>
      <c r="AI377" s="1106"/>
      <c r="AJ377" s="1106"/>
      <c r="AK377" s="1106"/>
      <c r="AL377" s="1106"/>
      <c r="AM377" s="1106"/>
      <c r="AN377" s="1106"/>
      <c r="AO377" s="1106"/>
      <c r="AP377" s="1106"/>
      <c r="AQ377" s="1106"/>
      <c r="AR377" s="1106"/>
      <c r="AS377" s="1106"/>
      <c r="AT377" s="1106"/>
      <c r="AU377" s="1106"/>
      <c r="AV377" s="1106"/>
      <c r="AW377" s="1106"/>
      <c r="AX377" s="1106"/>
    </row>
    <row r="378">
      <c r="T378" s="1102"/>
      <c r="U378" s="1104"/>
      <c r="V378" s="1104"/>
      <c r="W378" s="1104"/>
      <c r="X378" s="1104"/>
      <c r="Y378" s="1104"/>
      <c r="Z378" s="1104"/>
      <c r="AA378" s="1104"/>
      <c r="AB378" s="1104"/>
      <c r="AC378" s="1104"/>
      <c r="AD378" s="1104"/>
      <c r="AE378" s="1104"/>
      <c r="AF378" s="1104"/>
      <c r="AG378" s="1106"/>
      <c r="AH378" s="1106"/>
      <c r="AI378" s="1106"/>
      <c r="AJ378" s="1106"/>
      <c r="AK378" s="1106"/>
      <c r="AL378" s="1106"/>
      <c r="AM378" s="1106"/>
      <c r="AN378" s="1106"/>
      <c r="AO378" s="1106"/>
      <c r="AP378" s="1106"/>
      <c r="AQ378" s="1106"/>
      <c r="AR378" s="1106"/>
      <c r="AS378" s="1106"/>
      <c r="AT378" s="1106"/>
      <c r="AU378" s="1106"/>
      <c r="AV378" s="1106"/>
      <c r="AW378" s="1106"/>
      <c r="AX378" s="1106"/>
    </row>
    <row r="379">
      <c r="T379" s="1102"/>
      <c r="U379" s="1104"/>
      <c r="V379" s="1104"/>
      <c r="W379" s="1104"/>
      <c r="X379" s="1104"/>
      <c r="Y379" s="1104"/>
      <c r="Z379" s="1104"/>
      <c r="AA379" s="1104"/>
      <c r="AB379" s="1104"/>
      <c r="AC379" s="1104"/>
      <c r="AD379" s="1104"/>
      <c r="AE379" s="1104"/>
      <c r="AF379" s="1104"/>
      <c r="AG379" s="1106"/>
      <c r="AH379" s="1106"/>
      <c r="AI379" s="1106"/>
      <c r="AJ379" s="1106"/>
      <c r="AK379" s="1106"/>
      <c r="AL379" s="1106"/>
      <c r="AM379" s="1106"/>
      <c r="AN379" s="1106"/>
      <c r="AO379" s="1106"/>
      <c r="AP379" s="1106"/>
      <c r="AQ379" s="1106"/>
      <c r="AR379" s="1106"/>
      <c r="AS379" s="1106"/>
      <c r="AT379" s="1106"/>
      <c r="AU379" s="1106"/>
      <c r="AV379" s="1106"/>
      <c r="AW379" s="1106"/>
      <c r="AX379" s="1106"/>
    </row>
    <row r="380">
      <c r="T380" s="1102"/>
      <c r="U380" s="1104"/>
      <c r="V380" s="1104"/>
      <c r="W380" s="1104"/>
      <c r="X380" s="1104"/>
      <c r="Y380" s="1104"/>
      <c r="Z380" s="1104"/>
      <c r="AA380" s="1104"/>
      <c r="AB380" s="1104"/>
      <c r="AC380" s="1104"/>
      <c r="AD380" s="1104"/>
      <c r="AE380" s="1104"/>
      <c r="AF380" s="1104"/>
      <c r="AG380" s="1106"/>
      <c r="AH380" s="1106"/>
      <c r="AI380" s="1106"/>
      <c r="AJ380" s="1106"/>
      <c r="AK380" s="1106"/>
      <c r="AL380" s="1106"/>
      <c r="AM380" s="1106"/>
      <c r="AN380" s="1106"/>
      <c r="AO380" s="1106"/>
      <c r="AP380" s="1106"/>
      <c r="AQ380" s="1106"/>
      <c r="AR380" s="1106"/>
      <c r="AS380" s="1106"/>
      <c r="AT380" s="1106"/>
      <c r="AU380" s="1106"/>
      <c r="AV380" s="1106"/>
      <c r="AW380" s="1106"/>
      <c r="AX380" s="1106"/>
    </row>
    <row r="381">
      <c r="T381" s="1102"/>
      <c r="U381" s="1104"/>
      <c r="V381" s="1104"/>
      <c r="W381" s="1104"/>
      <c r="X381" s="1104"/>
      <c r="Y381" s="1104"/>
      <c r="Z381" s="1104"/>
      <c r="AA381" s="1104"/>
      <c r="AB381" s="1104"/>
      <c r="AC381" s="1104"/>
      <c r="AD381" s="1104"/>
      <c r="AE381" s="1104"/>
      <c r="AF381" s="1104"/>
      <c r="AG381" s="1106"/>
      <c r="AH381" s="1106"/>
      <c r="AI381" s="1106"/>
      <c r="AJ381" s="1106"/>
      <c r="AK381" s="1106"/>
      <c r="AL381" s="1106"/>
      <c r="AM381" s="1106"/>
      <c r="AN381" s="1106"/>
      <c r="AO381" s="1106"/>
      <c r="AP381" s="1106"/>
      <c r="AQ381" s="1106"/>
      <c r="AR381" s="1106"/>
      <c r="AS381" s="1106"/>
      <c r="AT381" s="1106"/>
      <c r="AU381" s="1106"/>
      <c r="AV381" s="1106"/>
      <c r="AW381" s="1106"/>
      <c r="AX381" s="1106"/>
    </row>
    <row r="382">
      <c r="T382" s="1102"/>
      <c r="U382" s="1104"/>
      <c r="V382" s="1104"/>
      <c r="W382" s="1104"/>
      <c r="X382" s="1104"/>
      <c r="Y382" s="1104"/>
      <c r="Z382" s="1104"/>
      <c r="AA382" s="1104"/>
      <c r="AB382" s="1104"/>
      <c r="AC382" s="1104"/>
      <c r="AD382" s="1104"/>
      <c r="AE382" s="1104"/>
      <c r="AF382" s="1104"/>
      <c r="AG382" s="1106"/>
      <c r="AH382" s="1106"/>
      <c r="AI382" s="1106"/>
      <c r="AJ382" s="1106"/>
      <c r="AK382" s="1106"/>
      <c r="AL382" s="1106"/>
      <c r="AM382" s="1106"/>
      <c r="AN382" s="1106"/>
      <c r="AO382" s="1106"/>
      <c r="AP382" s="1106"/>
      <c r="AQ382" s="1106"/>
      <c r="AR382" s="1106"/>
      <c r="AS382" s="1106"/>
      <c r="AT382" s="1106"/>
      <c r="AU382" s="1106"/>
      <c r="AV382" s="1106"/>
      <c r="AW382" s="1106"/>
      <c r="AX382" s="1106"/>
    </row>
    <row r="383">
      <c r="T383" s="1102"/>
      <c r="U383" s="1104"/>
      <c r="V383" s="1104"/>
      <c r="W383" s="1104"/>
      <c r="X383" s="1104"/>
      <c r="Y383" s="1104"/>
      <c r="Z383" s="1104"/>
      <c r="AA383" s="1104"/>
      <c r="AB383" s="1104"/>
      <c r="AC383" s="1104"/>
      <c r="AD383" s="1104"/>
      <c r="AE383" s="1104"/>
      <c r="AF383" s="1104"/>
      <c r="AG383" s="1106"/>
      <c r="AH383" s="1106"/>
      <c r="AI383" s="1106"/>
      <c r="AJ383" s="1106"/>
      <c r="AK383" s="1106"/>
      <c r="AL383" s="1106"/>
      <c r="AM383" s="1106"/>
      <c r="AN383" s="1106"/>
      <c r="AO383" s="1106"/>
      <c r="AP383" s="1106"/>
      <c r="AQ383" s="1106"/>
      <c r="AR383" s="1106"/>
      <c r="AS383" s="1106"/>
      <c r="AT383" s="1106"/>
      <c r="AU383" s="1106"/>
      <c r="AV383" s="1106"/>
      <c r="AW383" s="1106"/>
      <c r="AX383" s="1106"/>
    </row>
    <row r="384">
      <c r="T384" s="1102"/>
      <c r="U384" s="1104"/>
      <c r="V384" s="1104"/>
      <c r="W384" s="1104"/>
      <c r="X384" s="1104"/>
      <c r="Y384" s="1104"/>
      <c r="Z384" s="1104"/>
      <c r="AA384" s="1104"/>
      <c r="AB384" s="1104"/>
      <c r="AC384" s="1104"/>
      <c r="AD384" s="1104"/>
      <c r="AE384" s="1104"/>
      <c r="AF384" s="1104"/>
      <c r="AG384" s="1106"/>
      <c r="AH384" s="1106"/>
      <c r="AI384" s="1106"/>
      <c r="AJ384" s="1106"/>
      <c r="AK384" s="1106"/>
      <c r="AL384" s="1106"/>
      <c r="AM384" s="1106"/>
      <c r="AN384" s="1106"/>
      <c r="AO384" s="1106"/>
      <c r="AP384" s="1106"/>
      <c r="AQ384" s="1106"/>
      <c r="AR384" s="1106"/>
      <c r="AS384" s="1106"/>
      <c r="AT384" s="1106"/>
      <c r="AU384" s="1106"/>
      <c r="AV384" s="1106"/>
      <c r="AW384" s="1106"/>
      <c r="AX384" s="1106"/>
    </row>
    <row r="385">
      <c r="T385" s="1102"/>
      <c r="U385" s="1104"/>
      <c r="V385" s="1104"/>
      <c r="W385" s="1104"/>
      <c r="X385" s="1104"/>
      <c r="Y385" s="1104"/>
      <c r="Z385" s="1104"/>
      <c r="AA385" s="1104"/>
      <c r="AB385" s="1104"/>
      <c r="AC385" s="1104"/>
      <c r="AD385" s="1104"/>
      <c r="AE385" s="1104"/>
      <c r="AF385" s="1104"/>
      <c r="AG385" s="1106"/>
      <c r="AH385" s="1106"/>
      <c r="AI385" s="1106"/>
      <c r="AJ385" s="1106"/>
      <c r="AK385" s="1106"/>
      <c r="AL385" s="1106"/>
      <c r="AM385" s="1106"/>
      <c r="AN385" s="1106"/>
      <c r="AO385" s="1106"/>
      <c r="AP385" s="1106"/>
      <c r="AQ385" s="1106"/>
      <c r="AR385" s="1106"/>
      <c r="AS385" s="1106"/>
      <c r="AT385" s="1106"/>
      <c r="AU385" s="1106"/>
      <c r="AV385" s="1106"/>
      <c r="AW385" s="1106"/>
      <c r="AX385" s="1106"/>
    </row>
    <row r="386">
      <c r="T386" s="1102"/>
      <c r="U386" s="1104"/>
      <c r="V386" s="1104"/>
      <c r="W386" s="1104"/>
      <c r="X386" s="1104"/>
      <c r="Y386" s="1104"/>
      <c r="Z386" s="1104"/>
      <c r="AA386" s="1104"/>
      <c r="AB386" s="1104"/>
      <c r="AC386" s="1104"/>
      <c r="AD386" s="1104"/>
      <c r="AE386" s="1104"/>
      <c r="AF386" s="1104"/>
      <c r="AG386" s="1106"/>
      <c r="AH386" s="1106"/>
      <c r="AI386" s="1106"/>
      <c r="AJ386" s="1106"/>
      <c r="AK386" s="1106"/>
      <c r="AL386" s="1106"/>
      <c r="AM386" s="1106"/>
      <c r="AN386" s="1106"/>
      <c r="AO386" s="1106"/>
      <c r="AP386" s="1106"/>
      <c r="AQ386" s="1106"/>
      <c r="AR386" s="1106"/>
      <c r="AS386" s="1106"/>
      <c r="AT386" s="1106"/>
      <c r="AU386" s="1106"/>
      <c r="AV386" s="1106"/>
      <c r="AW386" s="1106"/>
      <c r="AX386" s="1106"/>
    </row>
    <row r="387">
      <c r="T387" s="1102"/>
      <c r="U387" s="1104"/>
      <c r="V387" s="1104"/>
      <c r="W387" s="1104"/>
      <c r="X387" s="1104"/>
      <c r="Y387" s="1104"/>
      <c r="Z387" s="1104"/>
      <c r="AA387" s="1104"/>
      <c r="AB387" s="1104"/>
      <c r="AC387" s="1104"/>
      <c r="AD387" s="1104"/>
      <c r="AE387" s="1104"/>
      <c r="AF387" s="1104"/>
      <c r="AG387" s="1106"/>
      <c r="AH387" s="1106"/>
      <c r="AI387" s="1106"/>
      <c r="AJ387" s="1106"/>
      <c r="AK387" s="1106"/>
      <c r="AL387" s="1106"/>
      <c r="AM387" s="1106"/>
      <c r="AN387" s="1106"/>
      <c r="AO387" s="1106"/>
      <c r="AP387" s="1106"/>
      <c r="AQ387" s="1106"/>
      <c r="AR387" s="1106"/>
      <c r="AS387" s="1106"/>
      <c r="AT387" s="1106"/>
      <c r="AU387" s="1106"/>
      <c r="AV387" s="1106"/>
      <c r="AW387" s="1106"/>
      <c r="AX387" s="1106"/>
    </row>
    <row r="388">
      <c r="T388" s="1102"/>
      <c r="U388" s="1104"/>
      <c r="V388" s="1104"/>
      <c r="W388" s="1104"/>
      <c r="X388" s="1104"/>
      <c r="Y388" s="1104"/>
      <c r="Z388" s="1104"/>
      <c r="AA388" s="1104"/>
      <c r="AB388" s="1104"/>
      <c r="AC388" s="1104"/>
      <c r="AD388" s="1104"/>
      <c r="AE388" s="1104"/>
      <c r="AF388" s="1104"/>
      <c r="AG388" s="1106"/>
      <c r="AH388" s="1106"/>
      <c r="AI388" s="1106"/>
      <c r="AJ388" s="1106"/>
      <c r="AK388" s="1106"/>
      <c r="AL388" s="1106"/>
      <c r="AM388" s="1106"/>
      <c r="AN388" s="1106"/>
      <c r="AO388" s="1106"/>
      <c r="AP388" s="1106"/>
      <c r="AQ388" s="1106"/>
      <c r="AR388" s="1106"/>
      <c r="AS388" s="1106"/>
      <c r="AT388" s="1106"/>
      <c r="AU388" s="1106"/>
      <c r="AV388" s="1106"/>
      <c r="AW388" s="1106"/>
      <c r="AX388" s="1106"/>
    </row>
    <row r="389">
      <c r="T389" s="1102"/>
      <c r="U389" s="1104"/>
      <c r="V389" s="1104"/>
      <c r="W389" s="1104"/>
      <c r="X389" s="1104"/>
      <c r="Y389" s="1104"/>
      <c r="Z389" s="1104"/>
      <c r="AA389" s="1104"/>
      <c r="AB389" s="1104"/>
      <c r="AC389" s="1104"/>
      <c r="AD389" s="1104"/>
      <c r="AE389" s="1104"/>
      <c r="AF389" s="1104"/>
      <c r="AG389" s="1106"/>
      <c r="AH389" s="1106"/>
      <c r="AI389" s="1106"/>
      <c r="AJ389" s="1106"/>
      <c r="AK389" s="1106"/>
      <c r="AL389" s="1106"/>
      <c r="AM389" s="1106"/>
      <c r="AN389" s="1106"/>
      <c r="AO389" s="1106"/>
      <c r="AP389" s="1106"/>
      <c r="AQ389" s="1106"/>
      <c r="AR389" s="1106"/>
      <c r="AS389" s="1106"/>
      <c r="AT389" s="1106"/>
      <c r="AU389" s="1106"/>
      <c r="AV389" s="1106"/>
      <c r="AW389" s="1106"/>
      <c r="AX389" s="1106"/>
    </row>
    <row r="390">
      <c r="T390" s="1102"/>
      <c r="U390" s="1104"/>
      <c r="V390" s="1104"/>
      <c r="W390" s="1104"/>
      <c r="X390" s="1104"/>
      <c r="Y390" s="1104"/>
      <c r="Z390" s="1104"/>
      <c r="AA390" s="1104"/>
      <c r="AB390" s="1104"/>
      <c r="AC390" s="1104"/>
      <c r="AD390" s="1104"/>
      <c r="AE390" s="1104"/>
      <c r="AF390" s="1104"/>
      <c r="AG390" s="1106"/>
      <c r="AH390" s="1106"/>
      <c r="AI390" s="1106"/>
      <c r="AJ390" s="1106"/>
      <c r="AK390" s="1106"/>
      <c r="AL390" s="1106"/>
      <c r="AM390" s="1106"/>
      <c r="AN390" s="1106"/>
      <c r="AO390" s="1106"/>
      <c r="AP390" s="1106"/>
      <c r="AQ390" s="1106"/>
      <c r="AR390" s="1106"/>
      <c r="AS390" s="1106"/>
      <c r="AT390" s="1106"/>
      <c r="AU390" s="1106"/>
      <c r="AV390" s="1106"/>
      <c r="AW390" s="1106"/>
      <c r="AX390" s="1106"/>
    </row>
    <row r="391">
      <c r="T391" s="1102"/>
      <c r="U391" s="1104"/>
      <c r="V391" s="1104"/>
      <c r="W391" s="1104"/>
      <c r="X391" s="1104"/>
      <c r="Y391" s="1104"/>
      <c r="Z391" s="1104"/>
      <c r="AA391" s="1104"/>
      <c r="AB391" s="1104"/>
      <c r="AC391" s="1104"/>
      <c r="AD391" s="1104"/>
      <c r="AE391" s="1104"/>
      <c r="AF391" s="1104"/>
      <c r="AG391" s="1106"/>
      <c r="AH391" s="1106"/>
      <c r="AI391" s="1106"/>
      <c r="AJ391" s="1106"/>
      <c r="AK391" s="1106"/>
      <c r="AL391" s="1106"/>
      <c r="AM391" s="1106"/>
      <c r="AN391" s="1106"/>
      <c r="AO391" s="1106"/>
      <c r="AP391" s="1106"/>
      <c r="AQ391" s="1106"/>
      <c r="AR391" s="1106"/>
      <c r="AS391" s="1106"/>
      <c r="AT391" s="1106"/>
      <c r="AU391" s="1106"/>
      <c r="AV391" s="1106"/>
      <c r="AW391" s="1106"/>
      <c r="AX391" s="1106"/>
    </row>
    <row r="392">
      <c r="T392" s="1102"/>
      <c r="U392" s="1104"/>
      <c r="V392" s="1104"/>
      <c r="W392" s="1104"/>
      <c r="X392" s="1104"/>
      <c r="Y392" s="1104"/>
      <c r="Z392" s="1104"/>
      <c r="AA392" s="1104"/>
      <c r="AB392" s="1104"/>
      <c r="AC392" s="1104"/>
      <c r="AD392" s="1104"/>
      <c r="AE392" s="1104"/>
      <c r="AF392" s="1104"/>
      <c r="AG392" s="1106"/>
      <c r="AH392" s="1106"/>
      <c r="AI392" s="1106"/>
      <c r="AJ392" s="1106"/>
      <c r="AK392" s="1106"/>
      <c r="AL392" s="1106"/>
      <c r="AM392" s="1106"/>
      <c r="AN392" s="1106"/>
      <c r="AO392" s="1106"/>
      <c r="AP392" s="1106"/>
      <c r="AQ392" s="1106"/>
      <c r="AR392" s="1106"/>
      <c r="AS392" s="1106"/>
      <c r="AT392" s="1106"/>
      <c r="AU392" s="1106"/>
      <c r="AV392" s="1106"/>
      <c r="AW392" s="1106"/>
      <c r="AX392" s="1106"/>
    </row>
    <row r="393">
      <c r="T393" s="1102"/>
      <c r="U393" s="1104"/>
      <c r="V393" s="1104"/>
      <c r="W393" s="1104"/>
      <c r="X393" s="1104"/>
      <c r="Y393" s="1104"/>
      <c r="Z393" s="1104"/>
      <c r="AA393" s="1104"/>
      <c r="AB393" s="1104"/>
      <c r="AC393" s="1104"/>
      <c r="AD393" s="1104"/>
      <c r="AE393" s="1104"/>
      <c r="AF393" s="1104"/>
      <c r="AG393" s="1106"/>
      <c r="AH393" s="1106"/>
      <c r="AI393" s="1106"/>
      <c r="AJ393" s="1106"/>
      <c r="AK393" s="1106"/>
      <c r="AL393" s="1106"/>
      <c r="AM393" s="1106"/>
      <c r="AN393" s="1106"/>
      <c r="AO393" s="1106"/>
      <c r="AP393" s="1106"/>
      <c r="AQ393" s="1106"/>
      <c r="AR393" s="1106"/>
      <c r="AS393" s="1106"/>
      <c r="AT393" s="1106"/>
      <c r="AU393" s="1106"/>
      <c r="AV393" s="1106"/>
      <c r="AW393" s="1106"/>
      <c r="AX393" s="1106"/>
    </row>
    <row r="394">
      <c r="T394" s="1102"/>
      <c r="U394" s="1104"/>
      <c r="V394" s="1104"/>
      <c r="W394" s="1104"/>
      <c r="X394" s="1104"/>
      <c r="Y394" s="1104"/>
      <c r="Z394" s="1104"/>
      <c r="AA394" s="1104"/>
      <c r="AB394" s="1104"/>
      <c r="AC394" s="1104"/>
      <c r="AD394" s="1104"/>
      <c r="AE394" s="1104"/>
      <c r="AF394" s="1104"/>
      <c r="AG394" s="1106"/>
      <c r="AH394" s="1106"/>
      <c r="AI394" s="1106"/>
      <c r="AJ394" s="1106"/>
      <c r="AK394" s="1106"/>
      <c r="AL394" s="1106"/>
      <c r="AM394" s="1106"/>
      <c r="AN394" s="1106"/>
      <c r="AO394" s="1106"/>
      <c r="AP394" s="1106"/>
      <c r="AQ394" s="1106"/>
      <c r="AR394" s="1106"/>
      <c r="AS394" s="1106"/>
      <c r="AT394" s="1106"/>
      <c r="AU394" s="1106"/>
      <c r="AV394" s="1106"/>
      <c r="AW394" s="1106"/>
      <c r="AX394" s="1106"/>
    </row>
    <row r="395">
      <c r="T395" s="1102"/>
      <c r="U395" s="1104"/>
      <c r="V395" s="1104"/>
      <c r="W395" s="1104"/>
      <c r="X395" s="1104"/>
      <c r="Y395" s="1104"/>
      <c r="Z395" s="1104"/>
      <c r="AA395" s="1104"/>
      <c r="AB395" s="1104"/>
      <c r="AC395" s="1104"/>
      <c r="AD395" s="1104"/>
      <c r="AE395" s="1104"/>
      <c r="AF395" s="1104"/>
      <c r="AG395" s="1106"/>
      <c r="AH395" s="1106"/>
      <c r="AI395" s="1106"/>
      <c r="AJ395" s="1106"/>
      <c r="AK395" s="1106"/>
      <c r="AL395" s="1106"/>
      <c r="AM395" s="1106"/>
      <c r="AN395" s="1106"/>
      <c r="AO395" s="1106"/>
      <c r="AP395" s="1106"/>
      <c r="AQ395" s="1106"/>
      <c r="AR395" s="1106"/>
      <c r="AS395" s="1106"/>
      <c r="AT395" s="1106"/>
      <c r="AU395" s="1106"/>
      <c r="AV395" s="1106"/>
      <c r="AW395" s="1106"/>
      <c r="AX395" s="1106"/>
    </row>
    <row r="396">
      <c r="T396" s="1102"/>
      <c r="U396" s="1104"/>
      <c r="V396" s="1104"/>
      <c r="W396" s="1104"/>
      <c r="X396" s="1104"/>
      <c r="Y396" s="1104"/>
      <c r="Z396" s="1104"/>
      <c r="AA396" s="1104"/>
      <c r="AB396" s="1104"/>
      <c r="AC396" s="1104"/>
      <c r="AD396" s="1104"/>
      <c r="AE396" s="1104"/>
      <c r="AF396" s="1104"/>
      <c r="AG396" s="1106"/>
      <c r="AH396" s="1106"/>
      <c r="AI396" s="1106"/>
      <c r="AJ396" s="1106"/>
      <c r="AK396" s="1106"/>
      <c r="AL396" s="1106"/>
      <c r="AM396" s="1106"/>
      <c r="AN396" s="1106"/>
      <c r="AO396" s="1106"/>
      <c r="AP396" s="1106"/>
      <c r="AQ396" s="1106"/>
      <c r="AR396" s="1106"/>
      <c r="AS396" s="1106"/>
      <c r="AT396" s="1106"/>
      <c r="AU396" s="1106"/>
      <c r="AV396" s="1106"/>
      <c r="AW396" s="1106"/>
      <c r="AX396" s="1106"/>
    </row>
    <row r="397">
      <c r="T397" s="1102"/>
      <c r="U397" s="1104"/>
      <c r="V397" s="1104"/>
      <c r="W397" s="1104"/>
      <c r="X397" s="1104"/>
      <c r="Y397" s="1104"/>
      <c r="Z397" s="1104"/>
      <c r="AA397" s="1104"/>
      <c r="AB397" s="1104"/>
      <c r="AC397" s="1104"/>
      <c r="AD397" s="1104"/>
      <c r="AE397" s="1104"/>
      <c r="AF397" s="1104"/>
      <c r="AG397" s="1106"/>
      <c r="AH397" s="1106"/>
      <c r="AI397" s="1106"/>
      <c r="AJ397" s="1106"/>
      <c r="AK397" s="1106"/>
      <c r="AL397" s="1106"/>
      <c r="AM397" s="1106"/>
      <c r="AN397" s="1106"/>
      <c r="AO397" s="1106"/>
      <c r="AP397" s="1106"/>
      <c r="AQ397" s="1106"/>
      <c r="AR397" s="1106"/>
      <c r="AS397" s="1106"/>
      <c r="AT397" s="1106"/>
      <c r="AU397" s="1106"/>
      <c r="AV397" s="1106"/>
      <c r="AW397" s="1106"/>
      <c r="AX397" s="1106"/>
    </row>
    <row r="398">
      <c r="T398" s="1102"/>
      <c r="U398" s="1104"/>
      <c r="V398" s="1104"/>
      <c r="W398" s="1104"/>
      <c r="X398" s="1104"/>
      <c r="Y398" s="1104"/>
      <c r="Z398" s="1104"/>
      <c r="AA398" s="1104"/>
      <c r="AB398" s="1104"/>
      <c r="AC398" s="1104"/>
      <c r="AD398" s="1104"/>
      <c r="AE398" s="1104"/>
      <c r="AF398" s="1104"/>
      <c r="AG398" s="1106"/>
      <c r="AH398" s="1106"/>
      <c r="AI398" s="1106"/>
      <c r="AJ398" s="1106"/>
      <c r="AK398" s="1106"/>
      <c r="AL398" s="1106"/>
      <c r="AM398" s="1106"/>
      <c r="AN398" s="1106"/>
      <c r="AO398" s="1106"/>
      <c r="AP398" s="1106"/>
      <c r="AQ398" s="1106"/>
      <c r="AR398" s="1106"/>
      <c r="AS398" s="1106"/>
      <c r="AT398" s="1106"/>
      <c r="AU398" s="1106"/>
      <c r="AV398" s="1106"/>
      <c r="AW398" s="1106"/>
      <c r="AX398" s="1106"/>
    </row>
    <row r="399">
      <c r="T399" s="1102"/>
      <c r="U399" s="1104"/>
      <c r="V399" s="1104"/>
      <c r="W399" s="1104"/>
      <c r="X399" s="1104"/>
      <c r="Y399" s="1104"/>
      <c r="Z399" s="1104"/>
      <c r="AA399" s="1104"/>
      <c r="AB399" s="1104"/>
      <c r="AC399" s="1104"/>
      <c r="AD399" s="1104"/>
      <c r="AE399" s="1104"/>
      <c r="AF399" s="1104"/>
      <c r="AG399" s="1106"/>
      <c r="AH399" s="1106"/>
      <c r="AI399" s="1106"/>
      <c r="AJ399" s="1106"/>
      <c r="AK399" s="1106"/>
      <c r="AL399" s="1106"/>
      <c r="AM399" s="1106"/>
      <c r="AN399" s="1106"/>
      <c r="AO399" s="1106"/>
      <c r="AP399" s="1106"/>
      <c r="AQ399" s="1106"/>
      <c r="AR399" s="1106"/>
      <c r="AS399" s="1106"/>
      <c r="AT399" s="1106"/>
      <c r="AU399" s="1106"/>
      <c r="AV399" s="1106"/>
      <c r="AW399" s="1106"/>
      <c r="AX399" s="1106"/>
    </row>
    <row r="400">
      <c r="T400" s="1102"/>
      <c r="U400" s="1104"/>
      <c r="V400" s="1104"/>
      <c r="W400" s="1104"/>
      <c r="X400" s="1104"/>
      <c r="Y400" s="1104"/>
      <c r="Z400" s="1104"/>
      <c r="AA400" s="1104"/>
      <c r="AB400" s="1104"/>
      <c r="AC400" s="1104"/>
      <c r="AD400" s="1104"/>
      <c r="AE400" s="1104"/>
      <c r="AF400" s="1104"/>
      <c r="AG400" s="1106"/>
      <c r="AH400" s="1106"/>
      <c r="AI400" s="1106"/>
      <c r="AJ400" s="1106"/>
      <c r="AK400" s="1106"/>
      <c r="AL400" s="1106"/>
      <c r="AM400" s="1106"/>
      <c r="AN400" s="1106"/>
      <c r="AO400" s="1106"/>
      <c r="AP400" s="1106"/>
      <c r="AQ400" s="1106"/>
      <c r="AR400" s="1106"/>
      <c r="AS400" s="1106"/>
      <c r="AT400" s="1106"/>
      <c r="AU400" s="1106"/>
      <c r="AV400" s="1106"/>
      <c r="AW400" s="1106"/>
      <c r="AX400" s="1106"/>
    </row>
    <row r="401">
      <c r="T401" s="1102"/>
      <c r="U401" s="1104"/>
      <c r="V401" s="1104"/>
      <c r="W401" s="1104"/>
      <c r="X401" s="1104"/>
      <c r="Y401" s="1104"/>
      <c r="Z401" s="1104"/>
      <c r="AA401" s="1104"/>
      <c r="AB401" s="1104"/>
      <c r="AC401" s="1104"/>
      <c r="AD401" s="1104"/>
      <c r="AE401" s="1104"/>
      <c r="AF401" s="1104"/>
      <c r="AG401" s="1106"/>
      <c r="AH401" s="1106"/>
      <c r="AI401" s="1106"/>
      <c r="AJ401" s="1106"/>
      <c r="AK401" s="1106"/>
      <c r="AL401" s="1106"/>
      <c r="AM401" s="1106"/>
      <c r="AN401" s="1106"/>
      <c r="AO401" s="1106"/>
      <c r="AP401" s="1106"/>
      <c r="AQ401" s="1106"/>
      <c r="AR401" s="1106"/>
      <c r="AS401" s="1106"/>
      <c r="AT401" s="1106"/>
      <c r="AU401" s="1106"/>
      <c r="AV401" s="1106"/>
      <c r="AW401" s="1106"/>
      <c r="AX401" s="1106"/>
    </row>
    <row r="402">
      <c r="T402" s="1102"/>
      <c r="U402" s="1104"/>
      <c r="V402" s="1104"/>
      <c r="W402" s="1104"/>
      <c r="X402" s="1104"/>
      <c r="Y402" s="1104"/>
      <c r="Z402" s="1104"/>
      <c r="AA402" s="1104"/>
      <c r="AB402" s="1104"/>
      <c r="AC402" s="1104"/>
      <c r="AD402" s="1104"/>
      <c r="AE402" s="1104"/>
      <c r="AF402" s="1104"/>
      <c r="AG402" s="1106"/>
      <c r="AH402" s="1106"/>
      <c r="AI402" s="1106"/>
      <c r="AJ402" s="1106"/>
      <c r="AK402" s="1106"/>
      <c r="AL402" s="1106"/>
      <c r="AM402" s="1106"/>
      <c r="AN402" s="1106"/>
      <c r="AO402" s="1106"/>
      <c r="AP402" s="1106"/>
      <c r="AQ402" s="1106"/>
      <c r="AR402" s="1106"/>
      <c r="AS402" s="1106"/>
      <c r="AT402" s="1106"/>
      <c r="AU402" s="1106"/>
      <c r="AV402" s="1106"/>
      <c r="AW402" s="1106"/>
      <c r="AX402" s="1106"/>
    </row>
    <row r="403">
      <c r="T403" s="1102"/>
      <c r="U403" s="1104"/>
      <c r="V403" s="1104"/>
      <c r="W403" s="1104"/>
      <c r="X403" s="1104"/>
      <c r="Y403" s="1104"/>
      <c r="Z403" s="1104"/>
      <c r="AA403" s="1104"/>
      <c r="AB403" s="1104"/>
      <c r="AC403" s="1104"/>
      <c r="AD403" s="1104"/>
      <c r="AE403" s="1104"/>
      <c r="AF403" s="1104"/>
      <c r="AG403" s="1106"/>
      <c r="AH403" s="1106"/>
      <c r="AI403" s="1106"/>
      <c r="AJ403" s="1106"/>
      <c r="AK403" s="1106"/>
      <c r="AL403" s="1106"/>
      <c r="AM403" s="1106"/>
      <c r="AN403" s="1106"/>
      <c r="AO403" s="1106"/>
      <c r="AP403" s="1106"/>
      <c r="AQ403" s="1106"/>
      <c r="AR403" s="1106"/>
      <c r="AS403" s="1106"/>
      <c r="AT403" s="1106"/>
      <c r="AU403" s="1106"/>
      <c r="AV403" s="1106"/>
      <c r="AW403" s="1106"/>
      <c r="AX403" s="1106"/>
    </row>
    <row r="404">
      <c r="T404" s="1102"/>
      <c r="U404" s="1104"/>
      <c r="V404" s="1104"/>
      <c r="W404" s="1104"/>
      <c r="X404" s="1104"/>
      <c r="Y404" s="1104"/>
      <c r="Z404" s="1104"/>
      <c r="AA404" s="1104"/>
      <c r="AB404" s="1104"/>
      <c r="AC404" s="1104"/>
      <c r="AD404" s="1104"/>
      <c r="AE404" s="1104"/>
      <c r="AF404" s="1104"/>
      <c r="AG404" s="1106"/>
      <c r="AH404" s="1106"/>
      <c r="AI404" s="1106"/>
      <c r="AJ404" s="1106"/>
      <c r="AK404" s="1106"/>
      <c r="AL404" s="1106"/>
      <c r="AM404" s="1106"/>
      <c r="AN404" s="1106"/>
      <c r="AO404" s="1106"/>
      <c r="AP404" s="1106"/>
      <c r="AQ404" s="1106"/>
      <c r="AR404" s="1106"/>
      <c r="AS404" s="1106"/>
      <c r="AT404" s="1106"/>
      <c r="AU404" s="1106"/>
      <c r="AV404" s="1106"/>
      <c r="AW404" s="1106"/>
      <c r="AX404" s="1106"/>
    </row>
    <row r="405">
      <c r="T405" s="1102"/>
      <c r="U405" s="1104"/>
      <c r="V405" s="1104"/>
      <c r="W405" s="1104"/>
      <c r="X405" s="1104"/>
      <c r="Y405" s="1104"/>
      <c r="Z405" s="1104"/>
      <c r="AA405" s="1104"/>
      <c r="AB405" s="1104"/>
      <c r="AC405" s="1104"/>
      <c r="AD405" s="1104"/>
      <c r="AE405" s="1104"/>
      <c r="AF405" s="1104"/>
      <c r="AG405" s="1106"/>
      <c r="AH405" s="1106"/>
      <c r="AI405" s="1106"/>
      <c r="AJ405" s="1106"/>
      <c r="AK405" s="1106"/>
      <c r="AL405" s="1106"/>
      <c r="AM405" s="1106"/>
      <c r="AN405" s="1106"/>
      <c r="AO405" s="1106"/>
      <c r="AP405" s="1106"/>
      <c r="AQ405" s="1106"/>
      <c r="AR405" s="1106"/>
      <c r="AS405" s="1106"/>
      <c r="AT405" s="1106"/>
      <c r="AU405" s="1106"/>
      <c r="AV405" s="1106"/>
      <c r="AW405" s="1106"/>
      <c r="AX405" s="1106"/>
    </row>
    <row r="406">
      <c r="T406" s="1102"/>
      <c r="U406" s="1104"/>
      <c r="V406" s="1104"/>
      <c r="W406" s="1104"/>
      <c r="X406" s="1104"/>
      <c r="Y406" s="1104"/>
      <c r="Z406" s="1104"/>
      <c r="AA406" s="1104"/>
      <c r="AB406" s="1104"/>
      <c r="AC406" s="1104"/>
      <c r="AD406" s="1104"/>
      <c r="AE406" s="1104"/>
      <c r="AF406" s="1104"/>
      <c r="AG406" s="1106"/>
      <c r="AH406" s="1106"/>
      <c r="AI406" s="1106"/>
      <c r="AJ406" s="1106"/>
      <c r="AK406" s="1106"/>
      <c r="AL406" s="1106"/>
      <c r="AM406" s="1106"/>
      <c r="AN406" s="1106"/>
      <c r="AO406" s="1106"/>
      <c r="AP406" s="1106"/>
      <c r="AQ406" s="1106"/>
      <c r="AR406" s="1106"/>
      <c r="AS406" s="1106"/>
      <c r="AT406" s="1106"/>
      <c r="AU406" s="1106"/>
      <c r="AV406" s="1106"/>
      <c r="AW406" s="1106"/>
      <c r="AX406" s="1106"/>
    </row>
    <row r="407">
      <c r="T407" s="1102"/>
      <c r="U407" s="1104"/>
      <c r="V407" s="1104"/>
      <c r="W407" s="1104"/>
      <c r="X407" s="1104"/>
      <c r="Y407" s="1104"/>
      <c r="Z407" s="1104"/>
      <c r="AA407" s="1104"/>
      <c r="AB407" s="1104"/>
      <c r="AC407" s="1104"/>
      <c r="AD407" s="1104"/>
      <c r="AE407" s="1104"/>
      <c r="AF407" s="1104"/>
      <c r="AG407" s="1106"/>
      <c r="AH407" s="1106"/>
      <c r="AI407" s="1106"/>
      <c r="AJ407" s="1106"/>
      <c r="AK407" s="1106"/>
      <c r="AL407" s="1106"/>
      <c r="AM407" s="1106"/>
      <c r="AN407" s="1106"/>
      <c r="AO407" s="1106"/>
      <c r="AP407" s="1106"/>
      <c r="AQ407" s="1106"/>
      <c r="AR407" s="1106"/>
      <c r="AS407" s="1106"/>
      <c r="AT407" s="1106"/>
      <c r="AU407" s="1106"/>
      <c r="AV407" s="1106"/>
      <c r="AW407" s="1106"/>
      <c r="AX407" s="1106"/>
    </row>
    <row r="408">
      <c r="T408" s="1102"/>
      <c r="U408" s="1104"/>
      <c r="V408" s="1104"/>
      <c r="W408" s="1104"/>
      <c r="X408" s="1104"/>
      <c r="Y408" s="1104"/>
      <c r="Z408" s="1104"/>
      <c r="AA408" s="1104"/>
      <c r="AB408" s="1104"/>
      <c r="AC408" s="1104"/>
      <c r="AD408" s="1104"/>
      <c r="AE408" s="1104"/>
      <c r="AF408" s="1104"/>
      <c r="AG408" s="1106"/>
      <c r="AH408" s="1106"/>
      <c r="AI408" s="1106"/>
      <c r="AJ408" s="1106"/>
      <c r="AK408" s="1106"/>
      <c r="AL408" s="1106"/>
      <c r="AM408" s="1106"/>
      <c r="AN408" s="1106"/>
      <c r="AO408" s="1106"/>
      <c r="AP408" s="1106"/>
      <c r="AQ408" s="1106"/>
      <c r="AR408" s="1106"/>
      <c r="AS408" s="1106"/>
      <c r="AT408" s="1106"/>
      <c r="AU408" s="1106"/>
      <c r="AV408" s="1106"/>
      <c r="AW408" s="1106"/>
      <c r="AX408" s="1106"/>
    </row>
    <row r="409">
      <c r="T409" s="1102"/>
      <c r="U409" s="1104"/>
      <c r="V409" s="1104"/>
      <c r="W409" s="1104"/>
      <c r="X409" s="1104"/>
      <c r="Y409" s="1104"/>
      <c r="Z409" s="1104"/>
      <c r="AA409" s="1104"/>
      <c r="AB409" s="1104"/>
      <c r="AC409" s="1104"/>
      <c r="AD409" s="1104"/>
      <c r="AE409" s="1104"/>
      <c r="AF409" s="1104"/>
      <c r="AG409" s="1106"/>
      <c r="AH409" s="1106"/>
      <c r="AI409" s="1106"/>
      <c r="AJ409" s="1106"/>
      <c r="AK409" s="1106"/>
      <c r="AL409" s="1106"/>
      <c r="AM409" s="1106"/>
      <c r="AN409" s="1106"/>
      <c r="AO409" s="1106"/>
      <c r="AP409" s="1106"/>
      <c r="AQ409" s="1106"/>
      <c r="AR409" s="1106"/>
      <c r="AS409" s="1106"/>
      <c r="AT409" s="1106"/>
      <c r="AU409" s="1106"/>
      <c r="AV409" s="1106"/>
      <c r="AW409" s="1106"/>
      <c r="AX409" s="1106"/>
    </row>
    <row r="410">
      <c r="T410" s="1102"/>
      <c r="U410" s="1104"/>
      <c r="V410" s="1104"/>
      <c r="W410" s="1104"/>
      <c r="X410" s="1104"/>
      <c r="Y410" s="1104"/>
      <c r="Z410" s="1104"/>
      <c r="AA410" s="1104"/>
      <c r="AB410" s="1104"/>
      <c r="AC410" s="1104"/>
      <c r="AD410" s="1104"/>
      <c r="AE410" s="1104"/>
      <c r="AF410" s="1104"/>
      <c r="AG410" s="1106"/>
      <c r="AH410" s="1106"/>
      <c r="AI410" s="1106"/>
      <c r="AJ410" s="1106"/>
      <c r="AK410" s="1106"/>
      <c r="AL410" s="1106"/>
      <c r="AM410" s="1106"/>
      <c r="AN410" s="1106"/>
      <c r="AO410" s="1106"/>
      <c r="AP410" s="1106"/>
      <c r="AQ410" s="1106"/>
      <c r="AR410" s="1106"/>
      <c r="AS410" s="1106"/>
      <c r="AT410" s="1106"/>
      <c r="AU410" s="1106"/>
      <c r="AV410" s="1106"/>
      <c r="AW410" s="1106"/>
      <c r="AX410" s="1106"/>
    </row>
    <row r="411">
      <c r="T411" s="1102"/>
      <c r="U411" s="1104"/>
      <c r="V411" s="1104"/>
      <c r="W411" s="1104"/>
      <c r="X411" s="1104"/>
      <c r="Y411" s="1104"/>
      <c r="Z411" s="1104"/>
      <c r="AA411" s="1104"/>
      <c r="AB411" s="1104"/>
      <c r="AC411" s="1104"/>
      <c r="AD411" s="1104"/>
      <c r="AE411" s="1104"/>
      <c r="AF411" s="1104"/>
      <c r="AG411" s="1106"/>
      <c r="AH411" s="1106"/>
      <c r="AI411" s="1106"/>
      <c r="AJ411" s="1106"/>
      <c r="AK411" s="1106"/>
      <c r="AL411" s="1106"/>
      <c r="AM411" s="1106"/>
      <c r="AN411" s="1106"/>
      <c r="AO411" s="1106"/>
      <c r="AP411" s="1106"/>
      <c r="AQ411" s="1106"/>
      <c r="AR411" s="1106"/>
      <c r="AS411" s="1106"/>
      <c r="AT411" s="1106"/>
      <c r="AU411" s="1106"/>
      <c r="AV411" s="1106"/>
      <c r="AW411" s="1106"/>
      <c r="AX411" s="1106"/>
    </row>
    <row r="412">
      <c r="T412" s="1102"/>
      <c r="U412" s="1104"/>
      <c r="V412" s="1104"/>
      <c r="W412" s="1104"/>
      <c r="X412" s="1104"/>
      <c r="Y412" s="1104"/>
      <c r="Z412" s="1104"/>
      <c r="AA412" s="1104"/>
      <c r="AB412" s="1104"/>
      <c r="AC412" s="1104"/>
      <c r="AD412" s="1104"/>
      <c r="AE412" s="1104"/>
      <c r="AF412" s="1104"/>
      <c r="AG412" s="1106"/>
      <c r="AH412" s="1106"/>
      <c r="AI412" s="1106"/>
      <c r="AJ412" s="1106"/>
      <c r="AK412" s="1106"/>
      <c r="AL412" s="1106"/>
      <c r="AM412" s="1106"/>
      <c r="AN412" s="1106"/>
      <c r="AO412" s="1106"/>
      <c r="AP412" s="1106"/>
      <c r="AQ412" s="1106"/>
      <c r="AR412" s="1106"/>
      <c r="AS412" s="1106"/>
      <c r="AT412" s="1106"/>
      <c r="AU412" s="1106"/>
      <c r="AV412" s="1106"/>
      <c r="AW412" s="1106"/>
      <c r="AX412" s="1106"/>
    </row>
    <row r="413">
      <c r="T413" s="1102"/>
      <c r="U413" s="1104"/>
      <c r="V413" s="1104"/>
      <c r="W413" s="1104"/>
      <c r="X413" s="1104"/>
      <c r="Y413" s="1104"/>
      <c r="Z413" s="1104"/>
      <c r="AA413" s="1104"/>
      <c r="AB413" s="1104"/>
      <c r="AC413" s="1104"/>
      <c r="AD413" s="1104"/>
      <c r="AE413" s="1104"/>
      <c r="AF413" s="1104"/>
      <c r="AG413" s="1106"/>
      <c r="AH413" s="1106"/>
      <c r="AI413" s="1106"/>
      <c r="AJ413" s="1106"/>
      <c r="AK413" s="1106"/>
      <c r="AL413" s="1106"/>
      <c r="AM413" s="1106"/>
      <c r="AN413" s="1106"/>
      <c r="AO413" s="1106"/>
      <c r="AP413" s="1106"/>
      <c r="AQ413" s="1106"/>
      <c r="AR413" s="1106"/>
      <c r="AS413" s="1106"/>
      <c r="AT413" s="1106"/>
      <c r="AU413" s="1106"/>
      <c r="AV413" s="1106"/>
      <c r="AW413" s="1106"/>
      <c r="AX413" s="1106"/>
    </row>
    <row r="414">
      <c r="T414" s="1102"/>
      <c r="U414" s="1104"/>
      <c r="V414" s="1104"/>
      <c r="W414" s="1104"/>
      <c r="X414" s="1104"/>
      <c r="Y414" s="1104"/>
      <c r="Z414" s="1104"/>
      <c r="AA414" s="1104"/>
      <c r="AB414" s="1104"/>
      <c r="AC414" s="1104"/>
      <c r="AD414" s="1104"/>
      <c r="AE414" s="1104"/>
      <c r="AF414" s="1104"/>
      <c r="AG414" s="1106"/>
      <c r="AH414" s="1106"/>
      <c r="AI414" s="1106"/>
      <c r="AJ414" s="1106"/>
      <c r="AK414" s="1106"/>
      <c r="AL414" s="1106"/>
      <c r="AM414" s="1106"/>
      <c r="AN414" s="1106"/>
      <c r="AO414" s="1106"/>
      <c r="AP414" s="1106"/>
      <c r="AQ414" s="1106"/>
      <c r="AR414" s="1106"/>
      <c r="AS414" s="1106"/>
      <c r="AT414" s="1106"/>
      <c r="AU414" s="1106"/>
      <c r="AV414" s="1106"/>
      <c r="AW414" s="1106"/>
      <c r="AX414" s="1106"/>
    </row>
    <row r="415">
      <c r="T415" s="1102"/>
      <c r="U415" s="1104"/>
      <c r="V415" s="1104"/>
      <c r="W415" s="1104"/>
      <c r="X415" s="1104"/>
      <c r="Y415" s="1104"/>
      <c r="Z415" s="1104"/>
      <c r="AA415" s="1104"/>
      <c r="AB415" s="1104"/>
      <c r="AC415" s="1104"/>
      <c r="AD415" s="1104"/>
      <c r="AE415" s="1104"/>
      <c r="AF415" s="1104"/>
      <c r="AG415" s="1106"/>
      <c r="AH415" s="1106"/>
      <c r="AI415" s="1106"/>
      <c r="AJ415" s="1106"/>
      <c r="AK415" s="1106"/>
      <c r="AL415" s="1106"/>
      <c r="AM415" s="1106"/>
      <c r="AN415" s="1106"/>
      <c r="AO415" s="1106"/>
      <c r="AP415" s="1106"/>
      <c r="AQ415" s="1106"/>
      <c r="AR415" s="1106"/>
      <c r="AS415" s="1106"/>
      <c r="AT415" s="1106"/>
      <c r="AU415" s="1106"/>
      <c r="AV415" s="1106"/>
      <c r="AW415" s="1106"/>
      <c r="AX415" s="1106"/>
    </row>
    <row r="416">
      <c r="T416" s="1102"/>
      <c r="U416" s="1104"/>
      <c r="V416" s="1104"/>
      <c r="W416" s="1104"/>
      <c r="X416" s="1104"/>
      <c r="Y416" s="1104"/>
      <c r="Z416" s="1104"/>
      <c r="AA416" s="1104"/>
      <c r="AB416" s="1104"/>
      <c r="AC416" s="1104"/>
      <c r="AD416" s="1104"/>
      <c r="AE416" s="1104"/>
      <c r="AF416" s="1104"/>
      <c r="AG416" s="1106"/>
      <c r="AH416" s="1106"/>
      <c r="AI416" s="1106"/>
      <c r="AJ416" s="1106"/>
      <c r="AK416" s="1106"/>
      <c r="AL416" s="1106"/>
      <c r="AM416" s="1106"/>
      <c r="AN416" s="1106"/>
      <c r="AO416" s="1106"/>
      <c r="AP416" s="1106"/>
      <c r="AQ416" s="1106"/>
      <c r="AR416" s="1106"/>
      <c r="AS416" s="1106"/>
      <c r="AT416" s="1106"/>
      <c r="AU416" s="1106"/>
      <c r="AV416" s="1106"/>
      <c r="AW416" s="1106"/>
      <c r="AX416" s="1106"/>
    </row>
    <row r="417">
      <c r="T417" s="1102"/>
      <c r="U417" s="1104"/>
      <c r="V417" s="1104"/>
      <c r="W417" s="1104"/>
      <c r="X417" s="1104"/>
      <c r="Y417" s="1104"/>
      <c r="Z417" s="1104"/>
      <c r="AA417" s="1104"/>
      <c r="AB417" s="1104"/>
      <c r="AC417" s="1104"/>
      <c r="AD417" s="1104"/>
      <c r="AE417" s="1104"/>
      <c r="AF417" s="1104"/>
      <c r="AG417" s="1106"/>
      <c r="AH417" s="1106"/>
      <c r="AI417" s="1106"/>
      <c r="AJ417" s="1106"/>
      <c r="AK417" s="1106"/>
      <c r="AL417" s="1106"/>
      <c r="AM417" s="1106"/>
      <c r="AN417" s="1106"/>
      <c r="AO417" s="1106"/>
      <c r="AP417" s="1106"/>
      <c r="AQ417" s="1106"/>
      <c r="AR417" s="1106"/>
      <c r="AS417" s="1106"/>
      <c r="AT417" s="1106"/>
      <c r="AU417" s="1106"/>
      <c r="AV417" s="1106"/>
      <c r="AW417" s="1106"/>
      <c r="AX417" s="1106"/>
    </row>
    <row r="418">
      <c r="T418" s="1102"/>
      <c r="U418" s="1104"/>
      <c r="V418" s="1104"/>
      <c r="W418" s="1104"/>
      <c r="X418" s="1104"/>
      <c r="Y418" s="1104"/>
      <c r="Z418" s="1104"/>
      <c r="AA418" s="1104"/>
      <c r="AB418" s="1104"/>
      <c r="AC418" s="1104"/>
      <c r="AD418" s="1104"/>
      <c r="AE418" s="1104"/>
      <c r="AF418" s="1104"/>
      <c r="AG418" s="1106"/>
      <c r="AH418" s="1106"/>
      <c r="AI418" s="1106"/>
      <c r="AJ418" s="1106"/>
      <c r="AK418" s="1106"/>
      <c r="AL418" s="1106"/>
      <c r="AM418" s="1106"/>
      <c r="AN418" s="1106"/>
      <c r="AO418" s="1106"/>
      <c r="AP418" s="1106"/>
      <c r="AQ418" s="1106"/>
      <c r="AR418" s="1106"/>
      <c r="AS418" s="1106"/>
      <c r="AT418" s="1106"/>
      <c r="AU418" s="1106"/>
      <c r="AV418" s="1106"/>
      <c r="AW418" s="1106"/>
      <c r="AX418" s="1106"/>
    </row>
    <row r="419">
      <c r="T419" s="1102"/>
      <c r="U419" s="1104"/>
      <c r="V419" s="1104"/>
      <c r="W419" s="1104"/>
      <c r="X419" s="1104"/>
      <c r="Y419" s="1104"/>
      <c r="Z419" s="1104"/>
      <c r="AA419" s="1104"/>
      <c r="AB419" s="1104"/>
      <c r="AC419" s="1104"/>
      <c r="AD419" s="1104"/>
      <c r="AE419" s="1104"/>
      <c r="AF419" s="1104"/>
      <c r="AG419" s="1106"/>
      <c r="AH419" s="1106"/>
      <c r="AI419" s="1106"/>
      <c r="AJ419" s="1106"/>
      <c r="AK419" s="1106"/>
      <c r="AL419" s="1106"/>
      <c r="AM419" s="1106"/>
      <c r="AN419" s="1106"/>
      <c r="AO419" s="1106"/>
      <c r="AP419" s="1106"/>
      <c r="AQ419" s="1106"/>
      <c r="AR419" s="1106"/>
      <c r="AS419" s="1106"/>
      <c r="AT419" s="1106"/>
      <c r="AU419" s="1106"/>
      <c r="AV419" s="1106"/>
      <c r="AW419" s="1106"/>
      <c r="AX419" s="1106"/>
    </row>
    <row r="420">
      <c r="T420" s="1102"/>
      <c r="U420" s="1104"/>
      <c r="V420" s="1104"/>
      <c r="W420" s="1104"/>
      <c r="X420" s="1104"/>
      <c r="Y420" s="1104"/>
      <c r="Z420" s="1104"/>
      <c r="AA420" s="1104"/>
      <c r="AB420" s="1104"/>
      <c r="AC420" s="1104"/>
      <c r="AD420" s="1104"/>
      <c r="AE420" s="1104"/>
      <c r="AF420" s="1104"/>
      <c r="AG420" s="1106"/>
      <c r="AH420" s="1106"/>
      <c r="AI420" s="1106"/>
      <c r="AJ420" s="1106"/>
      <c r="AK420" s="1106"/>
      <c r="AL420" s="1106"/>
      <c r="AM420" s="1106"/>
      <c r="AN420" s="1106"/>
      <c r="AO420" s="1106"/>
      <c r="AP420" s="1106"/>
      <c r="AQ420" s="1106"/>
      <c r="AR420" s="1106"/>
      <c r="AS420" s="1106"/>
      <c r="AT420" s="1106"/>
      <c r="AU420" s="1106"/>
      <c r="AV420" s="1106"/>
      <c r="AW420" s="1106"/>
      <c r="AX420" s="1106"/>
    </row>
    <row r="421">
      <c r="T421" s="1102"/>
      <c r="U421" s="1104"/>
      <c r="V421" s="1104"/>
      <c r="W421" s="1104"/>
      <c r="X421" s="1104"/>
      <c r="Y421" s="1104"/>
      <c r="Z421" s="1104"/>
      <c r="AA421" s="1104"/>
      <c r="AB421" s="1104"/>
      <c r="AC421" s="1104"/>
      <c r="AD421" s="1104"/>
      <c r="AE421" s="1104"/>
      <c r="AF421" s="1104"/>
      <c r="AG421" s="1106"/>
      <c r="AH421" s="1106"/>
      <c r="AI421" s="1106"/>
      <c r="AJ421" s="1106"/>
      <c r="AK421" s="1106"/>
      <c r="AL421" s="1106"/>
      <c r="AM421" s="1106"/>
      <c r="AN421" s="1106"/>
      <c r="AO421" s="1106"/>
      <c r="AP421" s="1106"/>
      <c r="AQ421" s="1106"/>
      <c r="AR421" s="1106"/>
      <c r="AS421" s="1106"/>
      <c r="AT421" s="1106"/>
      <c r="AU421" s="1106"/>
      <c r="AV421" s="1106"/>
      <c r="AW421" s="1106"/>
      <c r="AX421" s="1106"/>
    </row>
    <row r="422">
      <c r="T422" s="1102"/>
      <c r="U422" s="1104"/>
      <c r="V422" s="1104"/>
      <c r="W422" s="1104"/>
      <c r="X422" s="1104"/>
      <c r="Y422" s="1104"/>
      <c r="Z422" s="1104"/>
      <c r="AA422" s="1104"/>
      <c r="AB422" s="1104"/>
      <c r="AC422" s="1104"/>
      <c r="AD422" s="1104"/>
      <c r="AE422" s="1104"/>
      <c r="AF422" s="1104"/>
      <c r="AG422" s="1106"/>
      <c r="AH422" s="1106"/>
      <c r="AI422" s="1106"/>
      <c r="AJ422" s="1106"/>
      <c r="AK422" s="1106"/>
      <c r="AL422" s="1106"/>
      <c r="AM422" s="1106"/>
      <c r="AN422" s="1106"/>
      <c r="AO422" s="1106"/>
      <c r="AP422" s="1106"/>
      <c r="AQ422" s="1106"/>
      <c r="AR422" s="1106"/>
      <c r="AS422" s="1106"/>
      <c r="AT422" s="1106"/>
      <c r="AU422" s="1106"/>
      <c r="AV422" s="1106"/>
      <c r="AW422" s="1106"/>
      <c r="AX422" s="1106"/>
    </row>
    <row r="423">
      <c r="T423" s="1102"/>
      <c r="U423" s="1104"/>
      <c r="V423" s="1104"/>
      <c r="W423" s="1104"/>
      <c r="X423" s="1104"/>
      <c r="Y423" s="1104"/>
      <c r="Z423" s="1104"/>
      <c r="AA423" s="1104"/>
      <c r="AB423" s="1104"/>
      <c r="AC423" s="1104"/>
      <c r="AD423" s="1104"/>
      <c r="AE423" s="1104"/>
      <c r="AF423" s="1104"/>
      <c r="AG423" s="1106"/>
      <c r="AH423" s="1106"/>
      <c r="AI423" s="1106"/>
      <c r="AJ423" s="1106"/>
      <c r="AK423" s="1106"/>
      <c r="AL423" s="1106"/>
      <c r="AM423" s="1106"/>
      <c r="AN423" s="1106"/>
      <c r="AO423" s="1106"/>
      <c r="AP423" s="1106"/>
      <c r="AQ423" s="1106"/>
      <c r="AR423" s="1106"/>
      <c r="AS423" s="1106"/>
      <c r="AT423" s="1106"/>
      <c r="AU423" s="1106"/>
      <c r="AV423" s="1106"/>
      <c r="AW423" s="1106"/>
      <c r="AX423" s="1106"/>
    </row>
    <row r="424">
      <c r="T424" s="1102"/>
      <c r="U424" s="1104"/>
      <c r="V424" s="1104"/>
      <c r="W424" s="1104"/>
      <c r="X424" s="1104"/>
      <c r="Y424" s="1104"/>
      <c r="Z424" s="1104"/>
      <c r="AA424" s="1104"/>
      <c r="AB424" s="1104"/>
      <c r="AC424" s="1104"/>
      <c r="AD424" s="1104"/>
      <c r="AE424" s="1104"/>
      <c r="AF424" s="1104"/>
      <c r="AG424" s="1106"/>
      <c r="AH424" s="1106"/>
      <c r="AI424" s="1106"/>
      <c r="AJ424" s="1106"/>
      <c r="AK424" s="1106"/>
      <c r="AL424" s="1106"/>
      <c r="AM424" s="1106"/>
      <c r="AN424" s="1106"/>
      <c r="AO424" s="1106"/>
      <c r="AP424" s="1106"/>
      <c r="AQ424" s="1106"/>
      <c r="AR424" s="1106"/>
      <c r="AS424" s="1106"/>
      <c r="AT424" s="1106"/>
      <c r="AU424" s="1106"/>
      <c r="AV424" s="1106"/>
      <c r="AW424" s="1106"/>
      <c r="AX424" s="1106"/>
    </row>
    <row r="425">
      <c r="T425" s="1102"/>
      <c r="U425" s="1104"/>
      <c r="V425" s="1104"/>
      <c r="W425" s="1104"/>
      <c r="X425" s="1104"/>
      <c r="Y425" s="1104"/>
      <c r="Z425" s="1104"/>
      <c r="AA425" s="1104"/>
      <c r="AB425" s="1104"/>
      <c r="AC425" s="1104"/>
      <c r="AD425" s="1104"/>
      <c r="AE425" s="1104"/>
      <c r="AF425" s="1104"/>
      <c r="AG425" s="1106"/>
      <c r="AH425" s="1106"/>
      <c r="AI425" s="1106"/>
      <c r="AJ425" s="1106"/>
      <c r="AK425" s="1106"/>
      <c r="AL425" s="1106"/>
      <c r="AM425" s="1106"/>
      <c r="AN425" s="1106"/>
      <c r="AO425" s="1106"/>
      <c r="AP425" s="1106"/>
      <c r="AQ425" s="1106"/>
      <c r="AR425" s="1106"/>
      <c r="AS425" s="1106"/>
      <c r="AT425" s="1106"/>
      <c r="AU425" s="1106"/>
      <c r="AV425" s="1106"/>
      <c r="AW425" s="1106"/>
      <c r="AX425" s="1106"/>
    </row>
    <row r="426">
      <c r="T426" s="1102"/>
      <c r="U426" s="1104"/>
      <c r="V426" s="1104"/>
      <c r="W426" s="1104"/>
      <c r="X426" s="1104"/>
      <c r="Y426" s="1104"/>
      <c r="Z426" s="1104"/>
      <c r="AA426" s="1104"/>
      <c r="AB426" s="1104"/>
      <c r="AC426" s="1104"/>
      <c r="AD426" s="1104"/>
      <c r="AE426" s="1104"/>
      <c r="AF426" s="1104"/>
      <c r="AG426" s="1106"/>
      <c r="AH426" s="1106"/>
      <c r="AI426" s="1106"/>
      <c r="AJ426" s="1106"/>
      <c r="AK426" s="1106"/>
      <c r="AL426" s="1106"/>
      <c r="AM426" s="1106"/>
      <c r="AN426" s="1106"/>
      <c r="AO426" s="1106"/>
      <c r="AP426" s="1106"/>
      <c r="AQ426" s="1106"/>
      <c r="AR426" s="1106"/>
      <c r="AS426" s="1106"/>
      <c r="AT426" s="1106"/>
      <c r="AU426" s="1106"/>
      <c r="AV426" s="1106"/>
      <c r="AW426" s="1106"/>
      <c r="AX426" s="1106"/>
    </row>
    <row r="427">
      <c r="T427" s="1102"/>
      <c r="U427" s="1104"/>
      <c r="V427" s="1104"/>
      <c r="W427" s="1104"/>
      <c r="X427" s="1104"/>
      <c r="Y427" s="1104"/>
      <c r="Z427" s="1104"/>
      <c r="AA427" s="1104"/>
      <c r="AB427" s="1104"/>
      <c r="AC427" s="1104"/>
      <c r="AD427" s="1104"/>
      <c r="AE427" s="1104"/>
      <c r="AF427" s="1104"/>
      <c r="AG427" s="1106"/>
      <c r="AH427" s="1106"/>
      <c r="AI427" s="1106"/>
      <c r="AJ427" s="1106"/>
      <c r="AK427" s="1106"/>
      <c r="AL427" s="1106"/>
      <c r="AM427" s="1106"/>
      <c r="AN427" s="1106"/>
      <c r="AO427" s="1106"/>
      <c r="AP427" s="1106"/>
      <c r="AQ427" s="1106"/>
      <c r="AR427" s="1106"/>
      <c r="AS427" s="1106"/>
      <c r="AT427" s="1106"/>
      <c r="AU427" s="1106"/>
      <c r="AV427" s="1106"/>
      <c r="AW427" s="1106"/>
      <c r="AX427" s="1106"/>
    </row>
    <row r="428">
      <c r="T428" s="1102"/>
      <c r="U428" s="1104"/>
      <c r="V428" s="1104"/>
      <c r="W428" s="1104"/>
      <c r="X428" s="1104"/>
      <c r="Y428" s="1104"/>
      <c r="Z428" s="1104"/>
      <c r="AA428" s="1104"/>
      <c r="AB428" s="1104"/>
      <c r="AC428" s="1104"/>
      <c r="AD428" s="1104"/>
      <c r="AE428" s="1104"/>
      <c r="AF428" s="1104"/>
      <c r="AG428" s="1106"/>
      <c r="AH428" s="1106"/>
      <c r="AI428" s="1106"/>
      <c r="AJ428" s="1106"/>
      <c r="AK428" s="1106"/>
      <c r="AL428" s="1106"/>
      <c r="AM428" s="1106"/>
      <c r="AN428" s="1106"/>
      <c r="AO428" s="1106"/>
      <c r="AP428" s="1106"/>
      <c r="AQ428" s="1106"/>
      <c r="AR428" s="1106"/>
      <c r="AS428" s="1106"/>
      <c r="AT428" s="1106"/>
      <c r="AU428" s="1106"/>
      <c r="AV428" s="1106"/>
      <c r="AW428" s="1106"/>
      <c r="AX428" s="1106"/>
    </row>
    <row r="429">
      <c r="T429" s="1102"/>
      <c r="U429" s="1104"/>
      <c r="V429" s="1104"/>
      <c r="W429" s="1104"/>
      <c r="X429" s="1104"/>
      <c r="Y429" s="1104"/>
      <c r="Z429" s="1104"/>
      <c r="AA429" s="1104"/>
      <c r="AB429" s="1104"/>
      <c r="AC429" s="1104"/>
      <c r="AD429" s="1104"/>
      <c r="AE429" s="1104"/>
      <c r="AF429" s="1104"/>
      <c r="AG429" s="1106"/>
      <c r="AH429" s="1106"/>
      <c r="AI429" s="1106"/>
      <c r="AJ429" s="1106"/>
      <c r="AK429" s="1106"/>
      <c r="AL429" s="1106"/>
      <c r="AM429" s="1106"/>
      <c r="AN429" s="1106"/>
      <c r="AO429" s="1106"/>
      <c r="AP429" s="1106"/>
      <c r="AQ429" s="1106"/>
      <c r="AR429" s="1106"/>
      <c r="AS429" s="1106"/>
      <c r="AT429" s="1106"/>
      <c r="AU429" s="1106"/>
      <c r="AV429" s="1106"/>
      <c r="AW429" s="1106"/>
      <c r="AX429" s="1106"/>
    </row>
    <row r="430">
      <c r="T430" s="1102"/>
      <c r="U430" s="1104"/>
      <c r="V430" s="1104"/>
      <c r="W430" s="1104"/>
      <c r="X430" s="1104"/>
      <c r="Y430" s="1104"/>
      <c r="Z430" s="1104"/>
      <c r="AA430" s="1104"/>
      <c r="AB430" s="1104"/>
      <c r="AC430" s="1104"/>
      <c r="AD430" s="1104"/>
      <c r="AE430" s="1104"/>
      <c r="AF430" s="1104"/>
      <c r="AG430" s="1106"/>
      <c r="AH430" s="1106"/>
      <c r="AI430" s="1106"/>
      <c r="AJ430" s="1106"/>
      <c r="AK430" s="1106"/>
      <c r="AL430" s="1106"/>
      <c r="AM430" s="1106"/>
      <c r="AN430" s="1106"/>
      <c r="AO430" s="1106"/>
      <c r="AP430" s="1106"/>
      <c r="AQ430" s="1106"/>
      <c r="AR430" s="1106"/>
      <c r="AS430" s="1106"/>
      <c r="AT430" s="1106"/>
      <c r="AU430" s="1106"/>
      <c r="AV430" s="1106"/>
      <c r="AW430" s="1106"/>
      <c r="AX430" s="1106"/>
    </row>
    <row r="431">
      <c r="T431" s="1102"/>
      <c r="U431" s="1104"/>
      <c r="V431" s="1104"/>
      <c r="W431" s="1104"/>
      <c r="X431" s="1104"/>
      <c r="Y431" s="1104"/>
      <c r="Z431" s="1104"/>
      <c r="AA431" s="1104"/>
      <c r="AB431" s="1104"/>
      <c r="AC431" s="1104"/>
      <c r="AD431" s="1104"/>
      <c r="AE431" s="1104"/>
      <c r="AF431" s="1104"/>
      <c r="AG431" s="1106"/>
      <c r="AH431" s="1106"/>
      <c r="AI431" s="1106"/>
      <c r="AJ431" s="1106"/>
      <c r="AK431" s="1106"/>
      <c r="AL431" s="1106"/>
      <c r="AM431" s="1106"/>
      <c r="AN431" s="1106"/>
      <c r="AO431" s="1106"/>
      <c r="AP431" s="1106"/>
      <c r="AQ431" s="1106"/>
      <c r="AR431" s="1106"/>
      <c r="AS431" s="1106"/>
      <c r="AT431" s="1106"/>
      <c r="AU431" s="1106"/>
      <c r="AV431" s="1106"/>
      <c r="AW431" s="1106"/>
      <c r="AX431" s="1106"/>
    </row>
    <row r="432">
      <c r="T432" s="1102"/>
      <c r="U432" s="1104"/>
      <c r="V432" s="1104"/>
      <c r="W432" s="1104"/>
      <c r="X432" s="1104"/>
      <c r="Y432" s="1104"/>
      <c r="Z432" s="1104"/>
      <c r="AA432" s="1104"/>
      <c r="AB432" s="1104"/>
      <c r="AC432" s="1104"/>
      <c r="AD432" s="1104"/>
      <c r="AE432" s="1104"/>
      <c r="AF432" s="1104"/>
      <c r="AG432" s="1106"/>
      <c r="AH432" s="1106"/>
      <c r="AI432" s="1106"/>
      <c r="AJ432" s="1106"/>
      <c r="AK432" s="1106"/>
      <c r="AL432" s="1106"/>
      <c r="AM432" s="1106"/>
      <c r="AN432" s="1106"/>
      <c r="AO432" s="1106"/>
      <c r="AP432" s="1106"/>
      <c r="AQ432" s="1106"/>
      <c r="AR432" s="1106"/>
      <c r="AS432" s="1106"/>
      <c r="AT432" s="1106"/>
      <c r="AU432" s="1106"/>
      <c r="AV432" s="1106"/>
      <c r="AW432" s="1106"/>
      <c r="AX432" s="1106"/>
    </row>
    <row r="433">
      <c r="T433" s="1102"/>
      <c r="U433" s="1104"/>
      <c r="V433" s="1104"/>
      <c r="W433" s="1104"/>
      <c r="X433" s="1104"/>
      <c r="Y433" s="1104"/>
      <c r="Z433" s="1104"/>
      <c r="AA433" s="1104"/>
      <c r="AB433" s="1104"/>
      <c r="AC433" s="1104"/>
      <c r="AD433" s="1104"/>
      <c r="AE433" s="1104"/>
      <c r="AF433" s="1104"/>
      <c r="AG433" s="1106"/>
      <c r="AH433" s="1106"/>
      <c r="AI433" s="1106"/>
      <c r="AJ433" s="1106"/>
      <c r="AK433" s="1106"/>
      <c r="AL433" s="1106"/>
      <c r="AM433" s="1106"/>
      <c r="AN433" s="1106"/>
      <c r="AO433" s="1106"/>
      <c r="AP433" s="1106"/>
      <c r="AQ433" s="1106"/>
      <c r="AR433" s="1106"/>
      <c r="AS433" s="1106"/>
      <c r="AT433" s="1106"/>
      <c r="AU433" s="1106"/>
      <c r="AV433" s="1106"/>
      <c r="AW433" s="1106"/>
      <c r="AX433" s="1106"/>
    </row>
    <row r="434">
      <c r="T434" s="1102"/>
      <c r="U434" s="1104"/>
      <c r="V434" s="1104"/>
      <c r="W434" s="1104"/>
      <c r="X434" s="1104"/>
      <c r="Y434" s="1104"/>
      <c r="Z434" s="1104"/>
      <c r="AA434" s="1104"/>
      <c r="AB434" s="1104"/>
      <c r="AC434" s="1104"/>
      <c r="AD434" s="1104"/>
      <c r="AE434" s="1104"/>
      <c r="AF434" s="1104"/>
      <c r="AG434" s="1106"/>
      <c r="AH434" s="1106"/>
      <c r="AI434" s="1106"/>
      <c r="AJ434" s="1106"/>
      <c r="AK434" s="1106"/>
      <c r="AL434" s="1106"/>
      <c r="AM434" s="1106"/>
      <c r="AN434" s="1106"/>
      <c r="AO434" s="1106"/>
      <c r="AP434" s="1106"/>
      <c r="AQ434" s="1106"/>
      <c r="AR434" s="1106"/>
      <c r="AS434" s="1106"/>
      <c r="AT434" s="1106"/>
      <c r="AU434" s="1106"/>
      <c r="AV434" s="1106"/>
      <c r="AW434" s="1106"/>
      <c r="AX434" s="1106"/>
    </row>
    <row r="435">
      <c r="T435" s="1102"/>
      <c r="U435" s="1104"/>
      <c r="V435" s="1104"/>
      <c r="W435" s="1104"/>
      <c r="X435" s="1104"/>
      <c r="Y435" s="1104"/>
      <c r="Z435" s="1104"/>
      <c r="AA435" s="1104"/>
      <c r="AB435" s="1104"/>
      <c r="AC435" s="1104"/>
      <c r="AD435" s="1104"/>
      <c r="AE435" s="1104"/>
      <c r="AF435" s="1104"/>
      <c r="AG435" s="1106"/>
      <c r="AH435" s="1106"/>
      <c r="AI435" s="1106"/>
      <c r="AJ435" s="1106"/>
      <c r="AK435" s="1106"/>
      <c r="AL435" s="1106"/>
      <c r="AM435" s="1106"/>
      <c r="AN435" s="1106"/>
      <c r="AO435" s="1106"/>
      <c r="AP435" s="1106"/>
      <c r="AQ435" s="1106"/>
      <c r="AR435" s="1106"/>
      <c r="AS435" s="1106"/>
      <c r="AT435" s="1106"/>
      <c r="AU435" s="1106"/>
      <c r="AV435" s="1106"/>
      <c r="AW435" s="1106"/>
      <c r="AX435" s="1106"/>
    </row>
    <row r="436">
      <c r="T436" s="1102"/>
      <c r="U436" s="1104"/>
      <c r="V436" s="1104"/>
      <c r="W436" s="1104"/>
      <c r="X436" s="1104"/>
      <c r="Y436" s="1104"/>
      <c r="Z436" s="1104"/>
      <c r="AA436" s="1104"/>
      <c r="AB436" s="1104"/>
      <c r="AC436" s="1104"/>
      <c r="AD436" s="1104"/>
      <c r="AE436" s="1104"/>
      <c r="AF436" s="1104"/>
      <c r="AG436" s="1106"/>
      <c r="AH436" s="1106"/>
      <c r="AI436" s="1106"/>
      <c r="AJ436" s="1106"/>
      <c r="AK436" s="1106"/>
      <c r="AL436" s="1106"/>
      <c r="AM436" s="1106"/>
      <c r="AN436" s="1106"/>
      <c r="AO436" s="1106"/>
      <c r="AP436" s="1106"/>
      <c r="AQ436" s="1106"/>
      <c r="AR436" s="1106"/>
      <c r="AS436" s="1106"/>
      <c r="AT436" s="1106"/>
      <c r="AU436" s="1106"/>
      <c r="AV436" s="1106"/>
      <c r="AW436" s="1106"/>
      <c r="AX436" s="1106"/>
    </row>
    <row r="437">
      <c r="T437" s="1102"/>
      <c r="U437" s="1104"/>
      <c r="V437" s="1104"/>
      <c r="W437" s="1104"/>
      <c r="X437" s="1104"/>
      <c r="Y437" s="1104"/>
      <c r="Z437" s="1104"/>
      <c r="AA437" s="1104"/>
      <c r="AB437" s="1104"/>
      <c r="AC437" s="1104"/>
      <c r="AD437" s="1104"/>
      <c r="AE437" s="1104"/>
      <c r="AF437" s="1104"/>
      <c r="AG437" s="1106"/>
      <c r="AH437" s="1106"/>
      <c r="AI437" s="1106"/>
      <c r="AJ437" s="1106"/>
      <c r="AK437" s="1106"/>
      <c r="AL437" s="1106"/>
      <c r="AM437" s="1106"/>
      <c r="AN437" s="1106"/>
      <c r="AO437" s="1106"/>
      <c r="AP437" s="1106"/>
      <c r="AQ437" s="1106"/>
      <c r="AR437" s="1106"/>
      <c r="AS437" s="1106"/>
      <c r="AT437" s="1106"/>
      <c r="AU437" s="1106"/>
      <c r="AV437" s="1106"/>
      <c r="AW437" s="1106"/>
      <c r="AX437" s="1106"/>
    </row>
    <row r="438">
      <c r="T438" s="1102"/>
      <c r="U438" s="1104"/>
      <c r="V438" s="1104"/>
      <c r="W438" s="1104"/>
      <c r="X438" s="1104"/>
      <c r="Y438" s="1104"/>
      <c r="Z438" s="1104"/>
      <c r="AA438" s="1104"/>
      <c r="AB438" s="1104"/>
      <c r="AC438" s="1104"/>
      <c r="AD438" s="1104"/>
      <c r="AE438" s="1104"/>
      <c r="AF438" s="1104"/>
      <c r="AG438" s="1106"/>
      <c r="AH438" s="1106"/>
      <c r="AI438" s="1106"/>
      <c r="AJ438" s="1106"/>
      <c r="AK438" s="1106"/>
      <c r="AL438" s="1106"/>
      <c r="AM438" s="1106"/>
      <c r="AN438" s="1106"/>
      <c r="AO438" s="1106"/>
      <c r="AP438" s="1106"/>
      <c r="AQ438" s="1106"/>
      <c r="AR438" s="1106"/>
      <c r="AS438" s="1106"/>
      <c r="AT438" s="1106"/>
      <c r="AU438" s="1106"/>
      <c r="AV438" s="1106"/>
      <c r="AW438" s="1106"/>
      <c r="AX438" s="1106"/>
    </row>
    <row r="439">
      <c r="T439" s="1102"/>
      <c r="U439" s="1104"/>
      <c r="V439" s="1104"/>
      <c r="W439" s="1104"/>
      <c r="X439" s="1104"/>
      <c r="Y439" s="1104"/>
      <c r="Z439" s="1104"/>
      <c r="AA439" s="1104"/>
      <c r="AB439" s="1104"/>
      <c r="AC439" s="1104"/>
      <c r="AD439" s="1104"/>
      <c r="AE439" s="1104"/>
      <c r="AF439" s="1104"/>
      <c r="AG439" s="1106"/>
      <c r="AH439" s="1106"/>
      <c r="AI439" s="1106"/>
      <c r="AJ439" s="1106"/>
      <c r="AK439" s="1106"/>
      <c r="AL439" s="1106"/>
      <c r="AM439" s="1106"/>
      <c r="AN439" s="1106"/>
      <c r="AO439" s="1106"/>
      <c r="AP439" s="1106"/>
      <c r="AQ439" s="1106"/>
      <c r="AR439" s="1106"/>
      <c r="AS439" s="1106"/>
      <c r="AT439" s="1106"/>
      <c r="AU439" s="1106"/>
      <c r="AV439" s="1106"/>
      <c r="AW439" s="1106"/>
      <c r="AX439" s="1106"/>
    </row>
    <row r="440">
      <c r="T440" s="1102"/>
      <c r="U440" s="1104"/>
      <c r="V440" s="1104"/>
      <c r="W440" s="1104"/>
      <c r="X440" s="1104"/>
      <c r="Y440" s="1104"/>
      <c r="Z440" s="1104"/>
      <c r="AA440" s="1104"/>
      <c r="AB440" s="1104"/>
      <c r="AC440" s="1104"/>
      <c r="AD440" s="1104"/>
      <c r="AE440" s="1104"/>
      <c r="AF440" s="1104"/>
      <c r="AG440" s="1106"/>
      <c r="AH440" s="1106"/>
      <c r="AI440" s="1106"/>
      <c r="AJ440" s="1106"/>
      <c r="AK440" s="1106"/>
      <c r="AL440" s="1106"/>
      <c r="AM440" s="1106"/>
      <c r="AN440" s="1106"/>
      <c r="AO440" s="1106"/>
      <c r="AP440" s="1106"/>
      <c r="AQ440" s="1106"/>
      <c r="AR440" s="1106"/>
      <c r="AS440" s="1106"/>
      <c r="AT440" s="1106"/>
      <c r="AU440" s="1106"/>
      <c r="AV440" s="1106"/>
      <c r="AW440" s="1106"/>
      <c r="AX440" s="1106"/>
    </row>
    <row r="441">
      <c r="T441" s="1102"/>
      <c r="U441" s="1104"/>
      <c r="V441" s="1104"/>
      <c r="W441" s="1104"/>
      <c r="X441" s="1104"/>
      <c r="Y441" s="1104"/>
      <c r="Z441" s="1104"/>
      <c r="AA441" s="1104"/>
      <c r="AB441" s="1104"/>
      <c r="AC441" s="1104"/>
      <c r="AD441" s="1104"/>
      <c r="AE441" s="1104"/>
      <c r="AF441" s="1104"/>
      <c r="AG441" s="1106"/>
      <c r="AH441" s="1106"/>
      <c r="AI441" s="1106"/>
      <c r="AJ441" s="1106"/>
      <c r="AK441" s="1106"/>
      <c r="AL441" s="1106"/>
      <c r="AM441" s="1106"/>
      <c r="AN441" s="1106"/>
      <c r="AO441" s="1106"/>
      <c r="AP441" s="1106"/>
      <c r="AQ441" s="1106"/>
      <c r="AR441" s="1106"/>
      <c r="AS441" s="1106"/>
      <c r="AT441" s="1106"/>
      <c r="AU441" s="1106"/>
      <c r="AV441" s="1106"/>
      <c r="AW441" s="1106"/>
      <c r="AX441" s="1106"/>
    </row>
    <row r="442">
      <c r="T442" s="1102"/>
      <c r="U442" s="1104"/>
      <c r="V442" s="1104"/>
      <c r="W442" s="1104"/>
      <c r="X442" s="1104"/>
      <c r="Y442" s="1104"/>
      <c r="Z442" s="1104"/>
      <c r="AA442" s="1104"/>
      <c r="AB442" s="1104"/>
      <c r="AC442" s="1104"/>
      <c r="AD442" s="1104"/>
      <c r="AE442" s="1104"/>
      <c r="AF442" s="1104"/>
      <c r="AG442" s="1106"/>
      <c r="AH442" s="1106"/>
      <c r="AI442" s="1106"/>
      <c r="AJ442" s="1106"/>
      <c r="AK442" s="1106"/>
      <c r="AL442" s="1106"/>
      <c r="AM442" s="1106"/>
      <c r="AN442" s="1106"/>
      <c r="AO442" s="1106"/>
      <c r="AP442" s="1106"/>
      <c r="AQ442" s="1106"/>
      <c r="AR442" s="1106"/>
      <c r="AS442" s="1106"/>
      <c r="AT442" s="1106"/>
      <c r="AU442" s="1106"/>
      <c r="AV442" s="1106"/>
      <c r="AW442" s="1106"/>
      <c r="AX442" s="1106"/>
    </row>
    <row r="443">
      <c r="T443" s="1102"/>
      <c r="U443" s="1104"/>
      <c r="V443" s="1104"/>
      <c r="W443" s="1104"/>
      <c r="X443" s="1104"/>
      <c r="Y443" s="1104"/>
      <c r="Z443" s="1104"/>
      <c r="AA443" s="1104"/>
      <c r="AB443" s="1104"/>
      <c r="AC443" s="1104"/>
      <c r="AD443" s="1104"/>
      <c r="AE443" s="1104"/>
      <c r="AF443" s="1104"/>
      <c r="AG443" s="1106"/>
      <c r="AH443" s="1106"/>
      <c r="AI443" s="1106"/>
      <c r="AJ443" s="1106"/>
      <c r="AK443" s="1106"/>
      <c r="AL443" s="1106"/>
      <c r="AM443" s="1106"/>
      <c r="AN443" s="1106"/>
      <c r="AO443" s="1106"/>
      <c r="AP443" s="1106"/>
      <c r="AQ443" s="1106"/>
      <c r="AR443" s="1106"/>
      <c r="AS443" s="1106"/>
      <c r="AT443" s="1106"/>
      <c r="AU443" s="1106"/>
      <c r="AV443" s="1106"/>
      <c r="AW443" s="1106"/>
      <c r="AX443" s="1106"/>
    </row>
    <row r="444">
      <c r="T444" s="1102"/>
      <c r="U444" s="1104"/>
      <c r="V444" s="1104"/>
      <c r="W444" s="1104"/>
      <c r="X444" s="1104"/>
      <c r="Y444" s="1104"/>
      <c r="Z444" s="1104"/>
      <c r="AA444" s="1104"/>
      <c r="AB444" s="1104"/>
      <c r="AC444" s="1104"/>
      <c r="AD444" s="1104"/>
      <c r="AE444" s="1104"/>
      <c r="AF444" s="1104"/>
      <c r="AG444" s="1106"/>
      <c r="AH444" s="1106"/>
      <c r="AI444" s="1106"/>
      <c r="AJ444" s="1106"/>
      <c r="AK444" s="1106"/>
      <c r="AL444" s="1106"/>
      <c r="AM444" s="1106"/>
      <c r="AN444" s="1106"/>
      <c r="AO444" s="1106"/>
      <c r="AP444" s="1106"/>
      <c r="AQ444" s="1106"/>
      <c r="AR444" s="1106"/>
      <c r="AS444" s="1106"/>
      <c r="AT444" s="1106"/>
      <c r="AU444" s="1106"/>
      <c r="AV444" s="1106"/>
      <c r="AW444" s="1106"/>
      <c r="AX444" s="1106"/>
    </row>
    <row r="445">
      <c r="T445" s="1102"/>
      <c r="U445" s="1104"/>
      <c r="V445" s="1104"/>
      <c r="W445" s="1104"/>
      <c r="X445" s="1104"/>
      <c r="Y445" s="1104"/>
      <c r="Z445" s="1104"/>
      <c r="AA445" s="1104"/>
      <c r="AB445" s="1104"/>
      <c r="AC445" s="1104"/>
      <c r="AD445" s="1104"/>
      <c r="AE445" s="1104"/>
      <c r="AF445" s="1104"/>
      <c r="AG445" s="1106"/>
      <c r="AH445" s="1106"/>
      <c r="AI445" s="1106"/>
      <c r="AJ445" s="1106"/>
      <c r="AK445" s="1106"/>
      <c r="AL445" s="1106"/>
      <c r="AM445" s="1106"/>
      <c r="AN445" s="1106"/>
      <c r="AO445" s="1106"/>
      <c r="AP445" s="1106"/>
      <c r="AQ445" s="1106"/>
      <c r="AR445" s="1106"/>
      <c r="AS445" s="1106"/>
      <c r="AT445" s="1106"/>
      <c r="AU445" s="1106"/>
      <c r="AV445" s="1106"/>
      <c r="AW445" s="1106"/>
      <c r="AX445" s="1106"/>
    </row>
    <row r="446">
      <c r="T446" s="1102"/>
      <c r="U446" s="1104"/>
      <c r="V446" s="1104"/>
      <c r="W446" s="1104"/>
      <c r="X446" s="1104"/>
      <c r="Y446" s="1104"/>
      <c r="Z446" s="1104"/>
      <c r="AA446" s="1104"/>
      <c r="AB446" s="1104"/>
      <c r="AC446" s="1104"/>
      <c r="AD446" s="1104"/>
      <c r="AE446" s="1104"/>
      <c r="AF446" s="1104"/>
      <c r="AG446" s="1106"/>
      <c r="AH446" s="1106"/>
      <c r="AI446" s="1106"/>
      <c r="AJ446" s="1106"/>
      <c r="AK446" s="1106"/>
      <c r="AL446" s="1106"/>
      <c r="AM446" s="1106"/>
      <c r="AN446" s="1106"/>
      <c r="AO446" s="1106"/>
      <c r="AP446" s="1106"/>
      <c r="AQ446" s="1106"/>
      <c r="AR446" s="1106"/>
      <c r="AS446" s="1106"/>
      <c r="AT446" s="1106"/>
      <c r="AU446" s="1106"/>
      <c r="AV446" s="1106"/>
      <c r="AW446" s="1106"/>
      <c r="AX446" s="1106"/>
    </row>
    <row r="447">
      <c r="T447" s="1102"/>
      <c r="U447" s="1104"/>
      <c r="V447" s="1104"/>
      <c r="W447" s="1104"/>
      <c r="X447" s="1104"/>
      <c r="Y447" s="1104"/>
      <c r="Z447" s="1104"/>
      <c r="AA447" s="1104"/>
      <c r="AB447" s="1104"/>
      <c r="AC447" s="1104"/>
      <c r="AD447" s="1104"/>
      <c r="AE447" s="1104"/>
      <c r="AF447" s="1104"/>
      <c r="AG447" s="1106"/>
      <c r="AH447" s="1106"/>
      <c r="AI447" s="1106"/>
      <c r="AJ447" s="1106"/>
      <c r="AK447" s="1106"/>
      <c r="AL447" s="1106"/>
      <c r="AM447" s="1106"/>
      <c r="AN447" s="1106"/>
      <c r="AO447" s="1106"/>
      <c r="AP447" s="1106"/>
      <c r="AQ447" s="1106"/>
      <c r="AR447" s="1106"/>
      <c r="AS447" s="1106"/>
      <c r="AT447" s="1106"/>
      <c r="AU447" s="1106"/>
      <c r="AV447" s="1106"/>
      <c r="AW447" s="1106"/>
      <c r="AX447" s="1106"/>
    </row>
    <row r="448">
      <c r="T448" s="1102"/>
      <c r="U448" s="1104"/>
      <c r="V448" s="1104"/>
      <c r="W448" s="1104"/>
      <c r="X448" s="1104"/>
      <c r="Y448" s="1104"/>
      <c r="Z448" s="1104"/>
      <c r="AA448" s="1104"/>
      <c r="AB448" s="1104"/>
      <c r="AC448" s="1104"/>
      <c r="AD448" s="1104"/>
      <c r="AE448" s="1104"/>
      <c r="AF448" s="1104"/>
      <c r="AG448" s="1106"/>
      <c r="AH448" s="1106"/>
      <c r="AI448" s="1106"/>
      <c r="AJ448" s="1106"/>
      <c r="AK448" s="1106"/>
      <c r="AL448" s="1106"/>
      <c r="AM448" s="1106"/>
      <c r="AN448" s="1106"/>
      <c r="AO448" s="1106"/>
      <c r="AP448" s="1106"/>
      <c r="AQ448" s="1106"/>
      <c r="AR448" s="1106"/>
      <c r="AS448" s="1106"/>
      <c r="AT448" s="1106"/>
      <c r="AU448" s="1106"/>
      <c r="AV448" s="1106"/>
      <c r="AW448" s="1106"/>
      <c r="AX448" s="1106"/>
    </row>
    <row r="449">
      <c r="T449" s="1102"/>
      <c r="U449" s="1104"/>
      <c r="V449" s="1104"/>
      <c r="W449" s="1104"/>
      <c r="X449" s="1104"/>
      <c r="Y449" s="1104"/>
      <c r="Z449" s="1104"/>
      <c r="AA449" s="1104"/>
      <c r="AB449" s="1104"/>
      <c r="AC449" s="1104"/>
      <c r="AD449" s="1104"/>
      <c r="AE449" s="1104"/>
      <c r="AF449" s="1104"/>
      <c r="AG449" s="1106"/>
      <c r="AH449" s="1106"/>
      <c r="AI449" s="1106"/>
      <c r="AJ449" s="1106"/>
      <c r="AK449" s="1106"/>
      <c r="AL449" s="1106"/>
      <c r="AM449" s="1106"/>
      <c r="AN449" s="1106"/>
      <c r="AO449" s="1106"/>
      <c r="AP449" s="1106"/>
      <c r="AQ449" s="1106"/>
      <c r="AR449" s="1106"/>
      <c r="AS449" s="1106"/>
      <c r="AT449" s="1106"/>
      <c r="AU449" s="1106"/>
      <c r="AV449" s="1106"/>
      <c r="AW449" s="1106"/>
      <c r="AX449" s="1106"/>
    </row>
    <row r="450">
      <c r="T450" s="1102"/>
      <c r="U450" s="1104"/>
      <c r="V450" s="1104"/>
      <c r="W450" s="1104"/>
      <c r="X450" s="1104"/>
      <c r="Y450" s="1104"/>
      <c r="Z450" s="1104"/>
      <c r="AA450" s="1104"/>
      <c r="AB450" s="1104"/>
      <c r="AC450" s="1104"/>
      <c r="AD450" s="1104"/>
      <c r="AE450" s="1104"/>
      <c r="AF450" s="1104"/>
      <c r="AG450" s="1106"/>
      <c r="AH450" s="1106"/>
      <c r="AI450" s="1106"/>
      <c r="AJ450" s="1106"/>
      <c r="AK450" s="1106"/>
      <c r="AL450" s="1106"/>
      <c r="AM450" s="1106"/>
      <c r="AN450" s="1106"/>
      <c r="AO450" s="1106"/>
      <c r="AP450" s="1106"/>
      <c r="AQ450" s="1106"/>
      <c r="AR450" s="1106"/>
      <c r="AS450" s="1106"/>
      <c r="AT450" s="1106"/>
      <c r="AU450" s="1106"/>
      <c r="AV450" s="1106"/>
      <c r="AW450" s="1106"/>
      <c r="AX450" s="1106"/>
    </row>
    <row r="451">
      <c r="T451" s="1102"/>
      <c r="U451" s="1104"/>
      <c r="V451" s="1104"/>
      <c r="W451" s="1104"/>
      <c r="X451" s="1104"/>
      <c r="Y451" s="1104"/>
      <c r="Z451" s="1104"/>
      <c r="AA451" s="1104"/>
      <c r="AB451" s="1104"/>
      <c r="AC451" s="1104"/>
      <c r="AD451" s="1104"/>
      <c r="AE451" s="1104"/>
      <c r="AF451" s="1104"/>
      <c r="AG451" s="1106"/>
      <c r="AH451" s="1106"/>
      <c r="AI451" s="1106"/>
      <c r="AJ451" s="1106"/>
      <c r="AK451" s="1106"/>
      <c r="AL451" s="1106"/>
      <c r="AM451" s="1106"/>
      <c r="AN451" s="1106"/>
      <c r="AO451" s="1106"/>
      <c r="AP451" s="1106"/>
      <c r="AQ451" s="1106"/>
      <c r="AR451" s="1106"/>
      <c r="AS451" s="1106"/>
      <c r="AT451" s="1106"/>
      <c r="AU451" s="1106"/>
      <c r="AV451" s="1106"/>
      <c r="AW451" s="1106"/>
      <c r="AX451" s="1106"/>
    </row>
    <row r="452">
      <c r="T452" s="1102"/>
      <c r="U452" s="1104"/>
      <c r="V452" s="1104"/>
      <c r="W452" s="1104"/>
      <c r="X452" s="1104"/>
      <c r="Y452" s="1104"/>
      <c r="Z452" s="1104"/>
      <c r="AA452" s="1104"/>
      <c r="AB452" s="1104"/>
      <c r="AC452" s="1104"/>
      <c r="AD452" s="1104"/>
      <c r="AE452" s="1104"/>
      <c r="AF452" s="1104"/>
      <c r="AG452" s="1106"/>
      <c r="AH452" s="1106"/>
      <c r="AI452" s="1106"/>
      <c r="AJ452" s="1106"/>
      <c r="AK452" s="1106"/>
      <c r="AL452" s="1106"/>
      <c r="AM452" s="1106"/>
      <c r="AN452" s="1106"/>
      <c r="AO452" s="1106"/>
      <c r="AP452" s="1106"/>
      <c r="AQ452" s="1106"/>
      <c r="AR452" s="1106"/>
      <c r="AS452" s="1106"/>
      <c r="AT452" s="1106"/>
      <c r="AU452" s="1106"/>
      <c r="AV452" s="1106"/>
      <c r="AW452" s="1106"/>
      <c r="AX452" s="1106"/>
    </row>
    <row r="453">
      <c r="T453" s="1102"/>
      <c r="U453" s="1104"/>
      <c r="V453" s="1104"/>
      <c r="W453" s="1104"/>
      <c r="X453" s="1104"/>
      <c r="Y453" s="1104"/>
      <c r="Z453" s="1104"/>
      <c r="AA453" s="1104"/>
      <c r="AB453" s="1104"/>
      <c r="AC453" s="1104"/>
      <c r="AD453" s="1104"/>
      <c r="AE453" s="1104"/>
      <c r="AF453" s="1104"/>
      <c r="AG453" s="1106"/>
      <c r="AH453" s="1106"/>
      <c r="AI453" s="1106"/>
      <c r="AJ453" s="1106"/>
      <c r="AK453" s="1106"/>
      <c r="AL453" s="1106"/>
      <c r="AM453" s="1106"/>
      <c r="AN453" s="1106"/>
      <c r="AO453" s="1106"/>
      <c r="AP453" s="1106"/>
      <c r="AQ453" s="1106"/>
      <c r="AR453" s="1106"/>
      <c r="AS453" s="1106"/>
      <c r="AT453" s="1106"/>
      <c r="AU453" s="1106"/>
      <c r="AV453" s="1106"/>
      <c r="AW453" s="1106"/>
      <c r="AX453" s="1106"/>
    </row>
    <row r="454">
      <c r="T454" s="1102"/>
      <c r="U454" s="1104"/>
      <c r="V454" s="1104"/>
      <c r="W454" s="1104"/>
      <c r="X454" s="1104"/>
      <c r="Y454" s="1104"/>
      <c r="Z454" s="1104"/>
      <c r="AA454" s="1104"/>
      <c r="AB454" s="1104"/>
      <c r="AC454" s="1104"/>
      <c r="AD454" s="1104"/>
      <c r="AE454" s="1104"/>
      <c r="AF454" s="1104"/>
      <c r="AG454" s="1106"/>
      <c r="AH454" s="1106"/>
      <c r="AI454" s="1106"/>
      <c r="AJ454" s="1106"/>
      <c r="AK454" s="1106"/>
      <c r="AL454" s="1106"/>
      <c r="AM454" s="1106"/>
      <c r="AN454" s="1106"/>
      <c r="AO454" s="1106"/>
      <c r="AP454" s="1106"/>
      <c r="AQ454" s="1106"/>
      <c r="AR454" s="1106"/>
      <c r="AS454" s="1106"/>
      <c r="AT454" s="1106"/>
      <c r="AU454" s="1106"/>
      <c r="AV454" s="1106"/>
      <c r="AW454" s="1106"/>
      <c r="AX454" s="1106"/>
    </row>
    <row r="455">
      <c r="T455" s="1102"/>
      <c r="U455" s="1104"/>
      <c r="V455" s="1104"/>
      <c r="W455" s="1104"/>
      <c r="X455" s="1104"/>
      <c r="Y455" s="1104"/>
      <c r="Z455" s="1104"/>
      <c r="AA455" s="1104"/>
      <c r="AB455" s="1104"/>
      <c r="AC455" s="1104"/>
      <c r="AD455" s="1104"/>
      <c r="AE455" s="1104"/>
      <c r="AF455" s="1104"/>
      <c r="AG455" s="1106"/>
      <c r="AH455" s="1106"/>
      <c r="AI455" s="1106"/>
      <c r="AJ455" s="1106"/>
      <c r="AK455" s="1106"/>
      <c r="AL455" s="1106"/>
      <c r="AM455" s="1106"/>
      <c r="AN455" s="1106"/>
      <c r="AO455" s="1106"/>
      <c r="AP455" s="1106"/>
      <c r="AQ455" s="1106"/>
      <c r="AR455" s="1106"/>
      <c r="AS455" s="1106"/>
      <c r="AT455" s="1106"/>
      <c r="AU455" s="1106"/>
      <c r="AV455" s="1106"/>
      <c r="AW455" s="1106"/>
      <c r="AX455" s="1106"/>
    </row>
    <row r="456">
      <c r="T456" s="1102"/>
      <c r="U456" s="1104"/>
      <c r="V456" s="1104"/>
      <c r="W456" s="1104"/>
      <c r="X456" s="1104"/>
      <c r="Y456" s="1104"/>
      <c r="Z456" s="1104"/>
      <c r="AA456" s="1104"/>
      <c r="AB456" s="1104"/>
      <c r="AC456" s="1104"/>
      <c r="AD456" s="1104"/>
      <c r="AE456" s="1104"/>
      <c r="AF456" s="1104"/>
      <c r="AG456" s="1106"/>
      <c r="AH456" s="1106"/>
      <c r="AI456" s="1106"/>
      <c r="AJ456" s="1106"/>
      <c r="AK456" s="1106"/>
      <c r="AL456" s="1106"/>
      <c r="AM456" s="1106"/>
      <c r="AN456" s="1106"/>
      <c r="AO456" s="1106"/>
      <c r="AP456" s="1106"/>
      <c r="AQ456" s="1106"/>
      <c r="AR456" s="1106"/>
      <c r="AS456" s="1106"/>
      <c r="AT456" s="1106"/>
      <c r="AU456" s="1106"/>
      <c r="AV456" s="1106"/>
      <c r="AW456" s="1106"/>
      <c r="AX456" s="1106"/>
    </row>
    <row r="457">
      <c r="T457" s="1102"/>
      <c r="U457" s="1104"/>
      <c r="V457" s="1104"/>
      <c r="W457" s="1104"/>
      <c r="X457" s="1104"/>
      <c r="Y457" s="1104"/>
      <c r="Z457" s="1104"/>
      <c r="AA457" s="1104"/>
      <c r="AB457" s="1104"/>
      <c r="AC457" s="1104"/>
      <c r="AD457" s="1104"/>
      <c r="AE457" s="1104"/>
      <c r="AF457" s="1104"/>
      <c r="AG457" s="1106"/>
      <c r="AH457" s="1106"/>
      <c r="AI457" s="1106"/>
      <c r="AJ457" s="1106"/>
      <c r="AK457" s="1106"/>
      <c r="AL457" s="1106"/>
      <c r="AM457" s="1106"/>
      <c r="AN457" s="1106"/>
      <c r="AO457" s="1106"/>
      <c r="AP457" s="1106"/>
      <c r="AQ457" s="1106"/>
      <c r="AR457" s="1106"/>
      <c r="AS457" s="1106"/>
      <c r="AT457" s="1106"/>
      <c r="AU457" s="1106"/>
      <c r="AV457" s="1106"/>
      <c r="AW457" s="1106"/>
      <c r="AX457" s="1106"/>
    </row>
    <row r="458">
      <c r="T458" s="1102"/>
      <c r="U458" s="1104"/>
      <c r="V458" s="1104"/>
      <c r="W458" s="1104"/>
      <c r="X458" s="1104"/>
      <c r="Y458" s="1104"/>
      <c r="Z458" s="1104"/>
      <c r="AA458" s="1104"/>
      <c r="AB458" s="1104"/>
      <c r="AC458" s="1104"/>
      <c r="AD458" s="1104"/>
      <c r="AE458" s="1104"/>
      <c r="AF458" s="1104"/>
      <c r="AG458" s="1106"/>
      <c r="AH458" s="1106"/>
      <c r="AI458" s="1106"/>
      <c r="AJ458" s="1106"/>
      <c r="AK458" s="1106"/>
      <c r="AL458" s="1106"/>
      <c r="AM458" s="1106"/>
      <c r="AN458" s="1106"/>
      <c r="AO458" s="1106"/>
      <c r="AP458" s="1106"/>
      <c r="AQ458" s="1106"/>
      <c r="AR458" s="1106"/>
      <c r="AS458" s="1106"/>
      <c r="AT458" s="1106"/>
      <c r="AU458" s="1106"/>
      <c r="AV458" s="1106"/>
      <c r="AW458" s="1106"/>
      <c r="AX458" s="1106"/>
    </row>
    <row r="459">
      <c r="T459" s="1102"/>
      <c r="U459" s="1104"/>
      <c r="V459" s="1104"/>
      <c r="W459" s="1104"/>
      <c r="X459" s="1104"/>
      <c r="Y459" s="1104"/>
      <c r="Z459" s="1104"/>
      <c r="AA459" s="1104"/>
      <c r="AB459" s="1104"/>
      <c r="AC459" s="1104"/>
      <c r="AD459" s="1104"/>
      <c r="AE459" s="1104"/>
      <c r="AF459" s="1104"/>
      <c r="AG459" s="1106"/>
      <c r="AH459" s="1106"/>
      <c r="AI459" s="1106"/>
      <c r="AJ459" s="1106"/>
      <c r="AK459" s="1106"/>
      <c r="AL459" s="1106"/>
      <c r="AM459" s="1106"/>
      <c r="AN459" s="1106"/>
      <c r="AO459" s="1106"/>
      <c r="AP459" s="1106"/>
      <c r="AQ459" s="1106"/>
      <c r="AR459" s="1106"/>
      <c r="AS459" s="1106"/>
      <c r="AT459" s="1106"/>
      <c r="AU459" s="1106"/>
      <c r="AV459" s="1106"/>
      <c r="AW459" s="1106"/>
      <c r="AX459" s="1106"/>
    </row>
    <row r="460">
      <c r="T460" s="1102"/>
      <c r="U460" s="1104"/>
      <c r="V460" s="1104"/>
      <c r="W460" s="1104"/>
      <c r="X460" s="1104"/>
      <c r="Y460" s="1104"/>
      <c r="Z460" s="1104"/>
      <c r="AA460" s="1104"/>
      <c r="AB460" s="1104"/>
      <c r="AC460" s="1104"/>
      <c r="AD460" s="1104"/>
      <c r="AE460" s="1104"/>
      <c r="AF460" s="1104"/>
      <c r="AG460" s="1106"/>
      <c r="AH460" s="1106"/>
      <c r="AI460" s="1106"/>
      <c r="AJ460" s="1106"/>
      <c r="AK460" s="1106"/>
      <c r="AL460" s="1106"/>
      <c r="AM460" s="1106"/>
      <c r="AN460" s="1106"/>
      <c r="AO460" s="1106"/>
      <c r="AP460" s="1106"/>
      <c r="AQ460" s="1106"/>
      <c r="AR460" s="1106"/>
      <c r="AS460" s="1106"/>
      <c r="AT460" s="1106"/>
      <c r="AU460" s="1106"/>
      <c r="AV460" s="1106"/>
      <c r="AW460" s="1106"/>
      <c r="AX460" s="1106"/>
    </row>
    <row r="461">
      <c r="T461" s="1102"/>
      <c r="U461" s="1104"/>
      <c r="V461" s="1104"/>
      <c r="W461" s="1104"/>
      <c r="X461" s="1104"/>
      <c r="Y461" s="1104"/>
      <c r="Z461" s="1104"/>
      <c r="AA461" s="1104"/>
      <c r="AB461" s="1104"/>
      <c r="AC461" s="1104"/>
      <c r="AD461" s="1104"/>
      <c r="AE461" s="1104"/>
      <c r="AF461" s="1104"/>
      <c r="AG461" s="1106"/>
      <c r="AH461" s="1106"/>
      <c r="AI461" s="1106"/>
      <c r="AJ461" s="1106"/>
      <c r="AK461" s="1106"/>
      <c r="AL461" s="1106"/>
      <c r="AM461" s="1106"/>
      <c r="AN461" s="1106"/>
      <c r="AO461" s="1106"/>
      <c r="AP461" s="1106"/>
      <c r="AQ461" s="1106"/>
      <c r="AR461" s="1106"/>
      <c r="AS461" s="1106"/>
      <c r="AT461" s="1106"/>
      <c r="AU461" s="1106"/>
      <c r="AV461" s="1106"/>
      <c r="AW461" s="1106"/>
      <c r="AX461" s="1106"/>
    </row>
    <row r="462">
      <c r="T462" s="1102"/>
      <c r="U462" s="1104"/>
      <c r="V462" s="1104"/>
      <c r="W462" s="1104"/>
      <c r="X462" s="1104"/>
      <c r="Y462" s="1104"/>
      <c r="Z462" s="1104"/>
      <c r="AA462" s="1104"/>
      <c r="AB462" s="1104"/>
      <c r="AC462" s="1104"/>
      <c r="AD462" s="1104"/>
      <c r="AE462" s="1104"/>
      <c r="AF462" s="1104"/>
      <c r="AG462" s="1106"/>
      <c r="AH462" s="1106"/>
      <c r="AI462" s="1106"/>
      <c r="AJ462" s="1106"/>
      <c r="AK462" s="1106"/>
      <c r="AL462" s="1106"/>
      <c r="AM462" s="1106"/>
      <c r="AN462" s="1106"/>
      <c r="AO462" s="1106"/>
      <c r="AP462" s="1106"/>
      <c r="AQ462" s="1106"/>
      <c r="AR462" s="1106"/>
      <c r="AS462" s="1106"/>
      <c r="AT462" s="1106"/>
      <c r="AU462" s="1106"/>
      <c r="AV462" s="1106"/>
      <c r="AW462" s="1106"/>
      <c r="AX462" s="1106"/>
    </row>
    <row r="463">
      <c r="T463" s="1102"/>
      <c r="U463" s="1104"/>
      <c r="V463" s="1104"/>
      <c r="W463" s="1104"/>
      <c r="X463" s="1104"/>
      <c r="Y463" s="1104"/>
      <c r="Z463" s="1104"/>
      <c r="AA463" s="1104"/>
      <c r="AB463" s="1104"/>
      <c r="AC463" s="1104"/>
      <c r="AD463" s="1104"/>
      <c r="AE463" s="1104"/>
      <c r="AF463" s="1104"/>
      <c r="AG463" s="1106"/>
      <c r="AH463" s="1106"/>
      <c r="AI463" s="1106"/>
      <c r="AJ463" s="1106"/>
      <c r="AK463" s="1106"/>
      <c r="AL463" s="1106"/>
      <c r="AM463" s="1106"/>
      <c r="AN463" s="1106"/>
      <c r="AO463" s="1106"/>
      <c r="AP463" s="1106"/>
      <c r="AQ463" s="1106"/>
      <c r="AR463" s="1106"/>
      <c r="AS463" s="1106"/>
      <c r="AT463" s="1106"/>
      <c r="AU463" s="1106"/>
      <c r="AV463" s="1106"/>
      <c r="AW463" s="1106"/>
      <c r="AX463" s="1106"/>
    </row>
    <row r="464">
      <c r="T464" s="1102"/>
      <c r="U464" s="1104"/>
      <c r="V464" s="1104"/>
      <c r="W464" s="1104"/>
      <c r="X464" s="1104"/>
      <c r="Y464" s="1104"/>
      <c r="Z464" s="1104"/>
      <c r="AA464" s="1104"/>
      <c r="AB464" s="1104"/>
      <c r="AC464" s="1104"/>
      <c r="AD464" s="1104"/>
      <c r="AE464" s="1104"/>
      <c r="AF464" s="1104"/>
      <c r="AG464" s="1106"/>
      <c r="AH464" s="1106"/>
      <c r="AI464" s="1106"/>
      <c r="AJ464" s="1106"/>
      <c r="AK464" s="1106"/>
      <c r="AL464" s="1106"/>
      <c r="AM464" s="1106"/>
      <c r="AN464" s="1106"/>
      <c r="AO464" s="1106"/>
      <c r="AP464" s="1106"/>
      <c r="AQ464" s="1106"/>
      <c r="AR464" s="1106"/>
      <c r="AS464" s="1106"/>
      <c r="AT464" s="1106"/>
      <c r="AU464" s="1106"/>
      <c r="AV464" s="1106"/>
      <c r="AW464" s="1106"/>
      <c r="AX464" s="1106"/>
    </row>
    <row r="465">
      <c r="T465" s="1102"/>
      <c r="U465" s="1104"/>
      <c r="V465" s="1104"/>
      <c r="W465" s="1104"/>
      <c r="X465" s="1104"/>
      <c r="Y465" s="1104"/>
      <c r="Z465" s="1104"/>
      <c r="AA465" s="1104"/>
      <c r="AB465" s="1104"/>
      <c r="AC465" s="1104"/>
      <c r="AD465" s="1104"/>
      <c r="AE465" s="1104"/>
      <c r="AF465" s="1104"/>
      <c r="AG465" s="1106"/>
      <c r="AH465" s="1106"/>
      <c r="AI465" s="1106"/>
      <c r="AJ465" s="1106"/>
      <c r="AK465" s="1106"/>
      <c r="AL465" s="1106"/>
      <c r="AM465" s="1106"/>
      <c r="AN465" s="1106"/>
      <c r="AO465" s="1106"/>
      <c r="AP465" s="1106"/>
      <c r="AQ465" s="1106"/>
      <c r="AR465" s="1106"/>
      <c r="AS465" s="1106"/>
      <c r="AT465" s="1106"/>
      <c r="AU465" s="1106"/>
      <c r="AV465" s="1106"/>
      <c r="AW465" s="1106"/>
      <c r="AX465" s="1106"/>
    </row>
    <row r="466">
      <c r="T466" s="1102"/>
      <c r="U466" s="1104"/>
      <c r="V466" s="1104"/>
      <c r="W466" s="1104"/>
      <c r="X466" s="1104"/>
      <c r="Y466" s="1104"/>
      <c r="Z466" s="1104"/>
      <c r="AA466" s="1104"/>
      <c r="AB466" s="1104"/>
      <c r="AC466" s="1104"/>
      <c r="AD466" s="1104"/>
      <c r="AE466" s="1104"/>
      <c r="AF466" s="1104"/>
      <c r="AG466" s="1106"/>
      <c r="AH466" s="1106"/>
      <c r="AI466" s="1106"/>
      <c r="AJ466" s="1106"/>
      <c r="AK466" s="1106"/>
      <c r="AL466" s="1106"/>
      <c r="AM466" s="1106"/>
      <c r="AN466" s="1106"/>
      <c r="AO466" s="1106"/>
      <c r="AP466" s="1106"/>
      <c r="AQ466" s="1106"/>
      <c r="AR466" s="1106"/>
      <c r="AS466" s="1106"/>
      <c r="AT466" s="1106"/>
      <c r="AU466" s="1106"/>
      <c r="AV466" s="1106"/>
      <c r="AW466" s="1106"/>
      <c r="AX466" s="1106"/>
    </row>
    <row r="467">
      <c r="T467" s="1102"/>
      <c r="U467" s="1104"/>
      <c r="V467" s="1104"/>
      <c r="W467" s="1104"/>
      <c r="X467" s="1104"/>
      <c r="Y467" s="1104"/>
      <c r="Z467" s="1104"/>
      <c r="AA467" s="1104"/>
      <c r="AB467" s="1104"/>
      <c r="AC467" s="1104"/>
      <c r="AD467" s="1104"/>
      <c r="AE467" s="1104"/>
      <c r="AF467" s="1104"/>
      <c r="AG467" s="1106"/>
      <c r="AH467" s="1106"/>
      <c r="AI467" s="1106"/>
      <c r="AJ467" s="1106"/>
      <c r="AK467" s="1106"/>
      <c r="AL467" s="1106"/>
      <c r="AM467" s="1106"/>
      <c r="AN467" s="1106"/>
      <c r="AO467" s="1106"/>
      <c r="AP467" s="1106"/>
      <c r="AQ467" s="1106"/>
      <c r="AR467" s="1106"/>
      <c r="AS467" s="1106"/>
      <c r="AT467" s="1106"/>
      <c r="AU467" s="1106"/>
      <c r="AV467" s="1106"/>
      <c r="AW467" s="1106"/>
      <c r="AX467" s="1106"/>
    </row>
    <row r="468">
      <c r="T468" s="1102"/>
      <c r="U468" s="1104"/>
      <c r="V468" s="1104"/>
      <c r="W468" s="1104"/>
      <c r="X468" s="1104"/>
      <c r="Y468" s="1104"/>
      <c r="Z468" s="1104"/>
      <c r="AA468" s="1104"/>
      <c r="AB468" s="1104"/>
      <c r="AC468" s="1104"/>
      <c r="AD468" s="1104"/>
      <c r="AE468" s="1104"/>
      <c r="AF468" s="1104"/>
      <c r="AG468" s="1106"/>
      <c r="AH468" s="1106"/>
      <c r="AI468" s="1106"/>
      <c r="AJ468" s="1106"/>
      <c r="AK468" s="1106"/>
      <c r="AL468" s="1106"/>
      <c r="AM468" s="1106"/>
      <c r="AN468" s="1106"/>
      <c r="AO468" s="1106"/>
      <c r="AP468" s="1106"/>
      <c r="AQ468" s="1106"/>
      <c r="AR468" s="1106"/>
      <c r="AS468" s="1106"/>
      <c r="AT468" s="1106"/>
      <c r="AU468" s="1106"/>
      <c r="AV468" s="1106"/>
      <c r="AW468" s="1106"/>
      <c r="AX468" s="1106"/>
    </row>
    <row r="469">
      <c r="T469" s="1102"/>
      <c r="U469" s="1104"/>
      <c r="V469" s="1104"/>
      <c r="W469" s="1104"/>
      <c r="X469" s="1104"/>
      <c r="Y469" s="1104"/>
      <c r="Z469" s="1104"/>
      <c r="AA469" s="1104"/>
      <c r="AB469" s="1104"/>
      <c r="AC469" s="1104"/>
      <c r="AD469" s="1104"/>
      <c r="AE469" s="1104"/>
      <c r="AF469" s="1104"/>
      <c r="AG469" s="1106"/>
      <c r="AH469" s="1106"/>
      <c r="AI469" s="1106"/>
      <c r="AJ469" s="1106"/>
      <c r="AK469" s="1106"/>
      <c r="AL469" s="1106"/>
      <c r="AM469" s="1106"/>
      <c r="AN469" s="1106"/>
      <c r="AO469" s="1106"/>
      <c r="AP469" s="1106"/>
      <c r="AQ469" s="1106"/>
      <c r="AR469" s="1106"/>
      <c r="AS469" s="1106"/>
      <c r="AT469" s="1106"/>
      <c r="AU469" s="1106"/>
      <c r="AV469" s="1106"/>
      <c r="AW469" s="1106"/>
      <c r="AX469" s="1106"/>
    </row>
    <row r="470">
      <c r="T470" s="1102"/>
      <c r="U470" s="1104"/>
      <c r="V470" s="1104"/>
      <c r="W470" s="1104"/>
      <c r="X470" s="1104"/>
      <c r="Y470" s="1104"/>
      <c r="Z470" s="1104"/>
      <c r="AA470" s="1104"/>
      <c r="AB470" s="1104"/>
      <c r="AC470" s="1104"/>
      <c r="AD470" s="1104"/>
      <c r="AE470" s="1104"/>
      <c r="AF470" s="1104"/>
      <c r="AG470" s="1106"/>
      <c r="AH470" s="1106"/>
      <c r="AI470" s="1106"/>
      <c r="AJ470" s="1106"/>
      <c r="AK470" s="1106"/>
      <c r="AL470" s="1106"/>
      <c r="AM470" s="1106"/>
      <c r="AN470" s="1106"/>
      <c r="AO470" s="1106"/>
      <c r="AP470" s="1106"/>
      <c r="AQ470" s="1106"/>
      <c r="AR470" s="1106"/>
      <c r="AS470" s="1106"/>
      <c r="AT470" s="1106"/>
      <c r="AU470" s="1106"/>
      <c r="AV470" s="1106"/>
      <c r="AW470" s="1106"/>
      <c r="AX470" s="1106"/>
    </row>
    <row r="471">
      <c r="T471" s="1102"/>
      <c r="U471" s="1104"/>
      <c r="V471" s="1104"/>
      <c r="W471" s="1104"/>
      <c r="X471" s="1104"/>
      <c r="Y471" s="1104"/>
      <c r="Z471" s="1104"/>
      <c r="AA471" s="1104"/>
      <c r="AB471" s="1104"/>
      <c r="AC471" s="1104"/>
      <c r="AD471" s="1104"/>
      <c r="AE471" s="1104"/>
      <c r="AF471" s="1104"/>
      <c r="AG471" s="1106"/>
      <c r="AH471" s="1106"/>
      <c r="AI471" s="1106"/>
      <c r="AJ471" s="1106"/>
      <c r="AK471" s="1106"/>
      <c r="AL471" s="1106"/>
      <c r="AM471" s="1106"/>
      <c r="AN471" s="1106"/>
      <c r="AO471" s="1106"/>
      <c r="AP471" s="1106"/>
      <c r="AQ471" s="1106"/>
      <c r="AR471" s="1106"/>
      <c r="AS471" s="1106"/>
      <c r="AT471" s="1106"/>
      <c r="AU471" s="1106"/>
      <c r="AV471" s="1106"/>
      <c r="AW471" s="1106"/>
      <c r="AX471" s="1106"/>
    </row>
    <row r="472">
      <c r="T472" s="1102"/>
      <c r="U472" s="1104"/>
      <c r="V472" s="1104"/>
      <c r="W472" s="1104"/>
      <c r="X472" s="1104"/>
      <c r="Y472" s="1104"/>
      <c r="Z472" s="1104"/>
      <c r="AA472" s="1104"/>
      <c r="AB472" s="1104"/>
      <c r="AC472" s="1104"/>
      <c r="AD472" s="1104"/>
      <c r="AE472" s="1104"/>
      <c r="AF472" s="1104"/>
      <c r="AG472" s="1106"/>
      <c r="AH472" s="1106"/>
      <c r="AI472" s="1106"/>
      <c r="AJ472" s="1106"/>
      <c r="AK472" s="1106"/>
      <c r="AL472" s="1106"/>
      <c r="AM472" s="1106"/>
      <c r="AN472" s="1106"/>
      <c r="AO472" s="1106"/>
      <c r="AP472" s="1106"/>
      <c r="AQ472" s="1106"/>
      <c r="AR472" s="1106"/>
      <c r="AS472" s="1106"/>
      <c r="AT472" s="1106"/>
      <c r="AU472" s="1106"/>
      <c r="AV472" s="1106"/>
      <c r="AW472" s="1106"/>
      <c r="AX472" s="1106"/>
    </row>
    <row r="473">
      <c r="T473" s="1102"/>
      <c r="U473" s="1104"/>
      <c r="V473" s="1104"/>
      <c r="W473" s="1104"/>
      <c r="X473" s="1104"/>
      <c r="Y473" s="1104"/>
      <c r="Z473" s="1104"/>
      <c r="AA473" s="1104"/>
      <c r="AB473" s="1104"/>
      <c r="AC473" s="1104"/>
      <c r="AD473" s="1104"/>
      <c r="AE473" s="1104"/>
      <c r="AF473" s="1104"/>
      <c r="AG473" s="1106"/>
      <c r="AH473" s="1106"/>
      <c r="AI473" s="1106"/>
      <c r="AJ473" s="1106"/>
      <c r="AK473" s="1106"/>
      <c r="AL473" s="1106"/>
      <c r="AM473" s="1106"/>
      <c r="AN473" s="1106"/>
      <c r="AO473" s="1106"/>
      <c r="AP473" s="1106"/>
      <c r="AQ473" s="1106"/>
      <c r="AR473" s="1106"/>
      <c r="AS473" s="1106"/>
      <c r="AT473" s="1106"/>
      <c r="AU473" s="1106"/>
      <c r="AV473" s="1106"/>
      <c r="AW473" s="1106"/>
      <c r="AX473" s="1106"/>
    </row>
    <row r="474">
      <c r="T474" s="1102"/>
      <c r="U474" s="1104"/>
      <c r="V474" s="1104"/>
      <c r="W474" s="1104"/>
      <c r="X474" s="1104"/>
      <c r="Y474" s="1104"/>
      <c r="Z474" s="1104"/>
      <c r="AA474" s="1104"/>
      <c r="AB474" s="1104"/>
      <c r="AC474" s="1104"/>
      <c r="AD474" s="1104"/>
      <c r="AE474" s="1104"/>
      <c r="AF474" s="1104"/>
      <c r="AG474" s="1106"/>
      <c r="AH474" s="1106"/>
      <c r="AI474" s="1106"/>
      <c r="AJ474" s="1106"/>
      <c r="AK474" s="1106"/>
      <c r="AL474" s="1106"/>
      <c r="AM474" s="1106"/>
      <c r="AN474" s="1106"/>
      <c r="AO474" s="1106"/>
      <c r="AP474" s="1106"/>
      <c r="AQ474" s="1106"/>
      <c r="AR474" s="1106"/>
      <c r="AS474" s="1106"/>
      <c r="AT474" s="1106"/>
      <c r="AU474" s="1106"/>
      <c r="AV474" s="1106"/>
      <c r="AW474" s="1106"/>
      <c r="AX474" s="1106"/>
    </row>
    <row r="475">
      <c r="T475" s="1102"/>
      <c r="U475" s="1104"/>
      <c r="V475" s="1104"/>
      <c r="W475" s="1104"/>
      <c r="X475" s="1104"/>
      <c r="Y475" s="1104"/>
      <c r="Z475" s="1104"/>
      <c r="AA475" s="1104"/>
      <c r="AB475" s="1104"/>
      <c r="AC475" s="1104"/>
      <c r="AD475" s="1104"/>
      <c r="AE475" s="1104"/>
      <c r="AF475" s="1104"/>
      <c r="AG475" s="1106"/>
      <c r="AH475" s="1106"/>
      <c r="AI475" s="1106"/>
      <c r="AJ475" s="1106"/>
      <c r="AK475" s="1106"/>
      <c r="AL475" s="1106"/>
      <c r="AM475" s="1106"/>
      <c r="AN475" s="1106"/>
      <c r="AO475" s="1106"/>
      <c r="AP475" s="1106"/>
      <c r="AQ475" s="1106"/>
      <c r="AR475" s="1106"/>
      <c r="AS475" s="1106"/>
      <c r="AT475" s="1106"/>
      <c r="AU475" s="1106"/>
      <c r="AV475" s="1106"/>
      <c r="AW475" s="1106"/>
      <c r="AX475" s="1106"/>
    </row>
    <row r="476">
      <c r="T476" s="1102"/>
      <c r="U476" s="1104"/>
      <c r="V476" s="1104"/>
      <c r="W476" s="1104"/>
      <c r="X476" s="1104"/>
      <c r="Y476" s="1104"/>
      <c r="Z476" s="1104"/>
      <c r="AA476" s="1104"/>
      <c r="AB476" s="1104"/>
      <c r="AC476" s="1104"/>
      <c r="AD476" s="1104"/>
      <c r="AE476" s="1104"/>
      <c r="AF476" s="1104"/>
      <c r="AG476" s="1106"/>
      <c r="AH476" s="1106"/>
      <c r="AI476" s="1106"/>
      <c r="AJ476" s="1106"/>
      <c r="AK476" s="1106"/>
      <c r="AL476" s="1106"/>
      <c r="AM476" s="1106"/>
      <c r="AN476" s="1106"/>
      <c r="AO476" s="1106"/>
      <c r="AP476" s="1106"/>
      <c r="AQ476" s="1106"/>
      <c r="AR476" s="1106"/>
      <c r="AS476" s="1106"/>
      <c r="AT476" s="1106"/>
      <c r="AU476" s="1106"/>
      <c r="AV476" s="1106"/>
      <c r="AW476" s="1106"/>
      <c r="AX476" s="1106"/>
    </row>
    <row r="477">
      <c r="T477" s="1102"/>
      <c r="U477" s="1104"/>
      <c r="V477" s="1104"/>
      <c r="W477" s="1104"/>
      <c r="X477" s="1104"/>
      <c r="Y477" s="1104"/>
      <c r="Z477" s="1104"/>
      <c r="AA477" s="1104"/>
      <c r="AB477" s="1104"/>
      <c r="AC477" s="1104"/>
      <c r="AD477" s="1104"/>
      <c r="AE477" s="1104"/>
      <c r="AF477" s="1104"/>
      <c r="AG477" s="1106"/>
      <c r="AH477" s="1106"/>
      <c r="AI477" s="1106"/>
      <c r="AJ477" s="1106"/>
      <c r="AK477" s="1106"/>
      <c r="AL477" s="1106"/>
      <c r="AM477" s="1106"/>
      <c r="AN477" s="1106"/>
      <c r="AO477" s="1106"/>
      <c r="AP477" s="1106"/>
      <c r="AQ477" s="1106"/>
      <c r="AR477" s="1106"/>
      <c r="AS477" s="1106"/>
      <c r="AT477" s="1106"/>
      <c r="AU477" s="1106"/>
      <c r="AV477" s="1106"/>
      <c r="AW477" s="1106"/>
      <c r="AX477" s="1106"/>
    </row>
    <row r="478">
      <c r="T478" s="1102"/>
      <c r="U478" s="1104"/>
      <c r="V478" s="1104"/>
      <c r="W478" s="1104"/>
      <c r="X478" s="1104"/>
      <c r="Y478" s="1104"/>
      <c r="Z478" s="1104"/>
      <c r="AA478" s="1104"/>
      <c r="AB478" s="1104"/>
      <c r="AC478" s="1104"/>
      <c r="AD478" s="1104"/>
      <c r="AE478" s="1104"/>
      <c r="AF478" s="1104"/>
      <c r="AG478" s="1106"/>
      <c r="AH478" s="1106"/>
      <c r="AI478" s="1106"/>
      <c r="AJ478" s="1106"/>
      <c r="AK478" s="1106"/>
      <c r="AL478" s="1106"/>
      <c r="AM478" s="1106"/>
      <c r="AN478" s="1106"/>
      <c r="AO478" s="1106"/>
      <c r="AP478" s="1106"/>
      <c r="AQ478" s="1106"/>
      <c r="AR478" s="1106"/>
      <c r="AS478" s="1106"/>
      <c r="AT478" s="1106"/>
      <c r="AU478" s="1106"/>
      <c r="AV478" s="1106"/>
      <c r="AW478" s="1106"/>
      <c r="AX478" s="1106"/>
    </row>
    <row r="479">
      <c r="T479" s="1102"/>
      <c r="U479" s="1104"/>
      <c r="V479" s="1104"/>
      <c r="W479" s="1104"/>
      <c r="X479" s="1104"/>
      <c r="Y479" s="1104"/>
      <c r="Z479" s="1104"/>
      <c r="AA479" s="1104"/>
      <c r="AB479" s="1104"/>
      <c r="AC479" s="1104"/>
      <c r="AD479" s="1104"/>
      <c r="AE479" s="1104"/>
      <c r="AF479" s="1104"/>
      <c r="AG479" s="1106"/>
      <c r="AH479" s="1106"/>
      <c r="AI479" s="1106"/>
      <c r="AJ479" s="1106"/>
      <c r="AK479" s="1106"/>
      <c r="AL479" s="1106"/>
      <c r="AM479" s="1106"/>
      <c r="AN479" s="1106"/>
      <c r="AO479" s="1106"/>
      <c r="AP479" s="1106"/>
      <c r="AQ479" s="1106"/>
      <c r="AR479" s="1106"/>
      <c r="AS479" s="1106"/>
      <c r="AT479" s="1106"/>
      <c r="AU479" s="1106"/>
      <c r="AV479" s="1106"/>
      <c r="AW479" s="1106"/>
      <c r="AX479" s="1106"/>
    </row>
    <row r="480">
      <c r="T480" s="1102"/>
      <c r="U480" s="1104"/>
      <c r="V480" s="1104"/>
      <c r="W480" s="1104"/>
      <c r="X480" s="1104"/>
      <c r="Y480" s="1104"/>
      <c r="Z480" s="1104"/>
      <c r="AA480" s="1104"/>
      <c r="AB480" s="1104"/>
      <c r="AC480" s="1104"/>
      <c r="AD480" s="1104"/>
      <c r="AE480" s="1104"/>
      <c r="AF480" s="1104"/>
      <c r="AG480" s="1106"/>
      <c r="AH480" s="1106"/>
      <c r="AI480" s="1106"/>
      <c r="AJ480" s="1106"/>
      <c r="AK480" s="1106"/>
      <c r="AL480" s="1106"/>
      <c r="AM480" s="1106"/>
      <c r="AN480" s="1106"/>
      <c r="AO480" s="1106"/>
      <c r="AP480" s="1106"/>
      <c r="AQ480" s="1106"/>
      <c r="AR480" s="1106"/>
      <c r="AS480" s="1106"/>
      <c r="AT480" s="1106"/>
      <c r="AU480" s="1106"/>
      <c r="AV480" s="1106"/>
      <c r="AW480" s="1106"/>
      <c r="AX480" s="1106"/>
    </row>
    <row r="481">
      <c r="T481" s="1102"/>
      <c r="U481" s="1104"/>
      <c r="V481" s="1104"/>
      <c r="W481" s="1104"/>
      <c r="X481" s="1104"/>
      <c r="Y481" s="1104"/>
      <c r="Z481" s="1104"/>
      <c r="AA481" s="1104"/>
      <c r="AB481" s="1104"/>
      <c r="AC481" s="1104"/>
      <c r="AD481" s="1104"/>
      <c r="AE481" s="1104"/>
      <c r="AF481" s="1104"/>
      <c r="AG481" s="1106"/>
      <c r="AH481" s="1106"/>
      <c r="AI481" s="1106"/>
      <c r="AJ481" s="1106"/>
      <c r="AK481" s="1106"/>
      <c r="AL481" s="1106"/>
      <c r="AM481" s="1106"/>
      <c r="AN481" s="1106"/>
      <c r="AO481" s="1106"/>
      <c r="AP481" s="1106"/>
      <c r="AQ481" s="1106"/>
      <c r="AR481" s="1106"/>
      <c r="AS481" s="1106"/>
      <c r="AT481" s="1106"/>
      <c r="AU481" s="1106"/>
      <c r="AV481" s="1106"/>
      <c r="AW481" s="1106"/>
      <c r="AX481" s="1106"/>
    </row>
    <row r="482">
      <c r="T482" s="1102"/>
      <c r="U482" s="1104"/>
      <c r="V482" s="1104"/>
      <c r="W482" s="1104"/>
      <c r="X482" s="1104"/>
      <c r="Y482" s="1104"/>
      <c r="Z482" s="1104"/>
      <c r="AA482" s="1104"/>
      <c r="AB482" s="1104"/>
      <c r="AC482" s="1104"/>
      <c r="AD482" s="1104"/>
      <c r="AE482" s="1104"/>
      <c r="AF482" s="1104"/>
      <c r="AG482" s="1106"/>
      <c r="AH482" s="1106"/>
      <c r="AI482" s="1106"/>
      <c r="AJ482" s="1106"/>
      <c r="AK482" s="1106"/>
      <c r="AL482" s="1106"/>
      <c r="AM482" s="1106"/>
      <c r="AN482" s="1106"/>
      <c r="AO482" s="1106"/>
      <c r="AP482" s="1106"/>
      <c r="AQ482" s="1106"/>
      <c r="AR482" s="1106"/>
      <c r="AS482" s="1106"/>
      <c r="AT482" s="1106"/>
      <c r="AU482" s="1106"/>
      <c r="AV482" s="1106"/>
      <c r="AW482" s="1106"/>
      <c r="AX482" s="1106"/>
    </row>
    <row r="483">
      <c r="T483" s="1102"/>
      <c r="U483" s="1104"/>
      <c r="V483" s="1104"/>
      <c r="W483" s="1104"/>
      <c r="X483" s="1104"/>
      <c r="Y483" s="1104"/>
      <c r="Z483" s="1104"/>
      <c r="AA483" s="1104"/>
      <c r="AB483" s="1104"/>
      <c r="AC483" s="1104"/>
      <c r="AD483" s="1104"/>
      <c r="AE483" s="1104"/>
      <c r="AF483" s="1104"/>
      <c r="AG483" s="1106"/>
      <c r="AH483" s="1106"/>
      <c r="AI483" s="1106"/>
      <c r="AJ483" s="1106"/>
      <c r="AK483" s="1106"/>
      <c r="AL483" s="1106"/>
      <c r="AM483" s="1106"/>
      <c r="AN483" s="1106"/>
      <c r="AO483" s="1106"/>
      <c r="AP483" s="1106"/>
      <c r="AQ483" s="1106"/>
      <c r="AR483" s="1106"/>
      <c r="AS483" s="1106"/>
      <c r="AT483" s="1106"/>
      <c r="AU483" s="1106"/>
      <c r="AV483" s="1106"/>
      <c r="AW483" s="1106"/>
      <c r="AX483" s="1106"/>
    </row>
    <row r="484">
      <c r="T484" s="1102"/>
      <c r="U484" s="1104"/>
      <c r="V484" s="1104"/>
      <c r="W484" s="1104"/>
      <c r="X484" s="1104"/>
      <c r="Y484" s="1104"/>
      <c r="Z484" s="1104"/>
      <c r="AA484" s="1104"/>
      <c r="AB484" s="1104"/>
      <c r="AC484" s="1104"/>
      <c r="AD484" s="1104"/>
      <c r="AE484" s="1104"/>
      <c r="AF484" s="1104"/>
      <c r="AG484" s="1106"/>
      <c r="AH484" s="1106"/>
      <c r="AI484" s="1106"/>
      <c r="AJ484" s="1106"/>
      <c r="AK484" s="1106"/>
      <c r="AL484" s="1106"/>
      <c r="AM484" s="1106"/>
      <c r="AN484" s="1106"/>
      <c r="AO484" s="1106"/>
      <c r="AP484" s="1106"/>
      <c r="AQ484" s="1106"/>
      <c r="AR484" s="1106"/>
      <c r="AS484" s="1106"/>
      <c r="AT484" s="1106"/>
      <c r="AU484" s="1106"/>
      <c r="AV484" s="1106"/>
      <c r="AW484" s="1106"/>
      <c r="AX484" s="1106"/>
    </row>
    <row r="485">
      <c r="T485" s="1102"/>
      <c r="U485" s="1104"/>
      <c r="V485" s="1104"/>
      <c r="W485" s="1104"/>
      <c r="X485" s="1104"/>
      <c r="Y485" s="1104"/>
      <c r="Z485" s="1104"/>
      <c r="AA485" s="1104"/>
      <c r="AB485" s="1104"/>
      <c r="AC485" s="1104"/>
      <c r="AD485" s="1104"/>
      <c r="AE485" s="1104"/>
      <c r="AF485" s="1104"/>
      <c r="AG485" s="1106"/>
      <c r="AH485" s="1106"/>
      <c r="AI485" s="1106"/>
      <c r="AJ485" s="1106"/>
      <c r="AK485" s="1106"/>
      <c r="AL485" s="1106"/>
      <c r="AM485" s="1106"/>
      <c r="AN485" s="1106"/>
      <c r="AO485" s="1106"/>
      <c r="AP485" s="1106"/>
      <c r="AQ485" s="1106"/>
      <c r="AR485" s="1106"/>
      <c r="AS485" s="1106"/>
      <c r="AT485" s="1106"/>
      <c r="AU485" s="1106"/>
      <c r="AV485" s="1106"/>
      <c r="AW485" s="1106"/>
      <c r="AX485" s="1106"/>
    </row>
    <row r="486">
      <c r="T486" s="1102"/>
      <c r="U486" s="1104"/>
      <c r="V486" s="1104"/>
      <c r="W486" s="1104"/>
      <c r="X486" s="1104"/>
      <c r="Y486" s="1104"/>
      <c r="Z486" s="1104"/>
      <c r="AA486" s="1104"/>
      <c r="AB486" s="1104"/>
      <c r="AC486" s="1104"/>
      <c r="AD486" s="1104"/>
      <c r="AE486" s="1104"/>
      <c r="AF486" s="1104"/>
      <c r="AG486" s="1106"/>
      <c r="AH486" s="1106"/>
      <c r="AI486" s="1106"/>
      <c r="AJ486" s="1106"/>
      <c r="AK486" s="1106"/>
      <c r="AL486" s="1106"/>
      <c r="AM486" s="1106"/>
      <c r="AN486" s="1106"/>
      <c r="AO486" s="1106"/>
      <c r="AP486" s="1106"/>
      <c r="AQ486" s="1106"/>
      <c r="AR486" s="1106"/>
      <c r="AS486" s="1106"/>
      <c r="AT486" s="1106"/>
      <c r="AU486" s="1106"/>
      <c r="AV486" s="1106"/>
      <c r="AW486" s="1106"/>
      <c r="AX486" s="1106"/>
    </row>
    <row r="487">
      <c r="T487" s="1102"/>
      <c r="U487" s="1104"/>
      <c r="V487" s="1104"/>
      <c r="W487" s="1104"/>
      <c r="X487" s="1104"/>
      <c r="Y487" s="1104"/>
      <c r="Z487" s="1104"/>
      <c r="AA487" s="1104"/>
      <c r="AB487" s="1104"/>
      <c r="AC487" s="1104"/>
      <c r="AD487" s="1104"/>
      <c r="AE487" s="1104"/>
      <c r="AF487" s="1104"/>
      <c r="AG487" s="1106"/>
      <c r="AH487" s="1106"/>
      <c r="AI487" s="1106"/>
      <c r="AJ487" s="1106"/>
      <c r="AK487" s="1106"/>
      <c r="AL487" s="1106"/>
      <c r="AM487" s="1106"/>
      <c r="AN487" s="1106"/>
      <c r="AO487" s="1106"/>
      <c r="AP487" s="1106"/>
      <c r="AQ487" s="1106"/>
      <c r="AR487" s="1106"/>
      <c r="AS487" s="1106"/>
      <c r="AT487" s="1106"/>
      <c r="AU487" s="1106"/>
      <c r="AV487" s="1106"/>
      <c r="AW487" s="1106"/>
      <c r="AX487" s="1106"/>
    </row>
    <row r="488">
      <c r="T488" s="1102"/>
      <c r="U488" s="1104"/>
      <c r="V488" s="1104"/>
      <c r="W488" s="1104"/>
      <c r="X488" s="1104"/>
      <c r="Y488" s="1104"/>
      <c r="Z488" s="1104"/>
      <c r="AA488" s="1104"/>
      <c r="AB488" s="1104"/>
      <c r="AC488" s="1104"/>
      <c r="AD488" s="1104"/>
      <c r="AE488" s="1104"/>
      <c r="AF488" s="1104"/>
      <c r="AG488" s="1106"/>
      <c r="AH488" s="1106"/>
      <c r="AI488" s="1106"/>
      <c r="AJ488" s="1106"/>
      <c r="AK488" s="1106"/>
      <c r="AL488" s="1106"/>
      <c r="AM488" s="1106"/>
      <c r="AN488" s="1106"/>
      <c r="AO488" s="1106"/>
      <c r="AP488" s="1106"/>
      <c r="AQ488" s="1106"/>
      <c r="AR488" s="1106"/>
      <c r="AS488" s="1106"/>
      <c r="AT488" s="1106"/>
      <c r="AU488" s="1106"/>
      <c r="AV488" s="1106"/>
      <c r="AW488" s="1106"/>
      <c r="AX488" s="1106"/>
    </row>
    <row r="489">
      <c r="T489" s="1102"/>
      <c r="U489" s="1104"/>
      <c r="V489" s="1104"/>
      <c r="W489" s="1104"/>
      <c r="X489" s="1104"/>
      <c r="Y489" s="1104"/>
      <c r="Z489" s="1104"/>
      <c r="AA489" s="1104"/>
      <c r="AB489" s="1104"/>
      <c r="AC489" s="1104"/>
      <c r="AD489" s="1104"/>
      <c r="AE489" s="1104"/>
      <c r="AF489" s="1104"/>
      <c r="AG489" s="1106"/>
      <c r="AH489" s="1106"/>
      <c r="AI489" s="1106"/>
      <c r="AJ489" s="1106"/>
      <c r="AK489" s="1106"/>
      <c r="AL489" s="1106"/>
      <c r="AM489" s="1106"/>
      <c r="AN489" s="1106"/>
      <c r="AO489" s="1106"/>
      <c r="AP489" s="1106"/>
      <c r="AQ489" s="1106"/>
      <c r="AR489" s="1106"/>
      <c r="AS489" s="1106"/>
      <c r="AT489" s="1106"/>
      <c r="AU489" s="1106"/>
      <c r="AV489" s="1106"/>
      <c r="AW489" s="1106"/>
      <c r="AX489" s="1106"/>
    </row>
    <row r="490">
      <c r="T490" s="1102"/>
      <c r="U490" s="1104"/>
      <c r="V490" s="1104"/>
      <c r="W490" s="1104"/>
      <c r="X490" s="1104"/>
      <c r="Y490" s="1104"/>
      <c r="Z490" s="1104"/>
      <c r="AA490" s="1104"/>
      <c r="AB490" s="1104"/>
      <c r="AC490" s="1104"/>
      <c r="AD490" s="1104"/>
      <c r="AE490" s="1104"/>
      <c r="AF490" s="1104"/>
      <c r="AG490" s="1106"/>
      <c r="AH490" s="1106"/>
      <c r="AI490" s="1106"/>
      <c r="AJ490" s="1106"/>
      <c r="AK490" s="1106"/>
      <c r="AL490" s="1106"/>
      <c r="AM490" s="1106"/>
      <c r="AN490" s="1106"/>
      <c r="AO490" s="1106"/>
      <c r="AP490" s="1106"/>
      <c r="AQ490" s="1106"/>
      <c r="AR490" s="1106"/>
      <c r="AS490" s="1106"/>
      <c r="AT490" s="1106"/>
      <c r="AU490" s="1106"/>
      <c r="AV490" s="1106"/>
      <c r="AW490" s="1106"/>
      <c r="AX490" s="1106"/>
    </row>
    <row r="491">
      <c r="T491" s="1102"/>
      <c r="U491" s="1104"/>
      <c r="V491" s="1104"/>
      <c r="W491" s="1104"/>
      <c r="X491" s="1104"/>
      <c r="Y491" s="1104"/>
      <c r="Z491" s="1104"/>
      <c r="AA491" s="1104"/>
      <c r="AB491" s="1104"/>
      <c r="AC491" s="1104"/>
      <c r="AD491" s="1104"/>
      <c r="AE491" s="1104"/>
      <c r="AF491" s="1104"/>
      <c r="AG491" s="1106"/>
      <c r="AH491" s="1106"/>
      <c r="AI491" s="1106"/>
      <c r="AJ491" s="1106"/>
      <c r="AK491" s="1106"/>
      <c r="AL491" s="1106"/>
      <c r="AM491" s="1106"/>
      <c r="AN491" s="1106"/>
      <c r="AO491" s="1106"/>
      <c r="AP491" s="1106"/>
      <c r="AQ491" s="1106"/>
      <c r="AR491" s="1106"/>
      <c r="AS491" s="1106"/>
      <c r="AT491" s="1106"/>
      <c r="AU491" s="1106"/>
      <c r="AV491" s="1106"/>
      <c r="AW491" s="1106"/>
      <c r="AX491" s="1106"/>
    </row>
    <row r="492">
      <c r="T492" s="1102"/>
      <c r="U492" s="1104"/>
      <c r="V492" s="1104"/>
      <c r="W492" s="1104"/>
      <c r="X492" s="1104"/>
      <c r="Y492" s="1104"/>
      <c r="Z492" s="1104"/>
      <c r="AA492" s="1104"/>
      <c r="AB492" s="1104"/>
      <c r="AC492" s="1104"/>
      <c r="AD492" s="1104"/>
      <c r="AE492" s="1104"/>
      <c r="AF492" s="1104"/>
      <c r="AG492" s="1106"/>
      <c r="AH492" s="1106"/>
      <c r="AI492" s="1106"/>
      <c r="AJ492" s="1106"/>
      <c r="AK492" s="1106"/>
      <c r="AL492" s="1106"/>
      <c r="AM492" s="1106"/>
      <c r="AN492" s="1106"/>
      <c r="AO492" s="1106"/>
      <c r="AP492" s="1106"/>
      <c r="AQ492" s="1106"/>
      <c r="AR492" s="1106"/>
      <c r="AS492" s="1106"/>
      <c r="AT492" s="1106"/>
      <c r="AU492" s="1106"/>
      <c r="AV492" s="1106"/>
      <c r="AW492" s="1106"/>
      <c r="AX492" s="1106"/>
    </row>
    <row r="493">
      <c r="T493" s="1102"/>
      <c r="U493" s="1104"/>
      <c r="V493" s="1104"/>
      <c r="W493" s="1104"/>
      <c r="X493" s="1104"/>
      <c r="Y493" s="1104"/>
      <c r="Z493" s="1104"/>
      <c r="AA493" s="1104"/>
      <c r="AB493" s="1104"/>
      <c r="AC493" s="1104"/>
      <c r="AD493" s="1104"/>
      <c r="AE493" s="1104"/>
      <c r="AF493" s="1104"/>
      <c r="AG493" s="1106"/>
      <c r="AH493" s="1106"/>
      <c r="AI493" s="1106"/>
      <c r="AJ493" s="1106"/>
      <c r="AK493" s="1106"/>
      <c r="AL493" s="1106"/>
      <c r="AM493" s="1106"/>
      <c r="AN493" s="1106"/>
      <c r="AO493" s="1106"/>
      <c r="AP493" s="1106"/>
      <c r="AQ493" s="1106"/>
      <c r="AR493" s="1106"/>
      <c r="AS493" s="1106"/>
      <c r="AT493" s="1106"/>
      <c r="AU493" s="1106"/>
      <c r="AV493" s="1106"/>
      <c r="AW493" s="1106"/>
      <c r="AX493" s="1106"/>
    </row>
    <row r="494">
      <c r="T494" s="1102"/>
      <c r="U494" s="1104"/>
      <c r="V494" s="1104"/>
      <c r="W494" s="1104"/>
      <c r="X494" s="1104"/>
      <c r="Y494" s="1104"/>
      <c r="Z494" s="1104"/>
      <c r="AA494" s="1104"/>
      <c r="AB494" s="1104"/>
      <c r="AC494" s="1104"/>
      <c r="AD494" s="1104"/>
      <c r="AE494" s="1104"/>
      <c r="AF494" s="1104"/>
      <c r="AG494" s="1106"/>
      <c r="AH494" s="1106"/>
      <c r="AI494" s="1106"/>
      <c r="AJ494" s="1106"/>
      <c r="AK494" s="1106"/>
      <c r="AL494" s="1106"/>
      <c r="AM494" s="1106"/>
      <c r="AN494" s="1106"/>
      <c r="AO494" s="1106"/>
      <c r="AP494" s="1106"/>
      <c r="AQ494" s="1106"/>
      <c r="AR494" s="1106"/>
      <c r="AS494" s="1106"/>
      <c r="AT494" s="1106"/>
      <c r="AU494" s="1106"/>
      <c r="AV494" s="1106"/>
      <c r="AW494" s="1106"/>
      <c r="AX494" s="1106"/>
    </row>
    <row r="495">
      <c r="T495" s="1102"/>
      <c r="U495" s="1104"/>
      <c r="V495" s="1104"/>
      <c r="W495" s="1104"/>
      <c r="X495" s="1104"/>
      <c r="Y495" s="1104"/>
      <c r="Z495" s="1104"/>
      <c r="AA495" s="1104"/>
      <c r="AB495" s="1104"/>
      <c r="AC495" s="1104"/>
      <c r="AD495" s="1104"/>
      <c r="AE495" s="1104"/>
      <c r="AF495" s="1104"/>
      <c r="AG495" s="1106"/>
      <c r="AH495" s="1106"/>
      <c r="AI495" s="1106"/>
      <c r="AJ495" s="1106"/>
      <c r="AK495" s="1106"/>
      <c r="AL495" s="1106"/>
      <c r="AM495" s="1106"/>
      <c r="AN495" s="1106"/>
      <c r="AO495" s="1106"/>
      <c r="AP495" s="1106"/>
      <c r="AQ495" s="1106"/>
      <c r="AR495" s="1106"/>
      <c r="AS495" s="1106"/>
      <c r="AT495" s="1106"/>
      <c r="AU495" s="1106"/>
      <c r="AV495" s="1106"/>
      <c r="AW495" s="1106"/>
      <c r="AX495" s="1106"/>
    </row>
    <row r="496">
      <c r="T496" s="1102"/>
      <c r="U496" s="1104"/>
      <c r="V496" s="1104"/>
      <c r="W496" s="1104"/>
      <c r="X496" s="1104"/>
      <c r="Y496" s="1104"/>
      <c r="Z496" s="1104"/>
      <c r="AA496" s="1104"/>
      <c r="AB496" s="1104"/>
      <c r="AC496" s="1104"/>
      <c r="AD496" s="1104"/>
      <c r="AE496" s="1104"/>
      <c r="AF496" s="1104"/>
      <c r="AG496" s="1106"/>
      <c r="AH496" s="1106"/>
      <c r="AI496" s="1106"/>
      <c r="AJ496" s="1106"/>
      <c r="AK496" s="1106"/>
      <c r="AL496" s="1106"/>
      <c r="AM496" s="1106"/>
      <c r="AN496" s="1106"/>
      <c r="AO496" s="1106"/>
      <c r="AP496" s="1106"/>
      <c r="AQ496" s="1106"/>
      <c r="AR496" s="1106"/>
      <c r="AS496" s="1106"/>
      <c r="AT496" s="1106"/>
      <c r="AU496" s="1106"/>
      <c r="AV496" s="1106"/>
      <c r="AW496" s="1106"/>
      <c r="AX496" s="1106"/>
    </row>
    <row r="497">
      <c r="T497" s="1102"/>
      <c r="U497" s="1104"/>
      <c r="V497" s="1104"/>
      <c r="W497" s="1104"/>
      <c r="X497" s="1104"/>
      <c r="Y497" s="1104"/>
      <c r="Z497" s="1104"/>
      <c r="AA497" s="1104"/>
      <c r="AB497" s="1104"/>
      <c r="AC497" s="1104"/>
      <c r="AD497" s="1104"/>
      <c r="AE497" s="1104"/>
      <c r="AF497" s="1104"/>
      <c r="AG497" s="1106"/>
      <c r="AH497" s="1106"/>
      <c r="AI497" s="1106"/>
      <c r="AJ497" s="1106"/>
      <c r="AK497" s="1106"/>
      <c r="AL497" s="1106"/>
      <c r="AM497" s="1106"/>
      <c r="AN497" s="1106"/>
      <c r="AO497" s="1106"/>
      <c r="AP497" s="1106"/>
      <c r="AQ497" s="1106"/>
      <c r="AR497" s="1106"/>
      <c r="AS497" s="1106"/>
      <c r="AT497" s="1106"/>
      <c r="AU497" s="1106"/>
      <c r="AV497" s="1106"/>
      <c r="AW497" s="1106"/>
      <c r="AX497" s="1106"/>
    </row>
    <row r="498">
      <c r="T498" s="1102"/>
      <c r="U498" s="1104"/>
      <c r="V498" s="1104"/>
      <c r="W498" s="1104"/>
      <c r="X498" s="1104"/>
      <c r="Y498" s="1104"/>
      <c r="Z498" s="1104"/>
      <c r="AA498" s="1104"/>
      <c r="AB498" s="1104"/>
      <c r="AC498" s="1104"/>
      <c r="AD498" s="1104"/>
      <c r="AE498" s="1104"/>
      <c r="AF498" s="1104"/>
      <c r="AG498" s="1106"/>
      <c r="AH498" s="1106"/>
      <c r="AI498" s="1106"/>
      <c r="AJ498" s="1106"/>
      <c r="AK498" s="1106"/>
      <c r="AL498" s="1106"/>
      <c r="AM498" s="1106"/>
      <c r="AN498" s="1106"/>
      <c r="AO498" s="1106"/>
      <c r="AP498" s="1106"/>
      <c r="AQ498" s="1106"/>
      <c r="AR498" s="1106"/>
      <c r="AS498" s="1106"/>
      <c r="AT498" s="1106"/>
      <c r="AU498" s="1106"/>
      <c r="AV498" s="1106"/>
      <c r="AW498" s="1106"/>
      <c r="AX498" s="1106"/>
    </row>
    <row r="499">
      <c r="T499" s="1102"/>
      <c r="U499" s="1104"/>
      <c r="V499" s="1104"/>
      <c r="W499" s="1104"/>
      <c r="X499" s="1104"/>
      <c r="Y499" s="1104"/>
      <c r="Z499" s="1104"/>
      <c r="AA499" s="1104"/>
      <c r="AB499" s="1104"/>
      <c r="AC499" s="1104"/>
      <c r="AD499" s="1104"/>
      <c r="AE499" s="1104"/>
      <c r="AF499" s="1104"/>
      <c r="AG499" s="1106"/>
      <c r="AH499" s="1106"/>
      <c r="AI499" s="1106"/>
      <c r="AJ499" s="1106"/>
      <c r="AK499" s="1106"/>
      <c r="AL499" s="1106"/>
      <c r="AM499" s="1106"/>
      <c r="AN499" s="1106"/>
      <c r="AO499" s="1106"/>
      <c r="AP499" s="1106"/>
      <c r="AQ499" s="1106"/>
      <c r="AR499" s="1106"/>
      <c r="AS499" s="1106"/>
      <c r="AT499" s="1106"/>
      <c r="AU499" s="1106"/>
      <c r="AV499" s="1106"/>
      <c r="AW499" s="1106"/>
      <c r="AX499" s="1106"/>
    </row>
    <row r="500">
      <c r="T500" s="1102"/>
      <c r="U500" s="1104"/>
      <c r="V500" s="1104"/>
      <c r="W500" s="1104"/>
      <c r="X500" s="1104"/>
      <c r="Y500" s="1104"/>
      <c r="Z500" s="1104"/>
      <c r="AA500" s="1104"/>
      <c r="AB500" s="1104"/>
      <c r="AC500" s="1104"/>
      <c r="AD500" s="1104"/>
      <c r="AE500" s="1104"/>
      <c r="AF500" s="1104"/>
      <c r="AG500" s="1106"/>
      <c r="AH500" s="1106"/>
      <c r="AI500" s="1106"/>
      <c r="AJ500" s="1106"/>
      <c r="AK500" s="1106"/>
      <c r="AL500" s="1106"/>
      <c r="AM500" s="1106"/>
      <c r="AN500" s="1106"/>
      <c r="AO500" s="1106"/>
      <c r="AP500" s="1106"/>
      <c r="AQ500" s="1106"/>
      <c r="AR500" s="1106"/>
      <c r="AS500" s="1106"/>
      <c r="AT500" s="1106"/>
      <c r="AU500" s="1106"/>
      <c r="AV500" s="1106"/>
      <c r="AW500" s="1106"/>
      <c r="AX500" s="1106"/>
    </row>
    <row r="501">
      <c r="T501" s="1102"/>
      <c r="U501" s="1104"/>
      <c r="V501" s="1104"/>
      <c r="W501" s="1104"/>
      <c r="X501" s="1104"/>
      <c r="Y501" s="1104"/>
      <c r="Z501" s="1104"/>
      <c r="AA501" s="1104"/>
      <c r="AB501" s="1104"/>
      <c r="AC501" s="1104"/>
      <c r="AD501" s="1104"/>
      <c r="AE501" s="1104"/>
      <c r="AF501" s="1104"/>
      <c r="AG501" s="1106"/>
      <c r="AH501" s="1106"/>
      <c r="AI501" s="1106"/>
      <c r="AJ501" s="1106"/>
      <c r="AK501" s="1106"/>
      <c r="AL501" s="1106"/>
      <c r="AM501" s="1106"/>
      <c r="AN501" s="1106"/>
      <c r="AO501" s="1106"/>
      <c r="AP501" s="1106"/>
      <c r="AQ501" s="1106"/>
      <c r="AR501" s="1106"/>
      <c r="AS501" s="1106"/>
      <c r="AT501" s="1106"/>
      <c r="AU501" s="1106"/>
      <c r="AV501" s="1106"/>
      <c r="AW501" s="1106"/>
      <c r="AX501" s="1106"/>
    </row>
    <row r="502">
      <c r="T502" s="1102"/>
      <c r="U502" s="1104"/>
      <c r="V502" s="1104"/>
      <c r="W502" s="1104"/>
      <c r="X502" s="1104"/>
      <c r="Y502" s="1104"/>
      <c r="Z502" s="1104"/>
      <c r="AA502" s="1104"/>
      <c r="AB502" s="1104"/>
      <c r="AC502" s="1104"/>
      <c r="AD502" s="1104"/>
      <c r="AE502" s="1104"/>
      <c r="AF502" s="1104"/>
      <c r="AG502" s="1106"/>
      <c r="AH502" s="1106"/>
      <c r="AI502" s="1106"/>
      <c r="AJ502" s="1106"/>
      <c r="AK502" s="1106"/>
      <c r="AL502" s="1106"/>
      <c r="AM502" s="1106"/>
      <c r="AN502" s="1106"/>
      <c r="AO502" s="1106"/>
      <c r="AP502" s="1106"/>
      <c r="AQ502" s="1106"/>
      <c r="AR502" s="1106"/>
      <c r="AS502" s="1106"/>
      <c r="AT502" s="1106"/>
      <c r="AU502" s="1106"/>
      <c r="AV502" s="1106"/>
      <c r="AW502" s="1106"/>
      <c r="AX502" s="1106"/>
    </row>
    <row r="503">
      <c r="T503" s="1102"/>
      <c r="U503" s="1104"/>
      <c r="V503" s="1104"/>
      <c r="W503" s="1104"/>
      <c r="X503" s="1104"/>
      <c r="Y503" s="1104"/>
      <c r="Z503" s="1104"/>
      <c r="AA503" s="1104"/>
      <c r="AB503" s="1104"/>
      <c r="AC503" s="1104"/>
      <c r="AD503" s="1104"/>
      <c r="AE503" s="1104"/>
      <c r="AF503" s="1104"/>
      <c r="AG503" s="1106"/>
      <c r="AH503" s="1106"/>
      <c r="AI503" s="1106"/>
      <c r="AJ503" s="1106"/>
      <c r="AK503" s="1106"/>
      <c r="AL503" s="1106"/>
      <c r="AM503" s="1106"/>
      <c r="AN503" s="1106"/>
      <c r="AO503" s="1106"/>
      <c r="AP503" s="1106"/>
      <c r="AQ503" s="1106"/>
      <c r="AR503" s="1106"/>
      <c r="AS503" s="1106"/>
      <c r="AT503" s="1106"/>
      <c r="AU503" s="1106"/>
      <c r="AV503" s="1106"/>
      <c r="AW503" s="1106"/>
      <c r="AX503" s="1106"/>
    </row>
    <row r="504">
      <c r="T504" s="1102"/>
      <c r="U504" s="1104"/>
      <c r="V504" s="1104"/>
      <c r="W504" s="1104"/>
      <c r="X504" s="1104"/>
      <c r="Y504" s="1104"/>
      <c r="Z504" s="1104"/>
      <c r="AA504" s="1104"/>
      <c r="AB504" s="1104"/>
      <c r="AC504" s="1104"/>
      <c r="AD504" s="1104"/>
      <c r="AE504" s="1104"/>
      <c r="AF504" s="1104"/>
      <c r="AG504" s="1106"/>
      <c r="AH504" s="1106"/>
      <c r="AI504" s="1106"/>
      <c r="AJ504" s="1106"/>
      <c r="AK504" s="1106"/>
      <c r="AL504" s="1106"/>
      <c r="AM504" s="1106"/>
      <c r="AN504" s="1106"/>
      <c r="AO504" s="1106"/>
      <c r="AP504" s="1106"/>
      <c r="AQ504" s="1106"/>
      <c r="AR504" s="1106"/>
      <c r="AS504" s="1106"/>
      <c r="AT504" s="1106"/>
      <c r="AU504" s="1106"/>
      <c r="AV504" s="1106"/>
      <c r="AW504" s="1106"/>
      <c r="AX504" s="1106"/>
    </row>
    <row r="505">
      <c r="T505" s="1102"/>
      <c r="U505" s="1104"/>
      <c r="V505" s="1104"/>
      <c r="W505" s="1104"/>
      <c r="X505" s="1104"/>
      <c r="Y505" s="1104"/>
      <c r="Z505" s="1104"/>
      <c r="AA505" s="1104"/>
      <c r="AB505" s="1104"/>
      <c r="AC505" s="1104"/>
      <c r="AD505" s="1104"/>
      <c r="AE505" s="1104"/>
      <c r="AF505" s="1104"/>
      <c r="AG505" s="1106"/>
      <c r="AH505" s="1106"/>
      <c r="AI505" s="1106"/>
      <c r="AJ505" s="1106"/>
      <c r="AK505" s="1106"/>
      <c r="AL505" s="1106"/>
      <c r="AM505" s="1106"/>
      <c r="AN505" s="1106"/>
      <c r="AO505" s="1106"/>
      <c r="AP505" s="1106"/>
      <c r="AQ505" s="1106"/>
      <c r="AR505" s="1106"/>
      <c r="AS505" s="1106"/>
      <c r="AT505" s="1106"/>
      <c r="AU505" s="1106"/>
      <c r="AV505" s="1106"/>
      <c r="AW505" s="1106"/>
      <c r="AX505" s="1106"/>
    </row>
    <row r="506">
      <c r="T506" s="1102"/>
      <c r="U506" s="1104"/>
      <c r="V506" s="1104"/>
      <c r="W506" s="1104"/>
      <c r="X506" s="1104"/>
      <c r="Y506" s="1104"/>
      <c r="Z506" s="1104"/>
      <c r="AA506" s="1104"/>
      <c r="AB506" s="1104"/>
      <c r="AC506" s="1104"/>
      <c r="AD506" s="1104"/>
      <c r="AE506" s="1104"/>
      <c r="AF506" s="1104"/>
      <c r="AG506" s="1106"/>
      <c r="AH506" s="1106"/>
      <c r="AI506" s="1106"/>
      <c r="AJ506" s="1106"/>
      <c r="AK506" s="1106"/>
      <c r="AL506" s="1106"/>
      <c r="AM506" s="1106"/>
      <c r="AN506" s="1106"/>
      <c r="AO506" s="1106"/>
      <c r="AP506" s="1106"/>
      <c r="AQ506" s="1106"/>
      <c r="AR506" s="1106"/>
      <c r="AS506" s="1106"/>
      <c r="AT506" s="1106"/>
      <c r="AU506" s="1106"/>
      <c r="AV506" s="1106"/>
      <c r="AW506" s="1106"/>
      <c r="AX506" s="1106"/>
    </row>
    <row r="507">
      <c r="T507" s="1102"/>
      <c r="U507" s="1104"/>
      <c r="V507" s="1104"/>
      <c r="W507" s="1104"/>
      <c r="X507" s="1104"/>
      <c r="Y507" s="1104"/>
      <c r="Z507" s="1104"/>
      <c r="AA507" s="1104"/>
      <c r="AB507" s="1104"/>
      <c r="AC507" s="1104"/>
      <c r="AD507" s="1104"/>
      <c r="AE507" s="1104"/>
      <c r="AF507" s="1104"/>
      <c r="AG507" s="1106"/>
      <c r="AH507" s="1106"/>
      <c r="AI507" s="1106"/>
      <c r="AJ507" s="1106"/>
      <c r="AK507" s="1106"/>
      <c r="AL507" s="1106"/>
      <c r="AM507" s="1106"/>
      <c r="AN507" s="1106"/>
      <c r="AO507" s="1106"/>
      <c r="AP507" s="1106"/>
      <c r="AQ507" s="1106"/>
      <c r="AR507" s="1106"/>
      <c r="AS507" s="1106"/>
      <c r="AT507" s="1106"/>
      <c r="AU507" s="1106"/>
      <c r="AV507" s="1106"/>
      <c r="AW507" s="1106"/>
      <c r="AX507" s="1106"/>
    </row>
    <row r="508">
      <c r="T508" s="1102"/>
      <c r="U508" s="1104"/>
      <c r="V508" s="1104"/>
      <c r="W508" s="1104"/>
      <c r="X508" s="1104"/>
      <c r="Y508" s="1104"/>
      <c r="Z508" s="1104"/>
      <c r="AA508" s="1104"/>
      <c r="AB508" s="1104"/>
      <c r="AC508" s="1104"/>
      <c r="AD508" s="1104"/>
      <c r="AE508" s="1104"/>
      <c r="AF508" s="1104"/>
      <c r="AG508" s="1106"/>
      <c r="AH508" s="1106"/>
      <c r="AI508" s="1106"/>
      <c r="AJ508" s="1106"/>
      <c r="AK508" s="1106"/>
      <c r="AL508" s="1106"/>
      <c r="AM508" s="1106"/>
      <c r="AN508" s="1106"/>
      <c r="AO508" s="1106"/>
      <c r="AP508" s="1106"/>
      <c r="AQ508" s="1106"/>
      <c r="AR508" s="1106"/>
      <c r="AS508" s="1106"/>
      <c r="AT508" s="1106"/>
      <c r="AU508" s="1106"/>
      <c r="AV508" s="1106"/>
      <c r="AW508" s="1106"/>
      <c r="AX508" s="1106"/>
    </row>
    <row r="509">
      <c r="T509" s="1102"/>
      <c r="U509" s="1104"/>
      <c r="V509" s="1104"/>
      <c r="W509" s="1104"/>
      <c r="X509" s="1104"/>
      <c r="Y509" s="1104"/>
      <c r="Z509" s="1104"/>
      <c r="AA509" s="1104"/>
      <c r="AB509" s="1104"/>
      <c r="AC509" s="1104"/>
      <c r="AD509" s="1104"/>
      <c r="AE509" s="1104"/>
      <c r="AF509" s="1104"/>
      <c r="AG509" s="1106"/>
      <c r="AH509" s="1106"/>
      <c r="AI509" s="1106"/>
      <c r="AJ509" s="1106"/>
      <c r="AK509" s="1106"/>
      <c r="AL509" s="1106"/>
      <c r="AM509" s="1106"/>
      <c r="AN509" s="1106"/>
      <c r="AO509" s="1106"/>
      <c r="AP509" s="1106"/>
      <c r="AQ509" s="1106"/>
      <c r="AR509" s="1106"/>
      <c r="AS509" s="1106"/>
      <c r="AT509" s="1106"/>
      <c r="AU509" s="1106"/>
      <c r="AV509" s="1106"/>
      <c r="AW509" s="1106"/>
      <c r="AX509" s="1106"/>
    </row>
    <row r="510">
      <c r="T510" s="1102"/>
      <c r="U510" s="1104"/>
      <c r="V510" s="1104"/>
      <c r="W510" s="1104"/>
      <c r="X510" s="1104"/>
      <c r="Y510" s="1104"/>
      <c r="Z510" s="1104"/>
      <c r="AA510" s="1104"/>
      <c r="AB510" s="1104"/>
      <c r="AC510" s="1104"/>
      <c r="AD510" s="1104"/>
      <c r="AE510" s="1104"/>
      <c r="AF510" s="1104"/>
      <c r="AG510" s="1106"/>
      <c r="AH510" s="1106"/>
      <c r="AI510" s="1106"/>
      <c r="AJ510" s="1106"/>
      <c r="AK510" s="1106"/>
      <c r="AL510" s="1106"/>
      <c r="AM510" s="1106"/>
      <c r="AN510" s="1106"/>
      <c r="AO510" s="1106"/>
      <c r="AP510" s="1106"/>
      <c r="AQ510" s="1106"/>
      <c r="AR510" s="1106"/>
      <c r="AS510" s="1106"/>
      <c r="AT510" s="1106"/>
      <c r="AU510" s="1106"/>
      <c r="AV510" s="1106"/>
      <c r="AW510" s="1106"/>
      <c r="AX510" s="1106"/>
    </row>
    <row r="511">
      <c r="T511" s="1102"/>
      <c r="U511" s="1104"/>
      <c r="V511" s="1104"/>
      <c r="W511" s="1104"/>
      <c r="X511" s="1104"/>
      <c r="Y511" s="1104"/>
      <c r="Z511" s="1104"/>
      <c r="AA511" s="1104"/>
      <c r="AB511" s="1104"/>
      <c r="AC511" s="1104"/>
      <c r="AD511" s="1104"/>
      <c r="AE511" s="1104"/>
      <c r="AF511" s="1104"/>
      <c r="AG511" s="1106"/>
      <c r="AH511" s="1106"/>
      <c r="AI511" s="1106"/>
      <c r="AJ511" s="1106"/>
      <c r="AK511" s="1106"/>
      <c r="AL511" s="1106"/>
      <c r="AM511" s="1106"/>
      <c r="AN511" s="1106"/>
      <c r="AO511" s="1106"/>
      <c r="AP511" s="1106"/>
      <c r="AQ511" s="1106"/>
      <c r="AR511" s="1106"/>
      <c r="AS511" s="1106"/>
      <c r="AT511" s="1106"/>
      <c r="AU511" s="1106"/>
      <c r="AV511" s="1106"/>
      <c r="AW511" s="1106"/>
      <c r="AX511" s="1106"/>
    </row>
    <row r="512">
      <c r="T512" s="1102"/>
      <c r="U512" s="1104"/>
      <c r="V512" s="1104"/>
      <c r="W512" s="1104"/>
      <c r="X512" s="1104"/>
      <c r="Y512" s="1104"/>
      <c r="Z512" s="1104"/>
      <c r="AA512" s="1104"/>
      <c r="AB512" s="1104"/>
      <c r="AC512" s="1104"/>
      <c r="AD512" s="1104"/>
      <c r="AE512" s="1104"/>
      <c r="AF512" s="1104"/>
      <c r="AG512" s="1106"/>
      <c r="AH512" s="1106"/>
      <c r="AI512" s="1106"/>
      <c r="AJ512" s="1106"/>
      <c r="AK512" s="1106"/>
      <c r="AL512" s="1106"/>
      <c r="AM512" s="1106"/>
      <c r="AN512" s="1106"/>
      <c r="AO512" s="1106"/>
      <c r="AP512" s="1106"/>
      <c r="AQ512" s="1106"/>
      <c r="AR512" s="1106"/>
      <c r="AS512" s="1106"/>
      <c r="AT512" s="1106"/>
      <c r="AU512" s="1106"/>
      <c r="AV512" s="1106"/>
      <c r="AW512" s="1106"/>
      <c r="AX512" s="1106"/>
    </row>
    <row r="513">
      <c r="T513" s="1102"/>
      <c r="U513" s="1104"/>
      <c r="V513" s="1104"/>
      <c r="W513" s="1104"/>
      <c r="X513" s="1104"/>
      <c r="Y513" s="1104"/>
      <c r="Z513" s="1104"/>
      <c r="AA513" s="1104"/>
      <c r="AB513" s="1104"/>
      <c r="AC513" s="1104"/>
      <c r="AD513" s="1104"/>
      <c r="AE513" s="1104"/>
      <c r="AF513" s="1104"/>
      <c r="AG513" s="1106"/>
      <c r="AH513" s="1106"/>
      <c r="AI513" s="1106"/>
      <c r="AJ513" s="1106"/>
      <c r="AK513" s="1106"/>
      <c r="AL513" s="1106"/>
      <c r="AM513" s="1106"/>
      <c r="AN513" s="1106"/>
      <c r="AO513" s="1106"/>
      <c r="AP513" s="1106"/>
      <c r="AQ513" s="1106"/>
      <c r="AR513" s="1106"/>
      <c r="AS513" s="1106"/>
      <c r="AT513" s="1106"/>
      <c r="AU513" s="1106"/>
      <c r="AV513" s="1106"/>
      <c r="AW513" s="1106"/>
      <c r="AX513" s="1106"/>
    </row>
    <row r="514">
      <c r="T514" s="1102"/>
      <c r="U514" s="1104"/>
      <c r="V514" s="1104"/>
      <c r="W514" s="1104"/>
      <c r="X514" s="1104"/>
      <c r="Y514" s="1104"/>
      <c r="Z514" s="1104"/>
      <c r="AA514" s="1104"/>
      <c r="AB514" s="1104"/>
      <c r="AC514" s="1104"/>
      <c r="AD514" s="1104"/>
      <c r="AE514" s="1104"/>
      <c r="AF514" s="1104"/>
      <c r="AG514" s="1106"/>
      <c r="AH514" s="1106"/>
      <c r="AI514" s="1106"/>
      <c r="AJ514" s="1106"/>
      <c r="AK514" s="1106"/>
      <c r="AL514" s="1106"/>
      <c r="AM514" s="1106"/>
      <c r="AN514" s="1106"/>
      <c r="AO514" s="1106"/>
      <c r="AP514" s="1106"/>
      <c r="AQ514" s="1106"/>
      <c r="AR514" s="1106"/>
      <c r="AS514" s="1106"/>
      <c r="AT514" s="1106"/>
      <c r="AU514" s="1106"/>
      <c r="AV514" s="1106"/>
      <c r="AW514" s="1106"/>
      <c r="AX514" s="1106"/>
    </row>
    <row r="515">
      <c r="T515" s="1102"/>
      <c r="U515" s="1104"/>
      <c r="V515" s="1104"/>
      <c r="W515" s="1104"/>
      <c r="X515" s="1104"/>
      <c r="Y515" s="1104"/>
      <c r="Z515" s="1104"/>
      <c r="AA515" s="1104"/>
      <c r="AB515" s="1104"/>
      <c r="AC515" s="1104"/>
      <c r="AD515" s="1104"/>
      <c r="AE515" s="1104"/>
      <c r="AF515" s="1104"/>
      <c r="AG515" s="1106"/>
      <c r="AH515" s="1106"/>
      <c r="AI515" s="1106"/>
      <c r="AJ515" s="1106"/>
      <c r="AK515" s="1106"/>
      <c r="AL515" s="1106"/>
      <c r="AM515" s="1106"/>
      <c r="AN515" s="1106"/>
      <c r="AO515" s="1106"/>
      <c r="AP515" s="1106"/>
      <c r="AQ515" s="1106"/>
      <c r="AR515" s="1106"/>
      <c r="AS515" s="1106"/>
      <c r="AT515" s="1106"/>
      <c r="AU515" s="1106"/>
      <c r="AV515" s="1106"/>
      <c r="AW515" s="1106"/>
      <c r="AX515" s="1106"/>
    </row>
    <row r="516">
      <c r="T516" s="1102"/>
      <c r="U516" s="1104"/>
      <c r="V516" s="1104"/>
      <c r="W516" s="1104"/>
      <c r="X516" s="1104"/>
      <c r="Y516" s="1104"/>
      <c r="Z516" s="1104"/>
      <c r="AA516" s="1104"/>
      <c r="AB516" s="1104"/>
      <c r="AC516" s="1104"/>
      <c r="AD516" s="1104"/>
      <c r="AE516" s="1104"/>
      <c r="AF516" s="1104"/>
      <c r="AG516" s="1106"/>
      <c r="AH516" s="1106"/>
      <c r="AI516" s="1106"/>
      <c r="AJ516" s="1106"/>
      <c r="AK516" s="1106"/>
      <c r="AL516" s="1106"/>
      <c r="AM516" s="1106"/>
      <c r="AN516" s="1106"/>
      <c r="AO516" s="1106"/>
      <c r="AP516" s="1106"/>
      <c r="AQ516" s="1106"/>
      <c r="AR516" s="1106"/>
      <c r="AS516" s="1106"/>
      <c r="AT516" s="1106"/>
      <c r="AU516" s="1106"/>
      <c r="AV516" s="1106"/>
      <c r="AW516" s="1106"/>
      <c r="AX516" s="1106"/>
    </row>
    <row r="517">
      <c r="T517" s="1102"/>
      <c r="U517" s="1104"/>
      <c r="V517" s="1104"/>
      <c r="W517" s="1104"/>
      <c r="X517" s="1104"/>
      <c r="Y517" s="1104"/>
      <c r="Z517" s="1104"/>
      <c r="AA517" s="1104"/>
      <c r="AB517" s="1104"/>
      <c r="AC517" s="1104"/>
      <c r="AD517" s="1104"/>
      <c r="AE517" s="1104"/>
      <c r="AF517" s="1104"/>
      <c r="AG517" s="1106"/>
      <c r="AH517" s="1106"/>
      <c r="AI517" s="1106"/>
      <c r="AJ517" s="1106"/>
      <c r="AK517" s="1106"/>
      <c r="AL517" s="1106"/>
      <c r="AM517" s="1106"/>
      <c r="AN517" s="1106"/>
      <c r="AO517" s="1106"/>
      <c r="AP517" s="1106"/>
      <c r="AQ517" s="1106"/>
      <c r="AR517" s="1106"/>
      <c r="AS517" s="1106"/>
      <c r="AT517" s="1106"/>
      <c r="AU517" s="1106"/>
      <c r="AV517" s="1106"/>
      <c r="AW517" s="1106"/>
      <c r="AX517" s="1106"/>
    </row>
    <row r="518">
      <c r="T518" s="1102"/>
      <c r="U518" s="1104"/>
      <c r="V518" s="1104"/>
      <c r="W518" s="1104"/>
      <c r="X518" s="1104"/>
      <c r="Y518" s="1104"/>
      <c r="Z518" s="1104"/>
      <c r="AA518" s="1104"/>
      <c r="AB518" s="1104"/>
      <c r="AC518" s="1104"/>
      <c r="AD518" s="1104"/>
      <c r="AE518" s="1104"/>
      <c r="AF518" s="1104"/>
      <c r="AG518" s="1106"/>
      <c r="AH518" s="1106"/>
      <c r="AI518" s="1106"/>
      <c r="AJ518" s="1106"/>
      <c r="AK518" s="1106"/>
      <c r="AL518" s="1106"/>
      <c r="AM518" s="1106"/>
      <c r="AN518" s="1106"/>
      <c r="AO518" s="1106"/>
      <c r="AP518" s="1106"/>
      <c r="AQ518" s="1106"/>
      <c r="AR518" s="1106"/>
      <c r="AS518" s="1106"/>
      <c r="AT518" s="1106"/>
      <c r="AU518" s="1106"/>
      <c r="AV518" s="1106"/>
      <c r="AW518" s="1106"/>
      <c r="AX518" s="1106"/>
    </row>
    <row r="519">
      <c r="T519" s="1102"/>
      <c r="U519" s="1104"/>
      <c r="V519" s="1104"/>
      <c r="W519" s="1104"/>
      <c r="X519" s="1104"/>
      <c r="Y519" s="1104"/>
      <c r="Z519" s="1104"/>
      <c r="AA519" s="1104"/>
      <c r="AB519" s="1104"/>
      <c r="AC519" s="1104"/>
      <c r="AD519" s="1104"/>
      <c r="AE519" s="1104"/>
      <c r="AF519" s="1104"/>
      <c r="AG519" s="1106"/>
      <c r="AH519" s="1106"/>
      <c r="AI519" s="1106"/>
      <c r="AJ519" s="1106"/>
      <c r="AK519" s="1106"/>
      <c r="AL519" s="1106"/>
      <c r="AM519" s="1106"/>
      <c r="AN519" s="1106"/>
      <c r="AO519" s="1106"/>
      <c r="AP519" s="1106"/>
      <c r="AQ519" s="1106"/>
      <c r="AR519" s="1106"/>
      <c r="AS519" s="1106"/>
      <c r="AT519" s="1106"/>
      <c r="AU519" s="1106"/>
      <c r="AV519" s="1106"/>
      <c r="AW519" s="1106"/>
      <c r="AX519" s="1106"/>
    </row>
    <row r="520">
      <c r="T520" s="1102"/>
      <c r="U520" s="1104"/>
      <c r="V520" s="1104"/>
      <c r="W520" s="1104"/>
      <c r="X520" s="1104"/>
      <c r="Y520" s="1104"/>
      <c r="Z520" s="1104"/>
      <c r="AA520" s="1104"/>
      <c r="AB520" s="1104"/>
      <c r="AC520" s="1104"/>
      <c r="AD520" s="1104"/>
      <c r="AE520" s="1104"/>
      <c r="AF520" s="1104"/>
      <c r="AG520" s="1106"/>
      <c r="AH520" s="1106"/>
      <c r="AI520" s="1106"/>
      <c r="AJ520" s="1106"/>
      <c r="AK520" s="1106"/>
      <c r="AL520" s="1106"/>
      <c r="AM520" s="1106"/>
      <c r="AN520" s="1106"/>
      <c r="AO520" s="1106"/>
      <c r="AP520" s="1106"/>
      <c r="AQ520" s="1106"/>
      <c r="AR520" s="1106"/>
      <c r="AS520" s="1106"/>
      <c r="AT520" s="1106"/>
      <c r="AU520" s="1106"/>
      <c r="AV520" s="1106"/>
      <c r="AW520" s="1106"/>
      <c r="AX520" s="1106"/>
    </row>
    <row r="521">
      <c r="T521" s="1102"/>
      <c r="U521" s="1104"/>
      <c r="V521" s="1104"/>
      <c r="W521" s="1104"/>
      <c r="X521" s="1104"/>
      <c r="Y521" s="1104"/>
      <c r="Z521" s="1104"/>
      <c r="AA521" s="1104"/>
      <c r="AB521" s="1104"/>
      <c r="AC521" s="1104"/>
      <c r="AD521" s="1104"/>
      <c r="AE521" s="1104"/>
      <c r="AF521" s="1104"/>
      <c r="AG521" s="1106"/>
      <c r="AH521" s="1106"/>
      <c r="AI521" s="1106"/>
      <c r="AJ521" s="1106"/>
      <c r="AK521" s="1106"/>
      <c r="AL521" s="1106"/>
      <c r="AM521" s="1106"/>
      <c r="AN521" s="1106"/>
      <c r="AO521" s="1106"/>
      <c r="AP521" s="1106"/>
      <c r="AQ521" s="1106"/>
      <c r="AR521" s="1106"/>
      <c r="AS521" s="1106"/>
      <c r="AT521" s="1106"/>
      <c r="AU521" s="1106"/>
      <c r="AV521" s="1106"/>
      <c r="AW521" s="1106"/>
      <c r="AX521" s="1106"/>
    </row>
    <row r="522">
      <c r="T522" s="1102"/>
      <c r="U522" s="1104"/>
      <c r="V522" s="1104"/>
      <c r="W522" s="1104"/>
      <c r="X522" s="1104"/>
      <c r="Y522" s="1104"/>
      <c r="Z522" s="1104"/>
      <c r="AA522" s="1104"/>
      <c r="AB522" s="1104"/>
      <c r="AC522" s="1104"/>
      <c r="AD522" s="1104"/>
      <c r="AE522" s="1104"/>
      <c r="AF522" s="1104"/>
      <c r="AG522" s="1106"/>
      <c r="AH522" s="1106"/>
      <c r="AI522" s="1106"/>
      <c r="AJ522" s="1106"/>
      <c r="AK522" s="1106"/>
      <c r="AL522" s="1106"/>
      <c r="AM522" s="1106"/>
      <c r="AN522" s="1106"/>
      <c r="AO522" s="1106"/>
      <c r="AP522" s="1106"/>
      <c r="AQ522" s="1106"/>
      <c r="AR522" s="1106"/>
      <c r="AS522" s="1106"/>
      <c r="AT522" s="1106"/>
      <c r="AU522" s="1106"/>
      <c r="AV522" s="1106"/>
      <c r="AW522" s="1106"/>
      <c r="AX522" s="1106"/>
    </row>
    <row r="523">
      <c r="T523" s="1102"/>
      <c r="U523" s="1104"/>
      <c r="V523" s="1104"/>
      <c r="W523" s="1104"/>
      <c r="X523" s="1104"/>
      <c r="Y523" s="1104"/>
      <c r="Z523" s="1104"/>
      <c r="AA523" s="1104"/>
      <c r="AB523" s="1104"/>
      <c r="AC523" s="1104"/>
      <c r="AD523" s="1104"/>
      <c r="AE523" s="1104"/>
      <c r="AF523" s="1104"/>
      <c r="AG523" s="1106"/>
      <c r="AH523" s="1106"/>
      <c r="AI523" s="1106"/>
      <c r="AJ523" s="1106"/>
      <c r="AK523" s="1106"/>
      <c r="AL523" s="1106"/>
      <c r="AM523" s="1106"/>
      <c r="AN523" s="1106"/>
      <c r="AO523" s="1106"/>
      <c r="AP523" s="1106"/>
      <c r="AQ523" s="1106"/>
      <c r="AR523" s="1106"/>
      <c r="AS523" s="1106"/>
      <c r="AT523" s="1106"/>
      <c r="AU523" s="1106"/>
      <c r="AV523" s="1106"/>
      <c r="AW523" s="1106"/>
      <c r="AX523" s="1106"/>
    </row>
    <row r="524">
      <c r="T524" s="1102"/>
      <c r="U524" s="1104"/>
      <c r="V524" s="1104"/>
      <c r="W524" s="1104"/>
      <c r="X524" s="1104"/>
      <c r="Y524" s="1104"/>
      <c r="Z524" s="1104"/>
      <c r="AA524" s="1104"/>
      <c r="AB524" s="1104"/>
      <c r="AC524" s="1104"/>
      <c r="AD524" s="1104"/>
      <c r="AE524" s="1104"/>
      <c r="AF524" s="1104"/>
      <c r="AG524" s="1106"/>
      <c r="AH524" s="1106"/>
      <c r="AI524" s="1106"/>
      <c r="AJ524" s="1106"/>
      <c r="AK524" s="1106"/>
      <c r="AL524" s="1106"/>
      <c r="AM524" s="1106"/>
      <c r="AN524" s="1106"/>
      <c r="AO524" s="1106"/>
      <c r="AP524" s="1106"/>
      <c r="AQ524" s="1106"/>
      <c r="AR524" s="1106"/>
      <c r="AS524" s="1106"/>
      <c r="AT524" s="1106"/>
      <c r="AU524" s="1106"/>
      <c r="AV524" s="1106"/>
      <c r="AW524" s="1106"/>
      <c r="AX524" s="1106"/>
    </row>
    <row r="525">
      <c r="T525" s="1102"/>
      <c r="U525" s="1104"/>
      <c r="V525" s="1104"/>
      <c r="W525" s="1104"/>
      <c r="X525" s="1104"/>
      <c r="Y525" s="1104"/>
      <c r="Z525" s="1104"/>
      <c r="AA525" s="1104"/>
      <c r="AB525" s="1104"/>
      <c r="AC525" s="1104"/>
      <c r="AD525" s="1104"/>
      <c r="AE525" s="1104"/>
      <c r="AF525" s="1104"/>
      <c r="AG525" s="1106"/>
      <c r="AH525" s="1106"/>
      <c r="AI525" s="1106"/>
      <c r="AJ525" s="1106"/>
      <c r="AK525" s="1106"/>
      <c r="AL525" s="1106"/>
      <c r="AM525" s="1106"/>
      <c r="AN525" s="1106"/>
      <c r="AO525" s="1106"/>
      <c r="AP525" s="1106"/>
      <c r="AQ525" s="1106"/>
      <c r="AR525" s="1106"/>
      <c r="AS525" s="1106"/>
      <c r="AT525" s="1106"/>
      <c r="AU525" s="1106"/>
      <c r="AV525" s="1106"/>
      <c r="AW525" s="1106"/>
      <c r="AX525" s="1106"/>
    </row>
    <row r="526">
      <c r="T526" s="1102"/>
      <c r="U526" s="1104"/>
      <c r="V526" s="1104"/>
      <c r="W526" s="1104"/>
      <c r="X526" s="1104"/>
      <c r="Y526" s="1104"/>
      <c r="Z526" s="1104"/>
      <c r="AA526" s="1104"/>
      <c r="AB526" s="1104"/>
      <c r="AC526" s="1104"/>
      <c r="AD526" s="1104"/>
      <c r="AE526" s="1104"/>
      <c r="AF526" s="1104"/>
      <c r="AG526" s="1106"/>
      <c r="AH526" s="1106"/>
      <c r="AI526" s="1106"/>
      <c r="AJ526" s="1106"/>
      <c r="AK526" s="1106"/>
      <c r="AL526" s="1106"/>
      <c r="AM526" s="1106"/>
      <c r="AN526" s="1106"/>
      <c r="AO526" s="1106"/>
      <c r="AP526" s="1106"/>
      <c r="AQ526" s="1106"/>
      <c r="AR526" s="1106"/>
      <c r="AS526" s="1106"/>
      <c r="AT526" s="1106"/>
      <c r="AU526" s="1106"/>
      <c r="AV526" s="1106"/>
      <c r="AW526" s="1106"/>
      <c r="AX526" s="1106"/>
    </row>
    <row r="527">
      <c r="T527" s="1102"/>
      <c r="U527" s="1104"/>
      <c r="V527" s="1104"/>
      <c r="W527" s="1104"/>
      <c r="X527" s="1104"/>
      <c r="Y527" s="1104"/>
      <c r="Z527" s="1104"/>
      <c r="AA527" s="1104"/>
      <c r="AB527" s="1104"/>
      <c r="AC527" s="1104"/>
      <c r="AD527" s="1104"/>
      <c r="AE527" s="1104"/>
      <c r="AF527" s="1104"/>
      <c r="AG527" s="1106"/>
      <c r="AH527" s="1106"/>
      <c r="AI527" s="1106"/>
      <c r="AJ527" s="1106"/>
      <c r="AK527" s="1106"/>
      <c r="AL527" s="1106"/>
      <c r="AM527" s="1106"/>
      <c r="AN527" s="1106"/>
      <c r="AO527" s="1106"/>
      <c r="AP527" s="1106"/>
      <c r="AQ527" s="1106"/>
      <c r="AR527" s="1106"/>
      <c r="AS527" s="1106"/>
      <c r="AT527" s="1106"/>
      <c r="AU527" s="1106"/>
      <c r="AV527" s="1106"/>
      <c r="AW527" s="1106"/>
      <c r="AX527" s="1106"/>
    </row>
    <row r="528">
      <c r="T528" s="1102"/>
      <c r="U528" s="1104"/>
      <c r="V528" s="1104"/>
      <c r="W528" s="1104"/>
      <c r="X528" s="1104"/>
      <c r="Y528" s="1104"/>
      <c r="Z528" s="1104"/>
      <c r="AA528" s="1104"/>
      <c r="AB528" s="1104"/>
      <c r="AC528" s="1104"/>
      <c r="AD528" s="1104"/>
      <c r="AE528" s="1104"/>
      <c r="AF528" s="1104"/>
      <c r="AG528" s="1106"/>
      <c r="AH528" s="1106"/>
      <c r="AI528" s="1106"/>
      <c r="AJ528" s="1106"/>
      <c r="AK528" s="1106"/>
      <c r="AL528" s="1106"/>
      <c r="AM528" s="1106"/>
      <c r="AN528" s="1106"/>
      <c r="AO528" s="1106"/>
      <c r="AP528" s="1106"/>
      <c r="AQ528" s="1106"/>
      <c r="AR528" s="1106"/>
      <c r="AS528" s="1106"/>
      <c r="AT528" s="1106"/>
      <c r="AU528" s="1106"/>
      <c r="AV528" s="1106"/>
      <c r="AW528" s="1106"/>
      <c r="AX528" s="1106"/>
    </row>
    <row r="529">
      <c r="T529" s="1102"/>
      <c r="U529" s="1104"/>
      <c r="V529" s="1104"/>
      <c r="W529" s="1104"/>
      <c r="X529" s="1104"/>
      <c r="Y529" s="1104"/>
      <c r="Z529" s="1104"/>
      <c r="AA529" s="1104"/>
      <c r="AB529" s="1104"/>
      <c r="AC529" s="1104"/>
      <c r="AD529" s="1104"/>
      <c r="AE529" s="1104"/>
      <c r="AF529" s="1104"/>
      <c r="AG529" s="1106"/>
      <c r="AH529" s="1106"/>
      <c r="AI529" s="1106"/>
      <c r="AJ529" s="1106"/>
      <c r="AK529" s="1106"/>
      <c r="AL529" s="1106"/>
      <c r="AM529" s="1106"/>
      <c r="AN529" s="1106"/>
      <c r="AO529" s="1106"/>
      <c r="AP529" s="1106"/>
      <c r="AQ529" s="1106"/>
      <c r="AR529" s="1106"/>
      <c r="AS529" s="1106"/>
      <c r="AT529" s="1106"/>
      <c r="AU529" s="1106"/>
      <c r="AV529" s="1106"/>
      <c r="AW529" s="1106"/>
      <c r="AX529" s="1106"/>
    </row>
    <row r="530">
      <c r="T530" s="1102"/>
      <c r="U530" s="1104"/>
      <c r="V530" s="1104"/>
      <c r="W530" s="1104"/>
      <c r="X530" s="1104"/>
      <c r="Y530" s="1104"/>
      <c r="Z530" s="1104"/>
      <c r="AA530" s="1104"/>
      <c r="AB530" s="1104"/>
      <c r="AC530" s="1104"/>
      <c r="AD530" s="1104"/>
      <c r="AE530" s="1104"/>
      <c r="AF530" s="1104"/>
      <c r="AG530" s="1106"/>
      <c r="AH530" s="1106"/>
      <c r="AI530" s="1106"/>
      <c r="AJ530" s="1106"/>
      <c r="AK530" s="1106"/>
      <c r="AL530" s="1106"/>
      <c r="AM530" s="1106"/>
      <c r="AN530" s="1106"/>
      <c r="AO530" s="1106"/>
      <c r="AP530" s="1106"/>
      <c r="AQ530" s="1106"/>
      <c r="AR530" s="1106"/>
      <c r="AS530" s="1106"/>
      <c r="AT530" s="1106"/>
      <c r="AU530" s="1106"/>
      <c r="AV530" s="1106"/>
      <c r="AW530" s="1106"/>
      <c r="AX530" s="1106"/>
    </row>
    <row r="531">
      <c r="T531" s="1102"/>
      <c r="U531" s="1104"/>
      <c r="V531" s="1104"/>
      <c r="W531" s="1104"/>
      <c r="X531" s="1104"/>
      <c r="Y531" s="1104"/>
      <c r="Z531" s="1104"/>
      <c r="AA531" s="1104"/>
      <c r="AB531" s="1104"/>
      <c r="AC531" s="1104"/>
      <c r="AD531" s="1104"/>
      <c r="AE531" s="1104"/>
      <c r="AF531" s="1104"/>
      <c r="AG531" s="1106"/>
      <c r="AH531" s="1106"/>
      <c r="AI531" s="1106"/>
      <c r="AJ531" s="1106"/>
      <c r="AK531" s="1106"/>
      <c r="AL531" s="1106"/>
      <c r="AM531" s="1106"/>
      <c r="AN531" s="1106"/>
      <c r="AO531" s="1106"/>
      <c r="AP531" s="1106"/>
      <c r="AQ531" s="1106"/>
      <c r="AR531" s="1106"/>
      <c r="AS531" s="1106"/>
      <c r="AT531" s="1106"/>
      <c r="AU531" s="1106"/>
      <c r="AV531" s="1106"/>
      <c r="AW531" s="1106"/>
      <c r="AX531" s="1106"/>
    </row>
    <row r="532">
      <c r="T532" s="1102"/>
      <c r="U532" s="1104"/>
      <c r="V532" s="1104"/>
      <c r="W532" s="1104"/>
      <c r="X532" s="1104"/>
      <c r="Y532" s="1104"/>
      <c r="Z532" s="1104"/>
      <c r="AA532" s="1104"/>
      <c r="AB532" s="1104"/>
      <c r="AC532" s="1104"/>
      <c r="AD532" s="1104"/>
      <c r="AE532" s="1104"/>
      <c r="AF532" s="1104"/>
      <c r="AG532" s="1106"/>
      <c r="AH532" s="1106"/>
      <c r="AI532" s="1106"/>
      <c r="AJ532" s="1106"/>
      <c r="AK532" s="1106"/>
      <c r="AL532" s="1106"/>
      <c r="AM532" s="1106"/>
      <c r="AN532" s="1106"/>
      <c r="AO532" s="1106"/>
      <c r="AP532" s="1106"/>
      <c r="AQ532" s="1106"/>
      <c r="AR532" s="1106"/>
      <c r="AS532" s="1106"/>
      <c r="AT532" s="1106"/>
      <c r="AU532" s="1106"/>
      <c r="AV532" s="1106"/>
      <c r="AW532" s="1106"/>
      <c r="AX532" s="1106"/>
    </row>
    <row r="533">
      <c r="T533" s="1102"/>
      <c r="U533" s="1104"/>
      <c r="V533" s="1104"/>
      <c r="W533" s="1104"/>
      <c r="X533" s="1104"/>
      <c r="Y533" s="1104"/>
      <c r="Z533" s="1104"/>
      <c r="AA533" s="1104"/>
      <c r="AB533" s="1104"/>
      <c r="AC533" s="1104"/>
      <c r="AD533" s="1104"/>
      <c r="AE533" s="1104"/>
      <c r="AF533" s="1104"/>
      <c r="AG533" s="1106"/>
      <c r="AH533" s="1106"/>
      <c r="AI533" s="1106"/>
      <c r="AJ533" s="1106"/>
      <c r="AK533" s="1106"/>
      <c r="AL533" s="1106"/>
      <c r="AM533" s="1106"/>
      <c r="AN533" s="1106"/>
      <c r="AO533" s="1106"/>
      <c r="AP533" s="1106"/>
      <c r="AQ533" s="1106"/>
      <c r="AR533" s="1106"/>
      <c r="AS533" s="1106"/>
      <c r="AT533" s="1106"/>
      <c r="AU533" s="1106"/>
      <c r="AV533" s="1106"/>
      <c r="AW533" s="1106"/>
      <c r="AX533" s="1106"/>
    </row>
    <row r="534">
      <c r="T534" s="1102"/>
      <c r="U534" s="1104"/>
      <c r="V534" s="1104"/>
      <c r="W534" s="1104"/>
      <c r="X534" s="1104"/>
      <c r="Y534" s="1104"/>
      <c r="Z534" s="1104"/>
      <c r="AA534" s="1104"/>
      <c r="AB534" s="1104"/>
      <c r="AC534" s="1104"/>
      <c r="AD534" s="1104"/>
      <c r="AE534" s="1104"/>
      <c r="AF534" s="1104"/>
      <c r="AG534" s="1106"/>
      <c r="AH534" s="1106"/>
      <c r="AI534" s="1106"/>
      <c r="AJ534" s="1106"/>
      <c r="AK534" s="1106"/>
      <c r="AL534" s="1106"/>
      <c r="AM534" s="1106"/>
      <c r="AN534" s="1106"/>
      <c r="AO534" s="1106"/>
      <c r="AP534" s="1106"/>
      <c r="AQ534" s="1106"/>
      <c r="AR534" s="1106"/>
      <c r="AS534" s="1106"/>
      <c r="AT534" s="1106"/>
      <c r="AU534" s="1106"/>
      <c r="AV534" s="1106"/>
      <c r="AW534" s="1106"/>
      <c r="AX534" s="1106"/>
    </row>
    <row r="535">
      <c r="T535" s="1102"/>
      <c r="U535" s="1104"/>
      <c r="V535" s="1104"/>
      <c r="W535" s="1104"/>
      <c r="X535" s="1104"/>
      <c r="Y535" s="1104"/>
      <c r="Z535" s="1104"/>
      <c r="AA535" s="1104"/>
      <c r="AB535" s="1104"/>
      <c r="AC535" s="1104"/>
      <c r="AD535" s="1104"/>
      <c r="AE535" s="1104"/>
      <c r="AF535" s="1104"/>
      <c r="AG535" s="1106"/>
      <c r="AH535" s="1106"/>
      <c r="AI535" s="1106"/>
      <c r="AJ535" s="1106"/>
      <c r="AK535" s="1106"/>
      <c r="AL535" s="1106"/>
      <c r="AM535" s="1106"/>
      <c r="AN535" s="1106"/>
      <c r="AO535" s="1106"/>
      <c r="AP535" s="1106"/>
      <c r="AQ535" s="1106"/>
      <c r="AR535" s="1106"/>
      <c r="AS535" s="1106"/>
      <c r="AT535" s="1106"/>
      <c r="AU535" s="1106"/>
      <c r="AV535" s="1106"/>
      <c r="AW535" s="1106"/>
      <c r="AX535" s="1106"/>
    </row>
    <row r="536">
      <c r="T536" s="1102"/>
      <c r="U536" s="1104"/>
      <c r="V536" s="1104"/>
      <c r="W536" s="1104"/>
      <c r="X536" s="1104"/>
      <c r="Y536" s="1104"/>
      <c r="Z536" s="1104"/>
      <c r="AA536" s="1104"/>
      <c r="AB536" s="1104"/>
      <c r="AC536" s="1104"/>
      <c r="AD536" s="1104"/>
      <c r="AE536" s="1104"/>
      <c r="AF536" s="1104"/>
      <c r="AG536" s="1106"/>
      <c r="AH536" s="1106"/>
      <c r="AI536" s="1106"/>
      <c r="AJ536" s="1106"/>
      <c r="AK536" s="1106"/>
      <c r="AL536" s="1106"/>
      <c r="AM536" s="1106"/>
      <c r="AN536" s="1106"/>
      <c r="AO536" s="1106"/>
      <c r="AP536" s="1106"/>
      <c r="AQ536" s="1106"/>
      <c r="AR536" s="1106"/>
      <c r="AS536" s="1106"/>
      <c r="AT536" s="1106"/>
      <c r="AU536" s="1106"/>
      <c r="AV536" s="1106"/>
      <c r="AW536" s="1106"/>
      <c r="AX536" s="1106"/>
    </row>
    <row r="537">
      <c r="T537" s="1102"/>
      <c r="U537" s="1104"/>
      <c r="V537" s="1104"/>
      <c r="W537" s="1104"/>
      <c r="X537" s="1104"/>
      <c r="Y537" s="1104"/>
      <c r="Z537" s="1104"/>
      <c r="AA537" s="1104"/>
      <c r="AB537" s="1104"/>
      <c r="AC537" s="1104"/>
      <c r="AD537" s="1104"/>
      <c r="AE537" s="1104"/>
      <c r="AF537" s="1104"/>
      <c r="AG537" s="1106"/>
      <c r="AH537" s="1106"/>
      <c r="AI537" s="1106"/>
      <c r="AJ537" s="1106"/>
      <c r="AK537" s="1106"/>
      <c r="AL537" s="1106"/>
      <c r="AM537" s="1106"/>
      <c r="AN537" s="1106"/>
      <c r="AO537" s="1106"/>
      <c r="AP537" s="1106"/>
      <c r="AQ537" s="1106"/>
      <c r="AR537" s="1106"/>
      <c r="AS537" s="1106"/>
      <c r="AT537" s="1106"/>
      <c r="AU537" s="1106"/>
      <c r="AV537" s="1106"/>
      <c r="AW537" s="1106"/>
      <c r="AX537" s="1106"/>
    </row>
    <row r="538">
      <c r="T538" s="1102"/>
      <c r="U538" s="1104"/>
      <c r="V538" s="1104"/>
      <c r="W538" s="1104"/>
      <c r="X538" s="1104"/>
      <c r="Y538" s="1104"/>
      <c r="Z538" s="1104"/>
      <c r="AA538" s="1104"/>
      <c r="AB538" s="1104"/>
      <c r="AC538" s="1104"/>
      <c r="AD538" s="1104"/>
      <c r="AE538" s="1104"/>
      <c r="AF538" s="1104"/>
      <c r="AG538" s="1106"/>
      <c r="AH538" s="1106"/>
      <c r="AI538" s="1106"/>
      <c r="AJ538" s="1106"/>
      <c r="AK538" s="1106"/>
      <c r="AL538" s="1106"/>
      <c r="AM538" s="1106"/>
      <c r="AN538" s="1106"/>
      <c r="AO538" s="1106"/>
      <c r="AP538" s="1106"/>
      <c r="AQ538" s="1106"/>
      <c r="AR538" s="1106"/>
      <c r="AS538" s="1106"/>
      <c r="AT538" s="1106"/>
      <c r="AU538" s="1106"/>
      <c r="AV538" s="1106"/>
      <c r="AW538" s="1106"/>
      <c r="AX538" s="1106"/>
    </row>
    <row r="539">
      <c r="T539" s="1102"/>
      <c r="U539" s="1104"/>
      <c r="V539" s="1104"/>
      <c r="W539" s="1104"/>
      <c r="X539" s="1104"/>
      <c r="Y539" s="1104"/>
      <c r="Z539" s="1104"/>
      <c r="AA539" s="1104"/>
      <c r="AB539" s="1104"/>
      <c r="AC539" s="1104"/>
      <c r="AD539" s="1104"/>
      <c r="AE539" s="1104"/>
      <c r="AF539" s="1104"/>
      <c r="AG539" s="1106"/>
      <c r="AH539" s="1106"/>
      <c r="AI539" s="1106"/>
      <c r="AJ539" s="1106"/>
      <c r="AK539" s="1106"/>
      <c r="AL539" s="1106"/>
      <c r="AM539" s="1106"/>
      <c r="AN539" s="1106"/>
      <c r="AO539" s="1106"/>
      <c r="AP539" s="1106"/>
      <c r="AQ539" s="1106"/>
      <c r="AR539" s="1106"/>
      <c r="AS539" s="1106"/>
      <c r="AT539" s="1106"/>
      <c r="AU539" s="1106"/>
      <c r="AV539" s="1106"/>
      <c r="AW539" s="1106"/>
      <c r="AX539" s="1106"/>
    </row>
    <row r="540">
      <c r="T540" s="1102"/>
      <c r="U540" s="1104"/>
      <c r="V540" s="1104"/>
      <c r="W540" s="1104"/>
      <c r="X540" s="1104"/>
      <c r="Y540" s="1104"/>
      <c r="Z540" s="1104"/>
      <c r="AA540" s="1104"/>
      <c r="AB540" s="1104"/>
      <c r="AC540" s="1104"/>
      <c r="AD540" s="1104"/>
      <c r="AE540" s="1104"/>
      <c r="AF540" s="1104"/>
      <c r="AG540" s="1106"/>
      <c r="AH540" s="1106"/>
      <c r="AI540" s="1106"/>
      <c r="AJ540" s="1106"/>
      <c r="AK540" s="1106"/>
      <c r="AL540" s="1106"/>
      <c r="AM540" s="1106"/>
      <c r="AN540" s="1106"/>
      <c r="AO540" s="1106"/>
      <c r="AP540" s="1106"/>
      <c r="AQ540" s="1106"/>
      <c r="AR540" s="1106"/>
      <c r="AS540" s="1106"/>
      <c r="AT540" s="1106"/>
      <c r="AU540" s="1106"/>
      <c r="AV540" s="1106"/>
      <c r="AW540" s="1106"/>
      <c r="AX540" s="1106"/>
    </row>
    <row r="541">
      <c r="T541" s="1102"/>
      <c r="U541" s="1104"/>
      <c r="V541" s="1104"/>
      <c r="W541" s="1104"/>
      <c r="X541" s="1104"/>
      <c r="Y541" s="1104"/>
      <c r="Z541" s="1104"/>
      <c r="AA541" s="1104"/>
      <c r="AB541" s="1104"/>
      <c r="AC541" s="1104"/>
      <c r="AD541" s="1104"/>
      <c r="AE541" s="1104"/>
      <c r="AF541" s="1104"/>
      <c r="AG541" s="1106"/>
      <c r="AH541" s="1106"/>
      <c r="AI541" s="1106"/>
      <c r="AJ541" s="1106"/>
      <c r="AK541" s="1106"/>
      <c r="AL541" s="1106"/>
      <c r="AM541" s="1106"/>
      <c r="AN541" s="1106"/>
      <c r="AO541" s="1106"/>
      <c r="AP541" s="1106"/>
      <c r="AQ541" s="1106"/>
      <c r="AR541" s="1106"/>
      <c r="AS541" s="1106"/>
      <c r="AT541" s="1106"/>
      <c r="AU541" s="1106"/>
      <c r="AV541" s="1106"/>
      <c r="AW541" s="1106"/>
      <c r="AX541" s="1106"/>
    </row>
    <row r="542">
      <c r="T542" s="1102"/>
      <c r="U542" s="1104"/>
      <c r="V542" s="1104"/>
      <c r="W542" s="1104"/>
      <c r="X542" s="1104"/>
      <c r="Y542" s="1104"/>
      <c r="Z542" s="1104"/>
      <c r="AA542" s="1104"/>
      <c r="AB542" s="1104"/>
      <c r="AC542" s="1104"/>
      <c r="AD542" s="1104"/>
      <c r="AE542" s="1104"/>
      <c r="AF542" s="1104"/>
      <c r="AG542" s="1106"/>
      <c r="AH542" s="1106"/>
      <c r="AI542" s="1106"/>
      <c r="AJ542" s="1106"/>
      <c r="AK542" s="1106"/>
      <c r="AL542" s="1106"/>
      <c r="AM542" s="1106"/>
      <c r="AN542" s="1106"/>
      <c r="AO542" s="1106"/>
      <c r="AP542" s="1106"/>
      <c r="AQ542" s="1106"/>
      <c r="AR542" s="1106"/>
      <c r="AS542" s="1106"/>
      <c r="AT542" s="1106"/>
      <c r="AU542" s="1106"/>
      <c r="AV542" s="1106"/>
      <c r="AW542" s="1106"/>
      <c r="AX542" s="1106"/>
    </row>
    <row r="543">
      <c r="T543" s="1102"/>
      <c r="U543" s="1104"/>
      <c r="V543" s="1104"/>
      <c r="W543" s="1104"/>
      <c r="X543" s="1104"/>
      <c r="Y543" s="1104"/>
      <c r="Z543" s="1104"/>
      <c r="AA543" s="1104"/>
      <c r="AB543" s="1104"/>
      <c r="AC543" s="1104"/>
      <c r="AD543" s="1104"/>
      <c r="AE543" s="1104"/>
      <c r="AF543" s="1104"/>
      <c r="AG543" s="1106"/>
      <c r="AH543" s="1106"/>
      <c r="AI543" s="1106"/>
      <c r="AJ543" s="1106"/>
      <c r="AK543" s="1106"/>
      <c r="AL543" s="1106"/>
      <c r="AM543" s="1106"/>
      <c r="AN543" s="1106"/>
      <c r="AO543" s="1106"/>
      <c r="AP543" s="1106"/>
      <c r="AQ543" s="1106"/>
      <c r="AR543" s="1106"/>
      <c r="AS543" s="1106"/>
      <c r="AT543" s="1106"/>
      <c r="AU543" s="1106"/>
      <c r="AV543" s="1106"/>
      <c r="AW543" s="1106"/>
      <c r="AX543" s="1106"/>
    </row>
    <row r="544">
      <c r="T544" s="1102"/>
      <c r="U544" s="1104"/>
      <c r="V544" s="1104"/>
      <c r="W544" s="1104"/>
      <c r="X544" s="1104"/>
      <c r="Y544" s="1104"/>
      <c r="Z544" s="1104"/>
      <c r="AA544" s="1104"/>
      <c r="AB544" s="1104"/>
      <c r="AC544" s="1104"/>
      <c r="AD544" s="1104"/>
      <c r="AE544" s="1104"/>
      <c r="AF544" s="1104"/>
      <c r="AG544" s="1106"/>
      <c r="AH544" s="1106"/>
      <c r="AI544" s="1106"/>
      <c r="AJ544" s="1106"/>
      <c r="AK544" s="1106"/>
      <c r="AL544" s="1106"/>
      <c r="AM544" s="1106"/>
      <c r="AN544" s="1106"/>
      <c r="AO544" s="1106"/>
      <c r="AP544" s="1106"/>
      <c r="AQ544" s="1106"/>
      <c r="AR544" s="1106"/>
      <c r="AS544" s="1106"/>
      <c r="AT544" s="1106"/>
      <c r="AU544" s="1106"/>
      <c r="AV544" s="1106"/>
      <c r="AW544" s="1106"/>
      <c r="AX544" s="1106"/>
    </row>
    <row r="545">
      <c r="T545" s="1102"/>
      <c r="U545" s="1104"/>
      <c r="V545" s="1104"/>
      <c r="W545" s="1104"/>
      <c r="X545" s="1104"/>
      <c r="Y545" s="1104"/>
      <c r="Z545" s="1104"/>
      <c r="AA545" s="1104"/>
      <c r="AB545" s="1104"/>
      <c r="AC545" s="1104"/>
      <c r="AD545" s="1104"/>
      <c r="AE545" s="1104"/>
      <c r="AF545" s="1104"/>
      <c r="AG545" s="1106"/>
      <c r="AH545" s="1106"/>
      <c r="AI545" s="1106"/>
      <c r="AJ545" s="1106"/>
      <c r="AK545" s="1106"/>
      <c r="AL545" s="1106"/>
      <c r="AM545" s="1106"/>
      <c r="AN545" s="1106"/>
      <c r="AO545" s="1106"/>
      <c r="AP545" s="1106"/>
      <c r="AQ545" s="1106"/>
      <c r="AR545" s="1106"/>
      <c r="AS545" s="1106"/>
      <c r="AT545" s="1106"/>
      <c r="AU545" s="1106"/>
      <c r="AV545" s="1106"/>
      <c r="AW545" s="1106"/>
      <c r="AX545" s="1106"/>
    </row>
    <row r="546">
      <c r="T546" s="1102"/>
      <c r="U546" s="1104"/>
      <c r="V546" s="1104"/>
      <c r="W546" s="1104"/>
      <c r="X546" s="1104"/>
      <c r="Y546" s="1104"/>
      <c r="Z546" s="1104"/>
      <c r="AA546" s="1104"/>
      <c r="AB546" s="1104"/>
      <c r="AC546" s="1104"/>
      <c r="AD546" s="1104"/>
      <c r="AE546" s="1104"/>
      <c r="AF546" s="1104"/>
      <c r="AG546" s="1106"/>
      <c r="AH546" s="1106"/>
      <c r="AI546" s="1106"/>
      <c r="AJ546" s="1106"/>
      <c r="AK546" s="1106"/>
      <c r="AL546" s="1106"/>
      <c r="AM546" s="1106"/>
      <c r="AN546" s="1106"/>
      <c r="AO546" s="1106"/>
      <c r="AP546" s="1106"/>
      <c r="AQ546" s="1106"/>
      <c r="AR546" s="1106"/>
      <c r="AS546" s="1106"/>
      <c r="AT546" s="1106"/>
      <c r="AU546" s="1106"/>
      <c r="AV546" s="1106"/>
      <c r="AW546" s="1106"/>
      <c r="AX546" s="1106"/>
    </row>
    <row r="547">
      <c r="T547" s="1102"/>
      <c r="U547" s="1104"/>
      <c r="V547" s="1104"/>
      <c r="W547" s="1104"/>
      <c r="X547" s="1104"/>
      <c r="Y547" s="1104"/>
      <c r="Z547" s="1104"/>
      <c r="AA547" s="1104"/>
      <c r="AB547" s="1104"/>
      <c r="AC547" s="1104"/>
      <c r="AD547" s="1104"/>
      <c r="AE547" s="1104"/>
      <c r="AF547" s="1104"/>
      <c r="AG547" s="1106"/>
      <c r="AH547" s="1106"/>
      <c r="AI547" s="1106"/>
      <c r="AJ547" s="1106"/>
      <c r="AK547" s="1106"/>
      <c r="AL547" s="1106"/>
      <c r="AM547" s="1106"/>
      <c r="AN547" s="1106"/>
      <c r="AO547" s="1106"/>
      <c r="AP547" s="1106"/>
      <c r="AQ547" s="1106"/>
      <c r="AR547" s="1106"/>
      <c r="AS547" s="1106"/>
      <c r="AT547" s="1106"/>
      <c r="AU547" s="1106"/>
      <c r="AV547" s="1106"/>
      <c r="AW547" s="1106"/>
      <c r="AX547" s="1106"/>
    </row>
    <row r="548">
      <c r="T548" s="1102"/>
      <c r="U548" s="1104"/>
      <c r="V548" s="1104"/>
      <c r="W548" s="1104"/>
      <c r="X548" s="1104"/>
      <c r="Y548" s="1104"/>
      <c r="Z548" s="1104"/>
      <c r="AA548" s="1104"/>
      <c r="AB548" s="1104"/>
      <c r="AC548" s="1104"/>
      <c r="AD548" s="1104"/>
      <c r="AE548" s="1104"/>
      <c r="AF548" s="1104"/>
      <c r="AG548" s="1106"/>
      <c r="AH548" s="1106"/>
      <c r="AI548" s="1106"/>
      <c r="AJ548" s="1106"/>
      <c r="AK548" s="1106"/>
      <c r="AL548" s="1106"/>
      <c r="AM548" s="1106"/>
      <c r="AN548" s="1106"/>
      <c r="AO548" s="1106"/>
      <c r="AP548" s="1106"/>
      <c r="AQ548" s="1106"/>
      <c r="AR548" s="1106"/>
      <c r="AS548" s="1106"/>
      <c r="AT548" s="1106"/>
      <c r="AU548" s="1106"/>
      <c r="AV548" s="1106"/>
      <c r="AW548" s="1106"/>
      <c r="AX548" s="1106"/>
    </row>
    <row r="549">
      <c r="T549" s="1102"/>
      <c r="U549" s="1104"/>
      <c r="V549" s="1104"/>
      <c r="W549" s="1104"/>
      <c r="X549" s="1104"/>
      <c r="Y549" s="1104"/>
      <c r="Z549" s="1104"/>
      <c r="AA549" s="1104"/>
      <c r="AB549" s="1104"/>
      <c r="AC549" s="1104"/>
      <c r="AD549" s="1104"/>
      <c r="AE549" s="1104"/>
      <c r="AF549" s="1104"/>
      <c r="AG549" s="1106"/>
      <c r="AH549" s="1106"/>
      <c r="AI549" s="1106"/>
      <c r="AJ549" s="1106"/>
      <c r="AK549" s="1106"/>
      <c r="AL549" s="1106"/>
      <c r="AM549" s="1106"/>
      <c r="AN549" s="1106"/>
      <c r="AO549" s="1106"/>
      <c r="AP549" s="1106"/>
      <c r="AQ549" s="1106"/>
      <c r="AR549" s="1106"/>
      <c r="AS549" s="1106"/>
      <c r="AT549" s="1106"/>
      <c r="AU549" s="1106"/>
      <c r="AV549" s="1106"/>
      <c r="AW549" s="1106"/>
      <c r="AX549" s="1106"/>
    </row>
    <row r="550">
      <c r="T550" s="1102"/>
      <c r="U550" s="1104"/>
      <c r="V550" s="1104"/>
      <c r="W550" s="1104"/>
      <c r="X550" s="1104"/>
      <c r="Y550" s="1104"/>
      <c r="Z550" s="1104"/>
      <c r="AA550" s="1104"/>
      <c r="AB550" s="1104"/>
      <c r="AC550" s="1104"/>
      <c r="AD550" s="1104"/>
      <c r="AE550" s="1104"/>
      <c r="AF550" s="1104"/>
      <c r="AG550" s="1106"/>
      <c r="AH550" s="1106"/>
      <c r="AI550" s="1106"/>
      <c r="AJ550" s="1106"/>
      <c r="AK550" s="1106"/>
      <c r="AL550" s="1106"/>
      <c r="AM550" s="1106"/>
      <c r="AN550" s="1106"/>
      <c r="AO550" s="1106"/>
      <c r="AP550" s="1106"/>
      <c r="AQ550" s="1106"/>
      <c r="AR550" s="1106"/>
      <c r="AS550" s="1106"/>
      <c r="AT550" s="1106"/>
      <c r="AU550" s="1106"/>
      <c r="AV550" s="1106"/>
      <c r="AW550" s="1106"/>
      <c r="AX550" s="1106"/>
    </row>
    <row r="551">
      <c r="T551" s="1102"/>
      <c r="U551" s="1104"/>
      <c r="V551" s="1104"/>
      <c r="W551" s="1104"/>
      <c r="X551" s="1104"/>
      <c r="Y551" s="1104"/>
      <c r="Z551" s="1104"/>
      <c r="AA551" s="1104"/>
      <c r="AB551" s="1104"/>
      <c r="AC551" s="1104"/>
      <c r="AD551" s="1104"/>
      <c r="AE551" s="1104"/>
      <c r="AF551" s="1104"/>
      <c r="AG551" s="1106"/>
      <c r="AH551" s="1106"/>
      <c r="AI551" s="1106"/>
      <c r="AJ551" s="1106"/>
      <c r="AK551" s="1106"/>
      <c r="AL551" s="1106"/>
      <c r="AM551" s="1106"/>
      <c r="AN551" s="1106"/>
      <c r="AO551" s="1106"/>
      <c r="AP551" s="1106"/>
      <c r="AQ551" s="1106"/>
      <c r="AR551" s="1106"/>
      <c r="AS551" s="1106"/>
      <c r="AT551" s="1106"/>
      <c r="AU551" s="1106"/>
      <c r="AV551" s="1106"/>
      <c r="AW551" s="1106"/>
      <c r="AX551" s="1106"/>
    </row>
    <row r="552">
      <c r="T552" s="1102"/>
      <c r="U552" s="1104"/>
      <c r="V552" s="1104"/>
      <c r="W552" s="1104"/>
      <c r="X552" s="1104"/>
      <c r="Y552" s="1104"/>
      <c r="Z552" s="1104"/>
      <c r="AA552" s="1104"/>
      <c r="AB552" s="1104"/>
      <c r="AC552" s="1104"/>
      <c r="AD552" s="1104"/>
      <c r="AE552" s="1104"/>
      <c r="AF552" s="1104"/>
      <c r="AG552" s="1106"/>
      <c r="AH552" s="1106"/>
      <c r="AI552" s="1106"/>
      <c r="AJ552" s="1106"/>
      <c r="AK552" s="1106"/>
      <c r="AL552" s="1106"/>
      <c r="AM552" s="1106"/>
      <c r="AN552" s="1106"/>
      <c r="AO552" s="1106"/>
      <c r="AP552" s="1106"/>
      <c r="AQ552" s="1106"/>
      <c r="AR552" s="1106"/>
      <c r="AS552" s="1106"/>
      <c r="AT552" s="1106"/>
      <c r="AU552" s="1106"/>
      <c r="AV552" s="1106"/>
      <c r="AW552" s="1106"/>
      <c r="AX552" s="1106"/>
    </row>
    <row r="553">
      <c r="T553" s="1102"/>
      <c r="U553" s="1104"/>
      <c r="V553" s="1104"/>
      <c r="W553" s="1104"/>
      <c r="X553" s="1104"/>
      <c r="Y553" s="1104"/>
      <c r="Z553" s="1104"/>
      <c r="AA553" s="1104"/>
      <c r="AB553" s="1104"/>
      <c r="AC553" s="1104"/>
      <c r="AD553" s="1104"/>
      <c r="AE553" s="1104"/>
      <c r="AF553" s="1104"/>
      <c r="AG553" s="1106"/>
      <c r="AH553" s="1106"/>
      <c r="AI553" s="1106"/>
      <c r="AJ553" s="1106"/>
      <c r="AK553" s="1106"/>
      <c r="AL553" s="1106"/>
      <c r="AM553" s="1106"/>
      <c r="AN553" s="1106"/>
      <c r="AO553" s="1106"/>
      <c r="AP553" s="1106"/>
      <c r="AQ553" s="1106"/>
      <c r="AR553" s="1106"/>
      <c r="AS553" s="1106"/>
      <c r="AT553" s="1106"/>
      <c r="AU553" s="1106"/>
      <c r="AV553" s="1106"/>
      <c r="AW553" s="1106"/>
      <c r="AX553" s="1106"/>
    </row>
    <row r="554">
      <c r="T554" s="1102"/>
      <c r="U554" s="1104"/>
      <c r="V554" s="1104"/>
      <c r="W554" s="1104"/>
      <c r="X554" s="1104"/>
      <c r="Y554" s="1104"/>
      <c r="Z554" s="1104"/>
      <c r="AA554" s="1104"/>
      <c r="AB554" s="1104"/>
      <c r="AC554" s="1104"/>
      <c r="AD554" s="1104"/>
      <c r="AE554" s="1104"/>
      <c r="AF554" s="1104"/>
      <c r="AG554" s="1106"/>
      <c r="AH554" s="1106"/>
      <c r="AI554" s="1106"/>
      <c r="AJ554" s="1106"/>
      <c r="AK554" s="1106"/>
      <c r="AL554" s="1106"/>
      <c r="AM554" s="1106"/>
      <c r="AN554" s="1106"/>
      <c r="AO554" s="1106"/>
      <c r="AP554" s="1106"/>
      <c r="AQ554" s="1106"/>
      <c r="AR554" s="1106"/>
      <c r="AS554" s="1106"/>
      <c r="AT554" s="1106"/>
      <c r="AU554" s="1106"/>
      <c r="AV554" s="1106"/>
      <c r="AW554" s="1106"/>
      <c r="AX554" s="1106"/>
    </row>
    <row r="555">
      <c r="T555" s="1102"/>
      <c r="U555" s="1104"/>
      <c r="V555" s="1104"/>
      <c r="W555" s="1104"/>
      <c r="X555" s="1104"/>
      <c r="Y555" s="1104"/>
      <c r="Z555" s="1104"/>
      <c r="AA555" s="1104"/>
      <c r="AB555" s="1104"/>
      <c r="AC555" s="1104"/>
      <c r="AD555" s="1104"/>
      <c r="AE555" s="1104"/>
      <c r="AF555" s="1104"/>
      <c r="AG555" s="1106"/>
      <c r="AH555" s="1106"/>
      <c r="AI555" s="1106"/>
      <c r="AJ555" s="1106"/>
      <c r="AK555" s="1106"/>
      <c r="AL555" s="1106"/>
      <c r="AM555" s="1106"/>
      <c r="AN555" s="1106"/>
      <c r="AO555" s="1106"/>
      <c r="AP555" s="1106"/>
      <c r="AQ555" s="1106"/>
      <c r="AR555" s="1106"/>
      <c r="AS555" s="1106"/>
      <c r="AT555" s="1106"/>
      <c r="AU555" s="1106"/>
      <c r="AV555" s="1106"/>
      <c r="AW555" s="1106"/>
      <c r="AX555" s="1106"/>
    </row>
    <row r="556">
      <c r="T556" s="1102"/>
      <c r="U556" s="1104"/>
      <c r="V556" s="1104"/>
      <c r="W556" s="1104"/>
      <c r="X556" s="1104"/>
      <c r="Y556" s="1104"/>
      <c r="Z556" s="1104"/>
      <c r="AA556" s="1104"/>
      <c r="AB556" s="1104"/>
      <c r="AC556" s="1104"/>
      <c r="AD556" s="1104"/>
      <c r="AE556" s="1104"/>
      <c r="AF556" s="1104"/>
      <c r="AG556" s="1106"/>
      <c r="AH556" s="1106"/>
      <c r="AI556" s="1106"/>
      <c r="AJ556" s="1106"/>
      <c r="AK556" s="1106"/>
      <c r="AL556" s="1106"/>
      <c r="AM556" s="1106"/>
      <c r="AN556" s="1106"/>
      <c r="AO556" s="1106"/>
      <c r="AP556" s="1106"/>
      <c r="AQ556" s="1106"/>
      <c r="AR556" s="1106"/>
      <c r="AS556" s="1106"/>
      <c r="AT556" s="1106"/>
      <c r="AU556" s="1106"/>
      <c r="AV556" s="1106"/>
      <c r="AW556" s="1106"/>
      <c r="AX556" s="1106"/>
    </row>
    <row r="557">
      <c r="T557" s="1102"/>
      <c r="U557" s="1104"/>
      <c r="V557" s="1104"/>
      <c r="W557" s="1104"/>
      <c r="X557" s="1104"/>
      <c r="Y557" s="1104"/>
      <c r="Z557" s="1104"/>
      <c r="AA557" s="1104"/>
      <c r="AB557" s="1104"/>
      <c r="AC557" s="1104"/>
      <c r="AD557" s="1104"/>
      <c r="AE557" s="1104"/>
      <c r="AF557" s="1104"/>
      <c r="AG557" s="1106"/>
      <c r="AH557" s="1106"/>
      <c r="AI557" s="1106"/>
      <c r="AJ557" s="1106"/>
      <c r="AK557" s="1106"/>
      <c r="AL557" s="1106"/>
      <c r="AM557" s="1106"/>
      <c r="AN557" s="1106"/>
      <c r="AO557" s="1106"/>
      <c r="AP557" s="1106"/>
      <c r="AQ557" s="1106"/>
      <c r="AR557" s="1106"/>
      <c r="AS557" s="1106"/>
      <c r="AT557" s="1106"/>
      <c r="AU557" s="1106"/>
      <c r="AV557" s="1106"/>
      <c r="AW557" s="1106"/>
      <c r="AX557" s="1106"/>
    </row>
    <row r="558">
      <c r="T558" s="1102"/>
      <c r="U558" s="1104"/>
      <c r="V558" s="1104"/>
      <c r="W558" s="1104"/>
      <c r="X558" s="1104"/>
      <c r="Y558" s="1104"/>
      <c r="Z558" s="1104"/>
      <c r="AA558" s="1104"/>
      <c r="AB558" s="1104"/>
      <c r="AC558" s="1104"/>
      <c r="AD558" s="1104"/>
      <c r="AE558" s="1104"/>
      <c r="AF558" s="1104"/>
      <c r="AG558" s="1106"/>
      <c r="AH558" s="1106"/>
      <c r="AI558" s="1106"/>
      <c r="AJ558" s="1106"/>
      <c r="AK558" s="1106"/>
      <c r="AL558" s="1106"/>
      <c r="AM558" s="1106"/>
      <c r="AN558" s="1106"/>
      <c r="AO558" s="1106"/>
      <c r="AP558" s="1106"/>
      <c r="AQ558" s="1106"/>
      <c r="AR558" s="1106"/>
      <c r="AS558" s="1106"/>
      <c r="AT558" s="1106"/>
      <c r="AU558" s="1106"/>
      <c r="AV558" s="1106"/>
      <c r="AW558" s="1106"/>
      <c r="AX558" s="1106"/>
    </row>
    <row r="559">
      <c r="T559" s="1102"/>
      <c r="U559" s="1104"/>
      <c r="V559" s="1104"/>
      <c r="W559" s="1104"/>
      <c r="X559" s="1104"/>
      <c r="Y559" s="1104"/>
      <c r="Z559" s="1104"/>
      <c r="AA559" s="1104"/>
      <c r="AB559" s="1104"/>
      <c r="AC559" s="1104"/>
      <c r="AD559" s="1104"/>
      <c r="AE559" s="1104"/>
      <c r="AF559" s="1104"/>
      <c r="AG559" s="1106"/>
      <c r="AH559" s="1106"/>
      <c r="AI559" s="1106"/>
      <c r="AJ559" s="1106"/>
      <c r="AK559" s="1106"/>
      <c r="AL559" s="1106"/>
      <c r="AM559" s="1106"/>
      <c r="AN559" s="1106"/>
      <c r="AO559" s="1106"/>
      <c r="AP559" s="1106"/>
      <c r="AQ559" s="1106"/>
      <c r="AR559" s="1106"/>
      <c r="AS559" s="1106"/>
      <c r="AT559" s="1106"/>
      <c r="AU559" s="1106"/>
      <c r="AV559" s="1106"/>
      <c r="AW559" s="1106"/>
      <c r="AX559" s="1106"/>
    </row>
    <row r="560">
      <c r="T560" s="1102"/>
      <c r="U560" s="1104"/>
      <c r="V560" s="1104"/>
      <c r="W560" s="1104"/>
      <c r="X560" s="1104"/>
      <c r="Y560" s="1104"/>
      <c r="Z560" s="1104"/>
      <c r="AA560" s="1104"/>
      <c r="AB560" s="1104"/>
      <c r="AC560" s="1104"/>
      <c r="AD560" s="1104"/>
      <c r="AE560" s="1104"/>
      <c r="AF560" s="1104"/>
      <c r="AG560" s="1106"/>
      <c r="AH560" s="1106"/>
      <c r="AI560" s="1106"/>
      <c r="AJ560" s="1106"/>
      <c r="AK560" s="1106"/>
      <c r="AL560" s="1106"/>
      <c r="AM560" s="1106"/>
      <c r="AN560" s="1106"/>
      <c r="AO560" s="1106"/>
      <c r="AP560" s="1106"/>
      <c r="AQ560" s="1106"/>
      <c r="AR560" s="1106"/>
      <c r="AS560" s="1106"/>
      <c r="AT560" s="1106"/>
      <c r="AU560" s="1106"/>
      <c r="AV560" s="1106"/>
      <c r="AW560" s="1106"/>
      <c r="AX560" s="1106"/>
    </row>
    <row r="561">
      <c r="T561" s="1102"/>
      <c r="U561" s="1104"/>
      <c r="V561" s="1104"/>
      <c r="W561" s="1104"/>
      <c r="X561" s="1104"/>
      <c r="Y561" s="1104"/>
      <c r="Z561" s="1104"/>
      <c r="AA561" s="1104"/>
      <c r="AB561" s="1104"/>
      <c r="AC561" s="1104"/>
      <c r="AD561" s="1104"/>
      <c r="AE561" s="1104"/>
      <c r="AF561" s="1104"/>
      <c r="AG561" s="1106"/>
      <c r="AH561" s="1106"/>
      <c r="AI561" s="1106"/>
      <c r="AJ561" s="1106"/>
      <c r="AK561" s="1106"/>
      <c r="AL561" s="1106"/>
      <c r="AM561" s="1106"/>
      <c r="AN561" s="1106"/>
      <c r="AO561" s="1106"/>
      <c r="AP561" s="1106"/>
      <c r="AQ561" s="1106"/>
      <c r="AR561" s="1106"/>
      <c r="AS561" s="1106"/>
      <c r="AT561" s="1106"/>
      <c r="AU561" s="1106"/>
      <c r="AV561" s="1106"/>
      <c r="AW561" s="1106"/>
      <c r="AX561" s="1106"/>
    </row>
    <row r="562">
      <c r="T562" s="1102"/>
      <c r="U562" s="1104"/>
      <c r="V562" s="1104"/>
      <c r="W562" s="1104"/>
      <c r="X562" s="1104"/>
      <c r="Y562" s="1104"/>
      <c r="Z562" s="1104"/>
      <c r="AA562" s="1104"/>
      <c r="AB562" s="1104"/>
      <c r="AC562" s="1104"/>
      <c r="AD562" s="1104"/>
      <c r="AE562" s="1104"/>
      <c r="AF562" s="1104"/>
      <c r="AG562" s="1106"/>
      <c r="AH562" s="1106"/>
      <c r="AI562" s="1106"/>
      <c r="AJ562" s="1106"/>
      <c r="AK562" s="1106"/>
      <c r="AL562" s="1106"/>
      <c r="AM562" s="1106"/>
      <c r="AN562" s="1106"/>
      <c r="AO562" s="1106"/>
      <c r="AP562" s="1106"/>
      <c r="AQ562" s="1106"/>
      <c r="AR562" s="1106"/>
      <c r="AS562" s="1106"/>
      <c r="AT562" s="1106"/>
      <c r="AU562" s="1106"/>
      <c r="AV562" s="1106"/>
      <c r="AW562" s="1106"/>
      <c r="AX562" s="1106"/>
    </row>
    <row r="563">
      <c r="T563" s="1102"/>
      <c r="U563" s="1104"/>
      <c r="V563" s="1104"/>
      <c r="W563" s="1104"/>
      <c r="X563" s="1104"/>
      <c r="Y563" s="1104"/>
      <c r="Z563" s="1104"/>
      <c r="AA563" s="1104"/>
      <c r="AB563" s="1104"/>
      <c r="AC563" s="1104"/>
      <c r="AD563" s="1104"/>
      <c r="AE563" s="1104"/>
      <c r="AF563" s="1104"/>
      <c r="AG563" s="1106"/>
      <c r="AH563" s="1106"/>
      <c r="AI563" s="1106"/>
      <c r="AJ563" s="1106"/>
      <c r="AK563" s="1106"/>
      <c r="AL563" s="1106"/>
      <c r="AM563" s="1106"/>
      <c r="AN563" s="1106"/>
      <c r="AO563" s="1106"/>
      <c r="AP563" s="1106"/>
      <c r="AQ563" s="1106"/>
      <c r="AR563" s="1106"/>
      <c r="AS563" s="1106"/>
      <c r="AT563" s="1106"/>
      <c r="AU563" s="1106"/>
      <c r="AV563" s="1106"/>
      <c r="AW563" s="1106"/>
      <c r="AX563" s="1106"/>
    </row>
    <row r="564">
      <c r="T564" s="1102"/>
      <c r="U564" s="1104"/>
      <c r="V564" s="1104"/>
      <c r="W564" s="1104"/>
      <c r="X564" s="1104"/>
      <c r="Y564" s="1104"/>
      <c r="Z564" s="1104"/>
      <c r="AA564" s="1104"/>
      <c r="AB564" s="1104"/>
      <c r="AC564" s="1104"/>
      <c r="AD564" s="1104"/>
      <c r="AE564" s="1104"/>
      <c r="AF564" s="1104"/>
      <c r="AG564" s="1106"/>
      <c r="AH564" s="1106"/>
      <c r="AI564" s="1106"/>
      <c r="AJ564" s="1106"/>
      <c r="AK564" s="1106"/>
      <c r="AL564" s="1106"/>
      <c r="AM564" s="1106"/>
      <c r="AN564" s="1106"/>
      <c r="AO564" s="1106"/>
      <c r="AP564" s="1106"/>
      <c r="AQ564" s="1106"/>
      <c r="AR564" s="1106"/>
      <c r="AS564" s="1106"/>
      <c r="AT564" s="1106"/>
      <c r="AU564" s="1106"/>
      <c r="AV564" s="1106"/>
      <c r="AW564" s="1106"/>
      <c r="AX564" s="1106"/>
    </row>
    <row r="565">
      <c r="T565" s="1102"/>
      <c r="U565" s="1104"/>
      <c r="V565" s="1104"/>
      <c r="W565" s="1104"/>
      <c r="X565" s="1104"/>
      <c r="Y565" s="1104"/>
      <c r="Z565" s="1104"/>
      <c r="AA565" s="1104"/>
      <c r="AB565" s="1104"/>
      <c r="AC565" s="1104"/>
      <c r="AD565" s="1104"/>
      <c r="AE565" s="1104"/>
      <c r="AF565" s="1104"/>
      <c r="AG565" s="1106"/>
      <c r="AH565" s="1106"/>
      <c r="AI565" s="1106"/>
      <c r="AJ565" s="1106"/>
      <c r="AK565" s="1106"/>
      <c r="AL565" s="1106"/>
      <c r="AM565" s="1106"/>
      <c r="AN565" s="1106"/>
      <c r="AO565" s="1106"/>
      <c r="AP565" s="1106"/>
      <c r="AQ565" s="1106"/>
      <c r="AR565" s="1106"/>
      <c r="AS565" s="1106"/>
      <c r="AT565" s="1106"/>
      <c r="AU565" s="1106"/>
      <c r="AV565" s="1106"/>
      <c r="AW565" s="1106"/>
      <c r="AX565" s="1106"/>
    </row>
    <row r="566">
      <c r="T566" s="1102"/>
      <c r="U566" s="1104"/>
      <c r="V566" s="1104"/>
      <c r="W566" s="1104"/>
      <c r="X566" s="1104"/>
      <c r="Y566" s="1104"/>
      <c r="Z566" s="1104"/>
      <c r="AA566" s="1104"/>
      <c r="AB566" s="1104"/>
      <c r="AC566" s="1104"/>
      <c r="AD566" s="1104"/>
      <c r="AE566" s="1104"/>
      <c r="AF566" s="1104"/>
      <c r="AG566" s="1106"/>
      <c r="AH566" s="1106"/>
      <c r="AI566" s="1106"/>
      <c r="AJ566" s="1106"/>
      <c r="AK566" s="1106"/>
      <c r="AL566" s="1106"/>
      <c r="AM566" s="1106"/>
      <c r="AN566" s="1106"/>
      <c r="AO566" s="1106"/>
      <c r="AP566" s="1106"/>
      <c r="AQ566" s="1106"/>
      <c r="AR566" s="1106"/>
      <c r="AS566" s="1106"/>
      <c r="AT566" s="1106"/>
      <c r="AU566" s="1106"/>
      <c r="AV566" s="1106"/>
      <c r="AW566" s="1106"/>
      <c r="AX566" s="1106"/>
    </row>
    <row r="567">
      <c r="T567" s="1102"/>
      <c r="U567" s="1104"/>
      <c r="V567" s="1104"/>
      <c r="W567" s="1104"/>
      <c r="X567" s="1104"/>
      <c r="Y567" s="1104"/>
      <c r="Z567" s="1104"/>
      <c r="AA567" s="1104"/>
      <c r="AB567" s="1104"/>
      <c r="AC567" s="1104"/>
      <c r="AD567" s="1104"/>
      <c r="AE567" s="1104"/>
      <c r="AF567" s="1104"/>
      <c r="AG567" s="1106"/>
      <c r="AH567" s="1106"/>
      <c r="AI567" s="1106"/>
      <c r="AJ567" s="1106"/>
      <c r="AK567" s="1106"/>
      <c r="AL567" s="1106"/>
      <c r="AM567" s="1106"/>
      <c r="AN567" s="1106"/>
      <c r="AO567" s="1106"/>
      <c r="AP567" s="1106"/>
      <c r="AQ567" s="1106"/>
      <c r="AR567" s="1106"/>
      <c r="AS567" s="1106"/>
      <c r="AT567" s="1106"/>
      <c r="AU567" s="1106"/>
      <c r="AV567" s="1106"/>
      <c r="AW567" s="1106"/>
      <c r="AX567" s="1106"/>
    </row>
    <row r="568">
      <c r="T568" s="1102"/>
      <c r="U568" s="1104"/>
      <c r="V568" s="1104"/>
      <c r="W568" s="1104"/>
      <c r="X568" s="1104"/>
      <c r="Y568" s="1104"/>
      <c r="Z568" s="1104"/>
      <c r="AA568" s="1104"/>
      <c r="AB568" s="1104"/>
      <c r="AC568" s="1104"/>
      <c r="AD568" s="1104"/>
      <c r="AE568" s="1104"/>
      <c r="AF568" s="1104"/>
      <c r="AG568" s="1106"/>
      <c r="AH568" s="1106"/>
      <c r="AI568" s="1106"/>
      <c r="AJ568" s="1106"/>
      <c r="AK568" s="1106"/>
      <c r="AL568" s="1106"/>
      <c r="AM568" s="1106"/>
      <c r="AN568" s="1106"/>
      <c r="AO568" s="1106"/>
      <c r="AP568" s="1106"/>
      <c r="AQ568" s="1106"/>
      <c r="AR568" s="1106"/>
      <c r="AS568" s="1106"/>
      <c r="AT568" s="1106"/>
      <c r="AU568" s="1106"/>
      <c r="AV568" s="1106"/>
      <c r="AW568" s="1106"/>
      <c r="AX568" s="1106"/>
    </row>
    <row r="569">
      <c r="T569" s="1102"/>
      <c r="U569" s="1104"/>
      <c r="V569" s="1104"/>
      <c r="W569" s="1104"/>
      <c r="X569" s="1104"/>
      <c r="Y569" s="1104"/>
      <c r="Z569" s="1104"/>
      <c r="AA569" s="1104"/>
      <c r="AB569" s="1104"/>
      <c r="AC569" s="1104"/>
      <c r="AD569" s="1104"/>
      <c r="AE569" s="1104"/>
      <c r="AF569" s="1104"/>
      <c r="AG569" s="1106"/>
      <c r="AH569" s="1106"/>
      <c r="AI569" s="1106"/>
      <c r="AJ569" s="1106"/>
      <c r="AK569" s="1106"/>
      <c r="AL569" s="1106"/>
      <c r="AM569" s="1106"/>
      <c r="AN569" s="1106"/>
      <c r="AO569" s="1106"/>
      <c r="AP569" s="1106"/>
      <c r="AQ569" s="1106"/>
      <c r="AR569" s="1106"/>
      <c r="AS569" s="1106"/>
      <c r="AT569" s="1106"/>
      <c r="AU569" s="1106"/>
      <c r="AV569" s="1106"/>
      <c r="AW569" s="1106"/>
      <c r="AX569" s="1106"/>
    </row>
    <row r="570">
      <c r="T570" s="1102"/>
      <c r="U570" s="1104"/>
      <c r="V570" s="1104"/>
      <c r="W570" s="1104"/>
      <c r="X570" s="1104"/>
      <c r="Y570" s="1104"/>
      <c r="Z570" s="1104"/>
      <c r="AA570" s="1104"/>
      <c r="AB570" s="1104"/>
      <c r="AC570" s="1104"/>
      <c r="AD570" s="1104"/>
      <c r="AE570" s="1104"/>
      <c r="AF570" s="1104"/>
      <c r="AG570" s="1106"/>
      <c r="AH570" s="1106"/>
      <c r="AI570" s="1106"/>
      <c r="AJ570" s="1106"/>
      <c r="AK570" s="1106"/>
      <c r="AL570" s="1106"/>
      <c r="AM570" s="1106"/>
      <c r="AN570" s="1106"/>
      <c r="AO570" s="1106"/>
      <c r="AP570" s="1106"/>
      <c r="AQ570" s="1106"/>
      <c r="AR570" s="1106"/>
      <c r="AS570" s="1106"/>
      <c r="AT570" s="1106"/>
      <c r="AU570" s="1106"/>
      <c r="AV570" s="1106"/>
      <c r="AW570" s="1106"/>
      <c r="AX570" s="1106"/>
    </row>
    <row r="571">
      <c r="T571" s="1102"/>
      <c r="U571" s="1104"/>
      <c r="V571" s="1104"/>
      <c r="W571" s="1104"/>
      <c r="X571" s="1104"/>
      <c r="Y571" s="1104"/>
      <c r="Z571" s="1104"/>
      <c r="AA571" s="1104"/>
      <c r="AB571" s="1104"/>
      <c r="AC571" s="1104"/>
      <c r="AD571" s="1104"/>
      <c r="AE571" s="1104"/>
      <c r="AF571" s="1104"/>
      <c r="AG571" s="1106"/>
      <c r="AH571" s="1106"/>
      <c r="AI571" s="1106"/>
      <c r="AJ571" s="1106"/>
      <c r="AK571" s="1106"/>
      <c r="AL571" s="1106"/>
      <c r="AM571" s="1106"/>
      <c r="AN571" s="1106"/>
      <c r="AO571" s="1106"/>
      <c r="AP571" s="1106"/>
      <c r="AQ571" s="1106"/>
      <c r="AR571" s="1106"/>
      <c r="AS571" s="1106"/>
      <c r="AT571" s="1106"/>
      <c r="AU571" s="1106"/>
      <c r="AV571" s="1106"/>
      <c r="AW571" s="1106"/>
      <c r="AX571" s="1106"/>
    </row>
    <row r="572">
      <c r="T572" s="1102"/>
      <c r="U572" s="1104"/>
      <c r="V572" s="1104"/>
      <c r="W572" s="1104"/>
      <c r="X572" s="1104"/>
      <c r="Y572" s="1104"/>
      <c r="Z572" s="1104"/>
      <c r="AA572" s="1104"/>
      <c r="AB572" s="1104"/>
      <c r="AC572" s="1104"/>
      <c r="AD572" s="1104"/>
      <c r="AE572" s="1104"/>
      <c r="AF572" s="1104"/>
      <c r="AG572" s="1106"/>
      <c r="AH572" s="1106"/>
      <c r="AI572" s="1106"/>
      <c r="AJ572" s="1106"/>
      <c r="AK572" s="1106"/>
      <c r="AL572" s="1106"/>
      <c r="AM572" s="1106"/>
      <c r="AN572" s="1106"/>
      <c r="AO572" s="1106"/>
      <c r="AP572" s="1106"/>
      <c r="AQ572" s="1106"/>
      <c r="AR572" s="1106"/>
      <c r="AS572" s="1106"/>
      <c r="AT572" s="1106"/>
      <c r="AU572" s="1106"/>
      <c r="AV572" s="1106"/>
      <c r="AW572" s="1106"/>
      <c r="AX572" s="1106"/>
    </row>
    <row r="573">
      <c r="T573" s="1102"/>
      <c r="U573" s="1104"/>
      <c r="V573" s="1104"/>
      <c r="W573" s="1104"/>
      <c r="X573" s="1104"/>
      <c r="Y573" s="1104"/>
      <c r="Z573" s="1104"/>
      <c r="AA573" s="1104"/>
      <c r="AB573" s="1104"/>
      <c r="AC573" s="1104"/>
      <c r="AD573" s="1104"/>
      <c r="AE573" s="1104"/>
      <c r="AF573" s="1104"/>
      <c r="AG573" s="1106"/>
      <c r="AH573" s="1106"/>
      <c r="AI573" s="1106"/>
      <c r="AJ573" s="1106"/>
      <c r="AK573" s="1106"/>
      <c r="AL573" s="1106"/>
      <c r="AM573" s="1106"/>
      <c r="AN573" s="1106"/>
      <c r="AO573" s="1106"/>
      <c r="AP573" s="1106"/>
      <c r="AQ573" s="1106"/>
      <c r="AR573" s="1106"/>
      <c r="AS573" s="1106"/>
      <c r="AT573" s="1106"/>
      <c r="AU573" s="1106"/>
      <c r="AV573" s="1106"/>
      <c r="AW573" s="1106"/>
      <c r="AX573" s="1106"/>
    </row>
    <row r="574">
      <c r="T574" s="1102"/>
      <c r="U574" s="1104"/>
      <c r="V574" s="1104"/>
      <c r="W574" s="1104"/>
      <c r="X574" s="1104"/>
      <c r="Y574" s="1104"/>
      <c r="Z574" s="1104"/>
      <c r="AA574" s="1104"/>
      <c r="AB574" s="1104"/>
      <c r="AC574" s="1104"/>
      <c r="AD574" s="1104"/>
      <c r="AE574" s="1104"/>
      <c r="AF574" s="1104"/>
      <c r="AG574" s="1106"/>
      <c r="AH574" s="1106"/>
      <c r="AI574" s="1106"/>
      <c r="AJ574" s="1106"/>
      <c r="AK574" s="1106"/>
      <c r="AL574" s="1106"/>
      <c r="AM574" s="1106"/>
      <c r="AN574" s="1106"/>
      <c r="AO574" s="1106"/>
      <c r="AP574" s="1106"/>
      <c r="AQ574" s="1106"/>
      <c r="AR574" s="1106"/>
      <c r="AS574" s="1106"/>
      <c r="AT574" s="1106"/>
      <c r="AU574" s="1106"/>
      <c r="AV574" s="1106"/>
      <c r="AW574" s="1106"/>
      <c r="AX574" s="1106"/>
    </row>
    <row r="575">
      <c r="T575" s="1102"/>
      <c r="U575" s="1104"/>
      <c r="V575" s="1104"/>
      <c r="W575" s="1104"/>
      <c r="X575" s="1104"/>
      <c r="Y575" s="1104"/>
      <c r="Z575" s="1104"/>
      <c r="AA575" s="1104"/>
      <c r="AB575" s="1104"/>
      <c r="AC575" s="1104"/>
      <c r="AD575" s="1104"/>
      <c r="AE575" s="1104"/>
      <c r="AF575" s="1104"/>
      <c r="AG575" s="1106"/>
      <c r="AH575" s="1106"/>
      <c r="AI575" s="1106"/>
      <c r="AJ575" s="1106"/>
      <c r="AK575" s="1106"/>
      <c r="AL575" s="1106"/>
      <c r="AM575" s="1106"/>
      <c r="AN575" s="1106"/>
      <c r="AO575" s="1106"/>
      <c r="AP575" s="1106"/>
      <c r="AQ575" s="1106"/>
      <c r="AR575" s="1106"/>
      <c r="AS575" s="1106"/>
      <c r="AT575" s="1106"/>
      <c r="AU575" s="1106"/>
      <c r="AV575" s="1106"/>
      <c r="AW575" s="1106"/>
      <c r="AX575" s="1106"/>
    </row>
    <row r="576">
      <c r="T576" s="1102"/>
      <c r="U576" s="1104"/>
      <c r="V576" s="1104"/>
      <c r="W576" s="1104"/>
      <c r="X576" s="1104"/>
      <c r="Y576" s="1104"/>
      <c r="Z576" s="1104"/>
      <c r="AA576" s="1104"/>
      <c r="AB576" s="1104"/>
      <c r="AC576" s="1104"/>
      <c r="AD576" s="1104"/>
      <c r="AE576" s="1104"/>
      <c r="AF576" s="1104"/>
      <c r="AG576" s="1106"/>
      <c r="AH576" s="1106"/>
      <c r="AI576" s="1106"/>
      <c r="AJ576" s="1106"/>
      <c r="AK576" s="1106"/>
      <c r="AL576" s="1106"/>
      <c r="AM576" s="1106"/>
      <c r="AN576" s="1106"/>
      <c r="AO576" s="1106"/>
      <c r="AP576" s="1106"/>
      <c r="AQ576" s="1106"/>
      <c r="AR576" s="1106"/>
      <c r="AS576" s="1106"/>
      <c r="AT576" s="1106"/>
      <c r="AU576" s="1106"/>
      <c r="AV576" s="1106"/>
      <c r="AW576" s="1106"/>
      <c r="AX576" s="1106"/>
    </row>
    <row r="577">
      <c r="T577" s="1102"/>
      <c r="U577" s="1104"/>
      <c r="V577" s="1104"/>
      <c r="W577" s="1104"/>
      <c r="X577" s="1104"/>
      <c r="Y577" s="1104"/>
      <c r="Z577" s="1104"/>
      <c r="AA577" s="1104"/>
      <c r="AB577" s="1104"/>
      <c r="AC577" s="1104"/>
      <c r="AD577" s="1104"/>
      <c r="AE577" s="1104"/>
      <c r="AF577" s="1104"/>
      <c r="AG577" s="1106"/>
      <c r="AH577" s="1106"/>
      <c r="AI577" s="1106"/>
      <c r="AJ577" s="1106"/>
      <c r="AK577" s="1106"/>
      <c r="AL577" s="1106"/>
      <c r="AM577" s="1106"/>
      <c r="AN577" s="1106"/>
      <c r="AO577" s="1106"/>
      <c r="AP577" s="1106"/>
      <c r="AQ577" s="1106"/>
      <c r="AR577" s="1106"/>
      <c r="AS577" s="1106"/>
      <c r="AT577" s="1106"/>
      <c r="AU577" s="1106"/>
      <c r="AV577" s="1106"/>
      <c r="AW577" s="1106"/>
      <c r="AX577" s="1106"/>
    </row>
    <row r="578">
      <c r="T578" s="1102"/>
      <c r="U578" s="1104"/>
      <c r="V578" s="1104"/>
      <c r="W578" s="1104"/>
      <c r="X578" s="1104"/>
      <c r="Y578" s="1104"/>
      <c r="Z578" s="1104"/>
      <c r="AA578" s="1104"/>
      <c r="AB578" s="1104"/>
      <c r="AC578" s="1104"/>
      <c r="AD578" s="1104"/>
      <c r="AE578" s="1104"/>
      <c r="AF578" s="1104"/>
      <c r="AG578" s="1106"/>
      <c r="AH578" s="1106"/>
      <c r="AI578" s="1106"/>
      <c r="AJ578" s="1106"/>
      <c r="AK578" s="1106"/>
      <c r="AL578" s="1106"/>
      <c r="AM578" s="1106"/>
      <c r="AN578" s="1106"/>
      <c r="AO578" s="1106"/>
      <c r="AP578" s="1106"/>
      <c r="AQ578" s="1106"/>
      <c r="AR578" s="1106"/>
      <c r="AS578" s="1106"/>
      <c r="AT578" s="1106"/>
      <c r="AU578" s="1106"/>
      <c r="AV578" s="1106"/>
      <c r="AW578" s="1106"/>
      <c r="AX578" s="1106"/>
    </row>
    <row r="579">
      <c r="T579" s="1102"/>
      <c r="U579" s="1104"/>
      <c r="V579" s="1104"/>
      <c r="W579" s="1104"/>
      <c r="X579" s="1104"/>
      <c r="Y579" s="1104"/>
      <c r="Z579" s="1104"/>
      <c r="AA579" s="1104"/>
      <c r="AB579" s="1104"/>
      <c r="AC579" s="1104"/>
      <c r="AD579" s="1104"/>
      <c r="AE579" s="1104"/>
      <c r="AF579" s="1104"/>
      <c r="AG579" s="1106"/>
      <c r="AH579" s="1106"/>
      <c r="AI579" s="1106"/>
      <c r="AJ579" s="1106"/>
      <c r="AK579" s="1106"/>
      <c r="AL579" s="1106"/>
      <c r="AM579" s="1106"/>
      <c r="AN579" s="1106"/>
      <c r="AO579" s="1106"/>
      <c r="AP579" s="1106"/>
      <c r="AQ579" s="1106"/>
      <c r="AR579" s="1106"/>
      <c r="AS579" s="1106"/>
      <c r="AT579" s="1106"/>
      <c r="AU579" s="1106"/>
      <c r="AV579" s="1106"/>
      <c r="AW579" s="1106"/>
      <c r="AX579" s="1106"/>
    </row>
    <row r="580">
      <c r="T580" s="1102"/>
      <c r="U580" s="1104"/>
      <c r="V580" s="1104"/>
      <c r="W580" s="1104"/>
      <c r="X580" s="1104"/>
      <c r="Y580" s="1104"/>
      <c r="Z580" s="1104"/>
      <c r="AA580" s="1104"/>
      <c r="AB580" s="1104"/>
      <c r="AC580" s="1104"/>
      <c r="AD580" s="1104"/>
      <c r="AE580" s="1104"/>
      <c r="AF580" s="1104"/>
      <c r="AG580" s="1106"/>
      <c r="AH580" s="1106"/>
      <c r="AI580" s="1106"/>
      <c r="AJ580" s="1106"/>
      <c r="AK580" s="1106"/>
      <c r="AL580" s="1106"/>
      <c r="AM580" s="1106"/>
      <c r="AN580" s="1106"/>
      <c r="AO580" s="1106"/>
      <c r="AP580" s="1106"/>
      <c r="AQ580" s="1106"/>
      <c r="AR580" s="1106"/>
      <c r="AS580" s="1106"/>
      <c r="AT580" s="1106"/>
      <c r="AU580" s="1106"/>
      <c r="AV580" s="1106"/>
      <c r="AW580" s="1106"/>
      <c r="AX580" s="1106"/>
    </row>
    <row r="581">
      <c r="T581" s="1102"/>
      <c r="U581" s="1104"/>
      <c r="V581" s="1104"/>
      <c r="W581" s="1104"/>
      <c r="X581" s="1104"/>
      <c r="Y581" s="1104"/>
      <c r="Z581" s="1104"/>
      <c r="AA581" s="1104"/>
      <c r="AB581" s="1104"/>
      <c r="AC581" s="1104"/>
      <c r="AD581" s="1104"/>
      <c r="AE581" s="1104"/>
      <c r="AF581" s="1104"/>
      <c r="AG581" s="1106"/>
      <c r="AH581" s="1106"/>
      <c r="AI581" s="1106"/>
      <c r="AJ581" s="1106"/>
      <c r="AK581" s="1106"/>
      <c r="AL581" s="1106"/>
      <c r="AM581" s="1106"/>
      <c r="AN581" s="1106"/>
      <c r="AO581" s="1106"/>
      <c r="AP581" s="1106"/>
      <c r="AQ581" s="1106"/>
      <c r="AR581" s="1106"/>
      <c r="AS581" s="1106"/>
      <c r="AT581" s="1106"/>
      <c r="AU581" s="1106"/>
      <c r="AV581" s="1106"/>
      <c r="AW581" s="1106"/>
      <c r="AX581" s="1106"/>
    </row>
    <row r="582">
      <c r="T582" s="1102"/>
      <c r="U582" s="1104"/>
      <c r="V582" s="1104"/>
      <c r="W582" s="1104"/>
      <c r="X582" s="1104"/>
      <c r="Y582" s="1104"/>
      <c r="Z582" s="1104"/>
      <c r="AA582" s="1104"/>
      <c r="AB582" s="1104"/>
      <c r="AC582" s="1104"/>
      <c r="AD582" s="1104"/>
      <c r="AE582" s="1104"/>
      <c r="AF582" s="1104"/>
      <c r="AG582" s="1106"/>
      <c r="AH582" s="1106"/>
      <c r="AI582" s="1106"/>
      <c r="AJ582" s="1106"/>
      <c r="AK582" s="1106"/>
      <c r="AL582" s="1106"/>
      <c r="AM582" s="1106"/>
      <c r="AN582" s="1106"/>
      <c r="AO582" s="1106"/>
      <c r="AP582" s="1106"/>
      <c r="AQ582" s="1106"/>
      <c r="AR582" s="1106"/>
      <c r="AS582" s="1106"/>
      <c r="AT582" s="1106"/>
      <c r="AU582" s="1106"/>
      <c r="AV582" s="1106"/>
      <c r="AW582" s="1106"/>
      <c r="AX582" s="1106"/>
    </row>
    <row r="583">
      <c r="T583" s="1102"/>
      <c r="U583" s="1104"/>
      <c r="V583" s="1104"/>
      <c r="W583" s="1104"/>
      <c r="X583" s="1104"/>
      <c r="Y583" s="1104"/>
      <c r="Z583" s="1104"/>
      <c r="AA583" s="1104"/>
      <c r="AB583" s="1104"/>
      <c r="AC583" s="1104"/>
      <c r="AD583" s="1104"/>
      <c r="AE583" s="1104"/>
      <c r="AF583" s="1104"/>
      <c r="AG583" s="1106"/>
      <c r="AH583" s="1106"/>
      <c r="AI583" s="1106"/>
      <c r="AJ583" s="1106"/>
      <c r="AK583" s="1106"/>
      <c r="AL583" s="1106"/>
      <c r="AM583" s="1106"/>
      <c r="AN583" s="1106"/>
      <c r="AO583" s="1106"/>
      <c r="AP583" s="1106"/>
      <c r="AQ583" s="1106"/>
      <c r="AR583" s="1106"/>
      <c r="AS583" s="1106"/>
      <c r="AT583" s="1106"/>
      <c r="AU583" s="1106"/>
      <c r="AV583" s="1106"/>
      <c r="AW583" s="1106"/>
      <c r="AX583" s="1106"/>
    </row>
    <row r="584">
      <c r="T584" s="1102"/>
      <c r="U584" s="1104"/>
      <c r="V584" s="1104"/>
      <c r="W584" s="1104"/>
      <c r="X584" s="1104"/>
      <c r="Y584" s="1104"/>
      <c r="Z584" s="1104"/>
      <c r="AA584" s="1104"/>
      <c r="AB584" s="1104"/>
      <c r="AC584" s="1104"/>
      <c r="AD584" s="1104"/>
      <c r="AE584" s="1104"/>
      <c r="AF584" s="1104"/>
      <c r="AG584" s="1106"/>
      <c r="AH584" s="1106"/>
      <c r="AI584" s="1106"/>
      <c r="AJ584" s="1106"/>
      <c r="AK584" s="1106"/>
      <c r="AL584" s="1106"/>
      <c r="AM584" s="1106"/>
      <c r="AN584" s="1106"/>
      <c r="AO584" s="1106"/>
      <c r="AP584" s="1106"/>
      <c r="AQ584" s="1106"/>
      <c r="AR584" s="1106"/>
      <c r="AS584" s="1106"/>
      <c r="AT584" s="1106"/>
      <c r="AU584" s="1106"/>
      <c r="AV584" s="1106"/>
      <c r="AW584" s="1106"/>
      <c r="AX584" s="1106"/>
    </row>
    <row r="585">
      <c r="T585" s="1102"/>
      <c r="U585" s="1104"/>
      <c r="V585" s="1104"/>
      <c r="W585" s="1104"/>
      <c r="X585" s="1104"/>
      <c r="Y585" s="1104"/>
      <c r="Z585" s="1104"/>
      <c r="AA585" s="1104"/>
      <c r="AB585" s="1104"/>
      <c r="AC585" s="1104"/>
      <c r="AD585" s="1104"/>
      <c r="AE585" s="1104"/>
      <c r="AF585" s="1104"/>
      <c r="AG585" s="1106"/>
      <c r="AH585" s="1106"/>
      <c r="AI585" s="1106"/>
      <c r="AJ585" s="1106"/>
      <c r="AK585" s="1106"/>
      <c r="AL585" s="1106"/>
      <c r="AM585" s="1106"/>
      <c r="AN585" s="1106"/>
      <c r="AO585" s="1106"/>
      <c r="AP585" s="1106"/>
      <c r="AQ585" s="1106"/>
      <c r="AR585" s="1106"/>
      <c r="AS585" s="1106"/>
      <c r="AT585" s="1106"/>
      <c r="AU585" s="1106"/>
      <c r="AV585" s="1106"/>
      <c r="AW585" s="1106"/>
      <c r="AX585" s="1106"/>
    </row>
    <row r="586">
      <c r="T586" s="1102"/>
      <c r="U586" s="1104"/>
      <c r="V586" s="1104"/>
      <c r="W586" s="1104"/>
      <c r="X586" s="1104"/>
      <c r="Y586" s="1104"/>
      <c r="Z586" s="1104"/>
      <c r="AA586" s="1104"/>
      <c r="AB586" s="1104"/>
      <c r="AC586" s="1104"/>
      <c r="AD586" s="1104"/>
      <c r="AE586" s="1104"/>
      <c r="AF586" s="1104"/>
      <c r="AG586" s="1106"/>
      <c r="AH586" s="1106"/>
      <c r="AI586" s="1106"/>
      <c r="AJ586" s="1106"/>
      <c r="AK586" s="1106"/>
      <c r="AL586" s="1106"/>
      <c r="AM586" s="1106"/>
      <c r="AN586" s="1106"/>
      <c r="AO586" s="1106"/>
      <c r="AP586" s="1106"/>
      <c r="AQ586" s="1106"/>
      <c r="AR586" s="1106"/>
      <c r="AS586" s="1106"/>
      <c r="AT586" s="1106"/>
      <c r="AU586" s="1106"/>
      <c r="AV586" s="1106"/>
      <c r="AW586" s="1106"/>
      <c r="AX586" s="1106"/>
    </row>
    <row r="587">
      <c r="T587" s="1102"/>
      <c r="U587" s="1104"/>
      <c r="V587" s="1104"/>
      <c r="W587" s="1104"/>
      <c r="X587" s="1104"/>
      <c r="Y587" s="1104"/>
      <c r="Z587" s="1104"/>
      <c r="AA587" s="1104"/>
      <c r="AB587" s="1104"/>
      <c r="AC587" s="1104"/>
      <c r="AD587" s="1104"/>
      <c r="AE587" s="1104"/>
      <c r="AF587" s="1104"/>
      <c r="AG587" s="1106"/>
      <c r="AH587" s="1106"/>
      <c r="AI587" s="1106"/>
      <c r="AJ587" s="1106"/>
      <c r="AK587" s="1106"/>
      <c r="AL587" s="1106"/>
      <c r="AM587" s="1106"/>
      <c r="AN587" s="1106"/>
      <c r="AO587" s="1106"/>
      <c r="AP587" s="1106"/>
      <c r="AQ587" s="1106"/>
      <c r="AR587" s="1106"/>
      <c r="AS587" s="1106"/>
      <c r="AT587" s="1106"/>
      <c r="AU587" s="1106"/>
      <c r="AV587" s="1106"/>
      <c r="AW587" s="1106"/>
      <c r="AX587" s="1106"/>
    </row>
    <row r="588">
      <c r="T588" s="1102"/>
      <c r="U588" s="1104"/>
      <c r="V588" s="1104"/>
      <c r="W588" s="1104"/>
      <c r="X588" s="1104"/>
      <c r="Y588" s="1104"/>
      <c r="Z588" s="1104"/>
      <c r="AA588" s="1104"/>
      <c r="AB588" s="1104"/>
      <c r="AC588" s="1104"/>
      <c r="AD588" s="1104"/>
      <c r="AE588" s="1104"/>
      <c r="AF588" s="1104"/>
      <c r="AG588" s="1106"/>
      <c r="AH588" s="1106"/>
      <c r="AI588" s="1106"/>
      <c r="AJ588" s="1106"/>
      <c r="AK588" s="1106"/>
      <c r="AL588" s="1106"/>
      <c r="AM588" s="1106"/>
      <c r="AN588" s="1106"/>
      <c r="AO588" s="1106"/>
      <c r="AP588" s="1106"/>
      <c r="AQ588" s="1106"/>
      <c r="AR588" s="1106"/>
      <c r="AS588" s="1106"/>
      <c r="AT588" s="1106"/>
      <c r="AU588" s="1106"/>
      <c r="AV588" s="1106"/>
      <c r="AW588" s="1106"/>
      <c r="AX588" s="1106"/>
    </row>
    <row r="589">
      <c r="T589" s="1102"/>
      <c r="U589" s="1104"/>
      <c r="V589" s="1104"/>
      <c r="W589" s="1104"/>
      <c r="X589" s="1104"/>
      <c r="Y589" s="1104"/>
      <c r="Z589" s="1104"/>
      <c r="AA589" s="1104"/>
      <c r="AB589" s="1104"/>
      <c r="AC589" s="1104"/>
      <c r="AD589" s="1104"/>
      <c r="AE589" s="1104"/>
      <c r="AF589" s="1104"/>
      <c r="AG589" s="1106"/>
      <c r="AH589" s="1106"/>
      <c r="AI589" s="1106"/>
      <c r="AJ589" s="1106"/>
      <c r="AK589" s="1106"/>
      <c r="AL589" s="1106"/>
      <c r="AM589" s="1106"/>
      <c r="AN589" s="1106"/>
      <c r="AO589" s="1106"/>
      <c r="AP589" s="1106"/>
      <c r="AQ589" s="1106"/>
      <c r="AR589" s="1106"/>
      <c r="AS589" s="1106"/>
      <c r="AT589" s="1106"/>
      <c r="AU589" s="1106"/>
      <c r="AV589" s="1106"/>
      <c r="AW589" s="1106"/>
      <c r="AX589" s="1106"/>
    </row>
    <row r="590">
      <c r="T590" s="1102"/>
      <c r="U590" s="1104"/>
      <c r="V590" s="1104"/>
      <c r="W590" s="1104"/>
      <c r="X590" s="1104"/>
      <c r="Y590" s="1104"/>
      <c r="Z590" s="1104"/>
      <c r="AA590" s="1104"/>
      <c r="AB590" s="1104"/>
      <c r="AC590" s="1104"/>
      <c r="AD590" s="1104"/>
      <c r="AE590" s="1104"/>
      <c r="AF590" s="1104"/>
      <c r="AG590" s="1106"/>
      <c r="AH590" s="1106"/>
      <c r="AI590" s="1106"/>
      <c r="AJ590" s="1106"/>
      <c r="AK590" s="1106"/>
      <c r="AL590" s="1106"/>
      <c r="AM590" s="1106"/>
      <c r="AN590" s="1106"/>
      <c r="AO590" s="1106"/>
      <c r="AP590" s="1106"/>
      <c r="AQ590" s="1106"/>
      <c r="AR590" s="1106"/>
      <c r="AS590" s="1106"/>
      <c r="AT590" s="1106"/>
      <c r="AU590" s="1106"/>
      <c r="AV590" s="1106"/>
      <c r="AW590" s="1106"/>
      <c r="AX590" s="1106"/>
    </row>
    <row r="591">
      <c r="T591" s="1102"/>
      <c r="U591" s="1104"/>
      <c r="V591" s="1104"/>
      <c r="W591" s="1104"/>
      <c r="X591" s="1104"/>
      <c r="Y591" s="1104"/>
      <c r="Z591" s="1104"/>
      <c r="AA591" s="1104"/>
      <c r="AB591" s="1104"/>
      <c r="AC591" s="1104"/>
      <c r="AD591" s="1104"/>
      <c r="AE591" s="1104"/>
      <c r="AF591" s="1104"/>
      <c r="AG591" s="1106"/>
      <c r="AH591" s="1106"/>
      <c r="AI591" s="1106"/>
      <c r="AJ591" s="1106"/>
      <c r="AK591" s="1106"/>
      <c r="AL591" s="1106"/>
      <c r="AM591" s="1106"/>
      <c r="AN591" s="1106"/>
      <c r="AO591" s="1106"/>
      <c r="AP591" s="1106"/>
      <c r="AQ591" s="1106"/>
      <c r="AR591" s="1106"/>
      <c r="AS591" s="1106"/>
      <c r="AT591" s="1106"/>
      <c r="AU591" s="1106"/>
      <c r="AV591" s="1106"/>
      <c r="AW591" s="1106"/>
      <c r="AX591" s="1106"/>
    </row>
    <row r="592">
      <c r="T592" s="1102"/>
      <c r="U592" s="1104"/>
      <c r="V592" s="1104"/>
      <c r="W592" s="1104"/>
      <c r="X592" s="1104"/>
      <c r="Y592" s="1104"/>
      <c r="Z592" s="1104"/>
      <c r="AA592" s="1104"/>
      <c r="AB592" s="1104"/>
      <c r="AC592" s="1104"/>
      <c r="AD592" s="1104"/>
      <c r="AE592" s="1104"/>
      <c r="AF592" s="1104"/>
      <c r="AG592" s="1106"/>
      <c r="AH592" s="1106"/>
      <c r="AI592" s="1106"/>
      <c r="AJ592" s="1106"/>
      <c r="AK592" s="1106"/>
      <c r="AL592" s="1106"/>
      <c r="AM592" s="1106"/>
      <c r="AN592" s="1106"/>
      <c r="AO592" s="1106"/>
      <c r="AP592" s="1106"/>
      <c r="AQ592" s="1106"/>
      <c r="AR592" s="1106"/>
      <c r="AS592" s="1106"/>
      <c r="AT592" s="1106"/>
      <c r="AU592" s="1106"/>
      <c r="AV592" s="1106"/>
      <c r="AW592" s="1106"/>
      <c r="AX592" s="1106"/>
    </row>
    <row r="593">
      <c r="T593" s="1102"/>
      <c r="U593" s="1104"/>
      <c r="V593" s="1104"/>
      <c r="W593" s="1104"/>
      <c r="X593" s="1104"/>
      <c r="Y593" s="1104"/>
      <c r="Z593" s="1104"/>
      <c r="AA593" s="1104"/>
      <c r="AB593" s="1104"/>
      <c r="AC593" s="1104"/>
      <c r="AD593" s="1104"/>
      <c r="AE593" s="1104"/>
      <c r="AF593" s="1104"/>
      <c r="AG593" s="1106"/>
      <c r="AH593" s="1106"/>
      <c r="AI593" s="1106"/>
      <c r="AJ593" s="1106"/>
      <c r="AK593" s="1106"/>
      <c r="AL593" s="1106"/>
      <c r="AM593" s="1106"/>
      <c r="AN593" s="1106"/>
      <c r="AO593" s="1106"/>
      <c r="AP593" s="1106"/>
      <c r="AQ593" s="1106"/>
      <c r="AR593" s="1106"/>
      <c r="AS593" s="1106"/>
      <c r="AT593" s="1106"/>
      <c r="AU593" s="1106"/>
      <c r="AV593" s="1106"/>
      <c r="AW593" s="1106"/>
      <c r="AX593" s="1106"/>
    </row>
    <row r="594">
      <c r="T594" s="1102"/>
      <c r="U594" s="1104"/>
      <c r="V594" s="1104"/>
      <c r="W594" s="1104"/>
      <c r="X594" s="1104"/>
      <c r="Y594" s="1104"/>
      <c r="Z594" s="1104"/>
      <c r="AA594" s="1104"/>
      <c r="AB594" s="1104"/>
      <c r="AC594" s="1104"/>
      <c r="AD594" s="1104"/>
      <c r="AE594" s="1104"/>
      <c r="AF594" s="1104"/>
      <c r="AG594" s="1106"/>
      <c r="AH594" s="1106"/>
      <c r="AI594" s="1106"/>
      <c r="AJ594" s="1106"/>
      <c r="AK594" s="1106"/>
      <c r="AL594" s="1106"/>
      <c r="AM594" s="1106"/>
      <c r="AN594" s="1106"/>
      <c r="AO594" s="1106"/>
      <c r="AP594" s="1106"/>
      <c r="AQ594" s="1106"/>
      <c r="AR594" s="1106"/>
      <c r="AS594" s="1106"/>
      <c r="AT594" s="1106"/>
      <c r="AU594" s="1106"/>
      <c r="AV594" s="1106"/>
      <c r="AW594" s="1106"/>
      <c r="AX594" s="1106"/>
    </row>
    <row r="595">
      <c r="T595" s="1102"/>
      <c r="U595" s="1104"/>
      <c r="V595" s="1104"/>
      <c r="W595" s="1104"/>
      <c r="X595" s="1104"/>
      <c r="Y595" s="1104"/>
      <c r="Z595" s="1104"/>
      <c r="AA595" s="1104"/>
      <c r="AB595" s="1104"/>
      <c r="AC595" s="1104"/>
      <c r="AD595" s="1104"/>
      <c r="AE595" s="1104"/>
      <c r="AF595" s="1104"/>
      <c r="AG595" s="1106"/>
      <c r="AH595" s="1106"/>
      <c r="AI595" s="1106"/>
      <c r="AJ595" s="1106"/>
      <c r="AK595" s="1106"/>
      <c r="AL595" s="1106"/>
      <c r="AM595" s="1106"/>
      <c r="AN595" s="1106"/>
      <c r="AO595" s="1106"/>
      <c r="AP595" s="1106"/>
      <c r="AQ595" s="1106"/>
      <c r="AR595" s="1106"/>
      <c r="AS595" s="1106"/>
      <c r="AT595" s="1106"/>
      <c r="AU595" s="1106"/>
      <c r="AV595" s="1106"/>
      <c r="AW595" s="1106"/>
      <c r="AX595" s="1106"/>
    </row>
    <row r="596">
      <c r="T596" s="1102"/>
      <c r="U596" s="1104"/>
      <c r="V596" s="1104"/>
      <c r="W596" s="1104"/>
      <c r="X596" s="1104"/>
      <c r="Y596" s="1104"/>
      <c r="Z596" s="1104"/>
      <c r="AA596" s="1104"/>
      <c r="AB596" s="1104"/>
      <c r="AC596" s="1104"/>
      <c r="AD596" s="1104"/>
      <c r="AE596" s="1104"/>
      <c r="AF596" s="1104"/>
      <c r="AG596" s="1106"/>
      <c r="AH596" s="1106"/>
      <c r="AI596" s="1106"/>
      <c r="AJ596" s="1106"/>
      <c r="AK596" s="1106"/>
      <c r="AL596" s="1106"/>
      <c r="AM596" s="1106"/>
      <c r="AN596" s="1106"/>
      <c r="AO596" s="1106"/>
      <c r="AP596" s="1106"/>
      <c r="AQ596" s="1106"/>
      <c r="AR596" s="1106"/>
      <c r="AS596" s="1106"/>
      <c r="AT596" s="1106"/>
      <c r="AU596" s="1106"/>
      <c r="AV596" s="1106"/>
      <c r="AW596" s="1106"/>
      <c r="AX596" s="1106"/>
    </row>
    <row r="597">
      <c r="T597" s="1102"/>
      <c r="U597" s="1104"/>
      <c r="V597" s="1104"/>
      <c r="W597" s="1104"/>
      <c r="X597" s="1104"/>
      <c r="Y597" s="1104"/>
      <c r="Z597" s="1104"/>
      <c r="AA597" s="1104"/>
      <c r="AB597" s="1104"/>
      <c r="AC597" s="1104"/>
      <c r="AD597" s="1104"/>
      <c r="AE597" s="1104"/>
      <c r="AF597" s="1104"/>
      <c r="AG597" s="1106"/>
      <c r="AH597" s="1106"/>
      <c r="AI597" s="1106"/>
      <c r="AJ597" s="1106"/>
      <c r="AK597" s="1106"/>
      <c r="AL597" s="1106"/>
      <c r="AM597" s="1106"/>
      <c r="AN597" s="1106"/>
      <c r="AO597" s="1106"/>
      <c r="AP597" s="1106"/>
      <c r="AQ597" s="1106"/>
      <c r="AR597" s="1106"/>
      <c r="AS597" s="1106"/>
      <c r="AT597" s="1106"/>
      <c r="AU597" s="1106"/>
      <c r="AV597" s="1106"/>
      <c r="AW597" s="1106"/>
      <c r="AX597" s="1106"/>
    </row>
    <row r="598">
      <c r="T598" s="1102"/>
      <c r="U598" s="1104"/>
      <c r="V598" s="1104"/>
      <c r="W598" s="1104"/>
      <c r="X598" s="1104"/>
      <c r="Y598" s="1104"/>
      <c r="Z598" s="1104"/>
      <c r="AA598" s="1104"/>
      <c r="AB598" s="1104"/>
      <c r="AC598" s="1104"/>
      <c r="AD598" s="1104"/>
      <c r="AE598" s="1104"/>
      <c r="AF598" s="1104"/>
      <c r="AG598" s="1106"/>
      <c r="AH598" s="1106"/>
      <c r="AI598" s="1106"/>
      <c r="AJ598" s="1106"/>
      <c r="AK598" s="1106"/>
      <c r="AL598" s="1106"/>
      <c r="AM598" s="1106"/>
      <c r="AN598" s="1106"/>
      <c r="AO598" s="1106"/>
      <c r="AP598" s="1106"/>
      <c r="AQ598" s="1106"/>
      <c r="AR598" s="1106"/>
      <c r="AS598" s="1106"/>
      <c r="AT598" s="1106"/>
      <c r="AU598" s="1106"/>
      <c r="AV598" s="1106"/>
      <c r="AW598" s="1106"/>
      <c r="AX598" s="1106"/>
    </row>
    <row r="599">
      <c r="T599" s="1102"/>
      <c r="U599" s="1104"/>
      <c r="V599" s="1104"/>
      <c r="W599" s="1104"/>
      <c r="X599" s="1104"/>
      <c r="Y599" s="1104"/>
      <c r="Z599" s="1104"/>
      <c r="AA599" s="1104"/>
      <c r="AB599" s="1104"/>
      <c r="AC599" s="1104"/>
      <c r="AD599" s="1104"/>
      <c r="AE599" s="1104"/>
      <c r="AF599" s="1104"/>
      <c r="AG599" s="1106"/>
      <c r="AH599" s="1106"/>
      <c r="AI599" s="1106"/>
      <c r="AJ599" s="1106"/>
      <c r="AK599" s="1106"/>
      <c r="AL599" s="1106"/>
      <c r="AM599" s="1106"/>
      <c r="AN599" s="1106"/>
      <c r="AO599" s="1106"/>
      <c r="AP599" s="1106"/>
      <c r="AQ599" s="1106"/>
      <c r="AR599" s="1106"/>
      <c r="AS599" s="1106"/>
      <c r="AT599" s="1106"/>
      <c r="AU599" s="1106"/>
      <c r="AV599" s="1106"/>
      <c r="AW599" s="1106"/>
      <c r="AX599" s="1106"/>
    </row>
    <row r="600">
      <c r="T600" s="1102"/>
      <c r="U600" s="1104"/>
      <c r="V600" s="1104"/>
      <c r="W600" s="1104"/>
      <c r="X600" s="1104"/>
      <c r="Y600" s="1104"/>
      <c r="Z600" s="1104"/>
      <c r="AA600" s="1104"/>
      <c r="AB600" s="1104"/>
      <c r="AC600" s="1104"/>
      <c r="AD600" s="1104"/>
      <c r="AE600" s="1104"/>
      <c r="AF600" s="1104"/>
      <c r="AG600" s="1106"/>
      <c r="AH600" s="1106"/>
      <c r="AI600" s="1106"/>
      <c r="AJ600" s="1106"/>
      <c r="AK600" s="1106"/>
      <c r="AL600" s="1106"/>
      <c r="AM600" s="1106"/>
      <c r="AN600" s="1106"/>
      <c r="AO600" s="1106"/>
      <c r="AP600" s="1106"/>
      <c r="AQ600" s="1106"/>
      <c r="AR600" s="1106"/>
      <c r="AS600" s="1106"/>
      <c r="AT600" s="1106"/>
      <c r="AU600" s="1106"/>
      <c r="AV600" s="1106"/>
      <c r="AW600" s="1106"/>
      <c r="AX600" s="1106"/>
    </row>
    <row r="601">
      <c r="T601" s="1102"/>
      <c r="U601" s="1104"/>
      <c r="V601" s="1104"/>
      <c r="W601" s="1104"/>
      <c r="X601" s="1104"/>
      <c r="Y601" s="1104"/>
      <c r="Z601" s="1104"/>
      <c r="AA601" s="1104"/>
      <c r="AB601" s="1104"/>
      <c r="AC601" s="1104"/>
      <c r="AD601" s="1104"/>
      <c r="AE601" s="1104"/>
      <c r="AF601" s="1104"/>
      <c r="AG601" s="1106"/>
      <c r="AH601" s="1106"/>
      <c r="AI601" s="1106"/>
      <c r="AJ601" s="1106"/>
      <c r="AK601" s="1106"/>
      <c r="AL601" s="1106"/>
      <c r="AM601" s="1106"/>
      <c r="AN601" s="1106"/>
      <c r="AO601" s="1106"/>
      <c r="AP601" s="1106"/>
      <c r="AQ601" s="1106"/>
      <c r="AR601" s="1106"/>
      <c r="AS601" s="1106"/>
      <c r="AT601" s="1106"/>
      <c r="AU601" s="1106"/>
      <c r="AV601" s="1106"/>
      <c r="AW601" s="1106"/>
      <c r="AX601" s="1106"/>
    </row>
    <row r="602">
      <c r="T602" s="1102"/>
      <c r="U602" s="1104"/>
      <c r="V602" s="1104"/>
      <c r="W602" s="1104"/>
      <c r="X602" s="1104"/>
      <c r="Y602" s="1104"/>
      <c r="Z602" s="1104"/>
      <c r="AA602" s="1104"/>
      <c r="AB602" s="1104"/>
      <c r="AC602" s="1104"/>
      <c r="AD602" s="1104"/>
      <c r="AE602" s="1104"/>
      <c r="AF602" s="1104"/>
      <c r="AG602" s="1106"/>
      <c r="AH602" s="1106"/>
      <c r="AI602" s="1106"/>
      <c r="AJ602" s="1106"/>
      <c r="AK602" s="1106"/>
      <c r="AL602" s="1106"/>
      <c r="AM602" s="1106"/>
      <c r="AN602" s="1106"/>
      <c r="AO602" s="1106"/>
      <c r="AP602" s="1106"/>
      <c r="AQ602" s="1106"/>
      <c r="AR602" s="1106"/>
      <c r="AS602" s="1106"/>
      <c r="AT602" s="1106"/>
      <c r="AU602" s="1106"/>
      <c r="AV602" s="1106"/>
      <c r="AW602" s="1106"/>
      <c r="AX602" s="1106"/>
    </row>
    <row r="603">
      <c r="T603" s="1102"/>
      <c r="U603" s="1104"/>
      <c r="V603" s="1104"/>
      <c r="W603" s="1104"/>
      <c r="X603" s="1104"/>
      <c r="Y603" s="1104"/>
      <c r="Z603" s="1104"/>
      <c r="AA603" s="1104"/>
      <c r="AB603" s="1104"/>
      <c r="AC603" s="1104"/>
      <c r="AD603" s="1104"/>
      <c r="AE603" s="1104"/>
      <c r="AF603" s="1104"/>
      <c r="AG603" s="1106"/>
      <c r="AH603" s="1106"/>
      <c r="AI603" s="1106"/>
      <c r="AJ603" s="1106"/>
      <c r="AK603" s="1106"/>
      <c r="AL603" s="1106"/>
      <c r="AM603" s="1106"/>
      <c r="AN603" s="1106"/>
      <c r="AO603" s="1106"/>
      <c r="AP603" s="1106"/>
      <c r="AQ603" s="1106"/>
      <c r="AR603" s="1106"/>
      <c r="AS603" s="1106"/>
      <c r="AT603" s="1106"/>
      <c r="AU603" s="1106"/>
      <c r="AV603" s="1106"/>
      <c r="AW603" s="1106"/>
      <c r="AX603" s="1106"/>
    </row>
    <row r="604">
      <c r="T604" s="1102"/>
      <c r="U604" s="1104"/>
      <c r="V604" s="1104"/>
      <c r="W604" s="1104"/>
      <c r="X604" s="1104"/>
      <c r="Y604" s="1104"/>
      <c r="Z604" s="1104"/>
      <c r="AA604" s="1104"/>
      <c r="AB604" s="1104"/>
      <c r="AC604" s="1104"/>
      <c r="AD604" s="1104"/>
      <c r="AE604" s="1104"/>
      <c r="AF604" s="1104"/>
      <c r="AG604" s="1106"/>
      <c r="AH604" s="1106"/>
      <c r="AI604" s="1106"/>
      <c r="AJ604" s="1106"/>
      <c r="AK604" s="1106"/>
      <c r="AL604" s="1106"/>
      <c r="AM604" s="1106"/>
      <c r="AN604" s="1106"/>
      <c r="AO604" s="1106"/>
      <c r="AP604" s="1106"/>
      <c r="AQ604" s="1106"/>
      <c r="AR604" s="1106"/>
      <c r="AS604" s="1106"/>
      <c r="AT604" s="1106"/>
      <c r="AU604" s="1106"/>
      <c r="AV604" s="1106"/>
      <c r="AW604" s="1106"/>
      <c r="AX604" s="1106"/>
    </row>
    <row r="605">
      <c r="T605" s="1102"/>
      <c r="U605" s="1104"/>
      <c r="V605" s="1104"/>
      <c r="W605" s="1104"/>
      <c r="X605" s="1104"/>
      <c r="Y605" s="1104"/>
      <c r="Z605" s="1104"/>
      <c r="AA605" s="1104"/>
      <c r="AB605" s="1104"/>
      <c r="AC605" s="1104"/>
      <c r="AD605" s="1104"/>
      <c r="AE605" s="1104"/>
      <c r="AF605" s="1104"/>
      <c r="AG605" s="1106"/>
      <c r="AH605" s="1106"/>
      <c r="AI605" s="1106"/>
      <c r="AJ605" s="1106"/>
      <c r="AK605" s="1106"/>
      <c r="AL605" s="1106"/>
      <c r="AM605" s="1106"/>
      <c r="AN605" s="1106"/>
      <c r="AO605" s="1106"/>
      <c r="AP605" s="1106"/>
      <c r="AQ605" s="1106"/>
      <c r="AR605" s="1106"/>
      <c r="AS605" s="1106"/>
      <c r="AT605" s="1106"/>
      <c r="AU605" s="1106"/>
      <c r="AV605" s="1106"/>
      <c r="AW605" s="1106"/>
      <c r="AX605" s="1106"/>
    </row>
    <row r="606">
      <c r="T606" s="1102"/>
      <c r="U606" s="1104"/>
      <c r="V606" s="1104"/>
      <c r="W606" s="1104"/>
      <c r="X606" s="1104"/>
      <c r="Y606" s="1104"/>
      <c r="Z606" s="1104"/>
      <c r="AA606" s="1104"/>
      <c r="AB606" s="1104"/>
      <c r="AC606" s="1104"/>
      <c r="AD606" s="1104"/>
      <c r="AE606" s="1104"/>
      <c r="AF606" s="1104"/>
      <c r="AG606" s="1106"/>
      <c r="AH606" s="1106"/>
      <c r="AI606" s="1106"/>
      <c r="AJ606" s="1106"/>
      <c r="AK606" s="1106"/>
      <c r="AL606" s="1106"/>
      <c r="AM606" s="1106"/>
      <c r="AN606" s="1106"/>
      <c r="AO606" s="1106"/>
      <c r="AP606" s="1106"/>
      <c r="AQ606" s="1106"/>
      <c r="AR606" s="1106"/>
      <c r="AS606" s="1106"/>
      <c r="AT606" s="1106"/>
      <c r="AU606" s="1106"/>
      <c r="AV606" s="1106"/>
      <c r="AW606" s="1106"/>
      <c r="AX606" s="1106"/>
    </row>
    <row r="607">
      <c r="T607" s="1102"/>
      <c r="U607" s="1104"/>
      <c r="V607" s="1104"/>
      <c r="W607" s="1104"/>
      <c r="X607" s="1104"/>
      <c r="Y607" s="1104"/>
      <c r="Z607" s="1104"/>
      <c r="AA607" s="1104"/>
      <c r="AB607" s="1104"/>
      <c r="AC607" s="1104"/>
      <c r="AD607" s="1104"/>
      <c r="AE607" s="1104"/>
      <c r="AF607" s="1104"/>
      <c r="AG607" s="1106"/>
      <c r="AH607" s="1106"/>
      <c r="AI607" s="1106"/>
      <c r="AJ607" s="1106"/>
      <c r="AK607" s="1106"/>
      <c r="AL607" s="1106"/>
      <c r="AM607" s="1106"/>
      <c r="AN607" s="1106"/>
      <c r="AO607" s="1106"/>
      <c r="AP607" s="1106"/>
      <c r="AQ607" s="1106"/>
      <c r="AR607" s="1106"/>
      <c r="AS607" s="1106"/>
      <c r="AT607" s="1106"/>
      <c r="AU607" s="1106"/>
      <c r="AV607" s="1106"/>
      <c r="AW607" s="1106"/>
      <c r="AX607" s="1106"/>
    </row>
    <row r="608">
      <c r="T608" s="1102"/>
      <c r="U608" s="1104"/>
      <c r="V608" s="1104"/>
      <c r="W608" s="1104"/>
      <c r="X608" s="1104"/>
      <c r="Y608" s="1104"/>
      <c r="Z608" s="1104"/>
      <c r="AA608" s="1104"/>
      <c r="AB608" s="1104"/>
      <c r="AC608" s="1104"/>
      <c r="AD608" s="1104"/>
      <c r="AE608" s="1104"/>
      <c r="AF608" s="1104"/>
      <c r="AG608" s="1106"/>
      <c r="AH608" s="1106"/>
      <c r="AI608" s="1106"/>
      <c r="AJ608" s="1106"/>
      <c r="AK608" s="1106"/>
      <c r="AL608" s="1106"/>
      <c r="AM608" s="1106"/>
      <c r="AN608" s="1106"/>
      <c r="AO608" s="1106"/>
      <c r="AP608" s="1106"/>
      <c r="AQ608" s="1106"/>
      <c r="AR608" s="1106"/>
      <c r="AS608" s="1106"/>
      <c r="AT608" s="1106"/>
      <c r="AU608" s="1106"/>
      <c r="AV608" s="1106"/>
      <c r="AW608" s="1106"/>
      <c r="AX608" s="1106"/>
    </row>
    <row r="609">
      <c r="T609" s="1102"/>
      <c r="U609" s="1104"/>
      <c r="V609" s="1104"/>
      <c r="W609" s="1104"/>
      <c r="X609" s="1104"/>
      <c r="Y609" s="1104"/>
      <c r="Z609" s="1104"/>
      <c r="AA609" s="1104"/>
      <c r="AB609" s="1104"/>
      <c r="AC609" s="1104"/>
      <c r="AD609" s="1104"/>
      <c r="AE609" s="1104"/>
      <c r="AF609" s="1104"/>
      <c r="AG609" s="1106"/>
      <c r="AH609" s="1106"/>
      <c r="AI609" s="1106"/>
      <c r="AJ609" s="1106"/>
      <c r="AK609" s="1106"/>
      <c r="AL609" s="1106"/>
      <c r="AM609" s="1106"/>
      <c r="AN609" s="1106"/>
      <c r="AO609" s="1106"/>
      <c r="AP609" s="1106"/>
      <c r="AQ609" s="1106"/>
      <c r="AR609" s="1106"/>
      <c r="AS609" s="1106"/>
      <c r="AT609" s="1106"/>
      <c r="AU609" s="1106"/>
      <c r="AV609" s="1106"/>
      <c r="AW609" s="1106"/>
      <c r="AX609" s="1106"/>
    </row>
    <row r="610">
      <c r="T610" s="1102"/>
      <c r="U610" s="1104"/>
      <c r="V610" s="1104"/>
      <c r="W610" s="1104"/>
      <c r="X610" s="1104"/>
      <c r="Y610" s="1104"/>
      <c r="Z610" s="1104"/>
      <c r="AA610" s="1104"/>
      <c r="AB610" s="1104"/>
      <c r="AC610" s="1104"/>
      <c r="AD610" s="1104"/>
      <c r="AE610" s="1104"/>
      <c r="AF610" s="1104"/>
      <c r="AG610" s="1106"/>
      <c r="AH610" s="1106"/>
      <c r="AI610" s="1106"/>
      <c r="AJ610" s="1106"/>
      <c r="AK610" s="1106"/>
      <c r="AL610" s="1106"/>
      <c r="AM610" s="1106"/>
      <c r="AN610" s="1106"/>
      <c r="AO610" s="1106"/>
      <c r="AP610" s="1106"/>
      <c r="AQ610" s="1106"/>
      <c r="AR610" s="1106"/>
      <c r="AS610" s="1106"/>
      <c r="AT610" s="1106"/>
      <c r="AU610" s="1106"/>
      <c r="AV610" s="1106"/>
      <c r="AW610" s="1106"/>
      <c r="AX610" s="1106"/>
    </row>
    <row r="611">
      <c r="T611" s="1102"/>
      <c r="U611" s="1104"/>
      <c r="V611" s="1104"/>
      <c r="W611" s="1104"/>
      <c r="X611" s="1104"/>
      <c r="Y611" s="1104"/>
      <c r="Z611" s="1104"/>
      <c r="AA611" s="1104"/>
      <c r="AB611" s="1104"/>
      <c r="AC611" s="1104"/>
      <c r="AD611" s="1104"/>
      <c r="AE611" s="1104"/>
      <c r="AF611" s="1104"/>
      <c r="AG611" s="1106"/>
      <c r="AH611" s="1106"/>
      <c r="AI611" s="1106"/>
      <c r="AJ611" s="1106"/>
      <c r="AK611" s="1106"/>
      <c r="AL611" s="1106"/>
      <c r="AM611" s="1106"/>
      <c r="AN611" s="1106"/>
      <c r="AO611" s="1106"/>
      <c r="AP611" s="1106"/>
      <c r="AQ611" s="1106"/>
      <c r="AR611" s="1106"/>
      <c r="AS611" s="1106"/>
      <c r="AT611" s="1106"/>
      <c r="AU611" s="1106"/>
      <c r="AV611" s="1106"/>
      <c r="AW611" s="1106"/>
      <c r="AX611" s="1106"/>
    </row>
    <row r="612">
      <c r="T612" s="1102"/>
      <c r="U612" s="1104"/>
      <c r="V612" s="1104"/>
      <c r="W612" s="1104"/>
      <c r="X612" s="1104"/>
      <c r="Y612" s="1104"/>
      <c r="Z612" s="1104"/>
      <c r="AA612" s="1104"/>
      <c r="AB612" s="1104"/>
      <c r="AC612" s="1104"/>
      <c r="AD612" s="1104"/>
      <c r="AE612" s="1104"/>
      <c r="AF612" s="1104"/>
      <c r="AG612" s="1106"/>
      <c r="AH612" s="1106"/>
      <c r="AI612" s="1106"/>
      <c r="AJ612" s="1106"/>
      <c r="AK612" s="1106"/>
      <c r="AL612" s="1106"/>
      <c r="AM612" s="1106"/>
      <c r="AN612" s="1106"/>
      <c r="AO612" s="1106"/>
      <c r="AP612" s="1106"/>
      <c r="AQ612" s="1106"/>
      <c r="AR612" s="1106"/>
      <c r="AS612" s="1106"/>
      <c r="AT612" s="1106"/>
      <c r="AU612" s="1106"/>
      <c r="AV612" s="1106"/>
      <c r="AW612" s="1106"/>
      <c r="AX612" s="1106"/>
    </row>
    <row r="613">
      <c r="T613" s="1102"/>
      <c r="U613" s="1104"/>
      <c r="V613" s="1104"/>
      <c r="W613" s="1104"/>
      <c r="X613" s="1104"/>
      <c r="Y613" s="1104"/>
      <c r="Z613" s="1104"/>
      <c r="AA613" s="1104"/>
      <c r="AB613" s="1104"/>
      <c r="AC613" s="1104"/>
      <c r="AD613" s="1104"/>
      <c r="AE613" s="1104"/>
      <c r="AF613" s="1104"/>
      <c r="AG613" s="1106"/>
      <c r="AH613" s="1106"/>
      <c r="AI613" s="1106"/>
      <c r="AJ613" s="1106"/>
      <c r="AK613" s="1106"/>
      <c r="AL613" s="1106"/>
      <c r="AM613" s="1106"/>
      <c r="AN613" s="1106"/>
      <c r="AO613" s="1106"/>
      <c r="AP613" s="1106"/>
      <c r="AQ613" s="1106"/>
      <c r="AR613" s="1106"/>
      <c r="AS613" s="1106"/>
      <c r="AT613" s="1106"/>
      <c r="AU613" s="1106"/>
      <c r="AV613" s="1106"/>
      <c r="AW613" s="1106"/>
      <c r="AX613" s="1106"/>
    </row>
    <row r="614">
      <c r="T614" s="1102"/>
      <c r="U614" s="1104"/>
      <c r="V614" s="1104"/>
      <c r="W614" s="1104"/>
      <c r="X614" s="1104"/>
      <c r="Y614" s="1104"/>
      <c r="Z614" s="1104"/>
      <c r="AA614" s="1104"/>
      <c r="AB614" s="1104"/>
      <c r="AC614" s="1104"/>
      <c r="AD614" s="1104"/>
      <c r="AE614" s="1104"/>
      <c r="AF614" s="1104"/>
      <c r="AG614" s="1106"/>
      <c r="AH614" s="1106"/>
      <c r="AI614" s="1106"/>
      <c r="AJ614" s="1106"/>
      <c r="AK614" s="1106"/>
      <c r="AL614" s="1106"/>
      <c r="AM614" s="1106"/>
      <c r="AN614" s="1106"/>
      <c r="AO614" s="1106"/>
      <c r="AP614" s="1106"/>
      <c r="AQ614" s="1106"/>
      <c r="AR614" s="1106"/>
      <c r="AS614" s="1106"/>
      <c r="AT614" s="1106"/>
      <c r="AU614" s="1106"/>
      <c r="AV614" s="1106"/>
      <c r="AW614" s="1106"/>
      <c r="AX614" s="1106"/>
    </row>
    <row r="615">
      <c r="T615" s="1102"/>
      <c r="U615" s="1104"/>
      <c r="V615" s="1104"/>
      <c r="W615" s="1104"/>
      <c r="X615" s="1104"/>
      <c r="Y615" s="1104"/>
      <c r="Z615" s="1104"/>
      <c r="AA615" s="1104"/>
      <c r="AB615" s="1104"/>
      <c r="AC615" s="1104"/>
      <c r="AD615" s="1104"/>
      <c r="AE615" s="1104"/>
      <c r="AF615" s="1104"/>
      <c r="AG615" s="1106"/>
      <c r="AH615" s="1106"/>
      <c r="AI615" s="1106"/>
      <c r="AJ615" s="1106"/>
      <c r="AK615" s="1106"/>
      <c r="AL615" s="1106"/>
      <c r="AM615" s="1106"/>
      <c r="AN615" s="1106"/>
      <c r="AO615" s="1106"/>
      <c r="AP615" s="1106"/>
      <c r="AQ615" s="1106"/>
      <c r="AR615" s="1106"/>
      <c r="AS615" s="1106"/>
      <c r="AT615" s="1106"/>
      <c r="AU615" s="1106"/>
      <c r="AV615" s="1106"/>
      <c r="AW615" s="1106"/>
      <c r="AX615" s="1106"/>
    </row>
    <row r="616">
      <c r="T616" s="1102"/>
      <c r="U616" s="1104"/>
      <c r="V616" s="1104"/>
      <c r="W616" s="1104"/>
      <c r="X616" s="1104"/>
      <c r="Y616" s="1104"/>
      <c r="Z616" s="1104"/>
      <c r="AA616" s="1104"/>
      <c r="AB616" s="1104"/>
      <c r="AC616" s="1104"/>
      <c r="AD616" s="1104"/>
      <c r="AE616" s="1104"/>
      <c r="AF616" s="1104"/>
      <c r="AG616" s="1106"/>
      <c r="AH616" s="1106"/>
      <c r="AI616" s="1106"/>
      <c r="AJ616" s="1106"/>
      <c r="AK616" s="1106"/>
      <c r="AL616" s="1106"/>
      <c r="AM616" s="1106"/>
      <c r="AN616" s="1106"/>
      <c r="AO616" s="1106"/>
      <c r="AP616" s="1106"/>
      <c r="AQ616" s="1106"/>
      <c r="AR616" s="1106"/>
      <c r="AS616" s="1106"/>
      <c r="AT616" s="1106"/>
      <c r="AU616" s="1106"/>
      <c r="AV616" s="1106"/>
      <c r="AW616" s="1106"/>
      <c r="AX616" s="1106"/>
    </row>
    <row r="617">
      <c r="T617" s="1102"/>
      <c r="U617" s="1104"/>
      <c r="V617" s="1104"/>
      <c r="W617" s="1104"/>
      <c r="X617" s="1104"/>
      <c r="Y617" s="1104"/>
      <c r="Z617" s="1104"/>
      <c r="AA617" s="1104"/>
      <c r="AB617" s="1104"/>
      <c r="AC617" s="1104"/>
      <c r="AD617" s="1104"/>
      <c r="AE617" s="1104"/>
      <c r="AF617" s="1104"/>
      <c r="AG617" s="1106"/>
      <c r="AH617" s="1106"/>
      <c r="AI617" s="1106"/>
      <c r="AJ617" s="1106"/>
      <c r="AK617" s="1106"/>
      <c r="AL617" s="1106"/>
      <c r="AM617" s="1106"/>
      <c r="AN617" s="1106"/>
      <c r="AO617" s="1106"/>
      <c r="AP617" s="1106"/>
      <c r="AQ617" s="1106"/>
      <c r="AR617" s="1106"/>
      <c r="AS617" s="1106"/>
      <c r="AT617" s="1106"/>
      <c r="AU617" s="1106"/>
      <c r="AV617" s="1106"/>
      <c r="AW617" s="1106"/>
      <c r="AX617" s="1106"/>
    </row>
    <row r="618">
      <c r="T618" s="1102"/>
      <c r="U618" s="1104"/>
      <c r="V618" s="1104"/>
      <c r="W618" s="1104"/>
      <c r="X618" s="1104"/>
      <c r="Y618" s="1104"/>
      <c r="Z618" s="1104"/>
      <c r="AA618" s="1104"/>
      <c r="AB618" s="1104"/>
      <c r="AC618" s="1104"/>
      <c r="AD618" s="1104"/>
      <c r="AE618" s="1104"/>
      <c r="AF618" s="1104"/>
      <c r="AG618" s="1106"/>
      <c r="AH618" s="1106"/>
      <c r="AI618" s="1106"/>
      <c r="AJ618" s="1106"/>
      <c r="AK618" s="1106"/>
      <c r="AL618" s="1106"/>
      <c r="AM618" s="1106"/>
      <c r="AN618" s="1106"/>
      <c r="AO618" s="1106"/>
      <c r="AP618" s="1106"/>
      <c r="AQ618" s="1106"/>
      <c r="AR618" s="1106"/>
      <c r="AS618" s="1106"/>
      <c r="AT618" s="1106"/>
      <c r="AU618" s="1106"/>
      <c r="AV618" s="1106"/>
      <c r="AW618" s="1106"/>
      <c r="AX618" s="1106"/>
    </row>
    <row r="619">
      <c r="T619" s="1102"/>
      <c r="U619" s="1104"/>
      <c r="V619" s="1104"/>
      <c r="W619" s="1104"/>
      <c r="X619" s="1104"/>
      <c r="Y619" s="1104"/>
      <c r="Z619" s="1104"/>
      <c r="AA619" s="1104"/>
      <c r="AB619" s="1104"/>
      <c r="AC619" s="1104"/>
      <c r="AD619" s="1104"/>
      <c r="AE619" s="1104"/>
      <c r="AF619" s="1104"/>
      <c r="AG619" s="1106"/>
      <c r="AH619" s="1106"/>
      <c r="AI619" s="1106"/>
      <c r="AJ619" s="1106"/>
      <c r="AK619" s="1106"/>
      <c r="AL619" s="1106"/>
      <c r="AM619" s="1106"/>
      <c r="AN619" s="1106"/>
      <c r="AO619" s="1106"/>
      <c r="AP619" s="1106"/>
      <c r="AQ619" s="1106"/>
      <c r="AR619" s="1106"/>
      <c r="AS619" s="1106"/>
      <c r="AT619" s="1106"/>
      <c r="AU619" s="1106"/>
      <c r="AV619" s="1106"/>
      <c r="AW619" s="1106"/>
      <c r="AX619" s="1106"/>
    </row>
    <row r="620">
      <c r="T620" s="1102"/>
      <c r="U620" s="1104"/>
      <c r="V620" s="1104"/>
      <c r="W620" s="1104"/>
      <c r="X620" s="1104"/>
      <c r="Y620" s="1104"/>
      <c r="Z620" s="1104"/>
      <c r="AA620" s="1104"/>
      <c r="AB620" s="1104"/>
      <c r="AC620" s="1104"/>
      <c r="AD620" s="1104"/>
      <c r="AE620" s="1104"/>
      <c r="AF620" s="1104"/>
      <c r="AG620" s="1106"/>
      <c r="AH620" s="1106"/>
      <c r="AI620" s="1106"/>
      <c r="AJ620" s="1106"/>
      <c r="AK620" s="1106"/>
      <c r="AL620" s="1106"/>
      <c r="AM620" s="1106"/>
      <c r="AN620" s="1106"/>
      <c r="AO620" s="1106"/>
      <c r="AP620" s="1106"/>
      <c r="AQ620" s="1106"/>
      <c r="AR620" s="1106"/>
      <c r="AS620" s="1106"/>
      <c r="AT620" s="1106"/>
      <c r="AU620" s="1106"/>
      <c r="AV620" s="1106"/>
      <c r="AW620" s="1106"/>
      <c r="AX620" s="1106"/>
    </row>
    <row r="621">
      <c r="T621" s="1102"/>
      <c r="U621" s="1104"/>
      <c r="V621" s="1104"/>
      <c r="W621" s="1104"/>
      <c r="X621" s="1104"/>
      <c r="Y621" s="1104"/>
      <c r="Z621" s="1104"/>
      <c r="AA621" s="1104"/>
      <c r="AB621" s="1104"/>
      <c r="AC621" s="1104"/>
      <c r="AD621" s="1104"/>
      <c r="AE621" s="1104"/>
      <c r="AF621" s="1104"/>
      <c r="AG621" s="1106"/>
      <c r="AH621" s="1106"/>
      <c r="AI621" s="1106"/>
      <c r="AJ621" s="1106"/>
      <c r="AK621" s="1106"/>
      <c r="AL621" s="1106"/>
      <c r="AM621" s="1106"/>
      <c r="AN621" s="1106"/>
      <c r="AO621" s="1106"/>
      <c r="AP621" s="1106"/>
      <c r="AQ621" s="1106"/>
      <c r="AR621" s="1106"/>
      <c r="AS621" s="1106"/>
      <c r="AT621" s="1106"/>
      <c r="AU621" s="1106"/>
      <c r="AV621" s="1106"/>
      <c r="AW621" s="1106"/>
      <c r="AX621" s="1106"/>
    </row>
    <row r="622">
      <c r="T622" s="1102"/>
      <c r="U622" s="1104"/>
      <c r="V622" s="1104"/>
      <c r="W622" s="1104"/>
      <c r="X622" s="1104"/>
      <c r="Y622" s="1104"/>
      <c r="Z622" s="1104"/>
      <c r="AA622" s="1104"/>
      <c r="AB622" s="1104"/>
      <c r="AC622" s="1104"/>
      <c r="AD622" s="1104"/>
      <c r="AE622" s="1104"/>
      <c r="AF622" s="1104"/>
      <c r="AG622" s="1106"/>
      <c r="AH622" s="1106"/>
      <c r="AI622" s="1106"/>
      <c r="AJ622" s="1106"/>
      <c r="AK622" s="1106"/>
      <c r="AL622" s="1106"/>
      <c r="AM622" s="1106"/>
      <c r="AN622" s="1106"/>
      <c r="AO622" s="1106"/>
      <c r="AP622" s="1106"/>
      <c r="AQ622" s="1106"/>
      <c r="AR622" s="1106"/>
      <c r="AS622" s="1106"/>
      <c r="AT622" s="1106"/>
      <c r="AU622" s="1106"/>
      <c r="AV622" s="1106"/>
      <c r="AW622" s="1106"/>
      <c r="AX622" s="1106"/>
    </row>
    <row r="623">
      <c r="T623" s="1102"/>
      <c r="U623" s="1104"/>
      <c r="V623" s="1104"/>
      <c r="W623" s="1104"/>
      <c r="X623" s="1104"/>
      <c r="Y623" s="1104"/>
      <c r="Z623" s="1104"/>
      <c r="AA623" s="1104"/>
      <c r="AB623" s="1104"/>
      <c r="AC623" s="1104"/>
      <c r="AD623" s="1104"/>
      <c r="AE623" s="1104"/>
      <c r="AF623" s="1104"/>
      <c r="AG623" s="1106"/>
      <c r="AH623" s="1106"/>
      <c r="AI623" s="1106"/>
      <c r="AJ623" s="1106"/>
      <c r="AK623" s="1106"/>
      <c r="AL623" s="1106"/>
      <c r="AM623" s="1106"/>
      <c r="AN623" s="1106"/>
      <c r="AO623" s="1106"/>
      <c r="AP623" s="1106"/>
      <c r="AQ623" s="1106"/>
      <c r="AR623" s="1106"/>
      <c r="AS623" s="1106"/>
      <c r="AT623" s="1106"/>
      <c r="AU623" s="1106"/>
      <c r="AV623" s="1106"/>
      <c r="AW623" s="1106"/>
      <c r="AX623" s="1106"/>
    </row>
    <row r="624">
      <c r="T624" s="1102"/>
      <c r="U624" s="1104"/>
      <c r="V624" s="1104"/>
      <c r="W624" s="1104"/>
      <c r="X624" s="1104"/>
      <c r="Y624" s="1104"/>
      <c r="Z624" s="1104"/>
      <c r="AA624" s="1104"/>
      <c r="AB624" s="1104"/>
      <c r="AC624" s="1104"/>
      <c r="AD624" s="1104"/>
      <c r="AE624" s="1104"/>
      <c r="AF624" s="1104"/>
      <c r="AG624" s="1106"/>
      <c r="AH624" s="1106"/>
      <c r="AI624" s="1106"/>
      <c r="AJ624" s="1106"/>
      <c r="AK624" s="1106"/>
      <c r="AL624" s="1106"/>
      <c r="AM624" s="1106"/>
      <c r="AN624" s="1106"/>
      <c r="AO624" s="1106"/>
      <c r="AP624" s="1106"/>
      <c r="AQ624" s="1106"/>
      <c r="AR624" s="1106"/>
      <c r="AS624" s="1106"/>
      <c r="AT624" s="1106"/>
      <c r="AU624" s="1106"/>
      <c r="AV624" s="1106"/>
      <c r="AW624" s="1106"/>
      <c r="AX624" s="1106"/>
    </row>
    <row r="625">
      <c r="T625" s="1102"/>
      <c r="U625" s="1104"/>
      <c r="V625" s="1104"/>
      <c r="W625" s="1104"/>
      <c r="X625" s="1104"/>
      <c r="Y625" s="1104"/>
      <c r="Z625" s="1104"/>
      <c r="AA625" s="1104"/>
      <c r="AB625" s="1104"/>
      <c r="AC625" s="1104"/>
      <c r="AD625" s="1104"/>
      <c r="AE625" s="1104"/>
      <c r="AF625" s="1104"/>
      <c r="AG625" s="1106"/>
      <c r="AH625" s="1106"/>
      <c r="AI625" s="1106"/>
      <c r="AJ625" s="1106"/>
      <c r="AK625" s="1106"/>
      <c r="AL625" s="1106"/>
      <c r="AM625" s="1106"/>
      <c r="AN625" s="1106"/>
      <c r="AO625" s="1106"/>
      <c r="AP625" s="1106"/>
      <c r="AQ625" s="1106"/>
      <c r="AR625" s="1106"/>
      <c r="AS625" s="1106"/>
      <c r="AT625" s="1106"/>
      <c r="AU625" s="1106"/>
      <c r="AV625" s="1106"/>
      <c r="AW625" s="1106"/>
      <c r="AX625" s="1106"/>
    </row>
    <row r="626">
      <c r="T626" s="1102"/>
      <c r="U626" s="1104"/>
      <c r="V626" s="1104"/>
      <c r="W626" s="1104"/>
      <c r="X626" s="1104"/>
      <c r="Y626" s="1104"/>
      <c r="Z626" s="1104"/>
      <c r="AA626" s="1104"/>
      <c r="AB626" s="1104"/>
      <c r="AC626" s="1104"/>
      <c r="AD626" s="1104"/>
      <c r="AE626" s="1104"/>
      <c r="AF626" s="1104"/>
      <c r="AG626" s="1106"/>
      <c r="AH626" s="1106"/>
      <c r="AI626" s="1106"/>
      <c r="AJ626" s="1106"/>
      <c r="AK626" s="1106"/>
      <c r="AL626" s="1106"/>
      <c r="AM626" s="1106"/>
      <c r="AN626" s="1106"/>
      <c r="AO626" s="1106"/>
      <c r="AP626" s="1106"/>
      <c r="AQ626" s="1106"/>
      <c r="AR626" s="1106"/>
      <c r="AS626" s="1106"/>
      <c r="AT626" s="1106"/>
      <c r="AU626" s="1106"/>
      <c r="AV626" s="1106"/>
      <c r="AW626" s="1106"/>
      <c r="AX626" s="1106"/>
    </row>
    <row r="627">
      <c r="T627" s="1102"/>
      <c r="U627" s="1104"/>
      <c r="V627" s="1104"/>
      <c r="W627" s="1104"/>
      <c r="X627" s="1104"/>
      <c r="Y627" s="1104"/>
      <c r="Z627" s="1104"/>
      <c r="AA627" s="1104"/>
      <c r="AB627" s="1104"/>
      <c r="AC627" s="1104"/>
      <c r="AD627" s="1104"/>
      <c r="AE627" s="1104"/>
      <c r="AF627" s="1104"/>
      <c r="AG627" s="1106"/>
      <c r="AH627" s="1106"/>
      <c r="AI627" s="1106"/>
      <c r="AJ627" s="1106"/>
      <c r="AK627" s="1106"/>
      <c r="AL627" s="1106"/>
      <c r="AM627" s="1106"/>
      <c r="AN627" s="1106"/>
      <c r="AO627" s="1106"/>
      <c r="AP627" s="1106"/>
      <c r="AQ627" s="1106"/>
      <c r="AR627" s="1106"/>
      <c r="AS627" s="1106"/>
      <c r="AT627" s="1106"/>
      <c r="AU627" s="1106"/>
      <c r="AV627" s="1106"/>
      <c r="AW627" s="1106"/>
      <c r="AX627" s="1106"/>
    </row>
    <row r="628">
      <c r="T628" s="1102"/>
      <c r="U628" s="1104"/>
      <c r="V628" s="1104"/>
      <c r="W628" s="1104"/>
      <c r="X628" s="1104"/>
      <c r="Y628" s="1104"/>
      <c r="Z628" s="1104"/>
      <c r="AA628" s="1104"/>
      <c r="AB628" s="1104"/>
      <c r="AC628" s="1104"/>
      <c r="AD628" s="1104"/>
      <c r="AE628" s="1104"/>
      <c r="AF628" s="1104"/>
      <c r="AG628" s="1106"/>
      <c r="AH628" s="1106"/>
      <c r="AI628" s="1106"/>
      <c r="AJ628" s="1106"/>
      <c r="AK628" s="1106"/>
      <c r="AL628" s="1106"/>
      <c r="AM628" s="1106"/>
      <c r="AN628" s="1106"/>
      <c r="AO628" s="1106"/>
      <c r="AP628" s="1106"/>
      <c r="AQ628" s="1106"/>
      <c r="AR628" s="1106"/>
      <c r="AS628" s="1106"/>
      <c r="AT628" s="1106"/>
      <c r="AU628" s="1106"/>
      <c r="AV628" s="1106"/>
      <c r="AW628" s="1106"/>
      <c r="AX628" s="1106"/>
    </row>
    <row r="629">
      <c r="T629" s="1102"/>
      <c r="U629" s="1104"/>
      <c r="V629" s="1104"/>
      <c r="W629" s="1104"/>
      <c r="X629" s="1104"/>
      <c r="Y629" s="1104"/>
      <c r="Z629" s="1104"/>
      <c r="AA629" s="1104"/>
      <c r="AB629" s="1104"/>
      <c r="AC629" s="1104"/>
      <c r="AD629" s="1104"/>
      <c r="AE629" s="1104"/>
      <c r="AF629" s="1104"/>
      <c r="AG629" s="1106"/>
      <c r="AH629" s="1106"/>
      <c r="AI629" s="1106"/>
      <c r="AJ629" s="1106"/>
      <c r="AK629" s="1106"/>
      <c r="AL629" s="1106"/>
      <c r="AM629" s="1106"/>
      <c r="AN629" s="1106"/>
      <c r="AO629" s="1106"/>
      <c r="AP629" s="1106"/>
      <c r="AQ629" s="1106"/>
      <c r="AR629" s="1106"/>
      <c r="AS629" s="1106"/>
      <c r="AT629" s="1106"/>
      <c r="AU629" s="1106"/>
      <c r="AV629" s="1106"/>
      <c r="AW629" s="1106"/>
      <c r="AX629" s="1106"/>
    </row>
    <row r="630">
      <c r="T630" s="1102"/>
      <c r="U630" s="1104"/>
      <c r="V630" s="1104"/>
      <c r="W630" s="1104"/>
      <c r="X630" s="1104"/>
      <c r="Y630" s="1104"/>
      <c r="Z630" s="1104"/>
      <c r="AA630" s="1104"/>
      <c r="AB630" s="1104"/>
      <c r="AC630" s="1104"/>
      <c r="AD630" s="1104"/>
      <c r="AE630" s="1104"/>
      <c r="AF630" s="1104"/>
      <c r="AG630" s="1106"/>
      <c r="AH630" s="1106"/>
      <c r="AI630" s="1106"/>
      <c r="AJ630" s="1106"/>
      <c r="AK630" s="1106"/>
      <c r="AL630" s="1106"/>
      <c r="AM630" s="1106"/>
      <c r="AN630" s="1106"/>
      <c r="AO630" s="1106"/>
      <c r="AP630" s="1106"/>
      <c r="AQ630" s="1106"/>
      <c r="AR630" s="1106"/>
      <c r="AS630" s="1106"/>
      <c r="AT630" s="1106"/>
      <c r="AU630" s="1106"/>
      <c r="AV630" s="1106"/>
      <c r="AW630" s="1106"/>
      <c r="AX630" s="1106"/>
    </row>
    <row r="631">
      <c r="T631" s="1102"/>
      <c r="U631" s="1104"/>
      <c r="V631" s="1104"/>
      <c r="W631" s="1104"/>
      <c r="X631" s="1104"/>
      <c r="Y631" s="1104"/>
      <c r="Z631" s="1104"/>
      <c r="AA631" s="1104"/>
      <c r="AB631" s="1104"/>
      <c r="AC631" s="1104"/>
      <c r="AD631" s="1104"/>
      <c r="AE631" s="1104"/>
      <c r="AF631" s="1104"/>
      <c r="AG631" s="1106"/>
      <c r="AH631" s="1106"/>
      <c r="AI631" s="1106"/>
      <c r="AJ631" s="1106"/>
      <c r="AK631" s="1106"/>
      <c r="AL631" s="1106"/>
      <c r="AM631" s="1106"/>
      <c r="AN631" s="1106"/>
      <c r="AO631" s="1106"/>
      <c r="AP631" s="1106"/>
      <c r="AQ631" s="1106"/>
      <c r="AR631" s="1106"/>
      <c r="AS631" s="1106"/>
      <c r="AT631" s="1106"/>
      <c r="AU631" s="1106"/>
      <c r="AV631" s="1106"/>
      <c r="AW631" s="1106"/>
      <c r="AX631" s="1106"/>
    </row>
    <row r="632">
      <c r="T632" s="1102"/>
      <c r="U632" s="1104"/>
      <c r="V632" s="1104"/>
      <c r="W632" s="1104"/>
      <c r="X632" s="1104"/>
      <c r="Y632" s="1104"/>
      <c r="Z632" s="1104"/>
      <c r="AA632" s="1104"/>
      <c r="AB632" s="1104"/>
      <c r="AC632" s="1104"/>
      <c r="AD632" s="1104"/>
      <c r="AE632" s="1104"/>
      <c r="AF632" s="1104"/>
      <c r="AG632" s="1106"/>
      <c r="AH632" s="1106"/>
      <c r="AI632" s="1106"/>
      <c r="AJ632" s="1106"/>
      <c r="AK632" s="1106"/>
      <c r="AL632" s="1106"/>
      <c r="AM632" s="1106"/>
      <c r="AN632" s="1106"/>
      <c r="AO632" s="1106"/>
      <c r="AP632" s="1106"/>
      <c r="AQ632" s="1106"/>
      <c r="AR632" s="1106"/>
      <c r="AS632" s="1106"/>
      <c r="AT632" s="1106"/>
      <c r="AU632" s="1106"/>
      <c r="AV632" s="1106"/>
      <c r="AW632" s="1106"/>
      <c r="AX632" s="1106"/>
    </row>
    <row r="633">
      <c r="T633" s="1102"/>
      <c r="U633" s="1104"/>
      <c r="V633" s="1104"/>
      <c r="W633" s="1104"/>
      <c r="X633" s="1104"/>
      <c r="Y633" s="1104"/>
      <c r="Z633" s="1104"/>
      <c r="AA633" s="1104"/>
      <c r="AB633" s="1104"/>
      <c r="AC633" s="1104"/>
      <c r="AD633" s="1104"/>
      <c r="AE633" s="1104"/>
      <c r="AF633" s="1104"/>
      <c r="AG633" s="1106"/>
      <c r="AH633" s="1106"/>
      <c r="AI633" s="1106"/>
      <c r="AJ633" s="1106"/>
      <c r="AK633" s="1106"/>
      <c r="AL633" s="1106"/>
      <c r="AM633" s="1106"/>
      <c r="AN633" s="1106"/>
      <c r="AO633" s="1106"/>
      <c r="AP633" s="1106"/>
      <c r="AQ633" s="1106"/>
      <c r="AR633" s="1106"/>
      <c r="AS633" s="1106"/>
      <c r="AT633" s="1106"/>
      <c r="AU633" s="1106"/>
      <c r="AV633" s="1106"/>
      <c r="AW633" s="1106"/>
      <c r="AX633" s="1106"/>
    </row>
    <row r="634">
      <c r="T634" s="1102"/>
      <c r="U634" s="1104"/>
      <c r="V634" s="1104"/>
      <c r="W634" s="1104"/>
      <c r="X634" s="1104"/>
      <c r="Y634" s="1104"/>
      <c r="Z634" s="1104"/>
      <c r="AA634" s="1104"/>
      <c r="AB634" s="1104"/>
      <c r="AC634" s="1104"/>
      <c r="AD634" s="1104"/>
      <c r="AE634" s="1104"/>
      <c r="AF634" s="1104"/>
      <c r="AG634" s="1106"/>
      <c r="AH634" s="1106"/>
      <c r="AI634" s="1106"/>
      <c r="AJ634" s="1106"/>
      <c r="AK634" s="1106"/>
      <c r="AL634" s="1106"/>
      <c r="AM634" s="1106"/>
      <c r="AN634" s="1106"/>
      <c r="AO634" s="1106"/>
      <c r="AP634" s="1106"/>
      <c r="AQ634" s="1106"/>
      <c r="AR634" s="1106"/>
      <c r="AS634" s="1106"/>
      <c r="AT634" s="1106"/>
      <c r="AU634" s="1106"/>
      <c r="AV634" s="1106"/>
      <c r="AW634" s="1106"/>
      <c r="AX634" s="1106"/>
    </row>
    <row r="635">
      <c r="T635" s="1102"/>
      <c r="U635" s="1104"/>
      <c r="V635" s="1104"/>
      <c r="W635" s="1104"/>
      <c r="X635" s="1104"/>
      <c r="Y635" s="1104"/>
      <c r="Z635" s="1104"/>
      <c r="AA635" s="1104"/>
      <c r="AB635" s="1104"/>
      <c r="AC635" s="1104"/>
      <c r="AD635" s="1104"/>
      <c r="AE635" s="1104"/>
      <c r="AF635" s="1104"/>
      <c r="AG635" s="1106"/>
      <c r="AH635" s="1106"/>
      <c r="AI635" s="1106"/>
      <c r="AJ635" s="1106"/>
      <c r="AK635" s="1106"/>
      <c r="AL635" s="1106"/>
      <c r="AM635" s="1106"/>
      <c r="AN635" s="1106"/>
      <c r="AO635" s="1106"/>
      <c r="AP635" s="1106"/>
      <c r="AQ635" s="1106"/>
      <c r="AR635" s="1106"/>
      <c r="AS635" s="1106"/>
      <c r="AT635" s="1106"/>
      <c r="AU635" s="1106"/>
      <c r="AV635" s="1106"/>
      <c r="AW635" s="1106"/>
      <c r="AX635" s="1106"/>
    </row>
    <row r="636">
      <c r="T636" s="1102"/>
      <c r="U636" s="1104"/>
      <c r="V636" s="1104"/>
      <c r="W636" s="1104"/>
      <c r="X636" s="1104"/>
      <c r="Y636" s="1104"/>
      <c r="Z636" s="1104"/>
      <c r="AA636" s="1104"/>
      <c r="AB636" s="1104"/>
      <c r="AC636" s="1104"/>
      <c r="AD636" s="1104"/>
      <c r="AE636" s="1104"/>
      <c r="AF636" s="1104"/>
      <c r="AG636" s="1106"/>
      <c r="AH636" s="1106"/>
      <c r="AI636" s="1106"/>
      <c r="AJ636" s="1106"/>
      <c r="AK636" s="1106"/>
      <c r="AL636" s="1106"/>
      <c r="AM636" s="1106"/>
      <c r="AN636" s="1106"/>
      <c r="AO636" s="1106"/>
      <c r="AP636" s="1106"/>
      <c r="AQ636" s="1106"/>
      <c r="AR636" s="1106"/>
      <c r="AS636" s="1106"/>
      <c r="AT636" s="1106"/>
      <c r="AU636" s="1106"/>
      <c r="AV636" s="1106"/>
      <c r="AW636" s="1106"/>
      <c r="AX636" s="1106"/>
    </row>
    <row r="637">
      <c r="T637" s="1102"/>
      <c r="U637" s="1104"/>
      <c r="V637" s="1104"/>
      <c r="W637" s="1104"/>
      <c r="X637" s="1104"/>
      <c r="Y637" s="1104"/>
      <c r="Z637" s="1104"/>
      <c r="AA637" s="1104"/>
      <c r="AB637" s="1104"/>
      <c r="AC637" s="1104"/>
      <c r="AD637" s="1104"/>
      <c r="AE637" s="1104"/>
      <c r="AF637" s="1104"/>
      <c r="AG637" s="1106"/>
      <c r="AH637" s="1106"/>
      <c r="AI637" s="1106"/>
      <c r="AJ637" s="1106"/>
      <c r="AK637" s="1106"/>
      <c r="AL637" s="1106"/>
      <c r="AM637" s="1106"/>
      <c r="AN637" s="1106"/>
      <c r="AO637" s="1106"/>
      <c r="AP637" s="1106"/>
      <c r="AQ637" s="1106"/>
      <c r="AR637" s="1106"/>
      <c r="AS637" s="1106"/>
      <c r="AT637" s="1106"/>
      <c r="AU637" s="1106"/>
      <c r="AV637" s="1106"/>
      <c r="AW637" s="1106"/>
      <c r="AX637" s="1106"/>
    </row>
    <row r="638">
      <c r="T638" s="1102"/>
      <c r="U638" s="1104"/>
      <c r="V638" s="1104"/>
      <c r="W638" s="1104"/>
      <c r="X638" s="1104"/>
      <c r="Y638" s="1104"/>
      <c r="Z638" s="1104"/>
      <c r="AA638" s="1104"/>
      <c r="AB638" s="1104"/>
      <c r="AC638" s="1104"/>
      <c r="AD638" s="1104"/>
      <c r="AE638" s="1104"/>
      <c r="AF638" s="1104"/>
      <c r="AG638" s="1106"/>
      <c r="AH638" s="1106"/>
      <c r="AI638" s="1106"/>
      <c r="AJ638" s="1106"/>
      <c r="AK638" s="1106"/>
      <c r="AL638" s="1106"/>
      <c r="AM638" s="1106"/>
      <c r="AN638" s="1106"/>
      <c r="AO638" s="1106"/>
      <c r="AP638" s="1106"/>
      <c r="AQ638" s="1106"/>
      <c r="AR638" s="1106"/>
      <c r="AS638" s="1106"/>
      <c r="AT638" s="1106"/>
      <c r="AU638" s="1106"/>
      <c r="AV638" s="1106"/>
      <c r="AW638" s="1106"/>
      <c r="AX638" s="1106"/>
    </row>
    <row r="639">
      <c r="T639" s="1102"/>
      <c r="U639" s="1104"/>
      <c r="V639" s="1104"/>
      <c r="W639" s="1104"/>
      <c r="X639" s="1104"/>
      <c r="Y639" s="1104"/>
      <c r="Z639" s="1104"/>
      <c r="AA639" s="1104"/>
      <c r="AB639" s="1104"/>
      <c r="AC639" s="1104"/>
      <c r="AD639" s="1104"/>
      <c r="AE639" s="1104"/>
      <c r="AF639" s="1104"/>
      <c r="AG639" s="1106"/>
      <c r="AH639" s="1106"/>
      <c r="AI639" s="1106"/>
      <c r="AJ639" s="1106"/>
      <c r="AK639" s="1106"/>
      <c r="AL639" s="1106"/>
      <c r="AM639" s="1106"/>
      <c r="AN639" s="1106"/>
      <c r="AO639" s="1106"/>
      <c r="AP639" s="1106"/>
      <c r="AQ639" s="1106"/>
      <c r="AR639" s="1106"/>
      <c r="AS639" s="1106"/>
      <c r="AT639" s="1106"/>
      <c r="AU639" s="1106"/>
      <c r="AV639" s="1106"/>
      <c r="AW639" s="1106"/>
      <c r="AX639" s="1106"/>
    </row>
    <row r="640">
      <c r="T640" s="1102"/>
      <c r="U640" s="1104"/>
      <c r="V640" s="1104"/>
      <c r="W640" s="1104"/>
      <c r="X640" s="1104"/>
      <c r="Y640" s="1104"/>
      <c r="Z640" s="1104"/>
      <c r="AA640" s="1104"/>
      <c r="AB640" s="1104"/>
      <c r="AC640" s="1104"/>
      <c r="AD640" s="1104"/>
      <c r="AE640" s="1104"/>
      <c r="AF640" s="1104"/>
      <c r="AG640" s="1106"/>
      <c r="AH640" s="1106"/>
      <c r="AI640" s="1106"/>
      <c r="AJ640" s="1106"/>
      <c r="AK640" s="1106"/>
      <c r="AL640" s="1106"/>
      <c r="AM640" s="1106"/>
      <c r="AN640" s="1106"/>
      <c r="AO640" s="1106"/>
      <c r="AP640" s="1106"/>
      <c r="AQ640" s="1106"/>
      <c r="AR640" s="1106"/>
      <c r="AS640" s="1106"/>
      <c r="AT640" s="1106"/>
      <c r="AU640" s="1106"/>
      <c r="AV640" s="1106"/>
      <c r="AW640" s="1106"/>
      <c r="AX640" s="1106"/>
    </row>
    <row r="641">
      <c r="T641" s="1102"/>
      <c r="U641" s="1104"/>
      <c r="V641" s="1104"/>
      <c r="W641" s="1104"/>
      <c r="X641" s="1104"/>
      <c r="Y641" s="1104"/>
      <c r="Z641" s="1104"/>
      <c r="AA641" s="1104"/>
      <c r="AB641" s="1104"/>
      <c r="AC641" s="1104"/>
      <c r="AD641" s="1104"/>
      <c r="AE641" s="1104"/>
      <c r="AF641" s="1104"/>
      <c r="AG641" s="1106"/>
      <c r="AH641" s="1106"/>
      <c r="AI641" s="1106"/>
      <c r="AJ641" s="1106"/>
      <c r="AK641" s="1106"/>
      <c r="AL641" s="1106"/>
      <c r="AM641" s="1106"/>
      <c r="AN641" s="1106"/>
      <c r="AO641" s="1106"/>
      <c r="AP641" s="1106"/>
      <c r="AQ641" s="1106"/>
      <c r="AR641" s="1106"/>
      <c r="AS641" s="1106"/>
      <c r="AT641" s="1106"/>
      <c r="AU641" s="1106"/>
      <c r="AV641" s="1106"/>
      <c r="AW641" s="1106"/>
      <c r="AX641" s="1106"/>
    </row>
    <row r="642">
      <c r="T642" s="1102"/>
      <c r="U642" s="1104"/>
      <c r="V642" s="1104"/>
      <c r="W642" s="1104"/>
      <c r="X642" s="1104"/>
      <c r="Y642" s="1104"/>
      <c r="Z642" s="1104"/>
      <c r="AA642" s="1104"/>
      <c r="AB642" s="1104"/>
      <c r="AC642" s="1104"/>
      <c r="AD642" s="1104"/>
      <c r="AE642" s="1104"/>
      <c r="AF642" s="1104"/>
      <c r="AG642" s="1106"/>
      <c r="AH642" s="1106"/>
      <c r="AI642" s="1106"/>
      <c r="AJ642" s="1106"/>
      <c r="AK642" s="1106"/>
      <c r="AL642" s="1106"/>
      <c r="AM642" s="1106"/>
      <c r="AN642" s="1106"/>
      <c r="AO642" s="1106"/>
      <c r="AP642" s="1106"/>
      <c r="AQ642" s="1106"/>
      <c r="AR642" s="1106"/>
      <c r="AS642" s="1106"/>
      <c r="AT642" s="1106"/>
      <c r="AU642" s="1106"/>
      <c r="AV642" s="1106"/>
      <c r="AW642" s="1106"/>
      <c r="AX642" s="1106"/>
    </row>
    <row r="643">
      <c r="T643" s="1102"/>
      <c r="U643" s="1104"/>
      <c r="V643" s="1104"/>
      <c r="W643" s="1104"/>
      <c r="X643" s="1104"/>
      <c r="Y643" s="1104"/>
      <c r="Z643" s="1104"/>
      <c r="AA643" s="1104"/>
      <c r="AB643" s="1104"/>
      <c r="AC643" s="1104"/>
      <c r="AD643" s="1104"/>
      <c r="AE643" s="1104"/>
      <c r="AF643" s="1104"/>
      <c r="AG643" s="1106"/>
      <c r="AH643" s="1106"/>
      <c r="AI643" s="1106"/>
      <c r="AJ643" s="1106"/>
      <c r="AK643" s="1106"/>
      <c r="AL643" s="1106"/>
      <c r="AM643" s="1106"/>
      <c r="AN643" s="1106"/>
      <c r="AO643" s="1106"/>
      <c r="AP643" s="1106"/>
      <c r="AQ643" s="1106"/>
      <c r="AR643" s="1106"/>
      <c r="AS643" s="1106"/>
      <c r="AT643" s="1106"/>
      <c r="AU643" s="1106"/>
      <c r="AV643" s="1106"/>
      <c r="AW643" s="1106"/>
      <c r="AX643" s="1106"/>
    </row>
    <row r="644">
      <c r="T644" s="1102"/>
      <c r="U644" s="1104"/>
      <c r="V644" s="1104"/>
      <c r="W644" s="1104"/>
      <c r="X644" s="1104"/>
      <c r="Y644" s="1104"/>
      <c r="Z644" s="1104"/>
      <c r="AA644" s="1104"/>
      <c r="AB644" s="1104"/>
      <c r="AC644" s="1104"/>
      <c r="AD644" s="1104"/>
      <c r="AE644" s="1104"/>
      <c r="AF644" s="1104"/>
      <c r="AG644" s="1106"/>
      <c r="AH644" s="1106"/>
      <c r="AI644" s="1106"/>
      <c r="AJ644" s="1106"/>
      <c r="AK644" s="1106"/>
      <c r="AL644" s="1106"/>
      <c r="AM644" s="1106"/>
      <c r="AN644" s="1106"/>
      <c r="AO644" s="1106"/>
      <c r="AP644" s="1106"/>
      <c r="AQ644" s="1106"/>
      <c r="AR644" s="1106"/>
      <c r="AS644" s="1106"/>
      <c r="AT644" s="1106"/>
      <c r="AU644" s="1106"/>
      <c r="AV644" s="1106"/>
      <c r="AW644" s="1106"/>
      <c r="AX644" s="1106"/>
    </row>
    <row r="645">
      <c r="T645" s="1102"/>
      <c r="U645" s="1104"/>
      <c r="V645" s="1104"/>
      <c r="W645" s="1104"/>
      <c r="X645" s="1104"/>
      <c r="Y645" s="1104"/>
      <c r="Z645" s="1104"/>
      <c r="AA645" s="1104"/>
      <c r="AB645" s="1104"/>
      <c r="AC645" s="1104"/>
      <c r="AD645" s="1104"/>
      <c r="AE645" s="1104"/>
      <c r="AF645" s="1104"/>
      <c r="AG645" s="1106"/>
      <c r="AH645" s="1106"/>
      <c r="AI645" s="1106"/>
      <c r="AJ645" s="1106"/>
      <c r="AK645" s="1106"/>
      <c r="AL645" s="1106"/>
      <c r="AM645" s="1106"/>
      <c r="AN645" s="1106"/>
      <c r="AO645" s="1106"/>
      <c r="AP645" s="1106"/>
      <c r="AQ645" s="1106"/>
      <c r="AR645" s="1106"/>
      <c r="AS645" s="1106"/>
      <c r="AT645" s="1106"/>
      <c r="AU645" s="1106"/>
      <c r="AV645" s="1106"/>
      <c r="AW645" s="1106"/>
      <c r="AX645" s="1106"/>
    </row>
    <row r="646">
      <c r="T646" s="1102"/>
      <c r="U646" s="1104"/>
      <c r="V646" s="1104"/>
      <c r="W646" s="1104"/>
      <c r="X646" s="1104"/>
      <c r="Y646" s="1104"/>
      <c r="Z646" s="1104"/>
      <c r="AA646" s="1104"/>
      <c r="AB646" s="1104"/>
      <c r="AC646" s="1104"/>
      <c r="AD646" s="1104"/>
      <c r="AE646" s="1104"/>
      <c r="AF646" s="1104"/>
      <c r="AG646" s="1106"/>
      <c r="AH646" s="1106"/>
      <c r="AI646" s="1106"/>
      <c r="AJ646" s="1106"/>
      <c r="AK646" s="1106"/>
      <c r="AL646" s="1106"/>
      <c r="AM646" s="1106"/>
      <c r="AN646" s="1106"/>
      <c r="AO646" s="1106"/>
      <c r="AP646" s="1106"/>
      <c r="AQ646" s="1106"/>
      <c r="AR646" s="1106"/>
      <c r="AS646" s="1106"/>
      <c r="AT646" s="1106"/>
      <c r="AU646" s="1106"/>
      <c r="AV646" s="1106"/>
      <c r="AW646" s="1106"/>
      <c r="AX646" s="1106"/>
    </row>
    <row r="647">
      <c r="T647" s="1102"/>
      <c r="U647" s="1104"/>
      <c r="V647" s="1104"/>
      <c r="W647" s="1104"/>
      <c r="X647" s="1104"/>
      <c r="Y647" s="1104"/>
      <c r="Z647" s="1104"/>
      <c r="AA647" s="1104"/>
      <c r="AB647" s="1104"/>
      <c r="AC647" s="1104"/>
      <c r="AD647" s="1104"/>
      <c r="AE647" s="1104"/>
      <c r="AF647" s="1104"/>
      <c r="AG647" s="1106"/>
      <c r="AH647" s="1106"/>
      <c r="AI647" s="1106"/>
      <c r="AJ647" s="1106"/>
      <c r="AK647" s="1106"/>
      <c r="AL647" s="1106"/>
      <c r="AM647" s="1106"/>
      <c r="AN647" s="1106"/>
      <c r="AO647" s="1106"/>
      <c r="AP647" s="1106"/>
      <c r="AQ647" s="1106"/>
      <c r="AR647" s="1106"/>
      <c r="AS647" s="1106"/>
      <c r="AT647" s="1106"/>
      <c r="AU647" s="1106"/>
      <c r="AV647" s="1106"/>
      <c r="AW647" s="1106"/>
      <c r="AX647" s="1106"/>
    </row>
    <row r="648">
      <c r="T648" s="1102"/>
      <c r="U648" s="1104"/>
      <c r="V648" s="1104"/>
      <c r="W648" s="1104"/>
      <c r="X648" s="1104"/>
      <c r="Y648" s="1104"/>
      <c r="Z648" s="1104"/>
      <c r="AA648" s="1104"/>
      <c r="AB648" s="1104"/>
      <c r="AC648" s="1104"/>
      <c r="AD648" s="1104"/>
      <c r="AE648" s="1104"/>
      <c r="AF648" s="1104"/>
      <c r="AG648" s="1106"/>
      <c r="AH648" s="1106"/>
      <c r="AI648" s="1106"/>
      <c r="AJ648" s="1106"/>
      <c r="AK648" s="1106"/>
      <c r="AL648" s="1106"/>
      <c r="AM648" s="1106"/>
      <c r="AN648" s="1106"/>
      <c r="AO648" s="1106"/>
      <c r="AP648" s="1106"/>
      <c r="AQ648" s="1106"/>
      <c r="AR648" s="1106"/>
      <c r="AS648" s="1106"/>
      <c r="AT648" s="1106"/>
      <c r="AU648" s="1106"/>
      <c r="AV648" s="1106"/>
      <c r="AW648" s="1106"/>
      <c r="AX648" s="1106"/>
    </row>
    <row r="649">
      <c r="T649" s="1102"/>
      <c r="U649" s="1104"/>
      <c r="V649" s="1104"/>
      <c r="W649" s="1104"/>
      <c r="X649" s="1104"/>
      <c r="Y649" s="1104"/>
      <c r="Z649" s="1104"/>
      <c r="AA649" s="1104"/>
      <c r="AB649" s="1104"/>
      <c r="AC649" s="1104"/>
      <c r="AD649" s="1104"/>
      <c r="AE649" s="1104"/>
      <c r="AF649" s="1104"/>
      <c r="AG649" s="1106"/>
      <c r="AH649" s="1106"/>
      <c r="AI649" s="1106"/>
      <c r="AJ649" s="1106"/>
      <c r="AK649" s="1106"/>
      <c r="AL649" s="1106"/>
      <c r="AM649" s="1106"/>
      <c r="AN649" s="1106"/>
      <c r="AO649" s="1106"/>
      <c r="AP649" s="1106"/>
      <c r="AQ649" s="1106"/>
      <c r="AR649" s="1106"/>
      <c r="AS649" s="1106"/>
      <c r="AT649" s="1106"/>
      <c r="AU649" s="1106"/>
      <c r="AV649" s="1106"/>
      <c r="AW649" s="1106"/>
      <c r="AX649" s="1106"/>
    </row>
    <row r="650">
      <c r="T650" s="1102"/>
      <c r="U650" s="1104"/>
      <c r="V650" s="1104"/>
      <c r="W650" s="1104"/>
      <c r="X650" s="1104"/>
      <c r="Y650" s="1104"/>
      <c r="Z650" s="1104"/>
      <c r="AA650" s="1104"/>
      <c r="AB650" s="1104"/>
      <c r="AC650" s="1104"/>
      <c r="AD650" s="1104"/>
      <c r="AE650" s="1104"/>
      <c r="AF650" s="1104"/>
      <c r="AG650" s="1106"/>
      <c r="AH650" s="1106"/>
      <c r="AI650" s="1106"/>
      <c r="AJ650" s="1106"/>
      <c r="AK650" s="1106"/>
      <c r="AL650" s="1106"/>
      <c r="AM650" s="1106"/>
      <c r="AN650" s="1106"/>
      <c r="AO650" s="1106"/>
      <c r="AP650" s="1106"/>
      <c r="AQ650" s="1106"/>
      <c r="AR650" s="1106"/>
      <c r="AS650" s="1106"/>
      <c r="AT650" s="1106"/>
      <c r="AU650" s="1106"/>
      <c r="AV650" s="1106"/>
      <c r="AW650" s="1106"/>
      <c r="AX650" s="1106"/>
    </row>
    <row r="651">
      <c r="T651" s="1102"/>
      <c r="U651" s="1104"/>
      <c r="V651" s="1104"/>
      <c r="W651" s="1104"/>
      <c r="X651" s="1104"/>
      <c r="Y651" s="1104"/>
      <c r="Z651" s="1104"/>
      <c r="AA651" s="1104"/>
      <c r="AB651" s="1104"/>
      <c r="AC651" s="1104"/>
      <c r="AD651" s="1104"/>
      <c r="AE651" s="1104"/>
      <c r="AF651" s="1104"/>
      <c r="AG651" s="1106"/>
      <c r="AH651" s="1106"/>
      <c r="AI651" s="1106"/>
      <c r="AJ651" s="1106"/>
      <c r="AK651" s="1106"/>
      <c r="AL651" s="1106"/>
      <c r="AM651" s="1106"/>
      <c r="AN651" s="1106"/>
      <c r="AO651" s="1106"/>
      <c r="AP651" s="1106"/>
      <c r="AQ651" s="1106"/>
      <c r="AR651" s="1106"/>
      <c r="AS651" s="1106"/>
      <c r="AT651" s="1106"/>
      <c r="AU651" s="1106"/>
      <c r="AV651" s="1106"/>
      <c r="AW651" s="1106"/>
      <c r="AX651" s="1106"/>
    </row>
    <row r="652">
      <c r="T652" s="1102"/>
      <c r="U652" s="1104"/>
      <c r="V652" s="1104"/>
      <c r="W652" s="1104"/>
      <c r="X652" s="1104"/>
      <c r="Y652" s="1104"/>
      <c r="Z652" s="1104"/>
      <c r="AA652" s="1104"/>
      <c r="AB652" s="1104"/>
      <c r="AC652" s="1104"/>
      <c r="AD652" s="1104"/>
      <c r="AE652" s="1104"/>
      <c r="AF652" s="1104"/>
      <c r="AG652" s="1106"/>
      <c r="AH652" s="1106"/>
      <c r="AI652" s="1106"/>
      <c r="AJ652" s="1106"/>
      <c r="AK652" s="1106"/>
      <c r="AL652" s="1106"/>
      <c r="AM652" s="1106"/>
      <c r="AN652" s="1106"/>
      <c r="AO652" s="1106"/>
      <c r="AP652" s="1106"/>
      <c r="AQ652" s="1106"/>
      <c r="AR652" s="1106"/>
      <c r="AS652" s="1106"/>
      <c r="AT652" s="1106"/>
      <c r="AU652" s="1106"/>
      <c r="AV652" s="1106"/>
      <c r="AW652" s="1106"/>
      <c r="AX652" s="1106"/>
    </row>
    <row r="653">
      <c r="T653" s="1102"/>
      <c r="U653" s="1104"/>
      <c r="V653" s="1104"/>
      <c r="W653" s="1104"/>
      <c r="X653" s="1104"/>
      <c r="Y653" s="1104"/>
      <c r="Z653" s="1104"/>
      <c r="AA653" s="1104"/>
      <c r="AB653" s="1104"/>
      <c r="AC653" s="1104"/>
      <c r="AD653" s="1104"/>
      <c r="AE653" s="1104"/>
      <c r="AF653" s="1104"/>
      <c r="AG653" s="1106"/>
      <c r="AH653" s="1106"/>
      <c r="AI653" s="1106"/>
      <c r="AJ653" s="1106"/>
      <c r="AK653" s="1106"/>
      <c r="AL653" s="1106"/>
      <c r="AM653" s="1106"/>
      <c r="AN653" s="1106"/>
      <c r="AO653" s="1106"/>
      <c r="AP653" s="1106"/>
      <c r="AQ653" s="1106"/>
      <c r="AR653" s="1106"/>
      <c r="AS653" s="1106"/>
      <c r="AT653" s="1106"/>
      <c r="AU653" s="1106"/>
      <c r="AV653" s="1106"/>
      <c r="AW653" s="1106"/>
      <c r="AX653" s="1106"/>
    </row>
    <row r="654">
      <c r="T654" s="1102"/>
      <c r="U654" s="1104"/>
      <c r="V654" s="1104"/>
      <c r="W654" s="1104"/>
      <c r="X654" s="1104"/>
      <c r="Y654" s="1104"/>
      <c r="Z654" s="1104"/>
      <c r="AA654" s="1104"/>
      <c r="AB654" s="1104"/>
      <c r="AC654" s="1104"/>
      <c r="AD654" s="1104"/>
      <c r="AE654" s="1104"/>
      <c r="AF654" s="1104"/>
      <c r="AG654" s="1106"/>
      <c r="AH654" s="1106"/>
      <c r="AI654" s="1106"/>
      <c r="AJ654" s="1106"/>
      <c r="AK654" s="1106"/>
      <c r="AL654" s="1106"/>
      <c r="AM654" s="1106"/>
      <c r="AN654" s="1106"/>
      <c r="AO654" s="1106"/>
      <c r="AP654" s="1106"/>
      <c r="AQ654" s="1106"/>
      <c r="AR654" s="1106"/>
      <c r="AS654" s="1106"/>
      <c r="AT654" s="1106"/>
      <c r="AU654" s="1106"/>
      <c r="AV654" s="1106"/>
      <c r="AW654" s="1106"/>
      <c r="AX654" s="1106"/>
    </row>
    <row r="655">
      <c r="T655" s="1102"/>
      <c r="U655" s="1104"/>
      <c r="V655" s="1104"/>
      <c r="W655" s="1104"/>
      <c r="X655" s="1104"/>
      <c r="Y655" s="1104"/>
      <c r="Z655" s="1104"/>
      <c r="AA655" s="1104"/>
      <c r="AB655" s="1104"/>
      <c r="AC655" s="1104"/>
      <c r="AD655" s="1104"/>
      <c r="AE655" s="1104"/>
      <c r="AF655" s="1104"/>
      <c r="AG655" s="1106"/>
      <c r="AH655" s="1106"/>
      <c r="AI655" s="1106"/>
      <c r="AJ655" s="1106"/>
      <c r="AK655" s="1106"/>
      <c r="AL655" s="1106"/>
      <c r="AM655" s="1106"/>
      <c r="AN655" s="1106"/>
      <c r="AO655" s="1106"/>
      <c r="AP655" s="1106"/>
      <c r="AQ655" s="1106"/>
      <c r="AR655" s="1106"/>
      <c r="AS655" s="1106"/>
      <c r="AT655" s="1106"/>
      <c r="AU655" s="1106"/>
      <c r="AV655" s="1106"/>
      <c r="AW655" s="1106"/>
      <c r="AX655" s="1106"/>
    </row>
    <row r="656">
      <c r="T656" s="1102"/>
      <c r="U656" s="1104"/>
      <c r="V656" s="1104"/>
      <c r="W656" s="1104"/>
      <c r="X656" s="1104"/>
      <c r="Y656" s="1104"/>
      <c r="Z656" s="1104"/>
      <c r="AA656" s="1104"/>
      <c r="AB656" s="1104"/>
      <c r="AC656" s="1104"/>
      <c r="AD656" s="1104"/>
      <c r="AE656" s="1104"/>
      <c r="AF656" s="1104"/>
      <c r="AG656" s="1106"/>
      <c r="AH656" s="1106"/>
      <c r="AI656" s="1106"/>
      <c r="AJ656" s="1106"/>
      <c r="AK656" s="1106"/>
      <c r="AL656" s="1106"/>
      <c r="AM656" s="1106"/>
      <c r="AN656" s="1106"/>
      <c r="AO656" s="1106"/>
      <c r="AP656" s="1106"/>
      <c r="AQ656" s="1106"/>
      <c r="AR656" s="1106"/>
      <c r="AS656" s="1106"/>
      <c r="AT656" s="1106"/>
      <c r="AU656" s="1106"/>
      <c r="AV656" s="1106"/>
      <c r="AW656" s="1106"/>
      <c r="AX656" s="1106"/>
    </row>
    <row r="657">
      <c r="T657" s="1102"/>
      <c r="U657" s="1104"/>
      <c r="V657" s="1104"/>
      <c r="W657" s="1104"/>
      <c r="X657" s="1104"/>
      <c r="Y657" s="1104"/>
      <c r="Z657" s="1104"/>
      <c r="AA657" s="1104"/>
      <c r="AB657" s="1104"/>
      <c r="AC657" s="1104"/>
      <c r="AD657" s="1104"/>
      <c r="AE657" s="1104"/>
      <c r="AF657" s="1104"/>
      <c r="AG657" s="1106"/>
      <c r="AH657" s="1106"/>
      <c r="AI657" s="1106"/>
      <c r="AJ657" s="1106"/>
      <c r="AK657" s="1106"/>
      <c r="AL657" s="1106"/>
      <c r="AM657" s="1106"/>
      <c r="AN657" s="1106"/>
      <c r="AO657" s="1106"/>
      <c r="AP657" s="1106"/>
      <c r="AQ657" s="1106"/>
      <c r="AR657" s="1106"/>
      <c r="AS657" s="1106"/>
      <c r="AT657" s="1106"/>
      <c r="AU657" s="1106"/>
      <c r="AV657" s="1106"/>
      <c r="AW657" s="1106"/>
      <c r="AX657" s="1106"/>
    </row>
    <row r="658">
      <c r="T658" s="1102"/>
      <c r="U658" s="1104"/>
      <c r="V658" s="1104"/>
      <c r="W658" s="1104"/>
      <c r="X658" s="1104"/>
      <c r="Y658" s="1104"/>
      <c r="Z658" s="1104"/>
      <c r="AA658" s="1104"/>
      <c r="AB658" s="1104"/>
      <c r="AC658" s="1104"/>
      <c r="AD658" s="1104"/>
      <c r="AE658" s="1104"/>
      <c r="AF658" s="1104"/>
      <c r="AG658" s="1106"/>
      <c r="AH658" s="1106"/>
      <c r="AI658" s="1106"/>
      <c r="AJ658" s="1106"/>
      <c r="AK658" s="1106"/>
      <c r="AL658" s="1106"/>
      <c r="AM658" s="1106"/>
      <c r="AN658" s="1106"/>
      <c r="AO658" s="1106"/>
      <c r="AP658" s="1106"/>
      <c r="AQ658" s="1106"/>
      <c r="AR658" s="1106"/>
      <c r="AS658" s="1106"/>
      <c r="AT658" s="1106"/>
      <c r="AU658" s="1106"/>
      <c r="AV658" s="1106"/>
      <c r="AW658" s="1106"/>
      <c r="AX658" s="1106"/>
    </row>
    <row r="659">
      <c r="T659" s="1102"/>
      <c r="U659" s="1104"/>
      <c r="V659" s="1104"/>
      <c r="W659" s="1104"/>
      <c r="X659" s="1104"/>
      <c r="Y659" s="1104"/>
      <c r="Z659" s="1104"/>
      <c r="AA659" s="1104"/>
      <c r="AB659" s="1104"/>
      <c r="AC659" s="1104"/>
      <c r="AD659" s="1104"/>
      <c r="AE659" s="1104"/>
      <c r="AF659" s="1104"/>
      <c r="AG659" s="1106"/>
      <c r="AH659" s="1106"/>
      <c r="AI659" s="1106"/>
      <c r="AJ659" s="1106"/>
      <c r="AK659" s="1106"/>
      <c r="AL659" s="1106"/>
      <c r="AM659" s="1106"/>
      <c r="AN659" s="1106"/>
      <c r="AO659" s="1106"/>
      <c r="AP659" s="1106"/>
      <c r="AQ659" s="1106"/>
      <c r="AR659" s="1106"/>
      <c r="AS659" s="1106"/>
      <c r="AT659" s="1106"/>
      <c r="AU659" s="1106"/>
      <c r="AV659" s="1106"/>
      <c r="AW659" s="1106"/>
      <c r="AX659" s="1106"/>
    </row>
    <row r="660">
      <c r="T660" s="1102"/>
      <c r="U660" s="1104"/>
      <c r="V660" s="1104"/>
      <c r="W660" s="1104"/>
      <c r="X660" s="1104"/>
      <c r="Y660" s="1104"/>
      <c r="Z660" s="1104"/>
      <c r="AA660" s="1104"/>
      <c r="AB660" s="1104"/>
      <c r="AC660" s="1104"/>
      <c r="AD660" s="1104"/>
      <c r="AE660" s="1104"/>
      <c r="AF660" s="1104"/>
      <c r="AG660" s="1106"/>
      <c r="AH660" s="1106"/>
      <c r="AI660" s="1106"/>
      <c r="AJ660" s="1106"/>
      <c r="AK660" s="1106"/>
      <c r="AL660" s="1106"/>
      <c r="AM660" s="1106"/>
      <c r="AN660" s="1106"/>
      <c r="AO660" s="1106"/>
      <c r="AP660" s="1106"/>
      <c r="AQ660" s="1106"/>
      <c r="AR660" s="1106"/>
      <c r="AS660" s="1106"/>
      <c r="AT660" s="1106"/>
      <c r="AU660" s="1106"/>
      <c r="AV660" s="1106"/>
      <c r="AW660" s="1106"/>
      <c r="AX660" s="1106"/>
    </row>
    <row r="661">
      <c r="T661" s="1102"/>
      <c r="U661" s="1104"/>
      <c r="V661" s="1104"/>
      <c r="W661" s="1104"/>
      <c r="X661" s="1104"/>
      <c r="Y661" s="1104"/>
      <c r="Z661" s="1104"/>
      <c r="AA661" s="1104"/>
      <c r="AB661" s="1104"/>
      <c r="AC661" s="1104"/>
      <c r="AD661" s="1104"/>
      <c r="AE661" s="1104"/>
      <c r="AF661" s="1104"/>
      <c r="AG661" s="1106"/>
      <c r="AH661" s="1106"/>
      <c r="AI661" s="1106"/>
      <c r="AJ661" s="1106"/>
      <c r="AK661" s="1106"/>
      <c r="AL661" s="1106"/>
      <c r="AM661" s="1106"/>
      <c r="AN661" s="1106"/>
      <c r="AO661" s="1106"/>
      <c r="AP661" s="1106"/>
      <c r="AQ661" s="1106"/>
      <c r="AR661" s="1106"/>
      <c r="AS661" s="1106"/>
      <c r="AT661" s="1106"/>
      <c r="AU661" s="1106"/>
      <c r="AV661" s="1106"/>
      <c r="AW661" s="1106"/>
      <c r="AX661" s="1106"/>
    </row>
    <row r="662">
      <c r="T662" s="1102"/>
      <c r="U662" s="1104"/>
      <c r="V662" s="1104"/>
      <c r="W662" s="1104"/>
      <c r="X662" s="1104"/>
      <c r="Y662" s="1104"/>
      <c r="Z662" s="1104"/>
      <c r="AA662" s="1104"/>
      <c r="AB662" s="1104"/>
      <c r="AC662" s="1104"/>
      <c r="AD662" s="1104"/>
      <c r="AE662" s="1104"/>
      <c r="AF662" s="1104"/>
      <c r="AG662" s="1106"/>
      <c r="AH662" s="1106"/>
      <c r="AI662" s="1106"/>
      <c r="AJ662" s="1106"/>
      <c r="AK662" s="1106"/>
      <c r="AL662" s="1106"/>
      <c r="AM662" s="1106"/>
      <c r="AN662" s="1106"/>
      <c r="AO662" s="1106"/>
      <c r="AP662" s="1106"/>
      <c r="AQ662" s="1106"/>
      <c r="AR662" s="1106"/>
      <c r="AS662" s="1106"/>
      <c r="AT662" s="1106"/>
      <c r="AU662" s="1106"/>
      <c r="AV662" s="1106"/>
      <c r="AW662" s="1106"/>
      <c r="AX662" s="1106"/>
    </row>
    <row r="663">
      <c r="T663" s="1102"/>
      <c r="U663" s="1104"/>
      <c r="V663" s="1104"/>
      <c r="W663" s="1104"/>
      <c r="X663" s="1104"/>
      <c r="Y663" s="1104"/>
      <c r="Z663" s="1104"/>
      <c r="AA663" s="1104"/>
      <c r="AB663" s="1104"/>
      <c r="AC663" s="1104"/>
      <c r="AD663" s="1104"/>
      <c r="AE663" s="1104"/>
      <c r="AF663" s="1104"/>
      <c r="AG663" s="1106"/>
      <c r="AH663" s="1106"/>
      <c r="AI663" s="1106"/>
      <c r="AJ663" s="1106"/>
      <c r="AK663" s="1106"/>
      <c r="AL663" s="1106"/>
      <c r="AM663" s="1106"/>
      <c r="AN663" s="1106"/>
      <c r="AO663" s="1106"/>
      <c r="AP663" s="1106"/>
      <c r="AQ663" s="1106"/>
      <c r="AR663" s="1106"/>
      <c r="AS663" s="1106"/>
      <c r="AT663" s="1106"/>
      <c r="AU663" s="1106"/>
      <c r="AV663" s="1106"/>
      <c r="AW663" s="1106"/>
      <c r="AX663" s="1106"/>
    </row>
    <row r="664">
      <c r="T664" s="1102"/>
      <c r="U664" s="1104"/>
      <c r="V664" s="1104"/>
      <c r="W664" s="1104"/>
      <c r="X664" s="1104"/>
      <c r="Y664" s="1104"/>
      <c r="Z664" s="1104"/>
      <c r="AA664" s="1104"/>
      <c r="AB664" s="1104"/>
      <c r="AC664" s="1104"/>
      <c r="AD664" s="1104"/>
      <c r="AE664" s="1104"/>
      <c r="AF664" s="1104"/>
      <c r="AG664" s="1106"/>
      <c r="AH664" s="1106"/>
      <c r="AI664" s="1106"/>
      <c r="AJ664" s="1106"/>
      <c r="AK664" s="1106"/>
      <c r="AL664" s="1106"/>
      <c r="AM664" s="1106"/>
      <c r="AN664" s="1106"/>
      <c r="AO664" s="1106"/>
      <c r="AP664" s="1106"/>
      <c r="AQ664" s="1106"/>
      <c r="AR664" s="1106"/>
      <c r="AS664" s="1106"/>
      <c r="AT664" s="1106"/>
      <c r="AU664" s="1106"/>
      <c r="AV664" s="1106"/>
      <c r="AW664" s="1106"/>
      <c r="AX664" s="1106"/>
    </row>
    <row r="665">
      <c r="T665" s="1102"/>
      <c r="U665" s="1104"/>
      <c r="V665" s="1104"/>
      <c r="W665" s="1104"/>
      <c r="X665" s="1104"/>
      <c r="Y665" s="1104"/>
      <c r="Z665" s="1104"/>
      <c r="AA665" s="1104"/>
      <c r="AB665" s="1104"/>
      <c r="AC665" s="1104"/>
      <c r="AD665" s="1104"/>
      <c r="AE665" s="1104"/>
      <c r="AF665" s="1104"/>
      <c r="AG665" s="1106"/>
      <c r="AH665" s="1106"/>
      <c r="AI665" s="1106"/>
      <c r="AJ665" s="1106"/>
      <c r="AK665" s="1106"/>
      <c r="AL665" s="1106"/>
      <c r="AM665" s="1106"/>
      <c r="AN665" s="1106"/>
      <c r="AO665" s="1106"/>
      <c r="AP665" s="1106"/>
      <c r="AQ665" s="1106"/>
      <c r="AR665" s="1106"/>
      <c r="AS665" s="1106"/>
      <c r="AT665" s="1106"/>
      <c r="AU665" s="1106"/>
      <c r="AV665" s="1106"/>
      <c r="AW665" s="1106"/>
      <c r="AX665" s="1106"/>
    </row>
    <row r="666">
      <c r="T666" s="1102"/>
      <c r="U666" s="1104"/>
      <c r="V666" s="1104"/>
      <c r="W666" s="1104"/>
      <c r="X666" s="1104"/>
      <c r="Y666" s="1104"/>
      <c r="Z666" s="1104"/>
      <c r="AA666" s="1104"/>
      <c r="AB666" s="1104"/>
      <c r="AC666" s="1104"/>
      <c r="AD666" s="1104"/>
      <c r="AE666" s="1104"/>
      <c r="AF666" s="1104"/>
      <c r="AG666" s="1106"/>
      <c r="AH666" s="1106"/>
      <c r="AI666" s="1106"/>
      <c r="AJ666" s="1106"/>
      <c r="AK666" s="1106"/>
      <c r="AL666" s="1106"/>
      <c r="AM666" s="1106"/>
      <c r="AN666" s="1106"/>
      <c r="AO666" s="1106"/>
      <c r="AP666" s="1106"/>
      <c r="AQ666" s="1106"/>
      <c r="AR666" s="1106"/>
      <c r="AS666" s="1106"/>
      <c r="AT666" s="1106"/>
      <c r="AU666" s="1106"/>
      <c r="AV666" s="1106"/>
      <c r="AW666" s="1106"/>
      <c r="AX666" s="1106"/>
    </row>
    <row r="667">
      <c r="T667" s="1102"/>
      <c r="U667" s="1104"/>
      <c r="V667" s="1104"/>
      <c r="W667" s="1104"/>
      <c r="X667" s="1104"/>
      <c r="Y667" s="1104"/>
      <c r="Z667" s="1104"/>
      <c r="AA667" s="1104"/>
      <c r="AB667" s="1104"/>
      <c r="AC667" s="1104"/>
      <c r="AD667" s="1104"/>
      <c r="AE667" s="1104"/>
      <c r="AF667" s="1104"/>
      <c r="AG667" s="1106"/>
      <c r="AH667" s="1106"/>
      <c r="AI667" s="1106"/>
      <c r="AJ667" s="1106"/>
      <c r="AK667" s="1106"/>
      <c r="AL667" s="1106"/>
      <c r="AM667" s="1106"/>
      <c r="AN667" s="1106"/>
      <c r="AO667" s="1106"/>
      <c r="AP667" s="1106"/>
      <c r="AQ667" s="1106"/>
      <c r="AR667" s="1106"/>
      <c r="AS667" s="1106"/>
      <c r="AT667" s="1106"/>
      <c r="AU667" s="1106"/>
      <c r="AV667" s="1106"/>
      <c r="AW667" s="1106"/>
      <c r="AX667" s="1106"/>
    </row>
    <row r="668">
      <c r="T668" s="1102"/>
      <c r="U668" s="1104"/>
      <c r="V668" s="1104"/>
      <c r="W668" s="1104"/>
      <c r="X668" s="1104"/>
      <c r="Y668" s="1104"/>
      <c r="Z668" s="1104"/>
      <c r="AA668" s="1104"/>
      <c r="AB668" s="1104"/>
      <c r="AC668" s="1104"/>
      <c r="AD668" s="1104"/>
      <c r="AE668" s="1104"/>
      <c r="AF668" s="1104"/>
      <c r="AG668" s="1106"/>
      <c r="AH668" s="1106"/>
      <c r="AI668" s="1106"/>
      <c r="AJ668" s="1106"/>
      <c r="AK668" s="1106"/>
      <c r="AL668" s="1106"/>
      <c r="AM668" s="1106"/>
      <c r="AN668" s="1106"/>
      <c r="AO668" s="1106"/>
      <c r="AP668" s="1106"/>
      <c r="AQ668" s="1106"/>
      <c r="AR668" s="1106"/>
      <c r="AS668" s="1106"/>
      <c r="AT668" s="1106"/>
      <c r="AU668" s="1106"/>
      <c r="AV668" s="1106"/>
      <c r="AW668" s="1106"/>
      <c r="AX668" s="1106"/>
    </row>
    <row r="669">
      <c r="T669" s="1102"/>
      <c r="U669" s="1104"/>
      <c r="V669" s="1104"/>
      <c r="W669" s="1104"/>
      <c r="X669" s="1104"/>
      <c r="Y669" s="1104"/>
      <c r="Z669" s="1104"/>
      <c r="AA669" s="1104"/>
      <c r="AB669" s="1104"/>
      <c r="AC669" s="1104"/>
      <c r="AD669" s="1104"/>
      <c r="AE669" s="1104"/>
      <c r="AF669" s="1104"/>
      <c r="AG669" s="1106"/>
      <c r="AH669" s="1106"/>
      <c r="AI669" s="1106"/>
      <c r="AJ669" s="1106"/>
      <c r="AK669" s="1106"/>
      <c r="AL669" s="1106"/>
      <c r="AM669" s="1106"/>
      <c r="AN669" s="1106"/>
      <c r="AO669" s="1106"/>
      <c r="AP669" s="1106"/>
      <c r="AQ669" s="1106"/>
      <c r="AR669" s="1106"/>
      <c r="AS669" s="1106"/>
      <c r="AT669" s="1106"/>
      <c r="AU669" s="1106"/>
      <c r="AV669" s="1106"/>
      <c r="AW669" s="1106"/>
      <c r="AX669" s="1106"/>
    </row>
    <row r="670">
      <c r="T670" s="1102"/>
      <c r="U670" s="1104"/>
      <c r="V670" s="1104"/>
      <c r="W670" s="1104"/>
      <c r="X670" s="1104"/>
      <c r="Y670" s="1104"/>
      <c r="Z670" s="1104"/>
      <c r="AA670" s="1104"/>
      <c r="AB670" s="1104"/>
      <c r="AC670" s="1104"/>
      <c r="AD670" s="1104"/>
      <c r="AE670" s="1104"/>
      <c r="AF670" s="1104"/>
      <c r="AG670" s="1106"/>
      <c r="AH670" s="1106"/>
      <c r="AI670" s="1106"/>
      <c r="AJ670" s="1106"/>
      <c r="AK670" s="1106"/>
      <c r="AL670" s="1106"/>
      <c r="AM670" s="1106"/>
      <c r="AN670" s="1106"/>
      <c r="AO670" s="1106"/>
      <c r="AP670" s="1106"/>
      <c r="AQ670" s="1106"/>
      <c r="AR670" s="1106"/>
      <c r="AS670" s="1106"/>
      <c r="AT670" s="1106"/>
      <c r="AU670" s="1106"/>
      <c r="AV670" s="1106"/>
      <c r="AW670" s="1106"/>
      <c r="AX670" s="1106"/>
    </row>
    <row r="671">
      <c r="T671" s="1102"/>
      <c r="U671" s="1104"/>
      <c r="V671" s="1104"/>
      <c r="W671" s="1104"/>
      <c r="X671" s="1104"/>
      <c r="Y671" s="1104"/>
      <c r="Z671" s="1104"/>
      <c r="AA671" s="1104"/>
      <c r="AB671" s="1104"/>
      <c r="AC671" s="1104"/>
      <c r="AD671" s="1104"/>
      <c r="AE671" s="1104"/>
      <c r="AF671" s="1104"/>
      <c r="AG671" s="1106"/>
      <c r="AH671" s="1106"/>
      <c r="AI671" s="1106"/>
      <c r="AJ671" s="1106"/>
      <c r="AK671" s="1106"/>
      <c r="AL671" s="1106"/>
      <c r="AM671" s="1106"/>
      <c r="AN671" s="1106"/>
      <c r="AO671" s="1106"/>
      <c r="AP671" s="1106"/>
      <c r="AQ671" s="1106"/>
      <c r="AR671" s="1106"/>
      <c r="AS671" s="1106"/>
      <c r="AT671" s="1106"/>
      <c r="AU671" s="1106"/>
      <c r="AV671" s="1106"/>
      <c r="AW671" s="1106"/>
      <c r="AX671" s="1106"/>
    </row>
    <row r="672">
      <c r="T672" s="1102"/>
      <c r="U672" s="1104"/>
      <c r="V672" s="1104"/>
      <c r="W672" s="1104"/>
      <c r="X672" s="1104"/>
      <c r="Y672" s="1104"/>
      <c r="Z672" s="1104"/>
      <c r="AA672" s="1104"/>
      <c r="AB672" s="1104"/>
      <c r="AC672" s="1104"/>
      <c r="AD672" s="1104"/>
      <c r="AE672" s="1104"/>
      <c r="AF672" s="1104"/>
      <c r="AG672" s="1106"/>
      <c r="AH672" s="1106"/>
      <c r="AI672" s="1106"/>
      <c r="AJ672" s="1106"/>
      <c r="AK672" s="1106"/>
      <c r="AL672" s="1106"/>
      <c r="AM672" s="1106"/>
      <c r="AN672" s="1106"/>
      <c r="AO672" s="1106"/>
      <c r="AP672" s="1106"/>
      <c r="AQ672" s="1106"/>
      <c r="AR672" s="1106"/>
      <c r="AS672" s="1106"/>
      <c r="AT672" s="1106"/>
      <c r="AU672" s="1106"/>
      <c r="AV672" s="1106"/>
      <c r="AW672" s="1106"/>
      <c r="AX672" s="1106"/>
    </row>
    <row r="673">
      <c r="T673" s="1102"/>
      <c r="U673" s="1104"/>
      <c r="V673" s="1104"/>
      <c r="W673" s="1104"/>
      <c r="X673" s="1104"/>
      <c r="Y673" s="1104"/>
      <c r="Z673" s="1104"/>
      <c r="AA673" s="1104"/>
      <c r="AB673" s="1104"/>
      <c r="AC673" s="1104"/>
      <c r="AD673" s="1104"/>
      <c r="AE673" s="1104"/>
      <c r="AF673" s="1104"/>
      <c r="AG673" s="1106"/>
      <c r="AH673" s="1106"/>
      <c r="AI673" s="1106"/>
      <c r="AJ673" s="1106"/>
      <c r="AK673" s="1106"/>
      <c r="AL673" s="1106"/>
      <c r="AM673" s="1106"/>
      <c r="AN673" s="1106"/>
      <c r="AO673" s="1106"/>
      <c r="AP673" s="1106"/>
      <c r="AQ673" s="1106"/>
      <c r="AR673" s="1106"/>
      <c r="AS673" s="1106"/>
      <c r="AT673" s="1106"/>
      <c r="AU673" s="1106"/>
      <c r="AV673" s="1106"/>
      <c r="AW673" s="1106"/>
      <c r="AX673" s="1106"/>
    </row>
    <row r="674">
      <c r="T674" s="1102"/>
      <c r="U674" s="1104"/>
      <c r="V674" s="1104"/>
      <c r="W674" s="1104"/>
      <c r="X674" s="1104"/>
      <c r="Y674" s="1104"/>
      <c r="Z674" s="1104"/>
      <c r="AA674" s="1104"/>
      <c r="AB674" s="1104"/>
      <c r="AC674" s="1104"/>
      <c r="AD674" s="1104"/>
      <c r="AE674" s="1104"/>
      <c r="AF674" s="1104"/>
      <c r="AG674" s="1106"/>
      <c r="AH674" s="1106"/>
      <c r="AI674" s="1106"/>
      <c r="AJ674" s="1106"/>
      <c r="AK674" s="1106"/>
      <c r="AL674" s="1106"/>
      <c r="AM674" s="1106"/>
      <c r="AN674" s="1106"/>
      <c r="AO674" s="1106"/>
      <c r="AP674" s="1106"/>
      <c r="AQ674" s="1106"/>
      <c r="AR674" s="1106"/>
      <c r="AS674" s="1106"/>
      <c r="AT674" s="1106"/>
      <c r="AU674" s="1106"/>
      <c r="AV674" s="1106"/>
      <c r="AW674" s="1106"/>
      <c r="AX674" s="1106"/>
    </row>
    <row r="675">
      <c r="T675" s="1102"/>
      <c r="U675" s="1104"/>
      <c r="V675" s="1104"/>
      <c r="W675" s="1104"/>
      <c r="X675" s="1104"/>
      <c r="Y675" s="1104"/>
      <c r="Z675" s="1104"/>
      <c r="AA675" s="1104"/>
      <c r="AB675" s="1104"/>
      <c r="AC675" s="1104"/>
      <c r="AD675" s="1104"/>
      <c r="AE675" s="1104"/>
      <c r="AF675" s="1104"/>
      <c r="AG675" s="1106"/>
      <c r="AH675" s="1106"/>
      <c r="AI675" s="1106"/>
      <c r="AJ675" s="1106"/>
      <c r="AK675" s="1106"/>
      <c r="AL675" s="1106"/>
      <c r="AM675" s="1106"/>
      <c r="AN675" s="1106"/>
      <c r="AO675" s="1106"/>
      <c r="AP675" s="1106"/>
      <c r="AQ675" s="1106"/>
      <c r="AR675" s="1106"/>
      <c r="AS675" s="1106"/>
      <c r="AT675" s="1106"/>
      <c r="AU675" s="1106"/>
      <c r="AV675" s="1106"/>
      <c r="AW675" s="1106"/>
      <c r="AX675" s="1106"/>
    </row>
    <row r="676">
      <c r="T676" s="1102"/>
      <c r="U676" s="1104"/>
      <c r="V676" s="1104"/>
      <c r="W676" s="1104"/>
      <c r="X676" s="1104"/>
      <c r="Y676" s="1104"/>
      <c r="Z676" s="1104"/>
      <c r="AA676" s="1104"/>
      <c r="AB676" s="1104"/>
      <c r="AC676" s="1104"/>
      <c r="AD676" s="1104"/>
      <c r="AE676" s="1104"/>
      <c r="AF676" s="1104"/>
      <c r="AG676" s="1106"/>
      <c r="AH676" s="1106"/>
      <c r="AI676" s="1106"/>
      <c r="AJ676" s="1106"/>
      <c r="AK676" s="1106"/>
      <c r="AL676" s="1106"/>
      <c r="AM676" s="1106"/>
      <c r="AN676" s="1106"/>
      <c r="AO676" s="1106"/>
      <c r="AP676" s="1106"/>
      <c r="AQ676" s="1106"/>
      <c r="AR676" s="1106"/>
      <c r="AS676" s="1106"/>
      <c r="AT676" s="1106"/>
      <c r="AU676" s="1106"/>
      <c r="AV676" s="1106"/>
      <c r="AW676" s="1106"/>
      <c r="AX676" s="1106"/>
    </row>
    <row r="677">
      <c r="T677" s="1102"/>
      <c r="U677" s="1104"/>
      <c r="V677" s="1104"/>
      <c r="W677" s="1104"/>
      <c r="X677" s="1104"/>
      <c r="Y677" s="1104"/>
      <c r="Z677" s="1104"/>
      <c r="AA677" s="1104"/>
      <c r="AB677" s="1104"/>
      <c r="AC677" s="1104"/>
      <c r="AD677" s="1104"/>
      <c r="AE677" s="1104"/>
      <c r="AF677" s="1104"/>
      <c r="AG677" s="1106"/>
      <c r="AH677" s="1106"/>
      <c r="AI677" s="1106"/>
      <c r="AJ677" s="1106"/>
      <c r="AK677" s="1106"/>
      <c r="AL677" s="1106"/>
      <c r="AM677" s="1106"/>
      <c r="AN677" s="1106"/>
      <c r="AO677" s="1106"/>
      <c r="AP677" s="1106"/>
      <c r="AQ677" s="1106"/>
      <c r="AR677" s="1106"/>
      <c r="AS677" s="1106"/>
      <c r="AT677" s="1106"/>
      <c r="AU677" s="1106"/>
      <c r="AV677" s="1106"/>
      <c r="AW677" s="1106"/>
      <c r="AX677" s="1106"/>
    </row>
    <row r="678">
      <c r="T678" s="1102"/>
      <c r="U678" s="1104"/>
      <c r="V678" s="1104"/>
      <c r="W678" s="1104"/>
      <c r="X678" s="1104"/>
      <c r="Y678" s="1104"/>
      <c r="Z678" s="1104"/>
      <c r="AA678" s="1104"/>
      <c r="AB678" s="1104"/>
      <c r="AC678" s="1104"/>
      <c r="AD678" s="1104"/>
      <c r="AE678" s="1104"/>
      <c r="AF678" s="1104"/>
      <c r="AG678" s="1106"/>
      <c r="AH678" s="1106"/>
      <c r="AI678" s="1106"/>
      <c r="AJ678" s="1106"/>
      <c r="AK678" s="1106"/>
      <c r="AL678" s="1106"/>
      <c r="AM678" s="1106"/>
      <c r="AN678" s="1106"/>
      <c r="AO678" s="1106"/>
      <c r="AP678" s="1106"/>
      <c r="AQ678" s="1106"/>
      <c r="AR678" s="1106"/>
      <c r="AS678" s="1106"/>
      <c r="AT678" s="1106"/>
      <c r="AU678" s="1106"/>
      <c r="AV678" s="1106"/>
      <c r="AW678" s="1106"/>
      <c r="AX678" s="1106"/>
    </row>
    <row r="679">
      <c r="T679" s="1102"/>
      <c r="U679" s="1104"/>
      <c r="V679" s="1104"/>
      <c r="W679" s="1104"/>
      <c r="X679" s="1104"/>
      <c r="Y679" s="1104"/>
      <c r="Z679" s="1104"/>
      <c r="AA679" s="1104"/>
      <c r="AB679" s="1104"/>
      <c r="AC679" s="1104"/>
      <c r="AD679" s="1104"/>
      <c r="AE679" s="1104"/>
      <c r="AF679" s="1104"/>
      <c r="AG679" s="1106"/>
      <c r="AH679" s="1106"/>
      <c r="AI679" s="1106"/>
      <c r="AJ679" s="1106"/>
      <c r="AK679" s="1106"/>
      <c r="AL679" s="1106"/>
      <c r="AM679" s="1106"/>
      <c r="AN679" s="1106"/>
      <c r="AO679" s="1106"/>
      <c r="AP679" s="1106"/>
      <c r="AQ679" s="1106"/>
      <c r="AR679" s="1106"/>
      <c r="AS679" s="1106"/>
      <c r="AT679" s="1106"/>
      <c r="AU679" s="1106"/>
      <c r="AV679" s="1106"/>
      <c r="AW679" s="1106"/>
      <c r="AX679" s="1106"/>
    </row>
    <row r="680">
      <c r="T680" s="1102"/>
      <c r="U680" s="1104"/>
      <c r="V680" s="1104"/>
      <c r="W680" s="1104"/>
      <c r="X680" s="1104"/>
      <c r="Y680" s="1104"/>
      <c r="Z680" s="1104"/>
      <c r="AA680" s="1104"/>
      <c r="AB680" s="1104"/>
      <c r="AC680" s="1104"/>
      <c r="AD680" s="1104"/>
      <c r="AE680" s="1104"/>
      <c r="AF680" s="1104"/>
      <c r="AG680" s="1106"/>
      <c r="AH680" s="1106"/>
      <c r="AI680" s="1106"/>
      <c r="AJ680" s="1106"/>
      <c r="AK680" s="1106"/>
      <c r="AL680" s="1106"/>
      <c r="AM680" s="1106"/>
      <c r="AN680" s="1106"/>
      <c r="AO680" s="1106"/>
      <c r="AP680" s="1106"/>
      <c r="AQ680" s="1106"/>
      <c r="AR680" s="1106"/>
      <c r="AS680" s="1106"/>
      <c r="AT680" s="1106"/>
      <c r="AU680" s="1106"/>
      <c r="AV680" s="1106"/>
      <c r="AW680" s="1106"/>
      <c r="AX680" s="1106"/>
    </row>
    <row r="681">
      <c r="T681" s="1102"/>
      <c r="U681" s="1104"/>
      <c r="V681" s="1104"/>
      <c r="W681" s="1104"/>
      <c r="X681" s="1104"/>
      <c r="Y681" s="1104"/>
      <c r="Z681" s="1104"/>
      <c r="AA681" s="1104"/>
      <c r="AB681" s="1104"/>
      <c r="AC681" s="1104"/>
      <c r="AD681" s="1104"/>
      <c r="AE681" s="1104"/>
      <c r="AF681" s="1104"/>
      <c r="AG681" s="1106"/>
      <c r="AH681" s="1106"/>
      <c r="AI681" s="1106"/>
      <c r="AJ681" s="1106"/>
      <c r="AK681" s="1106"/>
      <c r="AL681" s="1106"/>
      <c r="AM681" s="1106"/>
      <c r="AN681" s="1106"/>
      <c r="AO681" s="1106"/>
      <c r="AP681" s="1106"/>
      <c r="AQ681" s="1106"/>
      <c r="AR681" s="1106"/>
      <c r="AS681" s="1106"/>
      <c r="AT681" s="1106"/>
      <c r="AU681" s="1106"/>
      <c r="AV681" s="1106"/>
      <c r="AW681" s="1106"/>
      <c r="AX681" s="1106"/>
    </row>
    <row r="682">
      <c r="T682" s="1102"/>
      <c r="U682" s="1104"/>
      <c r="V682" s="1104"/>
      <c r="W682" s="1104"/>
      <c r="X682" s="1104"/>
      <c r="Y682" s="1104"/>
      <c r="Z682" s="1104"/>
      <c r="AA682" s="1104"/>
      <c r="AB682" s="1104"/>
      <c r="AC682" s="1104"/>
      <c r="AD682" s="1104"/>
      <c r="AE682" s="1104"/>
      <c r="AF682" s="1104"/>
      <c r="AG682" s="1106"/>
      <c r="AH682" s="1106"/>
      <c r="AI682" s="1106"/>
      <c r="AJ682" s="1106"/>
      <c r="AK682" s="1106"/>
      <c r="AL682" s="1106"/>
      <c r="AM682" s="1106"/>
      <c r="AN682" s="1106"/>
      <c r="AO682" s="1106"/>
      <c r="AP682" s="1106"/>
      <c r="AQ682" s="1106"/>
      <c r="AR682" s="1106"/>
      <c r="AS682" s="1106"/>
      <c r="AT682" s="1106"/>
      <c r="AU682" s="1106"/>
      <c r="AV682" s="1106"/>
      <c r="AW682" s="1106"/>
      <c r="AX682" s="1106"/>
    </row>
    <row r="683">
      <c r="T683" s="1102"/>
      <c r="U683" s="1104"/>
      <c r="V683" s="1104"/>
      <c r="W683" s="1104"/>
      <c r="X683" s="1104"/>
      <c r="Y683" s="1104"/>
      <c r="Z683" s="1104"/>
      <c r="AA683" s="1104"/>
      <c r="AB683" s="1104"/>
      <c r="AC683" s="1104"/>
      <c r="AD683" s="1104"/>
      <c r="AE683" s="1104"/>
      <c r="AF683" s="1104"/>
      <c r="AG683" s="1106"/>
      <c r="AH683" s="1106"/>
      <c r="AI683" s="1106"/>
      <c r="AJ683" s="1106"/>
      <c r="AK683" s="1106"/>
      <c r="AL683" s="1106"/>
      <c r="AM683" s="1106"/>
      <c r="AN683" s="1106"/>
      <c r="AO683" s="1106"/>
      <c r="AP683" s="1106"/>
      <c r="AQ683" s="1106"/>
      <c r="AR683" s="1106"/>
      <c r="AS683" s="1106"/>
      <c r="AT683" s="1106"/>
      <c r="AU683" s="1106"/>
      <c r="AV683" s="1106"/>
      <c r="AW683" s="1106"/>
      <c r="AX683" s="1106"/>
    </row>
    <row r="684">
      <c r="T684" s="1102"/>
      <c r="U684" s="1104"/>
      <c r="V684" s="1104"/>
      <c r="W684" s="1104"/>
      <c r="X684" s="1104"/>
      <c r="Y684" s="1104"/>
      <c r="Z684" s="1104"/>
      <c r="AA684" s="1104"/>
      <c r="AB684" s="1104"/>
      <c r="AC684" s="1104"/>
      <c r="AD684" s="1104"/>
      <c r="AE684" s="1104"/>
      <c r="AF684" s="1104"/>
      <c r="AG684" s="1106"/>
      <c r="AH684" s="1106"/>
      <c r="AI684" s="1106"/>
      <c r="AJ684" s="1106"/>
      <c r="AK684" s="1106"/>
      <c r="AL684" s="1106"/>
      <c r="AM684" s="1106"/>
      <c r="AN684" s="1106"/>
      <c r="AO684" s="1106"/>
      <c r="AP684" s="1106"/>
      <c r="AQ684" s="1106"/>
      <c r="AR684" s="1106"/>
      <c r="AS684" s="1106"/>
      <c r="AT684" s="1106"/>
      <c r="AU684" s="1106"/>
      <c r="AV684" s="1106"/>
      <c r="AW684" s="1106"/>
      <c r="AX684" s="1106"/>
    </row>
    <row r="685">
      <c r="T685" s="1102"/>
      <c r="U685" s="1104"/>
      <c r="V685" s="1104"/>
      <c r="W685" s="1104"/>
      <c r="X685" s="1104"/>
      <c r="Y685" s="1104"/>
      <c r="Z685" s="1104"/>
      <c r="AA685" s="1104"/>
      <c r="AB685" s="1104"/>
      <c r="AC685" s="1104"/>
      <c r="AD685" s="1104"/>
      <c r="AE685" s="1104"/>
      <c r="AF685" s="1104"/>
      <c r="AG685" s="1106"/>
      <c r="AH685" s="1106"/>
      <c r="AI685" s="1106"/>
      <c r="AJ685" s="1106"/>
      <c r="AK685" s="1106"/>
      <c r="AL685" s="1106"/>
      <c r="AM685" s="1106"/>
      <c r="AN685" s="1106"/>
      <c r="AO685" s="1106"/>
      <c r="AP685" s="1106"/>
      <c r="AQ685" s="1106"/>
      <c r="AR685" s="1106"/>
      <c r="AS685" s="1106"/>
      <c r="AT685" s="1106"/>
      <c r="AU685" s="1106"/>
      <c r="AV685" s="1106"/>
      <c r="AW685" s="1106"/>
      <c r="AX685" s="1106"/>
    </row>
    <row r="686">
      <c r="T686" s="1102"/>
      <c r="U686" s="1104"/>
      <c r="V686" s="1104"/>
      <c r="W686" s="1104"/>
      <c r="X686" s="1104"/>
      <c r="Y686" s="1104"/>
      <c r="Z686" s="1104"/>
      <c r="AA686" s="1104"/>
      <c r="AB686" s="1104"/>
      <c r="AC686" s="1104"/>
      <c r="AD686" s="1104"/>
      <c r="AE686" s="1104"/>
      <c r="AF686" s="1104"/>
      <c r="AG686" s="1106"/>
      <c r="AH686" s="1106"/>
      <c r="AI686" s="1106"/>
      <c r="AJ686" s="1106"/>
      <c r="AK686" s="1106"/>
      <c r="AL686" s="1106"/>
      <c r="AM686" s="1106"/>
      <c r="AN686" s="1106"/>
      <c r="AO686" s="1106"/>
      <c r="AP686" s="1106"/>
      <c r="AQ686" s="1106"/>
      <c r="AR686" s="1106"/>
      <c r="AS686" s="1106"/>
      <c r="AT686" s="1106"/>
      <c r="AU686" s="1106"/>
      <c r="AV686" s="1106"/>
      <c r="AW686" s="1106"/>
      <c r="AX686" s="1106"/>
    </row>
    <row r="687">
      <c r="T687" s="1102"/>
      <c r="U687" s="1104"/>
      <c r="V687" s="1104"/>
      <c r="W687" s="1104"/>
      <c r="X687" s="1104"/>
      <c r="Y687" s="1104"/>
      <c r="Z687" s="1104"/>
      <c r="AA687" s="1104"/>
      <c r="AB687" s="1104"/>
      <c r="AC687" s="1104"/>
      <c r="AD687" s="1104"/>
      <c r="AE687" s="1104"/>
      <c r="AF687" s="1104"/>
      <c r="AG687" s="1106"/>
      <c r="AH687" s="1106"/>
      <c r="AI687" s="1106"/>
      <c r="AJ687" s="1106"/>
      <c r="AK687" s="1106"/>
      <c r="AL687" s="1106"/>
      <c r="AM687" s="1106"/>
      <c r="AN687" s="1106"/>
      <c r="AO687" s="1106"/>
      <c r="AP687" s="1106"/>
      <c r="AQ687" s="1106"/>
      <c r="AR687" s="1106"/>
      <c r="AS687" s="1106"/>
      <c r="AT687" s="1106"/>
      <c r="AU687" s="1106"/>
      <c r="AV687" s="1106"/>
      <c r="AW687" s="1106"/>
      <c r="AX687" s="1106"/>
    </row>
    <row r="688">
      <c r="T688" s="1102"/>
      <c r="U688" s="1104"/>
      <c r="V688" s="1104"/>
      <c r="W688" s="1104"/>
      <c r="X688" s="1104"/>
      <c r="Y688" s="1104"/>
      <c r="Z688" s="1104"/>
      <c r="AA688" s="1104"/>
      <c r="AB688" s="1104"/>
      <c r="AC688" s="1104"/>
      <c r="AD688" s="1104"/>
      <c r="AE688" s="1104"/>
      <c r="AF688" s="1104"/>
      <c r="AG688" s="1106"/>
      <c r="AH688" s="1106"/>
      <c r="AI688" s="1106"/>
      <c r="AJ688" s="1106"/>
      <c r="AK688" s="1106"/>
      <c r="AL688" s="1106"/>
      <c r="AM688" s="1106"/>
      <c r="AN688" s="1106"/>
      <c r="AO688" s="1106"/>
      <c r="AP688" s="1106"/>
      <c r="AQ688" s="1106"/>
      <c r="AR688" s="1106"/>
      <c r="AS688" s="1106"/>
      <c r="AT688" s="1106"/>
      <c r="AU688" s="1106"/>
      <c r="AV688" s="1106"/>
      <c r="AW688" s="1106"/>
      <c r="AX688" s="1106"/>
    </row>
    <row r="689">
      <c r="T689" s="1102"/>
      <c r="U689" s="1104"/>
      <c r="V689" s="1104"/>
      <c r="W689" s="1104"/>
      <c r="X689" s="1104"/>
      <c r="Y689" s="1104"/>
      <c r="Z689" s="1104"/>
      <c r="AA689" s="1104"/>
      <c r="AB689" s="1104"/>
      <c r="AC689" s="1104"/>
      <c r="AD689" s="1104"/>
      <c r="AE689" s="1104"/>
      <c r="AF689" s="1104"/>
      <c r="AG689" s="1106"/>
      <c r="AH689" s="1106"/>
      <c r="AI689" s="1106"/>
      <c r="AJ689" s="1106"/>
      <c r="AK689" s="1106"/>
      <c r="AL689" s="1106"/>
      <c r="AM689" s="1106"/>
      <c r="AN689" s="1106"/>
      <c r="AO689" s="1106"/>
      <c r="AP689" s="1106"/>
      <c r="AQ689" s="1106"/>
      <c r="AR689" s="1106"/>
      <c r="AS689" s="1106"/>
      <c r="AT689" s="1106"/>
      <c r="AU689" s="1106"/>
      <c r="AV689" s="1106"/>
      <c r="AW689" s="1106"/>
      <c r="AX689" s="1106"/>
    </row>
    <row r="690">
      <c r="T690" s="1102"/>
      <c r="U690" s="1104"/>
      <c r="V690" s="1104"/>
      <c r="W690" s="1104"/>
      <c r="X690" s="1104"/>
      <c r="Y690" s="1104"/>
      <c r="Z690" s="1104"/>
      <c r="AA690" s="1104"/>
      <c r="AB690" s="1104"/>
      <c r="AC690" s="1104"/>
      <c r="AD690" s="1104"/>
      <c r="AE690" s="1104"/>
      <c r="AF690" s="1104"/>
      <c r="AG690" s="1106"/>
      <c r="AH690" s="1106"/>
      <c r="AI690" s="1106"/>
      <c r="AJ690" s="1106"/>
      <c r="AK690" s="1106"/>
      <c r="AL690" s="1106"/>
      <c r="AM690" s="1106"/>
      <c r="AN690" s="1106"/>
      <c r="AO690" s="1106"/>
      <c r="AP690" s="1106"/>
      <c r="AQ690" s="1106"/>
      <c r="AR690" s="1106"/>
      <c r="AS690" s="1106"/>
      <c r="AT690" s="1106"/>
      <c r="AU690" s="1106"/>
      <c r="AV690" s="1106"/>
      <c r="AW690" s="1106"/>
      <c r="AX690" s="1106"/>
    </row>
    <row r="691">
      <c r="T691" s="1102"/>
      <c r="U691" s="1104"/>
      <c r="V691" s="1104"/>
      <c r="W691" s="1104"/>
      <c r="X691" s="1104"/>
      <c r="Y691" s="1104"/>
      <c r="Z691" s="1104"/>
      <c r="AA691" s="1104"/>
      <c r="AB691" s="1104"/>
      <c r="AC691" s="1104"/>
      <c r="AD691" s="1104"/>
      <c r="AE691" s="1104"/>
      <c r="AF691" s="1104"/>
      <c r="AG691" s="1106"/>
      <c r="AH691" s="1106"/>
      <c r="AI691" s="1106"/>
      <c r="AJ691" s="1106"/>
      <c r="AK691" s="1106"/>
      <c r="AL691" s="1106"/>
      <c r="AM691" s="1106"/>
      <c r="AN691" s="1106"/>
      <c r="AO691" s="1106"/>
      <c r="AP691" s="1106"/>
      <c r="AQ691" s="1106"/>
      <c r="AR691" s="1106"/>
      <c r="AS691" s="1106"/>
      <c r="AT691" s="1106"/>
      <c r="AU691" s="1106"/>
      <c r="AV691" s="1106"/>
      <c r="AW691" s="1106"/>
      <c r="AX691" s="1106"/>
    </row>
    <row r="692">
      <c r="T692" s="1102"/>
      <c r="U692" s="1104"/>
      <c r="V692" s="1104"/>
      <c r="W692" s="1104"/>
      <c r="X692" s="1104"/>
      <c r="Y692" s="1104"/>
      <c r="Z692" s="1104"/>
      <c r="AA692" s="1104"/>
      <c r="AB692" s="1104"/>
      <c r="AC692" s="1104"/>
      <c r="AD692" s="1104"/>
      <c r="AE692" s="1104"/>
      <c r="AF692" s="1104"/>
      <c r="AG692" s="1106"/>
      <c r="AH692" s="1106"/>
      <c r="AI692" s="1106"/>
      <c r="AJ692" s="1106"/>
      <c r="AK692" s="1106"/>
      <c r="AL692" s="1106"/>
      <c r="AM692" s="1106"/>
      <c r="AN692" s="1106"/>
      <c r="AO692" s="1106"/>
      <c r="AP692" s="1106"/>
      <c r="AQ692" s="1106"/>
      <c r="AR692" s="1106"/>
      <c r="AS692" s="1106"/>
      <c r="AT692" s="1106"/>
      <c r="AU692" s="1106"/>
      <c r="AV692" s="1106"/>
      <c r="AW692" s="1106"/>
      <c r="AX692" s="1106"/>
    </row>
    <row r="693">
      <c r="T693" s="1102"/>
      <c r="U693" s="1104"/>
      <c r="V693" s="1104"/>
      <c r="W693" s="1104"/>
      <c r="X693" s="1104"/>
      <c r="Y693" s="1104"/>
      <c r="Z693" s="1104"/>
      <c r="AA693" s="1104"/>
      <c r="AB693" s="1104"/>
      <c r="AC693" s="1104"/>
      <c r="AD693" s="1104"/>
      <c r="AE693" s="1104"/>
      <c r="AF693" s="1104"/>
      <c r="AG693" s="1106"/>
      <c r="AH693" s="1106"/>
      <c r="AI693" s="1106"/>
      <c r="AJ693" s="1106"/>
      <c r="AK693" s="1106"/>
      <c r="AL693" s="1106"/>
      <c r="AM693" s="1106"/>
      <c r="AN693" s="1106"/>
      <c r="AO693" s="1106"/>
      <c r="AP693" s="1106"/>
      <c r="AQ693" s="1106"/>
      <c r="AR693" s="1106"/>
      <c r="AS693" s="1106"/>
      <c r="AT693" s="1106"/>
      <c r="AU693" s="1106"/>
      <c r="AV693" s="1106"/>
      <c r="AW693" s="1106"/>
      <c r="AX693" s="1106"/>
    </row>
    <row r="694">
      <c r="T694" s="1102"/>
      <c r="U694" s="1104"/>
      <c r="V694" s="1104"/>
      <c r="W694" s="1104"/>
      <c r="X694" s="1104"/>
      <c r="Y694" s="1104"/>
      <c r="Z694" s="1104"/>
      <c r="AA694" s="1104"/>
      <c r="AB694" s="1104"/>
      <c r="AC694" s="1104"/>
      <c r="AD694" s="1104"/>
      <c r="AE694" s="1104"/>
      <c r="AF694" s="1104"/>
      <c r="AG694" s="1106"/>
      <c r="AH694" s="1106"/>
      <c r="AI694" s="1106"/>
      <c r="AJ694" s="1106"/>
      <c r="AK694" s="1106"/>
      <c r="AL694" s="1106"/>
      <c r="AM694" s="1106"/>
      <c r="AN694" s="1106"/>
      <c r="AO694" s="1106"/>
      <c r="AP694" s="1106"/>
      <c r="AQ694" s="1106"/>
      <c r="AR694" s="1106"/>
      <c r="AS694" s="1106"/>
      <c r="AT694" s="1106"/>
      <c r="AU694" s="1106"/>
      <c r="AV694" s="1106"/>
      <c r="AW694" s="1106"/>
      <c r="AX694" s="1106"/>
    </row>
    <row r="695">
      <c r="T695" s="1102"/>
      <c r="U695" s="1104"/>
      <c r="V695" s="1104"/>
      <c r="W695" s="1104"/>
      <c r="X695" s="1104"/>
      <c r="Y695" s="1104"/>
      <c r="Z695" s="1104"/>
      <c r="AA695" s="1104"/>
      <c r="AB695" s="1104"/>
      <c r="AC695" s="1104"/>
      <c r="AD695" s="1104"/>
      <c r="AE695" s="1104"/>
      <c r="AF695" s="1104"/>
      <c r="AG695" s="1106"/>
      <c r="AH695" s="1106"/>
      <c r="AI695" s="1106"/>
      <c r="AJ695" s="1106"/>
      <c r="AK695" s="1106"/>
      <c r="AL695" s="1106"/>
      <c r="AM695" s="1106"/>
      <c r="AN695" s="1106"/>
      <c r="AO695" s="1106"/>
      <c r="AP695" s="1106"/>
      <c r="AQ695" s="1106"/>
      <c r="AR695" s="1106"/>
      <c r="AS695" s="1106"/>
      <c r="AT695" s="1106"/>
      <c r="AU695" s="1106"/>
      <c r="AV695" s="1106"/>
      <c r="AW695" s="1106"/>
      <c r="AX695" s="1106"/>
    </row>
    <row r="696">
      <c r="T696" s="1102"/>
      <c r="U696" s="1104"/>
      <c r="V696" s="1104"/>
      <c r="W696" s="1104"/>
      <c r="X696" s="1104"/>
      <c r="Y696" s="1104"/>
      <c r="Z696" s="1104"/>
      <c r="AA696" s="1104"/>
      <c r="AB696" s="1104"/>
      <c r="AC696" s="1104"/>
      <c r="AD696" s="1104"/>
      <c r="AE696" s="1104"/>
      <c r="AF696" s="1104"/>
      <c r="AG696" s="1106"/>
      <c r="AH696" s="1106"/>
      <c r="AI696" s="1106"/>
      <c r="AJ696" s="1106"/>
      <c r="AK696" s="1106"/>
      <c r="AL696" s="1106"/>
      <c r="AM696" s="1106"/>
      <c r="AN696" s="1106"/>
      <c r="AO696" s="1106"/>
      <c r="AP696" s="1106"/>
      <c r="AQ696" s="1106"/>
      <c r="AR696" s="1106"/>
      <c r="AS696" s="1106"/>
      <c r="AT696" s="1106"/>
      <c r="AU696" s="1106"/>
      <c r="AV696" s="1106"/>
      <c r="AW696" s="1106"/>
      <c r="AX696" s="1106"/>
    </row>
    <row r="697">
      <c r="T697" s="1102"/>
      <c r="U697" s="1104"/>
      <c r="V697" s="1104"/>
      <c r="W697" s="1104"/>
      <c r="X697" s="1104"/>
      <c r="Y697" s="1104"/>
      <c r="Z697" s="1104"/>
      <c r="AA697" s="1104"/>
      <c r="AB697" s="1104"/>
      <c r="AC697" s="1104"/>
      <c r="AD697" s="1104"/>
      <c r="AE697" s="1104"/>
      <c r="AF697" s="1104"/>
      <c r="AG697" s="1106"/>
      <c r="AH697" s="1106"/>
      <c r="AI697" s="1106"/>
      <c r="AJ697" s="1106"/>
      <c r="AK697" s="1106"/>
      <c r="AL697" s="1106"/>
      <c r="AM697" s="1106"/>
      <c r="AN697" s="1106"/>
      <c r="AO697" s="1106"/>
      <c r="AP697" s="1106"/>
      <c r="AQ697" s="1106"/>
      <c r="AR697" s="1106"/>
      <c r="AS697" s="1106"/>
      <c r="AT697" s="1106"/>
      <c r="AU697" s="1106"/>
      <c r="AV697" s="1106"/>
      <c r="AW697" s="1106"/>
      <c r="AX697" s="1106"/>
    </row>
    <row r="698">
      <c r="T698" s="1102"/>
      <c r="U698" s="1104"/>
      <c r="V698" s="1104"/>
      <c r="W698" s="1104"/>
      <c r="X698" s="1104"/>
      <c r="Y698" s="1104"/>
      <c r="Z698" s="1104"/>
      <c r="AA698" s="1104"/>
      <c r="AB698" s="1104"/>
      <c r="AC698" s="1104"/>
      <c r="AD698" s="1104"/>
      <c r="AE698" s="1104"/>
      <c r="AF698" s="1104"/>
      <c r="AG698" s="1106"/>
      <c r="AH698" s="1106"/>
      <c r="AI698" s="1106"/>
      <c r="AJ698" s="1106"/>
      <c r="AK698" s="1106"/>
      <c r="AL698" s="1106"/>
      <c r="AM698" s="1106"/>
      <c r="AN698" s="1106"/>
      <c r="AO698" s="1106"/>
      <c r="AP698" s="1106"/>
      <c r="AQ698" s="1106"/>
      <c r="AR698" s="1106"/>
      <c r="AS698" s="1106"/>
      <c r="AT698" s="1106"/>
      <c r="AU698" s="1106"/>
      <c r="AV698" s="1106"/>
      <c r="AW698" s="1106"/>
      <c r="AX698" s="1106"/>
    </row>
    <row r="699">
      <c r="T699" s="1102"/>
      <c r="U699" s="1104"/>
      <c r="V699" s="1104"/>
      <c r="W699" s="1104"/>
      <c r="X699" s="1104"/>
      <c r="Y699" s="1104"/>
      <c r="Z699" s="1104"/>
      <c r="AA699" s="1104"/>
      <c r="AB699" s="1104"/>
      <c r="AC699" s="1104"/>
      <c r="AD699" s="1104"/>
      <c r="AE699" s="1104"/>
      <c r="AF699" s="1104"/>
      <c r="AG699" s="1106"/>
      <c r="AH699" s="1106"/>
      <c r="AI699" s="1106"/>
      <c r="AJ699" s="1106"/>
      <c r="AK699" s="1106"/>
      <c r="AL699" s="1106"/>
      <c r="AM699" s="1106"/>
      <c r="AN699" s="1106"/>
      <c r="AO699" s="1106"/>
      <c r="AP699" s="1106"/>
      <c r="AQ699" s="1106"/>
      <c r="AR699" s="1106"/>
      <c r="AS699" s="1106"/>
      <c r="AT699" s="1106"/>
      <c r="AU699" s="1106"/>
      <c r="AV699" s="1106"/>
      <c r="AW699" s="1106"/>
      <c r="AX699" s="1106"/>
    </row>
    <row r="700">
      <c r="T700" s="1102"/>
      <c r="U700" s="1104"/>
      <c r="V700" s="1104"/>
      <c r="W700" s="1104"/>
      <c r="X700" s="1104"/>
      <c r="Y700" s="1104"/>
      <c r="Z700" s="1104"/>
      <c r="AA700" s="1104"/>
      <c r="AB700" s="1104"/>
      <c r="AC700" s="1104"/>
      <c r="AD700" s="1104"/>
      <c r="AE700" s="1104"/>
      <c r="AF700" s="1104"/>
      <c r="AG700" s="1106"/>
      <c r="AH700" s="1106"/>
      <c r="AI700" s="1106"/>
      <c r="AJ700" s="1106"/>
      <c r="AK700" s="1106"/>
      <c r="AL700" s="1106"/>
      <c r="AM700" s="1106"/>
      <c r="AN700" s="1106"/>
      <c r="AO700" s="1106"/>
      <c r="AP700" s="1106"/>
      <c r="AQ700" s="1106"/>
      <c r="AR700" s="1106"/>
      <c r="AS700" s="1106"/>
      <c r="AT700" s="1106"/>
      <c r="AU700" s="1106"/>
      <c r="AV700" s="1106"/>
      <c r="AW700" s="1106"/>
      <c r="AX700" s="1106"/>
    </row>
    <row r="701">
      <c r="T701" s="1102"/>
      <c r="U701" s="1104"/>
      <c r="V701" s="1104"/>
      <c r="W701" s="1104"/>
      <c r="X701" s="1104"/>
      <c r="Y701" s="1104"/>
      <c r="Z701" s="1104"/>
      <c r="AA701" s="1104"/>
      <c r="AB701" s="1104"/>
      <c r="AC701" s="1104"/>
      <c r="AD701" s="1104"/>
      <c r="AE701" s="1104"/>
      <c r="AF701" s="1104"/>
      <c r="AG701" s="1106"/>
      <c r="AH701" s="1106"/>
      <c r="AI701" s="1106"/>
      <c r="AJ701" s="1106"/>
      <c r="AK701" s="1106"/>
      <c r="AL701" s="1106"/>
      <c r="AM701" s="1106"/>
      <c r="AN701" s="1106"/>
      <c r="AO701" s="1106"/>
      <c r="AP701" s="1106"/>
      <c r="AQ701" s="1106"/>
      <c r="AR701" s="1106"/>
      <c r="AS701" s="1106"/>
      <c r="AT701" s="1106"/>
      <c r="AU701" s="1106"/>
      <c r="AV701" s="1106"/>
      <c r="AW701" s="1106"/>
      <c r="AX701" s="1106"/>
    </row>
    <row r="702">
      <c r="T702" s="1102"/>
      <c r="U702" s="1104"/>
      <c r="V702" s="1104"/>
      <c r="W702" s="1104"/>
      <c r="X702" s="1104"/>
      <c r="Y702" s="1104"/>
      <c r="Z702" s="1104"/>
      <c r="AA702" s="1104"/>
      <c r="AB702" s="1104"/>
      <c r="AC702" s="1104"/>
      <c r="AD702" s="1104"/>
      <c r="AE702" s="1104"/>
      <c r="AF702" s="1104"/>
      <c r="AG702" s="1106"/>
      <c r="AH702" s="1106"/>
      <c r="AI702" s="1106"/>
      <c r="AJ702" s="1106"/>
      <c r="AK702" s="1106"/>
      <c r="AL702" s="1106"/>
      <c r="AM702" s="1106"/>
      <c r="AN702" s="1106"/>
      <c r="AO702" s="1106"/>
      <c r="AP702" s="1106"/>
      <c r="AQ702" s="1106"/>
      <c r="AR702" s="1106"/>
      <c r="AS702" s="1106"/>
      <c r="AT702" s="1106"/>
      <c r="AU702" s="1106"/>
      <c r="AV702" s="1106"/>
      <c r="AW702" s="1106"/>
      <c r="AX702" s="1106"/>
    </row>
    <row r="703">
      <c r="T703" s="1102"/>
      <c r="U703" s="1104"/>
      <c r="V703" s="1104"/>
      <c r="W703" s="1104"/>
      <c r="X703" s="1104"/>
      <c r="Y703" s="1104"/>
      <c r="Z703" s="1104"/>
      <c r="AA703" s="1104"/>
      <c r="AB703" s="1104"/>
      <c r="AC703" s="1104"/>
      <c r="AD703" s="1104"/>
      <c r="AE703" s="1104"/>
      <c r="AF703" s="1104"/>
      <c r="AG703" s="1106"/>
      <c r="AH703" s="1106"/>
      <c r="AI703" s="1106"/>
      <c r="AJ703" s="1106"/>
      <c r="AK703" s="1106"/>
      <c r="AL703" s="1106"/>
      <c r="AM703" s="1106"/>
      <c r="AN703" s="1106"/>
      <c r="AO703" s="1106"/>
      <c r="AP703" s="1106"/>
      <c r="AQ703" s="1106"/>
      <c r="AR703" s="1106"/>
      <c r="AS703" s="1106"/>
      <c r="AT703" s="1106"/>
      <c r="AU703" s="1106"/>
      <c r="AV703" s="1106"/>
      <c r="AW703" s="1106"/>
      <c r="AX703" s="1106"/>
    </row>
    <row r="704">
      <c r="T704" s="1102"/>
      <c r="U704" s="1104"/>
      <c r="V704" s="1104"/>
      <c r="W704" s="1104"/>
      <c r="X704" s="1104"/>
      <c r="Y704" s="1104"/>
      <c r="Z704" s="1104"/>
      <c r="AA704" s="1104"/>
      <c r="AB704" s="1104"/>
      <c r="AC704" s="1104"/>
      <c r="AD704" s="1104"/>
      <c r="AE704" s="1104"/>
      <c r="AF704" s="1104"/>
      <c r="AG704" s="1106"/>
      <c r="AH704" s="1106"/>
      <c r="AI704" s="1106"/>
      <c r="AJ704" s="1106"/>
      <c r="AK704" s="1106"/>
      <c r="AL704" s="1106"/>
      <c r="AM704" s="1106"/>
      <c r="AN704" s="1106"/>
      <c r="AO704" s="1106"/>
      <c r="AP704" s="1106"/>
      <c r="AQ704" s="1106"/>
      <c r="AR704" s="1106"/>
      <c r="AS704" s="1106"/>
      <c r="AT704" s="1106"/>
      <c r="AU704" s="1106"/>
      <c r="AV704" s="1106"/>
      <c r="AW704" s="1106"/>
      <c r="AX704" s="1106"/>
    </row>
    <row r="705">
      <c r="T705" s="1102"/>
      <c r="U705" s="1104"/>
      <c r="V705" s="1104"/>
      <c r="W705" s="1104"/>
      <c r="X705" s="1104"/>
      <c r="Y705" s="1104"/>
      <c r="Z705" s="1104"/>
      <c r="AA705" s="1104"/>
      <c r="AB705" s="1104"/>
      <c r="AC705" s="1104"/>
      <c r="AD705" s="1104"/>
      <c r="AE705" s="1104"/>
      <c r="AF705" s="1104"/>
      <c r="AG705" s="1106"/>
      <c r="AH705" s="1106"/>
      <c r="AI705" s="1106"/>
      <c r="AJ705" s="1106"/>
      <c r="AK705" s="1106"/>
      <c r="AL705" s="1106"/>
      <c r="AM705" s="1106"/>
      <c r="AN705" s="1106"/>
      <c r="AO705" s="1106"/>
      <c r="AP705" s="1106"/>
      <c r="AQ705" s="1106"/>
      <c r="AR705" s="1106"/>
      <c r="AS705" s="1106"/>
      <c r="AT705" s="1106"/>
      <c r="AU705" s="1106"/>
      <c r="AV705" s="1106"/>
      <c r="AW705" s="1106"/>
      <c r="AX705" s="1106"/>
    </row>
    <row r="706">
      <c r="T706" s="1102"/>
      <c r="U706" s="1104"/>
      <c r="V706" s="1104"/>
      <c r="W706" s="1104"/>
      <c r="X706" s="1104"/>
      <c r="Y706" s="1104"/>
      <c r="Z706" s="1104"/>
      <c r="AA706" s="1104"/>
      <c r="AB706" s="1104"/>
      <c r="AC706" s="1104"/>
      <c r="AD706" s="1104"/>
      <c r="AE706" s="1104"/>
      <c r="AF706" s="1104"/>
      <c r="AG706" s="1106"/>
      <c r="AH706" s="1106"/>
      <c r="AI706" s="1106"/>
      <c r="AJ706" s="1106"/>
      <c r="AK706" s="1106"/>
      <c r="AL706" s="1106"/>
      <c r="AM706" s="1106"/>
      <c r="AN706" s="1106"/>
      <c r="AO706" s="1106"/>
      <c r="AP706" s="1106"/>
      <c r="AQ706" s="1106"/>
      <c r="AR706" s="1106"/>
      <c r="AS706" s="1106"/>
      <c r="AT706" s="1106"/>
      <c r="AU706" s="1106"/>
      <c r="AV706" s="1106"/>
      <c r="AW706" s="1106"/>
      <c r="AX706" s="1106"/>
    </row>
    <row r="707">
      <c r="T707" s="1102"/>
      <c r="U707" s="1104"/>
      <c r="V707" s="1104"/>
      <c r="W707" s="1104"/>
      <c r="X707" s="1104"/>
      <c r="Y707" s="1104"/>
      <c r="Z707" s="1104"/>
      <c r="AA707" s="1104"/>
      <c r="AB707" s="1104"/>
      <c r="AC707" s="1104"/>
      <c r="AD707" s="1104"/>
      <c r="AE707" s="1104"/>
      <c r="AF707" s="1104"/>
      <c r="AG707" s="1106"/>
      <c r="AH707" s="1106"/>
      <c r="AI707" s="1106"/>
      <c r="AJ707" s="1106"/>
      <c r="AK707" s="1106"/>
      <c r="AL707" s="1106"/>
      <c r="AM707" s="1106"/>
      <c r="AN707" s="1106"/>
      <c r="AO707" s="1106"/>
      <c r="AP707" s="1106"/>
      <c r="AQ707" s="1106"/>
      <c r="AR707" s="1106"/>
      <c r="AS707" s="1106"/>
      <c r="AT707" s="1106"/>
      <c r="AU707" s="1106"/>
      <c r="AV707" s="1106"/>
      <c r="AW707" s="1106"/>
      <c r="AX707" s="1106"/>
    </row>
    <row r="708">
      <c r="T708" s="1102"/>
      <c r="U708" s="1104"/>
      <c r="V708" s="1104"/>
      <c r="W708" s="1104"/>
      <c r="X708" s="1104"/>
      <c r="Y708" s="1104"/>
      <c r="Z708" s="1104"/>
      <c r="AA708" s="1104"/>
      <c r="AB708" s="1104"/>
      <c r="AC708" s="1104"/>
      <c r="AD708" s="1104"/>
      <c r="AE708" s="1104"/>
      <c r="AF708" s="1104"/>
      <c r="AG708" s="1106"/>
      <c r="AH708" s="1106"/>
      <c r="AI708" s="1106"/>
      <c r="AJ708" s="1106"/>
      <c r="AK708" s="1106"/>
      <c r="AL708" s="1106"/>
      <c r="AM708" s="1106"/>
      <c r="AN708" s="1106"/>
      <c r="AO708" s="1106"/>
      <c r="AP708" s="1106"/>
      <c r="AQ708" s="1106"/>
      <c r="AR708" s="1106"/>
      <c r="AS708" s="1106"/>
      <c r="AT708" s="1106"/>
      <c r="AU708" s="1106"/>
      <c r="AV708" s="1106"/>
      <c r="AW708" s="1106"/>
      <c r="AX708" s="1106"/>
    </row>
    <row r="709">
      <c r="T709" s="1102"/>
      <c r="U709" s="1104"/>
      <c r="V709" s="1104"/>
      <c r="W709" s="1104"/>
      <c r="X709" s="1104"/>
      <c r="Y709" s="1104"/>
      <c r="Z709" s="1104"/>
      <c r="AA709" s="1104"/>
      <c r="AB709" s="1104"/>
      <c r="AC709" s="1104"/>
      <c r="AD709" s="1104"/>
      <c r="AE709" s="1104"/>
      <c r="AF709" s="1104"/>
      <c r="AG709" s="1106"/>
      <c r="AH709" s="1106"/>
      <c r="AI709" s="1106"/>
      <c r="AJ709" s="1106"/>
      <c r="AK709" s="1106"/>
      <c r="AL709" s="1106"/>
      <c r="AM709" s="1106"/>
      <c r="AN709" s="1106"/>
      <c r="AO709" s="1106"/>
      <c r="AP709" s="1106"/>
      <c r="AQ709" s="1106"/>
      <c r="AR709" s="1106"/>
      <c r="AS709" s="1106"/>
      <c r="AT709" s="1106"/>
      <c r="AU709" s="1106"/>
      <c r="AV709" s="1106"/>
      <c r="AW709" s="1106"/>
      <c r="AX709" s="1106"/>
    </row>
    <row r="710">
      <c r="T710" s="1102"/>
      <c r="U710" s="1104"/>
      <c r="V710" s="1104"/>
      <c r="W710" s="1104"/>
      <c r="X710" s="1104"/>
      <c r="Y710" s="1104"/>
      <c r="Z710" s="1104"/>
      <c r="AA710" s="1104"/>
      <c r="AB710" s="1104"/>
      <c r="AC710" s="1104"/>
      <c r="AD710" s="1104"/>
      <c r="AE710" s="1104"/>
      <c r="AF710" s="1104"/>
      <c r="AG710" s="1106"/>
      <c r="AH710" s="1106"/>
      <c r="AI710" s="1106"/>
      <c r="AJ710" s="1106"/>
      <c r="AK710" s="1106"/>
      <c r="AL710" s="1106"/>
      <c r="AM710" s="1106"/>
      <c r="AN710" s="1106"/>
      <c r="AO710" s="1106"/>
      <c r="AP710" s="1106"/>
      <c r="AQ710" s="1106"/>
      <c r="AR710" s="1106"/>
      <c r="AS710" s="1106"/>
      <c r="AT710" s="1106"/>
      <c r="AU710" s="1106"/>
      <c r="AV710" s="1106"/>
      <c r="AW710" s="1106"/>
      <c r="AX710" s="1106"/>
    </row>
    <row r="711">
      <c r="T711" s="1102"/>
      <c r="U711" s="1104"/>
      <c r="V711" s="1104"/>
      <c r="W711" s="1104"/>
      <c r="X711" s="1104"/>
      <c r="Y711" s="1104"/>
      <c r="Z711" s="1104"/>
      <c r="AA711" s="1104"/>
      <c r="AB711" s="1104"/>
      <c r="AC711" s="1104"/>
      <c r="AD711" s="1104"/>
      <c r="AE711" s="1104"/>
      <c r="AF711" s="1104"/>
      <c r="AG711" s="1106"/>
      <c r="AH711" s="1106"/>
      <c r="AI711" s="1106"/>
      <c r="AJ711" s="1106"/>
      <c r="AK711" s="1106"/>
      <c r="AL711" s="1106"/>
      <c r="AM711" s="1106"/>
      <c r="AN711" s="1106"/>
      <c r="AO711" s="1106"/>
      <c r="AP711" s="1106"/>
      <c r="AQ711" s="1106"/>
      <c r="AR711" s="1106"/>
      <c r="AS711" s="1106"/>
      <c r="AT711" s="1106"/>
      <c r="AU711" s="1106"/>
      <c r="AV711" s="1106"/>
      <c r="AW711" s="1106"/>
      <c r="AX711" s="1106"/>
    </row>
    <row r="712">
      <c r="T712" s="1102"/>
      <c r="U712" s="1104"/>
      <c r="V712" s="1104"/>
      <c r="W712" s="1104"/>
      <c r="X712" s="1104"/>
      <c r="Y712" s="1104"/>
      <c r="Z712" s="1104"/>
      <c r="AA712" s="1104"/>
      <c r="AB712" s="1104"/>
      <c r="AC712" s="1104"/>
      <c r="AD712" s="1104"/>
      <c r="AE712" s="1104"/>
      <c r="AF712" s="1104"/>
      <c r="AG712" s="1106"/>
      <c r="AH712" s="1106"/>
      <c r="AI712" s="1106"/>
      <c r="AJ712" s="1106"/>
      <c r="AK712" s="1106"/>
      <c r="AL712" s="1106"/>
      <c r="AM712" s="1106"/>
      <c r="AN712" s="1106"/>
      <c r="AO712" s="1106"/>
      <c r="AP712" s="1106"/>
      <c r="AQ712" s="1106"/>
      <c r="AR712" s="1106"/>
      <c r="AS712" s="1106"/>
      <c r="AT712" s="1106"/>
      <c r="AU712" s="1106"/>
      <c r="AV712" s="1106"/>
      <c r="AW712" s="1106"/>
      <c r="AX712" s="1106"/>
    </row>
    <row r="713">
      <c r="T713" s="1102"/>
      <c r="U713" s="1104"/>
      <c r="V713" s="1104"/>
      <c r="W713" s="1104"/>
      <c r="X713" s="1104"/>
      <c r="Y713" s="1104"/>
      <c r="Z713" s="1104"/>
      <c r="AA713" s="1104"/>
      <c r="AB713" s="1104"/>
      <c r="AC713" s="1104"/>
      <c r="AD713" s="1104"/>
      <c r="AE713" s="1104"/>
      <c r="AF713" s="1104"/>
      <c r="AG713" s="1106"/>
      <c r="AH713" s="1106"/>
      <c r="AI713" s="1106"/>
      <c r="AJ713" s="1106"/>
      <c r="AK713" s="1106"/>
      <c r="AL713" s="1106"/>
      <c r="AM713" s="1106"/>
      <c r="AN713" s="1106"/>
      <c r="AO713" s="1106"/>
      <c r="AP713" s="1106"/>
      <c r="AQ713" s="1106"/>
      <c r="AR713" s="1106"/>
      <c r="AS713" s="1106"/>
      <c r="AT713" s="1106"/>
      <c r="AU713" s="1106"/>
      <c r="AV713" s="1106"/>
      <c r="AW713" s="1106"/>
      <c r="AX713" s="1106"/>
    </row>
    <row r="714">
      <c r="T714" s="1102"/>
      <c r="U714" s="1104"/>
      <c r="V714" s="1104"/>
      <c r="W714" s="1104"/>
      <c r="X714" s="1104"/>
      <c r="Y714" s="1104"/>
      <c r="Z714" s="1104"/>
      <c r="AA714" s="1104"/>
      <c r="AB714" s="1104"/>
      <c r="AC714" s="1104"/>
      <c r="AD714" s="1104"/>
      <c r="AE714" s="1104"/>
      <c r="AF714" s="1104"/>
      <c r="AG714" s="1106"/>
      <c r="AH714" s="1106"/>
      <c r="AI714" s="1106"/>
      <c r="AJ714" s="1106"/>
      <c r="AK714" s="1106"/>
      <c r="AL714" s="1106"/>
      <c r="AM714" s="1106"/>
      <c r="AN714" s="1106"/>
      <c r="AO714" s="1106"/>
      <c r="AP714" s="1106"/>
      <c r="AQ714" s="1106"/>
      <c r="AR714" s="1106"/>
      <c r="AS714" s="1106"/>
      <c r="AT714" s="1106"/>
      <c r="AU714" s="1106"/>
      <c r="AV714" s="1106"/>
      <c r="AW714" s="1106"/>
      <c r="AX714" s="1106"/>
    </row>
    <row r="715">
      <c r="T715" s="1102"/>
      <c r="U715" s="1104"/>
      <c r="V715" s="1104"/>
      <c r="W715" s="1104"/>
      <c r="X715" s="1104"/>
      <c r="Y715" s="1104"/>
      <c r="Z715" s="1104"/>
      <c r="AA715" s="1104"/>
      <c r="AB715" s="1104"/>
      <c r="AC715" s="1104"/>
      <c r="AD715" s="1104"/>
      <c r="AE715" s="1104"/>
      <c r="AF715" s="1104"/>
      <c r="AG715" s="1106"/>
      <c r="AH715" s="1106"/>
      <c r="AI715" s="1106"/>
      <c r="AJ715" s="1106"/>
      <c r="AK715" s="1106"/>
      <c r="AL715" s="1106"/>
      <c r="AM715" s="1106"/>
      <c r="AN715" s="1106"/>
      <c r="AO715" s="1106"/>
      <c r="AP715" s="1106"/>
      <c r="AQ715" s="1106"/>
      <c r="AR715" s="1106"/>
      <c r="AS715" s="1106"/>
      <c r="AT715" s="1106"/>
      <c r="AU715" s="1106"/>
      <c r="AV715" s="1106"/>
      <c r="AW715" s="1106"/>
      <c r="AX715" s="1106"/>
    </row>
    <row r="716">
      <c r="T716" s="1102"/>
      <c r="U716" s="1104"/>
      <c r="V716" s="1104"/>
      <c r="W716" s="1104"/>
      <c r="X716" s="1104"/>
      <c r="Y716" s="1104"/>
      <c r="Z716" s="1104"/>
      <c r="AA716" s="1104"/>
      <c r="AB716" s="1104"/>
      <c r="AC716" s="1104"/>
      <c r="AD716" s="1104"/>
      <c r="AE716" s="1104"/>
      <c r="AF716" s="1104"/>
      <c r="AG716" s="1106"/>
      <c r="AH716" s="1106"/>
      <c r="AI716" s="1106"/>
      <c r="AJ716" s="1106"/>
      <c r="AK716" s="1106"/>
      <c r="AL716" s="1106"/>
      <c r="AM716" s="1106"/>
      <c r="AN716" s="1106"/>
      <c r="AO716" s="1106"/>
      <c r="AP716" s="1106"/>
      <c r="AQ716" s="1106"/>
      <c r="AR716" s="1106"/>
      <c r="AS716" s="1106"/>
      <c r="AT716" s="1106"/>
      <c r="AU716" s="1106"/>
      <c r="AV716" s="1106"/>
      <c r="AW716" s="1106"/>
      <c r="AX716" s="1106"/>
    </row>
    <row r="717">
      <c r="T717" s="1102"/>
      <c r="U717" s="1104"/>
      <c r="V717" s="1104"/>
      <c r="W717" s="1104"/>
      <c r="X717" s="1104"/>
      <c r="Y717" s="1104"/>
      <c r="Z717" s="1104"/>
      <c r="AA717" s="1104"/>
      <c r="AB717" s="1104"/>
      <c r="AC717" s="1104"/>
      <c r="AD717" s="1104"/>
      <c r="AE717" s="1104"/>
      <c r="AF717" s="1104"/>
      <c r="AG717" s="1106"/>
      <c r="AH717" s="1106"/>
      <c r="AI717" s="1106"/>
      <c r="AJ717" s="1106"/>
      <c r="AK717" s="1106"/>
      <c r="AL717" s="1106"/>
      <c r="AM717" s="1106"/>
      <c r="AN717" s="1106"/>
      <c r="AO717" s="1106"/>
      <c r="AP717" s="1106"/>
      <c r="AQ717" s="1106"/>
      <c r="AR717" s="1106"/>
      <c r="AS717" s="1106"/>
      <c r="AT717" s="1106"/>
      <c r="AU717" s="1106"/>
      <c r="AV717" s="1106"/>
      <c r="AW717" s="1106"/>
      <c r="AX717" s="1106"/>
    </row>
    <row r="718">
      <c r="T718" s="1102"/>
      <c r="U718" s="1104"/>
      <c r="V718" s="1104"/>
      <c r="W718" s="1104"/>
      <c r="X718" s="1104"/>
      <c r="Y718" s="1104"/>
      <c r="Z718" s="1104"/>
      <c r="AA718" s="1104"/>
      <c r="AB718" s="1104"/>
      <c r="AC718" s="1104"/>
      <c r="AD718" s="1104"/>
      <c r="AE718" s="1104"/>
      <c r="AF718" s="1104"/>
      <c r="AG718" s="1106"/>
      <c r="AH718" s="1106"/>
      <c r="AI718" s="1106"/>
      <c r="AJ718" s="1106"/>
      <c r="AK718" s="1106"/>
      <c r="AL718" s="1106"/>
      <c r="AM718" s="1106"/>
      <c r="AN718" s="1106"/>
      <c r="AO718" s="1106"/>
      <c r="AP718" s="1106"/>
      <c r="AQ718" s="1106"/>
      <c r="AR718" s="1106"/>
      <c r="AS718" s="1106"/>
      <c r="AT718" s="1106"/>
      <c r="AU718" s="1106"/>
      <c r="AV718" s="1106"/>
      <c r="AW718" s="1106"/>
      <c r="AX718" s="1106"/>
    </row>
    <row r="719">
      <c r="T719" s="1102"/>
      <c r="U719" s="1104"/>
      <c r="V719" s="1104"/>
      <c r="W719" s="1104"/>
      <c r="X719" s="1104"/>
      <c r="Y719" s="1104"/>
      <c r="Z719" s="1104"/>
      <c r="AA719" s="1104"/>
      <c r="AB719" s="1104"/>
      <c r="AC719" s="1104"/>
      <c r="AD719" s="1104"/>
      <c r="AE719" s="1104"/>
      <c r="AF719" s="1104"/>
      <c r="AG719" s="1106"/>
      <c r="AH719" s="1106"/>
      <c r="AI719" s="1106"/>
      <c r="AJ719" s="1106"/>
      <c r="AK719" s="1106"/>
      <c r="AL719" s="1106"/>
      <c r="AM719" s="1106"/>
      <c r="AN719" s="1106"/>
      <c r="AO719" s="1106"/>
      <c r="AP719" s="1106"/>
      <c r="AQ719" s="1106"/>
      <c r="AR719" s="1106"/>
      <c r="AS719" s="1106"/>
      <c r="AT719" s="1106"/>
      <c r="AU719" s="1106"/>
      <c r="AV719" s="1106"/>
      <c r="AW719" s="1106"/>
      <c r="AX719" s="1106"/>
    </row>
    <row r="720">
      <c r="T720" s="1102"/>
      <c r="U720" s="1104"/>
      <c r="V720" s="1104"/>
      <c r="W720" s="1104"/>
      <c r="X720" s="1104"/>
      <c r="Y720" s="1104"/>
      <c r="Z720" s="1104"/>
      <c r="AA720" s="1104"/>
      <c r="AB720" s="1104"/>
      <c r="AC720" s="1104"/>
      <c r="AD720" s="1104"/>
      <c r="AE720" s="1104"/>
      <c r="AF720" s="1104"/>
      <c r="AG720" s="1106"/>
      <c r="AH720" s="1106"/>
      <c r="AI720" s="1106"/>
      <c r="AJ720" s="1106"/>
      <c r="AK720" s="1106"/>
      <c r="AL720" s="1106"/>
      <c r="AM720" s="1106"/>
      <c r="AN720" s="1106"/>
      <c r="AO720" s="1106"/>
      <c r="AP720" s="1106"/>
      <c r="AQ720" s="1106"/>
      <c r="AR720" s="1106"/>
      <c r="AS720" s="1106"/>
      <c r="AT720" s="1106"/>
      <c r="AU720" s="1106"/>
      <c r="AV720" s="1106"/>
      <c r="AW720" s="1106"/>
      <c r="AX720" s="1106"/>
    </row>
    <row r="721">
      <c r="T721" s="1102"/>
      <c r="U721" s="1104"/>
      <c r="V721" s="1104"/>
      <c r="W721" s="1104"/>
      <c r="X721" s="1104"/>
      <c r="Y721" s="1104"/>
      <c r="Z721" s="1104"/>
      <c r="AA721" s="1104"/>
      <c r="AB721" s="1104"/>
      <c r="AC721" s="1104"/>
      <c r="AD721" s="1104"/>
      <c r="AE721" s="1104"/>
      <c r="AF721" s="1104"/>
      <c r="AG721" s="1106"/>
      <c r="AH721" s="1106"/>
      <c r="AI721" s="1106"/>
      <c r="AJ721" s="1106"/>
      <c r="AK721" s="1106"/>
      <c r="AL721" s="1106"/>
      <c r="AM721" s="1106"/>
      <c r="AN721" s="1106"/>
      <c r="AO721" s="1106"/>
      <c r="AP721" s="1106"/>
      <c r="AQ721" s="1106"/>
      <c r="AR721" s="1106"/>
      <c r="AS721" s="1106"/>
      <c r="AT721" s="1106"/>
      <c r="AU721" s="1106"/>
      <c r="AV721" s="1106"/>
      <c r="AW721" s="1106"/>
      <c r="AX721" s="1106"/>
    </row>
    <row r="722">
      <c r="T722" s="1102"/>
      <c r="U722" s="1104"/>
      <c r="V722" s="1104"/>
      <c r="W722" s="1104"/>
      <c r="X722" s="1104"/>
      <c r="Y722" s="1104"/>
      <c r="Z722" s="1104"/>
      <c r="AA722" s="1104"/>
      <c r="AB722" s="1104"/>
      <c r="AC722" s="1104"/>
      <c r="AD722" s="1104"/>
      <c r="AE722" s="1104"/>
      <c r="AF722" s="1104"/>
      <c r="AG722" s="1106"/>
      <c r="AH722" s="1106"/>
      <c r="AI722" s="1106"/>
      <c r="AJ722" s="1106"/>
      <c r="AK722" s="1106"/>
      <c r="AL722" s="1106"/>
      <c r="AM722" s="1106"/>
      <c r="AN722" s="1106"/>
      <c r="AO722" s="1106"/>
      <c r="AP722" s="1106"/>
      <c r="AQ722" s="1106"/>
      <c r="AR722" s="1106"/>
      <c r="AS722" s="1106"/>
      <c r="AT722" s="1106"/>
      <c r="AU722" s="1106"/>
      <c r="AV722" s="1106"/>
      <c r="AW722" s="1106"/>
      <c r="AX722" s="1106"/>
    </row>
    <row r="723">
      <c r="T723" s="1102"/>
      <c r="U723" s="1104"/>
      <c r="V723" s="1104"/>
      <c r="W723" s="1104"/>
      <c r="X723" s="1104"/>
      <c r="Y723" s="1104"/>
      <c r="Z723" s="1104"/>
      <c r="AA723" s="1104"/>
      <c r="AB723" s="1104"/>
      <c r="AC723" s="1104"/>
      <c r="AD723" s="1104"/>
      <c r="AE723" s="1104"/>
      <c r="AF723" s="1104"/>
      <c r="AG723" s="1106"/>
      <c r="AH723" s="1106"/>
      <c r="AI723" s="1106"/>
      <c r="AJ723" s="1106"/>
      <c r="AK723" s="1106"/>
      <c r="AL723" s="1106"/>
      <c r="AM723" s="1106"/>
      <c r="AN723" s="1106"/>
      <c r="AO723" s="1106"/>
      <c r="AP723" s="1106"/>
      <c r="AQ723" s="1106"/>
      <c r="AR723" s="1106"/>
      <c r="AS723" s="1106"/>
      <c r="AT723" s="1106"/>
      <c r="AU723" s="1106"/>
      <c r="AV723" s="1106"/>
      <c r="AW723" s="1106"/>
      <c r="AX723" s="1106"/>
    </row>
    <row r="724">
      <c r="T724" s="1102"/>
      <c r="U724" s="1104"/>
      <c r="V724" s="1104"/>
      <c r="W724" s="1104"/>
      <c r="X724" s="1104"/>
      <c r="Y724" s="1104"/>
      <c r="Z724" s="1104"/>
      <c r="AA724" s="1104"/>
      <c r="AB724" s="1104"/>
      <c r="AC724" s="1104"/>
      <c r="AD724" s="1104"/>
      <c r="AE724" s="1104"/>
      <c r="AF724" s="1104"/>
      <c r="AG724" s="1106"/>
      <c r="AH724" s="1106"/>
      <c r="AI724" s="1106"/>
      <c r="AJ724" s="1106"/>
      <c r="AK724" s="1106"/>
      <c r="AL724" s="1106"/>
      <c r="AM724" s="1106"/>
      <c r="AN724" s="1106"/>
      <c r="AO724" s="1106"/>
      <c r="AP724" s="1106"/>
      <c r="AQ724" s="1106"/>
      <c r="AR724" s="1106"/>
      <c r="AS724" s="1106"/>
      <c r="AT724" s="1106"/>
      <c r="AU724" s="1106"/>
      <c r="AV724" s="1106"/>
      <c r="AW724" s="1106"/>
      <c r="AX724" s="1106"/>
    </row>
    <row r="725">
      <c r="T725" s="1102"/>
      <c r="U725" s="1104"/>
      <c r="V725" s="1104"/>
      <c r="W725" s="1104"/>
      <c r="X725" s="1104"/>
      <c r="Y725" s="1104"/>
      <c r="Z725" s="1104"/>
      <c r="AA725" s="1104"/>
      <c r="AB725" s="1104"/>
      <c r="AC725" s="1104"/>
      <c r="AD725" s="1104"/>
      <c r="AE725" s="1104"/>
      <c r="AF725" s="1104"/>
      <c r="AG725" s="1106"/>
      <c r="AH725" s="1106"/>
      <c r="AI725" s="1106"/>
      <c r="AJ725" s="1106"/>
      <c r="AK725" s="1106"/>
      <c r="AL725" s="1106"/>
      <c r="AM725" s="1106"/>
      <c r="AN725" s="1106"/>
      <c r="AO725" s="1106"/>
      <c r="AP725" s="1106"/>
      <c r="AQ725" s="1106"/>
      <c r="AR725" s="1106"/>
      <c r="AS725" s="1106"/>
      <c r="AT725" s="1106"/>
      <c r="AU725" s="1106"/>
      <c r="AV725" s="1106"/>
      <c r="AW725" s="1106"/>
      <c r="AX725" s="1106"/>
    </row>
    <row r="726">
      <c r="T726" s="1102"/>
      <c r="U726" s="1104"/>
      <c r="V726" s="1104"/>
      <c r="W726" s="1104"/>
      <c r="X726" s="1104"/>
      <c r="Y726" s="1104"/>
      <c r="Z726" s="1104"/>
      <c r="AA726" s="1104"/>
      <c r="AB726" s="1104"/>
      <c r="AC726" s="1104"/>
      <c r="AD726" s="1104"/>
      <c r="AE726" s="1104"/>
      <c r="AF726" s="1104"/>
      <c r="AG726" s="1106"/>
      <c r="AH726" s="1106"/>
      <c r="AI726" s="1106"/>
      <c r="AJ726" s="1106"/>
      <c r="AK726" s="1106"/>
      <c r="AL726" s="1106"/>
      <c r="AM726" s="1106"/>
      <c r="AN726" s="1106"/>
      <c r="AO726" s="1106"/>
      <c r="AP726" s="1106"/>
      <c r="AQ726" s="1106"/>
      <c r="AR726" s="1106"/>
      <c r="AS726" s="1106"/>
      <c r="AT726" s="1106"/>
      <c r="AU726" s="1106"/>
      <c r="AV726" s="1106"/>
      <c r="AW726" s="1106"/>
      <c r="AX726" s="1106"/>
    </row>
    <row r="727">
      <c r="T727" s="1102"/>
      <c r="U727" s="1104"/>
      <c r="V727" s="1104"/>
      <c r="W727" s="1104"/>
      <c r="X727" s="1104"/>
      <c r="Y727" s="1104"/>
      <c r="Z727" s="1104"/>
      <c r="AA727" s="1104"/>
      <c r="AB727" s="1104"/>
      <c r="AC727" s="1104"/>
      <c r="AD727" s="1104"/>
      <c r="AE727" s="1104"/>
      <c r="AF727" s="1104"/>
      <c r="AG727" s="1106"/>
      <c r="AH727" s="1106"/>
      <c r="AI727" s="1106"/>
      <c r="AJ727" s="1106"/>
      <c r="AK727" s="1106"/>
      <c r="AL727" s="1106"/>
      <c r="AM727" s="1106"/>
      <c r="AN727" s="1106"/>
      <c r="AO727" s="1106"/>
      <c r="AP727" s="1106"/>
      <c r="AQ727" s="1106"/>
      <c r="AR727" s="1106"/>
      <c r="AS727" s="1106"/>
      <c r="AT727" s="1106"/>
      <c r="AU727" s="1106"/>
      <c r="AV727" s="1106"/>
      <c r="AW727" s="1106"/>
      <c r="AX727" s="1106"/>
    </row>
    <row r="728">
      <c r="T728" s="1102"/>
      <c r="U728" s="1104"/>
      <c r="V728" s="1104"/>
      <c r="W728" s="1104"/>
      <c r="X728" s="1104"/>
      <c r="Y728" s="1104"/>
      <c r="Z728" s="1104"/>
      <c r="AA728" s="1104"/>
      <c r="AB728" s="1104"/>
      <c r="AC728" s="1104"/>
      <c r="AD728" s="1104"/>
      <c r="AE728" s="1104"/>
      <c r="AF728" s="1104"/>
      <c r="AG728" s="1106"/>
      <c r="AH728" s="1106"/>
      <c r="AI728" s="1106"/>
      <c r="AJ728" s="1106"/>
      <c r="AK728" s="1106"/>
      <c r="AL728" s="1106"/>
      <c r="AM728" s="1106"/>
      <c r="AN728" s="1106"/>
      <c r="AO728" s="1106"/>
      <c r="AP728" s="1106"/>
      <c r="AQ728" s="1106"/>
      <c r="AR728" s="1106"/>
      <c r="AS728" s="1106"/>
      <c r="AT728" s="1106"/>
      <c r="AU728" s="1106"/>
      <c r="AV728" s="1106"/>
      <c r="AW728" s="1106"/>
      <c r="AX728" s="1106"/>
    </row>
    <row r="729">
      <c r="T729" s="1102"/>
      <c r="U729" s="1104"/>
      <c r="V729" s="1104"/>
      <c r="W729" s="1104"/>
      <c r="X729" s="1104"/>
      <c r="Y729" s="1104"/>
      <c r="Z729" s="1104"/>
      <c r="AA729" s="1104"/>
      <c r="AB729" s="1104"/>
      <c r="AC729" s="1104"/>
      <c r="AD729" s="1104"/>
      <c r="AE729" s="1104"/>
      <c r="AF729" s="1104"/>
      <c r="AG729" s="1106"/>
      <c r="AH729" s="1106"/>
      <c r="AI729" s="1106"/>
      <c r="AJ729" s="1106"/>
      <c r="AK729" s="1106"/>
      <c r="AL729" s="1106"/>
      <c r="AM729" s="1106"/>
      <c r="AN729" s="1106"/>
      <c r="AO729" s="1106"/>
      <c r="AP729" s="1106"/>
      <c r="AQ729" s="1106"/>
      <c r="AR729" s="1106"/>
      <c r="AS729" s="1106"/>
      <c r="AT729" s="1106"/>
      <c r="AU729" s="1106"/>
      <c r="AV729" s="1106"/>
      <c r="AW729" s="1106"/>
      <c r="AX729" s="1106"/>
    </row>
    <row r="730">
      <c r="T730" s="1102"/>
      <c r="U730" s="1104"/>
      <c r="V730" s="1104"/>
      <c r="W730" s="1104"/>
      <c r="X730" s="1104"/>
      <c r="Y730" s="1104"/>
      <c r="Z730" s="1104"/>
      <c r="AA730" s="1104"/>
      <c r="AB730" s="1104"/>
      <c r="AC730" s="1104"/>
      <c r="AD730" s="1104"/>
      <c r="AE730" s="1104"/>
      <c r="AF730" s="1104"/>
      <c r="AG730" s="1106"/>
      <c r="AH730" s="1106"/>
      <c r="AI730" s="1106"/>
      <c r="AJ730" s="1106"/>
      <c r="AK730" s="1106"/>
      <c r="AL730" s="1106"/>
      <c r="AM730" s="1106"/>
      <c r="AN730" s="1106"/>
      <c r="AO730" s="1106"/>
      <c r="AP730" s="1106"/>
      <c r="AQ730" s="1106"/>
      <c r="AR730" s="1106"/>
      <c r="AS730" s="1106"/>
      <c r="AT730" s="1106"/>
      <c r="AU730" s="1106"/>
      <c r="AV730" s="1106"/>
      <c r="AW730" s="1106"/>
      <c r="AX730" s="1106"/>
    </row>
    <row r="731">
      <c r="T731" s="1102"/>
      <c r="U731" s="1104"/>
      <c r="V731" s="1104"/>
      <c r="W731" s="1104"/>
      <c r="X731" s="1104"/>
      <c r="Y731" s="1104"/>
      <c r="Z731" s="1104"/>
      <c r="AA731" s="1104"/>
      <c r="AB731" s="1104"/>
      <c r="AC731" s="1104"/>
      <c r="AD731" s="1104"/>
      <c r="AE731" s="1104"/>
      <c r="AF731" s="1104"/>
      <c r="AG731" s="1106"/>
      <c r="AH731" s="1106"/>
      <c r="AI731" s="1106"/>
      <c r="AJ731" s="1106"/>
      <c r="AK731" s="1106"/>
      <c r="AL731" s="1106"/>
      <c r="AM731" s="1106"/>
      <c r="AN731" s="1106"/>
      <c r="AO731" s="1106"/>
      <c r="AP731" s="1106"/>
      <c r="AQ731" s="1106"/>
      <c r="AR731" s="1106"/>
      <c r="AS731" s="1106"/>
      <c r="AT731" s="1106"/>
      <c r="AU731" s="1106"/>
      <c r="AV731" s="1106"/>
      <c r="AW731" s="1106"/>
      <c r="AX731" s="1106"/>
    </row>
    <row r="732">
      <c r="T732" s="1102"/>
      <c r="U732" s="1104"/>
      <c r="V732" s="1104"/>
      <c r="W732" s="1104"/>
      <c r="X732" s="1104"/>
      <c r="Y732" s="1104"/>
      <c r="Z732" s="1104"/>
      <c r="AA732" s="1104"/>
      <c r="AB732" s="1104"/>
      <c r="AC732" s="1104"/>
      <c r="AD732" s="1104"/>
      <c r="AE732" s="1104"/>
      <c r="AF732" s="1104"/>
      <c r="AG732" s="1106"/>
      <c r="AH732" s="1106"/>
      <c r="AI732" s="1106"/>
      <c r="AJ732" s="1106"/>
      <c r="AK732" s="1106"/>
      <c r="AL732" s="1106"/>
      <c r="AM732" s="1106"/>
      <c r="AN732" s="1106"/>
      <c r="AO732" s="1106"/>
      <c r="AP732" s="1106"/>
      <c r="AQ732" s="1106"/>
      <c r="AR732" s="1106"/>
      <c r="AS732" s="1106"/>
      <c r="AT732" s="1106"/>
      <c r="AU732" s="1106"/>
      <c r="AV732" s="1106"/>
      <c r="AW732" s="1106"/>
      <c r="AX732" s="1106"/>
    </row>
    <row r="733">
      <c r="T733" s="1102"/>
      <c r="U733" s="1104"/>
      <c r="V733" s="1104"/>
      <c r="W733" s="1104"/>
      <c r="X733" s="1104"/>
      <c r="Y733" s="1104"/>
      <c r="Z733" s="1104"/>
      <c r="AA733" s="1104"/>
      <c r="AB733" s="1104"/>
      <c r="AC733" s="1104"/>
      <c r="AD733" s="1104"/>
      <c r="AE733" s="1104"/>
      <c r="AF733" s="1104"/>
      <c r="AG733" s="1106"/>
      <c r="AH733" s="1106"/>
      <c r="AI733" s="1106"/>
      <c r="AJ733" s="1106"/>
      <c r="AK733" s="1106"/>
      <c r="AL733" s="1106"/>
      <c r="AM733" s="1106"/>
      <c r="AN733" s="1106"/>
      <c r="AO733" s="1106"/>
      <c r="AP733" s="1106"/>
      <c r="AQ733" s="1106"/>
      <c r="AR733" s="1106"/>
      <c r="AS733" s="1106"/>
      <c r="AT733" s="1106"/>
      <c r="AU733" s="1106"/>
      <c r="AV733" s="1106"/>
      <c r="AW733" s="1106"/>
      <c r="AX733" s="1106"/>
    </row>
    <row r="734">
      <c r="T734" s="1102"/>
      <c r="U734" s="1104"/>
      <c r="V734" s="1104"/>
      <c r="W734" s="1104"/>
      <c r="X734" s="1104"/>
      <c r="Y734" s="1104"/>
      <c r="Z734" s="1104"/>
      <c r="AA734" s="1104"/>
      <c r="AB734" s="1104"/>
      <c r="AC734" s="1104"/>
      <c r="AD734" s="1104"/>
      <c r="AE734" s="1104"/>
      <c r="AF734" s="1104"/>
      <c r="AG734" s="1106"/>
      <c r="AH734" s="1106"/>
      <c r="AI734" s="1106"/>
      <c r="AJ734" s="1106"/>
      <c r="AK734" s="1106"/>
      <c r="AL734" s="1106"/>
      <c r="AM734" s="1106"/>
      <c r="AN734" s="1106"/>
      <c r="AO734" s="1106"/>
      <c r="AP734" s="1106"/>
      <c r="AQ734" s="1106"/>
      <c r="AR734" s="1106"/>
      <c r="AS734" s="1106"/>
      <c r="AT734" s="1106"/>
      <c r="AU734" s="1106"/>
      <c r="AV734" s="1106"/>
      <c r="AW734" s="1106"/>
      <c r="AX734" s="1106"/>
    </row>
    <row r="735">
      <c r="T735" s="1102"/>
      <c r="U735" s="1104"/>
      <c r="V735" s="1104"/>
      <c r="W735" s="1104"/>
      <c r="X735" s="1104"/>
      <c r="Y735" s="1104"/>
      <c r="Z735" s="1104"/>
      <c r="AA735" s="1104"/>
      <c r="AB735" s="1104"/>
      <c r="AC735" s="1104"/>
      <c r="AD735" s="1104"/>
      <c r="AE735" s="1104"/>
      <c r="AF735" s="1104"/>
      <c r="AG735" s="1106"/>
      <c r="AH735" s="1106"/>
      <c r="AI735" s="1106"/>
      <c r="AJ735" s="1106"/>
      <c r="AK735" s="1106"/>
      <c r="AL735" s="1106"/>
      <c r="AM735" s="1106"/>
      <c r="AN735" s="1106"/>
      <c r="AO735" s="1106"/>
      <c r="AP735" s="1106"/>
      <c r="AQ735" s="1106"/>
      <c r="AR735" s="1106"/>
      <c r="AS735" s="1106"/>
      <c r="AT735" s="1106"/>
      <c r="AU735" s="1106"/>
      <c r="AV735" s="1106"/>
      <c r="AW735" s="1106"/>
      <c r="AX735" s="1106"/>
    </row>
    <row r="736">
      <c r="T736" s="1102"/>
      <c r="U736" s="1104"/>
      <c r="V736" s="1104"/>
      <c r="W736" s="1104"/>
      <c r="X736" s="1104"/>
      <c r="Y736" s="1104"/>
      <c r="Z736" s="1104"/>
      <c r="AA736" s="1104"/>
      <c r="AB736" s="1104"/>
      <c r="AC736" s="1104"/>
      <c r="AD736" s="1104"/>
      <c r="AE736" s="1104"/>
      <c r="AF736" s="1104"/>
      <c r="AG736" s="1106"/>
      <c r="AH736" s="1106"/>
      <c r="AI736" s="1106"/>
      <c r="AJ736" s="1106"/>
      <c r="AK736" s="1106"/>
      <c r="AL736" s="1106"/>
      <c r="AM736" s="1106"/>
      <c r="AN736" s="1106"/>
      <c r="AO736" s="1106"/>
      <c r="AP736" s="1106"/>
      <c r="AQ736" s="1106"/>
      <c r="AR736" s="1106"/>
      <c r="AS736" s="1106"/>
      <c r="AT736" s="1106"/>
      <c r="AU736" s="1106"/>
      <c r="AV736" s="1106"/>
      <c r="AW736" s="1106"/>
      <c r="AX736" s="1106"/>
    </row>
    <row r="737">
      <c r="T737" s="1102"/>
      <c r="U737" s="1104"/>
      <c r="V737" s="1104"/>
      <c r="W737" s="1104"/>
      <c r="X737" s="1104"/>
      <c r="Y737" s="1104"/>
      <c r="Z737" s="1104"/>
      <c r="AA737" s="1104"/>
      <c r="AB737" s="1104"/>
      <c r="AC737" s="1104"/>
      <c r="AD737" s="1104"/>
      <c r="AE737" s="1104"/>
      <c r="AF737" s="1104"/>
      <c r="AG737" s="1106"/>
      <c r="AH737" s="1106"/>
      <c r="AI737" s="1106"/>
      <c r="AJ737" s="1106"/>
      <c r="AK737" s="1106"/>
      <c r="AL737" s="1106"/>
      <c r="AM737" s="1106"/>
      <c r="AN737" s="1106"/>
      <c r="AO737" s="1106"/>
      <c r="AP737" s="1106"/>
      <c r="AQ737" s="1106"/>
      <c r="AR737" s="1106"/>
      <c r="AS737" s="1106"/>
      <c r="AT737" s="1106"/>
      <c r="AU737" s="1106"/>
      <c r="AV737" s="1106"/>
      <c r="AW737" s="1106"/>
      <c r="AX737" s="1106"/>
    </row>
    <row r="738">
      <c r="T738" s="1102"/>
      <c r="U738" s="1104"/>
      <c r="V738" s="1104"/>
      <c r="W738" s="1104"/>
      <c r="X738" s="1104"/>
      <c r="Y738" s="1104"/>
      <c r="Z738" s="1104"/>
      <c r="AA738" s="1104"/>
      <c r="AB738" s="1104"/>
      <c r="AC738" s="1104"/>
      <c r="AD738" s="1104"/>
      <c r="AE738" s="1104"/>
      <c r="AF738" s="1104"/>
      <c r="AG738" s="1106"/>
      <c r="AH738" s="1106"/>
      <c r="AI738" s="1106"/>
      <c r="AJ738" s="1106"/>
      <c r="AK738" s="1106"/>
      <c r="AL738" s="1106"/>
      <c r="AM738" s="1106"/>
      <c r="AN738" s="1106"/>
      <c r="AO738" s="1106"/>
      <c r="AP738" s="1106"/>
      <c r="AQ738" s="1106"/>
      <c r="AR738" s="1106"/>
      <c r="AS738" s="1106"/>
      <c r="AT738" s="1106"/>
      <c r="AU738" s="1106"/>
      <c r="AV738" s="1106"/>
      <c r="AW738" s="1106"/>
      <c r="AX738" s="1106"/>
    </row>
    <row r="739">
      <c r="T739" s="1102"/>
      <c r="U739" s="1104"/>
      <c r="V739" s="1104"/>
      <c r="W739" s="1104"/>
      <c r="X739" s="1104"/>
      <c r="Y739" s="1104"/>
      <c r="Z739" s="1104"/>
      <c r="AA739" s="1104"/>
      <c r="AB739" s="1104"/>
      <c r="AC739" s="1104"/>
      <c r="AD739" s="1104"/>
      <c r="AE739" s="1104"/>
      <c r="AF739" s="1104"/>
      <c r="AG739" s="1106"/>
      <c r="AH739" s="1106"/>
      <c r="AI739" s="1106"/>
      <c r="AJ739" s="1106"/>
      <c r="AK739" s="1106"/>
      <c r="AL739" s="1106"/>
      <c r="AM739" s="1106"/>
      <c r="AN739" s="1106"/>
      <c r="AO739" s="1106"/>
      <c r="AP739" s="1106"/>
      <c r="AQ739" s="1106"/>
      <c r="AR739" s="1106"/>
      <c r="AS739" s="1106"/>
      <c r="AT739" s="1106"/>
      <c r="AU739" s="1106"/>
      <c r="AV739" s="1106"/>
      <c r="AW739" s="1106"/>
      <c r="AX739" s="1106"/>
    </row>
    <row r="740">
      <c r="T740" s="1102"/>
      <c r="U740" s="1104"/>
      <c r="V740" s="1104"/>
      <c r="W740" s="1104"/>
      <c r="X740" s="1104"/>
      <c r="Y740" s="1104"/>
      <c r="Z740" s="1104"/>
      <c r="AA740" s="1104"/>
      <c r="AB740" s="1104"/>
      <c r="AC740" s="1104"/>
      <c r="AD740" s="1104"/>
      <c r="AE740" s="1104"/>
      <c r="AF740" s="1104"/>
      <c r="AG740" s="1106"/>
      <c r="AH740" s="1106"/>
      <c r="AI740" s="1106"/>
      <c r="AJ740" s="1106"/>
      <c r="AK740" s="1106"/>
      <c r="AL740" s="1106"/>
      <c r="AM740" s="1106"/>
      <c r="AN740" s="1106"/>
      <c r="AO740" s="1106"/>
      <c r="AP740" s="1106"/>
      <c r="AQ740" s="1106"/>
      <c r="AR740" s="1106"/>
      <c r="AS740" s="1106"/>
      <c r="AT740" s="1106"/>
      <c r="AU740" s="1106"/>
      <c r="AV740" s="1106"/>
      <c r="AW740" s="1106"/>
      <c r="AX740" s="1106"/>
    </row>
    <row r="741">
      <c r="T741" s="1102"/>
      <c r="U741" s="1104"/>
      <c r="V741" s="1104"/>
      <c r="W741" s="1104"/>
      <c r="X741" s="1104"/>
      <c r="Y741" s="1104"/>
      <c r="Z741" s="1104"/>
      <c r="AA741" s="1104"/>
      <c r="AB741" s="1104"/>
      <c r="AC741" s="1104"/>
      <c r="AD741" s="1104"/>
      <c r="AE741" s="1104"/>
      <c r="AF741" s="1104"/>
      <c r="AG741" s="1106"/>
      <c r="AH741" s="1106"/>
      <c r="AI741" s="1106"/>
      <c r="AJ741" s="1106"/>
      <c r="AK741" s="1106"/>
      <c r="AL741" s="1106"/>
      <c r="AM741" s="1106"/>
      <c r="AN741" s="1106"/>
      <c r="AO741" s="1106"/>
      <c r="AP741" s="1106"/>
      <c r="AQ741" s="1106"/>
      <c r="AR741" s="1106"/>
      <c r="AS741" s="1106"/>
      <c r="AT741" s="1106"/>
      <c r="AU741" s="1106"/>
      <c r="AV741" s="1106"/>
      <c r="AW741" s="1106"/>
      <c r="AX741" s="1106"/>
    </row>
    <row r="742">
      <c r="T742" s="1102"/>
      <c r="U742" s="1104"/>
      <c r="V742" s="1104"/>
      <c r="W742" s="1104"/>
      <c r="X742" s="1104"/>
      <c r="Y742" s="1104"/>
      <c r="Z742" s="1104"/>
      <c r="AA742" s="1104"/>
      <c r="AB742" s="1104"/>
      <c r="AC742" s="1104"/>
      <c r="AD742" s="1104"/>
      <c r="AE742" s="1104"/>
      <c r="AF742" s="1104"/>
      <c r="AG742" s="1106"/>
      <c r="AH742" s="1106"/>
      <c r="AI742" s="1106"/>
      <c r="AJ742" s="1106"/>
      <c r="AK742" s="1106"/>
      <c r="AL742" s="1106"/>
      <c r="AM742" s="1106"/>
      <c r="AN742" s="1106"/>
      <c r="AO742" s="1106"/>
      <c r="AP742" s="1106"/>
      <c r="AQ742" s="1106"/>
      <c r="AR742" s="1106"/>
      <c r="AS742" s="1106"/>
      <c r="AT742" s="1106"/>
      <c r="AU742" s="1106"/>
      <c r="AV742" s="1106"/>
      <c r="AW742" s="1106"/>
      <c r="AX742" s="1106"/>
    </row>
    <row r="743">
      <c r="T743" s="1102"/>
      <c r="U743" s="1104"/>
      <c r="V743" s="1104"/>
      <c r="W743" s="1104"/>
      <c r="X743" s="1104"/>
      <c r="Y743" s="1104"/>
      <c r="Z743" s="1104"/>
      <c r="AA743" s="1104"/>
      <c r="AB743" s="1104"/>
      <c r="AC743" s="1104"/>
      <c r="AD743" s="1104"/>
      <c r="AE743" s="1104"/>
      <c r="AF743" s="1104"/>
      <c r="AG743" s="1106"/>
      <c r="AH743" s="1106"/>
      <c r="AI743" s="1106"/>
      <c r="AJ743" s="1106"/>
      <c r="AK743" s="1106"/>
      <c r="AL743" s="1106"/>
      <c r="AM743" s="1106"/>
      <c r="AN743" s="1106"/>
      <c r="AO743" s="1106"/>
      <c r="AP743" s="1106"/>
      <c r="AQ743" s="1106"/>
      <c r="AR743" s="1106"/>
      <c r="AS743" s="1106"/>
      <c r="AT743" s="1106"/>
      <c r="AU743" s="1106"/>
      <c r="AV743" s="1106"/>
      <c r="AW743" s="1106"/>
      <c r="AX743" s="1106"/>
    </row>
    <row r="744">
      <c r="T744" s="1102"/>
      <c r="U744" s="1104"/>
      <c r="V744" s="1104"/>
      <c r="W744" s="1104"/>
      <c r="X744" s="1104"/>
      <c r="Y744" s="1104"/>
      <c r="Z744" s="1104"/>
      <c r="AA744" s="1104"/>
      <c r="AB744" s="1104"/>
      <c r="AC744" s="1104"/>
      <c r="AD744" s="1104"/>
      <c r="AE744" s="1104"/>
      <c r="AF744" s="1104"/>
      <c r="AG744" s="1106"/>
      <c r="AH744" s="1106"/>
      <c r="AI744" s="1106"/>
      <c r="AJ744" s="1106"/>
      <c r="AK744" s="1106"/>
      <c r="AL744" s="1106"/>
      <c r="AM744" s="1106"/>
      <c r="AN744" s="1106"/>
      <c r="AO744" s="1106"/>
      <c r="AP744" s="1106"/>
      <c r="AQ744" s="1106"/>
      <c r="AR744" s="1106"/>
      <c r="AS744" s="1106"/>
      <c r="AT744" s="1106"/>
      <c r="AU744" s="1106"/>
      <c r="AV744" s="1106"/>
      <c r="AW744" s="1106"/>
      <c r="AX744" s="1106"/>
    </row>
    <row r="745">
      <c r="T745" s="1102"/>
      <c r="U745" s="1104"/>
      <c r="V745" s="1104"/>
      <c r="W745" s="1104"/>
      <c r="X745" s="1104"/>
      <c r="Y745" s="1104"/>
      <c r="Z745" s="1104"/>
      <c r="AA745" s="1104"/>
      <c r="AB745" s="1104"/>
      <c r="AC745" s="1104"/>
      <c r="AD745" s="1104"/>
      <c r="AE745" s="1104"/>
      <c r="AF745" s="1104"/>
      <c r="AG745" s="1106"/>
      <c r="AH745" s="1106"/>
      <c r="AI745" s="1106"/>
      <c r="AJ745" s="1106"/>
      <c r="AK745" s="1106"/>
      <c r="AL745" s="1106"/>
      <c r="AM745" s="1106"/>
      <c r="AN745" s="1106"/>
      <c r="AO745" s="1106"/>
      <c r="AP745" s="1106"/>
      <c r="AQ745" s="1106"/>
      <c r="AR745" s="1106"/>
      <c r="AS745" s="1106"/>
      <c r="AT745" s="1106"/>
      <c r="AU745" s="1106"/>
      <c r="AV745" s="1106"/>
      <c r="AW745" s="1106"/>
      <c r="AX745" s="1106"/>
    </row>
    <row r="746">
      <c r="T746" s="1102"/>
      <c r="U746" s="1104"/>
      <c r="V746" s="1104"/>
      <c r="W746" s="1104"/>
      <c r="X746" s="1104"/>
      <c r="Y746" s="1104"/>
      <c r="Z746" s="1104"/>
      <c r="AA746" s="1104"/>
      <c r="AB746" s="1104"/>
      <c r="AC746" s="1104"/>
      <c r="AD746" s="1104"/>
      <c r="AE746" s="1104"/>
      <c r="AF746" s="1104"/>
      <c r="AG746" s="1106"/>
      <c r="AH746" s="1106"/>
      <c r="AI746" s="1106"/>
      <c r="AJ746" s="1106"/>
      <c r="AK746" s="1106"/>
      <c r="AL746" s="1106"/>
      <c r="AM746" s="1106"/>
      <c r="AN746" s="1106"/>
      <c r="AO746" s="1106"/>
      <c r="AP746" s="1106"/>
      <c r="AQ746" s="1106"/>
      <c r="AR746" s="1106"/>
      <c r="AS746" s="1106"/>
      <c r="AT746" s="1106"/>
      <c r="AU746" s="1106"/>
      <c r="AV746" s="1106"/>
      <c r="AW746" s="1106"/>
      <c r="AX746" s="1106"/>
    </row>
    <row r="747">
      <c r="T747" s="1102"/>
      <c r="U747" s="1104"/>
      <c r="V747" s="1104"/>
      <c r="W747" s="1104"/>
      <c r="X747" s="1104"/>
      <c r="Y747" s="1104"/>
      <c r="Z747" s="1104"/>
      <c r="AA747" s="1104"/>
      <c r="AB747" s="1104"/>
      <c r="AC747" s="1104"/>
      <c r="AD747" s="1104"/>
      <c r="AE747" s="1104"/>
      <c r="AF747" s="1104"/>
      <c r="AG747" s="1106"/>
      <c r="AH747" s="1106"/>
      <c r="AI747" s="1106"/>
      <c r="AJ747" s="1106"/>
      <c r="AK747" s="1106"/>
      <c r="AL747" s="1106"/>
      <c r="AM747" s="1106"/>
      <c r="AN747" s="1106"/>
      <c r="AO747" s="1106"/>
      <c r="AP747" s="1106"/>
      <c r="AQ747" s="1106"/>
      <c r="AR747" s="1106"/>
      <c r="AS747" s="1106"/>
      <c r="AT747" s="1106"/>
      <c r="AU747" s="1106"/>
      <c r="AV747" s="1106"/>
      <c r="AW747" s="1106"/>
      <c r="AX747" s="1106"/>
    </row>
    <row r="748">
      <c r="T748" s="1102"/>
      <c r="U748" s="1104"/>
      <c r="V748" s="1104"/>
      <c r="W748" s="1104"/>
      <c r="X748" s="1104"/>
      <c r="Y748" s="1104"/>
      <c r="Z748" s="1104"/>
      <c r="AA748" s="1104"/>
      <c r="AB748" s="1104"/>
      <c r="AC748" s="1104"/>
      <c r="AD748" s="1104"/>
      <c r="AE748" s="1104"/>
      <c r="AF748" s="1104"/>
      <c r="AG748" s="1106"/>
      <c r="AH748" s="1106"/>
      <c r="AI748" s="1106"/>
      <c r="AJ748" s="1106"/>
      <c r="AK748" s="1106"/>
      <c r="AL748" s="1106"/>
      <c r="AM748" s="1106"/>
      <c r="AN748" s="1106"/>
      <c r="AO748" s="1106"/>
      <c r="AP748" s="1106"/>
      <c r="AQ748" s="1106"/>
      <c r="AR748" s="1106"/>
      <c r="AS748" s="1106"/>
      <c r="AT748" s="1106"/>
      <c r="AU748" s="1106"/>
      <c r="AV748" s="1106"/>
      <c r="AW748" s="1106"/>
      <c r="AX748" s="1106"/>
    </row>
    <row r="749">
      <c r="T749" s="1102"/>
      <c r="U749" s="1104"/>
      <c r="V749" s="1104"/>
      <c r="W749" s="1104"/>
      <c r="X749" s="1104"/>
      <c r="Y749" s="1104"/>
      <c r="Z749" s="1104"/>
      <c r="AA749" s="1104"/>
      <c r="AB749" s="1104"/>
      <c r="AC749" s="1104"/>
      <c r="AD749" s="1104"/>
      <c r="AE749" s="1104"/>
      <c r="AF749" s="1104"/>
      <c r="AG749" s="1106"/>
      <c r="AH749" s="1106"/>
      <c r="AI749" s="1106"/>
      <c r="AJ749" s="1106"/>
      <c r="AK749" s="1106"/>
      <c r="AL749" s="1106"/>
      <c r="AM749" s="1106"/>
      <c r="AN749" s="1106"/>
      <c r="AO749" s="1106"/>
      <c r="AP749" s="1106"/>
      <c r="AQ749" s="1106"/>
      <c r="AR749" s="1106"/>
      <c r="AS749" s="1106"/>
      <c r="AT749" s="1106"/>
      <c r="AU749" s="1106"/>
      <c r="AV749" s="1106"/>
      <c r="AW749" s="1106"/>
      <c r="AX749" s="1106"/>
    </row>
    <row r="750">
      <c r="T750" s="1102"/>
      <c r="U750" s="1104"/>
      <c r="V750" s="1104"/>
      <c r="W750" s="1104"/>
      <c r="X750" s="1104"/>
      <c r="Y750" s="1104"/>
      <c r="Z750" s="1104"/>
      <c r="AA750" s="1104"/>
      <c r="AB750" s="1104"/>
      <c r="AC750" s="1104"/>
      <c r="AD750" s="1104"/>
      <c r="AE750" s="1104"/>
      <c r="AF750" s="1104"/>
      <c r="AG750" s="1106"/>
      <c r="AH750" s="1106"/>
      <c r="AI750" s="1106"/>
      <c r="AJ750" s="1106"/>
      <c r="AK750" s="1106"/>
      <c r="AL750" s="1106"/>
      <c r="AM750" s="1106"/>
      <c r="AN750" s="1106"/>
      <c r="AO750" s="1106"/>
      <c r="AP750" s="1106"/>
      <c r="AQ750" s="1106"/>
      <c r="AR750" s="1106"/>
      <c r="AS750" s="1106"/>
      <c r="AT750" s="1106"/>
      <c r="AU750" s="1106"/>
      <c r="AV750" s="1106"/>
      <c r="AW750" s="1106"/>
      <c r="AX750" s="1106"/>
    </row>
    <row r="751">
      <c r="T751" s="1102"/>
      <c r="U751" s="1104"/>
      <c r="V751" s="1104"/>
      <c r="W751" s="1104"/>
      <c r="X751" s="1104"/>
      <c r="Y751" s="1104"/>
      <c r="Z751" s="1104"/>
      <c r="AA751" s="1104"/>
      <c r="AB751" s="1104"/>
      <c r="AC751" s="1104"/>
      <c r="AD751" s="1104"/>
      <c r="AE751" s="1104"/>
      <c r="AF751" s="1104"/>
      <c r="AG751" s="1106"/>
      <c r="AH751" s="1106"/>
      <c r="AI751" s="1106"/>
      <c r="AJ751" s="1106"/>
      <c r="AK751" s="1106"/>
      <c r="AL751" s="1106"/>
      <c r="AM751" s="1106"/>
      <c r="AN751" s="1106"/>
      <c r="AO751" s="1106"/>
      <c r="AP751" s="1106"/>
      <c r="AQ751" s="1106"/>
      <c r="AR751" s="1106"/>
      <c r="AS751" s="1106"/>
      <c r="AT751" s="1106"/>
      <c r="AU751" s="1106"/>
      <c r="AV751" s="1106"/>
      <c r="AW751" s="1106"/>
      <c r="AX751" s="1106"/>
    </row>
    <row r="752">
      <c r="T752" s="1102"/>
      <c r="U752" s="1104"/>
      <c r="V752" s="1104"/>
      <c r="W752" s="1104"/>
      <c r="X752" s="1104"/>
      <c r="Y752" s="1104"/>
      <c r="Z752" s="1104"/>
      <c r="AA752" s="1104"/>
      <c r="AB752" s="1104"/>
      <c r="AC752" s="1104"/>
      <c r="AD752" s="1104"/>
      <c r="AE752" s="1104"/>
      <c r="AF752" s="1104"/>
      <c r="AG752" s="1106"/>
      <c r="AH752" s="1106"/>
      <c r="AI752" s="1106"/>
      <c r="AJ752" s="1106"/>
      <c r="AK752" s="1106"/>
      <c r="AL752" s="1106"/>
      <c r="AM752" s="1106"/>
      <c r="AN752" s="1106"/>
      <c r="AO752" s="1106"/>
      <c r="AP752" s="1106"/>
      <c r="AQ752" s="1106"/>
      <c r="AR752" s="1106"/>
      <c r="AS752" s="1106"/>
      <c r="AT752" s="1106"/>
      <c r="AU752" s="1106"/>
      <c r="AV752" s="1106"/>
      <c r="AW752" s="1106"/>
      <c r="AX752" s="1106"/>
    </row>
    <row r="753">
      <c r="T753" s="1102"/>
      <c r="U753" s="1104"/>
      <c r="V753" s="1104"/>
      <c r="W753" s="1104"/>
      <c r="X753" s="1104"/>
      <c r="Y753" s="1104"/>
      <c r="Z753" s="1104"/>
      <c r="AA753" s="1104"/>
      <c r="AB753" s="1104"/>
      <c r="AC753" s="1104"/>
      <c r="AD753" s="1104"/>
      <c r="AE753" s="1104"/>
      <c r="AF753" s="1104"/>
      <c r="AG753" s="1106"/>
      <c r="AH753" s="1106"/>
      <c r="AI753" s="1106"/>
      <c r="AJ753" s="1106"/>
      <c r="AK753" s="1106"/>
      <c r="AL753" s="1106"/>
      <c r="AM753" s="1106"/>
      <c r="AN753" s="1106"/>
      <c r="AO753" s="1106"/>
      <c r="AP753" s="1106"/>
      <c r="AQ753" s="1106"/>
      <c r="AR753" s="1106"/>
      <c r="AS753" s="1106"/>
      <c r="AT753" s="1106"/>
      <c r="AU753" s="1106"/>
      <c r="AV753" s="1106"/>
      <c r="AW753" s="1106"/>
      <c r="AX753" s="1106"/>
    </row>
    <row r="754">
      <c r="T754" s="1102"/>
      <c r="U754" s="1104"/>
      <c r="V754" s="1104"/>
      <c r="W754" s="1104"/>
      <c r="X754" s="1104"/>
      <c r="Y754" s="1104"/>
      <c r="Z754" s="1104"/>
      <c r="AA754" s="1104"/>
      <c r="AB754" s="1104"/>
      <c r="AC754" s="1104"/>
      <c r="AD754" s="1104"/>
      <c r="AE754" s="1104"/>
      <c r="AF754" s="1104"/>
      <c r="AG754" s="1106"/>
      <c r="AH754" s="1106"/>
      <c r="AI754" s="1106"/>
      <c r="AJ754" s="1106"/>
      <c r="AK754" s="1106"/>
      <c r="AL754" s="1106"/>
      <c r="AM754" s="1106"/>
      <c r="AN754" s="1106"/>
      <c r="AO754" s="1106"/>
      <c r="AP754" s="1106"/>
      <c r="AQ754" s="1106"/>
      <c r="AR754" s="1106"/>
      <c r="AS754" s="1106"/>
      <c r="AT754" s="1106"/>
      <c r="AU754" s="1106"/>
      <c r="AV754" s="1106"/>
      <c r="AW754" s="1106"/>
      <c r="AX754" s="1106"/>
    </row>
    <row r="755">
      <c r="T755" s="1102"/>
      <c r="U755" s="1104"/>
      <c r="V755" s="1104"/>
      <c r="W755" s="1104"/>
      <c r="X755" s="1104"/>
      <c r="Y755" s="1104"/>
      <c r="Z755" s="1104"/>
      <c r="AA755" s="1104"/>
      <c r="AB755" s="1104"/>
      <c r="AC755" s="1104"/>
      <c r="AD755" s="1104"/>
      <c r="AE755" s="1104"/>
      <c r="AF755" s="1104"/>
      <c r="AG755" s="1106"/>
      <c r="AH755" s="1106"/>
      <c r="AI755" s="1106"/>
      <c r="AJ755" s="1106"/>
      <c r="AK755" s="1106"/>
      <c r="AL755" s="1106"/>
      <c r="AM755" s="1106"/>
      <c r="AN755" s="1106"/>
      <c r="AO755" s="1106"/>
      <c r="AP755" s="1106"/>
      <c r="AQ755" s="1106"/>
      <c r="AR755" s="1106"/>
      <c r="AS755" s="1106"/>
      <c r="AT755" s="1106"/>
      <c r="AU755" s="1106"/>
      <c r="AV755" s="1106"/>
      <c r="AW755" s="1106"/>
      <c r="AX755" s="1106"/>
    </row>
    <row r="756">
      <c r="T756" s="1102"/>
      <c r="U756" s="1104"/>
      <c r="V756" s="1104"/>
      <c r="W756" s="1104"/>
      <c r="X756" s="1104"/>
      <c r="Y756" s="1104"/>
      <c r="Z756" s="1104"/>
      <c r="AA756" s="1104"/>
      <c r="AB756" s="1104"/>
      <c r="AC756" s="1104"/>
      <c r="AD756" s="1104"/>
      <c r="AE756" s="1104"/>
      <c r="AF756" s="1104"/>
      <c r="AG756" s="1106"/>
      <c r="AH756" s="1106"/>
      <c r="AI756" s="1106"/>
      <c r="AJ756" s="1106"/>
      <c r="AK756" s="1106"/>
      <c r="AL756" s="1106"/>
      <c r="AM756" s="1106"/>
      <c r="AN756" s="1106"/>
      <c r="AO756" s="1106"/>
      <c r="AP756" s="1106"/>
      <c r="AQ756" s="1106"/>
      <c r="AR756" s="1106"/>
      <c r="AS756" s="1106"/>
      <c r="AT756" s="1106"/>
      <c r="AU756" s="1106"/>
      <c r="AV756" s="1106"/>
      <c r="AW756" s="1106"/>
      <c r="AX756" s="1106"/>
    </row>
    <row r="757">
      <c r="T757" s="1102"/>
      <c r="U757" s="1104"/>
      <c r="V757" s="1104"/>
      <c r="W757" s="1104"/>
      <c r="X757" s="1104"/>
      <c r="Y757" s="1104"/>
      <c r="Z757" s="1104"/>
      <c r="AA757" s="1104"/>
      <c r="AB757" s="1104"/>
      <c r="AC757" s="1104"/>
      <c r="AD757" s="1104"/>
      <c r="AE757" s="1104"/>
      <c r="AF757" s="1104"/>
      <c r="AG757" s="1106"/>
      <c r="AH757" s="1106"/>
      <c r="AI757" s="1106"/>
      <c r="AJ757" s="1106"/>
      <c r="AK757" s="1106"/>
      <c r="AL757" s="1106"/>
      <c r="AM757" s="1106"/>
      <c r="AN757" s="1106"/>
      <c r="AO757" s="1106"/>
      <c r="AP757" s="1106"/>
      <c r="AQ757" s="1106"/>
      <c r="AR757" s="1106"/>
      <c r="AS757" s="1106"/>
      <c r="AT757" s="1106"/>
      <c r="AU757" s="1106"/>
      <c r="AV757" s="1106"/>
      <c r="AW757" s="1106"/>
      <c r="AX757" s="1106"/>
    </row>
    <row r="758">
      <c r="T758" s="1102"/>
      <c r="U758" s="1104"/>
      <c r="V758" s="1104"/>
      <c r="W758" s="1104"/>
      <c r="X758" s="1104"/>
      <c r="Y758" s="1104"/>
      <c r="Z758" s="1104"/>
      <c r="AA758" s="1104"/>
      <c r="AB758" s="1104"/>
      <c r="AC758" s="1104"/>
      <c r="AD758" s="1104"/>
      <c r="AE758" s="1104"/>
      <c r="AF758" s="1104"/>
      <c r="AG758" s="1106"/>
      <c r="AH758" s="1106"/>
      <c r="AI758" s="1106"/>
      <c r="AJ758" s="1106"/>
      <c r="AK758" s="1106"/>
      <c r="AL758" s="1106"/>
      <c r="AM758" s="1106"/>
      <c r="AN758" s="1106"/>
      <c r="AO758" s="1106"/>
      <c r="AP758" s="1106"/>
      <c r="AQ758" s="1106"/>
      <c r="AR758" s="1106"/>
      <c r="AS758" s="1106"/>
      <c r="AT758" s="1106"/>
      <c r="AU758" s="1106"/>
      <c r="AV758" s="1106"/>
      <c r="AW758" s="1106"/>
      <c r="AX758" s="1106"/>
    </row>
    <row r="759">
      <c r="T759" s="1102"/>
      <c r="U759" s="1104"/>
      <c r="V759" s="1104"/>
      <c r="W759" s="1104"/>
      <c r="X759" s="1104"/>
      <c r="Y759" s="1104"/>
      <c r="Z759" s="1104"/>
      <c r="AA759" s="1104"/>
      <c r="AB759" s="1104"/>
      <c r="AC759" s="1104"/>
      <c r="AD759" s="1104"/>
      <c r="AE759" s="1104"/>
      <c r="AF759" s="1104"/>
      <c r="AG759" s="1106"/>
      <c r="AH759" s="1106"/>
      <c r="AI759" s="1106"/>
      <c r="AJ759" s="1106"/>
      <c r="AK759" s="1106"/>
      <c r="AL759" s="1106"/>
      <c r="AM759" s="1106"/>
      <c r="AN759" s="1106"/>
      <c r="AO759" s="1106"/>
      <c r="AP759" s="1106"/>
      <c r="AQ759" s="1106"/>
      <c r="AR759" s="1106"/>
      <c r="AS759" s="1106"/>
      <c r="AT759" s="1106"/>
      <c r="AU759" s="1106"/>
      <c r="AV759" s="1106"/>
      <c r="AW759" s="1106"/>
      <c r="AX759" s="1106"/>
    </row>
    <row r="760">
      <c r="T760" s="1102"/>
      <c r="U760" s="1104"/>
      <c r="V760" s="1104"/>
      <c r="W760" s="1104"/>
      <c r="X760" s="1104"/>
      <c r="Y760" s="1104"/>
      <c r="Z760" s="1104"/>
      <c r="AA760" s="1104"/>
      <c r="AB760" s="1104"/>
      <c r="AC760" s="1104"/>
      <c r="AD760" s="1104"/>
      <c r="AE760" s="1104"/>
      <c r="AF760" s="1104"/>
      <c r="AG760" s="1106"/>
      <c r="AH760" s="1106"/>
      <c r="AI760" s="1106"/>
      <c r="AJ760" s="1106"/>
      <c r="AK760" s="1106"/>
      <c r="AL760" s="1106"/>
      <c r="AM760" s="1106"/>
      <c r="AN760" s="1106"/>
      <c r="AO760" s="1106"/>
      <c r="AP760" s="1106"/>
      <c r="AQ760" s="1106"/>
      <c r="AR760" s="1106"/>
      <c r="AS760" s="1106"/>
      <c r="AT760" s="1106"/>
      <c r="AU760" s="1106"/>
      <c r="AV760" s="1106"/>
      <c r="AW760" s="1106"/>
      <c r="AX760" s="1106"/>
    </row>
    <row r="761">
      <c r="T761" s="1102"/>
      <c r="U761" s="1104"/>
      <c r="V761" s="1104"/>
      <c r="W761" s="1104"/>
      <c r="X761" s="1104"/>
      <c r="Y761" s="1104"/>
      <c r="Z761" s="1104"/>
      <c r="AA761" s="1104"/>
      <c r="AB761" s="1104"/>
      <c r="AC761" s="1104"/>
      <c r="AD761" s="1104"/>
      <c r="AE761" s="1104"/>
      <c r="AF761" s="1104"/>
      <c r="AG761" s="1106"/>
      <c r="AH761" s="1106"/>
      <c r="AI761" s="1106"/>
      <c r="AJ761" s="1106"/>
      <c r="AK761" s="1106"/>
      <c r="AL761" s="1106"/>
      <c r="AM761" s="1106"/>
      <c r="AN761" s="1106"/>
      <c r="AO761" s="1106"/>
      <c r="AP761" s="1106"/>
      <c r="AQ761" s="1106"/>
      <c r="AR761" s="1106"/>
      <c r="AS761" s="1106"/>
      <c r="AT761" s="1106"/>
      <c r="AU761" s="1106"/>
      <c r="AV761" s="1106"/>
      <c r="AW761" s="1106"/>
      <c r="AX761" s="1106"/>
    </row>
    <row r="762">
      <c r="T762" s="1102"/>
      <c r="U762" s="1104"/>
      <c r="V762" s="1104"/>
      <c r="W762" s="1104"/>
      <c r="X762" s="1104"/>
      <c r="Y762" s="1104"/>
      <c r="Z762" s="1104"/>
      <c r="AA762" s="1104"/>
      <c r="AB762" s="1104"/>
      <c r="AC762" s="1104"/>
      <c r="AD762" s="1104"/>
      <c r="AE762" s="1104"/>
      <c r="AF762" s="1104"/>
      <c r="AG762" s="1106"/>
      <c r="AH762" s="1106"/>
      <c r="AI762" s="1106"/>
      <c r="AJ762" s="1106"/>
      <c r="AK762" s="1106"/>
      <c r="AL762" s="1106"/>
      <c r="AM762" s="1106"/>
      <c r="AN762" s="1106"/>
      <c r="AO762" s="1106"/>
      <c r="AP762" s="1106"/>
      <c r="AQ762" s="1106"/>
      <c r="AR762" s="1106"/>
      <c r="AS762" s="1106"/>
      <c r="AT762" s="1106"/>
      <c r="AU762" s="1106"/>
      <c r="AV762" s="1106"/>
      <c r="AW762" s="1106"/>
      <c r="AX762" s="1106"/>
    </row>
    <row r="763">
      <c r="T763" s="1102"/>
      <c r="U763" s="1104"/>
      <c r="V763" s="1104"/>
      <c r="W763" s="1104"/>
      <c r="X763" s="1104"/>
      <c r="Y763" s="1104"/>
      <c r="Z763" s="1104"/>
      <c r="AA763" s="1104"/>
      <c r="AB763" s="1104"/>
      <c r="AC763" s="1104"/>
      <c r="AD763" s="1104"/>
      <c r="AE763" s="1104"/>
      <c r="AF763" s="1104"/>
      <c r="AG763" s="1106"/>
      <c r="AH763" s="1106"/>
      <c r="AI763" s="1106"/>
      <c r="AJ763" s="1106"/>
      <c r="AK763" s="1106"/>
      <c r="AL763" s="1106"/>
      <c r="AM763" s="1106"/>
      <c r="AN763" s="1106"/>
      <c r="AO763" s="1106"/>
      <c r="AP763" s="1106"/>
      <c r="AQ763" s="1106"/>
      <c r="AR763" s="1106"/>
      <c r="AS763" s="1106"/>
      <c r="AT763" s="1106"/>
      <c r="AU763" s="1106"/>
      <c r="AV763" s="1106"/>
      <c r="AW763" s="1106"/>
      <c r="AX763" s="1106"/>
    </row>
    <row r="764">
      <c r="T764" s="1102"/>
      <c r="U764" s="1104"/>
      <c r="V764" s="1104"/>
      <c r="W764" s="1104"/>
      <c r="X764" s="1104"/>
      <c r="Y764" s="1104"/>
      <c r="Z764" s="1104"/>
      <c r="AA764" s="1104"/>
      <c r="AB764" s="1104"/>
      <c r="AC764" s="1104"/>
      <c r="AD764" s="1104"/>
      <c r="AE764" s="1104"/>
      <c r="AF764" s="1104"/>
      <c r="AG764" s="1106"/>
      <c r="AH764" s="1106"/>
      <c r="AI764" s="1106"/>
      <c r="AJ764" s="1106"/>
      <c r="AK764" s="1106"/>
      <c r="AL764" s="1106"/>
      <c r="AM764" s="1106"/>
      <c r="AN764" s="1106"/>
      <c r="AO764" s="1106"/>
      <c r="AP764" s="1106"/>
      <c r="AQ764" s="1106"/>
      <c r="AR764" s="1106"/>
      <c r="AS764" s="1106"/>
      <c r="AT764" s="1106"/>
      <c r="AU764" s="1106"/>
      <c r="AV764" s="1106"/>
      <c r="AW764" s="1106"/>
      <c r="AX764" s="1106"/>
    </row>
    <row r="765">
      <c r="T765" s="1102"/>
      <c r="U765" s="1104"/>
      <c r="V765" s="1104"/>
      <c r="W765" s="1104"/>
      <c r="X765" s="1104"/>
      <c r="Y765" s="1104"/>
      <c r="Z765" s="1104"/>
      <c r="AA765" s="1104"/>
      <c r="AB765" s="1104"/>
      <c r="AC765" s="1104"/>
      <c r="AD765" s="1104"/>
      <c r="AE765" s="1104"/>
      <c r="AF765" s="1104"/>
      <c r="AG765" s="1106"/>
      <c r="AH765" s="1106"/>
      <c r="AI765" s="1106"/>
      <c r="AJ765" s="1106"/>
      <c r="AK765" s="1106"/>
      <c r="AL765" s="1106"/>
      <c r="AM765" s="1106"/>
      <c r="AN765" s="1106"/>
      <c r="AO765" s="1106"/>
      <c r="AP765" s="1106"/>
      <c r="AQ765" s="1106"/>
      <c r="AR765" s="1106"/>
      <c r="AS765" s="1106"/>
      <c r="AT765" s="1106"/>
      <c r="AU765" s="1106"/>
      <c r="AV765" s="1106"/>
      <c r="AW765" s="1106"/>
      <c r="AX765" s="1106"/>
    </row>
    <row r="766">
      <c r="T766" s="1102"/>
      <c r="U766" s="1104"/>
      <c r="V766" s="1104"/>
      <c r="W766" s="1104"/>
      <c r="X766" s="1104"/>
      <c r="Y766" s="1104"/>
      <c r="Z766" s="1104"/>
      <c r="AA766" s="1104"/>
      <c r="AB766" s="1104"/>
      <c r="AC766" s="1104"/>
      <c r="AD766" s="1104"/>
      <c r="AE766" s="1104"/>
      <c r="AF766" s="1104"/>
      <c r="AG766" s="1106"/>
      <c r="AH766" s="1106"/>
      <c r="AI766" s="1106"/>
      <c r="AJ766" s="1106"/>
      <c r="AK766" s="1106"/>
      <c r="AL766" s="1106"/>
      <c r="AM766" s="1106"/>
      <c r="AN766" s="1106"/>
      <c r="AO766" s="1106"/>
      <c r="AP766" s="1106"/>
      <c r="AQ766" s="1106"/>
      <c r="AR766" s="1106"/>
      <c r="AS766" s="1106"/>
      <c r="AT766" s="1106"/>
      <c r="AU766" s="1106"/>
      <c r="AV766" s="1106"/>
      <c r="AW766" s="1106"/>
      <c r="AX766" s="1106"/>
    </row>
    <row r="767">
      <c r="T767" s="1102"/>
      <c r="U767" s="1104"/>
      <c r="V767" s="1104"/>
      <c r="W767" s="1104"/>
      <c r="X767" s="1104"/>
      <c r="Y767" s="1104"/>
      <c r="Z767" s="1104"/>
      <c r="AA767" s="1104"/>
      <c r="AB767" s="1104"/>
      <c r="AC767" s="1104"/>
      <c r="AD767" s="1104"/>
      <c r="AE767" s="1104"/>
      <c r="AF767" s="1104"/>
      <c r="AG767" s="1106"/>
      <c r="AH767" s="1106"/>
      <c r="AI767" s="1106"/>
      <c r="AJ767" s="1106"/>
      <c r="AK767" s="1106"/>
      <c r="AL767" s="1106"/>
      <c r="AM767" s="1106"/>
      <c r="AN767" s="1106"/>
      <c r="AO767" s="1106"/>
      <c r="AP767" s="1106"/>
      <c r="AQ767" s="1106"/>
      <c r="AR767" s="1106"/>
      <c r="AS767" s="1106"/>
      <c r="AT767" s="1106"/>
      <c r="AU767" s="1106"/>
      <c r="AV767" s="1106"/>
      <c r="AW767" s="1106"/>
      <c r="AX767" s="1106"/>
    </row>
    <row r="768">
      <c r="T768" s="1102"/>
      <c r="U768" s="1104"/>
      <c r="V768" s="1104"/>
      <c r="W768" s="1104"/>
      <c r="X768" s="1104"/>
      <c r="Y768" s="1104"/>
      <c r="Z768" s="1104"/>
      <c r="AA768" s="1104"/>
      <c r="AB768" s="1104"/>
      <c r="AC768" s="1104"/>
      <c r="AD768" s="1104"/>
      <c r="AE768" s="1104"/>
      <c r="AF768" s="1104"/>
      <c r="AG768" s="1106"/>
      <c r="AH768" s="1106"/>
      <c r="AI768" s="1106"/>
      <c r="AJ768" s="1106"/>
      <c r="AK768" s="1106"/>
      <c r="AL768" s="1106"/>
      <c r="AM768" s="1106"/>
      <c r="AN768" s="1106"/>
      <c r="AO768" s="1106"/>
      <c r="AP768" s="1106"/>
      <c r="AQ768" s="1106"/>
      <c r="AR768" s="1106"/>
      <c r="AS768" s="1106"/>
      <c r="AT768" s="1106"/>
      <c r="AU768" s="1106"/>
      <c r="AV768" s="1106"/>
      <c r="AW768" s="1106"/>
      <c r="AX768" s="1106"/>
    </row>
    <row r="769">
      <c r="T769" s="1102"/>
      <c r="U769" s="1104"/>
      <c r="V769" s="1104"/>
      <c r="W769" s="1104"/>
      <c r="X769" s="1104"/>
      <c r="Y769" s="1104"/>
      <c r="Z769" s="1104"/>
      <c r="AA769" s="1104"/>
      <c r="AB769" s="1104"/>
      <c r="AC769" s="1104"/>
      <c r="AD769" s="1104"/>
      <c r="AE769" s="1104"/>
      <c r="AF769" s="1104"/>
      <c r="AG769" s="1106"/>
      <c r="AH769" s="1106"/>
      <c r="AI769" s="1106"/>
      <c r="AJ769" s="1106"/>
      <c r="AK769" s="1106"/>
      <c r="AL769" s="1106"/>
      <c r="AM769" s="1106"/>
      <c r="AN769" s="1106"/>
      <c r="AO769" s="1106"/>
      <c r="AP769" s="1106"/>
      <c r="AQ769" s="1106"/>
      <c r="AR769" s="1106"/>
      <c r="AS769" s="1106"/>
      <c r="AT769" s="1106"/>
      <c r="AU769" s="1106"/>
      <c r="AV769" s="1106"/>
      <c r="AW769" s="1106"/>
      <c r="AX769" s="1106"/>
    </row>
    <row r="770">
      <c r="T770" s="1102"/>
      <c r="U770" s="1104"/>
      <c r="V770" s="1104"/>
      <c r="W770" s="1104"/>
      <c r="X770" s="1104"/>
      <c r="Y770" s="1104"/>
      <c r="Z770" s="1104"/>
      <c r="AA770" s="1104"/>
      <c r="AB770" s="1104"/>
      <c r="AC770" s="1104"/>
      <c r="AD770" s="1104"/>
      <c r="AE770" s="1104"/>
      <c r="AF770" s="1104"/>
      <c r="AG770" s="1106"/>
      <c r="AH770" s="1106"/>
      <c r="AI770" s="1106"/>
      <c r="AJ770" s="1106"/>
      <c r="AK770" s="1106"/>
      <c r="AL770" s="1106"/>
      <c r="AM770" s="1106"/>
      <c r="AN770" s="1106"/>
      <c r="AO770" s="1106"/>
      <c r="AP770" s="1106"/>
      <c r="AQ770" s="1106"/>
      <c r="AR770" s="1106"/>
      <c r="AS770" s="1106"/>
      <c r="AT770" s="1106"/>
      <c r="AU770" s="1106"/>
      <c r="AV770" s="1106"/>
      <c r="AW770" s="1106"/>
      <c r="AX770" s="1106"/>
    </row>
    <row r="771">
      <c r="T771" s="1102"/>
      <c r="U771" s="1104"/>
      <c r="V771" s="1104"/>
      <c r="W771" s="1104"/>
      <c r="X771" s="1104"/>
      <c r="Y771" s="1104"/>
      <c r="Z771" s="1104"/>
      <c r="AA771" s="1104"/>
      <c r="AB771" s="1104"/>
      <c r="AC771" s="1104"/>
      <c r="AD771" s="1104"/>
      <c r="AE771" s="1104"/>
      <c r="AF771" s="1104"/>
      <c r="AG771" s="1106"/>
      <c r="AH771" s="1106"/>
      <c r="AI771" s="1106"/>
      <c r="AJ771" s="1106"/>
      <c r="AK771" s="1106"/>
      <c r="AL771" s="1106"/>
      <c r="AM771" s="1106"/>
      <c r="AN771" s="1106"/>
      <c r="AO771" s="1106"/>
      <c r="AP771" s="1106"/>
      <c r="AQ771" s="1106"/>
      <c r="AR771" s="1106"/>
      <c r="AS771" s="1106"/>
      <c r="AT771" s="1106"/>
      <c r="AU771" s="1106"/>
      <c r="AV771" s="1106"/>
      <c r="AW771" s="1106"/>
      <c r="AX771" s="1106"/>
    </row>
    <row r="772">
      <c r="T772" s="1102"/>
      <c r="U772" s="1104"/>
      <c r="V772" s="1104"/>
      <c r="W772" s="1104"/>
      <c r="X772" s="1104"/>
      <c r="Y772" s="1104"/>
      <c r="Z772" s="1104"/>
      <c r="AA772" s="1104"/>
      <c r="AB772" s="1104"/>
      <c r="AC772" s="1104"/>
      <c r="AD772" s="1104"/>
      <c r="AE772" s="1104"/>
      <c r="AF772" s="1104"/>
      <c r="AG772" s="1106"/>
      <c r="AH772" s="1106"/>
      <c r="AI772" s="1106"/>
      <c r="AJ772" s="1106"/>
      <c r="AK772" s="1106"/>
      <c r="AL772" s="1106"/>
      <c r="AM772" s="1106"/>
      <c r="AN772" s="1106"/>
      <c r="AO772" s="1106"/>
      <c r="AP772" s="1106"/>
      <c r="AQ772" s="1106"/>
      <c r="AR772" s="1106"/>
      <c r="AS772" s="1106"/>
      <c r="AT772" s="1106"/>
      <c r="AU772" s="1106"/>
      <c r="AV772" s="1106"/>
      <c r="AW772" s="1106"/>
      <c r="AX772" s="1106"/>
    </row>
    <row r="773">
      <c r="T773" s="1102"/>
      <c r="U773" s="1104"/>
      <c r="V773" s="1104"/>
      <c r="W773" s="1104"/>
      <c r="X773" s="1104"/>
      <c r="Y773" s="1104"/>
      <c r="Z773" s="1104"/>
      <c r="AA773" s="1104"/>
      <c r="AB773" s="1104"/>
      <c r="AC773" s="1104"/>
      <c r="AD773" s="1104"/>
      <c r="AE773" s="1104"/>
      <c r="AF773" s="1104"/>
      <c r="AG773" s="1106"/>
      <c r="AH773" s="1106"/>
      <c r="AI773" s="1106"/>
      <c r="AJ773" s="1106"/>
      <c r="AK773" s="1106"/>
      <c r="AL773" s="1106"/>
      <c r="AM773" s="1106"/>
      <c r="AN773" s="1106"/>
      <c r="AO773" s="1106"/>
      <c r="AP773" s="1106"/>
      <c r="AQ773" s="1106"/>
      <c r="AR773" s="1106"/>
      <c r="AS773" s="1106"/>
      <c r="AT773" s="1106"/>
      <c r="AU773" s="1106"/>
      <c r="AV773" s="1106"/>
      <c r="AW773" s="1106"/>
      <c r="AX773" s="1106"/>
    </row>
    <row r="774">
      <c r="T774" s="1102"/>
      <c r="U774" s="1104"/>
      <c r="V774" s="1104"/>
      <c r="W774" s="1104"/>
      <c r="X774" s="1104"/>
      <c r="Y774" s="1104"/>
      <c r="Z774" s="1104"/>
      <c r="AA774" s="1104"/>
      <c r="AB774" s="1104"/>
      <c r="AC774" s="1104"/>
      <c r="AD774" s="1104"/>
      <c r="AE774" s="1104"/>
      <c r="AF774" s="1104"/>
      <c r="AG774" s="1106"/>
      <c r="AH774" s="1106"/>
      <c r="AI774" s="1106"/>
      <c r="AJ774" s="1106"/>
      <c r="AK774" s="1106"/>
      <c r="AL774" s="1106"/>
      <c r="AM774" s="1106"/>
      <c r="AN774" s="1106"/>
      <c r="AO774" s="1106"/>
      <c r="AP774" s="1106"/>
      <c r="AQ774" s="1106"/>
      <c r="AR774" s="1106"/>
      <c r="AS774" s="1106"/>
      <c r="AT774" s="1106"/>
      <c r="AU774" s="1106"/>
      <c r="AV774" s="1106"/>
      <c r="AW774" s="1106"/>
      <c r="AX774" s="1106"/>
    </row>
    <row r="775">
      <c r="T775" s="1102"/>
      <c r="U775" s="1104"/>
      <c r="V775" s="1104"/>
      <c r="W775" s="1104"/>
      <c r="X775" s="1104"/>
      <c r="Y775" s="1104"/>
      <c r="Z775" s="1104"/>
      <c r="AA775" s="1104"/>
      <c r="AB775" s="1104"/>
      <c r="AC775" s="1104"/>
      <c r="AD775" s="1104"/>
      <c r="AE775" s="1104"/>
      <c r="AF775" s="1104"/>
      <c r="AG775" s="1106"/>
      <c r="AH775" s="1106"/>
      <c r="AI775" s="1106"/>
      <c r="AJ775" s="1106"/>
      <c r="AK775" s="1106"/>
      <c r="AL775" s="1106"/>
      <c r="AM775" s="1106"/>
      <c r="AN775" s="1106"/>
      <c r="AO775" s="1106"/>
      <c r="AP775" s="1106"/>
      <c r="AQ775" s="1106"/>
      <c r="AR775" s="1106"/>
      <c r="AS775" s="1106"/>
      <c r="AT775" s="1106"/>
      <c r="AU775" s="1106"/>
      <c r="AV775" s="1106"/>
      <c r="AW775" s="1106"/>
      <c r="AX775" s="1106"/>
    </row>
    <row r="776">
      <c r="T776" s="1102"/>
      <c r="U776" s="1104"/>
      <c r="V776" s="1104"/>
      <c r="W776" s="1104"/>
      <c r="X776" s="1104"/>
      <c r="Y776" s="1104"/>
      <c r="Z776" s="1104"/>
      <c r="AA776" s="1104"/>
      <c r="AB776" s="1104"/>
      <c r="AC776" s="1104"/>
      <c r="AD776" s="1104"/>
      <c r="AE776" s="1104"/>
      <c r="AF776" s="1104"/>
      <c r="AG776" s="1106"/>
      <c r="AH776" s="1106"/>
      <c r="AI776" s="1106"/>
      <c r="AJ776" s="1106"/>
      <c r="AK776" s="1106"/>
      <c r="AL776" s="1106"/>
      <c r="AM776" s="1106"/>
      <c r="AN776" s="1106"/>
      <c r="AO776" s="1106"/>
      <c r="AP776" s="1106"/>
      <c r="AQ776" s="1106"/>
      <c r="AR776" s="1106"/>
      <c r="AS776" s="1106"/>
      <c r="AT776" s="1106"/>
      <c r="AU776" s="1106"/>
      <c r="AV776" s="1106"/>
      <c r="AW776" s="1106"/>
      <c r="AX776" s="1106"/>
    </row>
    <row r="777">
      <c r="T777" s="1102"/>
      <c r="U777" s="1104"/>
      <c r="V777" s="1104"/>
      <c r="W777" s="1104"/>
      <c r="X777" s="1104"/>
      <c r="Y777" s="1104"/>
      <c r="Z777" s="1104"/>
      <c r="AA777" s="1104"/>
      <c r="AB777" s="1104"/>
      <c r="AC777" s="1104"/>
      <c r="AD777" s="1104"/>
      <c r="AE777" s="1104"/>
      <c r="AF777" s="1104"/>
      <c r="AG777" s="1106"/>
      <c r="AH777" s="1106"/>
      <c r="AI777" s="1106"/>
      <c r="AJ777" s="1106"/>
      <c r="AK777" s="1106"/>
      <c r="AL777" s="1106"/>
      <c r="AM777" s="1106"/>
      <c r="AN777" s="1106"/>
      <c r="AO777" s="1106"/>
      <c r="AP777" s="1106"/>
      <c r="AQ777" s="1106"/>
      <c r="AR777" s="1106"/>
      <c r="AS777" s="1106"/>
      <c r="AT777" s="1106"/>
      <c r="AU777" s="1106"/>
      <c r="AV777" s="1106"/>
      <c r="AW777" s="1106"/>
      <c r="AX777" s="1106"/>
    </row>
    <row r="778">
      <c r="T778" s="1102"/>
      <c r="U778" s="1104"/>
      <c r="V778" s="1104"/>
      <c r="W778" s="1104"/>
      <c r="X778" s="1104"/>
      <c r="Y778" s="1104"/>
      <c r="Z778" s="1104"/>
      <c r="AA778" s="1104"/>
      <c r="AB778" s="1104"/>
      <c r="AC778" s="1104"/>
      <c r="AD778" s="1104"/>
      <c r="AE778" s="1104"/>
      <c r="AF778" s="1104"/>
      <c r="AG778" s="1106"/>
      <c r="AH778" s="1106"/>
      <c r="AI778" s="1106"/>
      <c r="AJ778" s="1106"/>
      <c r="AK778" s="1106"/>
      <c r="AL778" s="1106"/>
      <c r="AM778" s="1106"/>
      <c r="AN778" s="1106"/>
      <c r="AO778" s="1106"/>
      <c r="AP778" s="1106"/>
      <c r="AQ778" s="1106"/>
      <c r="AR778" s="1106"/>
      <c r="AS778" s="1106"/>
      <c r="AT778" s="1106"/>
      <c r="AU778" s="1106"/>
      <c r="AV778" s="1106"/>
      <c r="AW778" s="1106"/>
      <c r="AX778" s="1106"/>
    </row>
    <row r="779">
      <c r="T779" s="1102"/>
      <c r="U779" s="1104"/>
      <c r="V779" s="1104"/>
      <c r="W779" s="1104"/>
      <c r="X779" s="1104"/>
      <c r="Y779" s="1104"/>
      <c r="Z779" s="1104"/>
      <c r="AA779" s="1104"/>
      <c r="AB779" s="1104"/>
      <c r="AC779" s="1104"/>
      <c r="AD779" s="1104"/>
      <c r="AE779" s="1104"/>
      <c r="AF779" s="1104"/>
      <c r="AG779" s="1106"/>
      <c r="AH779" s="1106"/>
      <c r="AI779" s="1106"/>
      <c r="AJ779" s="1106"/>
      <c r="AK779" s="1106"/>
      <c r="AL779" s="1106"/>
      <c r="AM779" s="1106"/>
      <c r="AN779" s="1106"/>
      <c r="AO779" s="1106"/>
      <c r="AP779" s="1106"/>
      <c r="AQ779" s="1106"/>
      <c r="AR779" s="1106"/>
      <c r="AS779" s="1106"/>
      <c r="AT779" s="1106"/>
      <c r="AU779" s="1106"/>
      <c r="AV779" s="1106"/>
      <c r="AW779" s="1106"/>
      <c r="AX779" s="1106"/>
    </row>
    <row r="780">
      <c r="T780" s="1102"/>
      <c r="U780" s="1104"/>
      <c r="V780" s="1104"/>
      <c r="W780" s="1104"/>
      <c r="X780" s="1104"/>
      <c r="Y780" s="1104"/>
      <c r="Z780" s="1104"/>
      <c r="AA780" s="1104"/>
      <c r="AB780" s="1104"/>
      <c r="AC780" s="1104"/>
      <c r="AD780" s="1104"/>
      <c r="AE780" s="1104"/>
      <c r="AF780" s="1104"/>
      <c r="AG780" s="1106"/>
      <c r="AH780" s="1106"/>
      <c r="AI780" s="1106"/>
      <c r="AJ780" s="1106"/>
      <c r="AK780" s="1106"/>
      <c r="AL780" s="1106"/>
      <c r="AM780" s="1106"/>
      <c r="AN780" s="1106"/>
      <c r="AO780" s="1106"/>
      <c r="AP780" s="1106"/>
      <c r="AQ780" s="1106"/>
      <c r="AR780" s="1106"/>
      <c r="AS780" s="1106"/>
      <c r="AT780" s="1106"/>
      <c r="AU780" s="1106"/>
      <c r="AV780" s="1106"/>
      <c r="AW780" s="1106"/>
      <c r="AX780" s="1106"/>
    </row>
    <row r="781">
      <c r="T781" s="1102"/>
      <c r="U781" s="1104"/>
      <c r="V781" s="1104"/>
      <c r="W781" s="1104"/>
      <c r="X781" s="1104"/>
      <c r="Y781" s="1104"/>
      <c r="Z781" s="1104"/>
      <c r="AA781" s="1104"/>
      <c r="AB781" s="1104"/>
      <c r="AC781" s="1104"/>
      <c r="AD781" s="1104"/>
      <c r="AE781" s="1104"/>
      <c r="AF781" s="1104"/>
      <c r="AG781" s="1106"/>
      <c r="AH781" s="1106"/>
      <c r="AI781" s="1106"/>
      <c r="AJ781" s="1106"/>
      <c r="AK781" s="1106"/>
      <c r="AL781" s="1106"/>
      <c r="AM781" s="1106"/>
      <c r="AN781" s="1106"/>
      <c r="AO781" s="1106"/>
      <c r="AP781" s="1106"/>
      <c r="AQ781" s="1106"/>
      <c r="AR781" s="1106"/>
      <c r="AS781" s="1106"/>
      <c r="AT781" s="1106"/>
      <c r="AU781" s="1106"/>
      <c r="AV781" s="1106"/>
      <c r="AW781" s="1106"/>
      <c r="AX781" s="1106"/>
    </row>
    <row r="782">
      <c r="T782" s="1102"/>
      <c r="U782" s="1104"/>
      <c r="V782" s="1104"/>
      <c r="W782" s="1104"/>
      <c r="X782" s="1104"/>
      <c r="Y782" s="1104"/>
      <c r="Z782" s="1104"/>
      <c r="AA782" s="1104"/>
      <c r="AB782" s="1104"/>
      <c r="AC782" s="1104"/>
      <c r="AD782" s="1104"/>
      <c r="AE782" s="1104"/>
      <c r="AF782" s="1104"/>
      <c r="AG782" s="1106"/>
      <c r="AH782" s="1106"/>
      <c r="AI782" s="1106"/>
      <c r="AJ782" s="1106"/>
      <c r="AK782" s="1106"/>
      <c r="AL782" s="1106"/>
      <c r="AM782" s="1106"/>
      <c r="AN782" s="1106"/>
      <c r="AO782" s="1106"/>
      <c r="AP782" s="1106"/>
      <c r="AQ782" s="1106"/>
      <c r="AR782" s="1106"/>
      <c r="AS782" s="1106"/>
      <c r="AT782" s="1106"/>
      <c r="AU782" s="1106"/>
      <c r="AV782" s="1106"/>
      <c r="AW782" s="1106"/>
      <c r="AX782" s="1106"/>
    </row>
    <row r="783">
      <c r="T783" s="1102"/>
      <c r="U783" s="1104"/>
      <c r="V783" s="1104"/>
      <c r="W783" s="1104"/>
      <c r="X783" s="1104"/>
      <c r="Y783" s="1104"/>
      <c r="Z783" s="1104"/>
      <c r="AA783" s="1104"/>
      <c r="AB783" s="1104"/>
      <c r="AC783" s="1104"/>
      <c r="AD783" s="1104"/>
      <c r="AE783" s="1104"/>
      <c r="AF783" s="1104"/>
      <c r="AG783" s="1106"/>
      <c r="AH783" s="1106"/>
      <c r="AI783" s="1106"/>
      <c r="AJ783" s="1106"/>
      <c r="AK783" s="1106"/>
      <c r="AL783" s="1106"/>
      <c r="AM783" s="1106"/>
      <c r="AN783" s="1106"/>
      <c r="AO783" s="1106"/>
      <c r="AP783" s="1106"/>
      <c r="AQ783" s="1106"/>
      <c r="AR783" s="1106"/>
      <c r="AS783" s="1106"/>
      <c r="AT783" s="1106"/>
      <c r="AU783" s="1106"/>
      <c r="AV783" s="1106"/>
      <c r="AW783" s="1106"/>
      <c r="AX783" s="1106"/>
    </row>
    <row r="784">
      <c r="T784" s="1102"/>
      <c r="U784" s="1104"/>
      <c r="V784" s="1104"/>
      <c r="W784" s="1104"/>
      <c r="X784" s="1104"/>
      <c r="Y784" s="1104"/>
      <c r="Z784" s="1104"/>
      <c r="AA784" s="1104"/>
      <c r="AB784" s="1104"/>
      <c r="AC784" s="1104"/>
      <c r="AD784" s="1104"/>
      <c r="AE784" s="1104"/>
      <c r="AF784" s="1104"/>
      <c r="AG784" s="1106"/>
      <c r="AH784" s="1106"/>
      <c r="AI784" s="1106"/>
      <c r="AJ784" s="1106"/>
      <c r="AK784" s="1106"/>
      <c r="AL784" s="1106"/>
      <c r="AM784" s="1106"/>
      <c r="AN784" s="1106"/>
      <c r="AO784" s="1106"/>
      <c r="AP784" s="1106"/>
      <c r="AQ784" s="1106"/>
      <c r="AR784" s="1106"/>
      <c r="AS784" s="1106"/>
      <c r="AT784" s="1106"/>
      <c r="AU784" s="1106"/>
      <c r="AV784" s="1106"/>
      <c r="AW784" s="1106"/>
      <c r="AX784" s="1106"/>
    </row>
    <row r="785">
      <c r="T785" s="1102"/>
      <c r="U785" s="1104"/>
      <c r="V785" s="1104"/>
      <c r="W785" s="1104"/>
      <c r="X785" s="1104"/>
      <c r="Y785" s="1104"/>
      <c r="Z785" s="1104"/>
      <c r="AA785" s="1104"/>
      <c r="AB785" s="1104"/>
      <c r="AC785" s="1104"/>
      <c r="AD785" s="1104"/>
      <c r="AE785" s="1104"/>
      <c r="AF785" s="1104"/>
      <c r="AG785" s="1106"/>
      <c r="AH785" s="1106"/>
      <c r="AI785" s="1106"/>
      <c r="AJ785" s="1106"/>
      <c r="AK785" s="1106"/>
      <c r="AL785" s="1106"/>
      <c r="AM785" s="1106"/>
      <c r="AN785" s="1106"/>
      <c r="AO785" s="1106"/>
      <c r="AP785" s="1106"/>
      <c r="AQ785" s="1106"/>
      <c r="AR785" s="1106"/>
      <c r="AS785" s="1106"/>
      <c r="AT785" s="1106"/>
      <c r="AU785" s="1106"/>
      <c r="AV785" s="1106"/>
      <c r="AW785" s="1106"/>
      <c r="AX785" s="1106"/>
    </row>
    <row r="786">
      <c r="T786" s="1102"/>
      <c r="U786" s="1104"/>
      <c r="V786" s="1104"/>
      <c r="W786" s="1104"/>
      <c r="X786" s="1104"/>
      <c r="Y786" s="1104"/>
      <c r="Z786" s="1104"/>
      <c r="AA786" s="1104"/>
      <c r="AB786" s="1104"/>
      <c r="AC786" s="1104"/>
      <c r="AD786" s="1104"/>
      <c r="AE786" s="1104"/>
      <c r="AF786" s="1104"/>
      <c r="AG786" s="1106"/>
      <c r="AH786" s="1106"/>
      <c r="AI786" s="1106"/>
      <c r="AJ786" s="1106"/>
      <c r="AK786" s="1106"/>
      <c r="AL786" s="1106"/>
      <c r="AM786" s="1106"/>
      <c r="AN786" s="1106"/>
      <c r="AO786" s="1106"/>
      <c r="AP786" s="1106"/>
      <c r="AQ786" s="1106"/>
      <c r="AR786" s="1106"/>
      <c r="AS786" s="1106"/>
      <c r="AT786" s="1106"/>
      <c r="AU786" s="1106"/>
      <c r="AV786" s="1106"/>
      <c r="AW786" s="1106"/>
      <c r="AX786" s="1106"/>
    </row>
    <row r="787">
      <c r="T787" s="1102"/>
      <c r="U787" s="1104"/>
      <c r="V787" s="1104"/>
      <c r="W787" s="1104"/>
      <c r="X787" s="1104"/>
      <c r="Y787" s="1104"/>
      <c r="Z787" s="1104"/>
      <c r="AA787" s="1104"/>
      <c r="AB787" s="1104"/>
      <c r="AC787" s="1104"/>
      <c r="AD787" s="1104"/>
      <c r="AE787" s="1104"/>
      <c r="AF787" s="1104"/>
      <c r="AG787" s="1106"/>
      <c r="AH787" s="1106"/>
      <c r="AI787" s="1106"/>
      <c r="AJ787" s="1106"/>
      <c r="AK787" s="1106"/>
      <c r="AL787" s="1106"/>
      <c r="AM787" s="1106"/>
      <c r="AN787" s="1106"/>
      <c r="AO787" s="1106"/>
      <c r="AP787" s="1106"/>
      <c r="AQ787" s="1106"/>
      <c r="AR787" s="1106"/>
      <c r="AS787" s="1106"/>
      <c r="AT787" s="1106"/>
      <c r="AU787" s="1106"/>
      <c r="AV787" s="1106"/>
      <c r="AW787" s="1106"/>
      <c r="AX787" s="1106"/>
    </row>
    <row r="788">
      <c r="T788" s="1102"/>
      <c r="U788" s="1104"/>
      <c r="V788" s="1104"/>
      <c r="W788" s="1104"/>
      <c r="X788" s="1104"/>
      <c r="Y788" s="1104"/>
      <c r="Z788" s="1104"/>
      <c r="AA788" s="1104"/>
      <c r="AB788" s="1104"/>
      <c r="AC788" s="1104"/>
      <c r="AD788" s="1104"/>
      <c r="AE788" s="1104"/>
      <c r="AF788" s="1104"/>
      <c r="AG788" s="1106"/>
      <c r="AH788" s="1106"/>
      <c r="AI788" s="1106"/>
      <c r="AJ788" s="1106"/>
      <c r="AK788" s="1106"/>
      <c r="AL788" s="1106"/>
      <c r="AM788" s="1106"/>
      <c r="AN788" s="1106"/>
      <c r="AO788" s="1106"/>
      <c r="AP788" s="1106"/>
      <c r="AQ788" s="1106"/>
      <c r="AR788" s="1106"/>
      <c r="AS788" s="1106"/>
      <c r="AT788" s="1106"/>
      <c r="AU788" s="1106"/>
      <c r="AV788" s="1106"/>
      <c r="AW788" s="1106"/>
      <c r="AX788" s="1106"/>
    </row>
    <row r="789">
      <c r="T789" s="1102"/>
      <c r="U789" s="1104"/>
      <c r="V789" s="1104"/>
      <c r="W789" s="1104"/>
      <c r="X789" s="1104"/>
      <c r="Y789" s="1104"/>
      <c r="Z789" s="1104"/>
      <c r="AA789" s="1104"/>
      <c r="AB789" s="1104"/>
      <c r="AC789" s="1104"/>
      <c r="AD789" s="1104"/>
      <c r="AE789" s="1104"/>
      <c r="AF789" s="1104"/>
      <c r="AG789" s="1106"/>
      <c r="AH789" s="1106"/>
      <c r="AI789" s="1106"/>
      <c r="AJ789" s="1106"/>
      <c r="AK789" s="1106"/>
      <c r="AL789" s="1106"/>
      <c r="AM789" s="1106"/>
      <c r="AN789" s="1106"/>
      <c r="AO789" s="1106"/>
      <c r="AP789" s="1106"/>
      <c r="AQ789" s="1106"/>
      <c r="AR789" s="1106"/>
      <c r="AS789" s="1106"/>
      <c r="AT789" s="1106"/>
      <c r="AU789" s="1106"/>
      <c r="AV789" s="1106"/>
      <c r="AW789" s="1106"/>
      <c r="AX789" s="1106"/>
    </row>
    <row r="790">
      <c r="T790" s="1102"/>
      <c r="U790" s="1104"/>
      <c r="V790" s="1104"/>
      <c r="W790" s="1104"/>
      <c r="X790" s="1104"/>
      <c r="Y790" s="1104"/>
      <c r="Z790" s="1104"/>
      <c r="AA790" s="1104"/>
      <c r="AB790" s="1104"/>
      <c r="AC790" s="1104"/>
      <c r="AD790" s="1104"/>
      <c r="AE790" s="1104"/>
      <c r="AF790" s="1104"/>
      <c r="AG790" s="1106"/>
      <c r="AH790" s="1106"/>
      <c r="AI790" s="1106"/>
      <c r="AJ790" s="1106"/>
      <c r="AK790" s="1106"/>
      <c r="AL790" s="1106"/>
      <c r="AM790" s="1106"/>
      <c r="AN790" s="1106"/>
      <c r="AO790" s="1106"/>
      <c r="AP790" s="1106"/>
      <c r="AQ790" s="1106"/>
      <c r="AR790" s="1106"/>
      <c r="AS790" s="1106"/>
      <c r="AT790" s="1106"/>
      <c r="AU790" s="1106"/>
      <c r="AV790" s="1106"/>
      <c r="AW790" s="1106"/>
      <c r="AX790" s="1106"/>
    </row>
    <row r="791">
      <c r="T791" s="1102"/>
      <c r="U791" s="1104"/>
      <c r="V791" s="1104"/>
      <c r="W791" s="1104"/>
      <c r="X791" s="1104"/>
      <c r="Y791" s="1104"/>
      <c r="Z791" s="1104"/>
      <c r="AA791" s="1104"/>
      <c r="AB791" s="1104"/>
      <c r="AC791" s="1104"/>
      <c r="AD791" s="1104"/>
      <c r="AE791" s="1104"/>
      <c r="AF791" s="1104"/>
      <c r="AG791" s="1106"/>
      <c r="AH791" s="1106"/>
      <c r="AI791" s="1106"/>
      <c r="AJ791" s="1106"/>
      <c r="AK791" s="1106"/>
      <c r="AL791" s="1106"/>
      <c r="AM791" s="1106"/>
      <c r="AN791" s="1106"/>
      <c r="AO791" s="1106"/>
      <c r="AP791" s="1106"/>
      <c r="AQ791" s="1106"/>
      <c r="AR791" s="1106"/>
      <c r="AS791" s="1106"/>
      <c r="AT791" s="1106"/>
      <c r="AU791" s="1106"/>
      <c r="AV791" s="1106"/>
      <c r="AW791" s="1106"/>
      <c r="AX791" s="1106"/>
    </row>
    <row r="792">
      <c r="T792" s="1102"/>
      <c r="U792" s="1104"/>
      <c r="V792" s="1104"/>
      <c r="W792" s="1104"/>
      <c r="X792" s="1104"/>
      <c r="Y792" s="1104"/>
      <c r="Z792" s="1104"/>
      <c r="AA792" s="1104"/>
      <c r="AB792" s="1104"/>
      <c r="AC792" s="1104"/>
      <c r="AD792" s="1104"/>
      <c r="AE792" s="1104"/>
      <c r="AF792" s="1104"/>
      <c r="AG792" s="1106"/>
      <c r="AH792" s="1106"/>
      <c r="AI792" s="1106"/>
      <c r="AJ792" s="1106"/>
      <c r="AK792" s="1106"/>
      <c r="AL792" s="1106"/>
      <c r="AM792" s="1106"/>
      <c r="AN792" s="1106"/>
      <c r="AO792" s="1106"/>
      <c r="AP792" s="1106"/>
      <c r="AQ792" s="1106"/>
      <c r="AR792" s="1106"/>
      <c r="AS792" s="1106"/>
      <c r="AT792" s="1106"/>
      <c r="AU792" s="1106"/>
      <c r="AV792" s="1106"/>
      <c r="AW792" s="1106"/>
      <c r="AX792" s="1106"/>
    </row>
    <row r="793">
      <c r="T793" s="1102"/>
      <c r="U793" s="1104"/>
      <c r="V793" s="1104"/>
      <c r="W793" s="1104"/>
      <c r="X793" s="1104"/>
      <c r="Y793" s="1104"/>
      <c r="Z793" s="1104"/>
      <c r="AA793" s="1104"/>
      <c r="AB793" s="1104"/>
      <c r="AC793" s="1104"/>
      <c r="AD793" s="1104"/>
      <c r="AE793" s="1104"/>
      <c r="AF793" s="1104"/>
      <c r="AG793" s="1106"/>
      <c r="AH793" s="1106"/>
      <c r="AI793" s="1106"/>
      <c r="AJ793" s="1106"/>
      <c r="AK793" s="1106"/>
      <c r="AL793" s="1106"/>
      <c r="AM793" s="1106"/>
      <c r="AN793" s="1106"/>
      <c r="AO793" s="1106"/>
      <c r="AP793" s="1106"/>
      <c r="AQ793" s="1106"/>
      <c r="AR793" s="1106"/>
      <c r="AS793" s="1106"/>
      <c r="AT793" s="1106"/>
      <c r="AU793" s="1106"/>
      <c r="AV793" s="1106"/>
      <c r="AW793" s="1106"/>
      <c r="AX793" s="1106"/>
    </row>
    <row r="794">
      <c r="T794" s="1102"/>
      <c r="U794" s="1104"/>
      <c r="V794" s="1104"/>
      <c r="W794" s="1104"/>
      <c r="X794" s="1104"/>
      <c r="Y794" s="1104"/>
      <c r="Z794" s="1104"/>
      <c r="AA794" s="1104"/>
      <c r="AB794" s="1104"/>
      <c r="AC794" s="1104"/>
      <c r="AD794" s="1104"/>
      <c r="AE794" s="1104"/>
      <c r="AF794" s="1104"/>
      <c r="AG794" s="1106"/>
      <c r="AH794" s="1106"/>
      <c r="AI794" s="1106"/>
      <c r="AJ794" s="1106"/>
      <c r="AK794" s="1106"/>
      <c r="AL794" s="1106"/>
      <c r="AM794" s="1106"/>
      <c r="AN794" s="1106"/>
      <c r="AO794" s="1106"/>
      <c r="AP794" s="1106"/>
      <c r="AQ794" s="1106"/>
      <c r="AR794" s="1106"/>
      <c r="AS794" s="1106"/>
      <c r="AT794" s="1106"/>
      <c r="AU794" s="1106"/>
      <c r="AV794" s="1106"/>
      <c r="AW794" s="1106"/>
      <c r="AX794" s="1106"/>
    </row>
    <row r="795">
      <c r="T795" s="1102"/>
      <c r="U795" s="1104"/>
      <c r="V795" s="1104"/>
      <c r="W795" s="1104"/>
      <c r="X795" s="1104"/>
      <c r="Y795" s="1104"/>
      <c r="Z795" s="1104"/>
      <c r="AA795" s="1104"/>
      <c r="AB795" s="1104"/>
      <c r="AC795" s="1104"/>
      <c r="AD795" s="1104"/>
      <c r="AE795" s="1104"/>
      <c r="AF795" s="1104"/>
      <c r="AG795" s="1106"/>
      <c r="AH795" s="1106"/>
      <c r="AI795" s="1106"/>
      <c r="AJ795" s="1106"/>
      <c r="AK795" s="1106"/>
      <c r="AL795" s="1106"/>
      <c r="AM795" s="1106"/>
      <c r="AN795" s="1106"/>
      <c r="AO795" s="1106"/>
      <c r="AP795" s="1106"/>
      <c r="AQ795" s="1106"/>
      <c r="AR795" s="1106"/>
      <c r="AS795" s="1106"/>
      <c r="AT795" s="1106"/>
      <c r="AU795" s="1106"/>
      <c r="AV795" s="1106"/>
      <c r="AW795" s="1106"/>
      <c r="AX795" s="1106"/>
    </row>
    <row r="796">
      <c r="T796" s="1102"/>
      <c r="U796" s="1104"/>
      <c r="V796" s="1104"/>
      <c r="W796" s="1104"/>
      <c r="X796" s="1104"/>
      <c r="Y796" s="1104"/>
      <c r="Z796" s="1104"/>
      <c r="AA796" s="1104"/>
      <c r="AB796" s="1104"/>
      <c r="AC796" s="1104"/>
      <c r="AD796" s="1104"/>
      <c r="AE796" s="1104"/>
      <c r="AF796" s="1104"/>
      <c r="AG796" s="1106"/>
      <c r="AH796" s="1106"/>
      <c r="AI796" s="1106"/>
      <c r="AJ796" s="1106"/>
      <c r="AK796" s="1106"/>
      <c r="AL796" s="1106"/>
      <c r="AM796" s="1106"/>
      <c r="AN796" s="1106"/>
      <c r="AO796" s="1106"/>
      <c r="AP796" s="1106"/>
      <c r="AQ796" s="1106"/>
      <c r="AR796" s="1106"/>
      <c r="AS796" s="1106"/>
      <c r="AT796" s="1106"/>
      <c r="AU796" s="1106"/>
      <c r="AV796" s="1106"/>
      <c r="AW796" s="1106"/>
      <c r="AX796" s="1106"/>
    </row>
    <row r="797">
      <c r="T797" s="1102"/>
      <c r="U797" s="1104"/>
      <c r="V797" s="1104"/>
      <c r="W797" s="1104"/>
      <c r="X797" s="1104"/>
      <c r="Y797" s="1104"/>
      <c r="Z797" s="1104"/>
      <c r="AA797" s="1104"/>
      <c r="AB797" s="1104"/>
      <c r="AC797" s="1104"/>
      <c r="AD797" s="1104"/>
      <c r="AE797" s="1104"/>
      <c r="AF797" s="1104"/>
      <c r="AG797" s="1106"/>
      <c r="AH797" s="1106"/>
      <c r="AI797" s="1106"/>
      <c r="AJ797" s="1106"/>
      <c r="AK797" s="1106"/>
      <c r="AL797" s="1106"/>
      <c r="AM797" s="1106"/>
      <c r="AN797" s="1106"/>
      <c r="AO797" s="1106"/>
      <c r="AP797" s="1106"/>
      <c r="AQ797" s="1106"/>
      <c r="AR797" s="1106"/>
      <c r="AS797" s="1106"/>
      <c r="AT797" s="1106"/>
      <c r="AU797" s="1106"/>
      <c r="AV797" s="1106"/>
      <c r="AW797" s="1106"/>
      <c r="AX797" s="1106"/>
    </row>
    <row r="798">
      <c r="T798" s="1102"/>
      <c r="U798" s="1104"/>
      <c r="V798" s="1104"/>
      <c r="W798" s="1104"/>
      <c r="X798" s="1104"/>
      <c r="Y798" s="1104"/>
      <c r="Z798" s="1104"/>
      <c r="AA798" s="1104"/>
      <c r="AB798" s="1104"/>
      <c r="AC798" s="1104"/>
      <c r="AD798" s="1104"/>
      <c r="AE798" s="1104"/>
      <c r="AF798" s="1104"/>
      <c r="AG798" s="1106"/>
      <c r="AH798" s="1106"/>
      <c r="AI798" s="1106"/>
      <c r="AJ798" s="1106"/>
      <c r="AK798" s="1106"/>
      <c r="AL798" s="1106"/>
      <c r="AM798" s="1106"/>
      <c r="AN798" s="1106"/>
      <c r="AO798" s="1106"/>
      <c r="AP798" s="1106"/>
      <c r="AQ798" s="1106"/>
      <c r="AR798" s="1106"/>
      <c r="AS798" s="1106"/>
      <c r="AT798" s="1106"/>
      <c r="AU798" s="1106"/>
      <c r="AV798" s="1106"/>
      <c r="AW798" s="1106"/>
      <c r="AX798" s="1106"/>
    </row>
    <row r="799">
      <c r="T799" s="1102"/>
      <c r="U799" s="1104"/>
      <c r="V799" s="1104"/>
      <c r="W799" s="1104"/>
      <c r="X799" s="1104"/>
      <c r="Y799" s="1104"/>
      <c r="Z799" s="1104"/>
      <c r="AA799" s="1104"/>
      <c r="AB799" s="1104"/>
      <c r="AC799" s="1104"/>
      <c r="AD799" s="1104"/>
      <c r="AE799" s="1104"/>
      <c r="AF799" s="1104"/>
      <c r="AG799" s="1106"/>
      <c r="AH799" s="1106"/>
      <c r="AI799" s="1106"/>
      <c r="AJ799" s="1106"/>
      <c r="AK799" s="1106"/>
      <c r="AL799" s="1106"/>
      <c r="AM799" s="1106"/>
      <c r="AN799" s="1106"/>
      <c r="AO799" s="1106"/>
      <c r="AP799" s="1106"/>
      <c r="AQ799" s="1106"/>
      <c r="AR799" s="1106"/>
      <c r="AS799" s="1106"/>
      <c r="AT799" s="1106"/>
      <c r="AU799" s="1106"/>
      <c r="AV799" s="1106"/>
      <c r="AW799" s="1106"/>
      <c r="AX799" s="1106"/>
    </row>
    <row r="800">
      <c r="T800" s="1102"/>
      <c r="U800" s="1104"/>
      <c r="V800" s="1104"/>
      <c r="W800" s="1104"/>
      <c r="X800" s="1104"/>
      <c r="Y800" s="1104"/>
      <c r="Z800" s="1104"/>
      <c r="AA800" s="1104"/>
      <c r="AB800" s="1104"/>
      <c r="AC800" s="1104"/>
      <c r="AD800" s="1104"/>
      <c r="AE800" s="1104"/>
      <c r="AF800" s="1104"/>
      <c r="AG800" s="1106"/>
      <c r="AH800" s="1106"/>
      <c r="AI800" s="1106"/>
      <c r="AJ800" s="1106"/>
      <c r="AK800" s="1106"/>
      <c r="AL800" s="1106"/>
      <c r="AM800" s="1106"/>
      <c r="AN800" s="1106"/>
      <c r="AO800" s="1106"/>
      <c r="AP800" s="1106"/>
      <c r="AQ800" s="1106"/>
      <c r="AR800" s="1106"/>
      <c r="AS800" s="1106"/>
      <c r="AT800" s="1106"/>
      <c r="AU800" s="1106"/>
      <c r="AV800" s="1106"/>
      <c r="AW800" s="1106"/>
      <c r="AX800" s="1106"/>
    </row>
    <row r="801">
      <c r="T801" s="1102"/>
      <c r="U801" s="1104"/>
      <c r="V801" s="1104"/>
      <c r="W801" s="1104"/>
      <c r="X801" s="1104"/>
      <c r="Y801" s="1104"/>
      <c r="Z801" s="1104"/>
      <c r="AA801" s="1104"/>
      <c r="AB801" s="1104"/>
      <c r="AC801" s="1104"/>
      <c r="AD801" s="1104"/>
      <c r="AE801" s="1104"/>
      <c r="AF801" s="1104"/>
      <c r="AG801" s="1106"/>
      <c r="AH801" s="1106"/>
      <c r="AI801" s="1106"/>
      <c r="AJ801" s="1106"/>
      <c r="AK801" s="1106"/>
      <c r="AL801" s="1106"/>
      <c r="AM801" s="1106"/>
      <c r="AN801" s="1106"/>
      <c r="AO801" s="1106"/>
      <c r="AP801" s="1106"/>
      <c r="AQ801" s="1106"/>
      <c r="AR801" s="1106"/>
      <c r="AS801" s="1106"/>
      <c r="AT801" s="1106"/>
      <c r="AU801" s="1106"/>
      <c r="AV801" s="1106"/>
      <c r="AW801" s="1106"/>
      <c r="AX801" s="1106"/>
    </row>
    <row r="802">
      <c r="T802" s="1102"/>
      <c r="U802" s="1104"/>
      <c r="V802" s="1104"/>
      <c r="W802" s="1104"/>
      <c r="X802" s="1104"/>
      <c r="Y802" s="1104"/>
      <c r="Z802" s="1104"/>
      <c r="AA802" s="1104"/>
      <c r="AB802" s="1104"/>
      <c r="AC802" s="1104"/>
      <c r="AD802" s="1104"/>
      <c r="AE802" s="1104"/>
      <c r="AF802" s="1104"/>
      <c r="AG802" s="1106"/>
      <c r="AH802" s="1106"/>
      <c r="AI802" s="1106"/>
      <c r="AJ802" s="1106"/>
      <c r="AK802" s="1106"/>
      <c r="AL802" s="1106"/>
      <c r="AM802" s="1106"/>
      <c r="AN802" s="1106"/>
      <c r="AO802" s="1106"/>
      <c r="AP802" s="1106"/>
      <c r="AQ802" s="1106"/>
      <c r="AR802" s="1106"/>
      <c r="AS802" s="1106"/>
      <c r="AT802" s="1106"/>
      <c r="AU802" s="1106"/>
      <c r="AV802" s="1106"/>
      <c r="AW802" s="1106"/>
      <c r="AX802" s="1106"/>
    </row>
    <row r="803">
      <c r="T803" s="1102"/>
      <c r="U803" s="1104"/>
      <c r="V803" s="1104"/>
      <c r="W803" s="1104"/>
      <c r="X803" s="1104"/>
      <c r="Y803" s="1104"/>
      <c r="Z803" s="1104"/>
      <c r="AA803" s="1104"/>
      <c r="AB803" s="1104"/>
      <c r="AC803" s="1104"/>
      <c r="AD803" s="1104"/>
      <c r="AE803" s="1104"/>
      <c r="AF803" s="1104"/>
      <c r="AG803" s="1106"/>
      <c r="AH803" s="1106"/>
      <c r="AI803" s="1106"/>
      <c r="AJ803" s="1106"/>
      <c r="AK803" s="1106"/>
      <c r="AL803" s="1106"/>
      <c r="AM803" s="1106"/>
      <c r="AN803" s="1106"/>
      <c r="AO803" s="1106"/>
      <c r="AP803" s="1106"/>
      <c r="AQ803" s="1106"/>
      <c r="AR803" s="1106"/>
      <c r="AS803" s="1106"/>
      <c r="AT803" s="1106"/>
      <c r="AU803" s="1106"/>
      <c r="AV803" s="1106"/>
      <c r="AW803" s="1106"/>
      <c r="AX803" s="1106"/>
    </row>
    <row r="804">
      <c r="T804" s="1102"/>
      <c r="U804" s="1104"/>
      <c r="V804" s="1104"/>
      <c r="W804" s="1104"/>
      <c r="X804" s="1104"/>
      <c r="Y804" s="1104"/>
      <c r="Z804" s="1104"/>
      <c r="AA804" s="1104"/>
      <c r="AB804" s="1104"/>
      <c r="AC804" s="1104"/>
      <c r="AD804" s="1104"/>
      <c r="AE804" s="1104"/>
      <c r="AF804" s="1104"/>
      <c r="AG804" s="1106"/>
      <c r="AH804" s="1106"/>
      <c r="AI804" s="1106"/>
      <c r="AJ804" s="1106"/>
      <c r="AK804" s="1106"/>
      <c r="AL804" s="1106"/>
      <c r="AM804" s="1106"/>
      <c r="AN804" s="1106"/>
      <c r="AO804" s="1106"/>
      <c r="AP804" s="1106"/>
      <c r="AQ804" s="1106"/>
      <c r="AR804" s="1106"/>
      <c r="AS804" s="1106"/>
      <c r="AT804" s="1106"/>
      <c r="AU804" s="1106"/>
      <c r="AV804" s="1106"/>
      <c r="AW804" s="1106"/>
      <c r="AX804" s="1106"/>
    </row>
    <row r="805">
      <c r="T805" s="1102"/>
      <c r="U805" s="1104"/>
      <c r="V805" s="1104"/>
      <c r="W805" s="1104"/>
      <c r="X805" s="1104"/>
      <c r="Y805" s="1104"/>
      <c r="Z805" s="1104"/>
      <c r="AA805" s="1104"/>
      <c r="AB805" s="1104"/>
      <c r="AC805" s="1104"/>
      <c r="AD805" s="1104"/>
      <c r="AE805" s="1104"/>
      <c r="AF805" s="1104"/>
      <c r="AG805" s="1106"/>
      <c r="AH805" s="1106"/>
      <c r="AI805" s="1106"/>
      <c r="AJ805" s="1106"/>
      <c r="AK805" s="1106"/>
      <c r="AL805" s="1106"/>
      <c r="AM805" s="1106"/>
      <c r="AN805" s="1106"/>
      <c r="AO805" s="1106"/>
      <c r="AP805" s="1106"/>
      <c r="AQ805" s="1106"/>
      <c r="AR805" s="1106"/>
      <c r="AS805" s="1106"/>
      <c r="AT805" s="1106"/>
      <c r="AU805" s="1106"/>
      <c r="AV805" s="1106"/>
      <c r="AW805" s="1106"/>
      <c r="AX805" s="1106"/>
    </row>
    <row r="806">
      <c r="T806" s="1102"/>
      <c r="U806" s="1104"/>
      <c r="V806" s="1104"/>
      <c r="W806" s="1104"/>
      <c r="X806" s="1104"/>
      <c r="Y806" s="1104"/>
      <c r="Z806" s="1104"/>
      <c r="AA806" s="1104"/>
      <c r="AB806" s="1104"/>
      <c r="AC806" s="1104"/>
      <c r="AD806" s="1104"/>
      <c r="AE806" s="1104"/>
      <c r="AF806" s="1104"/>
      <c r="AG806" s="1106"/>
      <c r="AH806" s="1106"/>
      <c r="AI806" s="1106"/>
      <c r="AJ806" s="1106"/>
      <c r="AK806" s="1106"/>
      <c r="AL806" s="1106"/>
      <c r="AM806" s="1106"/>
      <c r="AN806" s="1106"/>
      <c r="AO806" s="1106"/>
      <c r="AP806" s="1106"/>
      <c r="AQ806" s="1106"/>
      <c r="AR806" s="1106"/>
      <c r="AS806" s="1106"/>
      <c r="AT806" s="1106"/>
      <c r="AU806" s="1106"/>
      <c r="AV806" s="1106"/>
      <c r="AW806" s="1106"/>
      <c r="AX806" s="1106"/>
    </row>
    <row r="807">
      <c r="T807" s="1102"/>
      <c r="U807" s="1104"/>
      <c r="V807" s="1104"/>
      <c r="W807" s="1104"/>
      <c r="X807" s="1104"/>
      <c r="Y807" s="1104"/>
      <c r="Z807" s="1104"/>
      <c r="AA807" s="1104"/>
      <c r="AB807" s="1104"/>
      <c r="AC807" s="1104"/>
      <c r="AD807" s="1104"/>
      <c r="AE807" s="1104"/>
      <c r="AF807" s="1104"/>
      <c r="AG807" s="1106"/>
      <c r="AH807" s="1106"/>
      <c r="AI807" s="1106"/>
      <c r="AJ807" s="1106"/>
      <c r="AK807" s="1106"/>
      <c r="AL807" s="1106"/>
      <c r="AM807" s="1106"/>
      <c r="AN807" s="1106"/>
      <c r="AO807" s="1106"/>
      <c r="AP807" s="1106"/>
      <c r="AQ807" s="1106"/>
      <c r="AR807" s="1106"/>
      <c r="AS807" s="1106"/>
      <c r="AT807" s="1106"/>
      <c r="AU807" s="1106"/>
      <c r="AV807" s="1106"/>
      <c r="AW807" s="1106"/>
      <c r="AX807" s="1106"/>
    </row>
    <row r="808">
      <c r="T808" s="1102"/>
      <c r="U808" s="1104"/>
      <c r="V808" s="1104"/>
      <c r="W808" s="1104"/>
      <c r="X808" s="1104"/>
      <c r="Y808" s="1104"/>
      <c r="Z808" s="1104"/>
      <c r="AA808" s="1104"/>
      <c r="AB808" s="1104"/>
      <c r="AC808" s="1104"/>
      <c r="AD808" s="1104"/>
      <c r="AE808" s="1104"/>
      <c r="AF808" s="1104"/>
      <c r="AG808" s="1106"/>
      <c r="AH808" s="1106"/>
      <c r="AI808" s="1106"/>
      <c r="AJ808" s="1106"/>
      <c r="AK808" s="1106"/>
      <c r="AL808" s="1106"/>
      <c r="AM808" s="1106"/>
      <c r="AN808" s="1106"/>
      <c r="AO808" s="1106"/>
      <c r="AP808" s="1106"/>
      <c r="AQ808" s="1106"/>
      <c r="AR808" s="1106"/>
      <c r="AS808" s="1106"/>
      <c r="AT808" s="1106"/>
      <c r="AU808" s="1106"/>
      <c r="AV808" s="1106"/>
      <c r="AW808" s="1106"/>
      <c r="AX808" s="1106"/>
    </row>
    <row r="809">
      <c r="T809" s="1102"/>
      <c r="U809" s="1104"/>
      <c r="V809" s="1104"/>
      <c r="W809" s="1104"/>
      <c r="X809" s="1104"/>
      <c r="Y809" s="1104"/>
      <c r="Z809" s="1104"/>
      <c r="AA809" s="1104"/>
      <c r="AB809" s="1104"/>
      <c r="AC809" s="1104"/>
      <c r="AD809" s="1104"/>
      <c r="AE809" s="1104"/>
      <c r="AF809" s="1104"/>
      <c r="AG809" s="1106"/>
      <c r="AH809" s="1106"/>
      <c r="AI809" s="1106"/>
      <c r="AJ809" s="1106"/>
      <c r="AK809" s="1106"/>
      <c r="AL809" s="1106"/>
      <c r="AM809" s="1106"/>
      <c r="AN809" s="1106"/>
      <c r="AO809" s="1106"/>
      <c r="AP809" s="1106"/>
      <c r="AQ809" s="1106"/>
      <c r="AR809" s="1106"/>
      <c r="AS809" s="1106"/>
      <c r="AT809" s="1106"/>
      <c r="AU809" s="1106"/>
      <c r="AV809" s="1106"/>
      <c r="AW809" s="1106"/>
      <c r="AX809" s="1106"/>
    </row>
    <row r="810">
      <c r="T810" s="1102"/>
      <c r="U810" s="1104"/>
      <c r="V810" s="1104"/>
      <c r="W810" s="1104"/>
      <c r="X810" s="1104"/>
      <c r="Y810" s="1104"/>
      <c r="Z810" s="1104"/>
      <c r="AA810" s="1104"/>
      <c r="AB810" s="1104"/>
      <c r="AC810" s="1104"/>
      <c r="AD810" s="1104"/>
      <c r="AE810" s="1104"/>
      <c r="AF810" s="1104"/>
      <c r="AG810" s="1106"/>
      <c r="AH810" s="1106"/>
      <c r="AI810" s="1106"/>
      <c r="AJ810" s="1106"/>
      <c r="AK810" s="1106"/>
      <c r="AL810" s="1106"/>
      <c r="AM810" s="1106"/>
      <c r="AN810" s="1106"/>
      <c r="AO810" s="1106"/>
      <c r="AP810" s="1106"/>
      <c r="AQ810" s="1106"/>
      <c r="AR810" s="1106"/>
      <c r="AS810" s="1106"/>
      <c r="AT810" s="1106"/>
      <c r="AU810" s="1106"/>
      <c r="AV810" s="1106"/>
      <c r="AW810" s="1106"/>
      <c r="AX810" s="1106"/>
    </row>
    <row r="811">
      <c r="T811" s="1102"/>
      <c r="U811" s="1104"/>
      <c r="V811" s="1104"/>
      <c r="W811" s="1104"/>
      <c r="X811" s="1104"/>
      <c r="Y811" s="1104"/>
      <c r="Z811" s="1104"/>
      <c r="AA811" s="1104"/>
      <c r="AB811" s="1104"/>
      <c r="AC811" s="1104"/>
      <c r="AD811" s="1104"/>
      <c r="AE811" s="1104"/>
      <c r="AF811" s="1104"/>
      <c r="AG811" s="1106"/>
      <c r="AH811" s="1106"/>
      <c r="AI811" s="1106"/>
      <c r="AJ811" s="1106"/>
      <c r="AK811" s="1106"/>
      <c r="AL811" s="1106"/>
      <c r="AM811" s="1106"/>
      <c r="AN811" s="1106"/>
      <c r="AO811" s="1106"/>
      <c r="AP811" s="1106"/>
      <c r="AQ811" s="1106"/>
      <c r="AR811" s="1106"/>
      <c r="AS811" s="1106"/>
      <c r="AT811" s="1106"/>
      <c r="AU811" s="1106"/>
      <c r="AV811" s="1106"/>
      <c r="AW811" s="1106"/>
      <c r="AX811" s="1106"/>
    </row>
    <row r="812">
      <c r="T812" s="1102"/>
      <c r="U812" s="1104"/>
      <c r="V812" s="1104"/>
      <c r="W812" s="1104"/>
      <c r="X812" s="1104"/>
      <c r="Y812" s="1104"/>
      <c r="Z812" s="1104"/>
      <c r="AA812" s="1104"/>
      <c r="AB812" s="1104"/>
      <c r="AC812" s="1104"/>
      <c r="AD812" s="1104"/>
      <c r="AE812" s="1104"/>
      <c r="AF812" s="1104"/>
      <c r="AG812" s="1106"/>
      <c r="AH812" s="1106"/>
      <c r="AI812" s="1106"/>
      <c r="AJ812" s="1106"/>
      <c r="AK812" s="1106"/>
      <c r="AL812" s="1106"/>
      <c r="AM812" s="1106"/>
      <c r="AN812" s="1106"/>
      <c r="AO812" s="1106"/>
      <c r="AP812" s="1106"/>
      <c r="AQ812" s="1106"/>
      <c r="AR812" s="1106"/>
      <c r="AS812" s="1106"/>
      <c r="AT812" s="1106"/>
      <c r="AU812" s="1106"/>
      <c r="AV812" s="1106"/>
      <c r="AW812" s="1106"/>
      <c r="AX812" s="1106"/>
    </row>
    <row r="813">
      <c r="T813" s="1102"/>
      <c r="U813" s="1104"/>
      <c r="V813" s="1104"/>
      <c r="W813" s="1104"/>
      <c r="X813" s="1104"/>
      <c r="Y813" s="1104"/>
      <c r="Z813" s="1104"/>
      <c r="AA813" s="1104"/>
      <c r="AB813" s="1104"/>
      <c r="AC813" s="1104"/>
      <c r="AD813" s="1104"/>
      <c r="AE813" s="1104"/>
      <c r="AF813" s="1104"/>
      <c r="AG813" s="1106"/>
      <c r="AH813" s="1106"/>
      <c r="AI813" s="1106"/>
      <c r="AJ813" s="1106"/>
      <c r="AK813" s="1106"/>
      <c r="AL813" s="1106"/>
      <c r="AM813" s="1106"/>
      <c r="AN813" s="1106"/>
      <c r="AO813" s="1106"/>
      <c r="AP813" s="1106"/>
      <c r="AQ813" s="1106"/>
      <c r="AR813" s="1106"/>
      <c r="AS813" s="1106"/>
      <c r="AT813" s="1106"/>
      <c r="AU813" s="1106"/>
      <c r="AV813" s="1106"/>
      <c r="AW813" s="1106"/>
      <c r="AX813" s="1106"/>
    </row>
    <row r="814">
      <c r="T814" s="1102"/>
      <c r="U814" s="1104"/>
      <c r="V814" s="1104"/>
      <c r="W814" s="1104"/>
      <c r="X814" s="1104"/>
      <c r="Y814" s="1104"/>
      <c r="Z814" s="1104"/>
      <c r="AA814" s="1104"/>
      <c r="AB814" s="1104"/>
      <c r="AC814" s="1104"/>
      <c r="AD814" s="1104"/>
      <c r="AE814" s="1104"/>
      <c r="AF814" s="1104"/>
      <c r="AG814" s="1106"/>
      <c r="AH814" s="1106"/>
      <c r="AI814" s="1106"/>
      <c r="AJ814" s="1106"/>
      <c r="AK814" s="1106"/>
      <c r="AL814" s="1106"/>
      <c r="AM814" s="1106"/>
      <c r="AN814" s="1106"/>
      <c r="AO814" s="1106"/>
      <c r="AP814" s="1106"/>
      <c r="AQ814" s="1106"/>
      <c r="AR814" s="1106"/>
      <c r="AS814" s="1106"/>
      <c r="AT814" s="1106"/>
      <c r="AU814" s="1106"/>
      <c r="AV814" s="1106"/>
      <c r="AW814" s="1106"/>
      <c r="AX814" s="1106"/>
    </row>
    <row r="815">
      <c r="T815" s="1102"/>
      <c r="U815" s="1104"/>
      <c r="V815" s="1104"/>
      <c r="W815" s="1104"/>
      <c r="X815" s="1104"/>
      <c r="Y815" s="1104"/>
      <c r="Z815" s="1104"/>
      <c r="AA815" s="1104"/>
      <c r="AB815" s="1104"/>
      <c r="AC815" s="1104"/>
      <c r="AD815" s="1104"/>
      <c r="AE815" s="1104"/>
      <c r="AF815" s="1104"/>
      <c r="AG815" s="1106"/>
      <c r="AH815" s="1106"/>
      <c r="AI815" s="1106"/>
      <c r="AJ815" s="1106"/>
      <c r="AK815" s="1106"/>
      <c r="AL815" s="1106"/>
      <c r="AM815" s="1106"/>
      <c r="AN815" s="1106"/>
      <c r="AO815" s="1106"/>
      <c r="AP815" s="1106"/>
      <c r="AQ815" s="1106"/>
      <c r="AR815" s="1106"/>
      <c r="AS815" s="1106"/>
      <c r="AT815" s="1106"/>
      <c r="AU815" s="1106"/>
      <c r="AV815" s="1106"/>
      <c r="AW815" s="1106"/>
      <c r="AX815" s="1106"/>
    </row>
    <row r="816">
      <c r="T816" s="1102"/>
      <c r="U816" s="1104"/>
      <c r="V816" s="1104"/>
      <c r="W816" s="1104"/>
      <c r="X816" s="1104"/>
      <c r="Y816" s="1104"/>
      <c r="Z816" s="1104"/>
      <c r="AA816" s="1104"/>
      <c r="AB816" s="1104"/>
      <c r="AC816" s="1104"/>
      <c r="AD816" s="1104"/>
      <c r="AE816" s="1104"/>
      <c r="AF816" s="1104"/>
      <c r="AG816" s="1106"/>
      <c r="AH816" s="1106"/>
      <c r="AI816" s="1106"/>
      <c r="AJ816" s="1106"/>
      <c r="AK816" s="1106"/>
      <c r="AL816" s="1106"/>
      <c r="AM816" s="1106"/>
      <c r="AN816" s="1106"/>
      <c r="AO816" s="1106"/>
      <c r="AP816" s="1106"/>
      <c r="AQ816" s="1106"/>
      <c r="AR816" s="1106"/>
      <c r="AS816" s="1106"/>
      <c r="AT816" s="1106"/>
      <c r="AU816" s="1106"/>
      <c r="AV816" s="1106"/>
      <c r="AW816" s="1106"/>
      <c r="AX816" s="1106"/>
    </row>
    <row r="817">
      <c r="T817" s="1102"/>
      <c r="U817" s="1104"/>
      <c r="V817" s="1104"/>
      <c r="W817" s="1104"/>
      <c r="X817" s="1104"/>
      <c r="Y817" s="1104"/>
      <c r="Z817" s="1104"/>
      <c r="AA817" s="1104"/>
      <c r="AB817" s="1104"/>
      <c r="AC817" s="1104"/>
      <c r="AD817" s="1104"/>
      <c r="AE817" s="1104"/>
      <c r="AF817" s="1104"/>
      <c r="AG817" s="1106"/>
      <c r="AH817" s="1106"/>
      <c r="AI817" s="1106"/>
      <c r="AJ817" s="1106"/>
      <c r="AK817" s="1106"/>
      <c r="AL817" s="1106"/>
      <c r="AM817" s="1106"/>
      <c r="AN817" s="1106"/>
      <c r="AO817" s="1106"/>
      <c r="AP817" s="1106"/>
      <c r="AQ817" s="1106"/>
      <c r="AR817" s="1106"/>
      <c r="AS817" s="1106"/>
      <c r="AT817" s="1106"/>
      <c r="AU817" s="1106"/>
      <c r="AV817" s="1106"/>
      <c r="AW817" s="1106"/>
      <c r="AX817" s="1106"/>
    </row>
    <row r="818">
      <c r="T818" s="1102"/>
      <c r="U818" s="1104"/>
      <c r="V818" s="1104"/>
      <c r="W818" s="1104"/>
      <c r="X818" s="1104"/>
      <c r="Y818" s="1104"/>
      <c r="Z818" s="1104"/>
      <c r="AA818" s="1104"/>
      <c r="AB818" s="1104"/>
      <c r="AC818" s="1104"/>
      <c r="AD818" s="1104"/>
      <c r="AE818" s="1104"/>
      <c r="AF818" s="1104"/>
      <c r="AG818" s="1106"/>
      <c r="AH818" s="1106"/>
      <c r="AI818" s="1106"/>
      <c r="AJ818" s="1106"/>
      <c r="AK818" s="1106"/>
      <c r="AL818" s="1106"/>
      <c r="AM818" s="1106"/>
      <c r="AN818" s="1106"/>
      <c r="AO818" s="1106"/>
      <c r="AP818" s="1106"/>
      <c r="AQ818" s="1106"/>
      <c r="AR818" s="1106"/>
      <c r="AS818" s="1106"/>
      <c r="AT818" s="1106"/>
      <c r="AU818" s="1106"/>
      <c r="AV818" s="1106"/>
      <c r="AW818" s="1106"/>
      <c r="AX818" s="1106"/>
    </row>
    <row r="819">
      <c r="T819" s="1102"/>
      <c r="U819" s="1104"/>
      <c r="V819" s="1104"/>
      <c r="W819" s="1104"/>
      <c r="X819" s="1104"/>
      <c r="Y819" s="1104"/>
      <c r="Z819" s="1104"/>
      <c r="AA819" s="1104"/>
      <c r="AB819" s="1104"/>
      <c r="AC819" s="1104"/>
      <c r="AD819" s="1104"/>
      <c r="AE819" s="1104"/>
      <c r="AF819" s="1104"/>
      <c r="AG819" s="1106"/>
      <c r="AH819" s="1106"/>
      <c r="AI819" s="1106"/>
      <c r="AJ819" s="1106"/>
      <c r="AK819" s="1106"/>
      <c r="AL819" s="1106"/>
      <c r="AM819" s="1106"/>
      <c r="AN819" s="1106"/>
      <c r="AO819" s="1106"/>
      <c r="AP819" s="1106"/>
      <c r="AQ819" s="1106"/>
      <c r="AR819" s="1106"/>
      <c r="AS819" s="1106"/>
      <c r="AT819" s="1106"/>
      <c r="AU819" s="1106"/>
      <c r="AV819" s="1106"/>
      <c r="AW819" s="1106"/>
      <c r="AX819" s="1106"/>
    </row>
    <row r="820">
      <c r="T820" s="1102"/>
      <c r="U820" s="1104"/>
      <c r="V820" s="1104"/>
      <c r="W820" s="1104"/>
      <c r="X820" s="1104"/>
      <c r="Y820" s="1104"/>
      <c r="Z820" s="1104"/>
      <c r="AA820" s="1104"/>
      <c r="AB820" s="1104"/>
      <c r="AC820" s="1104"/>
      <c r="AD820" s="1104"/>
      <c r="AE820" s="1104"/>
      <c r="AF820" s="1104"/>
      <c r="AG820" s="1106"/>
      <c r="AH820" s="1106"/>
      <c r="AI820" s="1106"/>
      <c r="AJ820" s="1106"/>
      <c r="AK820" s="1106"/>
      <c r="AL820" s="1106"/>
      <c r="AM820" s="1106"/>
      <c r="AN820" s="1106"/>
      <c r="AO820" s="1106"/>
      <c r="AP820" s="1106"/>
      <c r="AQ820" s="1106"/>
      <c r="AR820" s="1106"/>
      <c r="AS820" s="1106"/>
      <c r="AT820" s="1106"/>
      <c r="AU820" s="1106"/>
      <c r="AV820" s="1106"/>
      <c r="AW820" s="1106"/>
      <c r="AX820" s="1106"/>
    </row>
    <row r="821">
      <c r="T821" s="1102"/>
      <c r="U821" s="1104"/>
      <c r="V821" s="1104"/>
      <c r="W821" s="1104"/>
      <c r="X821" s="1104"/>
      <c r="Y821" s="1104"/>
      <c r="Z821" s="1104"/>
      <c r="AA821" s="1104"/>
      <c r="AB821" s="1104"/>
      <c r="AC821" s="1104"/>
      <c r="AD821" s="1104"/>
      <c r="AE821" s="1104"/>
      <c r="AF821" s="1104"/>
      <c r="AG821" s="1106"/>
      <c r="AH821" s="1106"/>
      <c r="AI821" s="1106"/>
      <c r="AJ821" s="1106"/>
      <c r="AK821" s="1106"/>
      <c r="AL821" s="1106"/>
      <c r="AM821" s="1106"/>
      <c r="AN821" s="1106"/>
      <c r="AO821" s="1106"/>
      <c r="AP821" s="1106"/>
      <c r="AQ821" s="1106"/>
      <c r="AR821" s="1106"/>
      <c r="AS821" s="1106"/>
      <c r="AT821" s="1106"/>
      <c r="AU821" s="1106"/>
      <c r="AV821" s="1106"/>
      <c r="AW821" s="1106"/>
      <c r="AX821" s="1106"/>
    </row>
    <row r="822">
      <c r="T822" s="1102"/>
      <c r="U822" s="1104"/>
      <c r="V822" s="1104"/>
      <c r="W822" s="1104"/>
      <c r="X822" s="1104"/>
      <c r="Y822" s="1104"/>
      <c r="Z822" s="1104"/>
      <c r="AA822" s="1104"/>
      <c r="AB822" s="1104"/>
      <c r="AC822" s="1104"/>
      <c r="AD822" s="1104"/>
      <c r="AE822" s="1104"/>
      <c r="AF822" s="1104"/>
      <c r="AG822" s="1106"/>
      <c r="AH822" s="1106"/>
      <c r="AI822" s="1106"/>
      <c r="AJ822" s="1106"/>
      <c r="AK822" s="1106"/>
      <c r="AL822" s="1106"/>
      <c r="AM822" s="1106"/>
      <c r="AN822" s="1106"/>
      <c r="AO822" s="1106"/>
      <c r="AP822" s="1106"/>
      <c r="AQ822" s="1106"/>
      <c r="AR822" s="1106"/>
      <c r="AS822" s="1106"/>
      <c r="AT822" s="1106"/>
      <c r="AU822" s="1106"/>
      <c r="AV822" s="1106"/>
      <c r="AW822" s="1106"/>
      <c r="AX822" s="1106"/>
    </row>
    <row r="823">
      <c r="T823" s="1102"/>
      <c r="U823" s="1104"/>
      <c r="V823" s="1104"/>
      <c r="W823" s="1104"/>
      <c r="X823" s="1104"/>
      <c r="Y823" s="1104"/>
      <c r="Z823" s="1104"/>
      <c r="AA823" s="1104"/>
      <c r="AB823" s="1104"/>
      <c r="AC823" s="1104"/>
      <c r="AD823" s="1104"/>
      <c r="AE823" s="1104"/>
      <c r="AF823" s="1104"/>
      <c r="AG823" s="1106"/>
      <c r="AH823" s="1106"/>
      <c r="AI823" s="1106"/>
      <c r="AJ823" s="1106"/>
      <c r="AK823" s="1106"/>
      <c r="AL823" s="1106"/>
      <c r="AM823" s="1106"/>
      <c r="AN823" s="1106"/>
      <c r="AO823" s="1106"/>
      <c r="AP823" s="1106"/>
      <c r="AQ823" s="1106"/>
      <c r="AR823" s="1106"/>
      <c r="AS823" s="1106"/>
      <c r="AT823" s="1106"/>
      <c r="AU823" s="1106"/>
      <c r="AV823" s="1106"/>
      <c r="AW823" s="1106"/>
      <c r="AX823" s="1106"/>
    </row>
    <row r="824">
      <c r="T824" s="1102"/>
      <c r="U824" s="1104"/>
      <c r="V824" s="1104"/>
      <c r="W824" s="1104"/>
      <c r="X824" s="1104"/>
      <c r="Y824" s="1104"/>
      <c r="Z824" s="1104"/>
      <c r="AA824" s="1104"/>
      <c r="AB824" s="1104"/>
      <c r="AC824" s="1104"/>
      <c r="AD824" s="1104"/>
      <c r="AE824" s="1104"/>
      <c r="AF824" s="1104"/>
      <c r="AG824" s="1106"/>
      <c r="AH824" s="1106"/>
      <c r="AI824" s="1106"/>
      <c r="AJ824" s="1106"/>
      <c r="AK824" s="1106"/>
      <c r="AL824" s="1106"/>
      <c r="AM824" s="1106"/>
      <c r="AN824" s="1106"/>
      <c r="AO824" s="1106"/>
      <c r="AP824" s="1106"/>
      <c r="AQ824" s="1106"/>
      <c r="AR824" s="1106"/>
      <c r="AS824" s="1106"/>
      <c r="AT824" s="1106"/>
      <c r="AU824" s="1106"/>
      <c r="AV824" s="1106"/>
      <c r="AW824" s="1106"/>
      <c r="AX824" s="1106"/>
    </row>
    <row r="825">
      <c r="T825" s="1102"/>
      <c r="U825" s="1104"/>
      <c r="V825" s="1104"/>
      <c r="W825" s="1104"/>
      <c r="X825" s="1104"/>
      <c r="Y825" s="1104"/>
      <c r="Z825" s="1104"/>
      <c r="AA825" s="1104"/>
      <c r="AB825" s="1104"/>
      <c r="AC825" s="1104"/>
      <c r="AD825" s="1104"/>
      <c r="AE825" s="1104"/>
      <c r="AF825" s="1104"/>
      <c r="AG825" s="1106"/>
      <c r="AH825" s="1106"/>
      <c r="AI825" s="1106"/>
      <c r="AJ825" s="1106"/>
      <c r="AK825" s="1106"/>
      <c r="AL825" s="1106"/>
      <c r="AM825" s="1106"/>
      <c r="AN825" s="1106"/>
      <c r="AO825" s="1106"/>
      <c r="AP825" s="1106"/>
      <c r="AQ825" s="1106"/>
      <c r="AR825" s="1106"/>
      <c r="AS825" s="1106"/>
      <c r="AT825" s="1106"/>
      <c r="AU825" s="1106"/>
      <c r="AV825" s="1106"/>
      <c r="AW825" s="1106"/>
      <c r="AX825" s="1106"/>
    </row>
    <row r="826">
      <c r="T826" s="1102"/>
      <c r="U826" s="1104"/>
      <c r="V826" s="1104"/>
      <c r="W826" s="1104"/>
      <c r="X826" s="1104"/>
      <c r="Y826" s="1104"/>
      <c r="Z826" s="1104"/>
      <c r="AA826" s="1104"/>
      <c r="AB826" s="1104"/>
      <c r="AC826" s="1104"/>
      <c r="AD826" s="1104"/>
      <c r="AE826" s="1104"/>
      <c r="AF826" s="1104"/>
      <c r="AG826" s="1106"/>
      <c r="AH826" s="1106"/>
      <c r="AI826" s="1106"/>
      <c r="AJ826" s="1106"/>
      <c r="AK826" s="1106"/>
      <c r="AL826" s="1106"/>
      <c r="AM826" s="1106"/>
      <c r="AN826" s="1106"/>
      <c r="AO826" s="1106"/>
      <c r="AP826" s="1106"/>
      <c r="AQ826" s="1106"/>
      <c r="AR826" s="1106"/>
      <c r="AS826" s="1106"/>
      <c r="AT826" s="1106"/>
      <c r="AU826" s="1106"/>
      <c r="AV826" s="1106"/>
      <c r="AW826" s="1106"/>
      <c r="AX826" s="1106"/>
    </row>
    <row r="827">
      <c r="T827" s="1102"/>
      <c r="U827" s="1104"/>
      <c r="V827" s="1104"/>
      <c r="W827" s="1104"/>
      <c r="X827" s="1104"/>
      <c r="Y827" s="1104"/>
      <c r="Z827" s="1104"/>
      <c r="AA827" s="1104"/>
      <c r="AB827" s="1104"/>
      <c r="AC827" s="1104"/>
      <c r="AD827" s="1104"/>
      <c r="AE827" s="1104"/>
      <c r="AF827" s="1104"/>
      <c r="AG827" s="1106"/>
      <c r="AH827" s="1106"/>
      <c r="AI827" s="1106"/>
      <c r="AJ827" s="1106"/>
      <c r="AK827" s="1106"/>
      <c r="AL827" s="1106"/>
      <c r="AM827" s="1106"/>
      <c r="AN827" s="1106"/>
      <c r="AO827" s="1106"/>
      <c r="AP827" s="1106"/>
      <c r="AQ827" s="1106"/>
      <c r="AR827" s="1106"/>
      <c r="AS827" s="1106"/>
      <c r="AT827" s="1106"/>
      <c r="AU827" s="1106"/>
      <c r="AV827" s="1106"/>
      <c r="AW827" s="1106"/>
      <c r="AX827" s="1106"/>
    </row>
    <row r="828">
      <c r="T828" s="1102"/>
      <c r="U828" s="1104"/>
      <c r="V828" s="1104"/>
      <c r="W828" s="1104"/>
      <c r="X828" s="1104"/>
      <c r="Y828" s="1104"/>
      <c r="Z828" s="1104"/>
      <c r="AA828" s="1104"/>
      <c r="AB828" s="1104"/>
      <c r="AC828" s="1104"/>
      <c r="AD828" s="1104"/>
      <c r="AE828" s="1104"/>
      <c r="AF828" s="1104"/>
      <c r="AG828" s="1106"/>
      <c r="AH828" s="1106"/>
      <c r="AI828" s="1106"/>
      <c r="AJ828" s="1106"/>
      <c r="AK828" s="1106"/>
      <c r="AL828" s="1106"/>
      <c r="AM828" s="1106"/>
      <c r="AN828" s="1106"/>
      <c r="AO828" s="1106"/>
      <c r="AP828" s="1106"/>
      <c r="AQ828" s="1106"/>
      <c r="AR828" s="1106"/>
      <c r="AS828" s="1106"/>
      <c r="AT828" s="1106"/>
      <c r="AU828" s="1106"/>
      <c r="AV828" s="1106"/>
      <c r="AW828" s="1106"/>
      <c r="AX828" s="1106"/>
    </row>
    <row r="829">
      <c r="T829" s="1102"/>
      <c r="U829" s="1104"/>
      <c r="V829" s="1104"/>
      <c r="W829" s="1104"/>
      <c r="X829" s="1104"/>
      <c r="Y829" s="1104"/>
      <c r="Z829" s="1104"/>
      <c r="AA829" s="1104"/>
      <c r="AB829" s="1104"/>
      <c r="AC829" s="1104"/>
      <c r="AD829" s="1104"/>
      <c r="AE829" s="1104"/>
      <c r="AF829" s="1104"/>
      <c r="AG829" s="1106"/>
      <c r="AH829" s="1106"/>
      <c r="AI829" s="1106"/>
      <c r="AJ829" s="1106"/>
      <c r="AK829" s="1106"/>
      <c r="AL829" s="1106"/>
      <c r="AM829" s="1106"/>
      <c r="AN829" s="1106"/>
      <c r="AO829" s="1106"/>
      <c r="AP829" s="1106"/>
      <c r="AQ829" s="1106"/>
      <c r="AR829" s="1106"/>
      <c r="AS829" s="1106"/>
      <c r="AT829" s="1106"/>
      <c r="AU829" s="1106"/>
      <c r="AV829" s="1106"/>
      <c r="AW829" s="1106"/>
      <c r="AX829" s="1106"/>
    </row>
    <row r="830">
      <c r="T830" s="1102"/>
      <c r="U830" s="1104"/>
      <c r="V830" s="1104"/>
      <c r="W830" s="1104"/>
      <c r="X830" s="1104"/>
      <c r="Y830" s="1104"/>
      <c r="Z830" s="1104"/>
      <c r="AA830" s="1104"/>
      <c r="AB830" s="1104"/>
      <c r="AC830" s="1104"/>
      <c r="AD830" s="1104"/>
      <c r="AE830" s="1104"/>
      <c r="AF830" s="1104"/>
      <c r="AG830" s="1106"/>
      <c r="AH830" s="1106"/>
      <c r="AI830" s="1106"/>
      <c r="AJ830" s="1106"/>
      <c r="AK830" s="1106"/>
      <c r="AL830" s="1106"/>
      <c r="AM830" s="1106"/>
      <c r="AN830" s="1106"/>
      <c r="AO830" s="1106"/>
      <c r="AP830" s="1106"/>
      <c r="AQ830" s="1106"/>
      <c r="AR830" s="1106"/>
      <c r="AS830" s="1106"/>
      <c r="AT830" s="1106"/>
      <c r="AU830" s="1106"/>
      <c r="AV830" s="1106"/>
      <c r="AW830" s="1106"/>
      <c r="AX830" s="1106"/>
    </row>
    <row r="831">
      <c r="T831" s="1102"/>
      <c r="U831" s="1104"/>
      <c r="V831" s="1104"/>
      <c r="W831" s="1104"/>
      <c r="X831" s="1104"/>
      <c r="Y831" s="1104"/>
      <c r="Z831" s="1104"/>
      <c r="AA831" s="1104"/>
      <c r="AB831" s="1104"/>
      <c r="AC831" s="1104"/>
      <c r="AD831" s="1104"/>
      <c r="AE831" s="1104"/>
      <c r="AF831" s="1104"/>
      <c r="AG831" s="1106"/>
      <c r="AH831" s="1106"/>
      <c r="AI831" s="1106"/>
      <c r="AJ831" s="1106"/>
      <c r="AK831" s="1106"/>
      <c r="AL831" s="1106"/>
      <c r="AM831" s="1106"/>
      <c r="AN831" s="1106"/>
      <c r="AO831" s="1106"/>
      <c r="AP831" s="1106"/>
      <c r="AQ831" s="1106"/>
      <c r="AR831" s="1106"/>
      <c r="AS831" s="1106"/>
      <c r="AT831" s="1106"/>
      <c r="AU831" s="1106"/>
      <c r="AV831" s="1106"/>
      <c r="AW831" s="1106"/>
      <c r="AX831" s="1106"/>
    </row>
    <row r="832">
      <c r="T832" s="1102"/>
      <c r="U832" s="1104"/>
      <c r="V832" s="1104"/>
      <c r="W832" s="1104"/>
      <c r="X832" s="1104"/>
      <c r="Y832" s="1104"/>
      <c r="Z832" s="1104"/>
      <c r="AA832" s="1104"/>
      <c r="AB832" s="1104"/>
      <c r="AC832" s="1104"/>
      <c r="AD832" s="1104"/>
      <c r="AE832" s="1104"/>
      <c r="AF832" s="1104"/>
      <c r="AG832" s="1106"/>
      <c r="AH832" s="1106"/>
      <c r="AI832" s="1106"/>
      <c r="AJ832" s="1106"/>
      <c r="AK832" s="1106"/>
      <c r="AL832" s="1106"/>
      <c r="AM832" s="1106"/>
      <c r="AN832" s="1106"/>
      <c r="AO832" s="1106"/>
      <c r="AP832" s="1106"/>
      <c r="AQ832" s="1106"/>
      <c r="AR832" s="1106"/>
      <c r="AS832" s="1106"/>
      <c r="AT832" s="1106"/>
      <c r="AU832" s="1106"/>
      <c r="AV832" s="1106"/>
      <c r="AW832" s="1106"/>
      <c r="AX832" s="1106"/>
    </row>
    <row r="833">
      <c r="T833" s="1102"/>
      <c r="U833" s="1104"/>
      <c r="V833" s="1104"/>
      <c r="W833" s="1104"/>
      <c r="X833" s="1104"/>
      <c r="Y833" s="1104"/>
      <c r="Z833" s="1104"/>
      <c r="AA833" s="1104"/>
      <c r="AB833" s="1104"/>
      <c r="AC833" s="1104"/>
      <c r="AD833" s="1104"/>
      <c r="AE833" s="1104"/>
      <c r="AF833" s="1104"/>
      <c r="AG833" s="1106"/>
      <c r="AH833" s="1106"/>
      <c r="AI833" s="1106"/>
      <c r="AJ833" s="1106"/>
      <c r="AK833" s="1106"/>
      <c r="AL833" s="1106"/>
      <c r="AM833" s="1106"/>
      <c r="AN833" s="1106"/>
      <c r="AO833" s="1106"/>
      <c r="AP833" s="1106"/>
      <c r="AQ833" s="1106"/>
      <c r="AR833" s="1106"/>
      <c r="AS833" s="1106"/>
      <c r="AT833" s="1106"/>
      <c r="AU833" s="1106"/>
      <c r="AV833" s="1106"/>
      <c r="AW833" s="1106"/>
      <c r="AX833" s="1106"/>
    </row>
    <row r="834">
      <c r="T834" s="1102"/>
      <c r="U834" s="1104"/>
      <c r="V834" s="1104"/>
      <c r="W834" s="1104"/>
      <c r="X834" s="1104"/>
      <c r="Y834" s="1104"/>
      <c r="Z834" s="1104"/>
      <c r="AA834" s="1104"/>
      <c r="AB834" s="1104"/>
      <c r="AC834" s="1104"/>
      <c r="AD834" s="1104"/>
      <c r="AE834" s="1104"/>
      <c r="AF834" s="1104"/>
      <c r="AG834" s="1106"/>
      <c r="AH834" s="1106"/>
      <c r="AI834" s="1106"/>
      <c r="AJ834" s="1106"/>
      <c r="AK834" s="1106"/>
      <c r="AL834" s="1106"/>
      <c r="AM834" s="1106"/>
      <c r="AN834" s="1106"/>
      <c r="AO834" s="1106"/>
      <c r="AP834" s="1106"/>
      <c r="AQ834" s="1106"/>
      <c r="AR834" s="1106"/>
      <c r="AS834" s="1106"/>
      <c r="AT834" s="1106"/>
      <c r="AU834" s="1106"/>
      <c r="AV834" s="1106"/>
      <c r="AW834" s="1106"/>
      <c r="AX834" s="1106"/>
    </row>
    <row r="835">
      <c r="T835" s="1102"/>
      <c r="U835" s="1104"/>
      <c r="V835" s="1104"/>
      <c r="W835" s="1104"/>
      <c r="X835" s="1104"/>
      <c r="Y835" s="1104"/>
      <c r="Z835" s="1104"/>
      <c r="AA835" s="1104"/>
      <c r="AB835" s="1104"/>
      <c r="AC835" s="1104"/>
      <c r="AD835" s="1104"/>
      <c r="AE835" s="1104"/>
      <c r="AF835" s="1104"/>
      <c r="AG835" s="1106"/>
      <c r="AH835" s="1106"/>
      <c r="AI835" s="1106"/>
      <c r="AJ835" s="1106"/>
      <c r="AK835" s="1106"/>
      <c r="AL835" s="1106"/>
      <c r="AM835" s="1106"/>
      <c r="AN835" s="1106"/>
      <c r="AO835" s="1106"/>
      <c r="AP835" s="1106"/>
      <c r="AQ835" s="1106"/>
      <c r="AR835" s="1106"/>
      <c r="AS835" s="1106"/>
      <c r="AT835" s="1106"/>
      <c r="AU835" s="1106"/>
      <c r="AV835" s="1106"/>
      <c r="AW835" s="1106"/>
      <c r="AX835" s="1106"/>
    </row>
    <row r="836">
      <c r="T836" s="1102"/>
      <c r="U836" s="1104"/>
      <c r="V836" s="1104"/>
      <c r="W836" s="1104"/>
      <c r="X836" s="1104"/>
      <c r="Y836" s="1104"/>
      <c r="Z836" s="1104"/>
      <c r="AA836" s="1104"/>
      <c r="AB836" s="1104"/>
      <c r="AC836" s="1104"/>
      <c r="AD836" s="1104"/>
      <c r="AE836" s="1104"/>
      <c r="AF836" s="1104"/>
      <c r="AG836" s="1106"/>
      <c r="AH836" s="1106"/>
      <c r="AI836" s="1106"/>
      <c r="AJ836" s="1106"/>
      <c r="AK836" s="1106"/>
      <c r="AL836" s="1106"/>
      <c r="AM836" s="1106"/>
      <c r="AN836" s="1106"/>
      <c r="AO836" s="1106"/>
      <c r="AP836" s="1106"/>
      <c r="AQ836" s="1106"/>
      <c r="AR836" s="1106"/>
      <c r="AS836" s="1106"/>
      <c r="AT836" s="1106"/>
      <c r="AU836" s="1106"/>
      <c r="AV836" s="1106"/>
      <c r="AW836" s="1106"/>
      <c r="AX836" s="1106"/>
    </row>
    <row r="837">
      <c r="T837" s="1102"/>
      <c r="U837" s="1104"/>
      <c r="V837" s="1104"/>
      <c r="W837" s="1104"/>
      <c r="X837" s="1104"/>
      <c r="Y837" s="1104"/>
      <c r="Z837" s="1104"/>
      <c r="AA837" s="1104"/>
      <c r="AB837" s="1104"/>
      <c r="AC837" s="1104"/>
      <c r="AD837" s="1104"/>
      <c r="AE837" s="1104"/>
      <c r="AF837" s="1104"/>
      <c r="AG837" s="1106"/>
      <c r="AH837" s="1106"/>
      <c r="AI837" s="1106"/>
      <c r="AJ837" s="1106"/>
      <c r="AK837" s="1106"/>
      <c r="AL837" s="1106"/>
      <c r="AM837" s="1106"/>
      <c r="AN837" s="1106"/>
      <c r="AO837" s="1106"/>
      <c r="AP837" s="1106"/>
      <c r="AQ837" s="1106"/>
      <c r="AR837" s="1106"/>
      <c r="AS837" s="1106"/>
      <c r="AT837" s="1106"/>
      <c r="AU837" s="1106"/>
      <c r="AV837" s="1106"/>
      <c r="AW837" s="1106"/>
      <c r="AX837" s="1106"/>
    </row>
    <row r="838">
      <c r="T838" s="1102"/>
      <c r="U838" s="1104"/>
      <c r="V838" s="1104"/>
      <c r="W838" s="1104"/>
      <c r="X838" s="1104"/>
      <c r="Y838" s="1104"/>
      <c r="Z838" s="1104"/>
      <c r="AA838" s="1104"/>
      <c r="AB838" s="1104"/>
      <c r="AC838" s="1104"/>
      <c r="AD838" s="1104"/>
      <c r="AE838" s="1104"/>
      <c r="AF838" s="1104"/>
      <c r="AG838" s="1106"/>
      <c r="AH838" s="1106"/>
      <c r="AI838" s="1106"/>
      <c r="AJ838" s="1106"/>
      <c r="AK838" s="1106"/>
      <c r="AL838" s="1106"/>
      <c r="AM838" s="1106"/>
      <c r="AN838" s="1106"/>
      <c r="AO838" s="1106"/>
      <c r="AP838" s="1106"/>
      <c r="AQ838" s="1106"/>
      <c r="AR838" s="1106"/>
      <c r="AS838" s="1106"/>
      <c r="AT838" s="1106"/>
      <c r="AU838" s="1106"/>
      <c r="AV838" s="1106"/>
      <c r="AW838" s="1106"/>
      <c r="AX838" s="1106"/>
    </row>
    <row r="839">
      <c r="T839" s="1102"/>
      <c r="U839" s="1104"/>
      <c r="V839" s="1104"/>
      <c r="W839" s="1104"/>
      <c r="X839" s="1104"/>
      <c r="Y839" s="1104"/>
      <c r="Z839" s="1104"/>
      <c r="AA839" s="1104"/>
      <c r="AB839" s="1104"/>
      <c r="AC839" s="1104"/>
      <c r="AD839" s="1104"/>
      <c r="AE839" s="1104"/>
      <c r="AF839" s="1104"/>
      <c r="AG839" s="1106"/>
      <c r="AH839" s="1106"/>
      <c r="AI839" s="1106"/>
      <c r="AJ839" s="1106"/>
      <c r="AK839" s="1106"/>
      <c r="AL839" s="1106"/>
      <c r="AM839" s="1106"/>
      <c r="AN839" s="1106"/>
      <c r="AO839" s="1106"/>
      <c r="AP839" s="1106"/>
      <c r="AQ839" s="1106"/>
      <c r="AR839" s="1106"/>
      <c r="AS839" s="1106"/>
      <c r="AT839" s="1106"/>
      <c r="AU839" s="1106"/>
      <c r="AV839" s="1106"/>
      <c r="AW839" s="1106"/>
      <c r="AX839" s="1106"/>
    </row>
    <row r="840">
      <c r="T840" s="1102"/>
      <c r="U840" s="1104"/>
      <c r="V840" s="1104"/>
      <c r="W840" s="1104"/>
      <c r="X840" s="1104"/>
      <c r="Y840" s="1104"/>
      <c r="Z840" s="1104"/>
      <c r="AA840" s="1104"/>
      <c r="AB840" s="1104"/>
      <c r="AC840" s="1104"/>
      <c r="AD840" s="1104"/>
      <c r="AE840" s="1104"/>
      <c r="AF840" s="1104"/>
      <c r="AG840" s="1106"/>
      <c r="AH840" s="1106"/>
      <c r="AI840" s="1106"/>
      <c r="AJ840" s="1106"/>
      <c r="AK840" s="1106"/>
      <c r="AL840" s="1106"/>
      <c r="AM840" s="1106"/>
      <c r="AN840" s="1106"/>
      <c r="AO840" s="1106"/>
      <c r="AP840" s="1106"/>
      <c r="AQ840" s="1106"/>
      <c r="AR840" s="1106"/>
      <c r="AS840" s="1106"/>
      <c r="AT840" s="1106"/>
      <c r="AU840" s="1106"/>
      <c r="AV840" s="1106"/>
      <c r="AW840" s="1106"/>
      <c r="AX840" s="1106"/>
    </row>
    <row r="841">
      <c r="T841" s="1102"/>
      <c r="U841" s="1104"/>
      <c r="V841" s="1104"/>
      <c r="W841" s="1104"/>
      <c r="X841" s="1104"/>
      <c r="Y841" s="1104"/>
      <c r="Z841" s="1104"/>
      <c r="AA841" s="1104"/>
      <c r="AB841" s="1104"/>
      <c r="AC841" s="1104"/>
      <c r="AD841" s="1104"/>
      <c r="AE841" s="1104"/>
      <c r="AF841" s="1104"/>
      <c r="AG841" s="1106"/>
      <c r="AH841" s="1106"/>
      <c r="AI841" s="1106"/>
      <c r="AJ841" s="1106"/>
      <c r="AK841" s="1106"/>
      <c r="AL841" s="1106"/>
      <c r="AM841" s="1106"/>
      <c r="AN841" s="1106"/>
      <c r="AO841" s="1106"/>
      <c r="AP841" s="1106"/>
      <c r="AQ841" s="1106"/>
      <c r="AR841" s="1106"/>
      <c r="AS841" s="1106"/>
      <c r="AT841" s="1106"/>
      <c r="AU841" s="1106"/>
      <c r="AV841" s="1106"/>
      <c r="AW841" s="1106"/>
      <c r="AX841" s="1106"/>
    </row>
    <row r="842">
      <c r="T842" s="1102"/>
      <c r="U842" s="1104"/>
      <c r="V842" s="1104"/>
      <c r="W842" s="1104"/>
      <c r="X842" s="1104"/>
      <c r="Y842" s="1104"/>
      <c r="Z842" s="1104"/>
      <c r="AA842" s="1104"/>
      <c r="AB842" s="1104"/>
      <c r="AC842" s="1104"/>
      <c r="AD842" s="1104"/>
      <c r="AE842" s="1104"/>
      <c r="AF842" s="1104"/>
      <c r="AG842" s="1106"/>
      <c r="AH842" s="1106"/>
      <c r="AI842" s="1106"/>
      <c r="AJ842" s="1106"/>
      <c r="AK842" s="1106"/>
      <c r="AL842" s="1106"/>
      <c r="AM842" s="1106"/>
      <c r="AN842" s="1106"/>
      <c r="AO842" s="1106"/>
      <c r="AP842" s="1106"/>
      <c r="AQ842" s="1106"/>
      <c r="AR842" s="1106"/>
      <c r="AS842" s="1106"/>
      <c r="AT842" s="1106"/>
      <c r="AU842" s="1106"/>
      <c r="AV842" s="1106"/>
      <c r="AW842" s="1106"/>
      <c r="AX842" s="1106"/>
    </row>
    <row r="843">
      <c r="T843" s="1102"/>
      <c r="U843" s="1104"/>
      <c r="V843" s="1104"/>
      <c r="W843" s="1104"/>
      <c r="X843" s="1104"/>
      <c r="Y843" s="1104"/>
      <c r="Z843" s="1104"/>
      <c r="AA843" s="1104"/>
      <c r="AB843" s="1104"/>
      <c r="AC843" s="1104"/>
      <c r="AD843" s="1104"/>
      <c r="AE843" s="1104"/>
      <c r="AF843" s="1104"/>
      <c r="AG843" s="1106"/>
      <c r="AH843" s="1106"/>
      <c r="AI843" s="1106"/>
      <c r="AJ843" s="1106"/>
      <c r="AK843" s="1106"/>
      <c r="AL843" s="1106"/>
      <c r="AM843" s="1106"/>
      <c r="AN843" s="1106"/>
      <c r="AO843" s="1106"/>
      <c r="AP843" s="1106"/>
      <c r="AQ843" s="1106"/>
      <c r="AR843" s="1106"/>
      <c r="AS843" s="1106"/>
      <c r="AT843" s="1106"/>
      <c r="AU843" s="1106"/>
      <c r="AV843" s="1106"/>
      <c r="AW843" s="1106"/>
      <c r="AX843" s="1106"/>
    </row>
    <row r="844">
      <c r="T844" s="1102"/>
      <c r="U844" s="1104"/>
      <c r="V844" s="1104"/>
      <c r="W844" s="1104"/>
      <c r="X844" s="1104"/>
      <c r="Y844" s="1104"/>
      <c r="Z844" s="1104"/>
      <c r="AA844" s="1104"/>
      <c r="AB844" s="1104"/>
      <c r="AC844" s="1104"/>
      <c r="AD844" s="1104"/>
      <c r="AE844" s="1104"/>
      <c r="AF844" s="1104"/>
      <c r="AG844" s="1106"/>
      <c r="AH844" s="1106"/>
      <c r="AI844" s="1106"/>
      <c r="AJ844" s="1106"/>
      <c r="AK844" s="1106"/>
      <c r="AL844" s="1106"/>
      <c r="AM844" s="1106"/>
      <c r="AN844" s="1106"/>
      <c r="AO844" s="1106"/>
      <c r="AP844" s="1106"/>
      <c r="AQ844" s="1106"/>
      <c r="AR844" s="1106"/>
      <c r="AS844" s="1106"/>
      <c r="AT844" s="1106"/>
      <c r="AU844" s="1106"/>
      <c r="AV844" s="1106"/>
      <c r="AW844" s="1106"/>
      <c r="AX844" s="1106"/>
    </row>
    <row r="845">
      <c r="T845" s="1102"/>
      <c r="U845" s="1104"/>
      <c r="V845" s="1104"/>
      <c r="W845" s="1104"/>
      <c r="X845" s="1104"/>
      <c r="Y845" s="1104"/>
      <c r="Z845" s="1104"/>
      <c r="AA845" s="1104"/>
      <c r="AB845" s="1104"/>
      <c r="AC845" s="1104"/>
      <c r="AD845" s="1104"/>
      <c r="AE845" s="1104"/>
      <c r="AF845" s="1104"/>
      <c r="AG845" s="1106"/>
      <c r="AH845" s="1106"/>
      <c r="AI845" s="1106"/>
      <c r="AJ845" s="1106"/>
      <c r="AK845" s="1106"/>
      <c r="AL845" s="1106"/>
      <c r="AM845" s="1106"/>
      <c r="AN845" s="1106"/>
      <c r="AO845" s="1106"/>
      <c r="AP845" s="1106"/>
      <c r="AQ845" s="1106"/>
      <c r="AR845" s="1106"/>
      <c r="AS845" s="1106"/>
      <c r="AT845" s="1106"/>
      <c r="AU845" s="1106"/>
      <c r="AV845" s="1106"/>
      <c r="AW845" s="1106"/>
      <c r="AX845" s="1106"/>
    </row>
    <row r="846">
      <c r="T846" s="1102"/>
      <c r="U846" s="1104"/>
      <c r="V846" s="1104"/>
      <c r="W846" s="1104"/>
      <c r="X846" s="1104"/>
      <c r="Y846" s="1104"/>
      <c r="Z846" s="1104"/>
      <c r="AA846" s="1104"/>
      <c r="AB846" s="1104"/>
      <c r="AC846" s="1104"/>
      <c r="AD846" s="1104"/>
      <c r="AE846" s="1104"/>
      <c r="AF846" s="1104"/>
      <c r="AG846" s="1106"/>
      <c r="AH846" s="1106"/>
      <c r="AI846" s="1106"/>
      <c r="AJ846" s="1106"/>
      <c r="AK846" s="1106"/>
      <c r="AL846" s="1106"/>
      <c r="AM846" s="1106"/>
      <c r="AN846" s="1106"/>
      <c r="AO846" s="1106"/>
      <c r="AP846" s="1106"/>
      <c r="AQ846" s="1106"/>
      <c r="AR846" s="1106"/>
      <c r="AS846" s="1106"/>
      <c r="AT846" s="1106"/>
      <c r="AU846" s="1106"/>
      <c r="AV846" s="1106"/>
      <c r="AW846" s="1106"/>
      <c r="AX846" s="1106"/>
    </row>
    <row r="847">
      <c r="T847" s="1102"/>
      <c r="U847" s="1104"/>
      <c r="V847" s="1104"/>
      <c r="W847" s="1104"/>
      <c r="X847" s="1104"/>
      <c r="Y847" s="1104"/>
      <c r="Z847" s="1104"/>
      <c r="AA847" s="1104"/>
      <c r="AB847" s="1104"/>
      <c r="AC847" s="1104"/>
      <c r="AD847" s="1104"/>
      <c r="AE847" s="1104"/>
      <c r="AF847" s="1104"/>
      <c r="AG847" s="1106"/>
      <c r="AH847" s="1106"/>
      <c r="AI847" s="1106"/>
      <c r="AJ847" s="1106"/>
      <c r="AK847" s="1106"/>
      <c r="AL847" s="1106"/>
      <c r="AM847" s="1106"/>
      <c r="AN847" s="1106"/>
      <c r="AO847" s="1106"/>
      <c r="AP847" s="1106"/>
      <c r="AQ847" s="1106"/>
      <c r="AR847" s="1106"/>
      <c r="AS847" s="1106"/>
      <c r="AT847" s="1106"/>
      <c r="AU847" s="1106"/>
      <c r="AV847" s="1106"/>
      <c r="AW847" s="1106"/>
      <c r="AX847" s="1106"/>
    </row>
    <row r="848">
      <c r="T848" s="1102"/>
      <c r="U848" s="1104"/>
      <c r="V848" s="1104"/>
      <c r="W848" s="1104"/>
      <c r="X848" s="1104"/>
      <c r="Y848" s="1104"/>
      <c r="Z848" s="1104"/>
      <c r="AA848" s="1104"/>
      <c r="AB848" s="1104"/>
      <c r="AC848" s="1104"/>
      <c r="AD848" s="1104"/>
      <c r="AE848" s="1104"/>
      <c r="AF848" s="1104"/>
      <c r="AG848" s="1106"/>
      <c r="AH848" s="1106"/>
      <c r="AI848" s="1106"/>
      <c r="AJ848" s="1106"/>
      <c r="AK848" s="1106"/>
      <c r="AL848" s="1106"/>
      <c r="AM848" s="1106"/>
      <c r="AN848" s="1106"/>
      <c r="AO848" s="1106"/>
      <c r="AP848" s="1106"/>
      <c r="AQ848" s="1106"/>
      <c r="AR848" s="1106"/>
      <c r="AS848" s="1106"/>
      <c r="AT848" s="1106"/>
      <c r="AU848" s="1106"/>
      <c r="AV848" s="1106"/>
      <c r="AW848" s="1106"/>
      <c r="AX848" s="1106"/>
    </row>
    <row r="849">
      <c r="T849" s="1102"/>
      <c r="U849" s="1104"/>
      <c r="V849" s="1104"/>
      <c r="W849" s="1104"/>
      <c r="X849" s="1104"/>
      <c r="Y849" s="1104"/>
      <c r="Z849" s="1104"/>
      <c r="AA849" s="1104"/>
      <c r="AB849" s="1104"/>
      <c r="AC849" s="1104"/>
      <c r="AD849" s="1104"/>
      <c r="AE849" s="1104"/>
      <c r="AF849" s="1104"/>
      <c r="AG849" s="1106"/>
      <c r="AH849" s="1106"/>
      <c r="AI849" s="1106"/>
      <c r="AJ849" s="1106"/>
      <c r="AK849" s="1106"/>
      <c r="AL849" s="1106"/>
      <c r="AM849" s="1106"/>
      <c r="AN849" s="1106"/>
      <c r="AO849" s="1106"/>
      <c r="AP849" s="1106"/>
      <c r="AQ849" s="1106"/>
      <c r="AR849" s="1106"/>
      <c r="AS849" s="1106"/>
      <c r="AT849" s="1106"/>
      <c r="AU849" s="1106"/>
      <c r="AV849" s="1106"/>
      <c r="AW849" s="1106"/>
      <c r="AX849" s="1106"/>
    </row>
    <row r="850">
      <c r="T850" s="1102"/>
      <c r="U850" s="1104"/>
      <c r="V850" s="1104"/>
      <c r="W850" s="1104"/>
      <c r="X850" s="1104"/>
      <c r="Y850" s="1104"/>
      <c r="Z850" s="1104"/>
      <c r="AA850" s="1104"/>
      <c r="AB850" s="1104"/>
      <c r="AC850" s="1104"/>
      <c r="AD850" s="1104"/>
      <c r="AE850" s="1104"/>
      <c r="AF850" s="1104"/>
      <c r="AG850" s="1106"/>
      <c r="AH850" s="1106"/>
      <c r="AI850" s="1106"/>
      <c r="AJ850" s="1106"/>
      <c r="AK850" s="1106"/>
      <c r="AL850" s="1106"/>
      <c r="AM850" s="1106"/>
      <c r="AN850" s="1106"/>
      <c r="AO850" s="1106"/>
      <c r="AP850" s="1106"/>
      <c r="AQ850" s="1106"/>
      <c r="AR850" s="1106"/>
      <c r="AS850" s="1106"/>
      <c r="AT850" s="1106"/>
      <c r="AU850" s="1106"/>
      <c r="AV850" s="1106"/>
      <c r="AW850" s="1106"/>
      <c r="AX850" s="1106"/>
    </row>
    <row r="851">
      <c r="T851" s="1102"/>
      <c r="U851" s="1104"/>
      <c r="V851" s="1104"/>
      <c r="W851" s="1104"/>
      <c r="X851" s="1104"/>
      <c r="Y851" s="1104"/>
      <c r="Z851" s="1104"/>
      <c r="AA851" s="1104"/>
      <c r="AB851" s="1104"/>
      <c r="AC851" s="1104"/>
      <c r="AD851" s="1104"/>
      <c r="AE851" s="1104"/>
      <c r="AF851" s="1104"/>
      <c r="AG851" s="1106"/>
      <c r="AH851" s="1106"/>
      <c r="AI851" s="1106"/>
      <c r="AJ851" s="1106"/>
      <c r="AK851" s="1106"/>
      <c r="AL851" s="1106"/>
      <c r="AM851" s="1106"/>
      <c r="AN851" s="1106"/>
      <c r="AO851" s="1106"/>
      <c r="AP851" s="1106"/>
      <c r="AQ851" s="1106"/>
      <c r="AR851" s="1106"/>
      <c r="AS851" s="1106"/>
      <c r="AT851" s="1106"/>
      <c r="AU851" s="1106"/>
      <c r="AV851" s="1106"/>
      <c r="AW851" s="1106"/>
      <c r="AX851" s="1106"/>
    </row>
    <row r="852">
      <c r="T852" s="1102"/>
      <c r="U852" s="1104"/>
      <c r="V852" s="1104"/>
      <c r="W852" s="1104"/>
      <c r="X852" s="1104"/>
      <c r="Y852" s="1104"/>
      <c r="Z852" s="1104"/>
      <c r="AA852" s="1104"/>
      <c r="AB852" s="1104"/>
      <c r="AC852" s="1104"/>
      <c r="AD852" s="1104"/>
      <c r="AE852" s="1104"/>
      <c r="AF852" s="1104"/>
      <c r="AG852" s="1106"/>
      <c r="AH852" s="1106"/>
      <c r="AI852" s="1106"/>
      <c r="AJ852" s="1106"/>
      <c r="AK852" s="1106"/>
      <c r="AL852" s="1106"/>
      <c r="AM852" s="1106"/>
      <c r="AN852" s="1106"/>
      <c r="AO852" s="1106"/>
      <c r="AP852" s="1106"/>
      <c r="AQ852" s="1106"/>
      <c r="AR852" s="1106"/>
      <c r="AS852" s="1106"/>
      <c r="AT852" s="1106"/>
      <c r="AU852" s="1106"/>
      <c r="AV852" s="1106"/>
      <c r="AW852" s="1106"/>
      <c r="AX852" s="1106"/>
    </row>
    <row r="853">
      <c r="T853" s="1102"/>
      <c r="U853" s="1104"/>
      <c r="V853" s="1104"/>
      <c r="W853" s="1104"/>
      <c r="X853" s="1104"/>
      <c r="Y853" s="1104"/>
      <c r="Z853" s="1104"/>
      <c r="AA853" s="1104"/>
      <c r="AB853" s="1104"/>
      <c r="AC853" s="1104"/>
      <c r="AD853" s="1104"/>
      <c r="AE853" s="1104"/>
      <c r="AF853" s="1104"/>
      <c r="AG853" s="1106"/>
      <c r="AH853" s="1106"/>
      <c r="AI853" s="1106"/>
      <c r="AJ853" s="1106"/>
      <c r="AK853" s="1106"/>
      <c r="AL853" s="1106"/>
      <c r="AM853" s="1106"/>
      <c r="AN853" s="1106"/>
      <c r="AO853" s="1106"/>
      <c r="AP853" s="1106"/>
      <c r="AQ853" s="1106"/>
      <c r="AR853" s="1106"/>
      <c r="AS853" s="1106"/>
      <c r="AT853" s="1106"/>
      <c r="AU853" s="1106"/>
      <c r="AV853" s="1106"/>
      <c r="AW853" s="1106"/>
      <c r="AX853" s="1106"/>
    </row>
    <row r="854">
      <c r="T854" s="1102"/>
      <c r="U854" s="1104"/>
      <c r="V854" s="1104"/>
      <c r="W854" s="1104"/>
      <c r="X854" s="1104"/>
      <c r="Y854" s="1104"/>
      <c r="Z854" s="1104"/>
      <c r="AA854" s="1104"/>
      <c r="AB854" s="1104"/>
      <c r="AC854" s="1104"/>
      <c r="AD854" s="1104"/>
      <c r="AE854" s="1104"/>
      <c r="AF854" s="1104"/>
      <c r="AG854" s="1106"/>
      <c r="AH854" s="1106"/>
      <c r="AI854" s="1106"/>
      <c r="AJ854" s="1106"/>
      <c r="AK854" s="1106"/>
      <c r="AL854" s="1106"/>
      <c r="AM854" s="1106"/>
      <c r="AN854" s="1106"/>
      <c r="AO854" s="1106"/>
      <c r="AP854" s="1106"/>
      <c r="AQ854" s="1106"/>
      <c r="AR854" s="1106"/>
      <c r="AS854" s="1106"/>
      <c r="AT854" s="1106"/>
      <c r="AU854" s="1106"/>
      <c r="AV854" s="1106"/>
      <c r="AW854" s="1106"/>
      <c r="AX854" s="1106"/>
    </row>
    <row r="855">
      <c r="T855" s="1102"/>
      <c r="U855" s="1104"/>
      <c r="V855" s="1104"/>
      <c r="W855" s="1104"/>
      <c r="X855" s="1104"/>
      <c r="Y855" s="1104"/>
      <c r="Z855" s="1104"/>
      <c r="AA855" s="1104"/>
      <c r="AB855" s="1104"/>
      <c r="AC855" s="1104"/>
      <c r="AD855" s="1104"/>
      <c r="AE855" s="1104"/>
      <c r="AF855" s="1104"/>
      <c r="AG855" s="1106"/>
      <c r="AH855" s="1106"/>
      <c r="AI855" s="1106"/>
      <c r="AJ855" s="1106"/>
      <c r="AK855" s="1106"/>
      <c r="AL855" s="1106"/>
      <c r="AM855" s="1106"/>
      <c r="AN855" s="1106"/>
      <c r="AO855" s="1106"/>
      <c r="AP855" s="1106"/>
      <c r="AQ855" s="1106"/>
      <c r="AR855" s="1106"/>
      <c r="AS855" s="1106"/>
      <c r="AT855" s="1106"/>
      <c r="AU855" s="1106"/>
      <c r="AV855" s="1106"/>
      <c r="AW855" s="1106"/>
      <c r="AX855" s="1106"/>
    </row>
    <row r="856">
      <c r="T856" s="1102"/>
      <c r="U856" s="1104"/>
      <c r="V856" s="1104"/>
      <c r="W856" s="1104"/>
      <c r="X856" s="1104"/>
      <c r="Y856" s="1104"/>
      <c r="Z856" s="1104"/>
      <c r="AA856" s="1104"/>
      <c r="AB856" s="1104"/>
      <c r="AC856" s="1104"/>
      <c r="AD856" s="1104"/>
      <c r="AE856" s="1104"/>
      <c r="AF856" s="1104"/>
      <c r="AG856" s="1106"/>
      <c r="AH856" s="1106"/>
      <c r="AI856" s="1106"/>
      <c r="AJ856" s="1106"/>
      <c r="AK856" s="1106"/>
      <c r="AL856" s="1106"/>
      <c r="AM856" s="1106"/>
      <c r="AN856" s="1106"/>
      <c r="AO856" s="1106"/>
      <c r="AP856" s="1106"/>
      <c r="AQ856" s="1106"/>
      <c r="AR856" s="1106"/>
      <c r="AS856" s="1106"/>
      <c r="AT856" s="1106"/>
      <c r="AU856" s="1106"/>
      <c r="AV856" s="1106"/>
      <c r="AW856" s="1106"/>
      <c r="AX856" s="1106"/>
    </row>
    <row r="857">
      <c r="T857" s="1102"/>
      <c r="U857" s="1104"/>
      <c r="V857" s="1104"/>
      <c r="W857" s="1104"/>
      <c r="X857" s="1104"/>
      <c r="Y857" s="1104"/>
      <c r="Z857" s="1104"/>
      <c r="AA857" s="1104"/>
      <c r="AB857" s="1104"/>
      <c r="AC857" s="1104"/>
      <c r="AD857" s="1104"/>
      <c r="AE857" s="1104"/>
      <c r="AF857" s="1104"/>
      <c r="AG857" s="1106"/>
      <c r="AH857" s="1106"/>
      <c r="AI857" s="1106"/>
      <c r="AJ857" s="1106"/>
      <c r="AK857" s="1106"/>
      <c r="AL857" s="1106"/>
      <c r="AM857" s="1106"/>
      <c r="AN857" s="1106"/>
      <c r="AO857" s="1106"/>
      <c r="AP857" s="1106"/>
      <c r="AQ857" s="1106"/>
      <c r="AR857" s="1106"/>
      <c r="AS857" s="1106"/>
      <c r="AT857" s="1106"/>
      <c r="AU857" s="1106"/>
      <c r="AV857" s="1106"/>
      <c r="AW857" s="1106"/>
      <c r="AX857" s="1106"/>
    </row>
    <row r="858">
      <c r="T858" s="1102"/>
      <c r="U858" s="1104"/>
      <c r="V858" s="1104"/>
      <c r="W858" s="1104"/>
      <c r="X858" s="1104"/>
      <c r="Y858" s="1104"/>
      <c r="Z858" s="1104"/>
      <c r="AA858" s="1104"/>
      <c r="AB858" s="1104"/>
      <c r="AC858" s="1104"/>
      <c r="AD858" s="1104"/>
      <c r="AE858" s="1104"/>
      <c r="AF858" s="1104"/>
      <c r="AG858" s="1106"/>
      <c r="AH858" s="1106"/>
      <c r="AI858" s="1106"/>
      <c r="AJ858" s="1106"/>
      <c r="AK858" s="1106"/>
      <c r="AL858" s="1106"/>
      <c r="AM858" s="1106"/>
      <c r="AN858" s="1106"/>
      <c r="AO858" s="1106"/>
      <c r="AP858" s="1106"/>
      <c r="AQ858" s="1106"/>
      <c r="AR858" s="1106"/>
      <c r="AS858" s="1106"/>
      <c r="AT858" s="1106"/>
      <c r="AU858" s="1106"/>
      <c r="AV858" s="1106"/>
      <c r="AW858" s="1106"/>
      <c r="AX858" s="1106"/>
    </row>
    <row r="859">
      <c r="T859" s="1102"/>
      <c r="U859" s="1104"/>
      <c r="V859" s="1104"/>
      <c r="W859" s="1104"/>
      <c r="X859" s="1104"/>
      <c r="Y859" s="1104"/>
      <c r="Z859" s="1104"/>
      <c r="AA859" s="1104"/>
      <c r="AB859" s="1104"/>
      <c r="AC859" s="1104"/>
      <c r="AD859" s="1104"/>
      <c r="AE859" s="1104"/>
      <c r="AF859" s="1104"/>
      <c r="AG859" s="1106"/>
      <c r="AH859" s="1106"/>
      <c r="AI859" s="1106"/>
      <c r="AJ859" s="1106"/>
      <c r="AK859" s="1106"/>
      <c r="AL859" s="1106"/>
      <c r="AM859" s="1106"/>
      <c r="AN859" s="1106"/>
      <c r="AO859" s="1106"/>
      <c r="AP859" s="1106"/>
      <c r="AQ859" s="1106"/>
      <c r="AR859" s="1106"/>
      <c r="AS859" s="1106"/>
      <c r="AT859" s="1106"/>
      <c r="AU859" s="1106"/>
      <c r="AV859" s="1106"/>
      <c r="AW859" s="1106"/>
      <c r="AX859" s="1106"/>
    </row>
    <row r="860">
      <c r="T860" s="1102"/>
      <c r="U860" s="1104"/>
      <c r="V860" s="1104"/>
      <c r="W860" s="1104"/>
      <c r="X860" s="1104"/>
      <c r="Y860" s="1104"/>
      <c r="Z860" s="1104"/>
      <c r="AA860" s="1104"/>
      <c r="AB860" s="1104"/>
      <c r="AC860" s="1104"/>
      <c r="AD860" s="1104"/>
      <c r="AE860" s="1104"/>
      <c r="AF860" s="1104"/>
      <c r="AG860" s="1106"/>
      <c r="AH860" s="1106"/>
      <c r="AI860" s="1106"/>
      <c r="AJ860" s="1106"/>
      <c r="AK860" s="1106"/>
      <c r="AL860" s="1106"/>
      <c r="AM860" s="1106"/>
      <c r="AN860" s="1106"/>
      <c r="AO860" s="1106"/>
      <c r="AP860" s="1106"/>
      <c r="AQ860" s="1106"/>
      <c r="AR860" s="1106"/>
      <c r="AS860" s="1106"/>
      <c r="AT860" s="1106"/>
      <c r="AU860" s="1106"/>
      <c r="AV860" s="1106"/>
      <c r="AW860" s="1106"/>
      <c r="AX860" s="1106"/>
    </row>
    <row r="861">
      <c r="T861" s="1102"/>
      <c r="U861" s="1104"/>
      <c r="V861" s="1104"/>
      <c r="W861" s="1104"/>
      <c r="X861" s="1104"/>
      <c r="Y861" s="1104"/>
      <c r="Z861" s="1104"/>
      <c r="AA861" s="1104"/>
      <c r="AB861" s="1104"/>
      <c r="AC861" s="1104"/>
      <c r="AD861" s="1104"/>
      <c r="AE861" s="1104"/>
      <c r="AF861" s="1104"/>
      <c r="AG861" s="1106"/>
      <c r="AH861" s="1106"/>
      <c r="AI861" s="1106"/>
      <c r="AJ861" s="1106"/>
      <c r="AK861" s="1106"/>
      <c r="AL861" s="1106"/>
      <c r="AM861" s="1106"/>
      <c r="AN861" s="1106"/>
      <c r="AO861" s="1106"/>
      <c r="AP861" s="1106"/>
      <c r="AQ861" s="1106"/>
      <c r="AR861" s="1106"/>
      <c r="AS861" s="1106"/>
      <c r="AT861" s="1106"/>
      <c r="AU861" s="1106"/>
      <c r="AV861" s="1106"/>
      <c r="AW861" s="1106"/>
      <c r="AX861" s="1106"/>
    </row>
    <row r="862">
      <c r="T862" s="1102"/>
      <c r="U862" s="1104"/>
      <c r="V862" s="1104"/>
      <c r="W862" s="1104"/>
      <c r="X862" s="1104"/>
      <c r="Y862" s="1104"/>
      <c r="Z862" s="1104"/>
      <c r="AA862" s="1104"/>
      <c r="AB862" s="1104"/>
      <c r="AC862" s="1104"/>
      <c r="AD862" s="1104"/>
      <c r="AE862" s="1104"/>
      <c r="AF862" s="1104"/>
      <c r="AG862" s="1106"/>
      <c r="AH862" s="1106"/>
      <c r="AI862" s="1106"/>
      <c r="AJ862" s="1106"/>
      <c r="AK862" s="1106"/>
      <c r="AL862" s="1106"/>
      <c r="AM862" s="1106"/>
      <c r="AN862" s="1106"/>
      <c r="AO862" s="1106"/>
      <c r="AP862" s="1106"/>
      <c r="AQ862" s="1106"/>
      <c r="AR862" s="1106"/>
      <c r="AS862" s="1106"/>
      <c r="AT862" s="1106"/>
      <c r="AU862" s="1106"/>
      <c r="AV862" s="1106"/>
      <c r="AW862" s="1106"/>
      <c r="AX862" s="1106"/>
    </row>
    <row r="863">
      <c r="T863" s="1102"/>
      <c r="U863" s="1104"/>
      <c r="V863" s="1104"/>
      <c r="W863" s="1104"/>
      <c r="X863" s="1104"/>
      <c r="Y863" s="1104"/>
      <c r="Z863" s="1104"/>
      <c r="AA863" s="1104"/>
      <c r="AB863" s="1104"/>
      <c r="AC863" s="1104"/>
      <c r="AD863" s="1104"/>
      <c r="AE863" s="1104"/>
      <c r="AF863" s="1104"/>
      <c r="AG863" s="1106"/>
      <c r="AH863" s="1106"/>
      <c r="AI863" s="1106"/>
      <c r="AJ863" s="1106"/>
      <c r="AK863" s="1106"/>
      <c r="AL863" s="1106"/>
      <c r="AM863" s="1106"/>
      <c r="AN863" s="1106"/>
      <c r="AO863" s="1106"/>
      <c r="AP863" s="1106"/>
      <c r="AQ863" s="1106"/>
      <c r="AR863" s="1106"/>
      <c r="AS863" s="1106"/>
      <c r="AT863" s="1106"/>
      <c r="AU863" s="1106"/>
      <c r="AV863" s="1106"/>
      <c r="AW863" s="1106"/>
      <c r="AX863" s="1106"/>
    </row>
    <row r="864">
      <c r="T864" s="1102"/>
      <c r="U864" s="1104"/>
      <c r="V864" s="1104"/>
      <c r="W864" s="1104"/>
      <c r="X864" s="1104"/>
      <c r="Y864" s="1104"/>
      <c r="Z864" s="1104"/>
      <c r="AA864" s="1104"/>
      <c r="AB864" s="1104"/>
      <c r="AC864" s="1104"/>
      <c r="AD864" s="1104"/>
      <c r="AE864" s="1104"/>
      <c r="AF864" s="1104"/>
      <c r="AG864" s="1106"/>
      <c r="AH864" s="1106"/>
      <c r="AI864" s="1106"/>
      <c r="AJ864" s="1106"/>
      <c r="AK864" s="1106"/>
      <c r="AL864" s="1106"/>
      <c r="AM864" s="1106"/>
      <c r="AN864" s="1106"/>
      <c r="AO864" s="1106"/>
      <c r="AP864" s="1106"/>
      <c r="AQ864" s="1106"/>
      <c r="AR864" s="1106"/>
      <c r="AS864" s="1106"/>
      <c r="AT864" s="1106"/>
      <c r="AU864" s="1106"/>
      <c r="AV864" s="1106"/>
      <c r="AW864" s="1106"/>
      <c r="AX864" s="1106"/>
    </row>
    <row r="865">
      <c r="T865" s="1102"/>
      <c r="U865" s="1104"/>
      <c r="V865" s="1104"/>
      <c r="W865" s="1104"/>
      <c r="X865" s="1104"/>
      <c r="Y865" s="1104"/>
      <c r="Z865" s="1104"/>
      <c r="AA865" s="1104"/>
      <c r="AB865" s="1104"/>
      <c r="AC865" s="1104"/>
      <c r="AD865" s="1104"/>
      <c r="AE865" s="1104"/>
      <c r="AF865" s="1104"/>
      <c r="AG865" s="1106"/>
      <c r="AH865" s="1106"/>
      <c r="AI865" s="1106"/>
      <c r="AJ865" s="1106"/>
      <c r="AK865" s="1106"/>
      <c r="AL865" s="1106"/>
      <c r="AM865" s="1106"/>
      <c r="AN865" s="1106"/>
      <c r="AO865" s="1106"/>
      <c r="AP865" s="1106"/>
      <c r="AQ865" s="1106"/>
      <c r="AR865" s="1106"/>
      <c r="AS865" s="1106"/>
      <c r="AT865" s="1106"/>
      <c r="AU865" s="1106"/>
      <c r="AV865" s="1106"/>
      <c r="AW865" s="1106"/>
      <c r="AX865" s="1106"/>
    </row>
    <row r="866">
      <c r="T866" s="1102"/>
      <c r="U866" s="1104"/>
      <c r="V866" s="1104"/>
      <c r="W866" s="1104"/>
      <c r="X866" s="1104"/>
      <c r="Y866" s="1104"/>
      <c r="Z866" s="1104"/>
      <c r="AA866" s="1104"/>
      <c r="AB866" s="1104"/>
      <c r="AC866" s="1104"/>
      <c r="AD866" s="1104"/>
      <c r="AE866" s="1104"/>
      <c r="AF866" s="1104"/>
      <c r="AG866" s="1106"/>
      <c r="AH866" s="1106"/>
      <c r="AI866" s="1106"/>
      <c r="AJ866" s="1106"/>
      <c r="AK866" s="1106"/>
      <c r="AL866" s="1106"/>
      <c r="AM866" s="1106"/>
      <c r="AN866" s="1106"/>
      <c r="AO866" s="1106"/>
      <c r="AP866" s="1106"/>
      <c r="AQ866" s="1106"/>
      <c r="AR866" s="1106"/>
      <c r="AS866" s="1106"/>
      <c r="AT866" s="1106"/>
      <c r="AU866" s="1106"/>
      <c r="AV866" s="1106"/>
      <c r="AW866" s="1106"/>
      <c r="AX866" s="1106"/>
    </row>
    <row r="867">
      <c r="T867" s="1102"/>
      <c r="U867" s="1104"/>
      <c r="V867" s="1104"/>
      <c r="W867" s="1104"/>
      <c r="X867" s="1104"/>
      <c r="Y867" s="1104"/>
      <c r="Z867" s="1104"/>
      <c r="AA867" s="1104"/>
      <c r="AB867" s="1104"/>
      <c r="AC867" s="1104"/>
      <c r="AD867" s="1104"/>
      <c r="AE867" s="1104"/>
      <c r="AF867" s="1104"/>
      <c r="AG867" s="1106"/>
      <c r="AH867" s="1106"/>
      <c r="AI867" s="1106"/>
      <c r="AJ867" s="1106"/>
      <c r="AK867" s="1106"/>
      <c r="AL867" s="1106"/>
      <c r="AM867" s="1106"/>
      <c r="AN867" s="1106"/>
      <c r="AO867" s="1106"/>
      <c r="AP867" s="1106"/>
      <c r="AQ867" s="1106"/>
      <c r="AR867" s="1106"/>
      <c r="AS867" s="1106"/>
      <c r="AT867" s="1106"/>
      <c r="AU867" s="1106"/>
      <c r="AV867" s="1106"/>
      <c r="AW867" s="1106"/>
      <c r="AX867" s="1106"/>
    </row>
    <row r="868">
      <c r="T868" s="1102"/>
      <c r="U868" s="1104"/>
      <c r="V868" s="1104"/>
      <c r="W868" s="1104"/>
      <c r="X868" s="1104"/>
      <c r="Y868" s="1104"/>
      <c r="Z868" s="1104"/>
      <c r="AA868" s="1104"/>
      <c r="AB868" s="1104"/>
      <c r="AC868" s="1104"/>
      <c r="AD868" s="1104"/>
      <c r="AE868" s="1104"/>
      <c r="AF868" s="1104"/>
      <c r="AG868" s="1106"/>
      <c r="AH868" s="1106"/>
      <c r="AI868" s="1106"/>
      <c r="AJ868" s="1106"/>
      <c r="AK868" s="1106"/>
      <c r="AL868" s="1106"/>
      <c r="AM868" s="1106"/>
      <c r="AN868" s="1106"/>
      <c r="AO868" s="1106"/>
      <c r="AP868" s="1106"/>
      <c r="AQ868" s="1106"/>
      <c r="AR868" s="1106"/>
      <c r="AS868" s="1106"/>
      <c r="AT868" s="1106"/>
      <c r="AU868" s="1106"/>
      <c r="AV868" s="1106"/>
      <c r="AW868" s="1106"/>
      <c r="AX868" s="1106"/>
    </row>
    <row r="869">
      <c r="T869" s="1102"/>
      <c r="U869" s="1104"/>
      <c r="V869" s="1104"/>
      <c r="W869" s="1104"/>
      <c r="X869" s="1104"/>
      <c r="Y869" s="1104"/>
      <c r="Z869" s="1104"/>
      <c r="AA869" s="1104"/>
      <c r="AB869" s="1104"/>
      <c r="AC869" s="1104"/>
      <c r="AD869" s="1104"/>
      <c r="AE869" s="1104"/>
      <c r="AF869" s="1104"/>
      <c r="AG869" s="1106"/>
      <c r="AH869" s="1106"/>
      <c r="AI869" s="1106"/>
      <c r="AJ869" s="1106"/>
      <c r="AK869" s="1106"/>
      <c r="AL869" s="1106"/>
      <c r="AM869" s="1106"/>
      <c r="AN869" s="1106"/>
      <c r="AO869" s="1106"/>
      <c r="AP869" s="1106"/>
      <c r="AQ869" s="1106"/>
      <c r="AR869" s="1106"/>
      <c r="AS869" s="1106"/>
      <c r="AT869" s="1106"/>
      <c r="AU869" s="1106"/>
      <c r="AV869" s="1106"/>
      <c r="AW869" s="1106"/>
      <c r="AX869" s="1106"/>
    </row>
    <row r="870">
      <c r="T870" s="1102"/>
      <c r="U870" s="1104"/>
      <c r="V870" s="1104"/>
      <c r="W870" s="1104"/>
      <c r="X870" s="1104"/>
      <c r="Y870" s="1104"/>
      <c r="Z870" s="1104"/>
      <c r="AA870" s="1104"/>
      <c r="AB870" s="1104"/>
      <c r="AC870" s="1104"/>
      <c r="AD870" s="1104"/>
      <c r="AE870" s="1104"/>
      <c r="AF870" s="1104"/>
      <c r="AG870" s="1106"/>
      <c r="AH870" s="1106"/>
      <c r="AI870" s="1106"/>
      <c r="AJ870" s="1106"/>
      <c r="AK870" s="1106"/>
      <c r="AL870" s="1106"/>
      <c r="AM870" s="1106"/>
      <c r="AN870" s="1106"/>
      <c r="AO870" s="1106"/>
      <c r="AP870" s="1106"/>
      <c r="AQ870" s="1106"/>
      <c r="AR870" s="1106"/>
      <c r="AS870" s="1106"/>
      <c r="AT870" s="1106"/>
      <c r="AU870" s="1106"/>
      <c r="AV870" s="1106"/>
      <c r="AW870" s="1106"/>
      <c r="AX870" s="1106"/>
    </row>
    <row r="871">
      <c r="T871" s="1102"/>
      <c r="U871" s="1104"/>
      <c r="V871" s="1104"/>
      <c r="W871" s="1104"/>
      <c r="X871" s="1104"/>
      <c r="Y871" s="1104"/>
      <c r="Z871" s="1104"/>
      <c r="AA871" s="1104"/>
      <c r="AB871" s="1104"/>
      <c r="AC871" s="1104"/>
      <c r="AD871" s="1104"/>
      <c r="AE871" s="1104"/>
      <c r="AF871" s="1104"/>
      <c r="AG871" s="1106"/>
      <c r="AH871" s="1106"/>
      <c r="AI871" s="1106"/>
      <c r="AJ871" s="1106"/>
      <c r="AK871" s="1106"/>
      <c r="AL871" s="1106"/>
      <c r="AM871" s="1106"/>
      <c r="AN871" s="1106"/>
      <c r="AO871" s="1106"/>
      <c r="AP871" s="1106"/>
      <c r="AQ871" s="1106"/>
      <c r="AR871" s="1106"/>
      <c r="AS871" s="1106"/>
      <c r="AT871" s="1106"/>
      <c r="AU871" s="1106"/>
      <c r="AV871" s="1106"/>
      <c r="AW871" s="1106"/>
      <c r="AX871" s="1106"/>
    </row>
    <row r="872">
      <c r="T872" s="1102"/>
      <c r="U872" s="1104"/>
      <c r="V872" s="1104"/>
      <c r="W872" s="1104"/>
      <c r="X872" s="1104"/>
      <c r="Y872" s="1104"/>
      <c r="Z872" s="1104"/>
      <c r="AA872" s="1104"/>
      <c r="AB872" s="1104"/>
      <c r="AC872" s="1104"/>
      <c r="AD872" s="1104"/>
      <c r="AE872" s="1104"/>
      <c r="AF872" s="1104"/>
      <c r="AG872" s="1106"/>
      <c r="AH872" s="1106"/>
      <c r="AI872" s="1106"/>
      <c r="AJ872" s="1106"/>
      <c r="AK872" s="1106"/>
      <c r="AL872" s="1106"/>
      <c r="AM872" s="1106"/>
      <c r="AN872" s="1106"/>
      <c r="AO872" s="1106"/>
      <c r="AP872" s="1106"/>
      <c r="AQ872" s="1106"/>
      <c r="AR872" s="1106"/>
      <c r="AS872" s="1106"/>
      <c r="AT872" s="1106"/>
      <c r="AU872" s="1106"/>
      <c r="AV872" s="1106"/>
      <c r="AW872" s="1106"/>
      <c r="AX872" s="1106"/>
    </row>
    <row r="873">
      <c r="T873" s="1102"/>
      <c r="U873" s="1104"/>
      <c r="V873" s="1104"/>
      <c r="W873" s="1104"/>
      <c r="X873" s="1104"/>
      <c r="Y873" s="1104"/>
      <c r="Z873" s="1104"/>
      <c r="AA873" s="1104"/>
      <c r="AB873" s="1104"/>
      <c r="AC873" s="1104"/>
      <c r="AD873" s="1104"/>
      <c r="AE873" s="1104"/>
      <c r="AF873" s="1104"/>
      <c r="AG873" s="1106"/>
      <c r="AH873" s="1106"/>
      <c r="AI873" s="1106"/>
      <c r="AJ873" s="1106"/>
      <c r="AK873" s="1106"/>
      <c r="AL873" s="1106"/>
      <c r="AM873" s="1106"/>
      <c r="AN873" s="1106"/>
      <c r="AO873" s="1106"/>
      <c r="AP873" s="1106"/>
      <c r="AQ873" s="1106"/>
      <c r="AR873" s="1106"/>
      <c r="AS873" s="1106"/>
      <c r="AT873" s="1106"/>
      <c r="AU873" s="1106"/>
      <c r="AV873" s="1106"/>
      <c r="AW873" s="1106"/>
      <c r="AX873" s="1106"/>
    </row>
    <row r="874">
      <c r="T874" s="1102"/>
      <c r="U874" s="1104"/>
      <c r="V874" s="1104"/>
      <c r="W874" s="1104"/>
      <c r="X874" s="1104"/>
      <c r="Y874" s="1104"/>
      <c r="Z874" s="1104"/>
      <c r="AA874" s="1104"/>
      <c r="AB874" s="1104"/>
      <c r="AC874" s="1104"/>
      <c r="AD874" s="1104"/>
      <c r="AE874" s="1104"/>
      <c r="AF874" s="1104"/>
      <c r="AG874" s="1106"/>
      <c r="AH874" s="1106"/>
      <c r="AI874" s="1106"/>
      <c r="AJ874" s="1106"/>
      <c r="AK874" s="1106"/>
      <c r="AL874" s="1106"/>
      <c r="AM874" s="1106"/>
      <c r="AN874" s="1106"/>
      <c r="AO874" s="1106"/>
      <c r="AP874" s="1106"/>
      <c r="AQ874" s="1106"/>
      <c r="AR874" s="1106"/>
      <c r="AS874" s="1106"/>
      <c r="AT874" s="1106"/>
      <c r="AU874" s="1106"/>
      <c r="AV874" s="1106"/>
      <c r="AW874" s="1106"/>
      <c r="AX874" s="1106"/>
    </row>
    <row r="875">
      <c r="T875" s="1102"/>
      <c r="U875" s="1104"/>
      <c r="V875" s="1104"/>
      <c r="W875" s="1104"/>
      <c r="X875" s="1104"/>
      <c r="Y875" s="1104"/>
      <c r="Z875" s="1104"/>
      <c r="AA875" s="1104"/>
      <c r="AB875" s="1104"/>
      <c r="AC875" s="1104"/>
      <c r="AD875" s="1104"/>
      <c r="AE875" s="1104"/>
      <c r="AF875" s="1104"/>
      <c r="AG875" s="1106"/>
      <c r="AH875" s="1106"/>
      <c r="AI875" s="1106"/>
      <c r="AJ875" s="1106"/>
      <c r="AK875" s="1106"/>
      <c r="AL875" s="1106"/>
      <c r="AM875" s="1106"/>
      <c r="AN875" s="1106"/>
      <c r="AO875" s="1106"/>
      <c r="AP875" s="1106"/>
      <c r="AQ875" s="1106"/>
      <c r="AR875" s="1106"/>
      <c r="AS875" s="1106"/>
      <c r="AT875" s="1106"/>
      <c r="AU875" s="1106"/>
      <c r="AV875" s="1106"/>
      <c r="AW875" s="1106"/>
      <c r="AX875" s="1106"/>
    </row>
    <row r="876">
      <c r="T876" s="1102"/>
      <c r="U876" s="1104"/>
      <c r="V876" s="1104"/>
      <c r="W876" s="1104"/>
      <c r="X876" s="1104"/>
      <c r="Y876" s="1104"/>
      <c r="Z876" s="1104"/>
      <c r="AA876" s="1104"/>
      <c r="AB876" s="1104"/>
      <c r="AC876" s="1104"/>
      <c r="AD876" s="1104"/>
      <c r="AE876" s="1104"/>
      <c r="AF876" s="1104"/>
      <c r="AG876" s="1106"/>
      <c r="AH876" s="1106"/>
      <c r="AI876" s="1106"/>
      <c r="AJ876" s="1106"/>
      <c r="AK876" s="1106"/>
      <c r="AL876" s="1106"/>
      <c r="AM876" s="1106"/>
      <c r="AN876" s="1106"/>
      <c r="AO876" s="1106"/>
      <c r="AP876" s="1106"/>
      <c r="AQ876" s="1106"/>
      <c r="AR876" s="1106"/>
      <c r="AS876" s="1106"/>
      <c r="AT876" s="1106"/>
      <c r="AU876" s="1106"/>
      <c r="AV876" s="1106"/>
      <c r="AW876" s="1106"/>
      <c r="AX876" s="1106"/>
    </row>
    <row r="877">
      <c r="T877" s="1102"/>
      <c r="U877" s="1104"/>
      <c r="V877" s="1104"/>
      <c r="W877" s="1104"/>
      <c r="X877" s="1104"/>
      <c r="Y877" s="1104"/>
      <c r="Z877" s="1104"/>
      <c r="AA877" s="1104"/>
      <c r="AB877" s="1104"/>
      <c r="AC877" s="1104"/>
      <c r="AD877" s="1104"/>
      <c r="AE877" s="1104"/>
      <c r="AF877" s="1104"/>
      <c r="AG877" s="1106"/>
      <c r="AH877" s="1106"/>
      <c r="AI877" s="1106"/>
      <c r="AJ877" s="1106"/>
      <c r="AK877" s="1106"/>
      <c r="AL877" s="1106"/>
      <c r="AM877" s="1106"/>
      <c r="AN877" s="1106"/>
      <c r="AO877" s="1106"/>
      <c r="AP877" s="1106"/>
      <c r="AQ877" s="1106"/>
      <c r="AR877" s="1106"/>
      <c r="AS877" s="1106"/>
      <c r="AT877" s="1106"/>
      <c r="AU877" s="1106"/>
      <c r="AV877" s="1106"/>
      <c r="AW877" s="1106"/>
      <c r="AX877" s="1106"/>
    </row>
    <row r="878">
      <c r="T878" s="1102"/>
      <c r="U878" s="1104"/>
      <c r="V878" s="1104"/>
      <c r="W878" s="1104"/>
      <c r="X878" s="1104"/>
      <c r="Y878" s="1104"/>
      <c r="Z878" s="1104"/>
      <c r="AA878" s="1104"/>
      <c r="AB878" s="1104"/>
      <c r="AC878" s="1104"/>
      <c r="AD878" s="1104"/>
      <c r="AE878" s="1104"/>
      <c r="AF878" s="1104"/>
      <c r="AG878" s="1106"/>
      <c r="AH878" s="1106"/>
      <c r="AI878" s="1106"/>
      <c r="AJ878" s="1106"/>
      <c r="AK878" s="1106"/>
      <c r="AL878" s="1106"/>
      <c r="AM878" s="1106"/>
      <c r="AN878" s="1106"/>
      <c r="AO878" s="1106"/>
      <c r="AP878" s="1106"/>
      <c r="AQ878" s="1106"/>
      <c r="AR878" s="1106"/>
      <c r="AS878" s="1106"/>
      <c r="AT878" s="1106"/>
      <c r="AU878" s="1106"/>
      <c r="AV878" s="1106"/>
      <c r="AW878" s="1106"/>
      <c r="AX878" s="1106"/>
    </row>
    <row r="879">
      <c r="T879" s="1102"/>
      <c r="U879" s="1104"/>
      <c r="V879" s="1104"/>
      <c r="W879" s="1104"/>
      <c r="X879" s="1104"/>
      <c r="Y879" s="1104"/>
      <c r="Z879" s="1104"/>
      <c r="AA879" s="1104"/>
      <c r="AB879" s="1104"/>
      <c r="AC879" s="1104"/>
      <c r="AD879" s="1104"/>
      <c r="AE879" s="1104"/>
      <c r="AF879" s="1104"/>
      <c r="AG879" s="1106"/>
      <c r="AH879" s="1106"/>
      <c r="AI879" s="1106"/>
      <c r="AJ879" s="1106"/>
      <c r="AK879" s="1106"/>
      <c r="AL879" s="1106"/>
      <c r="AM879" s="1106"/>
      <c r="AN879" s="1106"/>
      <c r="AO879" s="1106"/>
      <c r="AP879" s="1106"/>
      <c r="AQ879" s="1106"/>
      <c r="AR879" s="1106"/>
      <c r="AS879" s="1106"/>
      <c r="AT879" s="1106"/>
      <c r="AU879" s="1106"/>
      <c r="AV879" s="1106"/>
      <c r="AW879" s="1106"/>
      <c r="AX879" s="1106"/>
    </row>
    <row r="880">
      <c r="T880" s="1102"/>
      <c r="U880" s="1104"/>
      <c r="V880" s="1104"/>
      <c r="W880" s="1104"/>
      <c r="X880" s="1104"/>
      <c r="Y880" s="1104"/>
      <c r="Z880" s="1104"/>
      <c r="AA880" s="1104"/>
      <c r="AB880" s="1104"/>
      <c r="AC880" s="1104"/>
      <c r="AD880" s="1104"/>
      <c r="AE880" s="1104"/>
      <c r="AF880" s="1104"/>
      <c r="AG880" s="1106"/>
      <c r="AH880" s="1106"/>
      <c r="AI880" s="1106"/>
      <c r="AJ880" s="1106"/>
      <c r="AK880" s="1106"/>
      <c r="AL880" s="1106"/>
      <c r="AM880" s="1106"/>
      <c r="AN880" s="1106"/>
      <c r="AO880" s="1106"/>
      <c r="AP880" s="1106"/>
      <c r="AQ880" s="1106"/>
      <c r="AR880" s="1106"/>
      <c r="AS880" s="1106"/>
      <c r="AT880" s="1106"/>
      <c r="AU880" s="1106"/>
      <c r="AV880" s="1106"/>
      <c r="AW880" s="1106"/>
      <c r="AX880" s="1106"/>
    </row>
    <row r="881">
      <c r="T881" s="1102"/>
      <c r="U881" s="1104"/>
      <c r="V881" s="1104"/>
      <c r="W881" s="1104"/>
      <c r="X881" s="1104"/>
      <c r="Y881" s="1104"/>
      <c r="Z881" s="1104"/>
      <c r="AA881" s="1104"/>
      <c r="AB881" s="1104"/>
      <c r="AC881" s="1104"/>
      <c r="AD881" s="1104"/>
      <c r="AE881" s="1104"/>
      <c r="AF881" s="1104"/>
      <c r="AG881" s="1106"/>
      <c r="AH881" s="1106"/>
      <c r="AI881" s="1106"/>
      <c r="AJ881" s="1106"/>
      <c r="AK881" s="1106"/>
      <c r="AL881" s="1106"/>
      <c r="AM881" s="1106"/>
      <c r="AN881" s="1106"/>
      <c r="AO881" s="1106"/>
      <c r="AP881" s="1106"/>
      <c r="AQ881" s="1106"/>
      <c r="AR881" s="1106"/>
      <c r="AS881" s="1106"/>
      <c r="AT881" s="1106"/>
      <c r="AU881" s="1106"/>
      <c r="AV881" s="1106"/>
      <c r="AW881" s="1106"/>
      <c r="AX881" s="1106"/>
    </row>
    <row r="882">
      <c r="T882" s="1102"/>
      <c r="U882" s="1104"/>
      <c r="V882" s="1104"/>
      <c r="W882" s="1104"/>
      <c r="X882" s="1104"/>
      <c r="Y882" s="1104"/>
      <c r="Z882" s="1104"/>
      <c r="AA882" s="1104"/>
      <c r="AB882" s="1104"/>
      <c r="AC882" s="1104"/>
      <c r="AD882" s="1104"/>
      <c r="AE882" s="1104"/>
      <c r="AF882" s="1104"/>
      <c r="AG882" s="1106"/>
      <c r="AH882" s="1106"/>
      <c r="AI882" s="1106"/>
      <c r="AJ882" s="1106"/>
      <c r="AK882" s="1106"/>
      <c r="AL882" s="1106"/>
      <c r="AM882" s="1106"/>
      <c r="AN882" s="1106"/>
      <c r="AO882" s="1106"/>
      <c r="AP882" s="1106"/>
      <c r="AQ882" s="1106"/>
      <c r="AR882" s="1106"/>
      <c r="AS882" s="1106"/>
      <c r="AT882" s="1106"/>
      <c r="AU882" s="1106"/>
      <c r="AV882" s="1106"/>
      <c r="AW882" s="1106"/>
      <c r="AX882" s="1106"/>
    </row>
    <row r="883">
      <c r="T883" s="1102"/>
      <c r="U883" s="1104"/>
      <c r="V883" s="1104"/>
      <c r="W883" s="1104"/>
      <c r="X883" s="1104"/>
      <c r="Y883" s="1104"/>
      <c r="Z883" s="1104"/>
      <c r="AA883" s="1104"/>
      <c r="AB883" s="1104"/>
      <c r="AC883" s="1104"/>
      <c r="AD883" s="1104"/>
      <c r="AE883" s="1104"/>
      <c r="AF883" s="1104"/>
      <c r="AG883" s="1106"/>
      <c r="AH883" s="1106"/>
      <c r="AI883" s="1106"/>
      <c r="AJ883" s="1106"/>
      <c r="AK883" s="1106"/>
      <c r="AL883" s="1106"/>
      <c r="AM883" s="1106"/>
      <c r="AN883" s="1106"/>
      <c r="AO883" s="1106"/>
      <c r="AP883" s="1106"/>
      <c r="AQ883" s="1106"/>
      <c r="AR883" s="1106"/>
      <c r="AS883" s="1106"/>
      <c r="AT883" s="1106"/>
      <c r="AU883" s="1106"/>
      <c r="AV883" s="1106"/>
      <c r="AW883" s="1106"/>
      <c r="AX883" s="1106"/>
    </row>
    <row r="884">
      <c r="T884" s="1102"/>
      <c r="U884" s="1104"/>
      <c r="V884" s="1104"/>
      <c r="W884" s="1104"/>
      <c r="X884" s="1104"/>
      <c r="Y884" s="1104"/>
      <c r="Z884" s="1104"/>
      <c r="AA884" s="1104"/>
      <c r="AB884" s="1104"/>
      <c r="AC884" s="1104"/>
      <c r="AD884" s="1104"/>
      <c r="AE884" s="1104"/>
      <c r="AF884" s="1104"/>
      <c r="AG884" s="1106"/>
      <c r="AH884" s="1106"/>
      <c r="AI884" s="1106"/>
      <c r="AJ884" s="1106"/>
      <c r="AK884" s="1106"/>
      <c r="AL884" s="1106"/>
      <c r="AM884" s="1106"/>
      <c r="AN884" s="1106"/>
      <c r="AO884" s="1106"/>
      <c r="AP884" s="1106"/>
      <c r="AQ884" s="1106"/>
      <c r="AR884" s="1106"/>
      <c r="AS884" s="1106"/>
      <c r="AT884" s="1106"/>
      <c r="AU884" s="1106"/>
      <c r="AV884" s="1106"/>
      <c r="AW884" s="1106"/>
      <c r="AX884" s="1106"/>
    </row>
    <row r="885">
      <c r="T885" s="1102"/>
      <c r="U885" s="1104"/>
      <c r="V885" s="1104"/>
      <c r="W885" s="1104"/>
      <c r="X885" s="1104"/>
      <c r="Y885" s="1104"/>
      <c r="Z885" s="1104"/>
      <c r="AA885" s="1104"/>
      <c r="AB885" s="1104"/>
      <c r="AC885" s="1104"/>
      <c r="AD885" s="1104"/>
      <c r="AE885" s="1104"/>
      <c r="AF885" s="1104"/>
      <c r="AG885" s="1106"/>
      <c r="AH885" s="1106"/>
      <c r="AI885" s="1106"/>
      <c r="AJ885" s="1106"/>
      <c r="AK885" s="1106"/>
      <c r="AL885" s="1106"/>
      <c r="AM885" s="1106"/>
      <c r="AN885" s="1106"/>
      <c r="AO885" s="1106"/>
      <c r="AP885" s="1106"/>
      <c r="AQ885" s="1106"/>
      <c r="AR885" s="1106"/>
      <c r="AS885" s="1106"/>
      <c r="AT885" s="1106"/>
      <c r="AU885" s="1106"/>
      <c r="AV885" s="1106"/>
      <c r="AW885" s="1106"/>
      <c r="AX885" s="1106"/>
    </row>
    <row r="886">
      <c r="T886" s="1102"/>
      <c r="U886" s="1104"/>
      <c r="V886" s="1104"/>
      <c r="W886" s="1104"/>
      <c r="X886" s="1104"/>
      <c r="Y886" s="1104"/>
      <c r="Z886" s="1104"/>
      <c r="AA886" s="1104"/>
      <c r="AB886" s="1104"/>
      <c r="AC886" s="1104"/>
      <c r="AD886" s="1104"/>
      <c r="AE886" s="1104"/>
      <c r="AF886" s="1104"/>
      <c r="AG886" s="1106"/>
      <c r="AH886" s="1106"/>
      <c r="AI886" s="1106"/>
      <c r="AJ886" s="1106"/>
      <c r="AK886" s="1106"/>
      <c r="AL886" s="1106"/>
      <c r="AM886" s="1106"/>
      <c r="AN886" s="1106"/>
      <c r="AO886" s="1106"/>
      <c r="AP886" s="1106"/>
      <c r="AQ886" s="1106"/>
      <c r="AR886" s="1106"/>
      <c r="AS886" s="1106"/>
      <c r="AT886" s="1106"/>
      <c r="AU886" s="1106"/>
      <c r="AV886" s="1106"/>
      <c r="AW886" s="1106"/>
      <c r="AX886" s="1106"/>
    </row>
    <row r="887">
      <c r="T887" s="1102"/>
      <c r="U887" s="1104"/>
      <c r="V887" s="1104"/>
      <c r="W887" s="1104"/>
      <c r="X887" s="1104"/>
      <c r="Y887" s="1104"/>
      <c r="Z887" s="1104"/>
      <c r="AA887" s="1104"/>
      <c r="AB887" s="1104"/>
      <c r="AC887" s="1104"/>
      <c r="AD887" s="1104"/>
      <c r="AE887" s="1104"/>
      <c r="AF887" s="1104"/>
      <c r="AG887" s="1106"/>
      <c r="AH887" s="1106"/>
      <c r="AI887" s="1106"/>
      <c r="AJ887" s="1106"/>
      <c r="AK887" s="1106"/>
      <c r="AL887" s="1106"/>
      <c r="AM887" s="1106"/>
      <c r="AN887" s="1106"/>
      <c r="AO887" s="1106"/>
      <c r="AP887" s="1106"/>
      <c r="AQ887" s="1106"/>
      <c r="AR887" s="1106"/>
      <c r="AS887" s="1106"/>
      <c r="AT887" s="1106"/>
      <c r="AU887" s="1106"/>
      <c r="AV887" s="1106"/>
      <c r="AW887" s="1106"/>
      <c r="AX887" s="1106"/>
    </row>
    <row r="888">
      <c r="T888" s="1102"/>
      <c r="U888" s="1104"/>
      <c r="V888" s="1104"/>
      <c r="W888" s="1104"/>
      <c r="X888" s="1104"/>
      <c r="Y888" s="1104"/>
      <c r="Z888" s="1104"/>
      <c r="AA888" s="1104"/>
      <c r="AB888" s="1104"/>
      <c r="AC888" s="1104"/>
      <c r="AD888" s="1104"/>
      <c r="AE888" s="1104"/>
      <c r="AF888" s="1104"/>
      <c r="AG888" s="1106"/>
      <c r="AH888" s="1106"/>
      <c r="AI888" s="1106"/>
      <c r="AJ888" s="1106"/>
      <c r="AK888" s="1106"/>
      <c r="AL888" s="1106"/>
      <c r="AM888" s="1106"/>
      <c r="AN888" s="1106"/>
      <c r="AO888" s="1106"/>
      <c r="AP888" s="1106"/>
      <c r="AQ888" s="1106"/>
      <c r="AR888" s="1106"/>
      <c r="AS888" s="1106"/>
      <c r="AT888" s="1106"/>
      <c r="AU888" s="1106"/>
      <c r="AV888" s="1106"/>
      <c r="AW888" s="1106"/>
      <c r="AX888" s="1106"/>
    </row>
    <row r="889">
      <c r="T889" s="1102"/>
      <c r="U889" s="1104"/>
      <c r="V889" s="1104"/>
      <c r="W889" s="1104"/>
      <c r="X889" s="1104"/>
      <c r="Y889" s="1104"/>
      <c r="Z889" s="1104"/>
      <c r="AA889" s="1104"/>
      <c r="AB889" s="1104"/>
      <c r="AC889" s="1104"/>
      <c r="AD889" s="1104"/>
      <c r="AE889" s="1104"/>
      <c r="AF889" s="1104"/>
      <c r="AG889" s="1106"/>
      <c r="AH889" s="1106"/>
      <c r="AI889" s="1106"/>
      <c r="AJ889" s="1106"/>
      <c r="AK889" s="1106"/>
      <c r="AL889" s="1106"/>
      <c r="AM889" s="1106"/>
      <c r="AN889" s="1106"/>
      <c r="AO889" s="1106"/>
      <c r="AP889" s="1106"/>
      <c r="AQ889" s="1106"/>
      <c r="AR889" s="1106"/>
      <c r="AS889" s="1106"/>
      <c r="AT889" s="1106"/>
      <c r="AU889" s="1106"/>
      <c r="AV889" s="1106"/>
      <c r="AW889" s="1106"/>
      <c r="AX889" s="1106"/>
    </row>
    <row r="890">
      <c r="T890" s="1102"/>
      <c r="U890" s="1104"/>
      <c r="V890" s="1104"/>
      <c r="W890" s="1104"/>
      <c r="X890" s="1104"/>
      <c r="Y890" s="1104"/>
      <c r="Z890" s="1104"/>
      <c r="AA890" s="1104"/>
      <c r="AB890" s="1104"/>
      <c r="AC890" s="1104"/>
      <c r="AD890" s="1104"/>
      <c r="AE890" s="1104"/>
      <c r="AF890" s="1104"/>
      <c r="AG890" s="1106"/>
      <c r="AH890" s="1106"/>
      <c r="AI890" s="1106"/>
      <c r="AJ890" s="1106"/>
      <c r="AK890" s="1106"/>
      <c r="AL890" s="1106"/>
      <c r="AM890" s="1106"/>
      <c r="AN890" s="1106"/>
      <c r="AO890" s="1106"/>
      <c r="AP890" s="1106"/>
      <c r="AQ890" s="1106"/>
      <c r="AR890" s="1106"/>
      <c r="AS890" s="1106"/>
      <c r="AT890" s="1106"/>
      <c r="AU890" s="1106"/>
      <c r="AV890" s="1106"/>
      <c r="AW890" s="1106"/>
      <c r="AX890" s="1106"/>
    </row>
    <row r="891">
      <c r="T891" s="1102"/>
      <c r="U891" s="1104"/>
      <c r="V891" s="1104"/>
      <c r="W891" s="1104"/>
      <c r="X891" s="1104"/>
      <c r="Y891" s="1104"/>
      <c r="Z891" s="1104"/>
      <c r="AA891" s="1104"/>
      <c r="AB891" s="1104"/>
      <c r="AC891" s="1104"/>
      <c r="AD891" s="1104"/>
      <c r="AE891" s="1104"/>
      <c r="AF891" s="1104"/>
      <c r="AG891" s="1106"/>
      <c r="AH891" s="1106"/>
      <c r="AI891" s="1106"/>
      <c r="AJ891" s="1106"/>
      <c r="AK891" s="1106"/>
      <c r="AL891" s="1106"/>
      <c r="AM891" s="1106"/>
      <c r="AN891" s="1106"/>
      <c r="AO891" s="1106"/>
      <c r="AP891" s="1106"/>
      <c r="AQ891" s="1106"/>
      <c r="AR891" s="1106"/>
      <c r="AS891" s="1106"/>
      <c r="AT891" s="1106"/>
      <c r="AU891" s="1106"/>
      <c r="AV891" s="1106"/>
      <c r="AW891" s="1106"/>
      <c r="AX891" s="1106"/>
    </row>
    <row r="892">
      <c r="T892" s="1102"/>
      <c r="U892" s="1104"/>
      <c r="V892" s="1104"/>
      <c r="W892" s="1104"/>
      <c r="X892" s="1104"/>
      <c r="Y892" s="1104"/>
      <c r="Z892" s="1104"/>
      <c r="AA892" s="1104"/>
      <c r="AB892" s="1104"/>
      <c r="AC892" s="1104"/>
      <c r="AD892" s="1104"/>
      <c r="AE892" s="1104"/>
      <c r="AF892" s="1104"/>
      <c r="AG892" s="1106"/>
      <c r="AH892" s="1106"/>
      <c r="AI892" s="1106"/>
      <c r="AJ892" s="1106"/>
      <c r="AK892" s="1106"/>
      <c r="AL892" s="1106"/>
      <c r="AM892" s="1106"/>
      <c r="AN892" s="1106"/>
      <c r="AO892" s="1106"/>
      <c r="AP892" s="1106"/>
      <c r="AQ892" s="1106"/>
      <c r="AR892" s="1106"/>
      <c r="AS892" s="1106"/>
      <c r="AT892" s="1106"/>
      <c r="AU892" s="1106"/>
      <c r="AV892" s="1106"/>
      <c r="AW892" s="1106"/>
      <c r="AX892" s="1106"/>
    </row>
    <row r="893">
      <c r="T893" s="1102"/>
      <c r="U893" s="1104"/>
      <c r="V893" s="1104"/>
      <c r="W893" s="1104"/>
      <c r="X893" s="1104"/>
      <c r="Y893" s="1104"/>
      <c r="Z893" s="1104"/>
      <c r="AA893" s="1104"/>
      <c r="AB893" s="1104"/>
      <c r="AC893" s="1104"/>
      <c r="AD893" s="1104"/>
      <c r="AE893" s="1104"/>
      <c r="AF893" s="1104"/>
      <c r="AG893" s="1106"/>
      <c r="AH893" s="1106"/>
      <c r="AI893" s="1106"/>
      <c r="AJ893" s="1106"/>
      <c r="AK893" s="1106"/>
      <c r="AL893" s="1106"/>
      <c r="AM893" s="1106"/>
      <c r="AN893" s="1106"/>
      <c r="AO893" s="1106"/>
      <c r="AP893" s="1106"/>
      <c r="AQ893" s="1106"/>
      <c r="AR893" s="1106"/>
      <c r="AS893" s="1106"/>
      <c r="AT893" s="1106"/>
      <c r="AU893" s="1106"/>
      <c r="AV893" s="1106"/>
      <c r="AW893" s="1106"/>
      <c r="AX893" s="1106"/>
    </row>
    <row r="894">
      <c r="T894" s="1102"/>
      <c r="U894" s="1104"/>
      <c r="V894" s="1104"/>
      <c r="W894" s="1104"/>
      <c r="X894" s="1104"/>
      <c r="Y894" s="1104"/>
      <c r="Z894" s="1104"/>
      <c r="AA894" s="1104"/>
      <c r="AB894" s="1104"/>
      <c r="AC894" s="1104"/>
      <c r="AD894" s="1104"/>
      <c r="AE894" s="1104"/>
      <c r="AF894" s="1104"/>
      <c r="AG894" s="1106"/>
      <c r="AH894" s="1106"/>
      <c r="AI894" s="1106"/>
      <c r="AJ894" s="1106"/>
      <c r="AK894" s="1106"/>
      <c r="AL894" s="1106"/>
      <c r="AM894" s="1106"/>
      <c r="AN894" s="1106"/>
      <c r="AO894" s="1106"/>
      <c r="AP894" s="1106"/>
      <c r="AQ894" s="1106"/>
      <c r="AR894" s="1106"/>
      <c r="AS894" s="1106"/>
      <c r="AT894" s="1106"/>
      <c r="AU894" s="1106"/>
      <c r="AV894" s="1106"/>
      <c r="AW894" s="1106"/>
      <c r="AX894" s="1106"/>
    </row>
    <row r="895">
      <c r="T895" s="1102"/>
      <c r="U895" s="1104"/>
      <c r="V895" s="1104"/>
      <c r="W895" s="1104"/>
      <c r="X895" s="1104"/>
      <c r="Y895" s="1104"/>
      <c r="Z895" s="1104"/>
      <c r="AA895" s="1104"/>
      <c r="AB895" s="1104"/>
      <c r="AC895" s="1104"/>
      <c r="AD895" s="1104"/>
      <c r="AE895" s="1104"/>
      <c r="AF895" s="1104"/>
      <c r="AG895" s="1106"/>
      <c r="AH895" s="1106"/>
      <c r="AI895" s="1106"/>
      <c r="AJ895" s="1106"/>
      <c r="AK895" s="1106"/>
      <c r="AL895" s="1106"/>
      <c r="AM895" s="1106"/>
      <c r="AN895" s="1106"/>
      <c r="AO895" s="1106"/>
      <c r="AP895" s="1106"/>
      <c r="AQ895" s="1106"/>
      <c r="AR895" s="1106"/>
      <c r="AS895" s="1106"/>
      <c r="AT895" s="1106"/>
      <c r="AU895" s="1106"/>
      <c r="AV895" s="1106"/>
      <c r="AW895" s="1106"/>
      <c r="AX895" s="1106"/>
    </row>
    <row r="896">
      <c r="T896" s="1102"/>
      <c r="U896" s="1104"/>
      <c r="V896" s="1104"/>
      <c r="W896" s="1104"/>
      <c r="X896" s="1104"/>
      <c r="Y896" s="1104"/>
      <c r="Z896" s="1104"/>
      <c r="AA896" s="1104"/>
      <c r="AB896" s="1104"/>
      <c r="AC896" s="1104"/>
      <c r="AD896" s="1104"/>
      <c r="AE896" s="1104"/>
      <c r="AF896" s="1104"/>
      <c r="AG896" s="1106"/>
      <c r="AH896" s="1106"/>
      <c r="AI896" s="1106"/>
      <c r="AJ896" s="1106"/>
      <c r="AK896" s="1106"/>
      <c r="AL896" s="1106"/>
      <c r="AM896" s="1106"/>
      <c r="AN896" s="1106"/>
      <c r="AO896" s="1106"/>
      <c r="AP896" s="1106"/>
      <c r="AQ896" s="1106"/>
      <c r="AR896" s="1106"/>
      <c r="AS896" s="1106"/>
      <c r="AT896" s="1106"/>
      <c r="AU896" s="1106"/>
      <c r="AV896" s="1106"/>
      <c r="AW896" s="1106"/>
      <c r="AX896" s="1106"/>
    </row>
    <row r="897">
      <c r="T897" s="1102"/>
      <c r="U897" s="1104"/>
      <c r="V897" s="1104"/>
      <c r="W897" s="1104"/>
      <c r="X897" s="1104"/>
      <c r="Y897" s="1104"/>
      <c r="Z897" s="1104"/>
      <c r="AA897" s="1104"/>
      <c r="AB897" s="1104"/>
      <c r="AC897" s="1104"/>
      <c r="AD897" s="1104"/>
      <c r="AE897" s="1104"/>
      <c r="AF897" s="1104"/>
      <c r="AG897" s="1106"/>
      <c r="AH897" s="1106"/>
      <c r="AI897" s="1106"/>
      <c r="AJ897" s="1106"/>
      <c r="AK897" s="1106"/>
      <c r="AL897" s="1106"/>
      <c r="AM897" s="1106"/>
      <c r="AN897" s="1106"/>
      <c r="AO897" s="1106"/>
      <c r="AP897" s="1106"/>
      <c r="AQ897" s="1106"/>
      <c r="AR897" s="1106"/>
      <c r="AS897" s="1106"/>
      <c r="AT897" s="1106"/>
      <c r="AU897" s="1106"/>
      <c r="AV897" s="1106"/>
      <c r="AW897" s="1106"/>
      <c r="AX897" s="1106"/>
    </row>
    <row r="898">
      <c r="T898" s="1102"/>
      <c r="U898" s="1104"/>
      <c r="V898" s="1104"/>
      <c r="W898" s="1104"/>
      <c r="X898" s="1104"/>
      <c r="Y898" s="1104"/>
      <c r="Z898" s="1104"/>
      <c r="AA898" s="1104"/>
      <c r="AB898" s="1104"/>
      <c r="AC898" s="1104"/>
      <c r="AD898" s="1104"/>
      <c r="AE898" s="1104"/>
      <c r="AF898" s="1104"/>
      <c r="AG898" s="1106"/>
      <c r="AH898" s="1106"/>
      <c r="AI898" s="1106"/>
      <c r="AJ898" s="1106"/>
      <c r="AK898" s="1106"/>
      <c r="AL898" s="1106"/>
      <c r="AM898" s="1106"/>
      <c r="AN898" s="1106"/>
      <c r="AO898" s="1106"/>
      <c r="AP898" s="1106"/>
      <c r="AQ898" s="1106"/>
      <c r="AR898" s="1106"/>
      <c r="AS898" s="1106"/>
      <c r="AT898" s="1106"/>
      <c r="AU898" s="1106"/>
      <c r="AV898" s="1106"/>
      <c r="AW898" s="1106"/>
      <c r="AX898" s="1106"/>
    </row>
    <row r="899">
      <c r="T899" s="1102"/>
      <c r="U899" s="1104"/>
      <c r="V899" s="1104"/>
      <c r="W899" s="1104"/>
      <c r="X899" s="1104"/>
      <c r="Y899" s="1104"/>
      <c r="Z899" s="1104"/>
      <c r="AA899" s="1104"/>
      <c r="AB899" s="1104"/>
      <c r="AC899" s="1104"/>
      <c r="AD899" s="1104"/>
      <c r="AE899" s="1104"/>
      <c r="AF899" s="1104"/>
      <c r="AG899" s="1106"/>
      <c r="AH899" s="1106"/>
      <c r="AI899" s="1106"/>
      <c r="AJ899" s="1106"/>
      <c r="AK899" s="1106"/>
      <c r="AL899" s="1106"/>
      <c r="AM899" s="1106"/>
      <c r="AN899" s="1106"/>
      <c r="AO899" s="1106"/>
      <c r="AP899" s="1106"/>
      <c r="AQ899" s="1106"/>
      <c r="AR899" s="1106"/>
      <c r="AS899" s="1106"/>
      <c r="AT899" s="1106"/>
      <c r="AU899" s="1106"/>
      <c r="AV899" s="1106"/>
      <c r="AW899" s="1106"/>
      <c r="AX899" s="1106"/>
    </row>
    <row r="900">
      <c r="T900" s="1102"/>
      <c r="U900" s="1104"/>
      <c r="V900" s="1104"/>
      <c r="W900" s="1104"/>
      <c r="X900" s="1104"/>
      <c r="Y900" s="1104"/>
      <c r="Z900" s="1104"/>
      <c r="AA900" s="1104"/>
      <c r="AB900" s="1104"/>
      <c r="AC900" s="1104"/>
      <c r="AD900" s="1104"/>
      <c r="AE900" s="1104"/>
      <c r="AF900" s="1104"/>
      <c r="AG900" s="1106"/>
      <c r="AH900" s="1106"/>
      <c r="AI900" s="1106"/>
      <c r="AJ900" s="1106"/>
      <c r="AK900" s="1106"/>
      <c r="AL900" s="1106"/>
      <c r="AM900" s="1106"/>
      <c r="AN900" s="1106"/>
      <c r="AO900" s="1106"/>
      <c r="AP900" s="1106"/>
      <c r="AQ900" s="1106"/>
      <c r="AR900" s="1106"/>
      <c r="AS900" s="1106"/>
      <c r="AT900" s="1106"/>
      <c r="AU900" s="1106"/>
      <c r="AV900" s="1106"/>
      <c r="AW900" s="1106"/>
      <c r="AX900" s="1106"/>
    </row>
    <row r="901">
      <c r="T901" s="1102"/>
      <c r="U901" s="1104"/>
      <c r="V901" s="1104"/>
      <c r="W901" s="1104"/>
      <c r="X901" s="1104"/>
      <c r="Y901" s="1104"/>
      <c r="Z901" s="1104"/>
      <c r="AA901" s="1104"/>
      <c r="AB901" s="1104"/>
      <c r="AC901" s="1104"/>
      <c r="AD901" s="1104"/>
      <c r="AE901" s="1104"/>
      <c r="AF901" s="1104"/>
      <c r="AG901" s="1106"/>
      <c r="AH901" s="1106"/>
      <c r="AI901" s="1106"/>
      <c r="AJ901" s="1106"/>
      <c r="AK901" s="1106"/>
      <c r="AL901" s="1106"/>
      <c r="AM901" s="1106"/>
      <c r="AN901" s="1106"/>
      <c r="AO901" s="1106"/>
      <c r="AP901" s="1106"/>
      <c r="AQ901" s="1106"/>
      <c r="AR901" s="1106"/>
      <c r="AS901" s="1106"/>
      <c r="AT901" s="1106"/>
      <c r="AU901" s="1106"/>
      <c r="AV901" s="1106"/>
      <c r="AW901" s="1106"/>
      <c r="AX901" s="1106"/>
    </row>
    <row r="902">
      <c r="T902" s="1102"/>
      <c r="U902" s="1104"/>
      <c r="V902" s="1104"/>
      <c r="W902" s="1104"/>
      <c r="X902" s="1104"/>
      <c r="Y902" s="1104"/>
      <c r="Z902" s="1104"/>
      <c r="AA902" s="1104"/>
      <c r="AB902" s="1104"/>
      <c r="AC902" s="1104"/>
      <c r="AD902" s="1104"/>
      <c r="AE902" s="1104"/>
      <c r="AF902" s="1104"/>
      <c r="AG902" s="1106"/>
      <c r="AH902" s="1106"/>
      <c r="AI902" s="1106"/>
      <c r="AJ902" s="1106"/>
      <c r="AK902" s="1106"/>
      <c r="AL902" s="1106"/>
      <c r="AM902" s="1106"/>
      <c r="AN902" s="1106"/>
      <c r="AO902" s="1106"/>
      <c r="AP902" s="1106"/>
      <c r="AQ902" s="1106"/>
      <c r="AR902" s="1106"/>
      <c r="AS902" s="1106"/>
      <c r="AT902" s="1106"/>
      <c r="AU902" s="1106"/>
      <c r="AV902" s="1106"/>
      <c r="AW902" s="1106"/>
      <c r="AX902" s="1106"/>
    </row>
    <row r="903">
      <c r="T903" s="1102"/>
      <c r="U903" s="1104"/>
      <c r="V903" s="1104"/>
      <c r="W903" s="1104"/>
      <c r="X903" s="1104"/>
      <c r="Y903" s="1104"/>
      <c r="Z903" s="1104"/>
      <c r="AA903" s="1104"/>
      <c r="AB903" s="1104"/>
      <c r="AC903" s="1104"/>
      <c r="AD903" s="1104"/>
      <c r="AE903" s="1104"/>
      <c r="AF903" s="1104"/>
      <c r="AG903" s="1106"/>
      <c r="AH903" s="1106"/>
      <c r="AI903" s="1106"/>
      <c r="AJ903" s="1106"/>
      <c r="AK903" s="1106"/>
      <c r="AL903" s="1106"/>
      <c r="AM903" s="1106"/>
      <c r="AN903" s="1106"/>
      <c r="AO903" s="1106"/>
      <c r="AP903" s="1106"/>
      <c r="AQ903" s="1106"/>
      <c r="AR903" s="1106"/>
      <c r="AS903" s="1106"/>
      <c r="AT903" s="1106"/>
      <c r="AU903" s="1106"/>
      <c r="AV903" s="1106"/>
      <c r="AW903" s="1106"/>
      <c r="AX903" s="1106"/>
    </row>
    <row r="904">
      <c r="T904" s="1102"/>
      <c r="U904" s="1104"/>
      <c r="V904" s="1104"/>
      <c r="W904" s="1104"/>
      <c r="X904" s="1104"/>
      <c r="Y904" s="1104"/>
      <c r="Z904" s="1104"/>
      <c r="AA904" s="1104"/>
      <c r="AB904" s="1104"/>
      <c r="AC904" s="1104"/>
      <c r="AD904" s="1104"/>
      <c r="AE904" s="1104"/>
      <c r="AF904" s="1104"/>
      <c r="AG904" s="1106"/>
      <c r="AH904" s="1106"/>
      <c r="AI904" s="1106"/>
      <c r="AJ904" s="1106"/>
      <c r="AK904" s="1106"/>
      <c r="AL904" s="1106"/>
      <c r="AM904" s="1106"/>
      <c r="AN904" s="1106"/>
      <c r="AO904" s="1106"/>
      <c r="AP904" s="1106"/>
      <c r="AQ904" s="1106"/>
      <c r="AR904" s="1106"/>
      <c r="AS904" s="1106"/>
      <c r="AT904" s="1106"/>
      <c r="AU904" s="1106"/>
      <c r="AV904" s="1106"/>
      <c r="AW904" s="1106"/>
      <c r="AX904" s="1106"/>
    </row>
    <row r="905">
      <c r="T905" s="1102"/>
      <c r="U905" s="1104"/>
      <c r="V905" s="1104"/>
      <c r="W905" s="1104"/>
      <c r="X905" s="1104"/>
      <c r="Y905" s="1104"/>
      <c r="Z905" s="1104"/>
      <c r="AA905" s="1104"/>
      <c r="AB905" s="1104"/>
      <c r="AC905" s="1104"/>
      <c r="AD905" s="1104"/>
      <c r="AE905" s="1104"/>
      <c r="AF905" s="1104"/>
      <c r="AG905" s="1106"/>
      <c r="AH905" s="1106"/>
      <c r="AI905" s="1106"/>
      <c r="AJ905" s="1106"/>
      <c r="AK905" s="1106"/>
      <c r="AL905" s="1106"/>
      <c r="AM905" s="1106"/>
      <c r="AN905" s="1106"/>
      <c r="AO905" s="1106"/>
      <c r="AP905" s="1106"/>
      <c r="AQ905" s="1106"/>
      <c r="AR905" s="1106"/>
      <c r="AS905" s="1106"/>
      <c r="AT905" s="1106"/>
      <c r="AU905" s="1106"/>
      <c r="AV905" s="1106"/>
      <c r="AW905" s="1106"/>
      <c r="AX905" s="1106"/>
    </row>
    <row r="906">
      <c r="T906" s="1102"/>
      <c r="U906" s="1104"/>
      <c r="V906" s="1104"/>
      <c r="W906" s="1104"/>
      <c r="X906" s="1104"/>
      <c r="Y906" s="1104"/>
      <c r="Z906" s="1104"/>
      <c r="AA906" s="1104"/>
      <c r="AB906" s="1104"/>
      <c r="AC906" s="1104"/>
      <c r="AD906" s="1104"/>
      <c r="AE906" s="1104"/>
      <c r="AF906" s="1104"/>
      <c r="AG906" s="1106"/>
      <c r="AH906" s="1106"/>
      <c r="AI906" s="1106"/>
      <c r="AJ906" s="1106"/>
      <c r="AK906" s="1106"/>
      <c r="AL906" s="1106"/>
      <c r="AM906" s="1106"/>
      <c r="AN906" s="1106"/>
      <c r="AO906" s="1106"/>
      <c r="AP906" s="1106"/>
      <c r="AQ906" s="1106"/>
      <c r="AR906" s="1106"/>
      <c r="AS906" s="1106"/>
      <c r="AT906" s="1106"/>
      <c r="AU906" s="1106"/>
      <c r="AV906" s="1106"/>
      <c r="AW906" s="1106"/>
      <c r="AX906" s="1106"/>
    </row>
    <row r="907">
      <c r="T907" s="1102"/>
      <c r="U907" s="1104"/>
      <c r="V907" s="1104"/>
      <c r="W907" s="1104"/>
      <c r="X907" s="1104"/>
      <c r="Y907" s="1104"/>
      <c r="Z907" s="1104"/>
      <c r="AA907" s="1104"/>
      <c r="AB907" s="1104"/>
      <c r="AC907" s="1104"/>
      <c r="AD907" s="1104"/>
      <c r="AE907" s="1104"/>
      <c r="AF907" s="1104"/>
      <c r="AG907" s="1106"/>
      <c r="AH907" s="1106"/>
      <c r="AI907" s="1106"/>
      <c r="AJ907" s="1106"/>
      <c r="AK907" s="1106"/>
      <c r="AL907" s="1106"/>
      <c r="AM907" s="1106"/>
      <c r="AN907" s="1106"/>
      <c r="AO907" s="1106"/>
      <c r="AP907" s="1106"/>
      <c r="AQ907" s="1106"/>
      <c r="AR907" s="1106"/>
      <c r="AS907" s="1106"/>
      <c r="AT907" s="1106"/>
      <c r="AU907" s="1106"/>
      <c r="AV907" s="1106"/>
      <c r="AW907" s="1106"/>
      <c r="AX907" s="1106"/>
    </row>
    <row r="908">
      <c r="T908" s="1102"/>
      <c r="U908" s="1104"/>
      <c r="V908" s="1104"/>
      <c r="W908" s="1104"/>
      <c r="X908" s="1104"/>
      <c r="Y908" s="1104"/>
      <c r="Z908" s="1104"/>
      <c r="AA908" s="1104"/>
      <c r="AB908" s="1104"/>
      <c r="AC908" s="1104"/>
      <c r="AD908" s="1104"/>
      <c r="AE908" s="1104"/>
      <c r="AF908" s="1104"/>
      <c r="AG908" s="1106"/>
      <c r="AH908" s="1106"/>
      <c r="AI908" s="1106"/>
      <c r="AJ908" s="1106"/>
      <c r="AK908" s="1106"/>
      <c r="AL908" s="1106"/>
      <c r="AM908" s="1106"/>
      <c r="AN908" s="1106"/>
      <c r="AO908" s="1106"/>
      <c r="AP908" s="1106"/>
      <c r="AQ908" s="1106"/>
      <c r="AR908" s="1106"/>
      <c r="AS908" s="1106"/>
      <c r="AT908" s="1106"/>
      <c r="AU908" s="1106"/>
      <c r="AV908" s="1106"/>
      <c r="AW908" s="1106"/>
      <c r="AX908" s="1106"/>
    </row>
    <row r="909">
      <c r="T909" s="1102"/>
      <c r="U909" s="1104"/>
      <c r="V909" s="1104"/>
      <c r="W909" s="1104"/>
      <c r="X909" s="1104"/>
      <c r="Y909" s="1104"/>
      <c r="Z909" s="1104"/>
      <c r="AA909" s="1104"/>
      <c r="AB909" s="1104"/>
      <c r="AC909" s="1104"/>
      <c r="AD909" s="1104"/>
      <c r="AE909" s="1104"/>
      <c r="AF909" s="1104"/>
      <c r="AG909" s="1106"/>
      <c r="AH909" s="1106"/>
      <c r="AI909" s="1106"/>
      <c r="AJ909" s="1106"/>
      <c r="AK909" s="1106"/>
      <c r="AL909" s="1106"/>
      <c r="AM909" s="1106"/>
      <c r="AN909" s="1106"/>
      <c r="AO909" s="1106"/>
      <c r="AP909" s="1106"/>
      <c r="AQ909" s="1106"/>
      <c r="AR909" s="1106"/>
      <c r="AS909" s="1106"/>
      <c r="AT909" s="1106"/>
      <c r="AU909" s="1106"/>
      <c r="AV909" s="1106"/>
      <c r="AW909" s="1106"/>
      <c r="AX909" s="1106"/>
    </row>
    <row r="910">
      <c r="T910" s="1102"/>
      <c r="U910" s="1104"/>
      <c r="V910" s="1104"/>
      <c r="W910" s="1104"/>
      <c r="X910" s="1104"/>
      <c r="Y910" s="1104"/>
      <c r="Z910" s="1104"/>
      <c r="AA910" s="1104"/>
      <c r="AB910" s="1104"/>
      <c r="AC910" s="1104"/>
      <c r="AD910" s="1104"/>
      <c r="AE910" s="1104"/>
      <c r="AF910" s="1104"/>
      <c r="AG910" s="1106"/>
      <c r="AH910" s="1106"/>
      <c r="AI910" s="1106"/>
      <c r="AJ910" s="1106"/>
      <c r="AK910" s="1106"/>
      <c r="AL910" s="1106"/>
      <c r="AM910" s="1106"/>
      <c r="AN910" s="1106"/>
      <c r="AO910" s="1106"/>
      <c r="AP910" s="1106"/>
      <c r="AQ910" s="1106"/>
      <c r="AR910" s="1106"/>
      <c r="AS910" s="1106"/>
      <c r="AT910" s="1106"/>
      <c r="AU910" s="1106"/>
      <c r="AV910" s="1106"/>
      <c r="AW910" s="1106"/>
      <c r="AX910" s="1106"/>
    </row>
    <row r="911">
      <c r="T911" s="1102"/>
      <c r="U911" s="1104"/>
      <c r="V911" s="1104"/>
      <c r="W911" s="1104"/>
      <c r="X911" s="1104"/>
      <c r="Y911" s="1104"/>
      <c r="Z911" s="1104"/>
      <c r="AA911" s="1104"/>
      <c r="AB911" s="1104"/>
      <c r="AC911" s="1104"/>
      <c r="AD911" s="1104"/>
      <c r="AE911" s="1104"/>
      <c r="AF911" s="1104"/>
      <c r="AG911" s="1106"/>
      <c r="AH911" s="1106"/>
      <c r="AI911" s="1106"/>
      <c r="AJ911" s="1106"/>
      <c r="AK911" s="1106"/>
      <c r="AL911" s="1106"/>
      <c r="AM911" s="1106"/>
      <c r="AN911" s="1106"/>
      <c r="AO911" s="1106"/>
      <c r="AP911" s="1106"/>
      <c r="AQ911" s="1106"/>
      <c r="AR911" s="1106"/>
      <c r="AS911" s="1106"/>
      <c r="AT911" s="1106"/>
      <c r="AU911" s="1106"/>
      <c r="AV911" s="1106"/>
      <c r="AW911" s="1106"/>
      <c r="AX911" s="1106"/>
    </row>
    <row r="912">
      <c r="T912" s="1102"/>
      <c r="U912" s="1104"/>
      <c r="V912" s="1104"/>
      <c r="W912" s="1104"/>
      <c r="X912" s="1104"/>
      <c r="Y912" s="1104"/>
      <c r="Z912" s="1104"/>
      <c r="AA912" s="1104"/>
      <c r="AB912" s="1104"/>
      <c r="AC912" s="1104"/>
      <c r="AD912" s="1104"/>
      <c r="AE912" s="1104"/>
      <c r="AF912" s="1104"/>
      <c r="AG912" s="1106"/>
      <c r="AH912" s="1106"/>
      <c r="AI912" s="1106"/>
      <c r="AJ912" s="1106"/>
      <c r="AK912" s="1106"/>
      <c r="AL912" s="1106"/>
      <c r="AM912" s="1106"/>
      <c r="AN912" s="1106"/>
      <c r="AO912" s="1106"/>
      <c r="AP912" s="1106"/>
      <c r="AQ912" s="1106"/>
      <c r="AR912" s="1106"/>
      <c r="AS912" s="1106"/>
      <c r="AT912" s="1106"/>
      <c r="AU912" s="1106"/>
      <c r="AV912" s="1106"/>
      <c r="AW912" s="1106"/>
      <c r="AX912" s="1106"/>
    </row>
    <row r="913">
      <c r="T913" s="1102"/>
      <c r="U913" s="1104"/>
      <c r="V913" s="1104"/>
      <c r="W913" s="1104"/>
      <c r="X913" s="1104"/>
      <c r="Y913" s="1104"/>
      <c r="Z913" s="1104"/>
      <c r="AA913" s="1104"/>
      <c r="AB913" s="1104"/>
      <c r="AC913" s="1104"/>
      <c r="AD913" s="1104"/>
      <c r="AE913" s="1104"/>
      <c r="AF913" s="1104"/>
      <c r="AG913" s="1106"/>
      <c r="AH913" s="1106"/>
      <c r="AI913" s="1106"/>
      <c r="AJ913" s="1106"/>
      <c r="AK913" s="1106"/>
      <c r="AL913" s="1106"/>
      <c r="AM913" s="1106"/>
      <c r="AN913" s="1106"/>
      <c r="AO913" s="1106"/>
      <c r="AP913" s="1106"/>
      <c r="AQ913" s="1106"/>
      <c r="AR913" s="1106"/>
      <c r="AS913" s="1106"/>
      <c r="AT913" s="1106"/>
      <c r="AU913" s="1106"/>
      <c r="AV913" s="1106"/>
      <c r="AW913" s="1106"/>
      <c r="AX913" s="1106"/>
    </row>
    <row r="914">
      <c r="T914" s="1102"/>
      <c r="U914" s="1104"/>
      <c r="V914" s="1104"/>
      <c r="W914" s="1104"/>
      <c r="X914" s="1104"/>
      <c r="Y914" s="1104"/>
      <c r="Z914" s="1104"/>
      <c r="AA914" s="1104"/>
      <c r="AB914" s="1104"/>
      <c r="AC914" s="1104"/>
      <c r="AD914" s="1104"/>
      <c r="AE914" s="1104"/>
      <c r="AF914" s="1104"/>
      <c r="AG914" s="1106"/>
      <c r="AH914" s="1106"/>
      <c r="AI914" s="1106"/>
      <c r="AJ914" s="1106"/>
      <c r="AK914" s="1106"/>
      <c r="AL914" s="1106"/>
      <c r="AM914" s="1106"/>
      <c r="AN914" s="1106"/>
      <c r="AO914" s="1106"/>
      <c r="AP914" s="1106"/>
      <c r="AQ914" s="1106"/>
      <c r="AR914" s="1106"/>
      <c r="AS914" s="1106"/>
      <c r="AT914" s="1106"/>
      <c r="AU914" s="1106"/>
      <c r="AV914" s="1106"/>
      <c r="AW914" s="1106"/>
      <c r="AX914" s="1106"/>
    </row>
    <row r="915">
      <c r="T915" s="1102"/>
      <c r="U915" s="1104"/>
      <c r="V915" s="1104"/>
      <c r="W915" s="1104"/>
      <c r="X915" s="1104"/>
      <c r="Y915" s="1104"/>
      <c r="Z915" s="1104"/>
      <c r="AA915" s="1104"/>
      <c r="AB915" s="1104"/>
      <c r="AC915" s="1104"/>
      <c r="AD915" s="1104"/>
      <c r="AE915" s="1104"/>
      <c r="AF915" s="1104"/>
      <c r="AG915" s="1106"/>
      <c r="AH915" s="1106"/>
      <c r="AI915" s="1106"/>
      <c r="AJ915" s="1106"/>
      <c r="AK915" s="1106"/>
      <c r="AL915" s="1106"/>
      <c r="AM915" s="1106"/>
      <c r="AN915" s="1106"/>
      <c r="AO915" s="1106"/>
      <c r="AP915" s="1106"/>
      <c r="AQ915" s="1106"/>
      <c r="AR915" s="1106"/>
      <c r="AS915" s="1106"/>
      <c r="AT915" s="1106"/>
      <c r="AU915" s="1106"/>
      <c r="AV915" s="1106"/>
      <c r="AW915" s="1106"/>
      <c r="AX915" s="1106"/>
    </row>
    <row r="916">
      <c r="T916" s="1102"/>
      <c r="U916" s="1104"/>
      <c r="V916" s="1104"/>
      <c r="W916" s="1104"/>
      <c r="X916" s="1104"/>
      <c r="Y916" s="1104"/>
      <c r="Z916" s="1104"/>
      <c r="AA916" s="1104"/>
      <c r="AB916" s="1104"/>
      <c r="AC916" s="1104"/>
      <c r="AD916" s="1104"/>
      <c r="AE916" s="1104"/>
      <c r="AF916" s="1104"/>
      <c r="AG916" s="1106"/>
      <c r="AH916" s="1106"/>
      <c r="AI916" s="1106"/>
      <c r="AJ916" s="1106"/>
      <c r="AK916" s="1106"/>
      <c r="AL916" s="1106"/>
      <c r="AM916" s="1106"/>
      <c r="AN916" s="1106"/>
      <c r="AO916" s="1106"/>
      <c r="AP916" s="1106"/>
      <c r="AQ916" s="1106"/>
      <c r="AR916" s="1106"/>
      <c r="AS916" s="1106"/>
      <c r="AT916" s="1106"/>
      <c r="AU916" s="1106"/>
      <c r="AV916" s="1106"/>
      <c r="AW916" s="1106"/>
      <c r="AX916" s="1106"/>
    </row>
    <row r="917">
      <c r="T917" s="1102"/>
      <c r="U917" s="1104"/>
      <c r="V917" s="1104"/>
      <c r="W917" s="1104"/>
      <c r="X917" s="1104"/>
      <c r="Y917" s="1104"/>
      <c r="Z917" s="1104"/>
      <c r="AA917" s="1104"/>
      <c r="AB917" s="1104"/>
      <c r="AC917" s="1104"/>
      <c r="AD917" s="1104"/>
      <c r="AE917" s="1104"/>
      <c r="AF917" s="1104"/>
      <c r="AG917" s="1106"/>
      <c r="AH917" s="1106"/>
      <c r="AI917" s="1106"/>
      <c r="AJ917" s="1106"/>
      <c r="AK917" s="1106"/>
      <c r="AL917" s="1106"/>
      <c r="AM917" s="1106"/>
      <c r="AN917" s="1106"/>
      <c r="AO917" s="1106"/>
      <c r="AP917" s="1106"/>
      <c r="AQ917" s="1106"/>
      <c r="AR917" s="1106"/>
      <c r="AS917" s="1106"/>
      <c r="AT917" s="1106"/>
      <c r="AU917" s="1106"/>
      <c r="AV917" s="1106"/>
      <c r="AW917" s="1106"/>
      <c r="AX917" s="1106"/>
    </row>
    <row r="918">
      <c r="T918" s="1102"/>
      <c r="U918" s="1104"/>
      <c r="V918" s="1104"/>
      <c r="W918" s="1104"/>
      <c r="X918" s="1104"/>
      <c r="Y918" s="1104"/>
      <c r="Z918" s="1104"/>
      <c r="AA918" s="1104"/>
      <c r="AB918" s="1104"/>
      <c r="AC918" s="1104"/>
      <c r="AD918" s="1104"/>
      <c r="AE918" s="1104"/>
      <c r="AF918" s="1104"/>
      <c r="AG918" s="1106"/>
      <c r="AH918" s="1106"/>
      <c r="AI918" s="1106"/>
      <c r="AJ918" s="1106"/>
      <c r="AK918" s="1106"/>
      <c r="AL918" s="1106"/>
      <c r="AM918" s="1106"/>
      <c r="AN918" s="1106"/>
      <c r="AO918" s="1106"/>
      <c r="AP918" s="1106"/>
      <c r="AQ918" s="1106"/>
      <c r="AR918" s="1106"/>
      <c r="AS918" s="1106"/>
      <c r="AT918" s="1106"/>
      <c r="AU918" s="1106"/>
      <c r="AV918" s="1106"/>
      <c r="AW918" s="1106"/>
      <c r="AX918" s="1106"/>
    </row>
    <row r="919">
      <c r="T919" s="1102"/>
      <c r="U919" s="1104"/>
      <c r="V919" s="1104"/>
      <c r="W919" s="1104"/>
      <c r="X919" s="1104"/>
      <c r="Y919" s="1104"/>
      <c r="Z919" s="1104"/>
      <c r="AA919" s="1104"/>
      <c r="AB919" s="1104"/>
      <c r="AC919" s="1104"/>
      <c r="AD919" s="1104"/>
      <c r="AE919" s="1104"/>
      <c r="AF919" s="1104"/>
      <c r="AG919" s="1106"/>
      <c r="AH919" s="1106"/>
      <c r="AI919" s="1106"/>
      <c r="AJ919" s="1106"/>
      <c r="AK919" s="1106"/>
      <c r="AL919" s="1106"/>
      <c r="AM919" s="1106"/>
      <c r="AN919" s="1106"/>
      <c r="AO919" s="1106"/>
      <c r="AP919" s="1106"/>
      <c r="AQ919" s="1106"/>
      <c r="AR919" s="1106"/>
      <c r="AS919" s="1106"/>
      <c r="AT919" s="1106"/>
      <c r="AU919" s="1106"/>
      <c r="AV919" s="1106"/>
      <c r="AW919" s="1106"/>
      <c r="AX919" s="1106"/>
    </row>
    <row r="920">
      <c r="T920" s="1102"/>
      <c r="U920" s="1104"/>
      <c r="V920" s="1104"/>
      <c r="W920" s="1104"/>
      <c r="X920" s="1104"/>
      <c r="Y920" s="1104"/>
      <c r="Z920" s="1104"/>
      <c r="AA920" s="1104"/>
      <c r="AB920" s="1104"/>
      <c r="AC920" s="1104"/>
      <c r="AD920" s="1104"/>
      <c r="AE920" s="1104"/>
      <c r="AF920" s="1104"/>
      <c r="AG920" s="1106"/>
      <c r="AH920" s="1106"/>
      <c r="AI920" s="1106"/>
      <c r="AJ920" s="1106"/>
      <c r="AK920" s="1106"/>
      <c r="AL920" s="1106"/>
      <c r="AM920" s="1106"/>
      <c r="AN920" s="1106"/>
      <c r="AO920" s="1106"/>
      <c r="AP920" s="1106"/>
      <c r="AQ920" s="1106"/>
      <c r="AR920" s="1106"/>
      <c r="AS920" s="1106"/>
      <c r="AT920" s="1106"/>
      <c r="AU920" s="1106"/>
      <c r="AV920" s="1106"/>
      <c r="AW920" s="1106"/>
      <c r="AX920" s="1106"/>
    </row>
    <row r="921">
      <c r="T921" s="1102"/>
      <c r="U921" s="1104"/>
      <c r="V921" s="1104"/>
      <c r="W921" s="1104"/>
      <c r="X921" s="1104"/>
      <c r="Y921" s="1104"/>
      <c r="Z921" s="1104"/>
      <c r="AA921" s="1104"/>
      <c r="AB921" s="1104"/>
      <c r="AC921" s="1104"/>
      <c r="AD921" s="1104"/>
      <c r="AE921" s="1104"/>
      <c r="AF921" s="1104"/>
      <c r="AG921" s="1106"/>
      <c r="AH921" s="1106"/>
      <c r="AI921" s="1106"/>
      <c r="AJ921" s="1106"/>
      <c r="AK921" s="1106"/>
      <c r="AL921" s="1106"/>
      <c r="AM921" s="1106"/>
      <c r="AN921" s="1106"/>
      <c r="AO921" s="1106"/>
      <c r="AP921" s="1106"/>
      <c r="AQ921" s="1106"/>
      <c r="AR921" s="1106"/>
      <c r="AS921" s="1106"/>
      <c r="AT921" s="1106"/>
      <c r="AU921" s="1106"/>
      <c r="AV921" s="1106"/>
      <c r="AW921" s="1106"/>
      <c r="AX921" s="1106"/>
    </row>
    <row r="922">
      <c r="T922" s="1102"/>
      <c r="U922" s="1104"/>
      <c r="V922" s="1104"/>
      <c r="W922" s="1104"/>
      <c r="X922" s="1104"/>
      <c r="Y922" s="1104"/>
      <c r="Z922" s="1104"/>
      <c r="AA922" s="1104"/>
      <c r="AB922" s="1104"/>
      <c r="AC922" s="1104"/>
      <c r="AD922" s="1104"/>
      <c r="AE922" s="1104"/>
      <c r="AF922" s="1104"/>
      <c r="AG922" s="1106"/>
      <c r="AH922" s="1106"/>
      <c r="AI922" s="1106"/>
      <c r="AJ922" s="1106"/>
      <c r="AK922" s="1106"/>
      <c r="AL922" s="1106"/>
      <c r="AM922" s="1106"/>
      <c r="AN922" s="1106"/>
      <c r="AO922" s="1106"/>
      <c r="AP922" s="1106"/>
      <c r="AQ922" s="1106"/>
      <c r="AR922" s="1106"/>
      <c r="AS922" s="1106"/>
      <c r="AT922" s="1106"/>
      <c r="AU922" s="1106"/>
      <c r="AV922" s="1106"/>
      <c r="AW922" s="1106"/>
      <c r="AX922" s="1106"/>
    </row>
    <row r="923">
      <c r="T923" s="1102"/>
      <c r="U923" s="1104"/>
      <c r="V923" s="1104"/>
      <c r="W923" s="1104"/>
      <c r="X923" s="1104"/>
      <c r="Y923" s="1104"/>
      <c r="Z923" s="1104"/>
      <c r="AA923" s="1104"/>
      <c r="AB923" s="1104"/>
      <c r="AC923" s="1104"/>
      <c r="AD923" s="1104"/>
      <c r="AE923" s="1104"/>
      <c r="AF923" s="1104"/>
      <c r="AG923" s="1106"/>
      <c r="AH923" s="1106"/>
      <c r="AI923" s="1106"/>
      <c r="AJ923" s="1106"/>
      <c r="AK923" s="1106"/>
      <c r="AL923" s="1106"/>
      <c r="AM923" s="1106"/>
      <c r="AN923" s="1106"/>
      <c r="AO923" s="1106"/>
      <c r="AP923" s="1106"/>
      <c r="AQ923" s="1106"/>
      <c r="AR923" s="1106"/>
      <c r="AS923" s="1106"/>
      <c r="AT923" s="1106"/>
      <c r="AU923" s="1106"/>
      <c r="AV923" s="1106"/>
      <c r="AW923" s="1106"/>
      <c r="AX923" s="1106"/>
    </row>
    <row r="924">
      <c r="T924" s="1102"/>
      <c r="U924" s="1104"/>
      <c r="V924" s="1104"/>
      <c r="W924" s="1104"/>
      <c r="X924" s="1104"/>
      <c r="Y924" s="1104"/>
      <c r="Z924" s="1104"/>
      <c r="AA924" s="1104"/>
      <c r="AB924" s="1104"/>
      <c r="AC924" s="1104"/>
      <c r="AD924" s="1104"/>
      <c r="AE924" s="1104"/>
      <c r="AF924" s="1104"/>
      <c r="AG924" s="1106"/>
      <c r="AH924" s="1106"/>
      <c r="AI924" s="1106"/>
      <c r="AJ924" s="1106"/>
      <c r="AK924" s="1106"/>
      <c r="AL924" s="1106"/>
      <c r="AM924" s="1106"/>
      <c r="AN924" s="1106"/>
      <c r="AO924" s="1106"/>
      <c r="AP924" s="1106"/>
      <c r="AQ924" s="1106"/>
      <c r="AR924" s="1106"/>
      <c r="AS924" s="1106"/>
      <c r="AT924" s="1106"/>
      <c r="AU924" s="1106"/>
      <c r="AV924" s="1106"/>
      <c r="AW924" s="1106"/>
      <c r="AX924" s="1106"/>
    </row>
    <row r="925">
      <c r="T925" s="1102"/>
      <c r="U925" s="1104"/>
      <c r="V925" s="1104"/>
      <c r="W925" s="1104"/>
      <c r="X925" s="1104"/>
      <c r="Y925" s="1104"/>
      <c r="Z925" s="1104"/>
      <c r="AA925" s="1104"/>
      <c r="AB925" s="1104"/>
      <c r="AC925" s="1104"/>
      <c r="AD925" s="1104"/>
      <c r="AE925" s="1104"/>
      <c r="AF925" s="1104"/>
      <c r="AG925" s="1106"/>
      <c r="AH925" s="1106"/>
      <c r="AI925" s="1106"/>
      <c r="AJ925" s="1106"/>
      <c r="AK925" s="1106"/>
      <c r="AL925" s="1106"/>
      <c r="AM925" s="1106"/>
      <c r="AN925" s="1106"/>
      <c r="AO925" s="1106"/>
      <c r="AP925" s="1106"/>
      <c r="AQ925" s="1106"/>
      <c r="AR925" s="1106"/>
      <c r="AS925" s="1106"/>
      <c r="AT925" s="1106"/>
      <c r="AU925" s="1106"/>
      <c r="AV925" s="1106"/>
      <c r="AW925" s="1106"/>
      <c r="AX925" s="1106"/>
    </row>
    <row r="926">
      <c r="T926" s="1102"/>
      <c r="U926" s="1104"/>
      <c r="V926" s="1104"/>
      <c r="W926" s="1104"/>
      <c r="X926" s="1104"/>
      <c r="Y926" s="1104"/>
      <c r="Z926" s="1104"/>
      <c r="AA926" s="1104"/>
      <c r="AB926" s="1104"/>
      <c r="AC926" s="1104"/>
      <c r="AD926" s="1104"/>
      <c r="AE926" s="1104"/>
      <c r="AF926" s="1104"/>
      <c r="AG926" s="1106"/>
      <c r="AH926" s="1106"/>
      <c r="AI926" s="1106"/>
      <c r="AJ926" s="1106"/>
      <c r="AK926" s="1106"/>
      <c r="AL926" s="1106"/>
      <c r="AM926" s="1106"/>
      <c r="AN926" s="1106"/>
      <c r="AO926" s="1106"/>
      <c r="AP926" s="1106"/>
      <c r="AQ926" s="1106"/>
      <c r="AR926" s="1106"/>
      <c r="AS926" s="1106"/>
      <c r="AT926" s="1106"/>
      <c r="AU926" s="1106"/>
      <c r="AV926" s="1106"/>
      <c r="AW926" s="1106"/>
      <c r="AX926" s="1106"/>
    </row>
    <row r="927">
      <c r="T927" s="1102"/>
      <c r="U927" s="1104"/>
      <c r="V927" s="1104"/>
      <c r="W927" s="1104"/>
      <c r="X927" s="1104"/>
      <c r="Y927" s="1104"/>
      <c r="Z927" s="1104"/>
      <c r="AA927" s="1104"/>
      <c r="AB927" s="1104"/>
      <c r="AC927" s="1104"/>
      <c r="AD927" s="1104"/>
      <c r="AE927" s="1104"/>
      <c r="AF927" s="1104"/>
      <c r="AG927" s="1106"/>
      <c r="AH927" s="1106"/>
      <c r="AI927" s="1106"/>
      <c r="AJ927" s="1106"/>
      <c r="AK927" s="1106"/>
      <c r="AL927" s="1106"/>
      <c r="AM927" s="1106"/>
      <c r="AN927" s="1106"/>
      <c r="AO927" s="1106"/>
      <c r="AP927" s="1106"/>
      <c r="AQ927" s="1106"/>
      <c r="AR927" s="1106"/>
      <c r="AS927" s="1106"/>
      <c r="AT927" s="1106"/>
      <c r="AU927" s="1106"/>
      <c r="AV927" s="1106"/>
      <c r="AW927" s="1106"/>
      <c r="AX927" s="1106"/>
    </row>
    <row r="928">
      <c r="T928" s="1102"/>
      <c r="U928" s="1104"/>
      <c r="V928" s="1104"/>
      <c r="W928" s="1104"/>
      <c r="X928" s="1104"/>
      <c r="Y928" s="1104"/>
      <c r="Z928" s="1104"/>
      <c r="AA928" s="1104"/>
      <c r="AB928" s="1104"/>
      <c r="AC928" s="1104"/>
      <c r="AD928" s="1104"/>
      <c r="AE928" s="1104"/>
      <c r="AF928" s="1104"/>
      <c r="AG928" s="1106"/>
      <c r="AH928" s="1106"/>
      <c r="AI928" s="1106"/>
      <c r="AJ928" s="1106"/>
      <c r="AK928" s="1106"/>
      <c r="AL928" s="1106"/>
      <c r="AM928" s="1106"/>
      <c r="AN928" s="1106"/>
      <c r="AO928" s="1106"/>
      <c r="AP928" s="1106"/>
      <c r="AQ928" s="1106"/>
      <c r="AR928" s="1106"/>
      <c r="AS928" s="1106"/>
      <c r="AT928" s="1106"/>
      <c r="AU928" s="1106"/>
      <c r="AV928" s="1106"/>
      <c r="AW928" s="1106"/>
      <c r="AX928" s="1106"/>
    </row>
    <row r="929">
      <c r="T929" s="1102"/>
      <c r="U929" s="1104"/>
      <c r="V929" s="1104"/>
      <c r="W929" s="1104"/>
      <c r="X929" s="1104"/>
      <c r="Y929" s="1104"/>
      <c r="Z929" s="1104"/>
      <c r="AA929" s="1104"/>
      <c r="AB929" s="1104"/>
      <c r="AC929" s="1104"/>
      <c r="AD929" s="1104"/>
      <c r="AE929" s="1104"/>
      <c r="AF929" s="1104"/>
      <c r="AG929" s="1106"/>
      <c r="AH929" s="1106"/>
      <c r="AI929" s="1106"/>
      <c r="AJ929" s="1106"/>
      <c r="AK929" s="1106"/>
      <c r="AL929" s="1106"/>
      <c r="AM929" s="1106"/>
      <c r="AN929" s="1106"/>
      <c r="AO929" s="1106"/>
      <c r="AP929" s="1106"/>
      <c r="AQ929" s="1106"/>
      <c r="AR929" s="1106"/>
      <c r="AS929" s="1106"/>
      <c r="AT929" s="1106"/>
      <c r="AU929" s="1106"/>
      <c r="AV929" s="1106"/>
      <c r="AW929" s="1106"/>
      <c r="AX929" s="1106"/>
    </row>
    <row r="930">
      <c r="T930" s="1102"/>
      <c r="U930" s="1104"/>
      <c r="V930" s="1104"/>
      <c r="W930" s="1104"/>
      <c r="X930" s="1104"/>
      <c r="Y930" s="1104"/>
      <c r="Z930" s="1104"/>
      <c r="AA930" s="1104"/>
      <c r="AB930" s="1104"/>
      <c r="AC930" s="1104"/>
      <c r="AD930" s="1104"/>
      <c r="AE930" s="1104"/>
      <c r="AF930" s="1104"/>
      <c r="AG930" s="1106"/>
      <c r="AH930" s="1106"/>
      <c r="AI930" s="1106"/>
      <c r="AJ930" s="1106"/>
      <c r="AK930" s="1106"/>
      <c r="AL930" s="1106"/>
      <c r="AM930" s="1106"/>
      <c r="AN930" s="1106"/>
      <c r="AO930" s="1106"/>
      <c r="AP930" s="1106"/>
      <c r="AQ930" s="1106"/>
      <c r="AR930" s="1106"/>
      <c r="AS930" s="1106"/>
      <c r="AT930" s="1106"/>
      <c r="AU930" s="1106"/>
      <c r="AV930" s="1106"/>
      <c r="AW930" s="1106"/>
      <c r="AX930" s="1106"/>
    </row>
    <row r="931">
      <c r="T931" s="1102"/>
      <c r="U931" s="1104"/>
      <c r="V931" s="1104"/>
      <c r="W931" s="1104"/>
      <c r="X931" s="1104"/>
      <c r="Y931" s="1104"/>
      <c r="Z931" s="1104"/>
      <c r="AA931" s="1104"/>
      <c r="AB931" s="1104"/>
      <c r="AC931" s="1104"/>
      <c r="AD931" s="1104"/>
      <c r="AE931" s="1104"/>
      <c r="AF931" s="1104"/>
      <c r="AG931" s="1106"/>
      <c r="AH931" s="1106"/>
      <c r="AI931" s="1106"/>
      <c r="AJ931" s="1106"/>
      <c r="AK931" s="1106"/>
      <c r="AL931" s="1106"/>
      <c r="AM931" s="1106"/>
      <c r="AN931" s="1106"/>
      <c r="AO931" s="1106"/>
      <c r="AP931" s="1106"/>
      <c r="AQ931" s="1106"/>
      <c r="AR931" s="1106"/>
      <c r="AS931" s="1106"/>
      <c r="AT931" s="1106"/>
      <c r="AU931" s="1106"/>
      <c r="AV931" s="1106"/>
      <c r="AW931" s="1106"/>
      <c r="AX931" s="1106"/>
    </row>
    <row r="932">
      <c r="T932" s="1102"/>
      <c r="U932" s="1104"/>
      <c r="V932" s="1104"/>
      <c r="W932" s="1104"/>
      <c r="X932" s="1104"/>
      <c r="Y932" s="1104"/>
      <c r="Z932" s="1104"/>
      <c r="AA932" s="1104"/>
      <c r="AB932" s="1104"/>
      <c r="AC932" s="1104"/>
      <c r="AD932" s="1104"/>
      <c r="AE932" s="1104"/>
      <c r="AF932" s="1104"/>
      <c r="AG932" s="1106"/>
      <c r="AH932" s="1106"/>
      <c r="AI932" s="1106"/>
      <c r="AJ932" s="1106"/>
      <c r="AK932" s="1106"/>
      <c r="AL932" s="1106"/>
      <c r="AM932" s="1106"/>
      <c r="AN932" s="1106"/>
      <c r="AO932" s="1106"/>
      <c r="AP932" s="1106"/>
      <c r="AQ932" s="1106"/>
      <c r="AR932" s="1106"/>
      <c r="AS932" s="1106"/>
      <c r="AT932" s="1106"/>
      <c r="AU932" s="1106"/>
      <c r="AV932" s="1106"/>
      <c r="AW932" s="1106"/>
      <c r="AX932" s="1106"/>
    </row>
    <row r="933">
      <c r="T933" s="1102"/>
      <c r="U933" s="1104"/>
      <c r="V933" s="1104"/>
      <c r="W933" s="1104"/>
      <c r="X933" s="1104"/>
      <c r="Y933" s="1104"/>
      <c r="Z933" s="1104"/>
      <c r="AA933" s="1104"/>
      <c r="AB933" s="1104"/>
      <c r="AC933" s="1104"/>
      <c r="AD933" s="1104"/>
      <c r="AE933" s="1104"/>
      <c r="AF933" s="1104"/>
      <c r="AG933" s="1106"/>
      <c r="AH933" s="1106"/>
      <c r="AI933" s="1106"/>
      <c r="AJ933" s="1106"/>
      <c r="AK933" s="1106"/>
      <c r="AL933" s="1106"/>
      <c r="AM933" s="1106"/>
      <c r="AN933" s="1106"/>
      <c r="AO933" s="1106"/>
      <c r="AP933" s="1106"/>
      <c r="AQ933" s="1106"/>
      <c r="AR933" s="1106"/>
      <c r="AS933" s="1106"/>
      <c r="AT933" s="1106"/>
      <c r="AU933" s="1106"/>
      <c r="AV933" s="1106"/>
      <c r="AW933" s="1106"/>
      <c r="AX933" s="1106"/>
    </row>
    <row r="934">
      <c r="T934" s="1102"/>
      <c r="U934" s="1104"/>
      <c r="V934" s="1104"/>
      <c r="W934" s="1104"/>
      <c r="X934" s="1104"/>
      <c r="Y934" s="1104"/>
      <c r="Z934" s="1104"/>
      <c r="AA934" s="1104"/>
      <c r="AB934" s="1104"/>
      <c r="AC934" s="1104"/>
      <c r="AD934" s="1104"/>
      <c r="AE934" s="1104"/>
      <c r="AF934" s="1104"/>
      <c r="AG934" s="1106"/>
      <c r="AH934" s="1106"/>
      <c r="AI934" s="1106"/>
      <c r="AJ934" s="1106"/>
      <c r="AK934" s="1106"/>
      <c r="AL934" s="1106"/>
      <c r="AM934" s="1106"/>
      <c r="AN934" s="1106"/>
      <c r="AO934" s="1106"/>
      <c r="AP934" s="1106"/>
      <c r="AQ934" s="1106"/>
      <c r="AR934" s="1106"/>
      <c r="AS934" s="1106"/>
      <c r="AT934" s="1106"/>
      <c r="AU934" s="1106"/>
      <c r="AV934" s="1106"/>
      <c r="AW934" s="1106"/>
      <c r="AX934" s="1106"/>
    </row>
    <row r="935">
      <c r="T935" s="1102"/>
      <c r="U935" s="1104"/>
      <c r="V935" s="1104"/>
      <c r="W935" s="1104"/>
      <c r="X935" s="1104"/>
      <c r="Y935" s="1104"/>
      <c r="Z935" s="1104"/>
      <c r="AA935" s="1104"/>
      <c r="AB935" s="1104"/>
      <c r="AC935" s="1104"/>
      <c r="AD935" s="1104"/>
      <c r="AE935" s="1104"/>
      <c r="AF935" s="1104"/>
      <c r="AG935" s="1106"/>
      <c r="AH935" s="1106"/>
      <c r="AI935" s="1106"/>
      <c r="AJ935" s="1106"/>
      <c r="AK935" s="1106"/>
      <c r="AL935" s="1106"/>
      <c r="AM935" s="1106"/>
      <c r="AN935" s="1106"/>
      <c r="AO935" s="1106"/>
      <c r="AP935" s="1106"/>
      <c r="AQ935" s="1106"/>
      <c r="AR935" s="1106"/>
      <c r="AS935" s="1106"/>
      <c r="AT935" s="1106"/>
      <c r="AU935" s="1106"/>
      <c r="AV935" s="1106"/>
      <c r="AW935" s="1106"/>
      <c r="AX935" s="1106"/>
    </row>
    <row r="936">
      <c r="T936" s="1102"/>
      <c r="U936" s="1104"/>
      <c r="V936" s="1104"/>
      <c r="W936" s="1104"/>
      <c r="X936" s="1104"/>
      <c r="Y936" s="1104"/>
      <c r="Z936" s="1104"/>
      <c r="AA936" s="1104"/>
      <c r="AB936" s="1104"/>
      <c r="AC936" s="1104"/>
      <c r="AD936" s="1104"/>
      <c r="AE936" s="1104"/>
      <c r="AF936" s="1104"/>
      <c r="AG936" s="1106"/>
      <c r="AH936" s="1106"/>
      <c r="AI936" s="1106"/>
      <c r="AJ936" s="1106"/>
      <c r="AK936" s="1106"/>
      <c r="AL936" s="1106"/>
      <c r="AM936" s="1106"/>
      <c r="AN936" s="1106"/>
      <c r="AO936" s="1106"/>
      <c r="AP936" s="1106"/>
      <c r="AQ936" s="1106"/>
      <c r="AR936" s="1106"/>
      <c r="AS936" s="1106"/>
      <c r="AT936" s="1106"/>
      <c r="AU936" s="1106"/>
      <c r="AV936" s="1106"/>
      <c r="AW936" s="1106"/>
      <c r="AX936" s="1106"/>
    </row>
    <row r="937">
      <c r="T937" s="1102"/>
      <c r="U937" s="1104"/>
      <c r="V937" s="1104"/>
      <c r="W937" s="1104"/>
      <c r="X937" s="1104"/>
      <c r="Y937" s="1104"/>
      <c r="Z937" s="1104"/>
      <c r="AA937" s="1104"/>
      <c r="AB937" s="1104"/>
      <c r="AC937" s="1104"/>
      <c r="AD937" s="1104"/>
      <c r="AE937" s="1104"/>
      <c r="AF937" s="1104"/>
      <c r="AG937" s="1106"/>
      <c r="AH937" s="1106"/>
      <c r="AI937" s="1106"/>
      <c r="AJ937" s="1106"/>
      <c r="AK937" s="1106"/>
      <c r="AL937" s="1106"/>
      <c r="AM937" s="1106"/>
      <c r="AN937" s="1106"/>
      <c r="AO937" s="1106"/>
      <c r="AP937" s="1106"/>
      <c r="AQ937" s="1106"/>
      <c r="AR937" s="1106"/>
      <c r="AS937" s="1106"/>
      <c r="AT937" s="1106"/>
      <c r="AU937" s="1106"/>
      <c r="AV937" s="1106"/>
      <c r="AW937" s="1106"/>
      <c r="AX937" s="1106"/>
    </row>
    <row r="938">
      <c r="T938" s="1102"/>
      <c r="U938" s="1104"/>
      <c r="V938" s="1104"/>
      <c r="W938" s="1104"/>
      <c r="X938" s="1104"/>
      <c r="Y938" s="1104"/>
      <c r="Z938" s="1104"/>
      <c r="AA938" s="1104"/>
      <c r="AB938" s="1104"/>
      <c r="AC938" s="1104"/>
      <c r="AD938" s="1104"/>
      <c r="AE938" s="1104"/>
      <c r="AF938" s="1104"/>
      <c r="AG938" s="1106"/>
      <c r="AH938" s="1106"/>
      <c r="AI938" s="1106"/>
      <c r="AJ938" s="1106"/>
      <c r="AK938" s="1106"/>
      <c r="AL938" s="1106"/>
      <c r="AM938" s="1106"/>
      <c r="AN938" s="1106"/>
      <c r="AO938" s="1106"/>
      <c r="AP938" s="1106"/>
      <c r="AQ938" s="1106"/>
      <c r="AR938" s="1106"/>
      <c r="AS938" s="1106"/>
      <c r="AT938" s="1106"/>
      <c r="AU938" s="1106"/>
      <c r="AV938" s="1106"/>
      <c r="AW938" s="1106"/>
      <c r="AX938" s="1106"/>
    </row>
    <row r="939">
      <c r="T939" s="1102"/>
      <c r="U939" s="1104"/>
      <c r="V939" s="1104"/>
      <c r="W939" s="1104"/>
      <c r="X939" s="1104"/>
      <c r="Y939" s="1104"/>
      <c r="Z939" s="1104"/>
      <c r="AA939" s="1104"/>
      <c r="AB939" s="1104"/>
      <c r="AC939" s="1104"/>
      <c r="AD939" s="1104"/>
      <c r="AE939" s="1104"/>
      <c r="AF939" s="1104"/>
      <c r="AG939" s="1106"/>
      <c r="AH939" s="1106"/>
      <c r="AI939" s="1106"/>
      <c r="AJ939" s="1106"/>
      <c r="AK939" s="1106"/>
      <c r="AL939" s="1106"/>
      <c r="AM939" s="1106"/>
      <c r="AN939" s="1106"/>
      <c r="AO939" s="1106"/>
      <c r="AP939" s="1106"/>
      <c r="AQ939" s="1106"/>
      <c r="AR939" s="1106"/>
      <c r="AS939" s="1106"/>
      <c r="AT939" s="1106"/>
      <c r="AU939" s="1106"/>
      <c r="AV939" s="1106"/>
      <c r="AW939" s="1106"/>
      <c r="AX939" s="1106"/>
    </row>
    <row r="940">
      <c r="T940" s="1102"/>
      <c r="U940" s="1104"/>
      <c r="V940" s="1104"/>
      <c r="W940" s="1104"/>
      <c r="X940" s="1104"/>
      <c r="Y940" s="1104"/>
      <c r="Z940" s="1104"/>
      <c r="AA940" s="1104"/>
      <c r="AB940" s="1104"/>
      <c r="AC940" s="1104"/>
      <c r="AD940" s="1104"/>
      <c r="AE940" s="1104"/>
      <c r="AF940" s="1104"/>
      <c r="AG940" s="1106"/>
      <c r="AH940" s="1106"/>
      <c r="AI940" s="1106"/>
      <c r="AJ940" s="1106"/>
      <c r="AK940" s="1106"/>
      <c r="AL940" s="1106"/>
      <c r="AM940" s="1106"/>
      <c r="AN940" s="1106"/>
      <c r="AO940" s="1106"/>
      <c r="AP940" s="1106"/>
      <c r="AQ940" s="1106"/>
      <c r="AR940" s="1106"/>
      <c r="AS940" s="1106"/>
      <c r="AT940" s="1106"/>
      <c r="AU940" s="1106"/>
      <c r="AV940" s="1106"/>
      <c r="AW940" s="1106"/>
      <c r="AX940" s="1106"/>
    </row>
    <row r="941">
      <c r="T941" s="1102"/>
      <c r="U941" s="1104"/>
      <c r="V941" s="1104"/>
      <c r="W941" s="1104"/>
      <c r="X941" s="1104"/>
      <c r="Y941" s="1104"/>
      <c r="Z941" s="1104"/>
      <c r="AA941" s="1104"/>
      <c r="AB941" s="1104"/>
      <c r="AC941" s="1104"/>
      <c r="AD941" s="1104"/>
      <c r="AE941" s="1104"/>
      <c r="AF941" s="1104"/>
      <c r="AG941" s="1106"/>
      <c r="AH941" s="1106"/>
      <c r="AI941" s="1106"/>
      <c r="AJ941" s="1106"/>
      <c r="AK941" s="1106"/>
      <c r="AL941" s="1106"/>
      <c r="AM941" s="1106"/>
      <c r="AN941" s="1106"/>
      <c r="AO941" s="1106"/>
      <c r="AP941" s="1106"/>
      <c r="AQ941" s="1106"/>
      <c r="AR941" s="1106"/>
      <c r="AS941" s="1106"/>
      <c r="AT941" s="1106"/>
      <c r="AU941" s="1106"/>
      <c r="AV941" s="1106"/>
      <c r="AW941" s="1106"/>
      <c r="AX941" s="1106"/>
    </row>
    <row r="942">
      <c r="T942" s="1102"/>
      <c r="U942" s="1104"/>
      <c r="V942" s="1104"/>
      <c r="W942" s="1104"/>
      <c r="X942" s="1104"/>
      <c r="Y942" s="1104"/>
      <c r="Z942" s="1104"/>
      <c r="AA942" s="1104"/>
      <c r="AB942" s="1104"/>
      <c r="AC942" s="1104"/>
      <c r="AD942" s="1104"/>
      <c r="AE942" s="1104"/>
      <c r="AF942" s="1104"/>
      <c r="AG942" s="1106"/>
      <c r="AH942" s="1106"/>
      <c r="AI942" s="1106"/>
      <c r="AJ942" s="1106"/>
      <c r="AK942" s="1106"/>
      <c r="AL942" s="1106"/>
      <c r="AM942" s="1106"/>
      <c r="AN942" s="1106"/>
      <c r="AO942" s="1106"/>
      <c r="AP942" s="1106"/>
      <c r="AQ942" s="1106"/>
      <c r="AR942" s="1106"/>
      <c r="AS942" s="1106"/>
      <c r="AT942" s="1106"/>
      <c r="AU942" s="1106"/>
      <c r="AV942" s="1106"/>
      <c r="AW942" s="1106"/>
      <c r="AX942" s="1106"/>
    </row>
    <row r="943">
      <c r="T943" s="1102"/>
      <c r="U943" s="1104"/>
      <c r="V943" s="1104"/>
      <c r="W943" s="1104"/>
      <c r="X943" s="1104"/>
      <c r="Y943" s="1104"/>
      <c r="Z943" s="1104"/>
      <c r="AA943" s="1104"/>
      <c r="AB943" s="1104"/>
      <c r="AC943" s="1104"/>
      <c r="AD943" s="1104"/>
      <c r="AE943" s="1104"/>
      <c r="AF943" s="1104"/>
      <c r="AG943" s="1106"/>
      <c r="AH943" s="1106"/>
      <c r="AI943" s="1106"/>
      <c r="AJ943" s="1106"/>
      <c r="AK943" s="1106"/>
      <c r="AL943" s="1106"/>
      <c r="AM943" s="1106"/>
      <c r="AN943" s="1106"/>
      <c r="AO943" s="1106"/>
      <c r="AP943" s="1106"/>
      <c r="AQ943" s="1106"/>
      <c r="AR943" s="1106"/>
      <c r="AS943" s="1106"/>
      <c r="AT943" s="1106"/>
      <c r="AU943" s="1106"/>
      <c r="AV943" s="1106"/>
      <c r="AW943" s="1106"/>
      <c r="AX943" s="1106"/>
    </row>
    <row r="944">
      <c r="T944" s="1102"/>
      <c r="U944" s="1104"/>
      <c r="V944" s="1104"/>
      <c r="W944" s="1104"/>
      <c r="X944" s="1104"/>
      <c r="Y944" s="1104"/>
      <c r="Z944" s="1104"/>
      <c r="AA944" s="1104"/>
      <c r="AB944" s="1104"/>
      <c r="AC944" s="1104"/>
      <c r="AD944" s="1104"/>
      <c r="AE944" s="1104"/>
      <c r="AF944" s="1104"/>
      <c r="AG944" s="1106"/>
      <c r="AH944" s="1106"/>
      <c r="AI944" s="1106"/>
      <c r="AJ944" s="1106"/>
      <c r="AK944" s="1106"/>
      <c r="AL944" s="1106"/>
      <c r="AM944" s="1106"/>
      <c r="AN944" s="1106"/>
      <c r="AO944" s="1106"/>
      <c r="AP944" s="1106"/>
      <c r="AQ944" s="1106"/>
      <c r="AR944" s="1106"/>
      <c r="AS944" s="1106"/>
      <c r="AT944" s="1106"/>
      <c r="AU944" s="1106"/>
      <c r="AV944" s="1106"/>
      <c r="AW944" s="1106"/>
      <c r="AX944" s="1106"/>
    </row>
    <row r="945">
      <c r="T945" s="1102"/>
      <c r="U945" s="1104"/>
      <c r="V945" s="1104"/>
      <c r="W945" s="1104"/>
      <c r="X945" s="1104"/>
      <c r="Y945" s="1104"/>
      <c r="Z945" s="1104"/>
      <c r="AA945" s="1104"/>
      <c r="AB945" s="1104"/>
      <c r="AC945" s="1104"/>
      <c r="AD945" s="1104"/>
      <c r="AE945" s="1104"/>
      <c r="AF945" s="1104"/>
      <c r="AG945" s="1106"/>
      <c r="AH945" s="1106"/>
      <c r="AI945" s="1106"/>
      <c r="AJ945" s="1106"/>
      <c r="AK945" s="1106"/>
      <c r="AL945" s="1106"/>
      <c r="AM945" s="1106"/>
      <c r="AN945" s="1106"/>
      <c r="AO945" s="1106"/>
      <c r="AP945" s="1106"/>
      <c r="AQ945" s="1106"/>
      <c r="AR945" s="1106"/>
      <c r="AS945" s="1106"/>
      <c r="AT945" s="1106"/>
      <c r="AU945" s="1106"/>
      <c r="AV945" s="1106"/>
      <c r="AW945" s="1106"/>
      <c r="AX945" s="1106"/>
    </row>
    <row r="946">
      <c r="T946" s="1102"/>
      <c r="U946" s="1104"/>
      <c r="V946" s="1104"/>
      <c r="W946" s="1104"/>
      <c r="X946" s="1104"/>
      <c r="Y946" s="1104"/>
      <c r="Z946" s="1104"/>
      <c r="AA946" s="1104"/>
      <c r="AB946" s="1104"/>
      <c r="AC946" s="1104"/>
      <c r="AD946" s="1104"/>
      <c r="AE946" s="1104"/>
      <c r="AF946" s="1104"/>
      <c r="AG946" s="1106"/>
      <c r="AH946" s="1106"/>
      <c r="AI946" s="1106"/>
      <c r="AJ946" s="1106"/>
      <c r="AK946" s="1106"/>
      <c r="AL946" s="1106"/>
      <c r="AM946" s="1106"/>
      <c r="AN946" s="1106"/>
      <c r="AO946" s="1106"/>
      <c r="AP946" s="1106"/>
      <c r="AQ946" s="1106"/>
      <c r="AR946" s="1106"/>
      <c r="AS946" s="1106"/>
      <c r="AT946" s="1106"/>
      <c r="AU946" s="1106"/>
      <c r="AV946" s="1106"/>
      <c r="AW946" s="1106"/>
      <c r="AX946" s="1106"/>
    </row>
    <row r="947">
      <c r="T947" s="1102"/>
      <c r="U947" s="1104"/>
      <c r="V947" s="1104"/>
      <c r="W947" s="1104"/>
      <c r="X947" s="1104"/>
      <c r="Y947" s="1104"/>
      <c r="Z947" s="1104"/>
      <c r="AA947" s="1104"/>
      <c r="AB947" s="1104"/>
      <c r="AC947" s="1104"/>
      <c r="AD947" s="1104"/>
      <c r="AE947" s="1104"/>
      <c r="AF947" s="1104"/>
      <c r="AG947" s="1106"/>
      <c r="AH947" s="1106"/>
      <c r="AI947" s="1106"/>
      <c r="AJ947" s="1106"/>
      <c r="AK947" s="1106"/>
      <c r="AL947" s="1106"/>
      <c r="AM947" s="1106"/>
      <c r="AN947" s="1106"/>
      <c r="AO947" s="1106"/>
      <c r="AP947" s="1106"/>
      <c r="AQ947" s="1106"/>
      <c r="AR947" s="1106"/>
      <c r="AS947" s="1106"/>
      <c r="AT947" s="1106"/>
      <c r="AU947" s="1106"/>
      <c r="AV947" s="1106"/>
      <c r="AW947" s="1106"/>
      <c r="AX947" s="1106"/>
    </row>
    <row r="948">
      <c r="T948" s="1102"/>
      <c r="U948" s="1104"/>
      <c r="V948" s="1104"/>
      <c r="W948" s="1104"/>
      <c r="X948" s="1104"/>
      <c r="Y948" s="1104"/>
      <c r="Z948" s="1104"/>
      <c r="AA948" s="1104"/>
      <c r="AB948" s="1104"/>
      <c r="AC948" s="1104"/>
      <c r="AD948" s="1104"/>
      <c r="AE948" s="1104"/>
      <c r="AF948" s="1104"/>
      <c r="AG948" s="1106"/>
      <c r="AH948" s="1106"/>
      <c r="AI948" s="1106"/>
      <c r="AJ948" s="1106"/>
      <c r="AK948" s="1106"/>
      <c r="AL948" s="1106"/>
      <c r="AM948" s="1106"/>
      <c r="AN948" s="1106"/>
      <c r="AO948" s="1106"/>
      <c r="AP948" s="1106"/>
      <c r="AQ948" s="1106"/>
      <c r="AR948" s="1106"/>
      <c r="AS948" s="1106"/>
      <c r="AT948" s="1106"/>
      <c r="AU948" s="1106"/>
      <c r="AV948" s="1106"/>
      <c r="AW948" s="1106"/>
      <c r="AX948" s="1106"/>
    </row>
    <row r="949">
      <c r="T949" s="1102"/>
      <c r="U949" s="1104"/>
      <c r="V949" s="1104"/>
      <c r="W949" s="1104"/>
      <c r="X949" s="1104"/>
      <c r="Y949" s="1104"/>
      <c r="Z949" s="1104"/>
      <c r="AA949" s="1104"/>
      <c r="AB949" s="1104"/>
      <c r="AC949" s="1104"/>
      <c r="AD949" s="1104"/>
      <c r="AE949" s="1104"/>
      <c r="AF949" s="1104"/>
      <c r="AG949" s="1106"/>
      <c r="AH949" s="1106"/>
      <c r="AI949" s="1106"/>
      <c r="AJ949" s="1106"/>
      <c r="AK949" s="1106"/>
      <c r="AL949" s="1106"/>
      <c r="AM949" s="1106"/>
      <c r="AN949" s="1106"/>
      <c r="AO949" s="1106"/>
      <c r="AP949" s="1106"/>
      <c r="AQ949" s="1106"/>
      <c r="AR949" s="1106"/>
      <c r="AS949" s="1106"/>
      <c r="AT949" s="1106"/>
      <c r="AU949" s="1106"/>
      <c r="AV949" s="1106"/>
      <c r="AW949" s="1106"/>
      <c r="AX949" s="1106"/>
    </row>
    <row r="950">
      <c r="T950" s="1102"/>
      <c r="U950" s="1104"/>
      <c r="V950" s="1104"/>
      <c r="W950" s="1104"/>
      <c r="X950" s="1104"/>
      <c r="Y950" s="1104"/>
      <c r="Z950" s="1104"/>
      <c r="AA950" s="1104"/>
      <c r="AB950" s="1104"/>
      <c r="AC950" s="1104"/>
      <c r="AD950" s="1104"/>
      <c r="AE950" s="1104"/>
      <c r="AF950" s="1104"/>
      <c r="AG950" s="1106"/>
      <c r="AH950" s="1106"/>
      <c r="AI950" s="1106"/>
      <c r="AJ950" s="1106"/>
      <c r="AK950" s="1106"/>
      <c r="AL950" s="1106"/>
      <c r="AM950" s="1106"/>
      <c r="AN950" s="1106"/>
      <c r="AO950" s="1106"/>
      <c r="AP950" s="1106"/>
      <c r="AQ950" s="1106"/>
      <c r="AR950" s="1106"/>
      <c r="AS950" s="1106"/>
      <c r="AT950" s="1106"/>
      <c r="AU950" s="1106"/>
      <c r="AV950" s="1106"/>
      <c r="AW950" s="1106"/>
      <c r="AX950" s="1106"/>
    </row>
    <row r="951">
      <c r="T951" s="1102"/>
      <c r="U951" s="1104"/>
      <c r="V951" s="1104"/>
      <c r="W951" s="1104"/>
      <c r="X951" s="1104"/>
      <c r="Y951" s="1104"/>
      <c r="Z951" s="1104"/>
      <c r="AA951" s="1104"/>
      <c r="AB951" s="1104"/>
      <c r="AC951" s="1104"/>
      <c r="AD951" s="1104"/>
      <c r="AE951" s="1104"/>
      <c r="AF951" s="1104"/>
      <c r="AG951" s="1106"/>
      <c r="AH951" s="1106"/>
      <c r="AI951" s="1106"/>
      <c r="AJ951" s="1106"/>
      <c r="AK951" s="1106"/>
      <c r="AL951" s="1106"/>
      <c r="AM951" s="1106"/>
      <c r="AN951" s="1106"/>
      <c r="AO951" s="1106"/>
      <c r="AP951" s="1106"/>
      <c r="AQ951" s="1106"/>
      <c r="AR951" s="1106"/>
      <c r="AS951" s="1106"/>
      <c r="AT951" s="1106"/>
      <c r="AU951" s="1106"/>
      <c r="AV951" s="1106"/>
      <c r="AW951" s="1106"/>
      <c r="AX951" s="1106"/>
    </row>
    <row r="952">
      <c r="T952" s="1102"/>
      <c r="U952" s="1104"/>
      <c r="V952" s="1104"/>
      <c r="W952" s="1104"/>
      <c r="X952" s="1104"/>
      <c r="Y952" s="1104"/>
      <c r="Z952" s="1104"/>
      <c r="AA952" s="1104"/>
      <c r="AB952" s="1104"/>
      <c r="AC952" s="1104"/>
      <c r="AD952" s="1104"/>
      <c r="AE952" s="1104"/>
      <c r="AF952" s="1104"/>
      <c r="AG952" s="1106"/>
      <c r="AH952" s="1106"/>
      <c r="AI952" s="1106"/>
      <c r="AJ952" s="1106"/>
      <c r="AK952" s="1106"/>
      <c r="AL952" s="1106"/>
      <c r="AM952" s="1106"/>
      <c r="AN952" s="1106"/>
      <c r="AO952" s="1106"/>
      <c r="AP952" s="1106"/>
      <c r="AQ952" s="1106"/>
      <c r="AR952" s="1106"/>
      <c r="AS952" s="1106"/>
      <c r="AT952" s="1106"/>
      <c r="AU952" s="1106"/>
      <c r="AV952" s="1106"/>
      <c r="AW952" s="1106"/>
      <c r="AX952" s="1106"/>
    </row>
    <row r="953">
      <c r="T953" s="1102"/>
      <c r="U953" s="1104"/>
      <c r="V953" s="1104"/>
      <c r="W953" s="1104"/>
      <c r="X953" s="1104"/>
      <c r="Y953" s="1104"/>
      <c r="Z953" s="1104"/>
      <c r="AA953" s="1104"/>
      <c r="AB953" s="1104"/>
      <c r="AC953" s="1104"/>
      <c r="AD953" s="1104"/>
      <c r="AE953" s="1104"/>
      <c r="AF953" s="1104"/>
      <c r="AG953" s="1106"/>
      <c r="AH953" s="1106"/>
      <c r="AI953" s="1106"/>
      <c r="AJ953" s="1106"/>
      <c r="AK953" s="1106"/>
      <c r="AL953" s="1106"/>
      <c r="AM953" s="1106"/>
      <c r="AN953" s="1106"/>
      <c r="AO953" s="1106"/>
      <c r="AP953" s="1106"/>
      <c r="AQ953" s="1106"/>
      <c r="AR953" s="1106"/>
      <c r="AS953" s="1106"/>
      <c r="AT953" s="1106"/>
      <c r="AU953" s="1106"/>
      <c r="AV953" s="1106"/>
      <c r="AW953" s="1106"/>
      <c r="AX953" s="1106"/>
    </row>
    <row r="954">
      <c r="T954" s="1102"/>
      <c r="U954" s="1104"/>
      <c r="V954" s="1104"/>
      <c r="W954" s="1104"/>
      <c r="X954" s="1104"/>
      <c r="Y954" s="1104"/>
      <c r="Z954" s="1104"/>
      <c r="AA954" s="1104"/>
      <c r="AB954" s="1104"/>
      <c r="AC954" s="1104"/>
      <c r="AD954" s="1104"/>
      <c r="AE954" s="1104"/>
      <c r="AF954" s="1104"/>
      <c r="AG954" s="1106"/>
      <c r="AH954" s="1106"/>
      <c r="AI954" s="1106"/>
      <c r="AJ954" s="1106"/>
      <c r="AK954" s="1106"/>
      <c r="AL954" s="1106"/>
      <c r="AM954" s="1106"/>
      <c r="AN954" s="1106"/>
      <c r="AO954" s="1106"/>
      <c r="AP954" s="1106"/>
      <c r="AQ954" s="1106"/>
      <c r="AR954" s="1106"/>
      <c r="AS954" s="1106"/>
      <c r="AT954" s="1106"/>
      <c r="AU954" s="1106"/>
      <c r="AV954" s="1106"/>
      <c r="AW954" s="1106"/>
      <c r="AX954" s="1106"/>
    </row>
    <row r="955">
      <c r="T955" s="1102"/>
      <c r="U955" s="1104"/>
      <c r="V955" s="1104"/>
      <c r="W955" s="1104"/>
      <c r="X955" s="1104"/>
      <c r="Y955" s="1104"/>
      <c r="Z955" s="1104"/>
      <c r="AA955" s="1104"/>
      <c r="AB955" s="1104"/>
      <c r="AC955" s="1104"/>
      <c r="AD955" s="1104"/>
      <c r="AE955" s="1104"/>
      <c r="AF955" s="1104"/>
      <c r="AG955" s="1106"/>
      <c r="AH955" s="1106"/>
      <c r="AI955" s="1106"/>
      <c r="AJ955" s="1106"/>
      <c r="AK955" s="1106"/>
      <c r="AL955" s="1106"/>
      <c r="AM955" s="1106"/>
      <c r="AN955" s="1106"/>
      <c r="AO955" s="1106"/>
      <c r="AP955" s="1106"/>
      <c r="AQ955" s="1106"/>
      <c r="AR955" s="1106"/>
      <c r="AS955" s="1106"/>
      <c r="AT955" s="1106"/>
      <c r="AU955" s="1106"/>
      <c r="AV955" s="1106"/>
      <c r="AW955" s="1106"/>
      <c r="AX955" s="1106"/>
    </row>
    <row r="956">
      <c r="T956" s="1102"/>
      <c r="U956" s="1104"/>
      <c r="V956" s="1104"/>
      <c r="W956" s="1104"/>
      <c r="X956" s="1104"/>
      <c r="Y956" s="1104"/>
      <c r="Z956" s="1104"/>
      <c r="AA956" s="1104"/>
      <c r="AB956" s="1104"/>
      <c r="AC956" s="1104"/>
      <c r="AD956" s="1104"/>
      <c r="AE956" s="1104"/>
      <c r="AF956" s="1104"/>
      <c r="AG956" s="1106"/>
      <c r="AH956" s="1106"/>
      <c r="AI956" s="1106"/>
      <c r="AJ956" s="1106"/>
      <c r="AK956" s="1106"/>
      <c r="AL956" s="1106"/>
      <c r="AM956" s="1106"/>
      <c r="AN956" s="1106"/>
      <c r="AO956" s="1106"/>
      <c r="AP956" s="1106"/>
      <c r="AQ956" s="1106"/>
      <c r="AR956" s="1106"/>
      <c r="AS956" s="1106"/>
      <c r="AT956" s="1106"/>
      <c r="AU956" s="1106"/>
      <c r="AV956" s="1106"/>
      <c r="AW956" s="1106"/>
      <c r="AX956" s="1106"/>
    </row>
    <row r="957">
      <c r="T957" s="1102"/>
      <c r="U957" s="1104"/>
      <c r="V957" s="1104"/>
      <c r="W957" s="1104"/>
      <c r="X957" s="1104"/>
      <c r="Y957" s="1104"/>
      <c r="Z957" s="1104"/>
      <c r="AA957" s="1104"/>
      <c r="AB957" s="1104"/>
      <c r="AC957" s="1104"/>
      <c r="AD957" s="1104"/>
      <c r="AE957" s="1104"/>
      <c r="AF957" s="1104"/>
      <c r="AG957" s="1106"/>
      <c r="AH957" s="1106"/>
      <c r="AI957" s="1106"/>
      <c r="AJ957" s="1106"/>
      <c r="AK957" s="1106"/>
      <c r="AL957" s="1106"/>
      <c r="AM957" s="1106"/>
      <c r="AN957" s="1106"/>
      <c r="AO957" s="1106"/>
      <c r="AP957" s="1106"/>
      <c r="AQ957" s="1106"/>
      <c r="AR957" s="1106"/>
      <c r="AS957" s="1106"/>
      <c r="AT957" s="1106"/>
      <c r="AU957" s="1106"/>
      <c r="AV957" s="1106"/>
      <c r="AW957" s="1106"/>
      <c r="AX957" s="1106"/>
    </row>
    <row r="958">
      <c r="T958" s="1102"/>
      <c r="U958" s="1104"/>
      <c r="V958" s="1104"/>
      <c r="W958" s="1104"/>
      <c r="X958" s="1104"/>
      <c r="Y958" s="1104"/>
      <c r="Z958" s="1104"/>
      <c r="AA958" s="1104"/>
      <c r="AB958" s="1104"/>
      <c r="AC958" s="1104"/>
      <c r="AD958" s="1104"/>
      <c r="AE958" s="1104"/>
      <c r="AF958" s="1104"/>
      <c r="AG958" s="1106"/>
      <c r="AH958" s="1106"/>
      <c r="AI958" s="1106"/>
      <c r="AJ958" s="1106"/>
      <c r="AK958" s="1106"/>
      <c r="AL958" s="1106"/>
      <c r="AM958" s="1106"/>
      <c r="AN958" s="1106"/>
      <c r="AO958" s="1106"/>
      <c r="AP958" s="1106"/>
      <c r="AQ958" s="1106"/>
      <c r="AR958" s="1106"/>
      <c r="AS958" s="1106"/>
      <c r="AT958" s="1106"/>
      <c r="AU958" s="1106"/>
      <c r="AV958" s="1106"/>
      <c r="AW958" s="1106"/>
      <c r="AX958" s="1106"/>
    </row>
    <row r="959">
      <c r="T959" s="1102"/>
      <c r="U959" s="1104"/>
      <c r="V959" s="1104"/>
      <c r="W959" s="1104"/>
      <c r="X959" s="1104"/>
      <c r="Y959" s="1104"/>
      <c r="Z959" s="1104"/>
      <c r="AA959" s="1104"/>
      <c r="AB959" s="1104"/>
      <c r="AC959" s="1104"/>
      <c r="AD959" s="1104"/>
      <c r="AE959" s="1104"/>
      <c r="AF959" s="1104"/>
      <c r="AG959" s="1106"/>
      <c r="AH959" s="1106"/>
      <c r="AI959" s="1106"/>
      <c r="AJ959" s="1106"/>
      <c r="AK959" s="1106"/>
      <c r="AL959" s="1106"/>
      <c r="AM959" s="1106"/>
      <c r="AN959" s="1106"/>
      <c r="AO959" s="1106"/>
      <c r="AP959" s="1106"/>
      <c r="AQ959" s="1106"/>
      <c r="AR959" s="1106"/>
      <c r="AS959" s="1106"/>
      <c r="AT959" s="1106"/>
      <c r="AU959" s="1106"/>
      <c r="AV959" s="1106"/>
      <c r="AW959" s="1106"/>
      <c r="AX959" s="1106"/>
    </row>
    <row r="960">
      <c r="T960" s="1102"/>
      <c r="U960" s="1104"/>
      <c r="V960" s="1104"/>
      <c r="W960" s="1104"/>
      <c r="X960" s="1104"/>
      <c r="Y960" s="1104"/>
      <c r="Z960" s="1104"/>
      <c r="AA960" s="1104"/>
      <c r="AB960" s="1104"/>
      <c r="AC960" s="1104"/>
      <c r="AD960" s="1104"/>
      <c r="AE960" s="1104"/>
      <c r="AF960" s="1104"/>
      <c r="AG960" s="1106"/>
      <c r="AH960" s="1106"/>
      <c r="AI960" s="1106"/>
      <c r="AJ960" s="1106"/>
      <c r="AK960" s="1106"/>
      <c r="AL960" s="1106"/>
      <c r="AM960" s="1106"/>
      <c r="AN960" s="1106"/>
      <c r="AO960" s="1106"/>
      <c r="AP960" s="1106"/>
      <c r="AQ960" s="1106"/>
      <c r="AR960" s="1106"/>
      <c r="AS960" s="1106"/>
      <c r="AT960" s="1106"/>
      <c r="AU960" s="1106"/>
      <c r="AV960" s="1106"/>
      <c r="AW960" s="1106"/>
      <c r="AX960" s="1106"/>
    </row>
    <row r="961">
      <c r="T961" s="1102"/>
      <c r="U961" s="1104"/>
      <c r="V961" s="1104"/>
      <c r="W961" s="1104"/>
      <c r="X961" s="1104"/>
      <c r="Y961" s="1104"/>
      <c r="Z961" s="1104"/>
      <c r="AA961" s="1104"/>
      <c r="AB961" s="1104"/>
      <c r="AC961" s="1104"/>
      <c r="AD961" s="1104"/>
      <c r="AE961" s="1104"/>
      <c r="AF961" s="1104"/>
      <c r="AG961" s="1106"/>
      <c r="AH961" s="1106"/>
      <c r="AI961" s="1106"/>
      <c r="AJ961" s="1106"/>
      <c r="AK961" s="1106"/>
      <c r="AL961" s="1106"/>
      <c r="AM961" s="1106"/>
      <c r="AN961" s="1106"/>
      <c r="AO961" s="1106"/>
      <c r="AP961" s="1106"/>
      <c r="AQ961" s="1106"/>
      <c r="AR961" s="1106"/>
      <c r="AS961" s="1106"/>
      <c r="AT961" s="1106"/>
      <c r="AU961" s="1106"/>
      <c r="AV961" s="1106"/>
      <c r="AW961" s="1106"/>
      <c r="AX961" s="1106"/>
    </row>
    <row r="962">
      <c r="T962" s="1102"/>
      <c r="U962" s="1104"/>
      <c r="V962" s="1104"/>
      <c r="W962" s="1104"/>
      <c r="X962" s="1104"/>
      <c r="Y962" s="1104"/>
      <c r="Z962" s="1104"/>
      <c r="AA962" s="1104"/>
      <c r="AB962" s="1104"/>
      <c r="AC962" s="1104"/>
      <c r="AD962" s="1104"/>
      <c r="AE962" s="1104"/>
      <c r="AF962" s="1104"/>
      <c r="AG962" s="1106"/>
      <c r="AH962" s="1106"/>
      <c r="AI962" s="1106"/>
      <c r="AJ962" s="1106"/>
      <c r="AK962" s="1106"/>
      <c r="AL962" s="1106"/>
      <c r="AM962" s="1106"/>
      <c r="AN962" s="1106"/>
      <c r="AO962" s="1106"/>
      <c r="AP962" s="1106"/>
      <c r="AQ962" s="1106"/>
      <c r="AR962" s="1106"/>
      <c r="AS962" s="1106"/>
      <c r="AT962" s="1106"/>
      <c r="AU962" s="1106"/>
      <c r="AV962" s="1106"/>
      <c r="AW962" s="1106"/>
      <c r="AX962" s="1106"/>
    </row>
    <row r="963">
      <c r="T963" s="1102"/>
      <c r="U963" s="1104"/>
      <c r="V963" s="1104"/>
      <c r="W963" s="1104"/>
      <c r="X963" s="1104"/>
      <c r="Y963" s="1104"/>
      <c r="Z963" s="1104"/>
      <c r="AA963" s="1104"/>
      <c r="AB963" s="1104"/>
      <c r="AC963" s="1104"/>
      <c r="AD963" s="1104"/>
      <c r="AE963" s="1104"/>
      <c r="AF963" s="1104"/>
      <c r="AG963" s="1106"/>
      <c r="AH963" s="1106"/>
      <c r="AI963" s="1106"/>
      <c r="AJ963" s="1106"/>
      <c r="AK963" s="1106"/>
      <c r="AL963" s="1106"/>
      <c r="AM963" s="1106"/>
      <c r="AN963" s="1106"/>
      <c r="AO963" s="1106"/>
      <c r="AP963" s="1106"/>
      <c r="AQ963" s="1106"/>
      <c r="AR963" s="1106"/>
      <c r="AS963" s="1106"/>
      <c r="AT963" s="1106"/>
      <c r="AU963" s="1106"/>
      <c r="AV963" s="1106"/>
      <c r="AW963" s="1106"/>
      <c r="AX963" s="1106"/>
    </row>
    <row r="964">
      <c r="T964" s="1102"/>
      <c r="U964" s="1104"/>
      <c r="V964" s="1104"/>
      <c r="W964" s="1104"/>
      <c r="X964" s="1104"/>
      <c r="Y964" s="1104"/>
      <c r="Z964" s="1104"/>
      <c r="AA964" s="1104"/>
      <c r="AB964" s="1104"/>
      <c r="AC964" s="1104"/>
      <c r="AD964" s="1104"/>
      <c r="AE964" s="1104"/>
      <c r="AF964" s="1104"/>
      <c r="AG964" s="1106"/>
      <c r="AH964" s="1106"/>
      <c r="AI964" s="1106"/>
      <c r="AJ964" s="1106"/>
      <c r="AK964" s="1106"/>
      <c r="AL964" s="1106"/>
      <c r="AM964" s="1106"/>
      <c r="AN964" s="1106"/>
      <c r="AO964" s="1106"/>
      <c r="AP964" s="1106"/>
      <c r="AQ964" s="1106"/>
      <c r="AR964" s="1106"/>
      <c r="AS964" s="1106"/>
      <c r="AT964" s="1106"/>
      <c r="AU964" s="1106"/>
      <c r="AV964" s="1106"/>
      <c r="AW964" s="1106"/>
      <c r="AX964" s="1106"/>
    </row>
    <row r="965">
      <c r="T965" s="1102"/>
      <c r="U965" s="1104"/>
      <c r="V965" s="1104"/>
      <c r="W965" s="1104"/>
      <c r="X965" s="1104"/>
      <c r="Y965" s="1104"/>
      <c r="Z965" s="1104"/>
      <c r="AA965" s="1104"/>
      <c r="AB965" s="1104"/>
      <c r="AC965" s="1104"/>
      <c r="AD965" s="1104"/>
      <c r="AE965" s="1104"/>
      <c r="AF965" s="1104"/>
      <c r="AG965" s="1106"/>
      <c r="AH965" s="1106"/>
      <c r="AI965" s="1106"/>
      <c r="AJ965" s="1106"/>
      <c r="AK965" s="1106"/>
      <c r="AL965" s="1106"/>
      <c r="AM965" s="1106"/>
      <c r="AN965" s="1106"/>
      <c r="AO965" s="1106"/>
      <c r="AP965" s="1106"/>
      <c r="AQ965" s="1106"/>
      <c r="AR965" s="1106"/>
      <c r="AS965" s="1106"/>
      <c r="AT965" s="1106"/>
      <c r="AU965" s="1106"/>
      <c r="AV965" s="1106"/>
      <c r="AW965" s="1106"/>
      <c r="AX965" s="1106"/>
    </row>
    <row r="966">
      <c r="T966" s="1102"/>
      <c r="U966" s="1104"/>
      <c r="V966" s="1104"/>
      <c r="W966" s="1104"/>
      <c r="X966" s="1104"/>
      <c r="Y966" s="1104"/>
      <c r="Z966" s="1104"/>
      <c r="AA966" s="1104"/>
      <c r="AB966" s="1104"/>
      <c r="AC966" s="1104"/>
      <c r="AD966" s="1104"/>
      <c r="AE966" s="1104"/>
      <c r="AF966" s="1104"/>
      <c r="AG966" s="1106"/>
      <c r="AH966" s="1106"/>
      <c r="AI966" s="1106"/>
      <c r="AJ966" s="1106"/>
      <c r="AK966" s="1106"/>
      <c r="AL966" s="1106"/>
      <c r="AM966" s="1106"/>
      <c r="AN966" s="1106"/>
      <c r="AO966" s="1106"/>
      <c r="AP966" s="1106"/>
      <c r="AQ966" s="1106"/>
      <c r="AR966" s="1106"/>
      <c r="AS966" s="1106"/>
      <c r="AT966" s="1106"/>
      <c r="AU966" s="1106"/>
      <c r="AV966" s="1106"/>
      <c r="AW966" s="1106"/>
      <c r="AX966" s="1106"/>
    </row>
    <row r="967">
      <c r="T967" s="1102"/>
      <c r="U967" s="1104"/>
      <c r="V967" s="1104"/>
      <c r="W967" s="1104"/>
      <c r="X967" s="1104"/>
      <c r="Y967" s="1104"/>
      <c r="Z967" s="1104"/>
      <c r="AA967" s="1104"/>
      <c r="AB967" s="1104"/>
      <c r="AC967" s="1104"/>
      <c r="AD967" s="1104"/>
      <c r="AE967" s="1104"/>
      <c r="AF967" s="1104"/>
      <c r="AG967" s="1106"/>
      <c r="AH967" s="1106"/>
      <c r="AI967" s="1106"/>
      <c r="AJ967" s="1106"/>
      <c r="AK967" s="1106"/>
      <c r="AL967" s="1106"/>
      <c r="AM967" s="1106"/>
      <c r="AN967" s="1106"/>
      <c r="AO967" s="1106"/>
      <c r="AP967" s="1106"/>
      <c r="AQ967" s="1106"/>
      <c r="AR967" s="1106"/>
      <c r="AS967" s="1106"/>
      <c r="AT967" s="1106"/>
      <c r="AU967" s="1106"/>
      <c r="AV967" s="1106"/>
      <c r="AW967" s="1106"/>
      <c r="AX967" s="1106"/>
    </row>
    <row r="968">
      <c r="T968" s="1102"/>
      <c r="U968" s="1104"/>
      <c r="V968" s="1104"/>
      <c r="W968" s="1104"/>
      <c r="X968" s="1104"/>
      <c r="Y968" s="1104"/>
      <c r="Z968" s="1104"/>
      <c r="AA968" s="1104"/>
      <c r="AB968" s="1104"/>
      <c r="AC968" s="1104"/>
      <c r="AD968" s="1104"/>
      <c r="AE968" s="1104"/>
      <c r="AF968" s="1104"/>
      <c r="AG968" s="1106"/>
      <c r="AH968" s="1106"/>
      <c r="AI968" s="1106"/>
      <c r="AJ968" s="1106"/>
      <c r="AK968" s="1106"/>
      <c r="AL968" s="1106"/>
      <c r="AM968" s="1106"/>
      <c r="AN968" s="1106"/>
      <c r="AO968" s="1106"/>
      <c r="AP968" s="1106"/>
      <c r="AQ968" s="1106"/>
      <c r="AR968" s="1106"/>
      <c r="AS968" s="1106"/>
      <c r="AT968" s="1106"/>
      <c r="AU968" s="1106"/>
      <c r="AV968" s="1106"/>
      <c r="AW968" s="1106"/>
      <c r="AX968" s="1106"/>
    </row>
    <row r="969">
      <c r="T969" s="1102"/>
      <c r="U969" s="1104"/>
      <c r="V969" s="1104"/>
      <c r="W969" s="1104"/>
      <c r="X969" s="1104"/>
      <c r="Y969" s="1104"/>
      <c r="Z969" s="1104"/>
      <c r="AA969" s="1104"/>
      <c r="AB969" s="1104"/>
      <c r="AC969" s="1104"/>
      <c r="AD969" s="1104"/>
      <c r="AE969" s="1104"/>
      <c r="AF969" s="1104"/>
      <c r="AG969" s="1106"/>
      <c r="AH969" s="1106"/>
      <c r="AI969" s="1106"/>
      <c r="AJ969" s="1106"/>
      <c r="AK969" s="1106"/>
      <c r="AL969" s="1106"/>
      <c r="AM969" s="1106"/>
      <c r="AN969" s="1106"/>
      <c r="AO969" s="1106"/>
      <c r="AP969" s="1106"/>
      <c r="AQ969" s="1106"/>
      <c r="AR969" s="1106"/>
      <c r="AS969" s="1106"/>
      <c r="AT969" s="1106"/>
      <c r="AU969" s="1106"/>
      <c r="AV969" s="1106"/>
      <c r="AW969" s="1106"/>
      <c r="AX969" s="1106"/>
    </row>
    <row r="970">
      <c r="T970" s="1102"/>
      <c r="U970" s="1104"/>
      <c r="V970" s="1104"/>
      <c r="W970" s="1104"/>
      <c r="X970" s="1104"/>
      <c r="Y970" s="1104"/>
      <c r="Z970" s="1104"/>
      <c r="AA970" s="1104"/>
      <c r="AB970" s="1104"/>
      <c r="AC970" s="1104"/>
      <c r="AD970" s="1104"/>
      <c r="AE970" s="1104"/>
      <c r="AF970" s="1104"/>
      <c r="AG970" s="1106"/>
      <c r="AH970" s="1106"/>
      <c r="AI970" s="1106"/>
      <c r="AJ970" s="1106"/>
      <c r="AK970" s="1106"/>
      <c r="AL970" s="1106"/>
      <c r="AM970" s="1106"/>
      <c r="AN970" s="1106"/>
      <c r="AO970" s="1106"/>
      <c r="AP970" s="1106"/>
      <c r="AQ970" s="1106"/>
      <c r="AR970" s="1106"/>
      <c r="AS970" s="1106"/>
      <c r="AT970" s="1106"/>
      <c r="AU970" s="1106"/>
      <c r="AV970" s="1106"/>
      <c r="AW970" s="1106"/>
      <c r="AX970" s="1106"/>
    </row>
    <row r="971">
      <c r="T971" s="1102"/>
      <c r="U971" s="1104"/>
      <c r="V971" s="1104"/>
      <c r="W971" s="1104"/>
      <c r="X971" s="1104"/>
      <c r="Y971" s="1104"/>
      <c r="Z971" s="1104"/>
      <c r="AA971" s="1104"/>
      <c r="AB971" s="1104"/>
      <c r="AC971" s="1104"/>
      <c r="AD971" s="1104"/>
      <c r="AE971" s="1104"/>
      <c r="AF971" s="1104"/>
      <c r="AG971" s="1106"/>
      <c r="AH971" s="1106"/>
      <c r="AI971" s="1106"/>
      <c r="AJ971" s="1106"/>
      <c r="AK971" s="1106"/>
      <c r="AL971" s="1106"/>
      <c r="AM971" s="1106"/>
      <c r="AN971" s="1106"/>
      <c r="AO971" s="1106"/>
      <c r="AP971" s="1106"/>
      <c r="AQ971" s="1106"/>
      <c r="AR971" s="1106"/>
      <c r="AS971" s="1106"/>
      <c r="AT971" s="1106"/>
      <c r="AU971" s="1106"/>
      <c r="AV971" s="1106"/>
      <c r="AW971" s="1106"/>
      <c r="AX971" s="1106"/>
    </row>
    <row r="972">
      <c r="T972" s="1102"/>
      <c r="U972" s="1104"/>
      <c r="V972" s="1104"/>
      <c r="W972" s="1104"/>
      <c r="X972" s="1104"/>
      <c r="Y972" s="1104"/>
      <c r="Z972" s="1104"/>
      <c r="AA972" s="1104"/>
      <c r="AB972" s="1104"/>
      <c r="AC972" s="1104"/>
      <c r="AD972" s="1104"/>
      <c r="AE972" s="1104"/>
      <c r="AF972" s="1104"/>
      <c r="AG972" s="1106"/>
      <c r="AH972" s="1106"/>
      <c r="AI972" s="1106"/>
      <c r="AJ972" s="1106"/>
      <c r="AK972" s="1106"/>
      <c r="AL972" s="1106"/>
      <c r="AM972" s="1106"/>
      <c r="AN972" s="1106"/>
      <c r="AO972" s="1106"/>
      <c r="AP972" s="1106"/>
      <c r="AQ972" s="1106"/>
      <c r="AR972" s="1106"/>
      <c r="AS972" s="1106"/>
      <c r="AT972" s="1106"/>
      <c r="AU972" s="1106"/>
      <c r="AV972" s="1106"/>
      <c r="AW972" s="1106"/>
      <c r="AX972" s="1106"/>
    </row>
    <row r="973">
      <c r="T973" s="1102"/>
      <c r="U973" s="1104"/>
      <c r="V973" s="1104"/>
      <c r="W973" s="1104"/>
      <c r="X973" s="1104"/>
      <c r="Y973" s="1104"/>
      <c r="Z973" s="1104"/>
      <c r="AA973" s="1104"/>
      <c r="AB973" s="1104"/>
      <c r="AC973" s="1104"/>
      <c r="AD973" s="1104"/>
      <c r="AE973" s="1104"/>
      <c r="AF973" s="1104"/>
      <c r="AG973" s="1106"/>
      <c r="AH973" s="1106"/>
      <c r="AI973" s="1106"/>
      <c r="AJ973" s="1106"/>
      <c r="AK973" s="1106"/>
      <c r="AL973" s="1106"/>
      <c r="AM973" s="1106"/>
      <c r="AN973" s="1106"/>
      <c r="AO973" s="1106"/>
      <c r="AP973" s="1106"/>
      <c r="AQ973" s="1106"/>
      <c r="AR973" s="1106"/>
      <c r="AS973" s="1106"/>
      <c r="AT973" s="1106"/>
      <c r="AU973" s="1106"/>
      <c r="AV973" s="1106"/>
      <c r="AW973" s="1106"/>
      <c r="AX973" s="1106"/>
    </row>
    <row r="974">
      <c r="T974" s="1102"/>
      <c r="U974" s="1104"/>
      <c r="V974" s="1104"/>
      <c r="W974" s="1104"/>
      <c r="X974" s="1104"/>
      <c r="Y974" s="1104"/>
      <c r="Z974" s="1104"/>
      <c r="AA974" s="1104"/>
      <c r="AB974" s="1104"/>
      <c r="AC974" s="1104"/>
      <c r="AD974" s="1104"/>
      <c r="AE974" s="1104"/>
      <c r="AF974" s="1104"/>
      <c r="AG974" s="1106"/>
      <c r="AH974" s="1106"/>
      <c r="AI974" s="1106"/>
      <c r="AJ974" s="1106"/>
      <c r="AK974" s="1106"/>
      <c r="AL974" s="1106"/>
      <c r="AM974" s="1106"/>
      <c r="AN974" s="1106"/>
      <c r="AO974" s="1106"/>
      <c r="AP974" s="1106"/>
      <c r="AQ974" s="1106"/>
      <c r="AR974" s="1106"/>
      <c r="AS974" s="1106"/>
      <c r="AT974" s="1106"/>
      <c r="AU974" s="1106"/>
      <c r="AV974" s="1106"/>
      <c r="AW974" s="1106"/>
      <c r="AX974" s="1106"/>
    </row>
    <row r="975">
      <c r="T975" s="1102"/>
      <c r="U975" s="1104"/>
      <c r="V975" s="1104"/>
      <c r="W975" s="1104"/>
      <c r="X975" s="1104"/>
      <c r="Y975" s="1104"/>
      <c r="Z975" s="1104"/>
      <c r="AA975" s="1104"/>
      <c r="AB975" s="1104"/>
      <c r="AC975" s="1104"/>
      <c r="AD975" s="1104"/>
      <c r="AE975" s="1104"/>
      <c r="AF975" s="1104"/>
      <c r="AG975" s="1106"/>
      <c r="AH975" s="1106"/>
      <c r="AI975" s="1106"/>
      <c r="AJ975" s="1106"/>
      <c r="AK975" s="1106"/>
      <c r="AL975" s="1106"/>
      <c r="AM975" s="1106"/>
      <c r="AN975" s="1106"/>
      <c r="AO975" s="1106"/>
      <c r="AP975" s="1106"/>
      <c r="AQ975" s="1106"/>
      <c r="AR975" s="1106"/>
      <c r="AS975" s="1106"/>
      <c r="AT975" s="1106"/>
      <c r="AU975" s="1106"/>
      <c r="AV975" s="1106"/>
      <c r="AW975" s="1106"/>
      <c r="AX975" s="1106"/>
    </row>
    <row r="976">
      <c r="T976" s="1102"/>
      <c r="U976" s="1104"/>
      <c r="V976" s="1104"/>
      <c r="W976" s="1104"/>
      <c r="X976" s="1104"/>
      <c r="Y976" s="1104"/>
      <c r="Z976" s="1104"/>
      <c r="AA976" s="1104"/>
      <c r="AB976" s="1104"/>
      <c r="AC976" s="1104"/>
      <c r="AD976" s="1104"/>
      <c r="AE976" s="1104"/>
      <c r="AF976" s="1104"/>
      <c r="AG976" s="1106"/>
      <c r="AH976" s="1106"/>
      <c r="AI976" s="1106"/>
      <c r="AJ976" s="1106"/>
      <c r="AK976" s="1106"/>
      <c r="AL976" s="1106"/>
      <c r="AM976" s="1106"/>
      <c r="AN976" s="1106"/>
      <c r="AO976" s="1106"/>
      <c r="AP976" s="1106"/>
      <c r="AQ976" s="1106"/>
      <c r="AR976" s="1106"/>
      <c r="AS976" s="1106"/>
      <c r="AT976" s="1106"/>
      <c r="AU976" s="1106"/>
      <c r="AV976" s="1106"/>
      <c r="AW976" s="1106"/>
      <c r="AX976" s="1106"/>
    </row>
    <row r="977">
      <c r="T977" s="1102"/>
      <c r="U977" s="1104"/>
      <c r="V977" s="1104"/>
      <c r="W977" s="1104"/>
      <c r="X977" s="1104"/>
      <c r="Y977" s="1104"/>
      <c r="Z977" s="1104"/>
      <c r="AA977" s="1104"/>
      <c r="AB977" s="1104"/>
      <c r="AC977" s="1104"/>
      <c r="AD977" s="1104"/>
      <c r="AE977" s="1104"/>
      <c r="AF977" s="1104"/>
      <c r="AG977" s="1106"/>
      <c r="AH977" s="1106"/>
      <c r="AI977" s="1106"/>
      <c r="AJ977" s="1106"/>
      <c r="AK977" s="1106"/>
      <c r="AL977" s="1106"/>
      <c r="AM977" s="1106"/>
      <c r="AN977" s="1106"/>
      <c r="AO977" s="1106"/>
      <c r="AP977" s="1106"/>
      <c r="AQ977" s="1106"/>
      <c r="AR977" s="1106"/>
      <c r="AS977" s="1106"/>
      <c r="AT977" s="1106"/>
      <c r="AU977" s="1106"/>
      <c r="AV977" s="1106"/>
      <c r="AW977" s="1106"/>
      <c r="AX977" s="1106"/>
    </row>
    <row r="978">
      <c r="T978" s="1102"/>
      <c r="U978" s="1104"/>
      <c r="V978" s="1104"/>
      <c r="W978" s="1104"/>
      <c r="X978" s="1104"/>
      <c r="Y978" s="1104"/>
      <c r="Z978" s="1104"/>
      <c r="AA978" s="1104"/>
      <c r="AB978" s="1104"/>
      <c r="AC978" s="1104"/>
      <c r="AD978" s="1104"/>
      <c r="AE978" s="1104"/>
      <c r="AF978" s="1104"/>
      <c r="AG978" s="1106"/>
      <c r="AH978" s="1106"/>
      <c r="AI978" s="1106"/>
      <c r="AJ978" s="1106"/>
      <c r="AK978" s="1106"/>
      <c r="AL978" s="1106"/>
      <c r="AM978" s="1106"/>
      <c r="AN978" s="1106"/>
      <c r="AO978" s="1106"/>
      <c r="AP978" s="1106"/>
      <c r="AQ978" s="1106"/>
      <c r="AR978" s="1106"/>
      <c r="AS978" s="1106"/>
      <c r="AT978" s="1106"/>
      <c r="AU978" s="1106"/>
      <c r="AV978" s="1106"/>
      <c r="AW978" s="1106"/>
      <c r="AX978" s="1106"/>
    </row>
    <row r="979">
      <c r="T979" s="1102"/>
      <c r="U979" s="1104"/>
      <c r="V979" s="1104"/>
      <c r="W979" s="1104"/>
      <c r="X979" s="1104"/>
      <c r="Y979" s="1104"/>
      <c r="Z979" s="1104"/>
      <c r="AA979" s="1104"/>
      <c r="AB979" s="1104"/>
      <c r="AC979" s="1104"/>
      <c r="AD979" s="1104"/>
      <c r="AE979" s="1104"/>
      <c r="AF979" s="1104"/>
      <c r="AG979" s="1106"/>
      <c r="AH979" s="1106"/>
      <c r="AI979" s="1106"/>
      <c r="AJ979" s="1106"/>
      <c r="AK979" s="1106"/>
      <c r="AL979" s="1106"/>
      <c r="AM979" s="1106"/>
      <c r="AN979" s="1106"/>
      <c r="AO979" s="1106"/>
      <c r="AP979" s="1106"/>
      <c r="AQ979" s="1106"/>
      <c r="AR979" s="1106"/>
      <c r="AS979" s="1106"/>
      <c r="AT979" s="1106"/>
      <c r="AU979" s="1106"/>
      <c r="AV979" s="1106"/>
      <c r="AW979" s="1106"/>
      <c r="AX979" s="1106"/>
    </row>
    <row r="980">
      <c r="T980" s="1102"/>
      <c r="U980" s="1104"/>
      <c r="V980" s="1104"/>
      <c r="W980" s="1104"/>
      <c r="X980" s="1104"/>
      <c r="Y980" s="1104"/>
      <c r="Z980" s="1104"/>
      <c r="AA980" s="1104"/>
      <c r="AB980" s="1104"/>
      <c r="AC980" s="1104"/>
      <c r="AD980" s="1104"/>
      <c r="AE980" s="1104"/>
      <c r="AF980" s="1104"/>
      <c r="AG980" s="1106"/>
      <c r="AH980" s="1106"/>
      <c r="AI980" s="1106"/>
      <c r="AJ980" s="1106"/>
      <c r="AK980" s="1106"/>
      <c r="AL980" s="1106"/>
      <c r="AM980" s="1106"/>
      <c r="AN980" s="1106"/>
      <c r="AO980" s="1106"/>
      <c r="AP980" s="1106"/>
      <c r="AQ980" s="1106"/>
      <c r="AR980" s="1106"/>
      <c r="AS980" s="1106"/>
      <c r="AT980" s="1106"/>
      <c r="AU980" s="1106"/>
      <c r="AV980" s="1106"/>
      <c r="AW980" s="1106"/>
      <c r="AX980" s="1106"/>
    </row>
    <row r="981">
      <c r="T981" s="1102"/>
      <c r="U981" s="1104"/>
      <c r="V981" s="1104"/>
      <c r="W981" s="1104"/>
      <c r="X981" s="1104"/>
      <c r="Y981" s="1104"/>
      <c r="Z981" s="1104"/>
      <c r="AA981" s="1104"/>
      <c r="AB981" s="1104"/>
      <c r="AC981" s="1104"/>
      <c r="AD981" s="1104"/>
      <c r="AE981" s="1104"/>
      <c r="AF981" s="1104"/>
      <c r="AG981" s="1106"/>
      <c r="AH981" s="1106"/>
      <c r="AI981" s="1106"/>
      <c r="AJ981" s="1106"/>
      <c r="AK981" s="1106"/>
      <c r="AL981" s="1106"/>
      <c r="AM981" s="1106"/>
      <c r="AN981" s="1106"/>
      <c r="AO981" s="1106"/>
      <c r="AP981" s="1106"/>
      <c r="AQ981" s="1106"/>
      <c r="AR981" s="1106"/>
      <c r="AS981" s="1106"/>
      <c r="AT981" s="1106"/>
      <c r="AU981" s="1106"/>
      <c r="AV981" s="1106"/>
      <c r="AW981" s="1106"/>
      <c r="AX981" s="1106"/>
    </row>
    <row r="982">
      <c r="T982" s="1102"/>
      <c r="U982" s="1104"/>
      <c r="V982" s="1104"/>
      <c r="W982" s="1104"/>
      <c r="X982" s="1104"/>
      <c r="Y982" s="1104"/>
      <c r="Z982" s="1104"/>
      <c r="AA982" s="1104"/>
      <c r="AB982" s="1104"/>
      <c r="AC982" s="1104"/>
      <c r="AD982" s="1104"/>
      <c r="AE982" s="1104"/>
      <c r="AF982" s="1104"/>
      <c r="AG982" s="1106"/>
      <c r="AH982" s="1106"/>
      <c r="AI982" s="1106"/>
      <c r="AJ982" s="1106"/>
      <c r="AK982" s="1106"/>
      <c r="AL982" s="1106"/>
      <c r="AM982" s="1106"/>
      <c r="AN982" s="1106"/>
      <c r="AO982" s="1106"/>
      <c r="AP982" s="1106"/>
      <c r="AQ982" s="1106"/>
      <c r="AR982" s="1106"/>
      <c r="AS982" s="1106"/>
      <c r="AT982" s="1106"/>
      <c r="AU982" s="1106"/>
      <c r="AV982" s="1106"/>
      <c r="AW982" s="1106"/>
      <c r="AX982" s="1106"/>
    </row>
    <row r="983">
      <c r="T983" s="1102"/>
      <c r="U983" s="1104"/>
      <c r="V983" s="1104"/>
      <c r="W983" s="1104"/>
      <c r="X983" s="1104"/>
      <c r="Y983" s="1104"/>
      <c r="Z983" s="1104"/>
      <c r="AA983" s="1104"/>
      <c r="AB983" s="1104"/>
      <c r="AC983" s="1104"/>
      <c r="AD983" s="1104"/>
      <c r="AE983" s="1104"/>
      <c r="AF983" s="1104"/>
      <c r="AG983" s="1106"/>
      <c r="AH983" s="1106"/>
      <c r="AI983" s="1106"/>
      <c r="AJ983" s="1106"/>
      <c r="AK983" s="1106"/>
      <c r="AL983" s="1106"/>
      <c r="AM983" s="1106"/>
      <c r="AN983" s="1106"/>
      <c r="AO983" s="1106"/>
      <c r="AP983" s="1106"/>
      <c r="AQ983" s="1106"/>
      <c r="AR983" s="1106"/>
      <c r="AS983" s="1106"/>
      <c r="AT983" s="1106"/>
      <c r="AU983" s="1106"/>
      <c r="AV983" s="1106"/>
      <c r="AW983" s="1106"/>
      <c r="AX983" s="1106"/>
    </row>
    <row r="984">
      <c r="T984" s="1102"/>
      <c r="U984" s="1104"/>
      <c r="V984" s="1104"/>
      <c r="W984" s="1104"/>
      <c r="X984" s="1104"/>
      <c r="Y984" s="1104"/>
      <c r="Z984" s="1104"/>
      <c r="AA984" s="1104"/>
      <c r="AB984" s="1104"/>
      <c r="AC984" s="1104"/>
      <c r="AD984" s="1104"/>
      <c r="AE984" s="1104"/>
      <c r="AF984" s="1104"/>
      <c r="AG984" s="1106"/>
      <c r="AH984" s="1106"/>
      <c r="AI984" s="1106"/>
      <c r="AJ984" s="1106"/>
      <c r="AK984" s="1106"/>
      <c r="AL984" s="1106"/>
      <c r="AM984" s="1106"/>
      <c r="AN984" s="1106"/>
      <c r="AO984" s="1106"/>
      <c r="AP984" s="1106"/>
      <c r="AQ984" s="1106"/>
      <c r="AR984" s="1106"/>
      <c r="AS984" s="1106"/>
      <c r="AT984" s="1106"/>
      <c r="AU984" s="1106"/>
      <c r="AV984" s="1106"/>
      <c r="AW984" s="1106"/>
      <c r="AX984" s="1106"/>
    </row>
    <row r="985">
      <c r="T985" s="1102"/>
      <c r="U985" s="1104"/>
      <c r="V985" s="1104"/>
      <c r="W985" s="1104"/>
      <c r="X985" s="1104"/>
      <c r="Y985" s="1104"/>
      <c r="Z985" s="1104"/>
      <c r="AA985" s="1104"/>
      <c r="AB985" s="1104"/>
      <c r="AC985" s="1104"/>
      <c r="AD985" s="1104"/>
      <c r="AE985" s="1104"/>
      <c r="AF985" s="1104"/>
      <c r="AG985" s="1106"/>
      <c r="AH985" s="1106"/>
      <c r="AI985" s="1106"/>
      <c r="AJ985" s="1106"/>
      <c r="AK985" s="1106"/>
      <c r="AL985" s="1106"/>
      <c r="AM985" s="1106"/>
      <c r="AN985" s="1106"/>
      <c r="AO985" s="1106"/>
      <c r="AP985" s="1106"/>
      <c r="AQ985" s="1106"/>
      <c r="AR985" s="1106"/>
      <c r="AS985" s="1106"/>
      <c r="AT985" s="1106"/>
      <c r="AU985" s="1106"/>
      <c r="AV985" s="1106"/>
      <c r="AW985" s="1106"/>
      <c r="AX985" s="1106"/>
    </row>
    <row r="986">
      <c r="T986" s="1102"/>
      <c r="U986" s="1104"/>
      <c r="V986" s="1104"/>
      <c r="W986" s="1104"/>
      <c r="X986" s="1104"/>
      <c r="Y986" s="1104"/>
      <c r="Z986" s="1104"/>
      <c r="AA986" s="1104"/>
      <c r="AB986" s="1104"/>
      <c r="AC986" s="1104"/>
      <c r="AD986" s="1104"/>
      <c r="AE986" s="1104"/>
      <c r="AF986" s="1104"/>
      <c r="AG986" s="1106"/>
      <c r="AH986" s="1106"/>
      <c r="AI986" s="1106"/>
      <c r="AJ986" s="1106"/>
      <c r="AK986" s="1106"/>
      <c r="AL986" s="1106"/>
      <c r="AM986" s="1106"/>
      <c r="AN986" s="1106"/>
      <c r="AO986" s="1106"/>
      <c r="AP986" s="1106"/>
      <c r="AQ986" s="1106"/>
      <c r="AR986" s="1106"/>
      <c r="AS986" s="1106"/>
      <c r="AT986" s="1106"/>
      <c r="AU986" s="1106"/>
      <c r="AV986" s="1106"/>
      <c r="AW986" s="1106"/>
      <c r="AX986" s="1106"/>
    </row>
    <row r="987">
      <c r="T987" s="1102"/>
      <c r="U987" s="1104"/>
      <c r="V987" s="1104"/>
      <c r="W987" s="1104"/>
      <c r="X987" s="1104"/>
      <c r="Y987" s="1104"/>
      <c r="Z987" s="1104"/>
      <c r="AA987" s="1104"/>
      <c r="AB987" s="1104"/>
      <c r="AC987" s="1104"/>
      <c r="AD987" s="1104"/>
      <c r="AE987" s="1104"/>
      <c r="AF987" s="1104"/>
      <c r="AG987" s="1106"/>
      <c r="AH987" s="1106"/>
      <c r="AI987" s="1106"/>
      <c r="AJ987" s="1106"/>
      <c r="AK987" s="1106"/>
      <c r="AL987" s="1106"/>
      <c r="AM987" s="1106"/>
      <c r="AN987" s="1106"/>
      <c r="AO987" s="1106"/>
      <c r="AP987" s="1106"/>
      <c r="AQ987" s="1106"/>
      <c r="AR987" s="1106"/>
      <c r="AS987" s="1106"/>
      <c r="AT987" s="1106"/>
      <c r="AU987" s="1106"/>
      <c r="AV987" s="1106"/>
      <c r="AW987" s="1106"/>
      <c r="AX987" s="1106"/>
    </row>
    <row r="988">
      <c r="T988" s="1102"/>
      <c r="U988" s="1104"/>
      <c r="V988" s="1104"/>
      <c r="W988" s="1104"/>
      <c r="X988" s="1104"/>
      <c r="Y988" s="1104"/>
      <c r="Z988" s="1104"/>
      <c r="AA988" s="1104"/>
      <c r="AB988" s="1104"/>
      <c r="AC988" s="1104"/>
      <c r="AD988" s="1104"/>
      <c r="AE988" s="1104"/>
      <c r="AF988" s="1104"/>
      <c r="AG988" s="1106"/>
      <c r="AH988" s="1106"/>
      <c r="AI988" s="1106"/>
      <c r="AJ988" s="1106"/>
      <c r="AK988" s="1106"/>
      <c r="AL988" s="1106"/>
      <c r="AM988" s="1106"/>
      <c r="AN988" s="1106"/>
      <c r="AO988" s="1106"/>
      <c r="AP988" s="1106"/>
      <c r="AQ988" s="1106"/>
      <c r="AR988" s="1106"/>
      <c r="AS988" s="1106"/>
      <c r="AT988" s="1106"/>
      <c r="AU988" s="1106"/>
      <c r="AV988" s="1106"/>
      <c r="AW988" s="1106"/>
      <c r="AX988" s="1106"/>
    </row>
    <row r="989">
      <c r="T989" s="1102"/>
      <c r="U989" s="1104"/>
      <c r="V989" s="1104"/>
      <c r="W989" s="1104"/>
      <c r="X989" s="1104"/>
      <c r="Y989" s="1104"/>
      <c r="Z989" s="1104"/>
      <c r="AA989" s="1104"/>
      <c r="AB989" s="1104"/>
      <c r="AC989" s="1104"/>
      <c r="AD989" s="1104"/>
      <c r="AE989" s="1104"/>
      <c r="AF989" s="1104"/>
      <c r="AG989" s="1106"/>
      <c r="AH989" s="1106"/>
      <c r="AI989" s="1106"/>
      <c r="AJ989" s="1106"/>
      <c r="AK989" s="1106"/>
      <c r="AL989" s="1106"/>
      <c r="AM989" s="1106"/>
      <c r="AN989" s="1106"/>
      <c r="AO989" s="1106"/>
      <c r="AP989" s="1106"/>
      <c r="AQ989" s="1106"/>
      <c r="AR989" s="1106"/>
      <c r="AS989" s="1106"/>
      <c r="AT989" s="1106"/>
      <c r="AU989" s="1106"/>
      <c r="AV989" s="1106"/>
      <c r="AW989" s="1106"/>
      <c r="AX989" s="1106"/>
    </row>
    <row r="990">
      <c r="T990" s="1102"/>
      <c r="U990" s="1104"/>
      <c r="V990" s="1104"/>
      <c r="W990" s="1104"/>
      <c r="X990" s="1104"/>
      <c r="Y990" s="1104"/>
      <c r="Z990" s="1104"/>
      <c r="AA990" s="1104"/>
      <c r="AB990" s="1104"/>
      <c r="AC990" s="1104"/>
      <c r="AD990" s="1104"/>
      <c r="AE990" s="1104"/>
      <c r="AF990" s="1104"/>
      <c r="AG990" s="1106"/>
      <c r="AH990" s="1106"/>
      <c r="AI990" s="1106"/>
      <c r="AJ990" s="1106"/>
      <c r="AK990" s="1106"/>
      <c r="AL990" s="1106"/>
      <c r="AM990" s="1106"/>
      <c r="AN990" s="1106"/>
      <c r="AO990" s="1106"/>
      <c r="AP990" s="1106"/>
      <c r="AQ990" s="1106"/>
      <c r="AR990" s="1106"/>
      <c r="AS990" s="1106"/>
      <c r="AT990" s="1106"/>
      <c r="AU990" s="1106"/>
      <c r="AV990" s="1106"/>
      <c r="AW990" s="1106"/>
      <c r="AX990" s="1106"/>
    </row>
    <row r="991">
      <c r="T991" s="1102"/>
      <c r="U991" s="1104"/>
      <c r="V991" s="1104"/>
      <c r="W991" s="1104"/>
      <c r="X991" s="1104"/>
      <c r="Y991" s="1104"/>
      <c r="Z991" s="1104"/>
      <c r="AA991" s="1104"/>
      <c r="AB991" s="1104"/>
      <c r="AC991" s="1104"/>
      <c r="AD991" s="1104"/>
      <c r="AE991" s="1104"/>
      <c r="AF991" s="1104"/>
      <c r="AG991" s="1106"/>
      <c r="AH991" s="1106"/>
      <c r="AI991" s="1106"/>
      <c r="AJ991" s="1106"/>
      <c r="AK991" s="1106"/>
      <c r="AL991" s="1106"/>
      <c r="AM991" s="1106"/>
      <c r="AN991" s="1106"/>
      <c r="AO991" s="1106"/>
      <c r="AP991" s="1106"/>
      <c r="AQ991" s="1106"/>
      <c r="AR991" s="1106"/>
      <c r="AS991" s="1106"/>
      <c r="AT991" s="1106"/>
      <c r="AU991" s="1106"/>
      <c r="AV991" s="1106"/>
      <c r="AW991" s="1106"/>
      <c r="AX991" s="1106"/>
    </row>
    <row r="992">
      <c r="T992" s="1102"/>
      <c r="U992" s="1104"/>
      <c r="V992" s="1104"/>
      <c r="W992" s="1104"/>
      <c r="X992" s="1104"/>
      <c r="Y992" s="1104"/>
      <c r="Z992" s="1104"/>
      <c r="AA992" s="1104"/>
      <c r="AB992" s="1104"/>
      <c r="AC992" s="1104"/>
      <c r="AD992" s="1104"/>
      <c r="AE992" s="1104"/>
      <c r="AF992" s="1104"/>
      <c r="AG992" s="1106"/>
      <c r="AH992" s="1106"/>
      <c r="AI992" s="1106"/>
      <c r="AJ992" s="1106"/>
      <c r="AK992" s="1106"/>
      <c r="AL992" s="1106"/>
      <c r="AM992" s="1106"/>
      <c r="AN992" s="1106"/>
      <c r="AO992" s="1106"/>
      <c r="AP992" s="1106"/>
      <c r="AQ992" s="1106"/>
      <c r="AR992" s="1106"/>
      <c r="AS992" s="1106"/>
      <c r="AT992" s="1106"/>
      <c r="AU992" s="1106"/>
      <c r="AV992" s="1106"/>
      <c r="AW992" s="1106"/>
      <c r="AX992" s="1106"/>
    </row>
  </sheetData>
  <mergeCells count="8">
    <mergeCell ref="B1:R1"/>
    <mergeCell ref="B2:C2"/>
    <mergeCell ref="E2:F2"/>
    <mergeCell ref="H2:I2"/>
    <mergeCell ref="K2:L2"/>
    <mergeCell ref="N2:O2"/>
    <mergeCell ref="Q2:R2"/>
    <mergeCell ref="P11:P13"/>
  </mergeCells>
  <hyperlinks>
    <hyperlink r:id="rId2" location="gid=0" ref="A2"/>
    <hyperlink r:id="rId3" location="gid=1038709083" ref="A20"/>
    <hyperlink r:id="rId4" ref="A31"/>
  </hyperlinks>
  <drawing r:id="rId5"/>
  <legacy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6.75"/>
    <col customWidth="1" min="2" max="18" width="16.13"/>
    <col customWidth="1" min="19" max="20" width="16.63"/>
    <col customWidth="1" min="21" max="31" width="16.13"/>
    <col customWidth="1" min="32" max="32" width="16.25"/>
  </cols>
  <sheetData>
    <row r="1">
      <c r="A1" s="2" t="s">
        <v>1127</v>
      </c>
      <c r="B1" s="6">
        <v>45170.0</v>
      </c>
      <c r="C1" s="6">
        <v>45171.0</v>
      </c>
      <c r="D1" s="6">
        <v>45172.0</v>
      </c>
      <c r="E1" s="6">
        <v>45173.0</v>
      </c>
      <c r="F1" s="6">
        <v>45174.0</v>
      </c>
      <c r="G1" s="6">
        <v>45175.0</v>
      </c>
      <c r="H1" s="6">
        <v>45176.0</v>
      </c>
      <c r="I1" s="6">
        <v>45177.0</v>
      </c>
      <c r="J1" s="6">
        <v>45178.0</v>
      </c>
      <c r="K1" s="6">
        <v>45179.0</v>
      </c>
      <c r="L1" s="6">
        <v>45180.0</v>
      </c>
      <c r="M1" s="6">
        <v>45181.0</v>
      </c>
      <c r="N1" s="6">
        <v>45182.0</v>
      </c>
      <c r="O1" s="6">
        <v>45183.0</v>
      </c>
      <c r="P1" s="6">
        <v>45184.0</v>
      </c>
      <c r="Q1" s="6">
        <v>45185.0</v>
      </c>
      <c r="R1" s="6">
        <v>45186.0</v>
      </c>
      <c r="S1" s="6">
        <v>45187.0</v>
      </c>
      <c r="T1" s="6">
        <v>45188.0</v>
      </c>
      <c r="U1" s="6">
        <v>45189.0</v>
      </c>
      <c r="V1" s="6">
        <v>45190.0</v>
      </c>
      <c r="W1" s="6">
        <v>45191.0</v>
      </c>
      <c r="X1" s="6">
        <v>45192.0</v>
      </c>
      <c r="Y1" s="6">
        <v>45193.0</v>
      </c>
      <c r="Z1" s="6">
        <v>45194.0</v>
      </c>
      <c r="AA1" s="6">
        <v>45195.0</v>
      </c>
      <c r="AB1" s="6">
        <v>45196.0</v>
      </c>
      <c r="AC1" s="6">
        <v>45197.0</v>
      </c>
      <c r="AD1" s="6">
        <v>45198.0</v>
      </c>
      <c r="AE1" s="6">
        <v>45199.0</v>
      </c>
      <c r="AF1" s="866"/>
    </row>
    <row r="2">
      <c r="A2" s="10" t="s">
        <v>44</v>
      </c>
      <c r="B2" s="13" t="s">
        <v>46</v>
      </c>
      <c r="C2" s="13" t="s">
        <v>48</v>
      </c>
      <c r="D2" s="13" t="s">
        <v>51</v>
      </c>
      <c r="E2" s="13" t="s">
        <v>52</v>
      </c>
      <c r="F2" s="13" t="s">
        <v>55</v>
      </c>
      <c r="G2" s="13" t="s">
        <v>57</v>
      </c>
      <c r="H2" s="13" t="s">
        <v>58</v>
      </c>
      <c r="I2" s="13" t="s">
        <v>46</v>
      </c>
      <c r="J2" s="13" t="s">
        <v>48</v>
      </c>
      <c r="K2" s="13" t="s">
        <v>51</v>
      </c>
      <c r="L2" s="13" t="s">
        <v>52</v>
      </c>
      <c r="M2" s="13" t="s">
        <v>55</v>
      </c>
      <c r="N2" s="13" t="s">
        <v>57</v>
      </c>
      <c r="O2" s="13" t="s">
        <v>58</v>
      </c>
      <c r="P2" s="13" t="s">
        <v>46</v>
      </c>
      <c r="Q2" s="13" t="s">
        <v>48</v>
      </c>
      <c r="R2" s="13" t="s">
        <v>51</v>
      </c>
      <c r="S2" s="13" t="s">
        <v>52</v>
      </c>
      <c r="T2" s="13" t="s">
        <v>55</v>
      </c>
      <c r="U2" s="13" t="s">
        <v>57</v>
      </c>
      <c r="V2" s="13" t="s">
        <v>58</v>
      </c>
      <c r="W2" s="13" t="s">
        <v>46</v>
      </c>
      <c r="X2" s="13" t="s">
        <v>48</v>
      </c>
      <c r="Y2" s="13" t="s">
        <v>51</v>
      </c>
      <c r="Z2" s="13" t="s">
        <v>52</v>
      </c>
      <c r="AA2" s="13" t="s">
        <v>55</v>
      </c>
      <c r="AB2" s="13" t="s">
        <v>57</v>
      </c>
      <c r="AC2" s="13" t="s">
        <v>58</v>
      </c>
      <c r="AD2" s="13" t="s">
        <v>46</v>
      </c>
      <c r="AE2" s="13" t="s">
        <v>48</v>
      </c>
      <c r="AF2" s="866"/>
    </row>
    <row r="3">
      <c r="A3" s="867" t="s">
        <v>65</v>
      </c>
      <c r="B3" s="582"/>
      <c r="C3" s="582"/>
      <c r="D3" s="582"/>
      <c r="E3" s="582"/>
      <c r="F3" s="582"/>
      <c r="G3" s="582"/>
      <c r="H3" s="582"/>
      <c r="I3" s="582"/>
      <c r="J3" s="582"/>
      <c r="K3" s="582"/>
      <c r="L3" s="582"/>
      <c r="M3" s="582"/>
      <c r="N3" s="582"/>
      <c r="O3" s="582"/>
      <c r="P3" s="582"/>
      <c r="Q3" s="582"/>
      <c r="R3" s="582"/>
      <c r="S3" s="582"/>
      <c r="T3" s="582"/>
      <c r="U3" s="582"/>
      <c r="V3" s="582"/>
      <c r="W3" s="582"/>
      <c r="X3" s="582"/>
      <c r="Y3" s="582"/>
      <c r="Z3" s="582"/>
      <c r="AA3" s="582"/>
      <c r="AB3" s="332"/>
      <c r="AC3" s="582"/>
      <c r="AD3" s="582"/>
      <c r="AE3" s="582"/>
      <c r="AF3" s="866"/>
    </row>
    <row r="4">
      <c r="A4" s="868" t="s">
        <v>69</v>
      </c>
      <c r="B4" s="582"/>
      <c r="C4" s="582"/>
      <c r="D4" s="582"/>
      <c r="E4" s="582"/>
      <c r="F4" s="582"/>
      <c r="G4" s="582"/>
      <c r="H4" s="582"/>
      <c r="I4" s="582"/>
      <c r="J4" s="582"/>
      <c r="K4" s="582"/>
      <c r="L4" s="582"/>
      <c r="M4" s="582"/>
      <c r="N4" s="582"/>
      <c r="O4" s="582"/>
      <c r="P4" s="582"/>
      <c r="Q4" s="582"/>
      <c r="R4" s="582"/>
      <c r="S4" s="582"/>
      <c r="T4" s="582"/>
      <c r="U4" s="582"/>
      <c r="V4" s="582"/>
      <c r="W4" s="582"/>
      <c r="X4" s="582"/>
      <c r="Y4" s="582"/>
      <c r="Z4" s="582"/>
      <c r="AA4" s="582"/>
      <c r="AB4" s="582"/>
      <c r="AC4" s="582"/>
      <c r="AD4" s="582"/>
      <c r="AE4" s="582"/>
      <c r="AF4" s="866"/>
    </row>
    <row r="5">
      <c r="A5" s="1276" t="s">
        <v>79</v>
      </c>
      <c r="B5" s="331">
        <f>'OLD Sales'!B30</f>
        <v>14</v>
      </c>
      <c r="C5" s="331">
        <f>'OLD Sales'!C30</f>
        <v>7</v>
      </c>
      <c r="D5" s="331">
        <f>'OLD Sales'!D30</f>
        <v>19</v>
      </c>
      <c r="E5" s="582">
        <f>'OLD Sales'!E30</f>
        <v>23</v>
      </c>
      <c r="F5" s="582">
        <f>'OLD Sales'!F30</f>
        <v>16</v>
      </c>
      <c r="G5" s="582">
        <f>'OLD Sales'!G30</f>
        <v>20</v>
      </c>
      <c r="H5" s="582">
        <f>'OLD Sales'!H30</f>
        <v>12</v>
      </c>
      <c r="I5" s="582">
        <f>'OLD Sales'!I30</f>
        <v>12</v>
      </c>
      <c r="J5" s="582">
        <f>'OLD Sales'!J30</f>
        <v>28</v>
      </c>
      <c r="K5" s="582">
        <f>'OLD Sales'!K30</f>
        <v>19</v>
      </c>
      <c r="L5" s="582">
        <f>'OLD Sales'!L30</f>
        <v>22</v>
      </c>
      <c r="M5" s="582">
        <f>'OLD Sales'!M30</f>
        <v>25</v>
      </c>
      <c r="N5" s="582">
        <f>'OLD Sales'!N30</f>
        <v>26</v>
      </c>
      <c r="O5" s="582">
        <f>'OLD Sales'!O30</f>
        <v>27</v>
      </c>
      <c r="P5" s="582">
        <f>'OLD Sales'!P30</f>
        <v>15</v>
      </c>
      <c r="Q5" s="582">
        <f>'OLD Sales'!Q30</f>
        <v>21</v>
      </c>
      <c r="R5" s="582">
        <f>'OLD Sales'!R30</f>
        <v>26</v>
      </c>
      <c r="S5" s="582">
        <f>'OLD Sales'!S30</f>
        <v>28</v>
      </c>
      <c r="T5" s="582">
        <f>'OLD Sales'!T30</f>
        <v>38</v>
      </c>
      <c r="U5" s="582">
        <f>'OLD Sales'!U30</f>
        <v>36</v>
      </c>
      <c r="V5" s="582">
        <f>'OLD Sales'!V30</f>
        <v>36</v>
      </c>
      <c r="W5" s="582">
        <f>'OLD Sales'!W30</f>
        <v>30</v>
      </c>
      <c r="X5" s="582">
        <f>'OLD Sales'!X30</f>
        <v>25</v>
      </c>
      <c r="Y5" s="582">
        <f>'OLD Sales'!Y30</f>
        <v>33</v>
      </c>
      <c r="Z5" s="582">
        <f>'OLD Sales'!Z30</f>
        <v>32</v>
      </c>
      <c r="AA5" s="582">
        <f>'OLD Sales'!AA30</f>
        <v>39</v>
      </c>
      <c r="AB5" s="582">
        <f>'OLD Sales'!AB30</f>
        <v>28</v>
      </c>
      <c r="AC5" s="582">
        <f>'OLD Sales'!AC30</f>
        <v>40</v>
      </c>
      <c r="AD5" s="582">
        <f>'OLD Sales'!AD30</f>
        <v>31</v>
      </c>
      <c r="AE5" s="582">
        <f>'OLD Sales'!AE30</f>
        <v>30</v>
      </c>
      <c r="AF5" s="871"/>
    </row>
    <row r="6">
      <c r="A6" s="884" t="s">
        <v>95</v>
      </c>
      <c r="B6" s="46">
        <f t="shared" ref="B6:AE6" si="1">SUM(B5)</f>
        <v>14</v>
      </c>
      <c r="C6" s="46">
        <f t="shared" si="1"/>
        <v>7</v>
      </c>
      <c r="D6" s="46">
        <f t="shared" si="1"/>
        <v>19</v>
      </c>
      <c r="E6" s="46">
        <f t="shared" si="1"/>
        <v>23</v>
      </c>
      <c r="F6" s="46">
        <f t="shared" si="1"/>
        <v>16</v>
      </c>
      <c r="G6" s="46">
        <f t="shared" si="1"/>
        <v>20</v>
      </c>
      <c r="H6" s="46">
        <f t="shared" si="1"/>
        <v>12</v>
      </c>
      <c r="I6" s="46">
        <f t="shared" si="1"/>
        <v>12</v>
      </c>
      <c r="J6" s="46">
        <f t="shared" si="1"/>
        <v>28</v>
      </c>
      <c r="K6" s="46">
        <f t="shared" si="1"/>
        <v>19</v>
      </c>
      <c r="L6" s="46">
        <f t="shared" si="1"/>
        <v>22</v>
      </c>
      <c r="M6" s="46">
        <f t="shared" si="1"/>
        <v>25</v>
      </c>
      <c r="N6" s="46">
        <f t="shared" si="1"/>
        <v>26</v>
      </c>
      <c r="O6" s="46">
        <f t="shared" si="1"/>
        <v>27</v>
      </c>
      <c r="P6" s="46">
        <f t="shared" si="1"/>
        <v>15</v>
      </c>
      <c r="Q6" s="46">
        <f t="shared" si="1"/>
        <v>21</v>
      </c>
      <c r="R6" s="46">
        <f t="shared" si="1"/>
        <v>26</v>
      </c>
      <c r="S6" s="46">
        <f t="shared" si="1"/>
        <v>28</v>
      </c>
      <c r="T6" s="46">
        <f t="shared" si="1"/>
        <v>38</v>
      </c>
      <c r="U6" s="46">
        <f t="shared" si="1"/>
        <v>36</v>
      </c>
      <c r="V6" s="46">
        <f t="shared" si="1"/>
        <v>36</v>
      </c>
      <c r="W6" s="46">
        <f t="shared" si="1"/>
        <v>30</v>
      </c>
      <c r="X6" s="46">
        <f t="shared" si="1"/>
        <v>25</v>
      </c>
      <c r="Y6" s="46">
        <f t="shared" si="1"/>
        <v>33</v>
      </c>
      <c r="Z6" s="46">
        <f t="shared" si="1"/>
        <v>32</v>
      </c>
      <c r="AA6" s="46">
        <f t="shared" si="1"/>
        <v>39</v>
      </c>
      <c r="AB6" s="46">
        <f t="shared" si="1"/>
        <v>28</v>
      </c>
      <c r="AC6" s="46">
        <f t="shared" si="1"/>
        <v>40</v>
      </c>
      <c r="AD6" s="46">
        <f t="shared" si="1"/>
        <v>31</v>
      </c>
      <c r="AE6" s="46">
        <f t="shared" si="1"/>
        <v>30</v>
      </c>
      <c r="AF6" s="877">
        <f>SUM(B6:AE6)</f>
        <v>758</v>
      </c>
    </row>
    <row r="7">
      <c r="A7" s="20"/>
      <c r="B7" s="582"/>
      <c r="C7" s="582"/>
      <c r="D7" s="582"/>
      <c r="E7" s="582"/>
      <c r="F7" s="582"/>
      <c r="G7" s="582"/>
      <c r="H7" s="582"/>
      <c r="I7" s="582"/>
      <c r="J7" s="582"/>
      <c r="K7" s="582"/>
      <c r="L7" s="582"/>
      <c r="M7" s="582"/>
      <c r="N7" s="582"/>
      <c r="O7" s="582"/>
      <c r="P7" s="582"/>
      <c r="Q7" s="582"/>
      <c r="R7" s="582"/>
      <c r="S7" s="582"/>
      <c r="T7" s="582"/>
      <c r="U7" s="582"/>
      <c r="V7" s="582"/>
      <c r="W7" s="582"/>
      <c r="X7" s="582"/>
      <c r="Y7" s="582"/>
      <c r="Z7" s="582"/>
      <c r="AA7" s="582"/>
      <c r="AB7" s="582"/>
      <c r="AC7" s="582"/>
      <c r="AD7" s="582"/>
      <c r="AE7" s="582"/>
      <c r="AF7" s="871"/>
    </row>
    <row r="8">
      <c r="A8" s="885" t="s">
        <v>98</v>
      </c>
      <c r="B8" s="582"/>
      <c r="C8" s="582"/>
      <c r="D8" s="582"/>
      <c r="E8" s="582"/>
      <c r="F8" s="582"/>
      <c r="G8" s="582"/>
      <c r="H8" s="582"/>
      <c r="I8" s="582"/>
      <c r="J8" s="582"/>
      <c r="K8" s="582"/>
      <c r="L8" s="582"/>
      <c r="M8" s="582"/>
      <c r="N8" s="582"/>
      <c r="O8" s="582"/>
      <c r="P8" s="582"/>
      <c r="Q8" s="582"/>
      <c r="R8" s="582"/>
      <c r="S8" s="582"/>
      <c r="T8" s="582"/>
      <c r="U8" s="582"/>
      <c r="V8" s="582"/>
      <c r="W8" s="582"/>
      <c r="X8" s="582"/>
      <c r="Y8" s="582"/>
      <c r="Z8" s="582"/>
      <c r="AA8" s="582"/>
      <c r="AB8" s="582"/>
      <c r="AC8" s="582"/>
      <c r="AD8" s="582"/>
      <c r="AE8" s="582"/>
      <c r="AF8" s="871"/>
    </row>
    <row r="9">
      <c r="A9" s="332" t="s">
        <v>79</v>
      </c>
      <c r="B9" s="579">
        <f>'OLD Sales'!B15</f>
        <v>3069</v>
      </c>
      <c r="C9" s="579">
        <f>'OLD Sales'!C15</f>
        <v>2511</v>
      </c>
      <c r="D9" s="579">
        <f>'OLD Sales'!D15</f>
        <v>4185</v>
      </c>
      <c r="E9" s="580">
        <f>'OLD Sales'!E15</f>
        <v>5580</v>
      </c>
      <c r="F9" s="580">
        <f>'OLD Sales'!F15</f>
        <v>5580</v>
      </c>
      <c r="G9" s="580">
        <f>'OLD Sales'!G15</f>
        <v>4464</v>
      </c>
      <c r="H9" s="580">
        <f>'OLD Sales'!H15</f>
        <v>3627</v>
      </c>
      <c r="I9" s="580">
        <f>'OLD Sales'!I15</f>
        <v>2790</v>
      </c>
      <c r="J9" s="580">
        <f>'OLD Sales'!J15</f>
        <v>6975</v>
      </c>
      <c r="K9" s="580">
        <f>'OLD Sales'!K15</f>
        <v>6138</v>
      </c>
      <c r="L9" s="580">
        <f>'OLD Sales'!L15</f>
        <v>6138</v>
      </c>
      <c r="M9" s="580">
        <f>'OLD Sales'!M15</f>
        <v>6696</v>
      </c>
      <c r="N9" s="580">
        <f>'OLD Sales'!N15</f>
        <v>7533</v>
      </c>
      <c r="O9" s="580">
        <f>'OLD Sales'!O15</f>
        <v>8370</v>
      </c>
      <c r="P9" s="580">
        <f>'OLD Sales'!P15</f>
        <v>4185</v>
      </c>
      <c r="Q9" s="580">
        <f>'OLD Sales'!Q15</f>
        <v>5859</v>
      </c>
      <c r="R9" s="580">
        <f>'OLD Sales'!R15</f>
        <v>7254</v>
      </c>
      <c r="S9" s="580">
        <f>'OLD Sales'!S15</f>
        <v>6975</v>
      </c>
      <c r="T9" s="580">
        <f>'OLD Sales'!T15</f>
        <v>13113</v>
      </c>
      <c r="U9" s="580">
        <f>'OLD Sales'!U15</f>
        <v>8928</v>
      </c>
      <c r="V9" s="580">
        <f>'OLD Sales'!V15</f>
        <v>8649</v>
      </c>
      <c r="W9" s="580">
        <f>'OLD Sales'!W15</f>
        <v>10881</v>
      </c>
      <c r="X9" s="580">
        <f>'OLD Sales'!X15</f>
        <v>5580</v>
      </c>
      <c r="Y9" s="580">
        <f>'OLD Sales'!Y15</f>
        <v>10602</v>
      </c>
      <c r="Z9" s="580">
        <f>'OLD Sales'!Z15</f>
        <v>8928</v>
      </c>
      <c r="AA9" s="580">
        <f>'OLD Sales'!AA15</f>
        <v>10881</v>
      </c>
      <c r="AB9" s="580">
        <f>'OLD Sales'!AB15</f>
        <v>7812</v>
      </c>
      <c r="AC9" s="580">
        <f>'OLD Sales'!AC15</f>
        <v>11160</v>
      </c>
      <c r="AD9" s="580">
        <f>'OLD Sales'!AD15</f>
        <v>9765</v>
      </c>
      <c r="AE9" s="580">
        <f>'OLD Sales'!AE15</f>
        <v>7254</v>
      </c>
      <c r="AF9" s="871"/>
    </row>
    <row r="10">
      <c r="A10" s="884" t="s">
        <v>95</v>
      </c>
      <c r="B10" s="63">
        <f t="shared" ref="B10:AE10" si="2">SUM(B9)</f>
        <v>3069</v>
      </c>
      <c r="C10" s="63">
        <f t="shared" si="2"/>
        <v>2511</v>
      </c>
      <c r="D10" s="63">
        <f t="shared" si="2"/>
        <v>4185</v>
      </c>
      <c r="E10" s="63">
        <f t="shared" si="2"/>
        <v>5580</v>
      </c>
      <c r="F10" s="63">
        <f t="shared" si="2"/>
        <v>5580</v>
      </c>
      <c r="G10" s="63">
        <f t="shared" si="2"/>
        <v>4464</v>
      </c>
      <c r="H10" s="63">
        <f t="shared" si="2"/>
        <v>3627</v>
      </c>
      <c r="I10" s="63">
        <f t="shared" si="2"/>
        <v>2790</v>
      </c>
      <c r="J10" s="63">
        <f t="shared" si="2"/>
        <v>6975</v>
      </c>
      <c r="K10" s="63">
        <f t="shared" si="2"/>
        <v>6138</v>
      </c>
      <c r="L10" s="63">
        <f t="shared" si="2"/>
        <v>6138</v>
      </c>
      <c r="M10" s="63">
        <f t="shared" si="2"/>
        <v>6696</v>
      </c>
      <c r="N10" s="63">
        <f t="shared" si="2"/>
        <v>7533</v>
      </c>
      <c r="O10" s="63">
        <f t="shared" si="2"/>
        <v>8370</v>
      </c>
      <c r="P10" s="63">
        <f t="shared" si="2"/>
        <v>4185</v>
      </c>
      <c r="Q10" s="63">
        <f t="shared" si="2"/>
        <v>5859</v>
      </c>
      <c r="R10" s="63">
        <f t="shared" si="2"/>
        <v>7254</v>
      </c>
      <c r="S10" s="63">
        <f t="shared" si="2"/>
        <v>6975</v>
      </c>
      <c r="T10" s="63">
        <f t="shared" si="2"/>
        <v>13113</v>
      </c>
      <c r="U10" s="63">
        <f t="shared" si="2"/>
        <v>8928</v>
      </c>
      <c r="V10" s="63">
        <f t="shared" si="2"/>
        <v>8649</v>
      </c>
      <c r="W10" s="63">
        <f t="shared" si="2"/>
        <v>10881</v>
      </c>
      <c r="X10" s="63">
        <f t="shared" si="2"/>
        <v>5580</v>
      </c>
      <c r="Y10" s="63">
        <f t="shared" si="2"/>
        <v>10602</v>
      </c>
      <c r="Z10" s="63">
        <f t="shared" si="2"/>
        <v>8928</v>
      </c>
      <c r="AA10" s="63">
        <f t="shared" si="2"/>
        <v>10881</v>
      </c>
      <c r="AB10" s="63">
        <f t="shared" si="2"/>
        <v>7812</v>
      </c>
      <c r="AC10" s="63">
        <f t="shared" si="2"/>
        <v>11160</v>
      </c>
      <c r="AD10" s="63">
        <f t="shared" si="2"/>
        <v>9765</v>
      </c>
      <c r="AE10" s="63">
        <f t="shared" si="2"/>
        <v>7254</v>
      </c>
      <c r="AF10" s="900">
        <f>SUM(B10:AE10)</f>
        <v>211482</v>
      </c>
    </row>
    <row r="11">
      <c r="A11" s="20"/>
      <c r="B11" s="582"/>
      <c r="C11" s="582"/>
      <c r="D11" s="582"/>
      <c r="E11" s="582"/>
      <c r="F11" s="582"/>
      <c r="G11" s="582"/>
      <c r="H11" s="582"/>
      <c r="I11" s="582"/>
      <c r="J11" s="582"/>
      <c r="K11" s="582"/>
      <c r="L11" s="582"/>
      <c r="M11" s="582"/>
      <c r="N11" s="582"/>
      <c r="O11" s="582"/>
      <c r="P11" s="582"/>
      <c r="Q11" s="582"/>
      <c r="R11" s="582"/>
      <c r="S11" s="582"/>
      <c r="T11" s="582"/>
      <c r="U11" s="582"/>
      <c r="V11" s="582"/>
      <c r="W11" s="582"/>
      <c r="X11" s="582"/>
      <c r="Y11" s="582"/>
      <c r="Z11" s="582"/>
      <c r="AA11" s="582"/>
      <c r="AB11" s="582"/>
      <c r="AC11" s="582"/>
      <c r="AD11" s="582"/>
      <c r="AE11" s="582"/>
      <c r="AF11" s="871"/>
    </row>
    <row r="12">
      <c r="A12" s="901" t="s">
        <v>105</v>
      </c>
      <c r="B12" s="582"/>
      <c r="C12" s="582"/>
      <c r="D12" s="582"/>
      <c r="E12" s="582"/>
      <c r="F12" s="582"/>
      <c r="G12" s="582"/>
      <c r="H12" s="582"/>
      <c r="I12" s="582"/>
      <c r="J12" s="582"/>
      <c r="K12" s="582"/>
      <c r="L12" s="582"/>
      <c r="M12" s="582"/>
      <c r="N12" s="582"/>
      <c r="O12" s="582"/>
      <c r="P12" s="582"/>
      <c r="Q12" s="582"/>
      <c r="R12" s="582"/>
      <c r="S12" s="582"/>
      <c r="T12" s="582"/>
      <c r="U12" s="582"/>
      <c r="V12" s="582"/>
      <c r="W12" s="582"/>
      <c r="X12" s="582"/>
      <c r="Y12" s="582"/>
      <c r="Z12" s="582"/>
      <c r="AA12" s="582"/>
      <c r="AB12" s="582"/>
      <c r="AC12" s="582"/>
      <c r="AD12" s="582"/>
      <c r="AE12" s="582"/>
      <c r="AF12" s="871"/>
    </row>
    <row r="13">
      <c r="A13" s="872" t="s">
        <v>844</v>
      </c>
      <c r="B13" s="595">
        <f>'OLD Sales'!B39</f>
        <v>1276.67</v>
      </c>
      <c r="C13" s="595">
        <f>'OLD Sales'!C39</f>
        <v>1876.55</v>
      </c>
      <c r="D13" s="595">
        <f>'OLD Sales'!D39</f>
        <v>2182.61</v>
      </c>
      <c r="E13" s="580">
        <f>'OLD Sales'!E39</f>
        <v>1886.24</v>
      </c>
      <c r="F13" s="580">
        <f>'OLD Sales'!F39</f>
        <v>1401.31</v>
      </c>
      <c r="G13" s="580">
        <f>'OLD Sales'!G39</f>
        <v>1491.07</v>
      </c>
      <c r="H13" s="580">
        <f>'OLD Sales'!H39</f>
        <v>1448.93</v>
      </c>
      <c r="I13" s="580">
        <f>'OLD Sales'!I39</f>
        <v>1479.75</v>
      </c>
      <c r="J13" s="580">
        <f>'OLD Sales'!J39</f>
        <v>1888.27</v>
      </c>
      <c r="K13" s="580">
        <f>'OLD Sales'!K39</f>
        <v>2296.89</v>
      </c>
      <c r="L13" s="580">
        <f>'OLD Sales'!L39</f>
        <v>1797.51</v>
      </c>
      <c r="M13" s="580">
        <f>'OLD Sales'!M39</f>
        <v>1678.5</v>
      </c>
      <c r="N13" s="580">
        <f>'OLD Sales'!N39</f>
        <v>1662.46</v>
      </c>
      <c r="O13" s="580">
        <f>'OLD Sales'!O39</f>
        <v>1696.47</v>
      </c>
      <c r="P13" s="580">
        <f>'OLD Sales'!P39</f>
        <v>1674.55</v>
      </c>
      <c r="Q13" s="580">
        <f>'OLD Sales'!Q39</f>
        <v>2303.3</v>
      </c>
      <c r="R13" s="580">
        <f>'OLD Sales'!R39</f>
        <v>2443.56</v>
      </c>
      <c r="S13" s="580">
        <f>'OLD Sales'!S39</f>
        <v>2161.34</v>
      </c>
      <c r="T13" s="580">
        <f>'OLD Sales'!T39</f>
        <v>2309.42</v>
      </c>
      <c r="U13" s="580">
        <f>'OLD Sales'!U39</f>
        <v>2091.87</v>
      </c>
      <c r="V13" s="580">
        <f>'OLD Sales'!V39</f>
        <v>1920.72</v>
      </c>
      <c r="W13" s="580">
        <f>'OLD Sales'!W39</f>
        <v>1492.52</v>
      </c>
      <c r="X13" s="580">
        <f>'OLD Sales'!X39</f>
        <v>1881.18</v>
      </c>
      <c r="Y13" s="580">
        <f>'OLD Sales'!Y39</f>
        <v>2255.79</v>
      </c>
      <c r="Z13" s="580">
        <f>'OLD Sales'!Z39</f>
        <v>1672.88</v>
      </c>
      <c r="AA13" s="580">
        <f>'OLD Sales'!AA39</f>
        <v>1771.38</v>
      </c>
      <c r="AB13" s="580">
        <f>'OLD Sales'!AB39</f>
        <v>2743.88</v>
      </c>
      <c r="AC13" s="580">
        <f>'OLD Sales'!AC39</f>
        <v>3792.92</v>
      </c>
      <c r="AD13" s="580">
        <f>'OLD Sales'!AD39</f>
        <v>2832.22</v>
      </c>
      <c r="AE13" s="580">
        <f>'OLD Sales'!AE39</f>
        <v>3932.81</v>
      </c>
      <c r="AF13" s="871"/>
    </row>
    <row r="14">
      <c r="A14" s="872" t="s">
        <v>845</v>
      </c>
      <c r="B14" s="905">
        <f>B9*'OLD  Formulas'!$C$41</f>
        <v>306.9</v>
      </c>
      <c r="C14" s="905">
        <f>C9*'OLD  Formulas'!$C$41</f>
        <v>251.1</v>
      </c>
      <c r="D14" s="905">
        <f>D9*'OLD  Formulas'!$C$41</f>
        <v>418.5</v>
      </c>
      <c r="E14" s="905">
        <f>E9*'OLD  Formulas'!$C$41</f>
        <v>558</v>
      </c>
      <c r="F14" s="905">
        <f>F9*'OLD  Formulas'!$C$41</f>
        <v>558</v>
      </c>
      <c r="G14" s="905">
        <f>G9*'OLD  Formulas'!$C$41</f>
        <v>446.4</v>
      </c>
      <c r="H14" s="905">
        <f>H9*'OLD  Formulas'!$C$41</f>
        <v>362.7</v>
      </c>
      <c r="I14" s="905">
        <f>I9*'OLD  Formulas'!$C$41</f>
        <v>279</v>
      </c>
      <c r="J14" s="905">
        <f>J9*'OLD  Formulas'!$C$41</f>
        <v>697.5</v>
      </c>
      <c r="K14" s="905">
        <f>K9*'OLD  Formulas'!$C$41</f>
        <v>613.8</v>
      </c>
      <c r="L14" s="905">
        <f>L9*'OLD  Formulas'!$C$41</f>
        <v>613.8</v>
      </c>
      <c r="M14" s="905">
        <f>M9*'OLD  Formulas'!$C$41</f>
        <v>669.6</v>
      </c>
      <c r="N14" s="905">
        <f>N9*'OLD  Formulas'!$C$41</f>
        <v>753.3</v>
      </c>
      <c r="O14" s="905">
        <f>O9*'OLD  Formulas'!$C$41</f>
        <v>837</v>
      </c>
      <c r="P14" s="905">
        <f>P9*'OLD  Formulas'!$C$41</f>
        <v>418.5</v>
      </c>
      <c r="Q14" s="905">
        <f>Q9*'OLD  Formulas'!$C$41</f>
        <v>585.9</v>
      </c>
      <c r="R14" s="905">
        <f>R9*'OLD  Formulas'!$C$41</f>
        <v>725.4</v>
      </c>
      <c r="S14" s="905">
        <f>S9*'OLD  Formulas'!$C$41</f>
        <v>697.5</v>
      </c>
      <c r="T14" s="905">
        <f>T9*'OLD  Formulas'!$C$41</f>
        <v>1311.3</v>
      </c>
      <c r="U14" s="905">
        <f>U9*'OLD  Formulas'!$C$41</f>
        <v>892.8</v>
      </c>
      <c r="V14" s="905">
        <f>V9*'OLD  Formulas'!$C$41</f>
        <v>864.9</v>
      </c>
      <c r="W14" s="905">
        <f>W9*'OLD  Formulas'!$C$41</f>
        <v>1088.1</v>
      </c>
      <c r="X14" s="905">
        <f>X9*'OLD  Formulas'!$C$41</f>
        <v>558</v>
      </c>
      <c r="Y14" s="905">
        <f>Y9*'OLD  Formulas'!$C$41</f>
        <v>1060.2</v>
      </c>
      <c r="Z14" s="905">
        <f>Z9*'OLD  Formulas'!$C$41</f>
        <v>892.8</v>
      </c>
      <c r="AA14" s="905">
        <f>AA9*'OLD  Formulas'!$C$41</f>
        <v>1088.1</v>
      </c>
      <c r="AB14" s="905">
        <f>AB9*'OLD  Formulas'!$C$41</f>
        <v>781.2</v>
      </c>
      <c r="AC14" s="905">
        <f>AC9*'OLD  Formulas'!$C$41</f>
        <v>1116</v>
      </c>
      <c r="AD14" s="905">
        <f>AD9*'OLD  Formulas'!$C$41</f>
        <v>976.5</v>
      </c>
      <c r="AE14" s="905">
        <f>AE9*'OLD  Formulas'!$C$41</f>
        <v>725.4</v>
      </c>
      <c r="AF14" s="871"/>
    </row>
    <row r="15">
      <c r="A15" s="881" t="s">
        <v>1165</v>
      </c>
      <c r="B15" s="909"/>
      <c r="C15" s="909"/>
      <c r="D15" s="909"/>
      <c r="E15" s="909"/>
      <c r="F15" s="909"/>
      <c r="G15" s="909"/>
      <c r="H15" s="909"/>
      <c r="I15" s="909"/>
      <c r="J15" s="909"/>
      <c r="K15" s="909"/>
      <c r="L15" s="909"/>
      <c r="M15" s="909"/>
      <c r="N15" s="909"/>
      <c r="O15" s="909"/>
      <c r="P15" s="909"/>
      <c r="Q15" s="909"/>
      <c r="R15" s="909"/>
      <c r="S15" s="909"/>
      <c r="T15" s="909"/>
      <c r="U15" s="909"/>
      <c r="V15" s="909"/>
      <c r="W15" s="909"/>
      <c r="X15" s="909"/>
      <c r="Y15" s="909"/>
      <c r="Z15" s="909"/>
      <c r="AA15" s="909"/>
      <c r="AB15" s="909"/>
      <c r="AC15" s="909"/>
      <c r="AD15" s="905"/>
      <c r="AE15" s="905"/>
      <c r="AF15" s="900">
        <f t="shared" ref="AF15:AF16" si="4">SUM(B15:AE15)</f>
        <v>0</v>
      </c>
    </row>
    <row r="16">
      <c r="A16" s="884" t="s">
        <v>95</v>
      </c>
      <c r="B16" s="63">
        <f t="shared" ref="B16:AE16" si="3">SUM(B13:B15)</f>
        <v>1583.57</v>
      </c>
      <c r="C16" s="63">
        <f t="shared" si="3"/>
        <v>2127.65</v>
      </c>
      <c r="D16" s="63">
        <f t="shared" si="3"/>
        <v>2601.11</v>
      </c>
      <c r="E16" s="63">
        <f t="shared" si="3"/>
        <v>2444.24</v>
      </c>
      <c r="F16" s="63">
        <f t="shared" si="3"/>
        <v>1959.31</v>
      </c>
      <c r="G16" s="63">
        <f t="shared" si="3"/>
        <v>1937.47</v>
      </c>
      <c r="H16" s="63">
        <f t="shared" si="3"/>
        <v>1811.63</v>
      </c>
      <c r="I16" s="63">
        <f t="shared" si="3"/>
        <v>1758.75</v>
      </c>
      <c r="J16" s="63">
        <f t="shared" si="3"/>
        <v>2585.77</v>
      </c>
      <c r="K16" s="63">
        <f t="shared" si="3"/>
        <v>2910.69</v>
      </c>
      <c r="L16" s="63">
        <f t="shared" si="3"/>
        <v>2411.31</v>
      </c>
      <c r="M16" s="63">
        <f t="shared" si="3"/>
        <v>2348.1</v>
      </c>
      <c r="N16" s="63">
        <f t="shared" si="3"/>
        <v>2415.76</v>
      </c>
      <c r="O16" s="63">
        <f t="shared" si="3"/>
        <v>2533.47</v>
      </c>
      <c r="P16" s="63">
        <f t="shared" si="3"/>
        <v>2093.05</v>
      </c>
      <c r="Q16" s="63">
        <f t="shared" si="3"/>
        <v>2889.2</v>
      </c>
      <c r="R16" s="63">
        <f t="shared" si="3"/>
        <v>3168.96</v>
      </c>
      <c r="S16" s="63">
        <f t="shared" si="3"/>
        <v>2858.84</v>
      </c>
      <c r="T16" s="63">
        <f t="shared" si="3"/>
        <v>3620.72</v>
      </c>
      <c r="U16" s="63">
        <f t="shared" si="3"/>
        <v>2984.67</v>
      </c>
      <c r="V16" s="63">
        <f t="shared" si="3"/>
        <v>2785.62</v>
      </c>
      <c r="W16" s="63">
        <f t="shared" si="3"/>
        <v>2580.62</v>
      </c>
      <c r="X16" s="63">
        <f t="shared" si="3"/>
        <v>2439.18</v>
      </c>
      <c r="Y16" s="63">
        <f t="shared" si="3"/>
        <v>3315.99</v>
      </c>
      <c r="Z16" s="63">
        <f t="shared" si="3"/>
        <v>2565.68</v>
      </c>
      <c r="AA16" s="63">
        <f t="shared" si="3"/>
        <v>2859.48</v>
      </c>
      <c r="AB16" s="63">
        <f t="shared" si="3"/>
        <v>3525.08</v>
      </c>
      <c r="AC16" s="63">
        <f t="shared" si="3"/>
        <v>4908.92</v>
      </c>
      <c r="AD16" s="910">
        <f t="shared" si="3"/>
        <v>3808.72</v>
      </c>
      <c r="AE16" s="910">
        <f t="shared" si="3"/>
        <v>4658.21</v>
      </c>
      <c r="AF16" s="900">
        <f t="shared" si="4"/>
        <v>82491.77</v>
      </c>
    </row>
    <row r="17">
      <c r="A17" s="20"/>
      <c r="B17" s="582"/>
      <c r="C17" s="582"/>
      <c r="D17" s="582"/>
      <c r="E17" s="582"/>
      <c r="F17" s="582"/>
      <c r="G17" s="582"/>
      <c r="H17" s="582"/>
      <c r="I17" s="582"/>
      <c r="J17" s="582"/>
      <c r="K17" s="582"/>
      <c r="L17" s="582"/>
      <c r="M17" s="582"/>
      <c r="N17" s="582"/>
      <c r="O17" s="582"/>
      <c r="P17" s="582"/>
      <c r="Q17" s="582"/>
      <c r="R17" s="582"/>
      <c r="S17" s="582"/>
      <c r="T17" s="582"/>
      <c r="U17" s="582"/>
      <c r="V17" s="582"/>
      <c r="W17" s="582"/>
      <c r="X17" s="582"/>
      <c r="Y17" s="582"/>
      <c r="Z17" s="582"/>
      <c r="AA17" s="582"/>
      <c r="AB17" s="582"/>
      <c r="AC17" s="582"/>
      <c r="AD17" s="582"/>
      <c r="AE17" s="582"/>
      <c r="AF17" s="871"/>
    </row>
    <row r="18">
      <c r="A18" s="901" t="s">
        <v>849</v>
      </c>
      <c r="B18" s="332"/>
      <c r="C18" s="582"/>
      <c r="D18" s="582"/>
      <c r="E18" s="582"/>
      <c r="F18" s="582"/>
      <c r="G18" s="582"/>
      <c r="H18" s="582"/>
      <c r="I18" s="582"/>
      <c r="J18" s="582"/>
      <c r="K18" s="582"/>
      <c r="L18" s="582"/>
      <c r="M18" s="582"/>
      <c r="N18" s="582"/>
      <c r="O18" s="582"/>
      <c r="P18" s="582"/>
      <c r="Q18" s="582"/>
      <c r="R18" s="582"/>
      <c r="S18" s="582"/>
      <c r="T18" s="582"/>
      <c r="U18" s="582"/>
      <c r="V18" s="582"/>
      <c r="W18" s="582"/>
      <c r="X18" s="582"/>
      <c r="Y18" s="582"/>
      <c r="Z18" s="582"/>
      <c r="AA18" s="582"/>
      <c r="AB18" s="582"/>
      <c r="AC18" s="582"/>
      <c r="AD18" s="582"/>
      <c r="AE18" s="582"/>
      <c r="AF18" s="871"/>
    </row>
    <row r="19">
      <c r="A19" s="872" t="s">
        <v>1171</v>
      </c>
      <c r="B19" s="70">
        <f>B6*'OLD  Formulas'!$A$37</f>
        <v>1291.57</v>
      </c>
      <c r="C19" s="70">
        <f>C6*'OLD  Formulas'!$A$37</f>
        <v>645.785</v>
      </c>
      <c r="D19" s="70">
        <f>D6*'OLD  Formulas'!$A$37</f>
        <v>1752.845</v>
      </c>
      <c r="E19" s="70">
        <f>E6*'OLD  Formulas'!$A$37</f>
        <v>2121.865</v>
      </c>
      <c r="F19" s="70">
        <f>F6*'OLD  Formulas'!$A$37</f>
        <v>1476.08</v>
      </c>
      <c r="G19" s="70">
        <f>G6*'OLD  Formulas'!$A$37</f>
        <v>1845.1</v>
      </c>
      <c r="H19" s="70">
        <f>H6*'OLD  Formulas'!$A$37</f>
        <v>1107.06</v>
      </c>
      <c r="I19" s="70">
        <f>I6*'OLD  Formulas'!$A$37</f>
        <v>1107.06</v>
      </c>
      <c r="J19" s="70">
        <f>J6*'OLD  Formulas'!$A$37</f>
        <v>2583.14</v>
      </c>
      <c r="K19" s="70">
        <f>K6*'OLD  Formulas'!$A$37</f>
        <v>1752.845</v>
      </c>
      <c r="L19" s="70">
        <f>L6*'OLD  Formulas'!$A$37</f>
        <v>2029.61</v>
      </c>
      <c r="M19" s="70">
        <f>M6*'OLD  Formulas'!$A$37</f>
        <v>2306.375</v>
      </c>
      <c r="N19" s="70">
        <f>N6*'OLD  Formulas'!$A$37</f>
        <v>2398.63</v>
      </c>
      <c r="O19" s="70">
        <f>O6*'OLD  Formulas'!$A$37</f>
        <v>2490.885</v>
      </c>
      <c r="P19" s="70">
        <f>P6*'OLD  Formulas'!$A$37</f>
        <v>1383.825</v>
      </c>
      <c r="Q19" s="70">
        <f>Q6*'OLD  Formulas'!$A$37</f>
        <v>1937.355</v>
      </c>
      <c r="R19" s="70">
        <f>R6*'OLD  Formulas'!$A$37</f>
        <v>2398.63</v>
      </c>
      <c r="S19" s="70">
        <f>S6*'OLD  Formulas'!$A$37</f>
        <v>2583.14</v>
      </c>
      <c r="T19" s="70">
        <f>T6*'OLD  Formulas'!$A$37</f>
        <v>3505.69</v>
      </c>
      <c r="U19" s="70">
        <f>U6*'OLD  Formulas'!$A$37</f>
        <v>3321.18</v>
      </c>
      <c r="V19" s="70">
        <f>V6*'OLD  Formulas'!$A$37</f>
        <v>3321.18</v>
      </c>
      <c r="W19" s="70">
        <f>W6*'OLD  Formulas'!$A$37</f>
        <v>2767.65</v>
      </c>
      <c r="X19" s="70">
        <f>X6*'OLD  Formulas'!$A$37</f>
        <v>2306.375</v>
      </c>
      <c r="Y19" s="70">
        <f>Y6*'OLD  Formulas'!$A$37</f>
        <v>3044.415</v>
      </c>
      <c r="Z19" s="70">
        <f>Z6*'OLD  Formulas'!$A$37</f>
        <v>2952.16</v>
      </c>
      <c r="AA19" s="70">
        <f>AA6*'OLD  Formulas'!$A$37</f>
        <v>3597.945</v>
      </c>
      <c r="AB19" s="70">
        <f>AB6*'OLD  Formulas'!$A$37</f>
        <v>2583.14</v>
      </c>
      <c r="AC19" s="70">
        <f>AC6*'OLD  Formulas'!$A$37</f>
        <v>3690.2</v>
      </c>
      <c r="AD19" s="70">
        <f>AD6*'OLD  Formulas'!$A$37</f>
        <v>2859.905</v>
      </c>
      <c r="AE19" s="70">
        <f>AE6*'OLD  Formulas'!$A$37</f>
        <v>2767.65</v>
      </c>
      <c r="AF19" s="900">
        <f t="shared" ref="AF19:AF27" si="5">SUM(B19:AE19)</f>
        <v>69929.29</v>
      </c>
    </row>
    <row r="20">
      <c r="A20" s="332" t="s">
        <v>1176</v>
      </c>
      <c r="B20" s="911">
        <f>(B6*'OLD  Formulas'!$C$32)+(B6*'OLD  Formulas'!$A$40)</f>
        <v>191.66</v>
      </c>
      <c r="C20" s="70">
        <f>(C6*'OLD  Formulas'!$C$32)+(C6*'OLD  Formulas'!$A$40)</f>
        <v>95.83</v>
      </c>
      <c r="D20" s="70">
        <f>(D6*'OLD  Formulas'!$C$32)+(D6*'OLD  Formulas'!$A$40)</f>
        <v>260.11</v>
      </c>
      <c r="E20" s="70">
        <f>(E6*'OLD  Formulas'!$C$32)+(E6*'OLD  Formulas'!$A$40)</f>
        <v>314.87</v>
      </c>
      <c r="F20" s="70">
        <f>(F6*'OLD  Formulas'!$C$32)+(F6*'OLD  Formulas'!$A$40)</f>
        <v>219.04</v>
      </c>
      <c r="G20" s="70">
        <f>(G6*'OLD  Formulas'!$C$32)+(G6*'OLD  Formulas'!$A$40)</f>
        <v>273.8</v>
      </c>
      <c r="H20" s="70">
        <f>(H6*'OLD  Formulas'!$C$32)+(H6*'OLD  Formulas'!$A$40)</f>
        <v>164.28</v>
      </c>
      <c r="I20" s="70">
        <f>(I6*'OLD  Formulas'!$C$32)+(I6*'OLD  Formulas'!$A$40)</f>
        <v>164.28</v>
      </c>
      <c r="J20" s="70">
        <f>(J6*'OLD  Formulas'!$C$32)+(J6*'OLD  Formulas'!$A$40)</f>
        <v>383.32</v>
      </c>
      <c r="K20" s="70">
        <f>(K6*'OLD  Formulas'!$C$32)+(K6*'OLD  Formulas'!$A$40)</f>
        <v>260.11</v>
      </c>
      <c r="L20" s="70">
        <f>(L6*'OLD  Formulas'!$C$32)+(L6*'OLD  Formulas'!$A$40)</f>
        <v>301.18</v>
      </c>
      <c r="M20" s="70">
        <f>(M6*'OLD  Formulas'!$C$32)+(M6*'OLD  Formulas'!$A$40)</f>
        <v>342.25</v>
      </c>
      <c r="N20" s="70">
        <f>(N6*'OLD  Formulas'!$C$32)+(N6*'OLD  Formulas'!$A$40)</f>
        <v>355.94</v>
      </c>
      <c r="O20" s="70">
        <f>(O6*'OLD  Formulas'!$C$32)+(O6*'OLD  Formulas'!$A$40)</f>
        <v>369.63</v>
      </c>
      <c r="P20" s="70">
        <f>(P6*'OLD  Formulas'!$C$32)+(P6*'OLD  Formulas'!$A$40)</f>
        <v>205.35</v>
      </c>
      <c r="Q20" s="70">
        <f>(Q6*'OLD  Formulas'!$C$32)+(Q6*'OLD  Formulas'!$A$40)</f>
        <v>287.49</v>
      </c>
      <c r="R20" s="70">
        <f>(R6*'OLD  Formulas'!$C$32)+(R6*'OLD  Formulas'!$A$40)</f>
        <v>355.94</v>
      </c>
      <c r="S20" s="70">
        <f>(S6*'OLD  Formulas'!$C$32)+(S6*'OLD  Formulas'!$A$40)</f>
        <v>383.32</v>
      </c>
      <c r="T20" s="70">
        <f>(T6*'OLD  Formulas'!$C$32)+(T6*'OLD  Formulas'!$A$40)</f>
        <v>520.22</v>
      </c>
      <c r="U20" s="70">
        <f>(U6*'OLD  Formulas'!$C$32)+(U6*'OLD  Formulas'!$A$40)</f>
        <v>492.84</v>
      </c>
      <c r="V20" s="70">
        <f>(V6*'OLD  Formulas'!$C$32)+(V6*'OLD  Formulas'!$A$40)</f>
        <v>492.84</v>
      </c>
      <c r="W20" s="70">
        <f>(W6*'OLD  Formulas'!$C$32)+(W6*'OLD  Formulas'!$A$40)</f>
        <v>410.7</v>
      </c>
      <c r="X20" s="70">
        <f>(X6*'OLD  Formulas'!$C$32)+(X6*'OLD  Formulas'!$A$40)</f>
        <v>342.25</v>
      </c>
      <c r="Y20" s="70">
        <f>(Y6*'OLD  Formulas'!$C$32)+(Y6*'OLD  Formulas'!$A$40)</f>
        <v>451.77</v>
      </c>
      <c r="Z20" s="70">
        <f>(Z6*'OLD  Formulas'!$C$32)+(Z6*'OLD  Formulas'!$A$40)</f>
        <v>438.08</v>
      </c>
      <c r="AA20" s="70">
        <f>(AA6*'OLD  Formulas'!$C$32)+(AA6*'OLD  Formulas'!$A$40)</f>
        <v>533.91</v>
      </c>
      <c r="AB20" s="70">
        <f>(AB6*'OLD  Formulas'!$C$32)+(AB6*'OLD  Formulas'!$A$40)</f>
        <v>383.32</v>
      </c>
      <c r="AC20" s="70">
        <f>(AC6*'OLD  Formulas'!$C$32)+(AC6*'OLD  Formulas'!$A$40)</f>
        <v>547.6</v>
      </c>
      <c r="AD20" s="70">
        <f>(AD6*'OLD  Formulas'!$C$32)+(AD6*'OLD  Formulas'!$A$40)</f>
        <v>424.39</v>
      </c>
      <c r="AE20" s="70">
        <f>(AE6*'OLD  Formulas'!$C$32)+(AE6*'OLD  Formulas'!$A$40)</f>
        <v>410.7</v>
      </c>
      <c r="AF20" s="260">
        <f t="shared" si="5"/>
        <v>10377.02</v>
      </c>
    </row>
    <row r="21">
      <c r="A21" s="332" t="s">
        <v>1181</v>
      </c>
      <c r="B21" s="911">
        <f>B287*'OLD  Formulas'!$C$37</f>
        <v>0</v>
      </c>
      <c r="C21" s="70">
        <f>C287*'OLD  Formulas'!$C$37</f>
        <v>0</v>
      </c>
      <c r="D21" s="70">
        <f>D287*'OLD  Formulas'!$C$37</f>
        <v>0</v>
      </c>
      <c r="E21" s="70">
        <f>E287*'OLD  Formulas'!$C$37</f>
        <v>0</v>
      </c>
      <c r="F21" s="70">
        <f>F287*'OLD  Formulas'!$C$37</f>
        <v>0</v>
      </c>
      <c r="G21" s="70">
        <f>G287*'OLD  Formulas'!$C$37</f>
        <v>0</v>
      </c>
      <c r="H21" s="70">
        <f>H287*'OLD  Formulas'!$C$37</f>
        <v>0</v>
      </c>
      <c r="I21" s="70">
        <f>I287*'OLD  Formulas'!$C$37</f>
        <v>0</v>
      </c>
      <c r="J21" s="70">
        <f>J287*'OLD  Formulas'!$C$37</f>
        <v>0</v>
      </c>
      <c r="K21" s="70">
        <f>K287*'OLD  Formulas'!$C$37</f>
        <v>0</v>
      </c>
      <c r="L21" s="70">
        <f>L287*'OLD  Formulas'!$C$37</f>
        <v>0</v>
      </c>
      <c r="M21" s="70">
        <f>M287*'OLD  Formulas'!$C$37</f>
        <v>0</v>
      </c>
      <c r="N21" s="70">
        <f>N287*'OLD  Formulas'!$C$37</f>
        <v>0</v>
      </c>
      <c r="O21" s="70">
        <f>O287*'OLD  Formulas'!$C$37</f>
        <v>0</v>
      </c>
      <c r="P21" s="70">
        <f>P287*'OLD  Formulas'!$C$37</f>
        <v>0</v>
      </c>
      <c r="Q21" s="70">
        <f>Q287*'OLD  Formulas'!$C$37</f>
        <v>0</v>
      </c>
      <c r="R21" s="70">
        <f>R287*'OLD  Formulas'!$C$37</f>
        <v>0</v>
      </c>
      <c r="S21" s="70">
        <f>S287*'OLD  Formulas'!$C$37</f>
        <v>0</v>
      </c>
      <c r="T21" s="70">
        <f>T287*'OLD  Formulas'!$C$37</f>
        <v>0</v>
      </c>
      <c r="U21" s="70">
        <f>U287*'OLD  Formulas'!$C$37</f>
        <v>0</v>
      </c>
      <c r="V21" s="70">
        <f>V287*'OLD  Formulas'!$C$37</f>
        <v>0</v>
      </c>
      <c r="W21" s="70">
        <f>W287*'OLD  Formulas'!$C$37</f>
        <v>0</v>
      </c>
      <c r="X21" s="70">
        <f>X287*'OLD  Formulas'!$C$37</f>
        <v>0</v>
      </c>
      <c r="Y21" s="70">
        <f>Y287*'OLD  Formulas'!$C$37</f>
        <v>0</v>
      </c>
      <c r="Z21" s="70">
        <f>Z287*'OLD  Formulas'!$C$37</f>
        <v>0</v>
      </c>
      <c r="AA21" s="70">
        <f>AA287*'OLD  Formulas'!$C$37</f>
        <v>0</v>
      </c>
      <c r="AB21" s="70">
        <f>AB287*'OLD  Formulas'!$C$37</f>
        <v>0</v>
      </c>
      <c r="AC21" s="70">
        <f>AC287*'OLD  Formulas'!$C$37</f>
        <v>0</v>
      </c>
      <c r="AD21" s="70">
        <f>AD287*'OLD  Formulas'!$C$37</f>
        <v>0</v>
      </c>
      <c r="AE21" s="70">
        <f>AE287*'OLD  Formulas'!$C$37</f>
        <v>0</v>
      </c>
      <c r="AF21" s="260">
        <f t="shared" si="5"/>
        <v>0</v>
      </c>
    </row>
    <row r="22">
      <c r="A22" s="332" t="s">
        <v>1183</v>
      </c>
      <c r="B22" s="911">
        <f>B287*'OLD  Formulas'!$C$38</f>
        <v>0</v>
      </c>
      <c r="C22" s="70">
        <f>C287*'OLD  Formulas'!$C$38</f>
        <v>0</v>
      </c>
      <c r="D22" s="70">
        <f>D287*'OLD  Formulas'!$C$38</f>
        <v>0</v>
      </c>
      <c r="E22" s="70">
        <f>E287*'OLD  Formulas'!$C$38</f>
        <v>0</v>
      </c>
      <c r="F22" s="70">
        <f>F287*'OLD  Formulas'!$C$38</f>
        <v>0</v>
      </c>
      <c r="G22" s="70">
        <f>G287*'OLD  Formulas'!$C$38</f>
        <v>0</v>
      </c>
      <c r="H22" s="70">
        <f>H287*'OLD  Formulas'!$C$38</f>
        <v>0</v>
      </c>
      <c r="I22" s="70">
        <f>I287*'OLD  Formulas'!$C$38</f>
        <v>0</v>
      </c>
      <c r="J22" s="70">
        <f>J287*'OLD  Formulas'!$C$38</f>
        <v>0</v>
      </c>
      <c r="K22" s="70">
        <f>K287*'OLD  Formulas'!$C$38</f>
        <v>0</v>
      </c>
      <c r="L22" s="70">
        <f>L287*'OLD  Formulas'!$C$38</f>
        <v>0</v>
      </c>
      <c r="M22" s="70">
        <f>M287*'OLD  Formulas'!$C$38</f>
        <v>0</v>
      </c>
      <c r="N22" s="70">
        <f>N287*'OLD  Formulas'!$C$38</f>
        <v>0</v>
      </c>
      <c r="O22" s="70">
        <f>O287*'OLD  Formulas'!$C$38</f>
        <v>0</v>
      </c>
      <c r="P22" s="70">
        <f>P287*'OLD  Formulas'!$C$38</f>
        <v>0</v>
      </c>
      <c r="Q22" s="70">
        <f>Q287*'OLD  Formulas'!$C$38</f>
        <v>0</v>
      </c>
      <c r="R22" s="70">
        <f>R287*'OLD  Formulas'!$C$38</f>
        <v>0</v>
      </c>
      <c r="S22" s="70">
        <f>S287*'OLD  Formulas'!$C$38</f>
        <v>0</v>
      </c>
      <c r="T22" s="70">
        <f>T287*'OLD  Formulas'!$C$38</f>
        <v>0</v>
      </c>
      <c r="U22" s="70">
        <f>U287*'OLD  Formulas'!$C$38</f>
        <v>0</v>
      </c>
      <c r="V22" s="70">
        <f>V287*'OLD  Formulas'!$C$38</f>
        <v>0</v>
      </c>
      <c r="W22" s="70">
        <f>W287*'OLD  Formulas'!$C$38</f>
        <v>0</v>
      </c>
      <c r="X22" s="70">
        <f>X287*'OLD  Formulas'!$C$38</f>
        <v>0</v>
      </c>
      <c r="Y22" s="70">
        <f>Y287*'OLD  Formulas'!$C$38</f>
        <v>0</v>
      </c>
      <c r="Z22" s="70">
        <f>Z287*'OLD  Formulas'!$C$38</f>
        <v>0</v>
      </c>
      <c r="AA22" s="70">
        <f>AA287*'OLD  Formulas'!$C$38</f>
        <v>0</v>
      </c>
      <c r="AB22" s="70">
        <f>AB287*'OLD  Formulas'!$C$38</f>
        <v>0</v>
      </c>
      <c r="AC22" s="70">
        <f>AC287*'OLD  Formulas'!$C$38</f>
        <v>0</v>
      </c>
      <c r="AD22" s="70">
        <f>AD287*'OLD  Formulas'!$C$38</f>
        <v>0</v>
      </c>
      <c r="AE22" s="70">
        <f>AE287*'OLD  Formulas'!$C$38</f>
        <v>0</v>
      </c>
      <c r="AF22" s="260">
        <f t="shared" si="5"/>
        <v>0</v>
      </c>
    </row>
    <row r="23">
      <c r="A23" s="332" t="s">
        <v>1187</v>
      </c>
      <c r="B23" s="911">
        <f>B6*'OLD  Formulas'!$C$40</f>
        <v>167.16</v>
      </c>
      <c r="C23" s="70">
        <f>C6*'OLD  Formulas'!$C$40</f>
        <v>83.58</v>
      </c>
      <c r="D23" s="70">
        <f>D6*'OLD  Formulas'!$C$40</f>
        <v>226.86</v>
      </c>
      <c r="E23" s="70">
        <f>E6*'OLD  Formulas'!$C$40</f>
        <v>274.62</v>
      </c>
      <c r="F23" s="70">
        <f>F6*'OLD  Formulas'!$C$40</f>
        <v>191.04</v>
      </c>
      <c r="G23" s="70">
        <f>G6*'OLD  Formulas'!$C$40</f>
        <v>238.8</v>
      </c>
      <c r="H23" s="70">
        <f>H6*'OLD  Formulas'!$C$40</f>
        <v>143.28</v>
      </c>
      <c r="I23" s="70">
        <f>I6*'OLD  Formulas'!$C$40</f>
        <v>143.28</v>
      </c>
      <c r="J23" s="70">
        <f>J6*'OLD  Formulas'!$C$40</f>
        <v>334.32</v>
      </c>
      <c r="K23" s="70">
        <f>K6*'OLD  Formulas'!$C$40</f>
        <v>226.86</v>
      </c>
      <c r="L23" s="70">
        <f>L6*'OLD  Formulas'!$C$40</f>
        <v>262.68</v>
      </c>
      <c r="M23" s="70">
        <f>M6*'OLD  Formulas'!$C$40</f>
        <v>298.5</v>
      </c>
      <c r="N23" s="70">
        <f>N6*'OLD  Formulas'!$C$40</f>
        <v>310.44</v>
      </c>
      <c r="O23" s="70">
        <f>O6*'OLD  Formulas'!$C$40</f>
        <v>322.38</v>
      </c>
      <c r="P23" s="70">
        <f>P6*'OLD  Formulas'!$C$40</f>
        <v>179.1</v>
      </c>
      <c r="Q23" s="70">
        <f>Q6*'OLD  Formulas'!$C$40</f>
        <v>250.74</v>
      </c>
      <c r="R23" s="70">
        <f>R6*'OLD  Formulas'!$C$40</f>
        <v>310.44</v>
      </c>
      <c r="S23" s="70">
        <f>S6*'OLD  Formulas'!$C$40</f>
        <v>334.32</v>
      </c>
      <c r="T23" s="70">
        <f>T6*'OLD  Formulas'!$C$40</f>
        <v>453.72</v>
      </c>
      <c r="U23" s="70">
        <f>U6*'OLD  Formulas'!$C$40</f>
        <v>429.84</v>
      </c>
      <c r="V23" s="70">
        <f>V6*'OLD  Formulas'!$C$40</f>
        <v>429.84</v>
      </c>
      <c r="W23" s="70">
        <f>W6*'OLD  Formulas'!$C$40</f>
        <v>358.2</v>
      </c>
      <c r="X23" s="70">
        <f>X6*'OLD  Formulas'!$C$40</f>
        <v>298.5</v>
      </c>
      <c r="Y23" s="70">
        <f>Y6*'OLD  Formulas'!$C$40</f>
        <v>394.02</v>
      </c>
      <c r="Z23" s="70">
        <f>Z6*'OLD  Formulas'!$C$40</f>
        <v>382.08</v>
      </c>
      <c r="AA23" s="70">
        <f>AA6*'OLD  Formulas'!$C$40</f>
        <v>465.66</v>
      </c>
      <c r="AB23" s="70">
        <f>AB6*'OLD  Formulas'!$C$40</f>
        <v>334.32</v>
      </c>
      <c r="AC23" s="70">
        <f>AC6*'OLD  Formulas'!$C$40</f>
        <v>477.6</v>
      </c>
      <c r="AD23" s="70">
        <f>AD6*'OLD  Formulas'!$C$40</f>
        <v>370.14</v>
      </c>
      <c r="AE23" s="70">
        <f>AE6*'OLD  Formulas'!$C$40</f>
        <v>358.2</v>
      </c>
      <c r="AF23" s="900">
        <f t="shared" si="5"/>
        <v>9050.52</v>
      </c>
    </row>
    <row r="24">
      <c r="A24" s="332" t="s">
        <v>1188</v>
      </c>
      <c r="B24" s="911">
        <f>B10*'OLD  Formulas'!$C$41</f>
        <v>306.9</v>
      </c>
      <c r="C24" s="70">
        <f>C10*'OLD  Formulas'!$C$41</f>
        <v>251.1</v>
      </c>
      <c r="D24" s="70">
        <f>D10*'OLD  Formulas'!$C$41</f>
        <v>418.5</v>
      </c>
      <c r="E24" s="70">
        <f>E10*'OLD  Formulas'!$C$41</f>
        <v>558</v>
      </c>
      <c r="F24" s="70">
        <f>F10*'OLD  Formulas'!$C$41</f>
        <v>558</v>
      </c>
      <c r="G24" s="70">
        <f>G10*'OLD  Formulas'!$C$41</f>
        <v>446.4</v>
      </c>
      <c r="H24" s="70">
        <f>H10*'OLD  Formulas'!$C$41</f>
        <v>362.7</v>
      </c>
      <c r="I24" s="70">
        <f>I10*'OLD  Formulas'!$C$41</f>
        <v>279</v>
      </c>
      <c r="J24" s="70">
        <f>J10*'OLD  Formulas'!$C$41</f>
        <v>697.5</v>
      </c>
      <c r="K24" s="70">
        <f>K10*'OLD  Formulas'!$C$41</f>
        <v>613.8</v>
      </c>
      <c r="L24" s="70">
        <f>L10*'OLD  Formulas'!$C$41</f>
        <v>613.8</v>
      </c>
      <c r="M24" s="70">
        <f>M10*'OLD  Formulas'!$C$41</f>
        <v>669.6</v>
      </c>
      <c r="N24" s="70">
        <f>N10*'OLD  Formulas'!$C$41</f>
        <v>753.3</v>
      </c>
      <c r="O24" s="70">
        <f>O10*'OLD  Formulas'!$C$41</f>
        <v>837</v>
      </c>
      <c r="P24" s="70">
        <f>P10*'OLD  Formulas'!$C$41</f>
        <v>418.5</v>
      </c>
      <c r="Q24" s="70">
        <f>Q10*'OLD  Formulas'!$C$41</f>
        <v>585.9</v>
      </c>
      <c r="R24" s="70">
        <f>R10*'OLD  Formulas'!$C$41</f>
        <v>725.4</v>
      </c>
      <c r="S24" s="70">
        <f>S10*'OLD  Formulas'!$C$41</f>
        <v>697.5</v>
      </c>
      <c r="T24" s="70">
        <f>T10*'OLD  Formulas'!$C$41</f>
        <v>1311.3</v>
      </c>
      <c r="U24" s="70">
        <f>U10*'OLD  Formulas'!$C$41</f>
        <v>892.8</v>
      </c>
      <c r="V24" s="70">
        <f>V10*'OLD  Formulas'!$C$41</f>
        <v>864.9</v>
      </c>
      <c r="W24" s="70">
        <f>W10*'OLD  Formulas'!$C$41</f>
        <v>1088.1</v>
      </c>
      <c r="X24" s="70">
        <f>X10*'OLD  Formulas'!$C$41</f>
        <v>558</v>
      </c>
      <c r="Y24" s="70">
        <f>Y10*'OLD  Formulas'!$C$41</f>
        <v>1060.2</v>
      </c>
      <c r="Z24" s="70">
        <f>Z10*'OLD  Formulas'!$C$41</f>
        <v>892.8</v>
      </c>
      <c r="AA24" s="70">
        <f>AA10*'OLD  Formulas'!$C$41</f>
        <v>1088.1</v>
      </c>
      <c r="AB24" s="70">
        <f>AB10*'OLD  Formulas'!$C$41</f>
        <v>781.2</v>
      </c>
      <c r="AC24" s="70">
        <f>AC10*'OLD  Formulas'!$C$41</f>
        <v>1116</v>
      </c>
      <c r="AD24" s="70">
        <f>AD10*'OLD  Formulas'!$C$41</f>
        <v>976.5</v>
      </c>
      <c r="AE24" s="70">
        <f>AE10*'OLD  Formulas'!$C$41</f>
        <v>725.4</v>
      </c>
      <c r="AF24" s="900">
        <f t="shared" si="5"/>
        <v>21148.2</v>
      </c>
    </row>
    <row r="25">
      <c r="A25" s="884" t="s">
        <v>95</v>
      </c>
      <c r="B25" s="63">
        <f t="shared" ref="B25:AE25" si="6">SUM(B19:B24)</f>
        <v>1957.29</v>
      </c>
      <c r="C25" s="63">
        <f t="shared" si="6"/>
        <v>1076.295</v>
      </c>
      <c r="D25" s="63">
        <f t="shared" si="6"/>
        <v>2658.315</v>
      </c>
      <c r="E25" s="63">
        <f t="shared" si="6"/>
        <v>3269.355</v>
      </c>
      <c r="F25" s="63">
        <f t="shared" si="6"/>
        <v>2444.16</v>
      </c>
      <c r="G25" s="63">
        <f t="shared" si="6"/>
        <v>2804.1</v>
      </c>
      <c r="H25" s="63">
        <f t="shared" si="6"/>
        <v>1777.32</v>
      </c>
      <c r="I25" s="63">
        <f t="shared" si="6"/>
        <v>1693.62</v>
      </c>
      <c r="J25" s="63">
        <f t="shared" si="6"/>
        <v>3998.28</v>
      </c>
      <c r="K25" s="63">
        <f t="shared" si="6"/>
        <v>2853.615</v>
      </c>
      <c r="L25" s="63">
        <f t="shared" si="6"/>
        <v>3207.27</v>
      </c>
      <c r="M25" s="63">
        <f t="shared" si="6"/>
        <v>3616.725</v>
      </c>
      <c r="N25" s="63">
        <f t="shared" si="6"/>
        <v>3818.31</v>
      </c>
      <c r="O25" s="63">
        <f t="shared" si="6"/>
        <v>4019.895</v>
      </c>
      <c r="P25" s="63">
        <f t="shared" si="6"/>
        <v>2186.775</v>
      </c>
      <c r="Q25" s="63">
        <f t="shared" si="6"/>
        <v>3061.485</v>
      </c>
      <c r="R25" s="63">
        <f t="shared" si="6"/>
        <v>3790.41</v>
      </c>
      <c r="S25" s="63">
        <f t="shared" si="6"/>
        <v>3998.28</v>
      </c>
      <c r="T25" s="63">
        <f t="shared" si="6"/>
        <v>5790.93</v>
      </c>
      <c r="U25" s="63">
        <f t="shared" si="6"/>
        <v>5136.66</v>
      </c>
      <c r="V25" s="63">
        <f t="shared" si="6"/>
        <v>5108.76</v>
      </c>
      <c r="W25" s="63">
        <f t="shared" si="6"/>
        <v>4624.65</v>
      </c>
      <c r="X25" s="63">
        <f t="shared" si="6"/>
        <v>3505.125</v>
      </c>
      <c r="Y25" s="63">
        <f t="shared" si="6"/>
        <v>4950.405</v>
      </c>
      <c r="Z25" s="63">
        <f t="shared" si="6"/>
        <v>4665.12</v>
      </c>
      <c r="AA25" s="63">
        <f t="shared" si="6"/>
        <v>5685.615</v>
      </c>
      <c r="AB25" s="63">
        <f t="shared" si="6"/>
        <v>4081.98</v>
      </c>
      <c r="AC25" s="63">
        <f t="shared" si="6"/>
        <v>5831.4</v>
      </c>
      <c r="AD25" s="63">
        <f t="shared" si="6"/>
        <v>4630.935</v>
      </c>
      <c r="AE25" s="63">
        <f t="shared" si="6"/>
        <v>4261.95</v>
      </c>
      <c r="AF25" s="900">
        <f t="shared" si="5"/>
        <v>110505.03</v>
      </c>
    </row>
    <row r="26">
      <c r="A26" s="20"/>
      <c r="B26" s="595"/>
      <c r="C26" s="595"/>
      <c r="D26" s="595"/>
      <c r="E26" s="595"/>
      <c r="F26" s="595"/>
      <c r="G26" s="595"/>
      <c r="H26" s="595"/>
      <c r="I26" s="595"/>
      <c r="J26" s="595"/>
      <c r="K26" s="595"/>
      <c r="L26" s="595"/>
      <c r="M26" s="595"/>
      <c r="N26" s="595"/>
      <c r="O26" s="595"/>
      <c r="P26" s="595"/>
      <c r="Q26" s="595"/>
      <c r="R26" s="595"/>
      <c r="S26" s="595"/>
      <c r="T26" s="595"/>
      <c r="U26" s="595"/>
      <c r="V26" s="595"/>
      <c r="W26" s="595"/>
      <c r="X26" s="595"/>
      <c r="Y26" s="595"/>
      <c r="Z26" s="595"/>
      <c r="AA26" s="595"/>
      <c r="AB26" s="595"/>
      <c r="AC26" s="595"/>
      <c r="AD26" s="595"/>
      <c r="AE26" s="595"/>
      <c r="AF26" s="900">
        <f t="shared" si="5"/>
        <v>0</v>
      </c>
    </row>
    <row r="27">
      <c r="A27" s="885" t="s">
        <v>858</v>
      </c>
      <c r="B27" s="70">
        <f t="shared" ref="B27:AE27" si="7">B10-B16-B25</f>
        <v>-471.86</v>
      </c>
      <c r="C27" s="70">
        <f t="shared" si="7"/>
        <v>-692.945</v>
      </c>
      <c r="D27" s="70">
        <f t="shared" si="7"/>
        <v>-1074.425</v>
      </c>
      <c r="E27" s="70">
        <f t="shared" si="7"/>
        <v>-133.595</v>
      </c>
      <c r="F27" s="70">
        <f t="shared" si="7"/>
        <v>1176.53</v>
      </c>
      <c r="G27" s="70">
        <f t="shared" si="7"/>
        <v>-277.57</v>
      </c>
      <c r="H27" s="70">
        <f t="shared" si="7"/>
        <v>38.05</v>
      </c>
      <c r="I27" s="70">
        <f t="shared" si="7"/>
        <v>-662.37</v>
      </c>
      <c r="J27" s="70">
        <f t="shared" si="7"/>
        <v>390.95</v>
      </c>
      <c r="K27" s="70">
        <f t="shared" si="7"/>
        <v>373.695</v>
      </c>
      <c r="L27" s="70">
        <f t="shared" si="7"/>
        <v>519.42</v>
      </c>
      <c r="M27" s="70">
        <f t="shared" si="7"/>
        <v>731.175</v>
      </c>
      <c r="N27" s="70">
        <f t="shared" si="7"/>
        <v>1298.93</v>
      </c>
      <c r="O27" s="70">
        <f t="shared" si="7"/>
        <v>1816.635</v>
      </c>
      <c r="P27" s="70">
        <f t="shared" si="7"/>
        <v>-94.825</v>
      </c>
      <c r="Q27" s="70">
        <f t="shared" si="7"/>
        <v>-91.685</v>
      </c>
      <c r="R27" s="70">
        <f t="shared" si="7"/>
        <v>294.63</v>
      </c>
      <c r="S27" s="70">
        <f t="shared" si="7"/>
        <v>117.88</v>
      </c>
      <c r="T27" s="70">
        <f t="shared" si="7"/>
        <v>3701.35</v>
      </c>
      <c r="U27" s="70">
        <f t="shared" si="7"/>
        <v>806.67</v>
      </c>
      <c r="V27" s="70">
        <f t="shared" si="7"/>
        <v>754.62</v>
      </c>
      <c r="W27" s="70">
        <f t="shared" si="7"/>
        <v>3675.73</v>
      </c>
      <c r="X27" s="70">
        <f t="shared" si="7"/>
        <v>-364.305</v>
      </c>
      <c r="Y27" s="70">
        <f t="shared" si="7"/>
        <v>2335.605</v>
      </c>
      <c r="Z27" s="70">
        <f t="shared" si="7"/>
        <v>1697.2</v>
      </c>
      <c r="AA27" s="70">
        <f t="shared" si="7"/>
        <v>2335.905</v>
      </c>
      <c r="AB27" s="70">
        <f t="shared" si="7"/>
        <v>204.94</v>
      </c>
      <c r="AC27" s="70">
        <f t="shared" si="7"/>
        <v>419.68</v>
      </c>
      <c r="AD27" s="70">
        <f t="shared" si="7"/>
        <v>1325.345</v>
      </c>
      <c r="AE27" s="70">
        <f t="shared" si="7"/>
        <v>-1666.16</v>
      </c>
      <c r="AF27" s="900">
        <f t="shared" si="5"/>
        <v>18485.2</v>
      </c>
    </row>
    <row r="28">
      <c r="A28" s="74">
        <f>SUM(B27:AC27)</f>
        <v>18826.015</v>
      </c>
      <c r="B28" s="582"/>
      <c r="C28" s="582"/>
      <c r="D28" s="582"/>
      <c r="E28" s="582"/>
      <c r="F28" s="582"/>
      <c r="G28" s="582"/>
      <c r="H28" s="582"/>
      <c r="I28" s="582"/>
      <c r="J28" s="582"/>
      <c r="K28" s="582"/>
      <c r="L28" s="582"/>
      <c r="M28" s="582"/>
      <c r="N28" s="582"/>
      <c r="O28" s="582"/>
      <c r="P28" s="582"/>
      <c r="Q28" s="582"/>
      <c r="R28" s="582"/>
      <c r="S28" s="582"/>
      <c r="T28" s="582"/>
      <c r="U28" s="582"/>
      <c r="V28" s="582"/>
      <c r="W28" s="582"/>
      <c r="X28" s="582"/>
      <c r="Y28" s="582"/>
      <c r="Z28" s="582"/>
      <c r="AA28" s="582"/>
      <c r="AB28" s="582"/>
      <c r="AC28" s="582"/>
      <c r="AD28" s="582"/>
      <c r="AE28" s="582"/>
      <c r="AF28" s="866"/>
    </row>
    <row r="29">
      <c r="A29" s="20"/>
      <c r="B29" s="582"/>
      <c r="C29" s="582"/>
      <c r="D29" s="332"/>
      <c r="E29" s="582"/>
      <c r="F29" s="582"/>
      <c r="G29" s="582"/>
      <c r="H29" s="40"/>
      <c r="I29" s="582"/>
      <c r="J29" s="582"/>
      <c r="K29" s="582"/>
      <c r="L29" s="582"/>
      <c r="M29" s="582"/>
      <c r="N29" s="582"/>
      <c r="O29" s="582"/>
      <c r="P29" s="582"/>
      <c r="Q29" s="582"/>
      <c r="R29" s="582"/>
      <c r="S29" s="582"/>
      <c r="T29" s="582"/>
      <c r="U29" s="582"/>
      <c r="V29" s="582"/>
      <c r="W29" s="582"/>
      <c r="X29" s="582"/>
      <c r="Y29" s="582"/>
      <c r="Z29" s="582"/>
      <c r="AA29" s="582"/>
      <c r="AB29" s="582"/>
      <c r="AC29" s="582"/>
      <c r="AD29" s="582"/>
      <c r="AE29" s="582"/>
      <c r="AF29" s="866"/>
    </row>
    <row r="30">
      <c r="A30" s="913"/>
      <c r="B30" s="914"/>
      <c r="C30" s="914"/>
      <c r="D30" s="914"/>
      <c r="E30" s="914"/>
      <c r="F30" s="914"/>
      <c r="G30" s="914"/>
      <c r="H30" s="914"/>
      <c r="I30" s="914"/>
      <c r="J30" s="914"/>
      <c r="K30" s="914"/>
      <c r="L30" s="914"/>
      <c r="M30" s="914"/>
      <c r="N30" s="914"/>
      <c r="O30" s="914"/>
      <c r="P30" s="914"/>
      <c r="Q30" s="914"/>
      <c r="R30" s="914"/>
      <c r="S30" s="914"/>
      <c r="T30" s="914"/>
      <c r="U30" s="914"/>
      <c r="V30" s="914"/>
      <c r="W30" s="914"/>
      <c r="X30" s="914"/>
      <c r="Y30" s="914"/>
      <c r="Z30" s="914"/>
      <c r="AA30" s="914"/>
      <c r="AB30" s="914"/>
      <c r="AC30" s="914"/>
      <c r="AD30" s="914"/>
      <c r="AE30" s="914"/>
      <c r="AF30" s="915"/>
    </row>
    <row r="31">
      <c r="A31" s="20"/>
      <c r="B31" s="582"/>
      <c r="C31" s="582"/>
      <c r="D31" s="582"/>
      <c r="E31" s="582"/>
      <c r="F31" s="582"/>
      <c r="G31" s="582"/>
      <c r="H31" s="582"/>
      <c r="I31" s="582"/>
      <c r="J31" s="582"/>
      <c r="K31" s="582"/>
      <c r="L31" s="582"/>
      <c r="M31" s="582"/>
      <c r="N31" s="582"/>
      <c r="O31" s="582"/>
      <c r="P31" s="582"/>
      <c r="Q31" s="582"/>
      <c r="R31" s="582"/>
      <c r="S31" s="582"/>
      <c r="T31" s="582"/>
      <c r="U31" s="582"/>
      <c r="V31" s="582"/>
      <c r="W31" s="582"/>
      <c r="X31" s="582"/>
      <c r="Y31" s="582"/>
      <c r="Z31" s="582"/>
      <c r="AA31" s="582"/>
      <c r="AB31" s="582"/>
      <c r="AC31" s="582"/>
      <c r="AD31" s="582"/>
      <c r="AE31" s="582"/>
      <c r="AF31" s="866"/>
    </row>
    <row r="32">
      <c r="A32" s="964" t="s">
        <v>883</v>
      </c>
      <c r="B32" s="651"/>
      <c r="C32" s="651"/>
      <c r="D32" s="651"/>
      <c r="E32" s="651"/>
      <c r="F32" s="651"/>
      <c r="G32" s="651"/>
      <c r="H32" s="651"/>
      <c r="I32" s="651"/>
      <c r="J32" s="651"/>
      <c r="K32" s="651"/>
      <c r="L32" s="651"/>
      <c r="M32" s="651"/>
      <c r="N32" s="651"/>
      <c r="O32" s="651"/>
      <c r="P32" s="651"/>
      <c r="Q32" s="651"/>
      <c r="R32" s="651"/>
      <c r="S32" s="651"/>
      <c r="T32" s="651"/>
      <c r="U32" s="651"/>
      <c r="V32" s="651"/>
      <c r="W32" s="651"/>
      <c r="X32" s="651"/>
      <c r="Y32" s="651"/>
      <c r="Z32" s="651"/>
      <c r="AA32" s="651"/>
      <c r="AB32" s="651"/>
      <c r="AC32" s="651"/>
      <c r="AD32" s="651"/>
      <c r="AE32" s="651"/>
      <c r="AF32" s="962"/>
    </row>
    <row r="33">
      <c r="A33" s="1362" t="s">
        <v>861</v>
      </c>
      <c r="B33" s="651">
        <f>B9-(B5*'OLD  Formulas'!$A$43)-B13</f>
        <v>106.8</v>
      </c>
      <c r="C33" s="651">
        <f>C9-(C5*'OLD  Formulas'!$A$43)-C13</f>
        <v>-208.315</v>
      </c>
      <c r="D33" s="651">
        <f>D9-(D5*'OLD  Formulas'!$A$43)-D13</f>
        <v>-285.115</v>
      </c>
      <c r="E33" s="651">
        <f>E9-(E5*'OLD  Formulas'!$A$43)-E13</f>
        <v>924.675</v>
      </c>
      <c r="F33" s="651">
        <f>F9-(F5*'OLD  Formulas'!$A$43)-F13</f>
        <v>2252.37</v>
      </c>
      <c r="G33" s="651">
        <f>G9-(G5*'OLD  Formulas'!$A$43)-G13</f>
        <v>565.03</v>
      </c>
      <c r="H33" s="651">
        <f>H9-(H5*'OLD  Formulas'!$A$43)-H13</f>
        <v>733.33</v>
      </c>
      <c r="I33" s="651">
        <f>I9-(I5*'OLD  Formulas'!$A$43)-I13</f>
        <v>-134.49</v>
      </c>
      <c r="J33" s="651">
        <f>J9-(J5*'OLD  Formulas'!$A$43)-J13</f>
        <v>1715.67</v>
      </c>
      <c r="K33" s="651">
        <f>K9-(K5*'OLD  Formulas'!$A$43)-K13</f>
        <v>1553.605</v>
      </c>
      <c r="L33" s="651">
        <f>L9-(L5*'OLD  Formulas'!$A$43)-L13</f>
        <v>1691.8</v>
      </c>
      <c r="M33" s="651">
        <f>M9-(M5*'OLD  Formulas'!$A$43)-M13</f>
        <v>2007.625</v>
      </c>
      <c r="N33" s="651">
        <f>N9-(N5*'OLD  Formulas'!$A$43)-N13</f>
        <v>2740.27</v>
      </c>
      <c r="O33" s="651">
        <f>O9-(O5*'OLD  Formulas'!$A$43)-O13</f>
        <v>3422.865</v>
      </c>
      <c r="P33" s="651">
        <f>P9-(P5*'OLD  Formulas'!$A$43)-P13</f>
        <v>704.525</v>
      </c>
      <c r="Q33" s="651">
        <f>Q9-(Q5*'OLD  Formulas'!$A$43)-Q13</f>
        <v>1027.405</v>
      </c>
      <c r="R33" s="651">
        <f>R9-(R5*'OLD  Formulas'!$A$43)-R13</f>
        <v>1680.17</v>
      </c>
      <c r="S33" s="651">
        <f>S9-(S5*'OLD  Formulas'!$A$43)-S13</f>
        <v>1442.6</v>
      </c>
      <c r="T33" s="651">
        <f>T9-(T5*'OLD  Formulas'!$A$43)-T13</f>
        <v>6228.57</v>
      </c>
      <c r="U33" s="651">
        <f>U9-(U5*'OLD  Formulas'!$A$43)-U13</f>
        <v>2501.91</v>
      </c>
      <c r="V33" s="651">
        <f>V9-(V5*'OLD  Formulas'!$A$43)-V13</f>
        <v>2394.06</v>
      </c>
      <c r="W33" s="651">
        <f>W9-(W5*'OLD  Formulas'!$A$43)-W13</f>
        <v>5776.63</v>
      </c>
      <c r="X33" s="651">
        <f>X9-(X5*'OLD  Formulas'!$A$43)-X13</f>
        <v>688.945</v>
      </c>
      <c r="Y33" s="651">
        <f>Y9-(Y5*'OLD  Formulas'!$A$43)-Y13</f>
        <v>4373.175</v>
      </c>
      <c r="Z33" s="651">
        <f>Z9-(Z5*'OLD  Formulas'!$A$43)-Z13</f>
        <v>3402.48</v>
      </c>
      <c r="AA33" s="651">
        <f>AA9-(AA5*'OLD  Formulas'!$A$43)-AA13</f>
        <v>4414.215</v>
      </c>
      <c r="AB33" s="651">
        <f>AB9-(AB5*'OLD  Formulas'!$A$43)-AB13</f>
        <v>1697.06</v>
      </c>
      <c r="AC33" s="651">
        <f>AC9-(AC5*'OLD  Formulas'!$A$43)-AC13</f>
        <v>2551.28</v>
      </c>
      <c r="AD33" s="651">
        <f>AD9-(AD5*'OLD  Formulas'!$A$43)-AD13</f>
        <v>3200.535</v>
      </c>
      <c r="AE33" s="651">
        <f>AE9-(AE5*'OLD  Formulas'!$A$43)-AE13</f>
        <v>-290.66</v>
      </c>
      <c r="AF33" s="962"/>
    </row>
    <row r="34">
      <c r="A34" s="1362" t="s">
        <v>328</v>
      </c>
      <c r="B34" s="651">
        <f t="shared" ref="B34:AE34" si="8">B9/B13</f>
        <v>2.403910173</v>
      </c>
      <c r="C34" s="651">
        <f t="shared" si="8"/>
        <v>1.338093842</v>
      </c>
      <c r="D34" s="651">
        <f t="shared" si="8"/>
        <v>1.917429133</v>
      </c>
      <c r="E34" s="651">
        <f t="shared" si="8"/>
        <v>2.95826618</v>
      </c>
      <c r="F34" s="651">
        <f t="shared" si="8"/>
        <v>3.981988282</v>
      </c>
      <c r="G34" s="651">
        <f t="shared" si="8"/>
        <v>2.993823228</v>
      </c>
      <c r="H34" s="651">
        <f t="shared" si="8"/>
        <v>2.503226519</v>
      </c>
      <c r="I34" s="651">
        <f t="shared" si="8"/>
        <v>1.885453624</v>
      </c>
      <c r="J34" s="651">
        <f t="shared" si="8"/>
        <v>3.69385734</v>
      </c>
      <c r="K34" s="651">
        <f t="shared" si="8"/>
        <v>2.672309079</v>
      </c>
      <c r="L34" s="651">
        <f t="shared" si="8"/>
        <v>3.414723701</v>
      </c>
      <c r="M34" s="651">
        <f t="shared" si="8"/>
        <v>3.989276139</v>
      </c>
      <c r="N34" s="651">
        <f t="shared" si="8"/>
        <v>4.531236842</v>
      </c>
      <c r="O34" s="651">
        <f t="shared" si="8"/>
        <v>4.933774249</v>
      </c>
      <c r="P34" s="651">
        <f t="shared" si="8"/>
        <v>2.499178884</v>
      </c>
      <c r="Q34" s="651">
        <f t="shared" si="8"/>
        <v>2.543741588</v>
      </c>
      <c r="R34" s="651">
        <f t="shared" si="8"/>
        <v>2.968619555</v>
      </c>
      <c r="S34" s="651">
        <f t="shared" si="8"/>
        <v>3.227164629</v>
      </c>
      <c r="T34" s="651">
        <f t="shared" si="8"/>
        <v>5.678049034</v>
      </c>
      <c r="U34" s="651">
        <f t="shared" si="8"/>
        <v>4.267951641</v>
      </c>
      <c r="V34" s="651">
        <f t="shared" si="8"/>
        <v>4.502998875</v>
      </c>
      <c r="W34" s="651">
        <f t="shared" si="8"/>
        <v>7.290354568</v>
      </c>
      <c r="X34" s="651">
        <f t="shared" si="8"/>
        <v>2.966223328</v>
      </c>
      <c r="Y34" s="651">
        <f t="shared" si="8"/>
        <v>4.699905576</v>
      </c>
      <c r="Z34" s="651">
        <f t="shared" si="8"/>
        <v>5.336904022</v>
      </c>
      <c r="AA34" s="651">
        <f t="shared" si="8"/>
        <v>6.142668428</v>
      </c>
      <c r="AB34" s="651">
        <f t="shared" si="8"/>
        <v>2.847063283</v>
      </c>
      <c r="AC34" s="651">
        <f t="shared" si="8"/>
        <v>2.94232412</v>
      </c>
      <c r="AD34" s="651">
        <f t="shared" si="8"/>
        <v>3.447825381</v>
      </c>
      <c r="AE34" s="651">
        <f t="shared" si="8"/>
        <v>1.844482698</v>
      </c>
      <c r="AF34" s="962"/>
    </row>
    <row r="35">
      <c r="A35" s="1362" t="s">
        <v>863</v>
      </c>
      <c r="B35" s="651">
        <f t="shared" ref="B35:AE35" si="9">B13/B5</f>
        <v>91.19071429</v>
      </c>
      <c r="C35" s="651">
        <f t="shared" si="9"/>
        <v>268.0785714</v>
      </c>
      <c r="D35" s="651">
        <f t="shared" si="9"/>
        <v>114.8742105</v>
      </c>
      <c r="E35" s="651">
        <f t="shared" si="9"/>
        <v>82.01043478</v>
      </c>
      <c r="F35" s="651">
        <f t="shared" si="9"/>
        <v>87.581875</v>
      </c>
      <c r="G35" s="651">
        <f t="shared" si="9"/>
        <v>74.5535</v>
      </c>
      <c r="H35" s="651">
        <f t="shared" si="9"/>
        <v>120.7441667</v>
      </c>
      <c r="I35" s="651">
        <f t="shared" si="9"/>
        <v>123.3125</v>
      </c>
      <c r="J35" s="651">
        <f t="shared" si="9"/>
        <v>67.43821429</v>
      </c>
      <c r="K35" s="651">
        <f t="shared" si="9"/>
        <v>120.8889474</v>
      </c>
      <c r="L35" s="651">
        <f t="shared" si="9"/>
        <v>81.705</v>
      </c>
      <c r="M35" s="651">
        <f t="shared" si="9"/>
        <v>67.14</v>
      </c>
      <c r="N35" s="651">
        <f t="shared" si="9"/>
        <v>63.94076923</v>
      </c>
      <c r="O35" s="651">
        <f t="shared" si="9"/>
        <v>62.83222222</v>
      </c>
      <c r="P35" s="651">
        <f t="shared" si="9"/>
        <v>111.6366667</v>
      </c>
      <c r="Q35" s="651">
        <f t="shared" si="9"/>
        <v>109.6809524</v>
      </c>
      <c r="R35" s="651">
        <f t="shared" si="9"/>
        <v>93.98307692</v>
      </c>
      <c r="S35" s="651">
        <f t="shared" si="9"/>
        <v>77.19071429</v>
      </c>
      <c r="T35" s="651">
        <f t="shared" si="9"/>
        <v>60.77421053</v>
      </c>
      <c r="U35" s="651">
        <f t="shared" si="9"/>
        <v>58.1075</v>
      </c>
      <c r="V35" s="651">
        <f t="shared" si="9"/>
        <v>53.35333333</v>
      </c>
      <c r="W35" s="651">
        <f t="shared" si="9"/>
        <v>49.75066667</v>
      </c>
      <c r="X35" s="651">
        <f t="shared" si="9"/>
        <v>75.2472</v>
      </c>
      <c r="Y35" s="651">
        <f t="shared" si="9"/>
        <v>68.35727273</v>
      </c>
      <c r="Z35" s="651">
        <f t="shared" si="9"/>
        <v>52.2775</v>
      </c>
      <c r="AA35" s="651">
        <f t="shared" si="9"/>
        <v>45.42</v>
      </c>
      <c r="AB35" s="651">
        <f t="shared" si="9"/>
        <v>97.99571429</v>
      </c>
      <c r="AC35" s="651">
        <f t="shared" si="9"/>
        <v>94.823</v>
      </c>
      <c r="AD35" s="651">
        <f t="shared" si="9"/>
        <v>91.36193548</v>
      </c>
      <c r="AE35" s="651">
        <f t="shared" si="9"/>
        <v>131.0936667</v>
      </c>
      <c r="AF35" s="962"/>
    </row>
    <row r="36">
      <c r="A36" s="1372" t="s">
        <v>864</v>
      </c>
      <c r="B36" s="651">
        <f>B9/('OLD  Formulas'!$A$43*B5+B13+B14)</f>
        <v>0.9387904928</v>
      </c>
      <c r="C36" s="651">
        <f>C9/('OLD  Formulas'!$A$43*C5+C13+C14)</f>
        <v>0.8453364261</v>
      </c>
      <c r="D36" s="651">
        <f>D9/('OLD  Formulas'!$A$43*D5+D13+D14)</f>
        <v>0.8560706867</v>
      </c>
      <c r="E36" s="651">
        <f>E9/('OLD  Formulas'!$A$43*E5+E13+E14)</f>
        <v>1.070334192</v>
      </c>
      <c r="F36" s="651">
        <f>F9/('OLD  Formulas'!$A$43*F5+F13+F14)</f>
        <v>1.436060562</v>
      </c>
      <c r="G36" s="651">
        <f>G9/('OLD  Formulas'!$A$43*G5+G13+G14)</f>
        <v>1.027300322</v>
      </c>
      <c r="H36" s="651">
        <f>H9/('OLD  Formulas'!$A$43*H5+H13+H14)</f>
        <v>1.113816919</v>
      </c>
      <c r="I36" s="651">
        <f>I9/('OLD  Formulas'!$A$43*I5+I13+I14)</f>
        <v>0.8709251473</v>
      </c>
      <c r="J36" s="651">
        <f>J9/('OLD  Formulas'!$A$43*J5+J13+J14)</f>
        <v>1.170924804</v>
      </c>
      <c r="K36" s="651">
        <f>K9/('OLD  Formulas'!$A$43*K5+K13+K14)</f>
        <v>1.180794487</v>
      </c>
      <c r="L36" s="651">
        <f>L9/('OLD  Formulas'!$A$43*L5+L13+L14)</f>
        <v>1.213043478</v>
      </c>
      <c r="M36" s="651">
        <f>M9/('OLD  Formulas'!$A$43*M5+M13+M14)</f>
        <v>1.249725876</v>
      </c>
      <c r="N36" s="651">
        <f>N9/('OLD  Formulas'!$A$43*N5+N13+N14)</f>
        <v>1.358268888</v>
      </c>
      <c r="O36" s="651">
        <f>O9/('OLD  Formulas'!$A$43*O5+O13+O14)</f>
        <v>1.447061661</v>
      </c>
      <c r="P36" s="651">
        <f>P9/('OLD  Formulas'!$A$43*P5+P13+P14)</f>
        <v>1.073359024</v>
      </c>
      <c r="Q36" s="651">
        <f>Q9/('OLD  Formulas'!$A$43*Q5+Q13+Q14)</f>
        <v>1.081496153</v>
      </c>
      <c r="R36" s="651">
        <f>R9/('OLD  Formulas'!$A$43*R5+R13+R14)</f>
        <v>1.151569319</v>
      </c>
      <c r="S36" s="651">
        <f>S9/('OLD  Formulas'!$A$43*S5+S13+S14)</f>
        <v>1.119600636</v>
      </c>
      <c r="T36" s="651">
        <f>T9/('OLD  Formulas'!$A$43*T5+T13+T14)</f>
        <v>1.599979502</v>
      </c>
      <c r="U36" s="651">
        <f>U9/('OLD  Formulas'!$A$43*U5+U13+U14)</f>
        <v>1.219857109</v>
      </c>
      <c r="V36" s="651">
        <f>V9/('OLD  Formulas'!$A$43*V5+V13+V14)</f>
        <v>1.214774489</v>
      </c>
      <c r="W36" s="651">
        <f>W9/('OLD  Formulas'!$A$43*W5+W13+W14)</f>
        <v>1.757134068</v>
      </c>
      <c r="X36" s="651">
        <f>X9/('OLD  Formulas'!$A$43*X5+X13+X14)</f>
        <v>1.024030772</v>
      </c>
      <c r="Y36" s="651">
        <f>Y9/('OLD  Formulas'!$A$43*Y5+Y13+Y14)</f>
        <v>1.454515522</v>
      </c>
      <c r="Z36" s="651">
        <f>Z9/('OLD  Formulas'!$A$43*Z5+Z13+Z14)</f>
        <v>1.39101821</v>
      </c>
      <c r="AA36" s="651">
        <f>AA9/('OLD  Formulas'!$A$43*AA5+AA13+AA14)</f>
        <v>1.440260176</v>
      </c>
      <c r="AB36" s="651">
        <f>AB9/('OLD  Formulas'!$A$43*AB5+AB13+AB14)</f>
        <v>1.132807629</v>
      </c>
      <c r="AC36" s="651">
        <f>AC9/('OLD  Formulas'!$A$43*AC5+AC13+AC14)</f>
        <v>1.147590882</v>
      </c>
      <c r="AD36" s="651">
        <f>AD9/('OLD  Formulas'!$A$43*AD5+AD13+AD14)</f>
        <v>1.294927108</v>
      </c>
      <c r="AE36" s="651">
        <f>AE9/('OLD  Formulas'!$A$43*AE5+AE13+AE14)</f>
        <v>0.8771399482</v>
      </c>
      <c r="AF36" s="962"/>
    </row>
    <row r="37">
      <c r="A37" s="997"/>
      <c r="B37" s="998"/>
      <c r="C37" s="998"/>
      <c r="D37" s="998"/>
      <c r="E37" s="998"/>
      <c r="F37" s="998"/>
      <c r="G37" s="998"/>
      <c r="H37" s="998"/>
      <c r="I37" s="998"/>
      <c r="J37" s="998"/>
      <c r="K37" s="998"/>
      <c r="L37" s="998"/>
      <c r="M37" s="998"/>
      <c r="N37" s="998"/>
      <c r="O37" s="998"/>
      <c r="P37" s="998"/>
      <c r="Q37" s="998"/>
      <c r="R37" s="998"/>
      <c r="S37" s="998"/>
      <c r="T37" s="998"/>
      <c r="U37" s="998"/>
      <c r="V37" s="998"/>
      <c r="W37" s="998"/>
      <c r="X37" s="998"/>
      <c r="Y37" s="998"/>
      <c r="Z37" s="998"/>
      <c r="AA37" s="998"/>
      <c r="AB37" s="998"/>
      <c r="AC37" s="998"/>
      <c r="AD37" s="998"/>
      <c r="AE37" s="998"/>
      <c r="AF37" s="1000"/>
    </row>
    <row r="38">
      <c r="A38" s="1002"/>
      <c r="B38" s="914"/>
      <c r="C38" s="914"/>
      <c r="D38" s="914"/>
      <c r="E38" s="914"/>
      <c r="F38" s="914"/>
      <c r="G38" s="914"/>
      <c r="H38" s="914"/>
      <c r="I38" s="914"/>
      <c r="J38" s="914"/>
      <c r="K38" s="914"/>
      <c r="L38" s="914"/>
      <c r="M38" s="914"/>
      <c r="N38" s="914"/>
      <c r="O38" s="914"/>
      <c r="P38" s="914"/>
      <c r="Q38" s="914"/>
      <c r="R38" s="914"/>
      <c r="S38" s="914"/>
      <c r="T38" s="914"/>
      <c r="U38" s="914"/>
      <c r="V38" s="914"/>
      <c r="W38" s="914"/>
      <c r="X38" s="914"/>
      <c r="Y38" s="914"/>
      <c r="Z38" s="914"/>
      <c r="AA38" s="914"/>
      <c r="AB38" s="914"/>
      <c r="AC38" s="914"/>
      <c r="AD38" s="914"/>
      <c r="AE38" s="914"/>
      <c r="AF38" s="915"/>
    </row>
    <row r="39">
      <c r="A39" s="20"/>
      <c r="B39" s="582"/>
      <c r="C39" s="582"/>
      <c r="D39" s="582"/>
      <c r="E39" s="582"/>
      <c r="F39" s="582"/>
      <c r="G39" s="582"/>
      <c r="H39" s="582"/>
      <c r="I39" s="582"/>
      <c r="J39" s="582"/>
      <c r="K39" s="582"/>
      <c r="L39" s="582"/>
      <c r="M39" s="582"/>
      <c r="N39" s="582"/>
      <c r="O39" s="582"/>
      <c r="P39" s="582"/>
      <c r="Q39" s="582"/>
      <c r="R39" s="582"/>
      <c r="S39" s="582"/>
      <c r="T39" s="582"/>
      <c r="U39" s="582"/>
      <c r="V39" s="582"/>
      <c r="W39" s="582"/>
      <c r="X39" s="582"/>
      <c r="Y39" s="582"/>
      <c r="Z39" s="582"/>
      <c r="AA39" s="582"/>
      <c r="AB39" s="582"/>
      <c r="AC39" s="582"/>
      <c r="AD39" s="582"/>
      <c r="AE39" s="582"/>
      <c r="AF39" s="1017"/>
    </row>
    <row r="40">
      <c r="A40" s="931" t="s">
        <v>137</v>
      </c>
      <c r="B40" s="262"/>
      <c r="C40" s="582"/>
      <c r="D40" s="582"/>
      <c r="E40" s="582"/>
      <c r="F40" s="582"/>
      <c r="G40" s="582"/>
      <c r="H40" s="582"/>
      <c r="I40" s="582"/>
      <c r="J40" s="582"/>
      <c r="K40" s="582"/>
      <c r="L40" s="582"/>
      <c r="M40" s="582"/>
      <c r="N40" s="582"/>
      <c r="O40" s="582"/>
      <c r="P40" s="582"/>
      <c r="Q40" s="582"/>
      <c r="R40" s="582"/>
      <c r="S40" s="582"/>
      <c r="T40" s="582"/>
      <c r="U40" s="582"/>
      <c r="V40" s="582"/>
      <c r="W40" s="582"/>
      <c r="X40" s="582"/>
      <c r="Y40" s="582"/>
      <c r="Z40" s="582"/>
      <c r="AA40" s="582"/>
      <c r="AB40" s="582"/>
      <c r="AC40" s="582"/>
      <c r="AD40" s="582"/>
      <c r="AE40" s="582"/>
      <c r="AF40" s="1017"/>
    </row>
    <row r="41">
      <c r="A41" s="938" t="s">
        <v>622</v>
      </c>
      <c r="B41" s="1376"/>
      <c r="C41" s="1377"/>
      <c r="D41" s="1377"/>
      <c r="E41" s="141"/>
      <c r="F41" s="141"/>
      <c r="G41" s="141"/>
      <c r="H41" s="141"/>
      <c r="I41" s="874"/>
      <c r="J41" s="874"/>
      <c r="K41" s="874"/>
      <c r="L41" s="874"/>
      <c r="M41" s="874"/>
      <c r="N41" s="874"/>
      <c r="O41" s="1378"/>
      <c r="P41" s="874"/>
      <c r="Q41" s="874"/>
      <c r="R41" s="874"/>
      <c r="S41" s="23"/>
      <c r="T41" s="23"/>
      <c r="U41" s="23"/>
      <c r="V41" s="23"/>
      <c r="W41" s="23"/>
      <c r="X41" s="23"/>
      <c r="Y41" s="23"/>
      <c r="Z41" s="1379"/>
      <c r="AA41" s="23"/>
      <c r="AB41" s="23"/>
      <c r="AC41" s="1379"/>
      <c r="AD41" s="1379"/>
      <c r="AE41" s="1379"/>
      <c r="AF41" s="1015">
        <f t="shared" ref="AF41:AF43" si="10">sum(B41:AE41)</f>
        <v>0</v>
      </c>
    </row>
    <row r="42">
      <c r="A42" s="938" t="s">
        <v>630</v>
      </c>
      <c r="B42" s="262">
        <v>14.0</v>
      </c>
      <c r="C42" s="262">
        <v>7.0</v>
      </c>
      <c r="D42" s="262">
        <v>19.0</v>
      </c>
      <c r="E42" s="262">
        <v>23.0</v>
      </c>
      <c r="F42" s="262">
        <v>16.0</v>
      </c>
      <c r="G42" s="262">
        <v>19.0</v>
      </c>
      <c r="H42" s="262">
        <v>12.0</v>
      </c>
      <c r="I42" s="104">
        <v>11.0</v>
      </c>
      <c r="J42" s="104">
        <v>28.0</v>
      </c>
      <c r="K42" s="104">
        <v>19.0</v>
      </c>
      <c r="L42" s="104">
        <v>22.0</v>
      </c>
      <c r="M42" s="104">
        <v>25.0</v>
      </c>
      <c r="N42" s="104">
        <v>26.0</v>
      </c>
      <c r="O42" s="265">
        <v>27.0</v>
      </c>
      <c r="P42" s="104">
        <v>15.0</v>
      </c>
      <c r="Q42" s="104">
        <v>23.0</v>
      </c>
      <c r="R42" s="104">
        <v>26.0</v>
      </c>
      <c r="S42" s="332">
        <v>27.0</v>
      </c>
      <c r="T42" s="332">
        <v>38.0</v>
      </c>
      <c r="U42" s="332">
        <v>36.0</v>
      </c>
      <c r="V42" s="332">
        <v>36.0</v>
      </c>
      <c r="W42" s="332">
        <v>32.0</v>
      </c>
      <c r="X42" s="332">
        <v>26.0</v>
      </c>
      <c r="Y42" s="332">
        <v>33.0</v>
      </c>
      <c r="Z42" s="1052">
        <v>32.0</v>
      </c>
      <c r="AA42" s="332">
        <v>38.0</v>
      </c>
      <c r="AB42" s="332">
        <v>28.0</v>
      </c>
      <c r="AC42" s="332">
        <v>40.0</v>
      </c>
      <c r="AD42" s="582">
        <v>31.0</v>
      </c>
      <c r="AE42" s="582">
        <v>30.0</v>
      </c>
      <c r="AF42" s="1015">
        <f t="shared" si="10"/>
        <v>759</v>
      </c>
    </row>
    <row r="43">
      <c r="A43" s="1048" t="s">
        <v>179</v>
      </c>
      <c r="B43" s="145">
        <f t="shared" ref="B43:AE43" si="11">SUM(B41:B42)</f>
        <v>14</v>
      </c>
      <c r="C43" s="145">
        <f t="shared" si="11"/>
        <v>7</v>
      </c>
      <c r="D43" s="145">
        <f t="shared" si="11"/>
        <v>19</v>
      </c>
      <c r="E43" s="145">
        <f t="shared" si="11"/>
        <v>23</v>
      </c>
      <c r="F43" s="145">
        <f t="shared" si="11"/>
        <v>16</v>
      </c>
      <c r="G43" s="145">
        <f t="shared" si="11"/>
        <v>19</v>
      </c>
      <c r="H43" s="145">
        <f t="shared" si="11"/>
        <v>12</v>
      </c>
      <c r="I43" s="145">
        <f t="shared" si="11"/>
        <v>11</v>
      </c>
      <c r="J43" s="145">
        <f t="shared" si="11"/>
        <v>28</v>
      </c>
      <c r="K43" s="145">
        <f t="shared" si="11"/>
        <v>19</v>
      </c>
      <c r="L43" s="145">
        <f t="shared" si="11"/>
        <v>22</v>
      </c>
      <c r="M43" s="145">
        <f t="shared" si="11"/>
        <v>25</v>
      </c>
      <c r="N43" s="145">
        <f t="shared" si="11"/>
        <v>26</v>
      </c>
      <c r="O43" s="145">
        <f t="shared" si="11"/>
        <v>27</v>
      </c>
      <c r="P43" s="145">
        <f t="shared" si="11"/>
        <v>15</v>
      </c>
      <c r="Q43" s="145">
        <f t="shared" si="11"/>
        <v>23</v>
      </c>
      <c r="R43" s="145">
        <f t="shared" si="11"/>
        <v>26</v>
      </c>
      <c r="S43" s="145">
        <f t="shared" si="11"/>
        <v>27</v>
      </c>
      <c r="T43" s="145">
        <f t="shared" si="11"/>
        <v>38</v>
      </c>
      <c r="U43" s="145">
        <f t="shared" si="11"/>
        <v>36</v>
      </c>
      <c r="V43" s="145">
        <f t="shared" si="11"/>
        <v>36</v>
      </c>
      <c r="W43" s="145">
        <f t="shared" si="11"/>
        <v>32</v>
      </c>
      <c r="X43" s="145">
        <f t="shared" si="11"/>
        <v>26</v>
      </c>
      <c r="Y43" s="145">
        <f t="shared" si="11"/>
        <v>33</v>
      </c>
      <c r="Z43" s="145">
        <f t="shared" si="11"/>
        <v>32</v>
      </c>
      <c r="AA43" s="145">
        <f t="shared" si="11"/>
        <v>38</v>
      </c>
      <c r="AB43" s="145">
        <f t="shared" si="11"/>
        <v>28</v>
      </c>
      <c r="AC43" s="145">
        <f t="shared" si="11"/>
        <v>40</v>
      </c>
      <c r="AD43" s="145">
        <f t="shared" si="11"/>
        <v>31</v>
      </c>
      <c r="AE43" s="145">
        <f t="shared" si="11"/>
        <v>30</v>
      </c>
      <c r="AF43" s="1015">
        <f t="shared" si="10"/>
        <v>759</v>
      </c>
    </row>
    <row r="44">
      <c r="A44" s="20"/>
      <c r="B44" s="609"/>
      <c r="C44" s="609"/>
      <c r="D44" s="609"/>
      <c r="E44" s="609"/>
      <c r="F44" s="609"/>
      <c r="G44" s="609"/>
      <c r="H44" s="609"/>
      <c r="I44" s="609"/>
      <c r="J44" s="582"/>
      <c r="K44" s="582"/>
      <c r="L44" s="582"/>
      <c r="M44" s="582"/>
      <c r="N44" s="582"/>
      <c r="O44" s="582"/>
      <c r="P44" s="582"/>
      <c r="Q44" s="582"/>
      <c r="R44" s="582"/>
      <c r="S44" s="582"/>
      <c r="T44" s="582"/>
      <c r="U44" s="582"/>
      <c r="V44" s="582"/>
      <c r="W44" s="582"/>
      <c r="X44" s="582"/>
      <c r="Y44" s="582"/>
      <c r="Z44" s="582"/>
      <c r="AA44" s="582"/>
      <c r="AB44" s="582"/>
      <c r="AC44" s="582"/>
      <c r="AD44" s="582"/>
      <c r="AE44" s="582"/>
      <c r="AF44" s="1051"/>
    </row>
    <row r="45">
      <c r="A45" s="938" t="s">
        <v>147</v>
      </c>
      <c r="B45" s="1377"/>
      <c r="C45" s="1377"/>
      <c r="D45" s="1377"/>
      <c r="E45" s="1377"/>
      <c r="F45" s="1377"/>
      <c r="G45" s="1377"/>
      <c r="H45" s="1377"/>
      <c r="I45" s="1381"/>
      <c r="J45" s="1381"/>
      <c r="K45" s="1381"/>
      <c r="L45" s="1381"/>
      <c r="M45" s="1381"/>
      <c r="N45" s="1381"/>
      <c r="O45" s="1381"/>
      <c r="P45" s="1381"/>
      <c r="Q45" s="1381"/>
      <c r="R45" s="1381"/>
      <c r="S45" s="1382"/>
      <c r="T45" s="1382"/>
      <c r="U45" s="1382"/>
      <c r="V45" s="1382"/>
      <c r="W45" s="1382"/>
      <c r="X45" s="1382"/>
      <c r="Y45" s="1382"/>
      <c r="Z45" s="1383"/>
      <c r="AA45" s="1382"/>
      <c r="AB45" s="1382"/>
      <c r="AC45" s="1383"/>
      <c r="AD45" s="1383"/>
      <c r="AE45" s="1383"/>
      <c r="AF45" s="1015">
        <f t="shared" ref="AF45:AF50" si="12">sum(B45:AE45)</f>
        <v>0</v>
      </c>
    </row>
    <row r="46">
      <c r="A46" s="938" t="s">
        <v>636</v>
      </c>
      <c r="B46" s="1377"/>
      <c r="C46" s="1377"/>
      <c r="D46" s="1377"/>
      <c r="E46" s="1377"/>
      <c r="F46" s="1377"/>
      <c r="G46" s="1377"/>
      <c r="H46" s="1377"/>
      <c r="I46" s="1377"/>
      <c r="J46" s="1377"/>
      <c r="K46" s="1377"/>
      <c r="L46" s="1377"/>
      <c r="M46" s="1377"/>
      <c r="N46" s="1377"/>
      <c r="O46" s="1377"/>
      <c r="P46" s="1377"/>
      <c r="Q46" s="1381"/>
      <c r="R46" s="1381"/>
      <c r="S46" s="1381"/>
      <c r="T46" s="1381"/>
      <c r="U46" s="1381"/>
      <c r="V46" s="1382"/>
      <c r="W46" s="1382"/>
      <c r="X46" s="1382"/>
      <c r="Y46" s="1382"/>
      <c r="Z46" s="1382"/>
      <c r="AA46" s="1382"/>
      <c r="AB46" s="1382"/>
      <c r="AC46" s="1382"/>
      <c r="AD46" s="1382"/>
      <c r="AE46" s="1382"/>
      <c r="AF46" s="1015">
        <f t="shared" si="12"/>
        <v>0</v>
      </c>
    </row>
    <row r="47">
      <c r="A47" s="938" t="s">
        <v>150</v>
      </c>
      <c r="B47" s="1377"/>
      <c r="C47" s="1377"/>
      <c r="D47" s="1377"/>
      <c r="E47" s="1377"/>
      <c r="F47" s="1377"/>
      <c r="G47" s="1377"/>
      <c r="H47" s="1377"/>
      <c r="I47" s="1381"/>
      <c r="J47" s="1381"/>
      <c r="K47" s="1381"/>
      <c r="L47" s="1381"/>
      <c r="M47" s="1381"/>
      <c r="N47" s="1377"/>
      <c r="O47" s="1381"/>
      <c r="P47" s="1381"/>
      <c r="Q47" s="1381"/>
      <c r="R47" s="1381"/>
      <c r="S47" s="1382"/>
      <c r="T47" s="1382"/>
      <c r="U47" s="1382"/>
      <c r="V47" s="1382"/>
      <c r="W47" s="1382"/>
      <c r="X47" s="1382"/>
      <c r="Y47" s="1382"/>
      <c r="Z47" s="1386"/>
      <c r="AA47" s="1387"/>
      <c r="AB47" s="1382"/>
      <c r="AC47" s="1387"/>
      <c r="AD47" s="1387"/>
      <c r="AE47" s="1387"/>
      <c r="AF47" s="1015">
        <f t="shared" si="12"/>
        <v>0</v>
      </c>
    </row>
    <row r="48">
      <c r="A48" s="938" t="s">
        <v>653</v>
      </c>
      <c r="B48" s="1377"/>
      <c r="C48" s="1377"/>
      <c r="D48" s="1377"/>
      <c r="E48" s="1377"/>
      <c r="F48" s="1377"/>
      <c r="G48" s="1377"/>
      <c r="H48" s="1377"/>
      <c r="I48" s="1377"/>
      <c r="J48" s="1377"/>
      <c r="K48" s="1377"/>
      <c r="L48" s="1377"/>
      <c r="M48" s="1377"/>
      <c r="N48" s="1377"/>
      <c r="O48" s="1377"/>
      <c r="P48" s="1377"/>
      <c r="Q48" s="1377"/>
      <c r="R48" s="1377"/>
      <c r="S48" s="1377"/>
      <c r="T48" s="1377"/>
      <c r="U48" s="1377"/>
      <c r="V48" s="1377"/>
      <c r="W48" s="1377"/>
      <c r="X48" s="1377"/>
      <c r="Y48" s="1377"/>
      <c r="Z48" s="1390"/>
      <c r="AA48" s="1377"/>
      <c r="AB48" s="1377"/>
      <c r="AC48" s="1390"/>
      <c r="AD48" s="1390"/>
      <c r="AE48" s="1390"/>
      <c r="AF48" s="1015">
        <f t="shared" si="12"/>
        <v>0</v>
      </c>
    </row>
    <row r="49">
      <c r="A49" s="938" t="s">
        <v>635</v>
      </c>
      <c r="B49" s="1377"/>
      <c r="C49" s="1377"/>
      <c r="D49" s="1377"/>
      <c r="E49" s="1377"/>
      <c r="F49" s="1377"/>
      <c r="G49" s="1377"/>
      <c r="H49" s="1377"/>
      <c r="I49" s="1377"/>
      <c r="J49" s="1377"/>
      <c r="K49" s="1377"/>
      <c r="L49" s="1377"/>
      <c r="M49" s="1377"/>
      <c r="N49" s="1377"/>
      <c r="O49" s="1377"/>
      <c r="P49" s="1377"/>
      <c r="Q49" s="1377"/>
      <c r="R49" s="1377"/>
      <c r="S49" s="1377"/>
      <c r="T49" s="1377"/>
      <c r="U49" s="1377"/>
      <c r="V49" s="1377"/>
      <c r="W49" s="1377"/>
      <c r="X49" s="1377"/>
      <c r="Y49" s="1377"/>
      <c r="Z49" s="1377"/>
      <c r="AA49" s="1382"/>
      <c r="AB49" s="1377"/>
      <c r="AC49" s="1390"/>
      <c r="AD49" s="1390"/>
      <c r="AE49" s="1390"/>
      <c r="AF49" s="1015">
        <f t="shared" si="12"/>
        <v>0</v>
      </c>
    </row>
    <row r="50">
      <c r="A50" s="1048" t="s">
        <v>95</v>
      </c>
      <c r="B50" s="145">
        <f t="shared" ref="B50:AE50" si="13">SUM(B45:B49)</f>
        <v>0</v>
      </c>
      <c r="C50" s="145">
        <f t="shared" si="13"/>
        <v>0</v>
      </c>
      <c r="D50" s="145">
        <f t="shared" si="13"/>
        <v>0</v>
      </c>
      <c r="E50" s="145">
        <f t="shared" si="13"/>
        <v>0</v>
      </c>
      <c r="F50" s="145">
        <f t="shared" si="13"/>
        <v>0</v>
      </c>
      <c r="G50" s="145">
        <f t="shared" si="13"/>
        <v>0</v>
      </c>
      <c r="H50" s="145">
        <f t="shared" si="13"/>
        <v>0</v>
      </c>
      <c r="I50" s="145">
        <f t="shared" si="13"/>
        <v>0</v>
      </c>
      <c r="J50" s="145">
        <f t="shared" si="13"/>
        <v>0</v>
      </c>
      <c r="K50" s="145">
        <f t="shared" si="13"/>
        <v>0</v>
      </c>
      <c r="L50" s="145">
        <f t="shared" si="13"/>
        <v>0</v>
      </c>
      <c r="M50" s="145">
        <f t="shared" si="13"/>
        <v>0</v>
      </c>
      <c r="N50" s="145">
        <f t="shared" si="13"/>
        <v>0</v>
      </c>
      <c r="O50" s="145">
        <f t="shared" si="13"/>
        <v>0</v>
      </c>
      <c r="P50" s="145">
        <f t="shared" si="13"/>
        <v>0</v>
      </c>
      <c r="Q50" s="145">
        <f t="shared" si="13"/>
        <v>0</v>
      </c>
      <c r="R50" s="145">
        <f t="shared" si="13"/>
        <v>0</v>
      </c>
      <c r="S50" s="145">
        <f t="shared" si="13"/>
        <v>0</v>
      </c>
      <c r="T50" s="145">
        <f t="shared" si="13"/>
        <v>0</v>
      </c>
      <c r="U50" s="145">
        <f t="shared" si="13"/>
        <v>0</v>
      </c>
      <c r="V50" s="145">
        <f t="shared" si="13"/>
        <v>0</v>
      </c>
      <c r="W50" s="145">
        <f t="shared" si="13"/>
        <v>0</v>
      </c>
      <c r="X50" s="145">
        <f t="shared" si="13"/>
        <v>0</v>
      </c>
      <c r="Y50" s="145">
        <f t="shared" si="13"/>
        <v>0</v>
      </c>
      <c r="Z50" s="145">
        <f t="shared" si="13"/>
        <v>0</v>
      </c>
      <c r="AA50" s="145">
        <f t="shared" si="13"/>
        <v>0</v>
      </c>
      <c r="AB50" s="145">
        <f t="shared" si="13"/>
        <v>0</v>
      </c>
      <c r="AC50" s="145">
        <f t="shared" si="13"/>
        <v>0</v>
      </c>
      <c r="AD50" s="145">
        <f t="shared" si="13"/>
        <v>0</v>
      </c>
      <c r="AE50" s="145">
        <f t="shared" si="13"/>
        <v>0</v>
      </c>
      <c r="AF50" s="1015">
        <f t="shared" si="12"/>
        <v>0</v>
      </c>
    </row>
    <row r="51">
      <c r="A51" s="854"/>
      <c r="AF51" s="1015"/>
    </row>
    <row r="52">
      <c r="A52" s="854"/>
      <c r="AF52" s="1015"/>
    </row>
    <row r="53">
      <c r="A53" s="931" t="s">
        <v>245</v>
      </c>
      <c r="AF53" s="1015"/>
    </row>
    <row r="54">
      <c r="A54" s="938" t="s">
        <v>622</v>
      </c>
      <c r="B54" s="1064"/>
      <c r="C54" s="1064"/>
      <c r="D54" s="1064"/>
      <c r="E54" s="1064"/>
      <c r="F54" s="1064"/>
      <c r="G54" s="1064"/>
      <c r="H54" s="1064"/>
      <c r="I54" s="1064"/>
      <c r="J54" s="1064"/>
      <c r="K54" s="1064"/>
      <c r="L54" s="1064"/>
      <c r="M54" s="1064"/>
      <c r="N54" s="1064"/>
      <c r="O54" s="1064"/>
      <c r="P54" s="1064"/>
      <c r="Q54" s="1064"/>
      <c r="R54" s="1064"/>
      <c r="S54" s="1064"/>
      <c r="T54" s="1064"/>
      <c r="U54" s="1064"/>
      <c r="V54" s="1064"/>
      <c r="W54" s="1064"/>
      <c r="X54" s="1064"/>
      <c r="Y54" s="1064"/>
      <c r="Z54" s="1064"/>
      <c r="AA54" s="1064"/>
      <c r="AB54" s="1064"/>
      <c r="AC54" s="1379"/>
      <c r="AD54" s="1379"/>
      <c r="AE54" s="1064"/>
      <c r="AF54" s="1015">
        <f t="shared" ref="AF54:AF56" si="14">sum(B54:AE54)</f>
        <v>0</v>
      </c>
    </row>
    <row r="55">
      <c r="A55" s="938" t="s">
        <v>630</v>
      </c>
      <c r="B55" s="1061">
        <v>14.0</v>
      </c>
      <c r="C55" s="1061">
        <v>8.0</v>
      </c>
      <c r="D55" s="1061">
        <v>19.0</v>
      </c>
      <c r="E55" s="1391">
        <v>23.0</v>
      </c>
      <c r="F55" s="1061">
        <v>16.0</v>
      </c>
      <c r="G55" s="1061">
        <v>20.0</v>
      </c>
      <c r="H55" s="1061">
        <v>12.0</v>
      </c>
      <c r="I55" s="1061">
        <v>12.0</v>
      </c>
      <c r="J55" s="1061">
        <v>28.0</v>
      </c>
      <c r="K55" s="1061">
        <v>18.0</v>
      </c>
      <c r="L55" s="1061">
        <v>22.0</v>
      </c>
      <c r="M55" s="1061">
        <v>25.0</v>
      </c>
      <c r="N55" s="1061">
        <v>26.0</v>
      </c>
      <c r="O55" s="1061">
        <v>27.0</v>
      </c>
      <c r="P55" s="1061">
        <v>15.0</v>
      </c>
      <c r="Q55" s="1061">
        <v>21.0</v>
      </c>
      <c r="R55" s="1061">
        <v>25.0</v>
      </c>
      <c r="S55" s="1061">
        <v>28.0</v>
      </c>
      <c r="T55" s="1061">
        <v>38.0</v>
      </c>
      <c r="U55" s="1061">
        <v>36.0</v>
      </c>
      <c r="V55" s="581">
        <v>36.0</v>
      </c>
      <c r="W55" s="581">
        <v>30.0</v>
      </c>
      <c r="X55" s="1061">
        <v>25.0</v>
      </c>
      <c r="Y55" s="1061">
        <v>33.0</v>
      </c>
      <c r="Z55" s="1061">
        <v>32.0</v>
      </c>
      <c r="AA55" s="1061">
        <v>39.0</v>
      </c>
      <c r="AB55" s="1061">
        <v>28.0</v>
      </c>
      <c r="AC55" s="332">
        <v>40.0</v>
      </c>
      <c r="AD55" s="332">
        <v>31.0</v>
      </c>
      <c r="AE55" s="1061">
        <v>30.0</v>
      </c>
      <c r="AF55" s="1015">
        <f t="shared" si="14"/>
        <v>757</v>
      </c>
    </row>
    <row r="56">
      <c r="A56" s="1048" t="s">
        <v>179</v>
      </c>
      <c r="B56" s="1062">
        <f t="shared" ref="B56:AE56" si="15">SUM(B54:B55)</f>
        <v>14</v>
      </c>
      <c r="C56" s="1062">
        <f t="shared" si="15"/>
        <v>8</v>
      </c>
      <c r="D56" s="1062">
        <f t="shared" si="15"/>
        <v>19</v>
      </c>
      <c r="E56" s="1062">
        <f t="shared" si="15"/>
        <v>23</v>
      </c>
      <c r="F56" s="1062">
        <f t="shared" si="15"/>
        <v>16</v>
      </c>
      <c r="G56" s="1062">
        <f t="shared" si="15"/>
        <v>20</v>
      </c>
      <c r="H56" s="1062">
        <f t="shared" si="15"/>
        <v>12</v>
      </c>
      <c r="I56" s="1062">
        <f t="shared" si="15"/>
        <v>12</v>
      </c>
      <c r="J56" s="1062">
        <f t="shared" si="15"/>
        <v>28</v>
      </c>
      <c r="K56" s="1062">
        <f t="shared" si="15"/>
        <v>18</v>
      </c>
      <c r="L56" s="1062">
        <f t="shared" si="15"/>
        <v>22</v>
      </c>
      <c r="M56" s="1062">
        <f t="shared" si="15"/>
        <v>25</v>
      </c>
      <c r="N56" s="1062">
        <f t="shared" si="15"/>
        <v>26</v>
      </c>
      <c r="O56" s="1062">
        <f t="shared" si="15"/>
        <v>27</v>
      </c>
      <c r="P56" s="1062">
        <f t="shared" si="15"/>
        <v>15</v>
      </c>
      <c r="Q56" s="1062">
        <f t="shared" si="15"/>
        <v>21</v>
      </c>
      <c r="R56" s="1062">
        <f t="shared" si="15"/>
        <v>25</v>
      </c>
      <c r="S56" s="1062">
        <f t="shared" si="15"/>
        <v>28</v>
      </c>
      <c r="T56" s="1062">
        <f t="shared" si="15"/>
        <v>38</v>
      </c>
      <c r="U56" s="1062">
        <f t="shared" si="15"/>
        <v>36</v>
      </c>
      <c r="V56" s="1062">
        <f t="shared" si="15"/>
        <v>36</v>
      </c>
      <c r="W56" s="1062">
        <f t="shared" si="15"/>
        <v>30</v>
      </c>
      <c r="X56" s="1062">
        <f t="shared" si="15"/>
        <v>25</v>
      </c>
      <c r="Y56" s="1062">
        <f t="shared" si="15"/>
        <v>33</v>
      </c>
      <c r="Z56" s="1062">
        <f t="shared" si="15"/>
        <v>32</v>
      </c>
      <c r="AA56" s="1062">
        <f t="shared" si="15"/>
        <v>39</v>
      </c>
      <c r="AB56" s="1062">
        <f t="shared" si="15"/>
        <v>28</v>
      </c>
      <c r="AC56" s="1062">
        <f t="shared" si="15"/>
        <v>40</v>
      </c>
      <c r="AD56" s="1062">
        <f t="shared" si="15"/>
        <v>31</v>
      </c>
      <c r="AE56" s="1062">
        <f t="shared" si="15"/>
        <v>30</v>
      </c>
      <c r="AF56" s="1015">
        <f t="shared" si="14"/>
        <v>757</v>
      </c>
    </row>
    <row r="57">
      <c r="A57" s="20"/>
      <c r="AF57" s="1015"/>
    </row>
    <row r="58">
      <c r="A58" s="938" t="s">
        <v>147</v>
      </c>
      <c r="B58" s="1064"/>
      <c r="C58" s="1064"/>
      <c r="D58" s="1064"/>
      <c r="E58" s="1064"/>
      <c r="F58" s="1064"/>
      <c r="G58" s="1064"/>
      <c r="H58" s="1064"/>
      <c r="I58" s="1064"/>
      <c r="J58" s="1064"/>
      <c r="K58" s="1064"/>
      <c r="L58" s="1064"/>
      <c r="M58" s="1064"/>
      <c r="N58" s="1064"/>
      <c r="O58" s="1064"/>
      <c r="P58" s="1064"/>
      <c r="Q58" s="1064"/>
      <c r="R58" s="1064"/>
      <c r="S58" s="1064"/>
      <c r="T58" s="1064"/>
      <c r="U58" s="1064"/>
      <c r="V58" s="1064"/>
      <c r="W58" s="1064"/>
      <c r="X58" s="1064"/>
      <c r="Y58" s="1064"/>
      <c r="Z58" s="1064"/>
      <c r="AA58" s="1064"/>
      <c r="AB58" s="1064"/>
      <c r="AC58" s="1064"/>
      <c r="AD58" s="1394"/>
      <c r="AE58" s="1064"/>
      <c r="AF58" s="1015">
        <f t="shared" ref="AF58:AF63" si="16">sum(B58:AE58)</f>
        <v>0</v>
      </c>
    </row>
    <row r="59">
      <c r="A59" s="938" t="s">
        <v>636</v>
      </c>
      <c r="B59" s="1064"/>
      <c r="C59" s="1064"/>
      <c r="D59" s="1064"/>
      <c r="E59" s="1064"/>
      <c r="F59" s="1064"/>
      <c r="G59" s="1064"/>
      <c r="H59" s="1064"/>
      <c r="I59" s="1064"/>
      <c r="J59" s="141"/>
      <c r="K59" s="1064"/>
      <c r="L59" s="1064"/>
      <c r="M59" s="1064"/>
      <c r="N59" s="1064"/>
      <c r="O59" s="1064"/>
      <c r="P59" s="1064"/>
      <c r="Q59" s="1064"/>
      <c r="R59" s="1064"/>
      <c r="S59" s="1064"/>
      <c r="T59" s="1064"/>
      <c r="U59" s="1064"/>
      <c r="V59" s="1064"/>
      <c r="W59" s="1064"/>
      <c r="X59" s="1064"/>
      <c r="Y59" s="1064"/>
      <c r="Z59" s="1064"/>
      <c r="AA59" s="1064"/>
      <c r="AB59" s="1064"/>
      <c r="AC59" s="1064"/>
      <c r="AD59" s="23"/>
      <c r="AE59" s="1064"/>
      <c r="AF59" s="1015">
        <f t="shared" si="16"/>
        <v>0</v>
      </c>
    </row>
    <row r="60">
      <c r="A60" s="938" t="s">
        <v>150</v>
      </c>
      <c r="B60" s="1064"/>
      <c r="C60" s="1064"/>
      <c r="D60" s="1064"/>
      <c r="E60" s="1064"/>
      <c r="F60" s="1064"/>
      <c r="G60" s="1064"/>
      <c r="H60" s="1064"/>
      <c r="I60" s="1064"/>
      <c r="J60" s="1064"/>
      <c r="K60" s="1064"/>
      <c r="L60" s="1064"/>
      <c r="M60" s="1064"/>
      <c r="N60" s="1064"/>
      <c r="O60" s="1064"/>
      <c r="P60" s="1064"/>
      <c r="Q60" s="1064"/>
      <c r="R60" s="1064"/>
      <c r="S60" s="1064"/>
      <c r="T60" s="1064"/>
      <c r="U60" s="1064"/>
      <c r="V60" s="1064"/>
      <c r="W60" s="1064"/>
      <c r="X60" s="1064"/>
      <c r="Y60" s="1064"/>
      <c r="Z60" s="1064"/>
      <c r="AA60" s="1064"/>
      <c r="AB60" s="1064"/>
      <c r="AC60" s="1395"/>
      <c r="AD60" s="1395"/>
      <c r="AE60" s="1064"/>
      <c r="AF60" s="1015">
        <f t="shared" si="16"/>
        <v>0</v>
      </c>
    </row>
    <row r="61">
      <c r="A61" s="938" t="s">
        <v>653</v>
      </c>
      <c r="B61" s="1064"/>
      <c r="C61" s="1064"/>
      <c r="D61" s="1064"/>
      <c r="E61" s="1064"/>
      <c r="F61" s="1064"/>
      <c r="G61" s="1064"/>
      <c r="H61" s="1064"/>
      <c r="I61" s="1064"/>
      <c r="J61" s="1064"/>
      <c r="K61" s="1064"/>
      <c r="L61" s="1064"/>
      <c r="M61" s="1064"/>
      <c r="N61" s="1064"/>
      <c r="O61" s="1064"/>
      <c r="P61" s="1064"/>
      <c r="Q61" s="1064"/>
      <c r="R61" s="1064"/>
      <c r="S61" s="1064"/>
      <c r="T61" s="1064"/>
      <c r="U61" s="1064"/>
      <c r="V61" s="1064"/>
      <c r="W61" s="1064"/>
      <c r="X61" s="1064"/>
      <c r="Y61" s="1064"/>
      <c r="Z61" s="1064"/>
      <c r="AA61" s="1064"/>
      <c r="AB61" s="1064"/>
      <c r="AC61" s="1398"/>
      <c r="AD61" s="1398"/>
      <c r="AE61" s="1064"/>
      <c r="AF61" s="1015">
        <f t="shared" si="16"/>
        <v>0</v>
      </c>
    </row>
    <row r="62">
      <c r="A62" s="938" t="s">
        <v>635</v>
      </c>
      <c r="B62" s="1064"/>
      <c r="C62" s="1064"/>
      <c r="D62" s="1064"/>
      <c r="E62" s="1064"/>
      <c r="F62" s="1064"/>
      <c r="G62" s="1064"/>
      <c r="H62" s="1064"/>
      <c r="I62" s="1064"/>
      <c r="J62" s="1064"/>
      <c r="K62" s="1064"/>
      <c r="L62" s="1064"/>
      <c r="M62" s="1064"/>
      <c r="N62" s="1064"/>
      <c r="O62" s="1064"/>
      <c r="P62" s="1064"/>
      <c r="Q62" s="1064"/>
      <c r="R62" s="1064"/>
      <c r="S62" s="1064"/>
      <c r="T62" s="1064"/>
      <c r="U62" s="1064"/>
      <c r="V62" s="1064"/>
      <c r="W62" s="1064"/>
      <c r="X62" s="1064"/>
      <c r="Y62" s="1064"/>
      <c r="Z62" s="1064"/>
      <c r="AA62" s="1064"/>
      <c r="AB62" s="1064"/>
      <c r="AC62" s="1398"/>
      <c r="AD62" s="1398"/>
      <c r="AE62" s="1064"/>
      <c r="AF62" s="1015">
        <f t="shared" si="16"/>
        <v>0</v>
      </c>
    </row>
    <row r="63">
      <c r="A63" s="1048" t="s">
        <v>95</v>
      </c>
      <c r="B63" s="1062">
        <f t="shared" ref="B63:AE63" si="17">SUM(B58:B62)</f>
        <v>0</v>
      </c>
      <c r="C63" s="1062">
        <f t="shared" si="17"/>
        <v>0</v>
      </c>
      <c r="D63" s="1062">
        <f t="shared" si="17"/>
        <v>0</v>
      </c>
      <c r="E63" s="1062">
        <f t="shared" si="17"/>
        <v>0</v>
      </c>
      <c r="F63" s="1062">
        <f t="shared" si="17"/>
        <v>0</v>
      </c>
      <c r="G63" s="1062">
        <f t="shared" si="17"/>
        <v>0</v>
      </c>
      <c r="H63" s="1062">
        <f t="shared" si="17"/>
        <v>0</v>
      </c>
      <c r="I63" s="1062">
        <f t="shared" si="17"/>
        <v>0</v>
      </c>
      <c r="J63" s="1062">
        <f t="shared" si="17"/>
        <v>0</v>
      </c>
      <c r="K63" s="1062">
        <f t="shared" si="17"/>
        <v>0</v>
      </c>
      <c r="L63" s="1062">
        <f t="shared" si="17"/>
        <v>0</v>
      </c>
      <c r="M63" s="1062">
        <f t="shared" si="17"/>
        <v>0</v>
      </c>
      <c r="N63" s="1062">
        <f t="shared" si="17"/>
        <v>0</v>
      </c>
      <c r="O63" s="1062">
        <f t="shared" si="17"/>
        <v>0</v>
      </c>
      <c r="P63" s="1062">
        <f t="shared" si="17"/>
        <v>0</v>
      </c>
      <c r="Q63" s="1062">
        <f t="shared" si="17"/>
        <v>0</v>
      </c>
      <c r="R63" s="1062">
        <f t="shared" si="17"/>
        <v>0</v>
      </c>
      <c r="S63" s="1062">
        <f t="shared" si="17"/>
        <v>0</v>
      </c>
      <c r="T63" s="1062">
        <f t="shared" si="17"/>
        <v>0</v>
      </c>
      <c r="U63" s="1062">
        <f t="shared" si="17"/>
        <v>0</v>
      </c>
      <c r="V63" s="1062">
        <f t="shared" si="17"/>
        <v>0</v>
      </c>
      <c r="W63" s="1062">
        <f t="shared" si="17"/>
        <v>0</v>
      </c>
      <c r="X63" s="1062">
        <f t="shared" si="17"/>
        <v>0</v>
      </c>
      <c r="Y63" s="1062">
        <f t="shared" si="17"/>
        <v>0</v>
      </c>
      <c r="Z63" s="1062">
        <f t="shared" si="17"/>
        <v>0</v>
      </c>
      <c r="AA63" s="1062">
        <f t="shared" si="17"/>
        <v>0</v>
      </c>
      <c r="AB63" s="1062">
        <f t="shared" si="17"/>
        <v>0</v>
      </c>
      <c r="AC63" s="1062">
        <f t="shared" si="17"/>
        <v>0</v>
      </c>
      <c r="AD63" s="1062">
        <f t="shared" si="17"/>
        <v>0</v>
      </c>
      <c r="AE63" s="1062">
        <f t="shared" si="17"/>
        <v>0</v>
      </c>
      <c r="AF63" s="1015">
        <f t="shared" si="16"/>
        <v>0</v>
      </c>
    </row>
    <row r="64">
      <c r="A64" s="854"/>
      <c r="AF64" s="1015"/>
    </row>
    <row r="65">
      <c r="A65" s="931" t="s">
        <v>293</v>
      </c>
      <c r="AF65" s="1015"/>
    </row>
    <row r="66">
      <c r="A66" s="938" t="s">
        <v>622</v>
      </c>
      <c r="B66" s="1064"/>
      <c r="C66" s="1064"/>
      <c r="D66" s="1064"/>
      <c r="E66" s="1064"/>
      <c r="F66" s="1064"/>
      <c r="G66" s="1064"/>
      <c r="H66" s="1064"/>
      <c r="I66" s="1064"/>
      <c r="J66" s="1064"/>
      <c r="K66" s="1064"/>
      <c r="L66" s="1064"/>
      <c r="M66" s="1064"/>
      <c r="N66" s="1064"/>
      <c r="O66" s="1064"/>
      <c r="P66" s="1064"/>
      <c r="Q66" s="1064"/>
      <c r="R66" s="1064"/>
      <c r="S66" s="1064"/>
      <c r="T66" s="1064"/>
      <c r="U66" s="1064"/>
      <c r="V66" s="1064"/>
      <c r="W66" s="1064"/>
      <c r="X66" s="1064"/>
      <c r="Y66" s="1064"/>
      <c r="Z66" s="1064"/>
      <c r="AA66" s="1402"/>
      <c r="AB66" s="1064"/>
      <c r="AC66" s="1064"/>
      <c r="AD66" s="1064"/>
      <c r="AE66" s="1064"/>
      <c r="AF66" s="1015">
        <f t="shared" ref="AF66:AF68" si="18">sum(B66:AE66)</f>
        <v>0</v>
      </c>
    </row>
    <row r="67">
      <c r="A67" s="938" t="s">
        <v>630</v>
      </c>
      <c r="B67" s="1061">
        <v>0.0</v>
      </c>
      <c r="C67" s="1061">
        <v>0.0</v>
      </c>
      <c r="D67" s="1061">
        <v>0.0</v>
      </c>
      <c r="E67" s="1061">
        <v>0.0</v>
      </c>
      <c r="F67" s="1061">
        <v>0.0</v>
      </c>
      <c r="G67" s="1061">
        <v>0.0</v>
      </c>
      <c r="H67" s="1061">
        <v>0.0</v>
      </c>
      <c r="I67" s="1061">
        <v>0.0</v>
      </c>
      <c r="J67" s="1061">
        <v>0.0</v>
      </c>
      <c r="K67" s="1061">
        <v>0.0</v>
      </c>
      <c r="L67" s="1061">
        <v>0.0</v>
      </c>
      <c r="M67" s="1061">
        <v>0.0</v>
      </c>
      <c r="N67" s="1061">
        <v>0.0</v>
      </c>
      <c r="O67" s="1061">
        <v>0.0</v>
      </c>
      <c r="P67" s="1061">
        <v>0.0</v>
      </c>
      <c r="Q67" s="1061">
        <v>0.0</v>
      </c>
      <c r="R67" s="1061">
        <v>0.0</v>
      </c>
      <c r="S67" s="1061">
        <v>0.0</v>
      </c>
      <c r="T67" s="1061">
        <v>0.0</v>
      </c>
      <c r="U67" s="1061">
        <v>0.0</v>
      </c>
      <c r="V67" s="1061">
        <v>0.0</v>
      </c>
      <c r="W67" s="1061">
        <v>0.0</v>
      </c>
      <c r="X67" s="1061">
        <v>0.0</v>
      </c>
      <c r="Y67" s="1061">
        <v>0.0</v>
      </c>
      <c r="Z67" s="1061">
        <v>0.0</v>
      </c>
      <c r="AA67" s="1065">
        <v>0.0</v>
      </c>
      <c r="AB67" s="1061">
        <v>0.0</v>
      </c>
      <c r="AC67" s="1061">
        <v>0.0</v>
      </c>
      <c r="AD67" s="1061">
        <v>0.0</v>
      </c>
      <c r="AE67" s="1061">
        <v>0.0</v>
      </c>
      <c r="AF67" s="1015">
        <f t="shared" si="18"/>
        <v>0</v>
      </c>
    </row>
    <row r="68">
      <c r="A68" s="1048" t="s">
        <v>179</v>
      </c>
      <c r="B68" s="1062">
        <f t="shared" ref="B68:AE68" si="19">SUM(B66:B67)</f>
        <v>0</v>
      </c>
      <c r="C68" s="1062">
        <f t="shared" si="19"/>
        <v>0</v>
      </c>
      <c r="D68" s="1062">
        <f t="shared" si="19"/>
        <v>0</v>
      </c>
      <c r="E68" s="1062">
        <f t="shared" si="19"/>
        <v>0</v>
      </c>
      <c r="F68" s="1062">
        <f t="shared" si="19"/>
        <v>0</v>
      </c>
      <c r="G68" s="1062">
        <f t="shared" si="19"/>
        <v>0</v>
      </c>
      <c r="H68" s="1062">
        <f t="shared" si="19"/>
        <v>0</v>
      </c>
      <c r="I68" s="1062">
        <f t="shared" si="19"/>
        <v>0</v>
      </c>
      <c r="J68" s="1062">
        <f t="shared" si="19"/>
        <v>0</v>
      </c>
      <c r="K68" s="1062">
        <f t="shared" si="19"/>
        <v>0</v>
      </c>
      <c r="L68" s="1062">
        <f t="shared" si="19"/>
        <v>0</v>
      </c>
      <c r="M68" s="1062">
        <f t="shared" si="19"/>
        <v>0</v>
      </c>
      <c r="N68" s="1062">
        <f t="shared" si="19"/>
        <v>0</v>
      </c>
      <c r="O68" s="1062">
        <f t="shared" si="19"/>
        <v>0</v>
      </c>
      <c r="P68" s="1062">
        <f t="shared" si="19"/>
        <v>0</v>
      </c>
      <c r="Q68" s="1062">
        <f t="shared" si="19"/>
        <v>0</v>
      </c>
      <c r="R68" s="1062">
        <f t="shared" si="19"/>
        <v>0</v>
      </c>
      <c r="S68" s="1062">
        <f t="shared" si="19"/>
        <v>0</v>
      </c>
      <c r="T68" s="1062">
        <f t="shared" si="19"/>
        <v>0</v>
      </c>
      <c r="U68" s="1062">
        <f t="shared" si="19"/>
        <v>0</v>
      </c>
      <c r="V68" s="1062">
        <f t="shared" si="19"/>
        <v>0</v>
      </c>
      <c r="W68" s="1062">
        <f t="shared" si="19"/>
        <v>0</v>
      </c>
      <c r="X68" s="1062">
        <f t="shared" si="19"/>
        <v>0</v>
      </c>
      <c r="Y68" s="1062">
        <f t="shared" si="19"/>
        <v>0</v>
      </c>
      <c r="Z68" s="1062">
        <f t="shared" si="19"/>
        <v>0</v>
      </c>
      <c r="AA68" s="1062">
        <f t="shared" si="19"/>
        <v>0</v>
      </c>
      <c r="AB68" s="1062">
        <f t="shared" si="19"/>
        <v>0</v>
      </c>
      <c r="AC68" s="1062">
        <f t="shared" si="19"/>
        <v>0</v>
      </c>
      <c r="AD68" s="1062">
        <f t="shared" si="19"/>
        <v>0</v>
      </c>
      <c r="AE68" s="1062">
        <f t="shared" si="19"/>
        <v>0</v>
      </c>
      <c r="AF68" s="1015">
        <f t="shared" si="18"/>
        <v>0</v>
      </c>
    </row>
    <row r="69">
      <c r="A69" s="20"/>
      <c r="AF69" s="1015"/>
    </row>
    <row r="70">
      <c r="A70" s="938" t="s">
        <v>147</v>
      </c>
      <c r="B70" s="1064"/>
      <c r="C70" s="1064"/>
      <c r="D70" s="1064"/>
      <c r="E70" s="1064"/>
      <c r="F70" s="1064"/>
      <c r="G70" s="1064"/>
      <c r="H70" s="1064"/>
      <c r="I70" s="1064"/>
      <c r="J70" s="1064"/>
      <c r="K70" s="1064"/>
      <c r="L70" s="1064"/>
      <c r="M70" s="1064"/>
      <c r="N70" s="1064"/>
      <c r="O70" s="1064"/>
      <c r="P70" s="1064"/>
      <c r="Q70" s="1064"/>
      <c r="R70" s="1064"/>
      <c r="S70" s="1064"/>
      <c r="T70" s="1064"/>
      <c r="U70" s="1064"/>
      <c r="V70" s="1064"/>
      <c r="W70" s="1064"/>
      <c r="X70" s="1064"/>
      <c r="Y70" s="1064"/>
      <c r="Z70" s="1064"/>
      <c r="AA70" s="1064"/>
      <c r="AB70" s="1064"/>
      <c r="AC70" s="1064"/>
      <c r="AD70" s="1064"/>
      <c r="AE70" s="1064"/>
      <c r="AF70" s="1015">
        <f t="shared" ref="AF70:AF75" si="20">sum(B70:AE70)</f>
        <v>0</v>
      </c>
    </row>
    <row r="71">
      <c r="A71" s="938" t="s">
        <v>636</v>
      </c>
      <c r="B71" s="1064"/>
      <c r="C71" s="1064"/>
      <c r="D71" s="1064"/>
      <c r="E71" s="1064"/>
      <c r="F71" s="1064"/>
      <c r="G71" s="1064"/>
      <c r="H71" s="1064"/>
      <c r="I71" s="1064"/>
      <c r="J71" s="1064"/>
      <c r="K71" s="1064"/>
      <c r="L71" s="1064"/>
      <c r="M71" s="1064"/>
      <c r="N71" s="1064"/>
      <c r="O71" s="1064"/>
      <c r="P71" s="1064"/>
      <c r="Q71" s="1064"/>
      <c r="R71" s="1064"/>
      <c r="S71" s="1064"/>
      <c r="T71" s="1064"/>
      <c r="U71" s="1064"/>
      <c r="V71" s="1064"/>
      <c r="W71" s="1064"/>
      <c r="X71" s="1064"/>
      <c r="Y71" s="1064"/>
      <c r="Z71" s="1064"/>
      <c r="AA71" s="1064"/>
      <c r="AB71" s="1064"/>
      <c r="AC71" s="1064"/>
      <c r="AD71" s="1064"/>
      <c r="AE71" s="1064"/>
      <c r="AF71" s="1015">
        <f t="shared" si="20"/>
        <v>0</v>
      </c>
    </row>
    <row r="72">
      <c r="A72" s="938" t="s">
        <v>150</v>
      </c>
      <c r="B72" s="1064"/>
      <c r="C72" s="1064"/>
      <c r="D72" s="1064"/>
      <c r="E72" s="1064"/>
      <c r="F72" s="1064"/>
      <c r="G72" s="1064"/>
      <c r="H72" s="1064"/>
      <c r="I72" s="1064"/>
      <c r="J72" s="1064"/>
      <c r="K72" s="1064"/>
      <c r="L72" s="1064"/>
      <c r="M72" s="1064"/>
      <c r="N72" s="1064"/>
      <c r="O72" s="1064"/>
      <c r="P72" s="1064"/>
      <c r="Q72" s="1064"/>
      <c r="R72" s="1064"/>
      <c r="S72" s="1064"/>
      <c r="T72" s="1064"/>
      <c r="U72" s="1064"/>
      <c r="V72" s="1064"/>
      <c r="W72" s="1064"/>
      <c r="X72" s="1064"/>
      <c r="Y72" s="1064"/>
      <c r="Z72" s="1064"/>
      <c r="AA72" s="1064"/>
      <c r="AB72" s="1064"/>
      <c r="AC72" s="1064"/>
      <c r="AD72" s="1064"/>
      <c r="AE72" s="1064"/>
      <c r="AF72" s="1015">
        <f t="shared" si="20"/>
        <v>0</v>
      </c>
    </row>
    <row r="73">
      <c r="A73" s="938" t="s">
        <v>653</v>
      </c>
      <c r="B73" s="1064"/>
      <c r="C73" s="1064"/>
      <c r="D73" s="1064"/>
      <c r="E73" s="1064"/>
      <c r="F73" s="1064"/>
      <c r="G73" s="1064"/>
      <c r="H73" s="1064"/>
      <c r="I73" s="1064"/>
      <c r="J73" s="1064"/>
      <c r="K73" s="1064"/>
      <c r="L73" s="1064"/>
      <c r="M73" s="1064"/>
      <c r="N73" s="1064"/>
      <c r="O73" s="1064"/>
      <c r="P73" s="1064"/>
      <c r="Q73" s="1064"/>
      <c r="R73" s="1064"/>
      <c r="S73" s="1064"/>
      <c r="T73" s="1064"/>
      <c r="U73" s="1064"/>
      <c r="V73" s="1064"/>
      <c r="W73" s="1064"/>
      <c r="X73" s="1064"/>
      <c r="Y73" s="1064"/>
      <c r="Z73" s="1064"/>
      <c r="AA73" s="1064"/>
      <c r="AB73" s="1064"/>
      <c r="AC73" s="1064"/>
      <c r="AD73" s="1064"/>
      <c r="AE73" s="1064"/>
      <c r="AF73" s="1015">
        <f t="shared" si="20"/>
        <v>0</v>
      </c>
    </row>
    <row r="74">
      <c r="A74" s="938" t="s">
        <v>635</v>
      </c>
      <c r="B74" s="1064"/>
      <c r="C74" s="1064"/>
      <c r="D74" s="1064"/>
      <c r="E74" s="1064"/>
      <c r="F74" s="1064"/>
      <c r="G74" s="1064"/>
      <c r="H74" s="1064"/>
      <c r="I74" s="1064"/>
      <c r="J74" s="1064"/>
      <c r="K74" s="1064"/>
      <c r="L74" s="1064"/>
      <c r="M74" s="1064"/>
      <c r="N74" s="1064"/>
      <c r="O74" s="1064"/>
      <c r="P74" s="1064"/>
      <c r="Q74" s="1064"/>
      <c r="R74" s="1064"/>
      <c r="S74" s="1064"/>
      <c r="T74" s="1064"/>
      <c r="U74" s="1064"/>
      <c r="V74" s="1064"/>
      <c r="W74" s="1064"/>
      <c r="X74" s="1064"/>
      <c r="Y74" s="1064"/>
      <c r="Z74" s="1064"/>
      <c r="AA74" s="1064"/>
      <c r="AB74" s="1064"/>
      <c r="AC74" s="1064"/>
      <c r="AD74" s="1064"/>
      <c r="AE74" s="1064"/>
      <c r="AF74" s="1015">
        <f t="shared" si="20"/>
        <v>0</v>
      </c>
    </row>
    <row r="75">
      <c r="A75" s="1048" t="s">
        <v>95</v>
      </c>
      <c r="B75" s="1062">
        <f t="shared" ref="B75:AE75" si="21">SUM(B70:B74)</f>
        <v>0</v>
      </c>
      <c r="C75" s="1062">
        <f t="shared" si="21"/>
        <v>0</v>
      </c>
      <c r="D75" s="1062">
        <f t="shared" si="21"/>
        <v>0</v>
      </c>
      <c r="E75" s="1062">
        <f t="shared" si="21"/>
        <v>0</v>
      </c>
      <c r="F75" s="1062">
        <f t="shared" si="21"/>
        <v>0</v>
      </c>
      <c r="G75" s="1062">
        <f t="shared" si="21"/>
        <v>0</v>
      </c>
      <c r="H75" s="1062">
        <f t="shared" si="21"/>
        <v>0</v>
      </c>
      <c r="I75" s="1062">
        <f t="shared" si="21"/>
        <v>0</v>
      </c>
      <c r="J75" s="1062">
        <f t="shared" si="21"/>
        <v>0</v>
      </c>
      <c r="K75" s="1062">
        <f t="shared" si="21"/>
        <v>0</v>
      </c>
      <c r="L75" s="1062">
        <f t="shared" si="21"/>
        <v>0</v>
      </c>
      <c r="M75" s="1062">
        <f t="shared" si="21"/>
        <v>0</v>
      </c>
      <c r="N75" s="1062">
        <f t="shared" si="21"/>
        <v>0</v>
      </c>
      <c r="O75" s="1062">
        <f t="shared" si="21"/>
        <v>0</v>
      </c>
      <c r="P75" s="1062">
        <f t="shared" si="21"/>
        <v>0</v>
      </c>
      <c r="Q75" s="1062">
        <f t="shared" si="21"/>
        <v>0</v>
      </c>
      <c r="R75" s="1062">
        <f t="shared" si="21"/>
        <v>0</v>
      </c>
      <c r="S75" s="1062">
        <f t="shared" si="21"/>
        <v>0</v>
      </c>
      <c r="T75" s="1062">
        <f t="shared" si="21"/>
        <v>0</v>
      </c>
      <c r="U75" s="1062">
        <f t="shared" si="21"/>
        <v>0</v>
      </c>
      <c r="V75" s="1062">
        <f t="shared" si="21"/>
        <v>0</v>
      </c>
      <c r="W75" s="1062">
        <f t="shared" si="21"/>
        <v>0</v>
      </c>
      <c r="X75" s="1062">
        <f t="shared" si="21"/>
        <v>0</v>
      </c>
      <c r="Y75" s="1062">
        <f t="shared" si="21"/>
        <v>0</v>
      </c>
      <c r="Z75" s="1062">
        <f t="shared" si="21"/>
        <v>0</v>
      </c>
      <c r="AA75" s="1062">
        <f t="shared" si="21"/>
        <v>0</v>
      </c>
      <c r="AB75" s="1062">
        <f t="shared" si="21"/>
        <v>0</v>
      </c>
      <c r="AC75" s="1062">
        <f t="shared" si="21"/>
        <v>0</v>
      </c>
      <c r="AD75" s="1062">
        <f t="shared" si="21"/>
        <v>0</v>
      </c>
      <c r="AE75" s="1062">
        <f t="shared" si="21"/>
        <v>0</v>
      </c>
      <c r="AF75" s="1015">
        <f t="shared" si="20"/>
        <v>0</v>
      </c>
    </row>
    <row r="76">
      <c r="A76" s="854"/>
      <c r="AF76" s="1015"/>
    </row>
    <row r="77">
      <c r="A77" s="931" t="s">
        <v>325</v>
      </c>
      <c r="B77" s="262"/>
      <c r="C77" s="582"/>
      <c r="D77" s="582"/>
      <c r="E77" s="582"/>
      <c r="F77" s="582"/>
      <c r="G77" s="582"/>
      <c r="H77" s="582"/>
      <c r="I77" s="582"/>
      <c r="J77" s="582"/>
      <c r="K77" s="582"/>
      <c r="L77" s="582"/>
      <c r="M77" s="582"/>
      <c r="N77" s="582"/>
      <c r="O77" s="582"/>
      <c r="P77" s="582"/>
      <c r="Q77" s="582"/>
      <c r="R77" s="582"/>
      <c r="S77" s="582"/>
      <c r="T77" s="582"/>
      <c r="U77" s="582"/>
      <c r="V77" s="582"/>
      <c r="W77" s="582"/>
      <c r="X77" s="582"/>
      <c r="Y77" s="582"/>
      <c r="Z77" s="582"/>
      <c r="AA77" s="582"/>
      <c r="AB77" s="582"/>
      <c r="AC77" s="582"/>
      <c r="AD77" s="582"/>
      <c r="AE77" s="582"/>
      <c r="AF77" s="1015"/>
    </row>
    <row r="78">
      <c r="A78" s="938" t="s">
        <v>622</v>
      </c>
      <c r="B78" s="1067">
        <f t="shared" ref="B78:AE78" si="22">B41-B160</f>
        <v>0</v>
      </c>
      <c r="C78" s="1067">
        <f t="shared" si="22"/>
        <v>0</v>
      </c>
      <c r="D78" s="1067">
        <f t="shared" si="22"/>
        <v>0</v>
      </c>
      <c r="E78" s="1067">
        <f t="shared" si="22"/>
        <v>0</v>
      </c>
      <c r="F78" s="1067">
        <f t="shared" si="22"/>
        <v>0</v>
      </c>
      <c r="G78" s="1067">
        <f t="shared" si="22"/>
        <v>0</v>
      </c>
      <c r="H78" s="1067">
        <f t="shared" si="22"/>
        <v>0</v>
      </c>
      <c r="I78" s="1067">
        <f t="shared" si="22"/>
        <v>0</v>
      </c>
      <c r="J78" s="1067">
        <f t="shared" si="22"/>
        <v>0</v>
      </c>
      <c r="K78" s="1067">
        <f t="shared" si="22"/>
        <v>0</v>
      </c>
      <c r="L78" s="1067">
        <f t="shared" si="22"/>
        <v>0</v>
      </c>
      <c r="M78" s="1067">
        <f t="shared" si="22"/>
        <v>0</v>
      </c>
      <c r="N78" s="1067">
        <f t="shared" si="22"/>
        <v>0</v>
      </c>
      <c r="O78" s="1068">
        <f t="shared" si="22"/>
        <v>0</v>
      </c>
      <c r="P78" s="1067">
        <f t="shared" si="22"/>
        <v>0</v>
      </c>
      <c r="Q78" s="1067">
        <f t="shared" si="22"/>
        <v>0</v>
      </c>
      <c r="R78" s="1067">
        <f t="shared" si="22"/>
        <v>0</v>
      </c>
      <c r="S78" s="1067">
        <f t="shared" si="22"/>
        <v>0</v>
      </c>
      <c r="T78" s="1067">
        <f t="shared" si="22"/>
        <v>0</v>
      </c>
      <c r="U78" s="1067">
        <f t="shared" si="22"/>
        <v>0</v>
      </c>
      <c r="V78" s="1067">
        <f t="shared" si="22"/>
        <v>0</v>
      </c>
      <c r="W78" s="1067">
        <f t="shared" si="22"/>
        <v>0</v>
      </c>
      <c r="X78" s="1067">
        <f t="shared" si="22"/>
        <v>0</v>
      </c>
      <c r="Y78" s="1067">
        <f t="shared" si="22"/>
        <v>0</v>
      </c>
      <c r="Z78" s="1068">
        <f t="shared" si="22"/>
        <v>0</v>
      </c>
      <c r="AA78" s="1067">
        <f t="shared" si="22"/>
        <v>0</v>
      </c>
      <c r="AB78" s="1067">
        <f t="shared" si="22"/>
        <v>0</v>
      </c>
      <c r="AC78" s="1068">
        <f t="shared" si="22"/>
        <v>0</v>
      </c>
      <c r="AD78" s="1068">
        <f t="shared" si="22"/>
        <v>0</v>
      </c>
      <c r="AE78" s="1068">
        <f t="shared" si="22"/>
        <v>0</v>
      </c>
      <c r="AF78" s="1015">
        <f t="shared" ref="AF78:AF80" si="24">sum(B78:AE78)</f>
        <v>0</v>
      </c>
    </row>
    <row r="79">
      <c r="A79" s="938" t="s">
        <v>630</v>
      </c>
      <c r="B79" s="1067">
        <f t="shared" ref="B79:AE79" si="23">B42-B161</f>
        <v>12</v>
      </c>
      <c r="C79" s="1067">
        <f t="shared" si="23"/>
        <v>5</v>
      </c>
      <c r="D79" s="1067">
        <f t="shared" si="23"/>
        <v>19</v>
      </c>
      <c r="E79" s="1067">
        <f t="shared" si="23"/>
        <v>23</v>
      </c>
      <c r="F79" s="1067">
        <f t="shared" si="23"/>
        <v>16</v>
      </c>
      <c r="G79" s="1067">
        <f t="shared" si="23"/>
        <v>17</v>
      </c>
      <c r="H79" s="1067">
        <f t="shared" si="23"/>
        <v>10</v>
      </c>
      <c r="I79" s="1067">
        <f t="shared" si="23"/>
        <v>10</v>
      </c>
      <c r="J79" s="1067">
        <f t="shared" si="23"/>
        <v>26</v>
      </c>
      <c r="K79" s="1067">
        <f t="shared" si="23"/>
        <v>18</v>
      </c>
      <c r="L79" s="1067">
        <f t="shared" si="23"/>
        <v>21</v>
      </c>
      <c r="M79" s="1067">
        <f t="shared" si="23"/>
        <v>25</v>
      </c>
      <c r="N79" s="1067">
        <f t="shared" si="23"/>
        <v>25</v>
      </c>
      <c r="O79" s="1068">
        <f t="shared" si="23"/>
        <v>26</v>
      </c>
      <c r="P79" s="1067">
        <f t="shared" si="23"/>
        <v>13</v>
      </c>
      <c r="Q79" s="1067">
        <f t="shared" si="23"/>
        <v>22</v>
      </c>
      <c r="R79" s="1067">
        <f t="shared" si="23"/>
        <v>24</v>
      </c>
      <c r="S79" s="1067">
        <f t="shared" si="23"/>
        <v>26</v>
      </c>
      <c r="T79" s="1067">
        <f t="shared" si="23"/>
        <v>37</v>
      </c>
      <c r="U79" s="1067">
        <f t="shared" si="23"/>
        <v>33</v>
      </c>
      <c r="V79" s="1067">
        <f t="shared" si="23"/>
        <v>34</v>
      </c>
      <c r="W79" s="1067">
        <f t="shared" si="23"/>
        <v>29</v>
      </c>
      <c r="X79" s="1067">
        <f t="shared" si="23"/>
        <v>26</v>
      </c>
      <c r="Y79" s="1067">
        <f t="shared" si="23"/>
        <v>32</v>
      </c>
      <c r="Z79" s="1067">
        <f t="shared" si="23"/>
        <v>30</v>
      </c>
      <c r="AA79" s="1067">
        <f t="shared" si="23"/>
        <v>37</v>
      </c>
      <c r="AB79" s="1067">
        <f t="shared" si="23"/>
        <v>28</v>
      </c>
      <c r="AC79" s="1067">
        <f t="shared" si="23"/>
        <v>40</v>
      </c>
      <c r="AD79" s="1067">
        <f t="shared" si="23"/>
        <v>31</v>
      </c>
      <c r="AE79" s="1067">
        <f t="shared" si="23"/>
        <v>30</v>
      </c>
      <c r="AF79" s="1015">
        <f t="shared" si="24"/>
        <v>725</v>
      </c>
    </row>
    <row r="80">
      <c r="A80" s="1048" t="s">
        <v>179</v>
      </c>
      <c r="B80" s="145">
        <f t="shared" ref="B80:AE80" si="25">SUM(B78:B79)</f>
        <v>12</v>
      </c>
      <c r="C80" s="145">
        <f t="shared" si="25"/>
        <v>5</v>
      </c>
      <c r="D80" s="145">
        <f t="shared" si="25"/>
        <v>19</v>
      </c>
      <c r="E80" s="145">
        <f t="shared" si="25"/>
        <v>23</v>
      </c>
      <c r="F80" s="145">
        <f t="shared" si="25"/>
        <v>16</v>
      </c>
      <c r="G80" s="145">
        <f t="shared" si="25"/>
        <v>17</v>
      </c>
      <c r="H80" s="145">
        <f t="shared" si="25"/>
        <v>10</v>
      </c>
      <c r="I80" s="145">
        <f t="shared" si="25"/>
        <v>10</v>
      </c>
      <c r="J80" s="145">
        <f t="shared" si="25"/>
        <v>26</v>
      </c>
      <c r="K80" s="145">
        <f t="shared" si="25"/>
        <v>18</v>
      </c>
      <c r="L80" s="145">
        <f t="shared" si="25"/>
        <v>21</v>
      </c>
      <c r="M80" s="145">
        <f t="shared" si="25"/>
        <v>25</v>
      </c>
      <c r="N80" s="145">
        <f t="shared" si="25"/>
        <v>25</v>
      </c>
      <c r="O80" s="145">
        <f t="shared" si="25"/>
        <v>26</v>
      </c>
      <c r="P80" s="145">
        <f t="shared" si="25"/>
        <v>13</v>
      </c>
      <c r="Q80" s="145">
        <f t="shared" si="25"/>
        <v>22</v>
      </c>
      <c r="R80" s="145">
        <f t="shared" si="25"/>
        <v>24</v>
      </c>
      <c r="S80" s="145">
        <f t="shared" si="25"/>
        <v>26</v>
      </c>
      <c r="T80" s="145">
        <f t="shared" si="25"/>
        <v>37</v>
      </c>
      <c r="U80" s="145">
        <f t="shared" si="25"/>
        <v>33</v>
      </c>
      <c r="V80" s="145">
        <f t="shared" si="25"/>
        <v>34</v>
      </c>
      <c r="W80" s="145">
        <f t="shared" si="25"/>
        <v>29</v>
      </c>
      <c r="X80" s="145">
        <f t="shared" si="25"/>
        <v>26</v>
      </c>
      <c r="Y80" s="145">
        <f t="shared" si="25"/>
        <v>32</v>
      </c>
      <c r="Z80" s="145">
        <f t="shared" si="25"/>
        <v>30</v>
      </c>
      <c r="AA80" s="145">
        <f t="shared" si="25"/>
        <v>37</v>
      </c>
      <c r="AB80" s="145">
        <f t="shared" si="25"/>
        <v>28</v>
      </c>
      <c r="AC80" s="145">
        <f t="shared" si="25"/>
        <v>40</v>
      </c>
      <c r="AD80" s="145">
        <f t="shared" si="25"/>
        <v>31</v>
      </c>
      <c r="AE80" s="145">
        <f t="shared" si="25"/>
        <v>30</v>
      </c>
      <c r="AF80" s="1015">
        <f t="shared" si="24"/>
        <v>725</v>
      </c>
    </row>
    <row r="81">
      <c r="A81" s="20"/>
      <c r="B81" s="609"/>
      <c r="C81" s="609"/>
      <c r="D81" s="609"/>
      <c r="E81" s="609"/>
      <c r="F81" s="609"/>
      <c r="G81" s="609"/>
      <c r="H81" s="609"/>
      <c r="I81" s="609"/>
      <c r="J81" s="582"/>
      <c r="K81" s="582"/>
      <c r="L81" s="582"/>
      <c r="M81" s="582"/>
      <c r="N81" s="582"/>
      <c r="O81" s="582"/>
      <c r="P81" s="582"/>
      <c r="Q81" s="582"/>
      <c r="R81" s="582"/>
      <c r="S81" s="582"/>
      <c r="T81" s="582"/>
      <c r="U81" s="582"/>
      <c r="V81" s="582"/>
      <c r="W81" s="582"/>
      <c r="X81" s="582"/>
      <c r="Y81" s="582"/>
      <c r="Z81" s="582"/>
      <c r="AA81" s="582"/>
      <c r="AB81" s="582"/>
      <c r="AC81" s="582"/>
      <c r="AD81" s="582"/>
      <c r="AE81" s="582"/>
      <c r="AF81" s="1015"/>
    </row>
    <row r="82">
      <c r="A82" s="938" t="s">
        <v>147</v>
      </c>
      <c r="B82" s="286">
        <f t="shared" ref="B82:AE82" si="26">B45-B163-B170-B177</f>
        <v>0</v>
      </c>
      <c r="C82" s="286">
        <f t="shared" si="26"/>
        <v>0</v>
      </c>
      <c r="D82" s="286">
        <f t="shared" si="26"/>
        <v>0</v>
      </c>
      <c r="E82" s="286">
        <f t="shared" si="26"/>
        <v>0</v>
      </c>
      <c r="F82" s="286">
        <f t="shared" si="26"/>
        <v>0</v>
      </c>
      <c r="G82" s="286">
        <f t="shared" si="26"/>
        <v>0</v>
      </c>
      <c r="H82" s="286">
        <f t="shared" si="26"/>
        <v>0</v>
      </c>
      <c r="I82" s="286">
        <f t="shared" si="26"/>
        <v>0</v>
      </c>
      <c r="J82" s="286">
        <f t="shared" si="26"/>
        <v>0</v>
      </c>
      <c r="K82" s="286">
        <f t="shared" si="26"/>
        <v>0</v>
      </c>
      <c r="L82" s="286">
        <f t="shared" si="26"/>
        <v>0</v>
      </c>
      <c r="M82" s="286">
        <f t="shared" si="26"/>
        <v>0</v>
      </c>
      <c r="N82" s="286">
        <f t="shared" si="26"/>
        <v>0</v>
      </c>
      <c r="O82" s="286">
        <f t="shared" si="26"/>
        <v>0</v>
      </c>
      <c r="P82" s="286">
        <f t="shared" si="26"/>
        <v>0</v>
      </c>
      <c r="Q82" s="286">
        <f t="shared" si="26"/>
        <v>0</v>
      </c>
      <c r="R82" s="286">
        <f t="shared" si="26"/>
        <v>0</v>
      </c>
      <c r="S82" s="286">
        <f t="shared" si="26"/>
        <v>0</v>
      </c>
      <c r="T82" s="286">
        <f t="shared" si="26"/>
        <v>0</v>
      </c>
      <c r="U82" s="286">
        <f t="shared" si="26"/>
        <v>0</v>
      </c>
      <c r="V82" s="286">
        <f t="shared" si="26"/>
        <v>0</v>
      </c>
      <c r="W82" s="286">
        <f t="shared" si="26"/>
        <v>0</v>
      </c>
      <c r="X82" s="286">
        <f t="shared" si="26"/>
        <v>0</v>
      </c>
      <c r="Y82" s="286">
        <f t="shared" si="26"/>
        <v>0</v>
      </c>
      <c r="Z82" s="286">
        <f t="shared" si="26"/>
        <v>0</v>
      </c>
      <c r="AA82" s="286">
        <f t="shared" si="26"/>
        <v>0</v>
      </c>
      <c r="AB82" s="286">
        <f t="shared" si="26"/>
        <v>0</v>
      </c>
      <c r="AC82" s="286">
        <f t="shared" si="26"/>
        <v>0</v>
      </c>
      <c r="AD82" s="286">
        <f t="shared" si="26"/>
        <v>0</v>
      </c>
      <c r="AE82" s="286">
        <f t="shared" si="26"/>
        <v>0</v>
      </c>
      <c r="AF82" s="1015">
        <f t="shared" ref="AF82:AF87" si="28">sum(B82:AE82)</f>
        <v>0</v>
      </c>
    </row>
    <row r="83">
      <c r="A83" s="938" t="s">
        <v>636</v>
      </c>
      <c r="B83" s="286">
        <f t="shared" ref="B83:AE83" si="27">B46-B164-B171-B178</f>
        <v>0</v>
      </c>
      <c r="C83" s="286">
        <f t="shared" si="27"/>
        <v>0</v>
      </c>
      <c r="D83" s="286">
        <f t="shared" si="27"/>
        <v>0</v>
      </c>
      <c r="E83" s="286">
        <f t="shared" si="27"/>
        <v>0</v>
      </c>
      <c r="F83" s="286">
        <f t="shared" si="27"/>
        <v>0</v>
      </c>
      <c r="G83" s="286">
        <f t="shared" si="27"/>
        <v>0</v>
      </c>
      <c r="H83" s="286">
        <f t="shared" si="27"/>
        <v>0</v>
      </c>
      <c r="I83" s="286">
        <f t="shared" si="27"/>
        <v>0</v>
      </c>
      <c r="J83" s="286">
        <f t="shared" si="27"/>
        <v>0</v>
      </c>
      <c r="K83" s="286">
        <f t="shared" si="27"/>
        <v>0</v>
      </c>
      <c r="L83" s="286">
        <f t="shared" si="27"/>
        <v>0</v>
      </c>
      <c r="M83" s="286">
        <f t="shared" si="27"/>
        <v>0</v>
      </c>
      <c r="N83" s="286">
        <f t="shared" si="27"/>
        <v>0</v>
      </c>
      <c r="O83" s="286">
        <f t="shared" si="27"/>
        <v>0</v>
      </c>
      <c r="P83" s="286">
        <f t="shared" si="27"/>
        <v>0</v>
      </c>
      <c r="Q83" s="286">
        <f t="shared" si="27"/>
        <v>0</v>
      </c>
      <c r="R83" s="286">
        <f t="shared" si="27"/>
        <v>0</v>
      </c>
      <c r="S83" s="286">
        <f t="shared" si="27"/>
        <v>0</v>
      </c>
      <c r="T83" s="286">
        <f t="shared" si="27"/>
        <v>0</v>
      </c>
      <c r="U83" s="286">
        <f t="shared" si="27"/>
        <v>0</v>
      </c>
      <c r="V83" s="286">
        <f t="shared" si="27"/>
        <v>0</v>
      </c>
      <c r="W83" s="286">
        <f t="shared" si="27"/>
        <v>0</v>
      </c>
      <c r="X83" s="286">
        <f t="shared" si="27"/>
        <v>0</v>
      </c>
      <c r="Y83" s="286">
        <f t="shared" si="27"/>
        <v>0</v>
      </c>
      <c r="Z83" s="286">
        <f t="shared" si="27"/>
        <v>0</v>
      </c>
      <c r="AA83" s="286">
        <f t="shared" si="27"/>
        <v>0</v>
      </c>
      <c r="AB83" s="286">
        <f t="shared" si="27"/>
        <v>0</v>
      </c>
      <c r="AC83" s="286">
        <f t="shared" si="27"/>
        <v>0</v>
      </c>
      <c r="AD83" s="286">
        <f t="shared" si="27"/>
        <v>0</v>
      </c>
      <c r="AE83" s="286">
        <f t="shared" si="27"/>
        <v>0</v>
      </c>
      <c r="AF83" s="1015">
        <f t="shared" si="28"/>
        <v>0</v>
      </c>
    </row>
    <row r="84">
      <c r="A84" s="938" t="s">
        <v>150</v>
      </c>
      <c r="B84" s="286">
        <f t="shared" ref="B84:AE84" si="29">B47-B165-B172-B179</f>
        <v>0</v>
      </c>
      <c r="C84" s="286">
        <f t="shared" si="29"/>
        <v>0</v>
      </c>
      <c r="D84" s="286">
        <f t="shared" si="29"/>
        <v>0</v>
      </c>
      <c r="E84" s="286">
        <f t="shared" si="29"/>
        <v>0</v>
      </c>
      <c r="F84" s="286">
        <f t="shared" si="29"/>
        <v>0</v>
      </c>
      <c r="G84" s="286">
        <f t="shared" si="29"/>
        <v>0</v>
      </c>
      <c r="H84" s="286">
        <f t="shared" si="29"/>
        <v>0</v>
      </c>
      <c r="I84" s="286">
        <f t="shared" si="29"/>
        <v>0</v>
      </c>
      <c r="J84" s="286">
        <f t="shared" si="29"/>
        <v>0</v>
      </c>
      <c r="K84" s="286">
        <f t="shared" si="29"/>
        <v>0</v>
      </c>
      <c r="L84" s="286">
        <f t="shared" si="29"/>
        <v>0</v>
      </c>
      <c r="M84" s="286">
        <f t="shared" si="29"/>
        <v>0</v>
      </c>
      <c r="N84" s="286">
        <f t="shared" si="29"/>
        <v>0</v>
      </c>
      <c r="O84" s="286">
        <f t="shared" si="29"/>
        <v>0</v>
      </c>
      <c r="P84" s="286">
        <f t="shared" si="29"/>
        <v>0</v>
      </c>
      <c r="Q84" s="286">
        <f t="shared" si="29"/>
        <v>0</v>
      </c>
      <c r="R84" s="286">
        <f t="shared" si="29"/>
        <v>0</v>
      </c>
      <c r="S84" s="286">
        <f t="shared" si="29"/>
        <v>0</v>
      </c>
      <c r="T84" s="286">
        <f t="shared" si="29"/>
        <v>0</v>
      </c>
      <c r="U84" s="286">
        <f t="shared" si="29"/>
        <v>0</v>
      </c>
      <c r="V84" s="286">
        <f t="shared" si="29"/>
        <v>0</v>
      </c>
      <c r="W84" s="286">
        <f t="shared" si="29"/>
        <v>0</v>
      </c>
      <c r="X84" s="286">
        <f t="shared" si="29"/>
        <v>0</v>
      </c>
      <c r="Y84" s="286">
        <f t="shared" si="29"/>
        <v>0</v>
      </c>
      <c r="Z84" s="286">
        <f t="shared" si="29"/>
        <v>0</v>
      </c>
      <c r="AA84" s="286">
        <f t="shared" si="29"/>
        <v>0</v>
      </c>
      <c r="AB84" s="286">
        <f t="shared" si="29"/>
        <v>0</v>
      </c>
      <c r="AC84" s="286">
        <f t="shared" si="29"/>
        <v>0</v>
      </c>
      <c r="AD84" s="286">
        <f t="shared" si="29"/>
        <v>0</v>
      </c>
      <c r="AE84" s="286">
        <f t="shared" si="29"/>
        <v>0</v>
      </c>
      <c r="AF84" s="1015">
        <f t="shared" si="28"/>
        <v>0</v>
      </c>
    </row>
    <row r="85">
      <c r="A85" s="938" t="s">
        <v>653</v>
      </c>
      <c r="B85" s="286">
        <f t="shared" ref="B85:AE85" si="30">B48-B166-B173-B180</f>
        <v>0</v>
      </c>
      <c r="C85" s="286">
        <f t="shared" si="30"/>
        <v>0</v>
      </c>
      <c r="D85" s="286">
        <f t="shared" si="30"/>
        <v>0</v>
      </c>
      <c r="E85" s="286">
        <f t="shared" si="30"/>
        <v>0</v>
      </c>
      <c r="F85" s="286">
        <f t="shared" si="30"/>
        <v>0</v>
      </c>
      <c r="G85" s="286">
        <f t="shared" si="30"/>
        <v>0</v>
      </c>
      <c r="H85" s="286">
        <f t="shared" si="30"/>
        <v>0</v>
      </c>
      <c r="I85" s="286">
        <f t="shared" si="30"/>
        <v>0</v>
      </c>
      <c r="J85" s="286">
        <f t="shared" si="30"/>
        <v>0</v>
      </c>
      <c r="K85" s="286">
        <f t="shared" si="30"/>
        <v>0</v>
      </c>
      <c r="L85" s="286">
        <f t="shared" si="30"/>
        <v>0</v>
      </c>
      <c r="M85" s="286">
        <f t="shared" si="30"/>
        <v>0</v>
      </c>
      <c r="N85" s="286">
        <f t="shared" si="30"/>
        <v>0</v>
      </c>
      <c r="O85" s="286">
        <f t="shared" si="30"/>
        <v>0</v>
      </c>
      <c r="P85" s="286">
        <f t="shared" si="30"/>
        <v>0</v>
      </c>
      <c r="Q85" s="286">
        <f t="shared" si="30"/>
        <v>0</v>
      </c>
      <c r="R85" s="286">
        <f t="shared" si="30"/>
        <v>0</v>
      </c>
      <c r="S85" s="286">
        <f t="shared" si="30"/>
        <v>0</v>
      </c>
      <c r="T85" s="286">
        <f t="shared" si="30"/>
        <v>0</v>
      </c>
      <c r="U85" s="286">
        <f t="shared" si="30"/>
        <v>0</v>
      </c>
      <c r="V85" s="286">
        <f t="shared" si="30"/>
        <v>0</v>
      </c>
      <c r="W85" s="286">
        <f t="shared" si="30"/>
        <v>0</v>
      </c>
      <c r="X85" s="286">
        <f t="shared" si="30"/>
        <v>0</v>
      </c>
      <c r="Y85" s="286">
        <f t="shared" si="30"/>
        <v>0</v>
      </c>
      <c r="Z85" s="286">
        <f t="shared" si="30"/>
        <v>0</v>
      </c>
      <c r="AA85" s="286">
        <f t="shared" si="30"/>
        <v>0</v>
      </c>
      <c r="AB85" s="286">
        <f t="shared" si="30"/>
        <v>0</v>
      </c>
      <c r="AC85" s="286">
        <f t="shared" si="30"/>
        <v>0</v>
      </c>
      <c r="AD85" s="286">
        <f t="shared" si="30"/>
        <v>0</v>
      </c>
      <c r="AE85" s="286">
        <f t="shared" si="30"/>
        <v>0</v>
      </c>
      <c r="AF85" s="1015">
        <f t="shared" si="28"/>
        <v>0</v>
      </c>
    </row>
    <row r="86">
      <c r="A86" s="938" t="s">
        <v>635</v>
      </c>
      <c r="B86" s="286">
        <f t="shared" ref="B86:AE86" si="31">B49-B167-B174-B181</f>
        <v>0</v>
      </c>
      <c r="C86" s="286">
        <f t="shared" si="31"/>
        <v>0</v>
      </c>
      <c r="D86" s="286">
        <f t="shared" si="31"/>
        <v>0</v>
      </c>
      <c r="E86" s="286">
        <f t="shared" si="31"/>
        <v>0</v>
      </c>
      <c r="F86" s="286">
        <f t="shared" si="31"/>
        <v>0</v>
      </c>
      <c r="G86" s="286">
        <f t="shared" si="31"/>
        <v>0</v>
      </c>
      <c r="H86" s="286">
        <f t="shared" si="31"/>
        <v>0</v>
      </c>
      <c r="I86" s="286">
        <f t="shared" si="31"/>
        <v>0</v>
      </c>
      <c r="J86" s="286">
        <f t="shared" si="31"/>
        <v>0</v>
      </c>
      <c r="K86" s="286">
        <f t="shared" si="31"/>
        <v>0</v>
      </c>
      <c r="L86" s="286">
        <f t="shared" si="31"/>
        <v>0</v>
      </c>
      <c r="M86" s="286">
        <f t="shared" si="31"/>
        <v>0</v>
      </c>
      <c r="N86" s="286">
        <f t="shared" si="31"/>
        <v>0</v>
      </c>
      <c r="O86" s="286">
        <f t="shared" si="31"/>
        <v>0</v>
      </c>
      <c r="P86" s="286">
        <f t="shared" si="31"/>
        <v>0</v>
      </c>
      <c r="Q86" s="286">
        <f t="shared" si="31"/>
        <v>0</v>
      </c>
      <c r="R86" s="286">
        <f t="shared" si="31"/>
        <v>0</v>
      </c>
      <c r="S86" s="286">
        <f t="shared" si="31"/>
        <v>0</v>
      </c>
      <c r="T86" s="286">
        <f t="shared" si="31"/>
        <v>0</v>
      </c>
      <c r="U86" s="286">
        <f t="shared" si="31"/>
        <v>0</v>
      </c>
      <c r="V86" s="286">
        <f t="shared" si="31"/>
        <v>0</v>
      </c>
      <c r="W86" s="286">
        <f t="shared" si="31"/>
        <v>0</v>
      </c>
      <c r="X86" s="286">
        <f t="shared" si="31"/>
        <v>0</v>
      </c>
      <c r="Y86" s="286">
        <f t="shared" si="31"/>
        <v>0</v>
      </c>
      <c r="Z86" s="286">
        <f t="shared" si="31"/>
        <v>0</v>
      </c>
      <c r="AA86" s="286">
        <f t="shared" si="31"/>
        <v>0</v>
      </c>
      <c r="AB86" s="286">
        <f t="shared" si="31"/>
        <v>0</v>
      </c>
      <c r="AC86" s="286">
        <f t="shared" si="31"/>
        <v>0</v>
      </c>
      <c r="AD86" s="286">
        <f t="shared" si="31"/>
        <v>0</v>
      </c>
      <c r="AE86" s="286">
        <f t="shared" si="31"/>
        <v>0</v>
      </c>
      <c r="AF86" s="1015">
        <f t="shared" si="28"/>
        <v>0</v>
      </c>
    </row>
    <row r="87">
      <c r="A87" s="1048" t="s">
        <v>95</v>
      </c>
      <c r="B87" s="145">
        <f t="shared" ref="B87:AE87" si="32">SUM(B82:B86)</f>
        <v>0</v>
      </c>
      <c r="C87" s="145">
        <f t="shared" si="32"/>
        <v>0</v>
      </c>
      <c r="D87" s="145">
        <f t="shared" si="32"/>
        <v>0</v>
      </c>
      <c r="E87" s="145">
        <f t="shared" si="32"/>
        <v>0</v>
      </c>
      <c r="F87" s="145">
        <f t="shared" si="32"/>
        <v>0</v>
      </c>
      <c r="G87" s="145">
        <f t="shared" si="32"/>
        <v>0</v>
      </c>
      <c r="H87" s="145">
        <f t="shared" si="32"/>
        <v>0</v>
      </c>
      <c r="I87" s="145">
        <f t="shared" si="32"/>
        <v>0</v>
      </c>
      <c r="J87" s="145">
        <f t="shared" si="32"/>
        <v>0</v>
      </c>
      <c r="K87" s="145">
        <f t="shared" si="32"/>
        <v>0</v>
      </c>
      <c r="L87" s="145">
        <f t="shared" si="32"/>
        <v>0</v>
      </c>
      <c r="M87" s="145">
        <f t="shared" si="32"/>
        <v>0</v>
      </c>
      <c r="N87" s="145">
        <f t="shared" si="32"/>
        <v>0</v>
      </c>
      <c r="O87" s="145">
        <f t="shared" si="32"/>
        <v>0</v>
      </c>
      <c r="P87" s="145">
        <f t="shared" si="32"/>
        <v>0</v>
      </c>
      <c r="Q87" s="145">
        <f t="shared" si="32"/>
        <v>0</v>
      </c>
      <c r="R87" s="145">
        <f t="shared" si="32"/>
        <v>0</v>
      </c>
      <c r="S87" s="145">
        <f t="shared" si="32"/>
        <v>0</v>
      </c>
      <c r="T87" s="145">
        <f t="shared" si="32"/>
        <v>0</v>
      </c>
      <c r="U87" s="145">
        <f t="shared" si="32"/>
        <v>0</v>
      </c>
      <c r="V87" s="145">
        <f t="shared" si="32"/>
        <v>0</v>
      </c>
      <c r="W87" s="145">
        <f t="shared" si="32"/>
        <v>0</v>
      </c>
      <c r="X87" s="145">
        <f t="shared" si="32"/>
        <v>0</v>
      </c>
      <c r="Y87" s="145">
        <f t="shared" si="32"/>
        <v>0</v>
      </c>
      <c r="Z87" s="145">
        <f t="shared" si="32"/>
        <v>0</v>
      </c>
      <c r="AA87" s="145">
        <f t="shared" si="32"/>
        <v>0</v>
      </c>
      <c r="AB87" s="145">
        <f t="shared" si="32"/>
        <v>0</v>
      </c>
      <c r="AC87" s="145">
        <f t="shared" si="32"/>
        <v>0</v>
      </c>
      <c r="AD87" s="145">
        <f t="shared" si="32"/>
        <v>0</v>
      </c>
      <c r="AE87" s="145">
        <f t="shared" si="32"/>
        <v>0</v>
      </c>
      <c r="AF87" s="1015">
        <f t="shared" si="28"/>
        <v>0</v>
      </c>
    </row>
    <row r="88">
      <c r="A88" s="854"/>
      <c r="AF88" s="1015"/>
    </row>
    <row r="89">
      <c r="A89" s="854"/>
      <c r="AF89" s="700"/>
    </row>
    <row r="90">
      <c r="A90" s="1070" t="s">
        <v>941</v>
      </c>
      <c r="B90" s="651"/>
      <c r="C90" s="651"/>
      <c r="D90" s="651"/>
      <c r="E90" s="651"/>
      <c r="F90" s="651"/>
      <c r="G90" s="651"/>
      <c r="H90" s="651"/>
      <c r="I90" s="582"/>
      <c r="J90" s="582"/>
      <c r="K90" s="582"/>
      <c r="L90" s="582"/>
      <c r="M90" s="582"/>
      <c r="N90" s="582"/>
      <c r="O90" s="582"/>
      <c r="P90" s="582"/>
      <c r="Q90" s="582"/>
      <c r="R90" s="582"/>
      <c r="S90" s="582"/>
      <c r="T90" s="582"/>
      <c r="U90" s="582"/>
      <c r="V90" s="582"/>
      <c r="W90" s="582"/>
      <c r="X90" s="582"/>
      <c r="Y90" s="582"/>
      <c r="Z90" s="582"/>
      <c r="AA90" s="582"/>
      <c r="AB90" s="582"/>
      <c r="AC90" s="582"/>
      <c r="AD90" s="582"/>
      <c r="AE90" s="582"/>
      <c r="AF90" s="1015"/>
    </row>
    <row r="91">
      <c r="A91" s="1414" t="s">
        <v>1215</v>
      </c>
      <c r="B91" s="1078"/>
      <c r="C91" s="1078"/>
      <c r="D91" s="1078"/>
      <c r="E91" s="1078"/>
      <c r="F91" s="1078"/>
      <c r="G91" s="1078"/>
      <c r="H91" s="1077"/>
      <c r="I91" s="1077"/>
      <c r="J91" s="1077"/>
      <c r="K91" s="1077"/>
      <c r="L91" s="1077"/>
      <c r="M91" s="1078"/>
      <c r="N91" s="1077"/>
      <c r="O91" s="1077"/>
      <c r="P91" s="1077"/>
      <c r="Q91" s="1077"/>
      <c r="R91" s="1078"/>
      <c r="S91" s="1078"/>
      <c r="T91" s="1077"/>
      <c r="U91" s="1077"/>
      <c r="V91" s="1077"/>
      <c r="W91" s="1077"/>
      <c r="X91" s="1077"/>
      <c r="Y91" s="1077"/>
      <c r="Z91" s="1077"/>
      <c r="AA91" s="1077"/>
      <c r="AB91" s="1077"/>
      <c r="AC91" s="1077"/>
      <c r="AD91" s="1077"/>
      <c r="AE91" s="1077"/>
      <c r="AF91" s="1015">
        <f t="shared" ref="AF91:AF98" si="34">sum(B91:AE91)</f>
        <v>0</v>
      </c>
    </row>
    <row r="92">
      <c r="A92" s="1071" t="s">
        <v>212</v>
      </c>
      <c r="B92" s="1074">
        <f t="shared" ref="B92:AE92" si="33">B42</f>
        <v>14</v>
      </c>
      <c r="C92" s="1074">
        <f t="shared" si="33"/>
        <v>7</v>
      </c>
      <c r="D92" s="1074">
        <f t="shared" si="33"/>
        <v>19</v>
      </c>
      <c r="E92" s="1074">
        <f t="shared" si="33"/>
        <v>23</v>
      </c>
      <c r="F92" s="1074">
        <f t="shared" si="33"/>
        <v>16</v>
      </c>
      <c r="G92" s="1074">
        <f t="shared" si="33"/>
        <v>19</v>
      </c>
      <c r="H92" s="1074">
        <f t="shared" si="33"/>
        <v>12</v>
      </c>
      <c r="I92" s="331">
        <f t="shared" si="33"/>
        <v>11</v>
      </c>
      <c r="J92" s="331">
        <f t="shared" si="33"/>
        <v>28</v>
      </c>
      <c r="K92" s="331">
        <f t="shared" si="33"/>
        <v>19</v>
      </c>
      <c r="L92" s="331">
        <f t="shared" si="33"/>
        <v>22</v>
      </c>
      <c r="M92" s="331">
        <f t="shared" si="33"/>
        <v>25</v>
      </c>
      <c r="N92" s="331">
        <f t="shared" si="33"/>
        <v>26</v>
      </c>
      <c r="O92" s="1074">
        <f t="shared" si="33"/>
        <v>27</v>
      </c>
      <c r="P92" s="1074">
        <f t="shared" si="33"/>
        <v>15</v>
      </c>
      <c r="Q92" s="1074">
        <f t="shared" si="33"/>
        <v>23</v>
      </c>
      <c r="R92" s="1074">
        <f t="shared" si="33"/>
        <v>26</v>
      </c>
      <c r="S92" s="1074">
        <f t="shared" si="33"/>
        <v>27</v>
      </c>
      <c r="T92" s="1074">
        <f t="shared" si="33"/>
        <v>38</v>
      </c>
      <c r="U92" s="1074">
        <f t="shared" si="33"/>
        <v>36</v>
      </c>
      <c r="V92" s="1074">
        <f t="shared" si="33"/>
        <v>36</v>
      </c>
      <c r="W92" s="1074">
        <f t="shared" si="33"/>
        <v>32</v>
      </c>
      <c r="X92" s="1074">
        <f t="shared" si="33"/>
        <v>26</v>
      </c>
      <c r="Y92" s="1074">
        <f t="shared" si="33"/>
        <v>33</v>
      </c>
      <c r="Z92" s="1074">
        <f t="shared" si="33"/>
        <v>32</v>
      </c>
      <c r="AA92" s="1074">
        <f t="shared" si="33"/>
        <v>38</v>
      </c>
      <c r="AB92" s="1074">
        <f t="shared" si="33"/>
        <v>28</v>
      </c>
      <c r="AC92" s="1074">
        <f t="shared" si="33"/>
        <v>40</v>
      </c>
      <c r="AD92" s="1074">
        <f t="shared" si="33"/>
        <v>31</v>
      </c>
      <c r="AE92" s="1074">
        <f t="shared" si="33"/>
        <v>30</v>
      </c>
      <c r="AF92" s="1015">
        <f t="shared" si="34"/>
        <v>759</v>
      </c>
    </row>
    <row r="93">
      <c r="A93" s="1071" t="s">
        <v>172</v>
      </c>
      <c r="B93" s="1078"/>
      <c r="C93" s="1078"/>
      <c r="D93" s="1078"/>
      <c r="E93" s="1078"/>
      <c r="F93" s="1078"/>
      <c r="G93" s="1078"/>
      <c r="H93" s="1077"/>
      <c r="I93" s="1077"/>
      <c r="J93" s="1077"/>
      <c r="K93" s="1077"/>
      <c r="L93" s="1077"/>
      <c r="M93" s="1078"/>
      <c r="N93" s="1077"/>
      <c r="O93" s="1077"/>
      <c r="P93" s="1077"/>
      <c r="Q93" s="1077"/>
      <c r="R93" s="1078"/>
      <c r="S93" s="1078"/>
      <c r="T93" s="1077"/>
      <c r="U93" s="1077"/>
      <c r="V93" s="1077"/>
      <c r="W93" s="1077"/>
      <c r="X93" s="1077"/>
      <c r="Y93" s="1077"/>
      <c r="Z93" s="1077"/>
      <c r="AA93" s="1077"/>
      <c r="AB93" s="1077"/>
      <c r="AC93" s="1077"/>
      <c r="AD93" s="1077"/>
      <c r="AE93" s="1077"/>
      <c r="AF93" s="1015">
        <f t="shared" si="34"/>
        <v>0</v>
      </c>
    </row>
    <row r="94">
      <c r="A94" s="1071" t="s">
        <v>174</v>
      </c>
      <c r="B94" s="1078"/>
      <c r="C94" s="1078"/>
      <c r="D94" s="1078"/>
      <c r="E94" s="1078"/>
      <c r="F94" s="1078"/>
      <c r="G94" s="1078"/>
      <c r="H94" s="1077"/>
      <c r="I94" s="1077"/>
      <c r="J94" s="1077"/>
      <c r="K94" s="1077"/>
      <c r="L94" s="1077"/>
      <c r="M94" s="1078"/>
      <c r="N94" s="1077"/>
      <c r="O94" s="1077"/>
      <c r="P94" s="1077"/>
      <c r="Q94" s="1077"/>
      <c r="R94" s="1078"/>
      <c r="S94" s="1078"/>
      <c r="T94" s="1077"/>
      <c r="U94" s="1077"/>
      <c r="V94" s="1077"/>
      <c r="W94" s="1077"/>
      <c r="X94" s="1077"/>
      <c r="Y94" s="1077"/>
      <c r="Z94" s="1077"/>
      <c r="AA94" s="1077"/>
      <c r="AB94" s="1077"/>
      <c r="AC94" s="1077"/>
      <c r="AD94" s="1077"/>
      <c r="AE94" s="1077"/>
      <c r="AF94" s="1015">
        <f t="shared" si="34"/>
        <v>0</v>
      </c>
    </row>
    <row r="95">
      <c r="A95" s="1071" t="s">
        <v>175</v>
      </c>
      <c r="B95" s="1058"/>
      <c r="C95" s="1058"/>
      <c r="D95" s="1075"/>
      <c r="E95" s="1415"/>
      <c r="F95" s="1075"/>
      <c r="G95" s="1075"/>
      <c r="H95" s="1075"/>
      <c r="I95" s="1075"/>
      <c r="J95" s="1075"/>
      <c r="K95" s="1075"/>
      <c r="L95" s="1075"/>
      <c r="M95" s="1075"/>
      <c r="N95" s="1075"/>
      <c r="O95" s="1075"/>
      <c r="P95" s="1075"/>
      <c r="Q95" s="1075"/>
      <c r="R95" s="1075"/>
      <c r="S95" s="1075"/>
      <c r="T95" s="1075"/>
      <c r="U95" s="1075"/>
      <c r="V95" s="1075"/>
      <c r="W95" s="1075"/>
      <c r="X95" s="1075"/>
      <c r="Y95" s="1075"/>
      <c r="Z95" s="1075"/>
      <c r="AA95" s="1075"/>
      <c r="AB95" s="1075"/>
      <c r="AC95" s="1075"/>
      <c r="AD95" s="1075"/>
      <c r="AE95" s="1075"/>
      <c r="AF95" s="1015">
        <f t="shared" si="34"/>
        <v>0</v>
      </c>
    </row>
    <row r="96">
      <c r="A96" s="1071" t="s">
        <v>178</v>
      </c>
      <c r="B96" s="626"/>
      <c r="C96" s="1075"/>
      <c r="D96" s="1058"/>
      <c r="E96" s="1415"/>
      <c r="F96" s="1075"/>
      <c r="G96" s="1075"/>
      <c r="H96" s="1075"/>
      <c r="I96" s="1075"/>
      <c r="J96" s="1075"/>
      <c r="K96" s="1075"/>
      <c r="L96" s="1075"/>
      <c r="M96" s="1075"/>
      <c r="N96" s="1075"/>
      <c r="O96" s="1075"/>
      <c r="P96" s="1075"/>
      <c r="Q96" s="1075"/>
      <c r="R96" s="1075"/>
      <c r="S96" s="1075"/>
      <c r="T96" s="1075"/>
      <c r="U96" s="1075"/>
      <c r="V96" s="1075"/>
      <c r="W96" s="1075"/>
      <c r="X96" s="1075"/>
      <c r="Y96" s="1075"/>
      <c r="Z96" s="1075"/>
      <c r="AA96" s="1075"/>
      <c r="AB96" s="1075"/>
      <c r="AC96" s="1075"/>
      <c r="AD96" s="1075"/>
      <c r="AE96" s="1075"/>
      <c r="AF96" s="1015">
        <f t="shared" si="34"/>
        <v>0</v>
      </c>
    </row>
    <row r="97">
      <c r="A97" s="1076" t="s">
        <v>179</v>
      </c>
      <c r="B97" s="179">
        <f t="shared" ref="B97:B98" si="36">B91+B93+B95</f>
        <v>0</v>
      </c>
      <c r="C97" s="179">
        <f t="shared" ref="C97:AE97" si="35">SUM(C91:C96)</f>
        <v>7</v>
      </c>
      <c r="D97" s="179">
        <f t="shared" si="35"/>
        <v>19</v>
      </c>
      <c r="E97" s="179">
        <f t="shared" si="35"/>
        <v>23</v>
      </c>
      <c r="F97" s="179">
        <f t="shared" si="35"/>
        <v>16</v>
      </c>
      <c r="G97" s="179">
        <f t="shared" si="35"/>
        <v>19</v>
      </c>
      <c r="H97" s="179">
        <f t="shared" si="35"/>
        <v>12</v>
      </c>
      <c r="I97" s="179">
        <f t="shared" si="35"/>
        <v>11</v>
      </c>
      <c r="J97" s="179">
        <f t="shared" si="35"/>
        <v>28</v>
      </c>
      <c r="K97" s="179">
        <f t="shared" si="35"/>
        <v>19</v>
      </c>
      <c r="L97" s="179">
        <f t="shared" si="35"/>
        <v>22</v>
      </c>
      <c r="M97" s="179">
        <f t="shared" si="35"/>
        <v>25</v>
      </c>
      <c r="N97" s="179">
        <f t="shared" si="35"/>
        <v>26</v>
      </c>
      <c r="O97" s="179">
        <f t="shared" si="35"/>
        <v>27</v>
      </c>
      <c r="P97" s="179">
        <f t="shared" si="35"/>
        <v>15</v>
      </c>
      <c r="Q97" s="179">
        <f t="shared" si="35"/>
        <v>23</v>
      </c>
      <c r="R97" s="179">
        <f t="shared" si="35"/>
        <v>26</v>
      </c>
      <c r="S97" s="179">
        <f t="shared" si="35"/>
        <v>27</v>
      </c>
      <c r="T97" s="179">
        <f t="shared" si="35"/>
        <v>38</v>
      </c>
      <c r="U97" s="179">
        <f t="shared" si="35"/>
        <v>36</v>
      </c>
      <c r="V97" s="179">
        <f t="shared" si="35"/>
        <v>36</v>
      </c>
      <c r="W97" s="179">
        <f t="shared" si="35"/>
        <v>32</v>
      </c>
      <c r="X97" s="179">
        <f t="shared" si="35"/>
        <v>26</v>
      </c>
      <c r="Y97" s="179">
        <f t="shared" si="35"/>
        <v>33</v>
      </c>
      <c r="Z97" s="179">
        <f t="shared" si="35"/>
        <v>32</v>
      </c>
      <c r="AA97" s="179">
        <f t="shared" si="35"/>
        <v>38</v>
      </c>
      <c r="AB97" s="179">
        <f t="shared" si="35"/>
        <v>28</v>
      </c>
      <c r="AC97" s="179">
        <f t="shared" si="35"/>
        <v>40</v>
      </c>
      <c r="AD97" s="179">
        <f t="shared" si="35"/>
        <v>31</v>
      </c>
      <c r="AE97" s="179">
        <f t="shared" si="35"/>
        <v>30</v>
      </c>
      <c r="AF97" s="1015">
        <f t="shared" si="34"/>
        <v>745</v>
      </c>
    </row>
    <row r="98">
      <c r="A98" s="1076" t="s">
        <v>181</v>
      </c>
      <c r="B98" s="179">
        <f t="shared" si="36"/>
        <v>14</v>
      </c>
      <c r="C98" s="179">
        <f t="shared" ref="C98:AE98" si="37">C92+C94+C96</f>
        <v>7</v>
      </c>
      <c r="D98" s="179">
        <f t="shared" si="37"/>
        <v>19</v>
      </c>
      <c r="E98" s="179">
        <f t="shared" si="37"/>
        <v>23</v>
      </c>
      <c r="F98" s="179">
        <f t="shared" si="37"/>
        <v>16</v>
      </c>
      <c r="G98" s="179">
        <f t="shared" si="37"/>
        <v>19</v>
      </c>
      <c r="H98" s="179">
        <f t="shared" si="37"/>
        <v>12</v>
      </c>
      <c r="I98" s="179">
        <f t="shared" si="37"/>
        <v>11</v>
      </c>
      <c r="J98" s="179">
        <f t="shared" si="37"/>
        <v>28</v>
      </c>
      <c r="K98" s="179">
        <f t="shared" si="37"/>
        <v>19</v>
      </c>
      <c r="L98" s="179">
        <f t="shared" si="37"/>
        <v>22</v>
      </c>
      <c r="M98" s="179">
        <f t="shared" si="37"/>
        <v>25</v>
      </c>
      <c r="N98" s="179">
        <f t="shared" si="37"/>
        <v>26</v>
      </c>
      <c r="O98" s="179">
        <f t="shared" si="37"/>
        <v>27</v>
      </c>
      <c r="P98" s="179">
        <f t="shared" si="37"/>
        <v>15</v>
      </c>
      <c r="Q98" s="179">
        <f t="shared" si="37"/>
        <v>23</v>
      </c>
      <c r="R98" s="179">
        <f t="shared" si="37"/>
        <v>26</v>
      </c>
      <c r="S98" s="179">
        <f t="shared" si="37"/>
        <v>27</v>
      </c>
      <c r="T98" s="179">
        <f t="shared" si="37"/>
        <v>38</v>
      </c>
      <c r="U98" s="179">
        <f t="shared" si="37"/>
        <v>36</v>
      </c>
      <c r="V98" s="179">
        <f t="shared" si="37"/>
        <v>36</v>
      </c>
      <c r="W98" s="179">
        <f t="shared" si="37"/>
        <v>32</v>
      </c>
      <c r="X98" s="179">
        <f t="shared" si="37"/>
        <v>26</v>
      </c>
      <c r="Y98" s="179">
        <f t="shared" si="37"/>
        <v>33</v>
      </c>
      <c r="Z98" s="179">
        <f t="shared" si="37"/>
        <v>32</v>
      </c>
      <c r="AA98" s="179">
        <f t="shared" si="37"/>
        <v>38</v>
      </c>
      <c r="AB98" s="179">
        <f t="shared" si="37"/>
        <v>28</v>
      </c>
      <c r="AC98" s="179">
        <f t="shared" si="37"/>
        <v>40</v>
      </c>
      <c r="AD98" s="179">
        <f t="shared" si="37"/>
        <v>31</v>
      </c>
      <c r="AE98" s="179">
        <f t="shared" si="37"/>
        <v>30</v>
      </c>
      <c r="AF98" s="1015">
        <f t="shared" si="34"/>
        <v>759</v>
      </c>
    </row>
    <row r="99" ht="21.0" customHeight="1">
      <c r="A99" s="20"/>
      <c r="B99" s="651"/>
      <c r="C99" s="651"/>
      <c r="D99" s="651"/>
      <c r="E99" s="651"/>
      <c r="F99" s="651"/>
      <c r="G99" s="651"/>
      <c r="H99" s="651"/>
      <c r="I99" s="582"/>
      <c r="J99" s="582"/>
      <c r="K99" s="582"/>
      <c r="L99" s="582"/>
      <c r="M99" s="582"/>
      <c r="N99" s="582"/>
      <c r="O99" s="582"/>
      <c r="P99" s="582"/>
      <c r="Q99" s="582"/>
      <c r="R99" s="582"/>
      <c r="S99" s="582"/>
      <c r="T99" s="582"/>
      <c r="U99" s="582"/>
      <c r="V99" s="582"/>
      <c r="W99" s="582"/>
      <c r="X99" s="582"/>
      <c r="Y99" s="582"/>
      <c r="Z99" s="582"/>
      <c r="AA99" s="582"/>
      <c r="AB99" s="582"/>
      <c r="AC99" s="582"/>
      <c r="AD99" s="582"/>
      <c r="AE99" s="582"/>
      <c r="AF99" s="1015"/>
    </row>
    <row r="100">
      <c r="A100" s="1414" t="s">
        <v>1261</v>
      </c>
      <c r="B100" s="1078"/>
      <c r="C100" s="1078"/>
      <c r="D100" s="1078"/>
      <c r="E100" s="1078"/>
      <c r="F100" s="1078"/>
      <c r="G100" s="1078"/>
      <c r="H100" s="1077"/>
      <c r="I100" s="1077"/>
      <c r="J100" s="1077"/>
      <c r="K100" s="1077"/>
      <c r="L100" s="1077"/>
      <c r="M100" s="1078"/>
      <c r="N100" s="1077"/>
      <c r="O100" s="1077"/>
      <c r="P100" s="1077"/>
      <c r="Q100" s="1077"/>
      <c r="R100" s="1078"/>
      <c r="S100" s="1078"/>
      <c r="T100" s="1077"/>
      <c r="U100" s="23"/>
      <c r="V100" s="23"/>
      <c r="W100" s="1077"/>
      <c r="X100" s="1077"/>
      <c r="Y100" s="1077"/>
      <c r="Z100" s="1077"/>
      <c r="AA100" s="1077"/>
      <c r="AB100" s="1077"/>
      <c r="AC100" s="1077"/>
      <c r="AD100" s="1077"/>
      <c r="AE100" s="1077"/>
      <c r="AF100" s="1015">
        <f t="shared" ref="AF100:AF105" si="38">sum(B100:AE100)</f>
        <v>0</v>
      </c>
    </row>
    <row r="101">
      <c r="A101" s="1414" t="s">
        <v>1262</v>
      </c>
      <c r="B101" s="1078"/>
      <c r="C101" s="1078"/>
      <c r="D101" s="1078"/>
      <c r="E101" s="1078"/>
      <c r="F101" s="1078"/>
      <c r="G101" s="1078"/>
      <c r="H101" s="1077"/>
      <c r="I101" s="1077"/>
      <c r="J101" s="1077"/>
      <c r="K101" s="1077"/>
      <c r="L101" s="1077"/>
      <c r="M101" s="1078"/>
      <c r="N101" s="1077"/>
      <c r="O101" s="1077"/>
      <c r="P101" s="1077"/>
      <c r="Q101" s="1077"/>
      <c r="R101" s="1078"/>
      <c r="S101" s="1078"/>
      <c r="T101" s="1077"/>
      <c r="U101" s="1077"/>
      <c r="V101" s="23"/>
      <c r="W101" s="23"/>
      <c r="X101" s="23"/>
      <c r="Y101" s="1077"/>
      <c r="Z101" s="1077"/>
      <c r="AA101" s="1077"/>
      <c r="AB101" s="1077"/>
      <c r="AC101" s="1077"/>
      <c r="AD101" s="1077"/>
      <c r="AE101" s="1077"/>
      <c r="AF101" s="1015">
        <f t="shared" si="38"/>
        <v>0</v>
      </c>
    </row>
    <row r="102">
      <c r="A102" s="1071" t="s">
        <v>184</v>
      </c>
      <c r="B102" s="1078"/>
      <c r="C102" s="1078"/>
      <c r="D102" s="1078"/>
      <c r="E102" s="1078"/>
      <c r="F102" s="1078"/>
      <c r="G102" s="1078"/>
      <c r="H102" s="1077"/>
      <c r="I102" s="1077"/>
      <c r="J102" s="1077"/>
      <c r="K102" s="1077"/>
      <c r="L102" s="1077"/>
      <c r="M102" s="1078"/>
      <c r="N102" s="1077"/>
      <c r="O102" s="1077"/>
      <c r="P102" s="1077"/>
      <c r="Q102" s="1077"/>
      <c r="R102" s="1078"/>
      <c r="S102" s="1078"/>
      <c r="T102" s="1077"/>
      <c r="U102" s="23"/>
      <c r="V102" s="23"/>
      <c r="W102" s="1077"/>
      <c r="X102" s="1077"/>
      <c r="Y102" s="1077"/>
      <c r="Z102" s="1077"/>
      <c r="AA102" s="1077"/>
      <c r="AB102" s="1077"/>
      <c r="AC102" s="1077"/>
      <c r="AD102" s="1077"/>
      <c r="AE102" s="1077"/>
      <c r="AF102" s="1015">
        <f t="shared" si="38"/>
        <v>0</v>
      </c>
    </row>
    <row r="103">
      <c r="A103" s="1414" t="s">
        <v>1264</v>
      </c>
      <c r="B103" s="1078"/>
      <c r="C103" s="1078"/>
      <c r="D103" s="1078"/>
      <c r="E103" s="1078"/>
      <c r="F103" s="1078"/>
      <c r="G103" s="1078"/>
      <c r="H103" s="1077"/>
      <c r="I103" s="1077"/>
      <c r="J103" s="1077"/>
      <c r="K103" s="1077"/>
      <c r="L103" s="1077"/>
      <c r="M103" s="1078"/>
      <c r="N103" s="1077"/>
      <c r="O103" s="1077"/>
      <c r="P103" s="1077"/>
      <c r="Q103" s="1077"/>
      <c r="R103" s="1078"/>
      <c r="S103" s="1078"/>
      <c r="T103" s="1077"/>
      <c r="U103" s="141"/>
      <c r="V103" s="141"/>
      <c r="W103" s="1077"/>
      <c r="X103" s="23"/>
      <c r="Y103" s="1077"/>
      <c r="Z103" s="1077"/>
      <c r="AA103" s="1077"/>
      <c r="AB103" s="1077"/>
      <c r="AC103" s="1077"/>
      <c r="AD103" s="1077"/>
      <c r="AE103" s="1077"/>
      <c r="AF103" s="1015">
        <f t="shared" si="38"/>
        <v>0</v>
      </c>
    </row>
    <row r="104">
      <c r="A104" s="1414" t="s">
        <v>1265</v>
      </c>
      <c r="B104" s="1078"/>
      <c r="C104" s="1078"/>
      <c r="D104" s="1078"/>
      <c r="E104" s="1078"/>
      <c r="F104" s="1078"/>
      <c r="G104" s="1078"/>
      <c r="H104" s="1077"/>
      <c r="I104" s="1077"/>
      <c r="J104" s="1077"/>
      <c r="K104" s="1077"/>
      <c r="L104" s="1077"/>
      <c r="M104" s="1078"/>
      <c r="N104" s="1077"/>
      <c r="O104" s="1077"/>
      <c r="P104" s="1077"/>
      <c r="Q104" s="1077"/>
      <c r="R104" s="1078"/>
      <c r="S104" s="1078"/>
      <c r="T104" s="1077"/>
      <c r="U104" s="141"/>
      <c r="V104" s="141"/>
      <c r="W104" s="1077"/>
      <c r="X104" s="1077"/>
      <c r="Y104" s="1077"/>
      <c r="Z104" s="1077"/>
      <c r="AA104" s="1077"/>
      <c r="AB104" s="1077"/>
      <c r="AC104" s="1077"/>
      <c r="AD104" s="1077"/>
      <c r="AE104" s="1077"/>
      <c r="AF104" s="1015">
        <f t="shared" si="38"/>
        <v>0</v>
      </c>
    </row>
    <row r="105">
      <c r="A105" s="1416" t="s">
        <v>1266</v>
      </c>
      <c r="B105" s="179">
        <f t="shared" ref="B105:AE105" si="39">SUM(B100:B104)</f>
        <v>0</v>
      </c>
      <c r="C105" s="179">
        <f t="shared" si="39"/>
        <v>0</v>
      </c>
      <c r="D105" s="179">
        <f t="shared" si="39"/>
        <v>0</v>
      </c>
      <c r="E105" s="179">
        <f t="shared" si="39"/>
        <v>0</v>
      </c>
      <c r="F105" s="179">
        <f t="shared" si="39"/>
        <v>0</v>
      </c>
      <c r="G105" s="179">
        <f t="shared" si="39"/>
        <v>0</v>
      </c>
      <c r="H105" s="179">
        <f t="shared" si="39"/>
        <v>0</v>
      </c>
      <c r="I105" s="179">
        <f t="shared" si="39"/>
        <v>0</v>
      </c>
      <c r="J105" s="179">
        <f t="shared" si="39"/>
        <v>0</v>
      </c>
      <c r="K105" s="179">
        <f t="shared" si="39"/>
        <v>0</v>
      </c>
      <c r="L105" s="179">
        <f t="shared" si="39"/>
        <v>0</v>
      </c>
      <c r="M105" s="179">
        <f t="shared" si="39"/>
        <v>0</v>
      </c>
      <c r="N105" s="179">
        <f t="shared" si="39"/>
        <v>0</v>
      </c>
      <c r="O105" s="179">
        <f t="shared" si="39"/>
        <v>0</v>
      </c>
      <c r="P105" s="179">
        <f t="shared" si="39"/>
        <v>0</v>
      </c>
      <c r="Q105" s="179">
        <f t="shared" si="39"/>
        <v>0</v>
      </c>
      <c r="R105" s="179">
        <f t="shared" si="39"/>
        <v>0</v>
      </c>
      <c r="S105" s="179">
        <f t="shared" si="39"/>
        <v>0</v>
      </c>
      <c r="T105" s="179">
        <f t="shared" si="39"/>
        <v>0</v>
      </c>
      <c r="U105" s="179">
        <f t="shared" si="39"/>
        <v>0</v>
      </c>
      <c r="V105" s="179">
        <f t="shared" si="39"/>
        <v>0</v>
      </c>
      <c r="W105" s="179">
        <f t="shared" si="39"/>
        <v>0</v>
      </c>
      <c r="X105" s="179">
        <f t="shared" si="39"/>
        <v>0</v>
      </c>
      <c r="Y105" s="179">
        <f t="shared" si="39"/>
        <v>0</v>
      </c>
      <c r="Z105" s="179">
        <f t="shared" si="39"/>
        <v>0</v>
      </c>
      <c r="AA105" s="179">
        <f t="shared" si="39"/>
        <v>0</v>
      </c>
      <c r="AB105" s="179">
        <f t="shared" si="39"/>
        <v>0</v>
      </c>
      <c r="AC105" s="179">
        <f t="shared" si="39"/>
        <v>0</v>
      </c>
      <c r="AD105" s="179">
        <f t="shared" si="39"/>
        <v>0</v>
      </c>
      <c r="AE105" s="179">
        <f t="shared" si="39"/>
        <v>0</v>
      </c>
      <c r="AF105" s="1015">
        <f t="shared" si="38"/>
        <v>0</v>
      </c>
    </row>
    <row r="106">
      <c r="A106" s="20"/>
      <c r="B106" s="651"/>
      <c r="C106" s="651"/>
      <c r="D106" s="651"/>
      <c r="E106" s="651"/>
      <c r="F106" s="651"/>
      <c r="G106" s="651"/>
      <c r="H106" s="651"/>
      <c r="I106" s="582"/>
      <c r="J106" s="582"/>
      <c r="K106" s="582"/>
      <c r="L106" s="582"/>
      <c r="M106" s="582"/>
      <c r="N106" s="582"/>
      <c r="O106" s="582"/>
      <c r="P106" s="582"/>
      <c r="Q106" s="582"/>
      <c r="R106" s="582"/>
      <c r="S106" s="582"/>
      <c r="T106" s="582"/>
      <c r="U106" s="582"/>
      <c r="V106" s="582"/>
      <c r="W106" s="582"/>
      <c r="X106" s="582"/>
      <c r="Y106" s="582"/>
      <c r="Z106" s="582"/>
      <c r="AA106" s="582"/>
      <c r="AB106" s="582"/>
      <c r="AC106" s="582"/>
      <c r="AD106" s="582"/>
      <c r="AE106" s="582"/>
      <c r="AF106" s="1015"/>
    </row>
    <row r="107">
      <c r="A107" s="1071" t="s">
        <v>189</v>
      </c>
      <c r="B107" s="1078"/>
      <c r="C107" s="1078"/>
      <c r="D107" s="1078"/>
      <c r="E107" s="1078"/>
      <c r="F107" s="1078"/>
      <c r="G107" s="1078"/>
      <c r="H107" s="1077"/>
      <c r="I107" s="1077"/>
      <c r="J107" s="1077"/>
      <c r="K107" s="1077"/>
      <c r="L107" s="1077"/>
      <c r="M107" s="1078"/>
      <c r="N107" s="1077"/>
      <c r="O107" s="1077"/>
      <c r="P107" s="1077"/>
      <c r="Q107" s="1077"/>
      <c r="R107" s="1078"/>
      <c r="S107" s="1078"/>
      <c r="T107" s="1077"/>
      <c r="U107" s="1077"/>
      <c r="V107" s="1077"/>
      <c r="W107" s="1077"/>
      <c r="X107" s="1077"/>
      <c r="Y107" s="1077"/>
      <c r="Z107" s="1077"/>
      <c r="AA107" s="1077"/>
      <c r="AB107" s="1077"/>
      <c r="AC107" s="1077"/>
      <c r="AD107" s="1077"/>
      <c r="AE107" s="1077"/>
      <c r="AF107" s="1015">
        <f t="shared" ref="AF107:AF112" si="40">sum(B107:AE107)</f>
        <v>0</v>
      </c>
    </row>
    <row r="108">
      <c r="A108" s="1071" t="s">
        <v>190</v>
      </c>
      <c r="B108" s="1078"/>
      <c r="C108" s="1078"/>
      <c r="D108" s="1078"/>
      <c r="E108" s="1078"/>
      <c r="F108" s="1078"/>
      <c r="G108" s="1078"/>
      <c r="H108" s="1077"/>
      <c r="I108" s="1077"/>
      <c r="J108" s="1077"/>
      <c r="K108" s="1077"/>
      <c r="L108" s="1077"/>
      <c r="M108" s="1078"/>
      <c r="N108" s="1077"/>
      <c r="O108" s="1077"/>
      <c r="P108" s="1077"/>
      <c r="Q108" s="1077"/>
      <c r="R108" s="1078"/>
      <c r="S108" s="1078"/>
      <c r="T108" s="1077"/>
      <c r="U108" s="1077"/>
      <c r="V108" s="1077"/>
      <c r="W108" s="1077"/>
      <c r="X108" s="1077"/>
      <c r="Y108" s="1077"/>
      <c r="Z108" s="1077"/>
      <c r="AA108" s="1077"/>
      <c r="AB108" s="1077"/>
      <c r="AC108" s="1077"/>
      <c r="AD108" s="1077"/>
      <c r="AE108" s="1077"/>
      <c r="AF108" s="1015">
        <f t="shared" si="40"/>
        <v>0</v>
      </c>
    </row>
    <row r="109">
      <c r="A109" s="1071" t="s">
        <v>191</v>
      </c>
      <c r="B109" s="1078"/>
      <c r="C109" s="1078"/>
      <c r="D109" s="1078"/>
      <c r="E109" s="1078"/>
      <c r="F109" s="1078"/>
      <c r="G109" s="1078"/>
      <c r="H109" s="1077"/>
      <c r="I109" s="1077"/>
      <c r="J109" s="1077"/>
      <c r="K109" s="1077"/>
      <c r="L109" s="1077"/>
      <c r="M109" s="1078"/>
      <c r="N109" s="1077"/>
      <c r="O109" s="1077"/>
      <c r="P109" s="1077"/>
      <c r="Q109" s="1077"/>
      <c r="R109" s="1078"/>
      <c r="S109" s="1078"/>
      <c r="T109" s="1077"/>
      <c r="U109" s="1077"/>
      <c r="V109" s="1077"/>
      <c r="W109" s="1077"/>
      <c r="X109" s="1077"/>
      <c r="Y109" s="1077"/>
      <c r="Z109" s="1077"/>
      <c r="AA109" s="1077"/>
      <c r="AB109" s="1077"/>
      <c r="AC109" s="1077"/>
      <c r="AD109" s="1077"/>
      <c r="AE109" s="1077"/>
      <c r="AF109" s="1015">
        <f t="shared" si="40"/>
        <v>0</v>
      </c>
    </row>
    <row r="110">
      <c r="A110" s="1071" t="s">
        <v>192</v>
      </c>
      <c r="B110" s="1078"/>
      <c r="C110" s="1078"/>
      <c r="D110" s="1078"/>
      <c r="E110" s="1078"/>
      <c r="F110" s="1078"/>
      <c r="G110" s="1078"/>
      <c r="H110" s="1077"/>
      <c r="I110" s="1077"/>
      <c r="J110" s="1077"/>
      <c r="K110" s="1077"/>
      <c r="L110" s="1077"/>
      <c r="M110" s="1078"/>
      <c r="N110" s="1077"/>
      <c r="O110" s="1077"/>
      <c r="P110" s="1077"/>
      <c r="Q110" s="1077"/>
      <c r="R110" s="1078"/>
      <c r="S110" s="1078"/>
      <c r="T110" s="1077"/>
      <c r="U110" s="1077"/>
      <c r="V110" s="1077"/>
      <c r="W110" s="1077"/>
      <c r="X110" s="1077"/>
      <c r="Y110" s="1077"/>
      <c r="Z110" s="1077"/>
      <c r="AA110" s="1077"/>
      <c r="AB110" s="1077"/>
      <c r="AC110" s="1077"/>
      <c r="AD110" s="1077"/>
      <c r="AE110" s="1077"/>
      <c r="AF110" s="1015">
        <f t="shared" si="40"/>
        <v>0</v>
      </c>
    </row>
    <row r="111">
      <c r="A111" s="1071" t="s">
        <v>193</v>
      </c>
      <c r="B111" s="1078"/>
      <c r="C111" s="1078"/>
      <c r="D111" s="1078"/>
      <c r="E111" s="1078"/>
      <c r="F111" s="1078"/>
      <c r="G111" s="1078"/>
      <c r="H111" s="1077"/>
      <c r="I111" s="1077"/>
      <c r="J111" s="1077"/>
      <c r="K111" s="1077"/>
      <c r="L111" s="1077"/>
      <c r="M111" s="1078"/>
      <c r="N111" s="1077"/>
      <c r="O111" s="1077"/>
      <c r="P111" s="1077"/>
      <c r="Q111" s="1077"/>
      <c r="R111" s="1078"/>
      <c r="S111" s="1078"/>
      <c r="T111" s="1077"/>
      <c r="U111" s="1077"/>
      <c r="V111" s="1077"/>
      <c r="W111" s="1077"/>
      <c r="X111" s="1077"/>
      <c r="Y111" s="1077"/>
      <c r="Z111" s="1077"/>
      <c r="AA111" s="1077"/>
      <c r="AB111" s="1077"/>
      <c r="AC111" s="1077"/>
      <c r="AD111" s="1077"/>
      <c r="AE111" s="1077"/>
      <c r="AF111" s="1015">
        <f t="shared" si="40"/>
        <v>0</v>
      </c>
    </row>
    <row r="112">
      <c r="A112" s="1079" t="s">
        <v>195</v>
      </c>
      <c r="B112" s="179">
        <f t="shared" ref="B112:AE112" si="41">SUM(B107:B111)</f>
        <v>0</v>
      </c>
      <c r="C112" s="179">
        <f t="shared" si="41"/>
        <v>0</v>
      </c>
      <c r="D112" s="179">
        <f t="shared" si="41"/>
        <v>0</v>
      </c>
      <c r="E112" s="179">
        <f t="shared" si="41"/>
        <v>0</v>
      </c>
      <c r="F112" s="179">
        <f t="shared" si="41"/>
        <v>0</v>
      </c>
      <c r="G112" s="179">
        <f t="shared" si="41"/>
        <v>0</v>
      </c>
      <c r="H112" s="179">
        <f t="shared" si="41"/>
        <v>0</v>
      </c>
      <c r="I112" s="179">
        <f t="shared" si="41"/>
        <v>0</v>
      </c>
      <c r="J112" s="179">
        <f t="shared" si="41"/>
        <v>0</v>
      </c>
      <c r="K112" s="179">
        <f t="shared" si="41"/>
        <v>0</v>
      </c>
      <c r="L112" s="179">
        <f t="shared" si="41"/>
        <v>0</v>
      </c>
      <c r="M112" s="179">
        <f t="shared" si="41"/>
        <v>0</v>
      </c>
      <c r="N112" s="179">
        <f t="shared" si="41"/>
        <v>0</v>
      </c>
      <c r="O112" s="179">
        <f t="shared" si="41"/>
        <v>0</v>
      </c>
      <c r="P112" s="179">
        <f t="shared" si="41"/>
        <v>0</v>
      </c>
      <c r="Q112" s="179">
        <f t="shared" si="41"/>
        <v>0</v>
      </c>
      <c r="R112" s="179">
        <f t="shared" si="41"/>
        <v>0</v>
      </c>
      <c r="S112" s="179">
        <f t="shared" si="41"/>
        <v>0</v>
      </c>
      <c r="T112" s="179">
        <f t="shared" si="41"/>
        <v>0</v>
      </c>
      <c r="U112" s="179">
        <f t="shared" si="41"/>
        <v>0</v>
      </c>
      <c r="V112" s="179">
        <f t="shared" si="41"/>
        <v>0</v>
      </c>
      <c r="W112" s="179">
        <f t="shared" si="41"/>
        <v>0</v>
      </c>
      <c r="X112" s="179">
        <f t="shared" si="41"/>
        <v>0</v>
      </c>
      <c r="Y112" s="179">
        <f t="shared" si="41"/>
        <v>0</v>
      </c>
      <c r="Z112" s="179">
        <f t="shared" si="41"/>
        <v>0</v>
      </c>
      <c r="AA112" s="179">
        <f t="shared" si="41"/>
        <v>0</v>
      </c>
      <c r="AB112" s="179">
        <f t="shared" si="41"/>
        <v>0</v>
      </c>
      <c r="AC112" s="179">
        <f t="shared" si="41"/>
        <v>0</v>
      </c>
      <c r="AD112" s="179">
        <f t="shared" si="41"/>
        <v>0</v>
      </c>
      <c r="AE112" s="179">
        <f t="shared" si="41"/>
        <v>0</v>
      </c>
      <c r="AF112" s="1015">
        <f t="shared" si="40"/>
        <v>0</v>
      </c>
    </row>
    <row r="113">
      <c r="A113" s="20"/>
      <c r="B113" s="651"/>
      <c r="C113" s="651"/>
      <c r="D113" s="651"/>
      <c r="E113" s="651"/>
      <c r="F113" s="651"/>
      <c r="G113" s="651"/>
      <c r="H113" s="651"/>
      <c r="I113" s="582"/>
      <c r="J113" s="582"/>
      <c r="K113" s="582"/>
      <c r="L113" s="582"/>
      <c r="M113" s="582"/>
      <c r="N113" s="582"/>
      <c r="O113" s="582"/>
      <c r="P113" s="582"/>
      <c r="Q113" s="582"/>
      <c r="R113" s="582"/>
      <c r="S113" s="582"/>
      <c r="T113" s="582"/>
      <c r="U113" s="582"/>
      <c r="V113" s="582"/>
      <c r="W113" s="582"/>
      <c r="X113" s="582"/>
      <c r="Y113" s="582"/>
      <c r="Z113" s="582"/>
      <c r="AA113" s="582"/>
      <c r="AB113" s="582"/>
      <c r="AC113" s="582"/>
      <c r="AD113" s="582"/>
      <c r="AE113" s="582"/>
      <c r="AF113" s="1015"/>
    </row>
    <row r="114">
      <c r="A114" s="1071" t="s">
        <v>196</v>
      </c>
      <c r="B114" s="1058"/>
      <c r="C114" s="1415"/>
      <c r="D114" s="1415"/>
      <c r="E114" s="1415"/>
      <c r="F114" s="1415"/>
      <c r="G114" s="1415"/>
      <c r="H114" s="1415"/>
      <c r="I114" s="1415"/>
      <c r="J114" s="1415"/>
      <c r="K114" s="1415"/>
      <c r="L114" s="1415"/>
      <c r="M114" s="1415"/>
      <c r="N114" s="1415"/>
      <c r="O114" s="1415"/>
      <c r="P114" s="1415"/>
      <c r="Q114" s="1415"/>
      <c r="R114" s="1415"/>
      <c r="S114" s="1415"/>
      <c r="T114" s="1415"/>
      <c r="U114" s="1415"/>
      <c r="V114" s="1415"/>
      <c r="W114" s="1415"/>
      <c r="X114" s="1415"/>
      <c r="Y114" s="1415"/>
      <c r="Z114" s="1415"/>
      <c r="AA114" s="1415"/>
      <c r="AB114" s="1415"/>
      <c r="AC114" s="1415"/>
      <c r="AD114" s="1415"/>
      <c r="AE114" s="1415"/>
      <c r="AF114" s="1015">
        <f t="shared" ref="AF114:AF119" si="42">sum(B114:AE114)</f>
        <v>0</v>
      </c>
    </row>
    <row r="115">
      <c r="A115" s="1071" t="s">
        <v>197</v>
      </c>
      <c r="B115" s="1058"/>
      <c r="C115" s="694"/>
      <c r="D115" s="1075"/>
      <c r="E115" s="1415"/>
      <c r="F115" s="1415"/>
      <c r="G115" s="1415"/>
      <c r="H115" s="1415"/>
      <c r="I115" s="1415"/>
      <c r="J115" s="1415"/>
      <c r="K115" s="1415"/>
      <c r="L115" s="1415"/>
      <c r="M115" s="1415"/>
      <c r="N115" s="1415"/>
      <c r="O115" s="1415"/>
      <c r="P115" s="1415"/>
      <c r="Q115" s="1415"/>
      <c r="R115" s="1415"/>
      <c r="S115" s="1415"/>
      <c r="T115" s="1415"/>
      <c r="U115" s="1415"/>
      <c r="V115" s="1415"/>
      <c r="W115" s="1415"/>
      <c r="X115" s="1415"/>
      <c r="Y115" s="1415"/>
      <c r="Z115" s="1415"/>
      <c r="AA115" s="1415"/>
      <c r="AB115" s="1415"/>
      <c r="AC115" s="1415"/>
      <c r="AD115" s="1415"/>
      <c r="AE115" s="1415"/>
      <c r="AF115" s="1015">
        <f t="shared" si="42"/>
        <v>0</v>
      </c>
    </row>
    <row r="116">
      <c r="A116" s="1071" t="s">
        <v>198</v>
      </c>
      <c r="B116" s="1058"/>
      <c r="C116" s="1415"/>
      <c r="D116" s="1415"/>
      <c r="E116" s="1415"/>
      <c r="F116" s="1415"/>
      <c r="G116" s="1415"/>
      <c r="H116" s="1415"/>
      <c r="I116" s="1415"/>
      <c r="J116" s="1415"/>
      <c r="K116" s="1415"/>
      <c r="L116" s="1415"/>
      <c r="M116" s="1415"/>
      <c r="N116" s="1415"/>
      <c r="O116" s="1415"/>
      <c r="P116" s="1415"/>
      <c r="Q116" s="1415"/>
      <c r="R116" s="1415"/>
      <c r="S116" s="1415"/>
      <c r="T116" s="1415"/>
      <c r="U116" s="1415"/>
      <c r="V116" s="1415"/>
      <c r="W116" s="1415"/>
      <c r="X116" s="1415"/>
      <c r="Y116" s="1415"/>
      <c r="Z116" s="1415"/>
      <c r="AA116" s="1415"/>
      <c r="AB116" s="1415"/>
      <c r="AC116" s="1415"/>
      <c r="AD116" s="1415"/>
      <c r="AE116" s="1415"/>
      <c r="AF116" s="1015">
        <f t="shared" si="42"/>
        <v>0</v>
      </c>
    </row>
    <row r="117">
      <c r="A117" s="1071" t="s">
        <v>199</v>
      </c>
      <c r="B117" s="1058"/>
      <c r="C117" s="1415"/>
      <c r="D117" s="1415"/>
      <c r="E117" s="1415"/>
      <c r="F117" s="1415"/>
      <c r="G117" s="1415"/>
      <c r="H117" s="1415"/>
      <c r="I117" s="1415"/>
      <c r="J117" s="1415"/>
      <c r="K117" s="1415"/>
      <c r="L117" s="1415"/>
      <c r="M117" s="1415"/>
      <c r="N117" s="1415"/>
      <c r="O117" s="1415"/>
      <c r="P117" s="1415"/>
      <c r="Q117" s="1415"/>
      <c r="R117" s="1415"/>
      <c r="S117" s="1415"/>
      <c r="T117" s="1415"/>
      <c r="U117" s="1415"/>
      <c r="V117" s="1415"/>
      <c r="W117" s="1415"/>
      <c r="X117" s="1415"/>
      <c r="Y117" s="1415"/>
      <c r="Z117" s="1415"/>
      <c r="AA117" s="1415"/>
      <c r="AB117" s="1415"/>
      <c r="AC117" s="1415"/>
      <c r="AD117" s="1415"/>
      <c r="AE117" s="1415"/>
      <c r="AF117" s="1015">
        <f t="shared" si="42"/>
        <v>0</v>
      </c>
    </row>
    <row r="118">
      <c r="A118" s="1071" t="s">
        <v>201</v>
      </c>
      <c r="B118" s="1415"/>
      <c r="C118" s="694"/>
      <c r="D118" s="1415"/>
      <c r="E118" s="1415"/>
      <c r="F118" s="1415"/>
      <c r="G118" s="1415"/>
      <c r="H118" s="1415"/>
      <c r="I118" s="1415"/>
      <c r="J118" s="1415"/>
      <c r="K118" s="1415"/>
      <c r="L118" s="1415"/>
      <c r="M118" s="1415"/>
      <c r="N118" s="1415"/>
      <c r="O118" s="1415"/>
      <c r="P118" s="1415"/>
      <c r="Q118" s="1415"/>
      <c r="R118" s="1415"/>
      <c r="S118" s="1415"/>
      <c r="T118" s="1415"/>
      <c r="U118" s="1415"/>
      <c r="V118" s="1415"/>
      <c r="W118" s="1415"/>
      <c r="X118" s="1415"/>
      <c r="Y118" s="1415"/>
      <c r="Z118" s="1415"/>
      <c r="AA118" s="1415"/>
      <c r="AB118" s="1415"/>
      <c r="AC118" s="1415"/>
      <c r="AD118" s="1415"/>
      <c r="AE118" s="1415"/>
      <c r="AF118" s="1015">
        <f t="shared" si="42"/>
        <v>0</v>
      </c>
    </row>
    <row r="119">
      <c r="A119" s="1079" t="s">
        <v>202</v>
      </c>
      <c r="B119" s="179">
        <f>SUM(B114:B118)</f>
        <v>0</v>
      </c>
      <c r="C119" s="179">
        <f>SUM(C114:C117)</f>
        <v>0</v>
      </c>
      <c r="D119" s="179">
        <f t="shared" ref="D119:F119" si="43">SUM(D114:D118)</f>
        <v>0</v>
      </c>
      <c r="E119" s="179">
        <f t="shared" si="43"/>
        <v>0</v>
      </c>
      <c r="F119" s="179">
        <f t="shared" si="43"/>
        <v>0</v>
      </c>
      <c r="G119" s="179">
        <f t="shared" ref="G119:V119" si="44">SUM(G114:G117)</f>
        <v>0</v>
      </c>
      <c r="H119" s="179">
        <f t="shared" si="44"/>
        <v>0</v>
      </c>
      <c r="I119" s="179">
        <f t="shared" si="44"/>
        <v>0</v>
      </c>
      <c r="J119" s="179">
        <f t="shared" si="44"/>
        <v>0</v>
      </c>
      <c r="K119" s="179">
        <f t="shared" si="44"/>
        <v>0</v>
      </c>
      <c r="L119" s="179">
        <f t="shared" si="44"/>
        <v>0</v>
      </c>
      <c r="M119" s="179">
        <f t="shared" si="44"/>
        <v>0</v>
      </c>
      <c r="N119" s="179">
        <f t="shared" si="44"/>
        <v>0</v>
      </c>
      <c r="O119" s="179">
        <f t="shared" si="44"/>
        <v>0</v>
      </c>
      <c r="P119" s="179">
        <f t="shared" si="44"/>
        <v>0</v>
      </c>
      <c r="Q119" s="179">
        <f t="shared" si="44"/>
        <v>0</v>
      </c>
      <c r="R119" s="179">
        <f t="shared" si="44"/>
        <v>0</v>
      </c>
      <c r="S119" s="179">
        <f t="shared" si="44"/>
        <v>0</v>
      </c>
      <c r="T119" s="179">
        <f t="shared" si="44"/>
        <v>0</v>
      </c>
      <c r="U119" s="179">
        <f t="shared" si="44"/>
        <v>0</v>
      </c>
      <c r="V119" s="179">
        <f t="shared" si="44"/>
        <v>0</v>
      </c>
      <c r="W119" s="179">
        <f>SUM(W114:W118)</f>
        <v>0</v>
      </c>
      <c r="X119" s="179">
        <f t="shared" ref="X119:AE119" si="45">SUM(X114:X117)</f>
        <v>0</v>
      </c>
      <c r="Y119" s="179">
        <f t="shared" si="45"/>
        <v>0</v>
      </c>
      <c r="Z119" s="179">
        <f t="shared" si="45"/>
        <v>0</v>
      </c>
      <c r="AA119" s="179">
        <f t="shared" si="45"/>
        <v>0</v>
      </c>
      <c r="AB119" s="179">
        <f t="shared" si="45"/>
        <v>0</v>
      </c>
      <c r="AC119" s="179">
        <f t="shared" si="45"/>
        <v>0</v>
      </c>
      <c r="AD119" s="179">
        <f t="shared" si="45"/>
        <v>0</v>
      </c>
      <c r="AE119" s="179">
        <f t="shared" si="45"/>
        <v>0</v>
      </c>
      <c r="AF119" s="1015">
        <f t="shared" si="42"/>
        <v>0</v>
      </c>
    </row>
    <row r="120">
      <c r="A120" s="20"/>
      <c r="B120" s="651"/>
      <c r="C120" s="651"/>
      <c r="D120" s="651"/>
      <c r="E120" s="651"/>
      <c r="F120" s="651"/>
      <c r="G120" s="651"/>
      <c r="H120" s="651"/>
      <c r="I120" s="582"/>
      <c r="J120" s="582"/>
      <c r="K120" s="582"/>
      <c r="L120" s="582"/>
      <c r="M120" s="582"/>
      <c r="N120" s="582"/>
      <c r="O120" s="582"/>
      <c r="P120" s="582"/>
      <c r="Q120" s="582"/>
      <c r="R120" s="582"/>
      <c r="S120" s="582"/>
      <c r="T120" s="582"/>
      <c r="U120" s="582"/>
      <c r="V120" s="582"/>
      <c r="W120" s="582"/>
      <c r="X120" s="582"/>
      <c r="Y120" s="582"/>
      <c r="Z120" s="582"/>
      <c r="AA120" s="582"/>
      <c r="AB120" s="582"/>
      <c r="AC120" s="582"/>
      <c r="AD120" s="582"/>
      <c r="AE120" s="582"/>
      <c r="AF120" s="1015"/>
    </row>
    <row r="121">
      <c r="A121" s="931" t="s">
        <v>989</v>
      </c>
      <c r="B121" s="651"/>
      <c r="C121" s="651"/>
      <c r="D121" s="651"/>
      <c r="E121" s="651"/>
      <c r="F121" s="651"/>
      <c r="G121" s="651"/>
      <c r="H121" s="651"/>
      <c r="I121" s="582"/>
      <c r="J121" s="582"/>
      <c r="K121" s="582"/>
      <c r="L121" s="582"/>
      <c r="M121" s="582"/>
      <c r="N121" s="582"/>
      <c r="O121" s="582"/>
      <c r="P121" s="582"/>
      <c r="Q121" s="582"/>
      <c r="R121" s="582"/>
      <c r="S121" s="582"/>
      <c r="T121" s="582"/>
      <c r="U121" s="582"/>
      <c r="V121" s="582"/>
      <c r="W121" s="582"/>
      <c r="X121" s="582"/>
      <c r="Y121" s="582"/>
      <c r="Z121" s="582"/>
      <c r="AA121" s="582"/>
      <c r="AB121" s="582"/>
      <c r="AC121" s="582"/>
      <c r="AD121" s="582"/>
      <c r="AE121" s="582"/>
      <c r="AF121" s="1015"/>
    </row>
    <row r="122">
      <c r="A122" s="1414" t="s">
        <v>1271</v>
      </c>
      <c r="B122" s="1092"/>
      <c r="C122" s="1092"/>
      <c r="D122" s="1092"/>
      <c r="E122" s="1092"/>
      <c r="F122" s="1092"/>
      <c r="G122" s="1092"/>
      <c r="H122" s="71"/>
      <c r="I122" s="71"/>
      <c r="J122" s="71"/>
      <c r="K122" s="71"/>
      <c r="L122" s="71"/>
      <c r="M122" s="1092"/>
      <c r="N122" s="71"/>
      <c r="O122" s="71"/>
      <c r="P122" s="71"/>
      <c r="Q122" s="71"/>
      <c r="R122" s="1092"/>
      <c r="S122" s="1092"/>
      <c r="T122" s="71"/>
      <c r="U122" s="71"/>
      <c r="V122" s="71"/>
      <c r="W122" s="71"/>
      <c r="X122" s="71"/>
      <c r="Y122" s="71"/>
      <c r="Z122" s="71"/>
      <c r="AA122" s="71"/>
      <c r="AB122" s="71"/>
      <c r="AC122" s="71"/>
      <c r="AD122" s="71"/>
      <c r="AE122" s="71"/>
      <c r="AF122" s="888">
        <f t="shared" ref="AF122:AF129" si="47">SUM(B122:AE122)</f>
        <v>0</v>
      </c>
    </row>
    <row r="123">
      <c r="A123" s="1071" t="s">
        <v>212</v>
      </c>
      <c r="B123" s="1081">
        <f>B9</f>
        <v>3069</v>
      </c>
      <c r="C123" s="1081">
        <v>2232.0</v>
      </c>
      <c r="D123" s="1081">
        <v>5022.0</v>
      </c>
      <c r="E123" s="1420">
        <v>6138.0</v>
      </c>
      <c r="F123" s="1420">
        <v>4185.0</v>
      </c>
      <c r="G123" s="1420">
        <v>5580.0</v>
      </c>
      <c r="H123" s="580">
        <v>3348.0</v>
      </c>
      <c r="I123" s="580">
        <v>3348.0</v>
      </c>
      <c r="J123" s="580">
        <v>7812.0</v>
      </c>
      <c r="K123" s="579">
        <v>5301.0</v>
      </c>
      <c r="L123" s="580">
        <v>6138.0</v>
      </c>
      <c r="M123" s="580">
        <v>6975.0</v>
      </c>
      <c r="N123" s="580">
        <v>7254.0</v>
      </c>
      <c r="O123" s="580">
        <v>7533.0</v>
      </c>
      <c r="P123" s="579">
        <f>P9</f>
        <v>4185</v>
      </c>
      <c r="Q123" s="579">
        <v>6417.0</v>
      </c>
      <c r="R123" s="580">
        <v>7254.0</v>
      </c>
      <c r="S123" s="580">
        <v>7812.0</v>
      </c>
      <c r="T123" s="580">
        <v>10602.0</v>
      </c>
      <c r="U123" s="580">
        <v>10044.0</v>
      </c>
      <c r="V123" s="580">
        <v>10044.0</v>
      </c>
      <c r="W123" s="1420">
        <v>8649.0</v>
      </c>
      <c r="X123" s="580">
        <v>6975.0</v>
      </c>
      <c r="Y123" s="580">
        <v>9207.0</v>
      </c>
      <c r="Z123" s="579">
        <f t="shared" ref="Z123:AE123" si="46">Z9</f>
        <v>8928</v>
      </c>
      <c r="AA123" s="579">
        <f t="shared" si="46"/>
        <v>10881</v>
      </c>
      <c r="AB123" s="579">
        <f t="shared" si="46"/>
        <v>7812</v>
      </c>
      <c r="AC123" s="579">
        <f t="shared" si="46"/>
        <v>11160</v>
      </c>
      <c r="AD123" s="579">
        <f t="shared" si="46"/>
        <v>9765</v>
      </c>
      <c r="AE123" s="579">
        <f t="shared" si="46"/>
        <v>7254</v>
      </c>
      <c r="AF123" s="888">
        <f t="shared" si="47"/>
        <v>210924</v>
      </c>
    </row>
    <row r="124">
      <c r="A124" s="1071" t="s">
        <v>172</v>
      </c>
      <c r="B124" s="1092"/>
      <c r="C124" s="1092"/>
      <c r="D124" s="1092"/>
      <c r="E124" s="1092"/>
      <c r="F124" s="1092"/>
      <c r="G124" s="1092"/>
      <c r="H124" s="71"/>
      <c r="I124" s="71"/>
      <c r="J124" s="71"/>
      <c r="K124" s="71"/>
      <c r="L124" s="71"/>
      <c r="M124" s="1092"/>
      <c r="N124" s="1423"/>
      <c r="O124" s="71"/>
      <c r="P124" s="1092"/>
      <c r="Q124" s="71"/>
      <c r="R124" s="71"/>
      <c r="S124" s="1092"/>
      <c r="T124" s="71"/>
      <c r="U124" s="71"/>
      <c r="V124" s="1092"/>
      <c r="W124" s="71"/>
      <c r="X124" s="71"/>
      <c r="Y124" s="71"/>
      <c r="Z124" s="71"/>
      <c r="AA124" s="71"/>
      <c r="AB124" s="71"/>
      <c r="AC124" s="71"/>
      <c r="AD124" s="71"/>
      <c r="AE124" s="71"/>
      <c r="AF124" s="888">
        <f t="shared" si="47"/>
        <v>0</v>
      </c>
    </row>
    <row r="125">
      <c r="A125" s="1071" t="s">
        <v>174</v>
      </c>
      <c r="B125" s="1092"/>
      <c r="C125" s="1092"/>
      <c r="D125" s="1092"/>
      <c r="E125" s="1092"/>
      <c r="F125" s="1092"/>
      <c r="G125" s="1092"/>
      <c r="H125" s="71"/>
      <c r="I125" s="71"/>
      <c r="J125" s="71"/>
      <c r="K125" s="71"/>
      <c r="L125" s="71"/>
      <c r="M125" s="1092"/>
      <c r="N125" s="71"/>
      <c r="O125" s="71"/>
      <c r="P125" s="71"/>
      <c r="Q125" s="1092"/>
      <c r="R125" s="1092"/>
      <c r="S125" s="1426"/>
      <c r="T125" s="71"/>
      <c r="U125" s="71"/>
      <c r="V125" s="71"/>
      <c r="W125" s="71"/>
      <c r="X125" s="71"/>
      <c r="Y125" s="71"/>
      <c r="Z125" s="71"/>
      <c r="AA125" s="71"/>
      <c r="AB125" s="71"/>
      <c r="AC125" s="71"/>
      <c r="AD125" s="71"/>
      <c r="AE125" s="71"/>
      <c r="AF125" s="888">
        <f t="shared" si="47"/>
        <v>0</v>
      </c>
    </row>
    <row r="126" ht="20.25" customHeight="1">
      <c r="A126" s="1071" t="s">
        <v>175</v>
      </c>
      <c r="B126" s="681"/>
      <c r="C126" s="61"/>
      <c r="D126" s="61"/>
      <c r="E126" s="61"/>
      <c r="F126" s="61"/>
      <c r="G126" s="61"/>
      <c r="H126" s="61"/>
      <c r="I126" s="61"/>
      <c r="J126" s="681"/>
      <c r="K126" s="681"/>
      <c r="L126" s="681"/>
      <c r="M126" s="681"/>
      <c r="N126" s="681"/>
      <c r="O126" s="681"/>
      <c r="P126" s="681"/>
      <c r="Q126" s="681"/>
      <c r="R126" s="681"/>
      <c r="S126" s="681"/>
      <c r="T126" s="681"/>
      <c r="U126" s="681"/>
      <c r="V126" s="681"/>
      <c r="W126" s="61"/>
      <c r="X126" s="681"/>
      <c r="Y126" s="681"/>
      <c r="Z126" s="681"/>
      <c r="AA126" s="681"/>
      <c r="AB126" s="681"/>
      <c r="AC126" s="681"/>
      <c r="AD126" s="681"/>
      <c r="AE126" s="681"/>
      <c r="AF126" s="888">
        <f t="shared" si="47"/>
        <v>0</v>
      </c>
    </row>
    <row r="127">
      <c r="A127" s="1071" t="s">
        <v>178</v>
      </c>
      <c r="B127" s="681"/>
      <c r="C127" s="61"/>
      <c r="D127" s="681"/>
      <c r="E127" s="61"/>
      <c r="F127" s="61"/>
      <c r="G127" s="61"/>
      <c r="H127" s="61"/>
      <c r="I127" s="61"/>
      <c r="J127" s="681"/>
      <c r="K127" s="681"/>
      <c r="L127" s="681"/>
      <c r="M127" s="681"/>
      <c r="N127" s="681"/>
      <c r="O127" s="681"/>
      <c r="P127" s="681"/>
      <c r="Q127" s="681"/>
      <c r="R127" s="681"/>
      <c r="S127" s="681"/>
      <c r="T127" s="681"/>
      <c r="U127" s="681"/>
      <c r="V127" s="681"/>
      <c r="W127" s="681"/>
      <c r="X127" s="681"/>
      <c r="Y127" s="681"/>
      <c r="Z127" s="681"/>
      <c r="AA127" s="681"/>
      <c r="AB127" s="681"/>
      <c r="AC127" s="681"/>
      <c r="AD127" s="681"/>
      <c r="AE127" s="681"/>
      <c r="AF127" s="888">
        <f t="shared" si="47"/>
        <v>0</v>
      </c>
    </row>
    <row r="128">
      <c r="A128" s="1076" t="s">
        <v>179</v>
      </c>
      <c r="B128" s="274">
        <f t="shared" ref="B128:AE128" si="48">B122+B124+B126</f>
        <v>0</v>
      </c>
      <c r="C128" s="274">
        <f t="shared" si="48"/>
        <v>0</v>
      </c>
      <c r="D128" s="274">
        <f t="shared" si="48"/>
        <v>0</v>
      </c>
      <c r="E128" s="274">
        <f t="shared" si="48"/>
        <v>0</v>
      </c>
      <c r="F128" s="274">
        <f t="shared" si="48"/>
        <v>0</v>
      </c>
      <c r="G128" s="274">
        <f t="shared" si="48"/>
        <v>0</v>
      </c>
      <c r="H128" s="274">
        <f t="shared" si="48"/>
        <v>0</v>
      </c>
      <c r="I128" s="274">
        <f t="shared" si="48"/>
        <v>0</v>
      </c>
      <c r="J128" s="274">
        <f t="shared" si="48"/>
        <v>0</v>
      </c>
      <c r="K128" s="274">
        <f t="shared" si="48"/>
        <v>0</v>
      </c>
      <c r="L128" s="274">
        <f t="shared" si="48"/>
        <v>0</v>
      </c>
      <c r="M128" s="274">
        <f t="shared" si="48"/>
        <v>0</v>
      </c>
      <c r="N128" s="274">
        <f t="shared" si="48"/>
        <v>0</v>
      </c>
      <c r="O128" s="274">
        <f t="shared" si="48"/>
        <v>0</v>
      </c>
      <c r="P128" s="274">
        <f t="shared" si="48"/>
        <v>0</v>
      </c>
      <c r="Q128" s="274">
        <f t="shared" si="48"/>
        <v>0</v>
      </c>
      <c r="R128" s="274">
        <f t="shared" si="48"/>
        <v>0</v>
      </c>
      <c r="S128" s="274">
        <f t="shared" si="48"/>
        <v>0</v>
      </c>
      <c r="T128" s="274">
        <f t="shared" si="48"/>
        <v>0</v>
      </c>
      <c r="U128" s="274">
        <f t="shared" si="48"/>
        <v>0</v>
      </c>
      <c r="V128" s="274">
        <f t="shared" si="48"/>
        <v>0</v>
      </c>
      <c r="W128" s="274">
        <f t="shared" si="48"/>
        <v>0</v>
      </c>
      <c r="X128" s="274">
        <f t="shared" si="48"/>
        <v>0</v>
      </c>
      <c r="Y128" s="274">
        <f t="shared" si="48"/>
        <v>0</v>
      </c>
      <c r="Z128" s="274">
        <f t="shared" si="48"/>
        <v>0</v>
      </c>
      <c r="AA128" s="274">
        <f t="shared" si="48"/>
        <v>0</v>
      </c>
      <c r="AB128" s="274">
        <f t="shared" si="48"/>
        <v>0</v>
      </c>
      <c r="AC128" s="274">
        <f t="shared" si="48"/>
        <v>0</v>
      </c>
      <c r="AD128" s="274">
        <f t="shared" si="48"/>
        <v>0</v>
      </c>
      <c r="AE128" s="274">
        <f t="shared" si="48"/>
        <v>0</v>
      </c>
      <c r="AF128" s="888">
        <f t="shared" si="47"/>
        <v>0</v>
      </c>
    </row>
    <row r="129">
      <c r="A129" s="1076" t="s">
        <v>181</v>
      </c>
      <c r="B129" s="274">
        <f t="shared" ref="B129:AE129" si="49">B123+B125+B127</f>
        <v>3069</v>
      </c>
      <c r="C129" s="274">
        <f t="shared" si="49"/>
        <v>2232</v>
      </c>
      <c r="D129" s="274">
        <f t="shared" si="49"/>
        <v>5022</v>
      </c>
      <c r="E129" s="274">
        <f t="shared" si="49"/>
        <v>6138</v>
      </c>
      <c r="F129" s="274">
        <f t="shared" si="49"/>
        <v>4185</v>
      </c>
      <c r="G129" s="274">
        <f t="shared" si="49"/>
        <v>5580</v>
      </c>
      <c r="H129" s="274">
        <f t="shared" si="49"/>
        <v>3348</v>
      </c>
      <c r="I129" s="274">
        <f t="shared" si="49"/>
        <v>3348</v>
      </c>
      <c r="J129" s="274">
        <f t="shared" si="49"/>
        <v>7812</v>
      </c>
      <c r="K129" s="274">
        <f t="shared" si="49"/>
        <v>5301</v>
      </c>
      <c r="L129" s="274">
        <f t="shared" si="49"/>
        <v>6138</v>
      </c>
      <c r="M129" s="274">
        <f t="shared" si="49"/>
        <v>6975</v>
      </c>
      <c r="N129" s="274">
        <f t="shared" si="49"/>
        <v>7254</v>
      </c>
      <c r="O129" s="274">
        <f t="shared" si="49"/>
        <v>7533</v>
      </c>
      <c r="P129" s="274">
        <f t="shared" si="49"/>
        <v>4185</v>
      </c>
      <c r="Q129" s="274">
        <f t="shared" si="49"/>
        <v>6417</v>
      </c>
      <c r="R129" s="274">
        <f t="shared" si="49"/>
        <v>7254</v>
      </c>
      <c r="S129" s="274">
        <f t="shared" si="49"/>
        <v>7812</v>
      </c>
      <c r="T129" s="274">
        <f t="shared" si="49"/>
        <v>10602</v>
      </c>
      <c r="U129" s="274">
        <f t="shared" si="49"/>
        <v>10044</v>
      </c>
      <c r="V129" s="274">
        <f t="shared" si="49"/>
        <v>10044</v>
      </c>
      <c r="W129" s="274">
        <f t="shared" si="49"/>
        <v>8649</v>
      </c>
      <c r="X129" s="274">
        <f t="shared" si="49"/>
        <v>6975</v>
      </c>
      <c r="Y129" s="274">
        <f t="shared" si="49"/>
        <v>9207</v>
      </c>
      <c r="Z129" s="274">
        <f t="shared" si="49"/>
        <v>8928</v>
      </c>
      <c r="AA129" s="274">
        <f t="shared" si="49"/>
        <v>10881</v>
      </c>
      <c r="AB129" s="274">
        <f t="shared" si="49"/>
        <v>7812</v>
      </c>
      <c r="AC129" s="274">
        <f t="shared" si="49"/>
        <v>11160</v>
      </c>
      <c r="AD129" s="274">
        <f t="shared" si="49"/>
        <v>9765</v>
      </c>
      <c r="AE129" s="274">
        <f t="shared" si="49"/>
        <v>7254</v>
      </c>
      <c r="AF129" s="888">
        <f t="shared" si="47"/>
        <v>210924</v>
      </c>
    </row>
    <row r="130" ht="16.5" customHeight="1">
      <c r="A130" s="20"/>
      <c r="B130" s="580"/>
      <c r="C130" s="580"/>
      <c r="D130" s="580"/>
      <c r="E130" s="580"/>
      <c r="F130" s="580"/>
      <c r="G130" s="580"/>
      <c r="H130" s="580"/>
      <c r="I130" s="580"/>
      <c r="J130" s="580"/>
      <c r="K130" s="580"/>
      <c r="L130" s="580"/>
      <c r="M130" s="580"/>
      <c r="N130" s="580"/>
      <c r="O130" s="580"/>
      <c r="P130" s="580"/>
      <c r="Q130" s="580"/>
      <c r="R130" s="580"/>
      <c r="S130" s="580"/>
      <c r="T130" s="580"/>
      <c r="U130" s="580"/>
      <c r="V130" s="580"/>
      <c r="W130" s="580"/>
      <c r="X130" s="580"/>
      <c r="Y130" s="580"/>
      <c r="Z130" s="580"/>
      <c r="AA130" s="580"/>
      <c r="AB130" s="580"/>
      <c r="AC130" s="580"/>
      <c r="AD130" s="580"/>
      <c r="AE130" s="580"/>
      <c r="AF130" s="888"/>
    </row>
    <row r="131">
      <c r="A131" s="1414" t="s">
        <v>1301</v>
      </c>
      <c r="B131" s="1089"/>
      <c r="C131" s="1442"/>
      <c r="D131" s="1089"/>
      <c r="E131" s="1089"/>
      <c r="F131" s="1089"/>
      <c r="G131" s="1089"/>
      <c r="H131" s="1088"/>
      <c r="I131" s="1443"/>
      <c r="J131" s="1088"/>
      <c r="K131" s="1088"/>
      <c r="L131" s="1088"/>
      <c r="M131" s="1089"/>
      <c r="N131" s="1088"/>
      <c r="O131" s="1088"/>
      <c r="P131" s="1088"/>
      <c r="Q131" s="1088"/>
      <c r="R131" s="1089"/>
      <c r="S131" s="1089"/>
      <c r="T131" s="1088"/>
      <c r="U131" s="1089"/>
      <c r="V131" s="1088"/>
      <c r="W131" s="1088"/>
      <c r="X131" s="1089"/>
      <c r="Y131" s="1088"/>
      <c r="Z131" s="1088"/>
      <c r="AA131" s="1088"/>
      <c r="AB131" s="1088"/>
      <c r="AC131" s="1088"/>
      <c r="AD131" s="1444"/>
      <c r="AE131" s="1088"/>
      <c r="AF131" s="888">
        <f t="shared" ref="AF131:AF136" si="50">SUM(B131:AE131)</f>
        <v>0</v>
      </c>
    </row>
    <row r="132">
      <c r="A132" s="1414" t="s">
        <v>1302</v>
      </c>
      <c r="B132" s="1442"/>
      <c r="C132" s="1442"/>
      <c r="D132" s="1442"/>
      <c r="E132" s="1442"/>
      <c r="F132" s="1442"/>
      <c r="G132" s="1442"/>
      <c r="H132" s="1443"/>
      <c r="I132" s="1443"/>
      <c r="J132" s="1443"/>
      <c r="K132" s="1443"/>
      <c r="L132" s="1442"/>
      <c r="M132" s="1442"/>
      <c r="N132" s="1442"/>
      <c r="O132" s="1442"/>
      <c r="P132" s="1442"/>
      <c r="Q132" s="1089"/>
      <c r="R132" s="1089"/>
      <c r="S132" s="1089"/>
      <c r="T132" s="1089"/>
      <c r="U132" s="1089"/>
      <c r="V132" s="1089"/>
      <c r="W132" s="1089"/>
      <c r="X132" s="1089"/>
      <c r="Y132" s="1089"/>
      <c r="Z132" s="1089"/>
      <c r="AA132" s="1089"/>
      <c r="AB132" s="1089"/>
      <c r="AC132" s="1089"/>
      <c r="AD132" s="1444"/>
      <c r="AE132" s="1088"/>
      <c r="AF132" s="888">
        <f t="shared" si="50"/>
        <v>0</v>
      </c>
    </row>
    <row r="133">
      <c r="A133" s="1071" t="s">
        <v>184</v>
      </c>
      <c r="B133" s="1089"/>
      <c r="C133" s="1089"/>
      <c r="D133" s="1089"/>
      <c r="E133" s="1089"/>
      <c r="F133" s="1089"/>
      <c r="G133" s="1089"/>
      <c r="H133" s="1088"/>
      <c r="I133" s="1088"/>
      <c r="J133" s="1443"/>
      <c r="K133" s="1088"/>
      <c r="L133" s="1088"/>
      <c r="M133" s="1089"/>
      <c r="N133" s="1088"/>
      <c r="O133" s="1088"/>
      <c r="P133" s="1088"/>
      <c r="Q133" s="1088"/>
      <c r="R133" s="1089"/>
      <c r="S133" s="1089"/>
      <c r="T133" s="1088"/>
      <c r="U133" s="1088"/>
      <c r="V133" s="1088"/>
      <c r="W133" s="1088"/>
      <c r="X133" s="1088"/>
      <c r="Y133" s="1088"/>
      <c r="Z133" s="1088"/>
      <c r="AA133" s="1088"/>
      <c r="AB133" s="1088"/>
      <c r="AC133" s="1088"/>
      <c r="AD133" s="1444"/>
      <c r="AE133" s="1088"/>
      <c r="AF133" s="888">
        <f t="shared" si="50"/>
        <v>0</v>
      </c>
    </row>
    <row r="134">
      <c r="A134" s="1414" t="s">
        <v>1308</v>
      </c>
      <c r="B134" s="1089"/>
      <c r="C134" s="1089"/>
      <c r="D134" s="1089"/>
      <c r="E134" s="1089"/>
      <c r="F134" s="1089"/>
      <c r="G134" s="1089"/>
      <c r="H134" s="1088"/>
      <c r="I134" s="1088"/>
      <c r="J134" s="1088"/>
      <c r="K134" s="1088"/>
      <c r="L134" s="1088"/>
      <c r="M134" s="1089"/>
      <c r="N134" s="1088"/>
      <c r="O134" s="1088"/>
      <c r="P134" s="1088"/>
      <c r="Q134" s="1088"/>
      <c r="R134" s="1089"/>
      <c r="S134" s="1089"/>
      <c r="T134" s="1088"/>
      <c r="U134" s="1088"/>
      <c r="V134" s="1088"/>
      <c r="W134" s="1088"/>
      <c r="X134" s="1088"/>
      <c r="Y134" s="1088"/>
      <c r="Z134" s="1088"/>
      <c r="AA134" s="1088"/>
      <c r="AB134" s="1088"/>
      <c r="AC134" s="1088"/>
      <c r="AD134" s="1444"/>
      <c r="AE134" s="1088"/>
      <c r="AF134" s="888">
        <f t="shared" si="50"/>
        <v>0</v>
      </c>
    </row>
    <row r="135">
      <c r="A135" s="1414" t="s">
        <v>1310</v>
      </c>
      <c r="B135" s="1089"/>
      <c r="C135" s="1089"/>
      <c r="D135" s="1089"/>
      <c r="E135" s="1089"/>
      <c r="F135" s="1089"/>
      <c r="G135" s="1089"/>
      <c r="H135" s="1088"/>
      <c r="I135" s="1088"/>
      <c r="J135" s="1088"/>
      <c r="K135" s="1088"/>
      <c r="L135" s="1088"/>
      <c r="M135" s="1089"/>
      <c r="N135" s="1088"/>
      <c r="O135" s="1088"/>
      <c r="P135" s="1088"/>
      <c r="Q135" s="1088"/>
      <c r="R135" s="1089"/>
      <c r="S135" s="1089"/>
      <c r="T135" s="1088"/>
      <c r="U135" s="1088"/>
      <c r="V135" s="1088"/>
      <c r="W135" s="1088"/>
      <c r="X135" s="1088"/>
      <c r="Y135" s="1088"/>
      <c r="Z135" s="1088"/>
      <c r="AA135" s="1088"/>
      <c r="AB135" s="1088"/>
      <c r="AC135" s="1088"/>
      <c r="AD135" s="1444"/>
      <c r="AE135" s="1088"/>
      <c r="AF135" s="888">
        <f t="shared" si="50"/>
        <v>0</v>
      </c>
    </row>
    <row r="136">
      <c r="A136" s="1416" t="s">
        <v>1312</v>
      </c>
      <c r="B136" s="274">
        <f t="shared" ref="B136:AE136" si="51">SUM(B131:B135)</f>
        <v>0</v>
      </c>
      <c r="C136" s="274">
        <f t="shared" si="51"/>
        <v>0</v>
      </c>
      <c r="D136" s="274">
        <f t="shared" si="51"/>
        <v>0</v>
      </c>
      <c r="E136" s="274">
        <f t="shared" si="51"/>
        <v>0</v>
      </c>
      <c r="F136" s="274">
        <f t="shared" si="51"/>
        <v>0</v>
      </c>
      <c r="G136" s="274">
        <f t="shared" si="51"/>
        <v>0</v>
      </c>
      <c r="H136" s="274">
        <f t="shared" si="51"/>
        <v>0</v>
      </c>
      <c r="I136" s="274">
        <f t="shared" si="51"/>
        <v>0</v>
      </c>
      <c r="J136" s="274">
        <f t="shared" si="51"/>
        <v>0</v>
      </c>
      <c r="K136" s="274">
        <f t="shared" si="51"/>
        <v>0</v>
      </c>
      <c r="L136" s="274">
        <f t="shared" si="51"/>
        <v>0</v>
      </c>
      <c r="M136" s="274">
        <f t="shared" si="51"/>
        <v>0</v>
      </c>
      <c r="N136" s="274">
        <f t="shared" si="51"/>
        <v>0</v>
      </c>
      <c r="O136" s="274">
        <f t="shared" si="51"/>
        <v>0</v>
      </c>
      <c r="P136" s="274">
        <f t="shared" si="51"/>
        <v>0</v>
      </c>
      <c r="Q136" s="274">
        <f t="shared" si="51"/>
        <v>0</v>
      </c>
      <c r="R136" s="274">
        <f t="shared" si="51"/>
        <v>0</v>
      </c>
      <c r="S136" s="274">
        <f t="shared" si="51"/>
        <v>0</v>
      </c>
      <c r="T136" s="274">
        <f t="shared" si="51"/>
        <v>0</v>
      </c>
      <c r="U136" s="274">
        <f t="shared" si="51"/>
        <v>0</v>
      </c>
      <c r="V136" s="274">
        <f t="shared" si="51"/>
        <v>0</v>
      </c>
      <c r="W136" s="274">
        <f t="shared" si="51"/>
        <v>0</v>
      </c>
      <c r="X136" s="274">
        <f t="shared" si="51"/>
        <v>0</v>
      </c>
      <c r="Y136" s="274">
        <f t="shared" si="51"/>
        <v>0</v>
      </c>
      <c r="Z136" s="274">
        <f t="shared" si="51"/>
        <v>0</v>
      </c>
      <c r="AA136" s="274">
        <f t="shared" si="51"/>
        <v>0</v>
      </c>
      <c r="AB136" s="274">
        <f t="shared" si="51"/>
        <v>0</v>
      </c>
      <c r="AC136" s="274">
        <f t="shared" si="51"/>
        <v>0</v>
      </c>
      <c r="AD136" s="274">
        <f t="shared" si="51"/>
        <v>0</v>
      </c>
      <c r="AE136" s="274">
        <f t="shared" si="51"/>
        <v>0</v>
      </c>
      <c r="AF136" s="888">
        <f t="shared" si="50"/>
        <v>0</v>
      </c>
    </row>
    <row r="137">
      <c r="A137" s="20"/>
      <c r="B137" s="580"/>
      <c r="C137" s="580"/>
      <c r="D137" s="580"/>
      <c r="E137" s="580"/>
      <c r="F137" s="580"/>
      <c r="G137" s="580"/>
      <c r="H137" s="580"/>
      <c r="I137" s="580"/>
      <c r="J137" s="580"/>
      <c r="K137" s="580"/>
      <c r="L137" s="580"/>
      <c r="M137" s="580"/>
      <c r="N137" s="580"/>
      <c r="O137" s="580"/>
      <c r="P137" s="580"/>
      <c r="Q137" s="580"/>
      <c r="R137" s="580"/>
      <c r="S137" s="580"/>
      <c r="T137" s="580"/>
      <c r="U137" s="580"/>
      <c r="V137" s="580"/>
      <c r="W137" s="580"/>
      <c r="X137" s="580"/>
      <c r="Y137" s="580"/>
      <c r="Z137" s="580"/>
      <c r="AA137" s="580"/>
      <c r="AB137" s="580"/>
      <c r="AC137" s="580"/>
      <c r="AD137" s="580"/>
      <c r="AE137" s="580"/>
      <c r="AF137" s="888"/>
    </row>
    <row r="138">
      <c r="A138" s="1071" t="s">
        <v>189</v>
      </c>
      <c r="B138" s="1092"/>
      <c r="C138" s="1442"/>
      <c r="D138" s="1092"/>
      <c r="E138" s="1089"/>
      <c r="F138" s="1092"/>
      <c r="G138" s="1092"/>
      <c r="H138" s="71"/>
      <c r="I138" s="71"/>
      <c r="J138" s="71"/>
      <c r="K138" s="71"/>
      <c r="L138" s="71"/>
      <c r="M138" s="1092"/>
      <c r="N138" s="71"/>
      <c r="O138" s="71"/>
      <c r="P138" s="71"/>
      <c r="Q138" s="71"/>
      <c r="R138" s="1092"/>
      <c r="S138" s="1092"/>
      <c r="T138" s="71"/>
      <c r="U138" s="71"/>
      <c r="V138" s="71"/>
      <c r="W138" s="71"/>
      <c r="X138" s="71"/>
      <c r="Y138" s="71"/>
      <c r="Z138" s="71"/>
      <c r="AA138" s="71"/>
      <c r="AB138" s="71"/>
      <c r="AC138" s="71"/>
      <c r="AD138" s="71"/>
      <c r="AE138" s="71"/>
      <c r="AF138" s="888">
        <f t="shared" ref="AF138:AF143" si="52">SUM(B138:AE138)</f>
        <v>0</v>
      </c>
    </row>
    <row r="139">
      <c r="A139" s="1071" t="s">
        <v>190</v>
      </c>
      <c r="B139" s="1092"/>
      <c r="C139" s="1442"/>
      <c r="D139" s="1092"/>
      <c r="E139" s="1442"/>
      <c r="F139" s="1092"/>
      <c r="G139" s="1092"/>
      <c r="H139" s="71"/>
      <c r="I139" s="71"/>
      <c r="J139" s="71"/>
      <c r="K139" s="71"/>
      <c r="L139" s="71"/>
      <c r="M139" s="1092"/>
      <c r="N139" s="71"/>
      <c r="O139" s="71"/>
      <c r="P139" s="71"/>
      <c r="Q139" s="71"/>
      <c r="R139" s="1092"/>
      <c r="S139" s="1092"/>
      <c r="T139" s="71"/>
      <c r="U139" s="71"/>
      <c r="V139" s="71"/>
      <c r="W139" s="71"/>
      <c r="X139" s="71"/>
      <c r="Y139" s="71"/>
      <c r="Z139" s="71"/>
      <c r="AA139" s="71"/>
      <c r="AB139" s="71"/>
      <c r="AC139" s="71"/>
      <c r="AD139" s="71"/>
      <c r="AE139" s="71"/>
      <c r="AF139" s="888">
        <f t="shared" si="52"/>
        <v>0</v>
      </c>
    </row>
    <row r="140">
      <c r="A140" s="1071" t="s">
        <v>191</v>
      </c>
      <c r="B140" s="1092"/>
      <c r="C140" s="1089"/>
      <c r="D140" s="1092"/>
      <c r="E140" s="1089"/>
      <c r="F140" s="1092"/>
      <c r="G140" s="1092"/>
      <c r="H140" s="71"/>
      <c r="I140" s="71"/>
      <c r="J140" s="71"/>
      <c r="K140" s="71"/>
      <c r="L140" s="71"/>
      <c r="M140" s="1092"/>
      <c r="N140" s="71"/>
      <c r="O140" s="71"/>
      <c r="P140" s="71"/>
      <c r="Q140" s="71"/>
      <c r="R140" s="1092"/>
      <c r="S140" s="1092"/>
      <c r="T140" s="71"/>
      <c r="U140" s="71"/>
      <c r="V140" s="71"/>
      <c r="W140" s="1088"/>
      <c r="X140" s="71"/>
      <c r="Y140" s="71"/>
      <c r="Z140" s="71"/>
      <c r="AA140" s="71"/>
      <c r="AB140" s="71"/>
      <c r="AC140" s="71"/>
      <c r="AD140" s="71"/>
      <c r="AE140" s="71"/>
      <c r="AF140" s="888">
        <f t="shared" si="52"/>
        <v>0</v>
      </c>
    </row>
    <row r="141">
      <c r="A141" s="1071" t="s">
        <v>192</v>
      </c>
      <c r="B141" s="1092"/>
      <c r="C141" s="1089"/>
      <c r="D141" s="1092"/>
      <c r="E141" s="1089"/>
      <c r="F141" s="1092"/>
      <c r="G141" s="1092"/>
      <c r="H141" s="71"/>
      <c r="I141" s="71"/>
      <c r="J141" s="71"/>
      <c r="K141" s="71"/>
      <c r="L141" s="71"/>
      <c r="M141" s="1092"/>
      <c r="N141" s="71"/>
      <c r="O141" s="71"/>
      <c r="P141" s="71"/>
      <c r="Q141" s="71"/>
      <c r="R141" s="1092"/>
      <c r="S141" s="1092"/>
      <c r="T141" s="71"/>
      <c r="U141" s="71"/>
      <c r="V141" s="71"/>
      <c r="W141" s="71"/>
      <c r="X141" s="71"/>
      <c r="Y141" s="71"/>
      <c r="Z141" s="71"/>
      <c r="AA141" s="71"/>
      <c r="AB141" s="71"/>
      <c r="AC141" s="71"/>
      <c r="AD141" s="71"/>
      <c r="AE141" s="71"/>
      <c r="AF141" s="888">
        <f t="shared" si="52"/>
        <v>0</v>
      </c>
    </row>
    <row r="142">
      <c r="A142" s="1071" t="s">
        <v>193</v>
      </c>
      <c r="B142" s="1092"/>
      <c r="C142" s="1089"/>
      <c r="D142" s="1092"/>
      <c r="E142" s="1089"/>
      <c r="F142" s="1092"/>
      <c r="G142" s="1092"/>
      <c r="H142" s="71"/>
      <c r="I142" s="71"/>
      <c r="J142" s="71"/>
      <c r="K142" s="71"/>
      <c r="L142" s="71"/>
      <c r="M142" s="1092"/>
      <c r="N142" s="71"/>
      <c r="O142" s="71"/>
      <c r="P142" s="71"/>
      <c r="Q142" s="71"/>
      <c r="R142" s="1092"/>
      <c r="S142" s="1092"/>
      <c r="T142" s="71"/>
      <c r="U142" s="71"/>
      <c r="V142" s="71"/>
      <c r="W142" s="71"/>
      <c r="X142" s="71"/>
      <c r="Y142" s="71"/>
      <c r="Z142" s="71"/>
      <c r="AA142" s="71"/>
      <c r="AB142" s="71"/>
      <c r="AC142" s="71"/>
      <c r="AD142" s="71"/>
      <c r="AE142" s="71"/>
      <c r="AF142" s="888">
        <f t="shared" si="52"/>
        <v>0</v>
      </c>
    </row>
    <row r="143">
      <c r="A143" s="1079" t="s">
        <v>195</v>
      </c>
      <c r="B143" s="274">
        <f t="shared" ref="B143:AE143" si="53">SUM(B138:B142)</f>
        <v>0</v>
      </c>
      <c r="C143" s="274">
        <f t="shared" si="53"/>
        <v>0</v>
      </c>
      <c r="D143" s="274">
        <f t="shared" si="53"/>
        <v>0</v>
      </c>
      <c r="E143" s="274">
        <f t="shared" si="53"/>
        <v>0</v>
      </c>
      <c r="F143" s="274">
        <f t="shared" si="53"/>
        <v>0</v>
      </c>
      <c r="G143" s="274">
        <f t="shared" si="53"/>
        <v>0</v>
      </c>
      <c r="H143" s="274">
        <f t="shared" si="53"/>
        <v>0</v>
      </c>
      <c r="I143" s="274">
        <f t="shared" si="53"/>
        <v>0</v>
      </c>
      <c r="J143" s="274">
        <f t="shared" si="53"/>
        <v>0</v>
      </c>
      <c r="K143" s="274">
        <f t="shared" si="53"/>
        <v>0</v>
      </c>
      <c r="L143" s="274">
        <f t="shared" si="53"/>
        <v>0</v>
      </c>
      <c r="M143" s="274">
        <f t="shared" si="53"/>
        <v>0</v>
      </c>
      <c r="N143" s="274">
        <f t="shared" si="53"/>
        <v>0</v>
      </c>
      <c r="O143" s="274">
        <f t="shared" si="53"/>
        <v>0</v>
      </c>
      <c r="P143" s="274">
        <f t="shared" si="53"/>
        <v>0</v>
      </c>
      <c r="Q143" s="274">
        <f t="shared" si="53"/>
        <v>0</v>
      </c>
      <c r="R143" s="274">
        <f t="shared" si="53"/>
        <v>0</v>
      </c>
      <c r="S143" s="274">
        <f t="shared" si="53"/>
        <v>0</v>
      </c>
      <c r="T143" s="274">
        <f t="shared" si="53"/>
        <v>0</v>
      </c>
      <c r="U143" s="274">
        <f t="shared" si="53"/>
        <v>0</v>
      </c>
      <c r="V143" s="274">
        <f t="shared" si="53"/>
        <v>0</v>
      </c>
      <c r="W143" s="274">
        <f t="shared" si="53"/>
        <v>0</v>
      </c>
      <c r="X143" s="274">
        <f t="shared" si="53"/>
        <v>0</v>
      </c>
      <c r="Y143" s="274">
        <f t="shared" si="53"/>
        <v>0</v>
      </c>
      <c r="Z143" s="274">
        <f t="shared" si="53"/>
        <v>0</v>
      </c>
      <c r="AA143" s="274">
        <f t="shared" si="53"/>
        <v>0</v>
      </c>
      <c r="AB143" s="274">
        <f t="shared" si="53"/>
        <v>0</v>
      </c>
      <c r="AC143" s="274">
        <f t="shared" si="53"/>
        <v>0</v>
      </c>
      <c r="AD143" s="274">
        <f t="shared" si="53"/>
        <v>0</v>
      </c>
      <c r="AE143" s="274">
        <f t="shared" si="53"/>
        <v>0</v>
      </c>
      <c r="AF143" s="888">
        <f t="shared" si="52"/>
        <v>0</v>
      </c>
    </row>
    <row r="144">
      <c r="A144" s="20"/>
      <c r="B144" s="580"/>
      <c r="C144" s="580"/>
      <c r="D144" s="580"/>
      <c r="E144" s="580"/>
      <c r="F144" s="580"/>
      <c r="G144" s="580"/>
      <c r="H144" s="580"/>
      <c r="I144" s="580"/>
      <c r="J144" s="580"/>
      <c r="K144" s="580"/>
      <c r="L144" s="580"/>
      <c r="M144" s="580"/>
      <c r="N144" s="580"/>
      <c r="O144" s="580"/>
      <c r="P144" s="580"/>
      <c r="Q144" s="580"/>
      <c r="R144" s="580"/>
      <c r="S144" s="580"/>
      <c r="T144" s="580"/>
      <c r="U144" s="580"/>
      <c r="V144" s="580"/>
      <c r="W144" s="580"/>
      <c r="X144" s="580"/>
      <c r="Y144" s="580"/>
      <c r="Z144" s="580"/>
      <c r="AA144" s="580"/>
      <c r="AB144" s="580"/>
      <c r="AC144" s="580"/>
      <c r="AD144" s="580"/>
      <c r="AE144" s="580"/>
      <c r="AF144" s="888"/>
    </row>
    <row r="145">
      <c r="A145" s="1071" t="s">
        <v>196</v>
      </c>
      <c r="B145" s="681"/>
      <c r="C145" s="61"/>
      <c r="D145" s="681"/>
      <c r="E145" s="61"/>
      <c r="F145" s="61"/>
      <c r="G145" s="61"/>
      <c r="H145" s="61"/>
      <c r="I145" s="61"/>
      <c r="J145" s="681"/>
      <c r="K145" s="681"/>
      <c r="L145" s="681"/>
      <c r="M145" s="681"/>
      <c r="N145" s="681"/>
      <c r="O145" s="681"/>
      <c r="P145" s="681"/>
      <c r="Q145" s="681"/>
      <c r="R145" s="681"/>
      <c r="S145" s="681"/>
      <c r="T145" s="681"/>
      <c r="U145" s="681"/>
      <c r="V145" s="681"/>
      <c r="W145" s="681"/>
      <c r="X145" s="681"/>
      <c r="Y145" s="681"/>
      <c r="Z145" s="681"/>
      <c r="AA145" s="681"/>
      <c r="AB145" s="681"/>
      <c r="AC145" s="681"/>
      <c r="AD145" s="681"/>
      <c r="AE145" s="681"/>
      <c r="AF145" s="888">
        <f t="shared" ref="AF145:AF150" si="54">SUM(B145:AE145)</f>
        <v>0</v>
      </c>
    </row>
    <row r="146">
      <c r="A146" s="1071" t="s">
        <v>197</v>
      </c>
      <c r="B146" s="681"/>
      <c r="C146" s="681"/>
      <c r="D146" s="61"/>
      <c r="E146" s="61"/>
      <c r="F146" s="61"/>
      <c r="G146" s="61"/>
      <c r="H146" s="61"/>
      <c r="I146" s="61"/>
      <c r="J146" s="681"/>
      <c r="K146" s="681"/>
      <c r="L146" s="681"/>
      <c r="M146" s="681"/>
      <c r="N146" s="681"/>
      <c r="O146" s="681"/>
      <c r="P146" s="681"/>
      <c r="Q146" s="681"/>
      <c r="R146" s="681"/>
      <c r="S146" s="681"/>
      <c r="T146" s="681"/>
      <c r="U146" s="681"/>
      <c r="V146" s="681"/>
      <c r="W146" s="681"/>
      <c r="X146" s="681"/>
      <c r="Y146" s="681"/>
      <c r="Z146" s="681"/>
      <c r="AA146" s="681"/>
      <c r="AB146" s="681"/>
      <c r="AC146" s="681"/>
      <c r="AD146" s="681"/>
      <c r="AE146" s="681"/>
      <c r="AF146" s="888">
        <f t="shared" si="54"/>
        <v>0</v>
      </c>
    </row>
    <row r="147">
      <c r="A147" s="1071" t="s">
        <v>198</v>
      </c>
      <c r="B147" s="681"/>
      <c r="C147" s="61"/>
      <c r="D147" s="681"/>
      <c r="E147" s="61"/>
      <c r="F147" s="61"/>
      <c r="G147" s="61"/>
      <c r="H147" s="61"/>
      <c r="I147" s="61"/>
      <c r="J147" s="681"/>
      <c r="K147" s="681"/>
      <c r="L147" s="681"/>
      <c r="M147" s="681"/>
      <c r="N147" s="681"/>
      <c r="O147" s="681"/>
      <c r="P147" s="681"/>
      <c r="Q147" s="681"/>
      <c r="R147" s="681"/>
      <c r="S147" s="681"/>
      <c r="T147" s="681"/>
      <c r="U147" s="681"/>
      <c r="V147" s="681"/>
      <c r="W147" s="681"/>
      <c r="X147" s="681"/>
      <c r="Y147" s="681"/>
      <c r="Z147" s="681"/>
      <c r="AA147" s="681"/>
      <c r="AB147" s="681"/>
      <c r="AC147" s="681"/>
      <c r="AD147" s="681"/>
      <c r="AE147" s="681"/>
      <c r="AF147" s="888">
        <f t="shared" si="54"/>
        <v>0</v>
      </c>
    </row>
    <row r="148">
      <c r="A148" s="1071" t="s">
        <v>199</v>
      </c>
      <c r="B148" s="681"/>
      <c r="C148" s="61"/>
      <c r="D148" s="681"/>
      <c r="E148" s="61"/>
      <c r="F148" s="61"/>
      <c r="G148" s="61"/>
      <c r="H148" s="61"/>
      <c r="I148" s="61"/>
      <c r="J148" s="681"/>
      <c r="K148" s="681"/>
      <c r="L148" s="681"/>
      <c r="M148" s="681"/>
      <c r="N148" s="681"/>
      <c r="O148" s="681"/>
      <c r="P148" s="681"/>
      <c r="Q148" s="681"/>
      <c r="R148" s="681"/>
      <c r="S148" s="681"/>
      <c r="T148" s="681"/>
      <c r="U148" s="681"/>
      <c r="V148" s="681"/>
      <c r="W148" s="681"/>
      <c r="X148" s="681"/>
      <c r="Y148" s="681"/>
      <c r="Z148" s="681"/>
      <c r="AA148" s="681"/>
      <c r="AB148" s="681"/>
      <c r="AC148" s="681"/>
      <c r="AD148" s="681"/>
      <c r="AE148" s="681"/>
      <c r="AF148" s="888">
        <f t="shared" si="54"/>
        <v>0</v>
      </c>
    </row>
    <row r="149">
      <c r="A149" s="1071" t="s">
        <v>201</v>
      </c>
      <c r="B149" s="61"/>
      <c r="C149" s="681"/>
      <c r="D149" s="681"/>
      <c r="E149" s="61"/>
      <c r="F149" s="61"/>
      <c r="G149" s="61"/>
      <c r="H149" s="61"/>
      <c r="I149" s="61"/>
      <c r="J149" s="681"/>
      <c r="K149" s="681"/>
      <c r="L149" s="681"/>
      <c r="M149" s="681"/>
      <c r="N149" s="681"/>
      <c r="O149" s="681"/>
      <c r="P149" s="681"/>
      <c r="Q149" s="681"/>
      <c r="R149" s="681"/>
      <c r="S149" s="681"/>
      <c r="T149" s="681"/>
      <c r="U149" s="681"/>
      <c r="V149" s="681"/>
      <c r="W149" s="61"/>
      <c r="X149" s="681"/>
      <c r="Y149" s="681"/>
      <c r="Z149" s="681"/>
      <c r="AA149" s="681"/>
      <c r="AB149" s="681"/>
      <c r="AC149" s="681"/>
      <c r="AD149" s="681"/>
      <c r="AE149" s="681"/>
      <c r="AF149" s="888">
        <f t="shared" si="54"/>
        <v>0</v>
      </c>
    </row>
    <row r="150">
      <c r="A150" s="1079" t="s">
        <v>202</v>
      </c>
      <c r="B150" s="274">
        <f t="shared" ref="B150:AE150" si="55">SUM(B145:B149)</f>
        <v>0</v>
      </c>
      <c r="C150" s="274">
        <f t="shared" si="55"/>
        <v>0</v>
      </c>
      <c r="D150" s="274">
        <f t="shared" si="55"/>
        <v>0</v>
      </c>
      <c r="E150" s="274">
        <f t="shared" si="55"/>
        <v>0</v>
      </c>
      <c r="F150" s="274">
        <f t="shared" si="55"/>
        <v>0</v>
      </c>
      <c r="G150" s="274">
        <f t="shared" si="55"/>
        <v>0</v>
      </c>
      <c r="H150" s="274">
        <f t="shared" si="55"/>
        <v>0</v>
      </c>
      <c r="I150" s="274">
        <f t="shared" si="55"/>
        <v>0</v>
      </c>
      <c r="J150" s="274">
        <f t="shared" si="55"/>
        <v>0</v>
      </c>
      <c r="K150" s="274">
        <f t="shared" si="55"/>
        <v>0</v>
      </c>
      <c r="L150" s="274">
        <f t="shared" si="55"/>
        <v>0</v>
      </c>
      <c r="M150" s="274">
        <f t="shared" si="55"/>
        <v>0</v>
      </c>
      <c r="N150" s="274">
        <f t="shared" si="55"/>
        <v>0</v>
      </c>
      <c r="O150" s="274">
        <f t="shared" si="55"/>
        <v>0</v>
      </c>
      <c r="P150" s="274">
        <f t="shared" si="55"/>
        <v>0</v>
      </c>
      <c r="Q150" s="274">
        <f t="shared" si="55"/>
        <v>0</v>
      </c>
      <c r="R150" s="274">
        <f t="shared" si="55"/>
        <v>0</v>
      </c>
      <c r="S150" s="274">
        <f t="shared" si="55"/>
        <v>0</v>
      </c>
      <c r="T150" s="274">
        <f t="shared" si="55"/>
        <v>0</v>
      </c>
      <c r="U150" s="274">
        <f t="shared" si="55"/>
        <v>0</v>
      </c>
      <c r="V150" s="274">
        <f t="shared" si="55"/>
        <v>0</v>
      </c>
      <c r="W150" s="274">
        <f t="shared" si="55"/>
        <v>0</v>
      </c>
      <c r="X150" s="274">
        <f t="shared" si="55"/>
        <v>0</v>
      </c>
      <c r="Y150" s="274">
        <f t="shared" si="55"/>
        <v>0</v>
      </c>
      <c r="Z150" s="274">
        <f t="shared" si="55"/>
        <v>0</v>
      </c>
      <c r="AA150" s="274">
        <f t="shared" si="55"/>
        <v>0</v>
      </c>
      <c r="AB150" s="274">
        <f t="shared" si="55"/>
        <v>0</v>
      </c>
      <c r="AC150" s="274">
        <f t="shared" si="55"/>
        <v>0</v>
      </c>
      <c r="AD150" s="274">
        <f t="shared" si="55"/>
        <v>0</v>
      </c>
      <c r="AE150" s="274">
        <f t="shared" si="55"/>
        <v>0</v>
      </c>
      <c r="AF150" s="888">
        <f t="shared" si="54"/>
        <v>0</v>
      </c>
    </row>
    <row r="151">
      <c r="A151" s="854"/>
      <c r="AF151" s="888"/>
    </row>
    <row r="152">
      <c r="A152" s="854"/>
      <c r="J152" s="1" t="s">
        <v>334</v>
      </c>
      <c r="AF152" s="700"/>
    </row>
    <row r="153">
      <c r="A153" s="931" t="s">
        <v>1029</v>
      </c>
      <c r="B153" s="651"/>
      <c r="C153" s="651"/>
      <c r="D153" s="651"/>
      <c r="E153" s="651"/>
      <c r="F153" s="651"/>
      <c r="G153" s="651"/>
      <c r="H153" s="651"/>
      <c r="I153" s="582"/>
      <c r="J153" s="582"/>
      <c r="K153" s="582"/>
      <c r="L153" s="582"/>
      <c r="M153" s="582"/>
      <c r="N153" s="582"/>
      <c r="O153" s="582"/>
      <c r="P153" s="582"/>
      <c r="Q153" s="582"/>
      <c r="R153" s="582"/>
      <c r="S153" s="582"/>
      <c r="T153" s="582"/>
      <c r="U153" s="582"/>
      <c r="V153" s="582"/>
      <c r="W153" s="582"/>
      <c r="X153" s="582"/>
      <c r="Y153" s="582"/>
      <c r="Z153" s="582"/>
      <c r="AA153" s="582"/>
      <c r="AB153" s="582"/>
      <c r="AC153" s="582"/>
      <c r="AD153" s="582"/>
      <c r="AE153" s="582"/>
      <c r="AF153" s="700"/>
    </row>
    <row r="154">
      <c r="A154" s="1093" t="s">
        <v>1337</v>
      </c>
      <c r="B154" s="1077"/>
      <c r="C154" s="1077"/>
      <c r="D154" s="1077"/>
      <c r="E154" s="1077"/>
      <c r="F154" s="1078"/>
      <c r="G154" s="1077"/>
      <c r="H154" s="1077"/>
      <c r="I154" s="1077"/>
      <c r="J154" s="1077"/>
      <c r="K154" s="1077"/>
      <c r="L154" s="1077"/>
      <c r="M154" s="1077"/>
      <c r="N154" s="1077"/>
      <c r="O154" s="1077"/>
      <c r="P154" s="1077"/>
      <c r="Q154" s="1077"/>
      <c r="R154" s="1077"/>
      <c r="S154" s="1078"/>
      <c r="T154" s="1078"/>
      <c r="U154" s="1077"/>
      <c r="V154" s="1077"/>
      <c r="W154" s="1078"/>
      <c r="X154" s="1078"/>
      <c r="Y154" s="1077"/>
      <c r="Z154" s="1077"/>
      <c r="AA154" s="1077"/>
      <c r="AB154" s="1077"/>
      <c r="AC154" s="1077"/>
      <c r="AD154" s="1077"/>
      <c r="AE154" s="1077"/>
      <c r="AF154" s="1015">
        <f t="shared" ref="AF154:AF161" si="56">SUM(B154:AE154)</f>
        <v>0</v>
      </c>
    </row>
    <row r="155">
      <c r="A155" s="1093" t="s">
        <v>212</v>
      </c>
      <c r="B155" s="581">
        <v>2.0</v>
      </c>
      <c r="C155" s="581">
        <v>2.0</v>
      </c>
      <c r="D155" s="581">
        <v>0.0</v>
      </c>
      <c r="E155" s="581">
        <v>0.0</v>
      </c>
      <c r="F155" s="581">
        <v>0.0</v>
      </c>
      <c r="G155" s="581">
        <v>2.0</v>
      </c>
      <c r="H155" s="581">
        <v>2.0</v>
      </c>
      <c r="I155" s="581">
        <v>1.0</v>
      </c>
      <c r="J155" s="331">
        <v>2.0</v>
      </c>
      <c r="K155" s="331">
        <v>1.0</v>
      </c>
      <c r="L155" s="331">
        <v>1.0</v>
      </c>
      <c r="M155" s="331">
        <v>0.0</v>
      </c>
      <c r="N155" s="331">
        <v>1.0</v>
      </c>
      <c r="O155" s="331">
        <v>1.0</v>
      </c>
      <c r="P155" s="331">
        <v>2.0</v>
      </c>
      <c r="Q155" s="331">
        <v>1.0</v>
      </c>
      <c r="R155" s="331">
        <v>2.0</v>
      </c>
      <c r="S155" s="331">
        <v>1.0</v>
      </c>
      <c r="T155" s="331">
        <v>1.0</v>
      </c>
      <c r="U155" s="331">
        <v>3.0</v>
      </c>
      <c r="V155" s="331">
        <v>2.0</v>
      </c>
      <c r="W155" s="1074">
        <v>3.0</v>
      </c>
      <c r="X155" s="1074">
        <v>0.0</v>
      </c>
      <c r="Y155" s="331">
        <v>1.0</v>
      </c>
      <c r="Z155" s="331">
        <v>2.0</v>
      </c>
      <c r="AA155" s="331">
        <v>1.0</v>
      </c>
      <c r="AB155" s="331">
        <v>0.0</v>
      </c>
      <c r="AC155" s="331">
        <v>0.0</v>
      </c>
      <c r="AD155" s="331">
        <v>0.0</v>
      </c>
      <c r="AE155" s="331">
        <v>0.0</v>
      </c>
      <c r="AF155" s="1015">
        <f t="shared" si="56"/>
        <v>34</v>
      </c>
    </row>
    <row r="156">
      <c r="A156" s="1093" t="s">
        <v>172</v>
      </c>
      <c r="B156" s="1077"/>
      <c r="C156" s="1077"/>
      <c r="D156" s="1077"/>
      <c r="E156" s="1077"/>
      <c r="F156" s="1078"/>
      <c r="G156" s="1077"/>
      <c r="H156" s="1077"/>
      <c r="I156" s="1077"/>
      <c r="J156" s="1077"/>
      <c r="K156" s="1077"/>
      <c r="L156" s="1077"/>
      <c r="M156" s="1077"/>
      <c r="N156" s="1077"/>
      <c r="O156" s="1077"/>
      <c r="P156" s="1077"/>
      <c r="Q156" s="1077"/>
      <c r="R156" s="1077"/>
      <c r="S156" s="1078"/>
      <c r="T156" s="1078"/>
      <c r="U156" s="1077"/>
      <c r="V156" s="1077"/>
      <c r="W156" s="1078"/>
      <c r="X156" s="1078"/>
      <c r="Y156" s="1077"/>
      <c r="Z156" s="1077"/>
      <c r="AA156" s="1077"/>
      <c r="AB156" s="1077"/>
      <c r="AC156" s="1077"/>
      <c r="AD156" s="1077"/>
      <c r="AE156" s="1077"/>
      <c r="AF156" s="1015">
        <f t="shared" si="56"/>
        <v>0</v>
      </c>
    </row>
    <row r="157">
      <c r="A157" s="1093" t="s">
        <v>174</v>
      </c>
      <c r="B157" s="1077"/>
      <c r="C157" s="1077"/>
      <c r="D157" s="1077"/>
      <c r="E157" s="1077"/>
      <c r="F157" s="1078"/>
      <c r="G157" s="1077"/>
      <c r="H157" s="1077"/>
      <c r="I157" s="1077"/>
      <c r="J157" s="1077"/>
      <c r="K157" s="1077"/>
      <c r="L157" s="1077"/>
      <c r="M157" s="1077"/>
      <c r="N157" s="1077"/>
      <c r="O157" s="1077"/>
      <c r="P157" s="1077"/>
      <c r="Q157" s="1077"/>
      <c r="R157" s="1077"/>
      <c r="S157" s="1078"/>
      <c r="T157" s="1078"/>
      <c r="U157" s="1077"/>
      <c r="V157" s="1077"/>
      <c r="W157" s="1078"/>
      <c r="X157" s="1078"/>
      <c r="Y157" s="1077"/>
      <c r="Z157" s="1077"/>
      <c r="AA157" s="1077"/>
      <c r="AB157" s="1077"/>
      <c r="AC157" s="1077"/>
      <c r="AD157" s="1077"/>
      <c r="AE157" s="1077"/>
      <c r="AF157" s="1015">
        <f t="shared" si="56"/>
        <v>0</v>
      </c>
    </row>
    <row r="158">
      <c r="A158" s="1093" t="s">
        <v>175</v>
      </c>
      <c r="B158" s="1075"/>
      <c r="C158" s="1075"/>
      <c r="D158" s="1075"/>
      <c r="E158" s="1075"/>
      <c r="F158" s="1415"/>
      <c r="G158" s="694"/>
      <c r="H158" s="694"/>
      <c r="I158" s="694"/>
      <c r="J158" s="694"/>
      <c r="K158" s="1075"/>
      <c r="L158" s="694"/>
      <c r="M158" s="694"/>
      <c r="N158" s="694"/>
      <c r="O158" s="694"/>
      <c r="P158" s="694"/>
      <c r="Q158" s="694"/>
      <c r="R158" s="694"/>
      <c r="S158" s="694"/>
      <c r="T158" s="694"/>
      <c r="U158" s="694"/>
      <c r="V158" s="694"/>
      <c r="W158" s="694"/>
      <c r="X158" s="694"/>
      <c r="Y158" s="694"/>
      <c r="Z158" s="694"/>
      <c r="AA158" s="694"/>
      <c r="AB158" s="694"/>
      <c r="AC158" s="694"/>
      <c r="AD158" s="694"/>
      <c r="AE158" s="694"/>
      <c r="AF158" s="1015">
        <f t="shared" si="56"/>
        <v>0</v>
      </c>
    </row>
    <row r="159">
      <c r="A159" s="1093" t="s">
        <v>178</v>
      </c>
      <c r="B159" s="1075"/>
      <c r="C159" s="1075"/>
      <c r="D159" s="1075"/>
      <c r="E159" s="1075"/>
      <c r="F159" s="1415"/>
      <c r="G159" s="694"/>
      <c r="H159" s="694"/>
      <c r="I159" s="694"/>
      <c r="J159" s="694"/>
      <c r="K159" s="694"/>
      <c r="L159" s="694"/>
      <c r="M159" s="694"/>
      <c r="N159" s="694"/>
      <c r="O159" s="694"/>
      <c r="P159" s="694"/>
      <c r="Q159" s="694"/>
      <c r="R159" s="694"/>
      <c r="S159" s="694"/>
      <c r="T159" s="694"/>
      <c r="U159" s="694"/>
      <c r="V159" s="694"/>
      <c r="W159" s="694"/>
      <c r="X159" s="694"/>
      <c r="Y159" s="694"/>
      <c r="Z159" s="694"/>
      <c r="AA159" s="694"/>
      <c r="AB159" s="694"/>
      <c r="AC159" s="694"/>
      <c r="AD159" s="694"/>
      <c r="AE159" s="694"/>
      <c r="AF159" s="1015">
        <f t="shared" si="56"/>
        <v>0</v>
      </c>
    </row>
    <row r="160">
      <c r="A160" s="1095" t="s">
        <v>179</v>
      </c>
      <c r="B160" s="317">
        <f t="shared" ref="B160:AE160" si="57">B154+B156+B158</f>
        <v>0</v>
      </c>
      <c r="C160" s="317">
        <f t="shared" si="57"/>
        <v>0</v>
      </c>
      <c r="D160" s="317">
        <f t="shared" si="57"/>
        <v>0</v>
      </c>
      <c r="E160" s="317">
        <f t="shared" si="57"/>
        <v>0</v>
      </c>
      <c r="F160" s="317">
        <f t="shared" si="57"/>
        <v>0</v>
      </c>
      <c r="G160" s="317">
        <f t="shared" si="57"/>
        <v>0</v>
      </c>
      <c r="H160" s="317">
        <f t="shared" si="57"/>
        <v>0</v>
      </c>
      <c r="I160" s="317">
        <f t="shared" si="57"/>
        <v>0</v>
      </c>
      <c r="J160" s="317">
        <f t="shared" si="57"/>
        <v>0</v>
      </c>
      <c r="K160" s="317">
        <f t="shared" si="57"/>
        <v>0</v>
      </c>
      <c r="L160" s="317">
        <f t="shared" si="57"/>
        <v>0</v>
      </c>
      <c r="M160" s="317">
        <f t="shared" si="57"/>
        <v>0</v>
      </c>
      <c r="N160" s="317">
        <f t="shared" si="57"/>
        <v>0</v>
      </c>
      <c r="O160" s="317">
        <f t="shared" si="57"/>
        <v>0</v>
      </c>
      <c r="P160" s="317">
        <f t="shared" si="57"/>
        <v>0</v>
      </c>
      <c r="Q160" s="317">
        <f t="shared" si="57"/>
        <v>0</v>
      </c>
      <c r="R160" s="317">
        <f t="shared" si="57"/>
        <v>0</v>
      </c>
      <c r="S160" s="317">
        <f t="shared" si="57"/>
        <v>0</v>
      </c>
      <c r="T160" s="317">
        <f t="shared" si="57"/>
        <v>0</v>
      </c>
      <c r="U160" s="317">
        <f t="shared" si="57"/>
        <v>0</v>
      </c>
      <c r="V160" s="317">
        <f t="shared" si="57"/>
        <v>0</v>
      </c>
      <c r="W160" s="317">
        <f t="shared" si="57"/>
        <v>0</v>
      </c>
      <c r="X160" s="317">
        <f t="shared" si="57"/>
        <v>0</v>
      </c>
      <c r="Y160" s="317">
        <f t="shared" si="57"/>
        <v>0</v>
      </c>
      <c r="Z160" s="317">
        <f t="shared" si="57"/>
        <v>0</v>
      </c>
      <c r="AA160" s="317">
        <f t="shared" si="57"/>
        <v>0</v>
      </c>
      <c r="AB160" s="317">
        <f t="shared" si="57"/>
        <v>0</v>
      </c>
      <c r="AC160" s="317">
        <f t="shared" si="57"/>
        <v>0</v>
      </c>
      <c r="AD160" s="317">
        <f t="shared" si="57"/>
        <v>0</v>
      </c>
      <c r="AE160" s="317">
        <f t="shared" si="57"/>
        <v>0</v>
      </c>
      <c r="AF160" s="1015">
        <f t="shared" si="56"/>
        <v>0</v>
      </c>
    </row>
    <row r="161">
      <c r="A161" s="1095" t="s">
        <v>181</v>
      </c>
      <c r="B161" s="317">
        <f t="shared" ref="B161:AE161" si="58">B155+B157+B159</f>
        <v>2</v>
      </c>
      <c r="C161" s="317">
        <f t="shared" si="58"/>
        <v>2</v>
      </c>
      <c r="D161" s="317">
        <f t="shared" si="58"/>
        <v>0</v>
      </c>
      <c r="E161" s="317">
        <f t="shared" si="58"/>
        <v>0</v>
      </c>
      <c r="F161" s="317">
        <f t="shared" si="58"/>
        <v>0</v>
      </c>
      <c r="G161" s="317">
        <f t="shared" si="58"/>
        <v>2</v>
      </c>
      <c r="H161" s="317">
        <f t="shared" si="58"/>
        <v>2</v>
      </c>
      <c r="I161" s="317">
        <f t="shared" si="58"/>
        <v>1</v>
      </c>
      <c r="J161" s="317">
        <f t="shared" si="58"/>
        <v>2</v>
      </c>
      <c r="K161" s="317">
        <f t="shared" si="58"/>
        <v>1</v>
      </c>
      <c r="L161" s="317">
        <f t="shared" si="58"/>
        <v>1</v>
      </c>
      <c r="M161" s="317">
        <f t="shared" si="58"/>
        <v>0</v>
      </c>
      <c r="N161" s="317">
        <f t="shared" si="58"/>
        <v>1</v>
      </c>
      <c r="O161" s="317">
        <f t="shared" si="58"/>
        <v>1</v>
      </c>
      <c r="P161" s="317">
        <f t="shared" si="58"/>
        <v>2</v>
      </c>
      <c r="Q161" s="317">
        <f t="shared" si="58"/>
        <v>1</v>
      </c>
      <c r="R161" s="317">
        <f t="shared" si="58"/>
        <v>2</v>
      </c>
      <c r="S161" s="317">
        <f t="shared" si="58"/>
        <v>1</v>
      </c>
      <c r="T161" s="317">
        <f t="shared" si="58"/>
        <v>1</v>
      </c>
      <c r="U161" s="317">
        <f t="shared" si="58"/>
        <v>3</v>
      </c>
      <c r="V161" s="317">
        <f t="shared" si="58"/>
        <v>2</v>
      </c>
      <c r="W161" s="317">
        <f t="shared" si="58"/>
        <v>3</v>
      </c>
      <c r="X161" s="317">
        <f t="shared" si="58"/>
        <v>0</v>
      </c>
      <c r="Y161" s="317">
        <f t="shared" si="58"/>
        <v>1</v>
      </c>
      <c r="Z161" s="317">
        <f t="shared" si="58"/>
        <v>2</v>
      </c>
      <c r="AA161" s="317">
        <f t="shared" si="58"/>
        <v>1</v>
      </c>
      <c r="AB161" s="317">
        <f t="shared" si="58"/>
        <v>0</v>
      </c>
      <c r="AC161" s="317">
        <f t="shared" si="58"/>
        <v>0</v>
      </c>
      <c r="AD161" s="317">
        <f t="shared" si="58"/>
        <v>0</v>
      </c>
      <c r="AE161" s="317">
        <f t="shared" si="58"/>
        <v>0</v>
      </c>
      <c r="AF161" s="1015">
        <f t="shared" si="56"/>
        <v>34</v>
      </c>
    </row>
    <row r="162">
      <c r="A162" s="20"/>
      <c r="B162" s="651"/>
      <c r="C162" s="651"/>
      <c r="D162" s="651"/>
      <c r="E162" s="651"/>
      <c r="F162" s="651"/>
      <c r="G162" s="651"/>
      <c r="H162" s="651"/>
      <c r="I162" s="582"/>
      <c r="J162" s="582"/>
      <c r="K162" s="582"/>
      <c r="L162" s="582"/>
      <c r="M162" s="582"/>
      <c r="N162" s="582"/>
      <c r="O162" s="582"/>
      <c r="P162" s="582"/>
      <c r="Q162" s="582"/>
      <c r="R162" s="582"/>
      <c r="S162" s="582"/>
      <c r="T162" s="582"/>
      <c r="U162" s="582"/>
      <c r="V162" s="582"/>
      <c r="W162" s="582"/>
      <c r="X162" s="582"/>
      <c r="Y162" s="582"/>
      <c r="Z162" s="582"/>
      <c r="AA162" s="582"/>
      <c r="AB162" s="582"/>
      <c r="AC162" s="582"/>
      <c r="AD162" s="582"/>
      <c r="AE162" s="582"/>
      <c r="AF162" s="1015"/>
    </row>
    <row r="163">
      <c r="A163" s="1093" t="s">
        <v>1339</v>
      </c>
      <c r="B163" s="1077"/>
      <c r="C163" s="1077"/>
      <c r="D163" s="1077"/>
      <c r="E163" s="1077"/>
      <c r="F163" s="1078"/>
      <c r="G163" s="1077"/>
      <c r="H163" s="1077"/>
      <c r="I163" s="1077"/>
      <c r="J163" s="1077"/>
      <c r="K163" s="1077"/>
      <c r="L163" s="1077"/>
      <c r="M163" s="1077"/>
      <c r="N163" s="1077"/>
      <c r="O163" s="1077"/>
      <c r="P163" s="1077"/>
      <c r="Q163" s="1077"/>
      <c r="R163" s="1077"/>
      <c r="S163" s="1078"/>
      <c r="T163" s="1078"/>
      <c r="U163" s="1077"/>
      <c r="V163" s="1077"/>
      <c r="W163" s="1078"/>
      <c r="X163" s="1078"/>
      <c r="Y163" s="1077"/>
      <c r="Z163" s="1077"/>
      <c r="AA163" s="1077"/>
      <c r="AB163" s="1077"/>
      <c r="AC163" s="1077"/>
      <c r="AD163" s="1077"/>
      <c r="AE163" s="1077"/>
      <c r="AF163" s="1015">
        <f t="shared" ref="AF163:AF168" si="59">SUM(B163:AE163)</f>
        <v>0</v>
      </c>
    </row>
    <row r="164">
      <c r="A164" s="1093" t="s">
        <v>1340</v>
      </c>
      <c r="B164" s="1077"/>
      <c r="C164" s="1077"/>
      <c r="D164" s="1077"/>
      <c r="E164" s="1077"/>
      <c r="F164" s="1078"/>
      <c r="G164" s="1077"/>
      <c r="H164" s="1077"/>
      <c r="I164" s="1077"/>
      <c r="J164" s="1077"/>
      <c r="K164" s="1077"/>
      <c r="L164" s="1077"/>
      <c r="M164" s="1077"/>
      <c r="N164" s="1077"/>
      <c r="O164" s="1077"/>
      <c r="P164" s="1077"/>
      <c r="Q164" s="1077"/>
      <c r="R164" s="1077"/>
      <c r="S164" s="1078"/>
      <c r="T164" s="1078"/>
      <c r="U164" s="1077"/>
      <c r="V164" s="1077"/>
      <c r="W164" s="1078"/>
      <c r="X164" s="1078"/>
      <c r="Y164" s="1077"/>
      <c r="Z164" s="1077"/>
      <c r="AA164" s="1077"/>
      <c r="AB164" s="1077"/>
      <c r="AC164" s="1077"/>
      <c r="AD164" s="1077"/>
      <c r="AE164" s="1077"/>
      <c r="AF164" s="1015">
        <f t="shared" si="59"/>
        <v>0</v>
      </c>
    </row>
    <row r="165">
      <c r="A165" s="1093" t="s">
        <v>184</v>
      </c>
      <c r="B165" s="1077"/>
      <c r="C165" s="1077"/>
      <c r="D165" s="1077"/>
      <c r="E165" s="1077"/>
      <c r="F165" s="1078"/>
      <c r="G165" s="1077"/>
      <c r="H165" s="1077"/>
      <c r="I165" s="1077"/>
      <c r="J165" s="1077"/>
      <c r="K165" s="1077"/>
      <c r="L165" s="1077"/>
      <c r="M165" s="1077"/>
      <c r="N165" s="1077"/>
      <c r="O165" s="1077"/>
      <c r="P165" s="1077"/>
      <c r="Q165" s="1077"/>
      <c r="R165" s="1077"/>
      <c r="S165" s="1078"/>
      <c r="T165" s="1078"/>
      <c r="U165" s="1077"/>
      <c r="V165" s="1077"/>
      <c r="W165" s="1078"/>
      <c r="X165" s="1078"/>
      <c r="Y165" s="1077"/>
      <c r="Z165" s="1077"/>
      <c r="AA165" s="1077"/>
      <c r="AB165" s="1077"/>
      <c r="AC165" s="1077"/>
      <c r="AD165" s="1077"/>
      <c r="AE165" s="1077"/>
      <c r="AF165" s="1015">
        <f t="shared" si="59"/>
        <v>0</v>
      </c>
    </row>
    <row r="166">
      <c r="A166" s="1093" t="s">
        <v>1341</v>
      </c>
      <c r="B166" s="1077"/>
      <c r="C166" s="1077"/>
      <c r="D166" s="1077"/>
      <c r="E166" s="1077"/>
      <c r="F166" s="1078"/>
      <c r="G166" s="1077"/>
      <c r="H166" s="1077"/>
      <c r="I166" s="1077"/>
      <c r="J166" s="1077"/>
      <c r="K166" s="1077"/>
      <c r="L166" s="1077"/>
      <c r="M166" s="1077"/>
      <c r="N166" s="1077"/>
      <c r="O166" s="1077"/>
      <c r="P166" s="1077"/>
      <c r="Q166" s="1077"/>
      <c r="R166" s="1077"/>
      <c r="S166" s="1078"/>
      <c r="T166" s="1078"/>
      <c r="U166" s="1077"/>
      <c r="V166" s="1077"/>
      <c r="W166" s="1078"/>
      <c r="X166" s="1078"/>
      <c r="Y166" s="1077"/>
      <c r="Z166" s="1077"/>
      <c r="AA166" s="1077"/>
      <c r="AB166" s="1077"/>
      <c r="AC166" s="1077"/>
      <c r="AD166" s="1077"/>
      <c r="AE166" s="1077"/>
      <c r="AF166" s="1015">
        <f t="shared" si="59"/>
        <v>0</v>
      </c>
    </row>
    <row r="167">
      <c r="A167" s="1093" t="s">
        <v>1342</v>
      </c>
      <c r="B167" s="1077"/>
      <c r="C167" s="1077"/>
      <c r="D167" s="1077"/>
      <c r="E167" s="1077"/>
      <c r="F167" s="1078"/>
      <c r="G167" s="1077"/>
      <c r="H167" s="1077"/>
      <c r="I167" s="1077"/>
      <c r="J167" s="1077"/>
      <c r="K167" s="1077"/>
      <c r="L167" s="1077"/>
      <c r="M167" s="1077"/>
      <c r="N167" s="1077"/>
      <c r="O167" s="1077"/>
      <c r="P167" s="1077"/>
      <c r="Q167" s="1077"/>
      <c r="R167" s="1077"/>
      <c r="S167" s="1078"/>
      <c r="T167" s="1078"/>
      <c r="U167" s="1077"/>
      <c r="V167" s="1077"/>
      <c r="W167" s="1078"/>
      <c r="X167" s="1078"/>
      <c r="Y167" s="1077"/>
      <c r="Z167" s="1077"/>
      <c r="AA167" s="1077"/>
      <c r="AB167" s="1077"/>
      <c r="AC167" s="1077"/>
      <c r="AD167" s="1077"/>
      <c r="AE167" s="1077"/>
      <c r="AF167" s="1015">
        <f t="shared" si="59"/>
        <v>0</v>
      </c>
    </row>
    <row r="168">
      <c r="A168" s="1460" t="s">
        <v>1343</v>
      </c>
      <c r="B168" s="317">
        <f t="shared" ref="B168:M168" si="60">SUM(B163:B167)</f>
        <v>0</v>
      </c>
      <c r="C168" s="317">
        <f t="shared" si="60"/>
        <v>0</v>
      </c>
      <c r="D168" s="317">
        <f t="shared" si="60"/>
        <v>0</v>
      </c>
      <c r="E168" s="317">
        <f t="shared" si="60"/>
        <v>0</v>
      </c>
      <c r="F168" s="317">
        <f t="shared" si="60"/>
        <v>0</v>
      </c>
      <c r="G168" s="317">
        <f t="shared" si="60"/>
        <v>0</v>
      </c>
      <c r="H168" s="317">
        <f t="shared" si="60"/>
        <v>0</v>
      </c>
      <c r="I168" s="317">
        <f t="shared" si="60"/>
        <v>0</v>
      </c>
      <c r="J168" s="317">
        <f t="shared" si="60"/>
        <v>0</v>
      </c>
      <c r="K168" s="317">
        <f t="shared" si="60"/>
        <v>0</v>
      </c>
      <c r="L168" s="317">
        <f t="shared" si="60"/>
        <v>0</v>
      </c>
      <c r="M168" s="317">
        <f t="shared" si="60"/>
        <v>0</v>
      </c>
      <c r="N168" s="425">
        <v>0.0</v>
      </c>
      <c r="O168" s="317">
        <f t="shared" ref="O168:AE168" si="61">SUM(O163:O167)</f>
        <v>0</v>
      </c>
      <c r="P168" s="317">
        <f t="shared" si="61"/>
        <v>0</v>
      </c>
      <c r="Q168" s="317">
        <f t="shared" si="61"/>
        <v>0</v>
      </c>
      <c r="R168" s="317">
        <f t="shared" si="61"/>
        <v>0</v>
      </c>
      <c r="S168" s="317">
        <f t="shared" si="61"/>
        <v>0</v>
      </c>
      <c r="T168" s="317">
        <f t="shared" si="61"/>
        <v>0</v>
      </c>
      <c r="U168" s="317">
        <f t="shared" si="61"/>
        <v>0</v>
      </c>
      <c r="V168" s="317">
        <f t="shared" si="61"/>
        <v>0</v>
      </c>
      <c r="W168" s="317">
        <f t="shared" si="61"/>
        <v>0</v>
      </c>
      <c r="X168" s="317">
        <f t="shared" si="61"/>
        <v>0</v>
      </c>
      <c r="Y168" s="317">
        <f t="shared" si="61"/>
        <v>0</v>
      </c>
      <c r="Z168" s="317">
        <f t="shared" si="61"/>
        <v>0</v>
      </c>
      <c r="AA168" s="317">
        <f t="shared" si="61"/>
        <v>0</v>
      </c>
      <c r="AB168" s="317">
        <f t="shared" si="61"/>
        <v>0</v>
      </c>
      <c r="AC168" s="317">
        <f t="shared" si="61"/>
        <v>0</v>
      </c>
      <c r="AD168" s="317">
        <f t="shared" si="61"/>
        <v>0</v>
      </c>
      <c r="AE168" s="317">
        <f t="shared" si="61"/>
        <v>0</v>
      </c>
      <c r="AF168" s="1015">
        <f t="shared" si="59"/>
        <v>0</v>
      </c>
    </row>
    <row r="169">
      <c r="A169" s="20"/>
      <c r="B169" s="651"/>
      <c r="C169" s="651"/>
      <c r="D169" s="651"/>
      <c r="E169" s="651"/>
      <c r="F169" s="651"/>
      <c r="G169" s="651"/>
      <c r="H169" s="651"/>
      <c r="I169" s="582"/>
      <c r="J169" s="582"/>
      <c r="K169" s="582"/>
      <c r="L169" s="582"/>
      <c r="M169" s="582"/>
      <c r="N169" s="582"/>
      <c r="O169" s="582"/>
      <c r="P169" s="582"/>
      <c r="Q169" s="582"/>
      <c r="R169" s="582"/>
      <c r="S169" s="582"/>
      <c r="T169" s="582"/>
      <c r="U169" s="582"/>
      <c r="V169" s="582"/>
      <c r="W169" s="582"/>
      <c r="X169" s="582"/>
      <c r="Y169" s="582"/>
      <c r="Z169" s="582"/>
      <c r="AA169" s="582"/>
      <c r="AB169" s="582"/>
      <c r="AC169" s="582"/>
      <c r="AD169" s="582"/>
      <c r="AE169" s="582"/>
      <c r="AF169" s="1015"/>
    </row>
    <row r="170">
      <c r="A170" s="1093" t="s">
        <v>189</v>
      </c>
      <c r="B170" s="1077"/>
      <c r="C170" s="1077"/>
      <c r="D170" s="1077"/>
      <c r="E170" s="1077"/>
      <c r="F170" s="1077"/>
      <c r="G170" s="1077"/>
      <c r="H170" s="1077"/>
      <c r="I170" s="1077"/>
      <c r="J170" s="1077"/>
      <c r="K170" s="1077"/>
      <c r="L170" s="1077"/>
      <c r="M170" s="1077"/>
      <c r="N170" s="1077"/>
      <c r="O170" s="1077"/>
      <c r="P170" s="1077"/>
      <c r="Q170" s="1077"/>
      <c r="R170" s="1077"/>
      <c r="S170" s="1078"/>
      <c r="T170" s="1077"/>
      <c r="U170" s="1077"/>
      <c r="V170" s="1077"/>
      <c r="W170" s="1078"/>
      <c r="X170" s="1078"/>
      <c r="Y170" s="1077"/>
      <c r="Z170" s="1077"/>
      <c r="AA170" s="1077"/>
      <c r="AB170" s="1077"/>
      <c r="AC170" s="1077"/>
      <c r="AD170" s="1077"/>
      <c r="AE170" s="1077"/>
      <c r="AF170" s="1015">
        <f t="shared" ref="AF170:AF175" si="62">SUM(B170:AE170)</f>
        <v>0</v>
      </c>
    </row>
    <row r="171">
      <c r="A171" s="1093" t="s">
        <v>190</v>
      </c>
      <c r="B171" s="1077"/>
      <c r="C171" s="1077"/>
      <c r="D171" s="1077"/>
      <c r="E171" s="1077"/>
      <c r="F171" s="1077"/>
      <c r="G171" s="1077"/>
      <c r="H171" s="1077"/>
      <c r="I171" s="1077"/>
      <c r="J171" s="1077"/>
      <c r="K171" s="1077"/>
      <c r="L171" s="1077"/>
      <c r="M171" s="1077"/>
      <c r="N171" s="1077"/>
      <c r="O171" s="1077"/>
      <c r="P171" s="1077"/>
      <c r="Q171" s="1077"/>
      <c r="R171" s="1077"/>
      <c r="S171" s="1078"/>
      <c r="T171" s="1077"/>
      <c r="U171" s="1077"/>
      <c r="V171" s="1077"/>
      <c r="W171" s="1078"/>
      <c r="X171" s="1078"/>
      <c r="Y171" s="1077"/>
      <c r="Z171" s="1077"/>
      <c r="AA171" s="1077"/>
      <c r="AB171" s="1077"/>
      <c r="AC171" s="1077"/>
      <c r="AD171" s="1077"/>
      <c r="AE171" s="1077"/>
      <c r="AF171" s="1015">
        <f t="shared" si="62"/>
        <v>0</v>
      </c>
    </row>
    <row r="172">
      <c r="A172" s="1093" t="s">
        <v>191</v>
      </c>
      <c r="B172" s="1077"/>
      <c r="C172" s="1077"/>
      <c r="D172" s="1077"/>
      <c r="E172" s="1077"/>
      <c r="F172" s="1077"/>
      <c r="G172" s="1077"/>
      <c r="H172" s="1077"/>
      <c r="I172" s="1077"/>
      <c r="J172" s="1077"/>
      <c r="K172" s="1077"/>
      <c r="L172" s="1077"/>
      <c r="M172" s="1077"/>
      <c r="N172" s="1077"/>
      <c r="O172" s="1077"/>
      <c r="P172" s="1077"/>
      <c r="Q172" s="1077"/>
      <c r="R172" s="1077"/>
      <c r="S172" s="1078"/>
      <c r="T172" s="1077"/>
      <c r="U172" s="1077"/>
      <c r="V172" s="1077"/>
      <c r="W172" s="1078"/>
      <c r="X172" s="1078"/>
      <c r="Y172" s="1077"/>
      <c r="Z172" s="1077"/>
      <c r="AA172" s="1077"/>
      <c r="AB172" s="1077"/>
      <c r="AC172" s="1077"/>
      <c r="AD172" s="1077"/>
      <c r="AE172" s="1077"/>
      <c r="AF172" s="1015">
        <f t="shared" si="62"/>
        <v>0</v>
      </c>
    </row>
    <row r="173">
      <c r="A173" s="1093" t="s">
        <v>192</v>
      </c>
      <c r="B173" s="1077"/>
      <c r="C173" s="1077"/>
      <c r="D173" s="1077"/>
      <c r="E173" s="1077"/>
      <c r="F173" s="1077"/>
      <c r="G173" s="1077"/>
      <c r="H173" s="1077"/>
      <c r="I173" s="1077"/>
      <c r="J173" s="1077"/>
      <c r="K173" s="1077"/>
      <c r="L173" s="1077"/>
      <c r="M173" s="1077"/>
      <c r="N173" s="1077"/>
      <c r="O173" s="1077"/>
      <c r="P173" s="1077"/>
      <c r="Q173" s="1077"/>
      <c r="R173" s="1077"/>
      <c r="S173" s="1078"/>
      <c r="T173" s="1077"/>
      <c r="U173" s="1077"/>
      <c r="V173" s="1077"/>
      <c r="W173" s="1078"/>
      <c r="X173" s="1078"/>
      <c r="Y173" s="1077"/>
      <c r="Z173" s="1077"/>
      <c r="AA173" s="1077"/>
      <c r="AB173" s="1077"/>
      <c r="AC173" s="1077"/>
      <c r="AD173" s="1077"/>
      <c r="AE173" s="1077"/>
      <c r="AF173" s="1015">
        <f t="shared" si="62"/>
        <v>0</v>
      </c>
    </row>
    <row r="174">
      <c r="A174" s="1093" t="s">
        <v>193</v>
      </c>
      <c r="B174" s="1077"/>
      <c r="C174" s="1077"/>
      <c r="D174" s="1077"/>
      <c r="E174" s="1077"/>
      <c r="F174" s="1077"/>
      <c r="G174" s="1077"/>
      <c r="H174" s="1077"/>
      <c r="I174" s="1077"/>
      <c r="J174" s="1077"/>
      <c r="K174" s="1077"/>
      <c r="L174" s="1077"/>
      <c r="M174" s="1077"/>
      <c r="N174" s="1077"/>
      <c r="O174" s="1077"/>
      <c r="P174" s="1077"/>
      <c r="Q174" s="1077"/>
      <c r="R174" s="1077"/>
      <c r="S174" s="1078"/>
      <c r="T174" s="1077"/>
      <c r="U174" s="1077"/>
      <c r="V174" s="1077"/>
      <c r="W174" s="1078"/>
      <c r="X174" s="1078"/>
      <c r="Y174" s="1077"/>
      <c r="Z174" s="1077"/>
      <c r="AA174" s="1077"/>
      <c r="AB174" s="1077"/>
      <c r="AC174" s="1077"/>
      <c r="AD174" s="1077"/>
      <c r="AE174" s="1077"/>
      <c r="AF174" s="1015">
        <f t="shared" si="62"/>
        <v>0</v>
      </c>
    </row>
    <row r="175">
      <c r="A175" s="1100" t="s">
        <v>195</v>
      </c>
      <c r="B175" s="317">
        <f t="shared" ref="B175:AE175" si="63">SUM(B170:B174)</f>
        <v>0</v>
      </c>
      <c r="C175" s="317">
        <f t="shared" si="63"/>
        <v>0</v>
      </c>
      <c r="D175" s="317">
        <f t="shared" si="63"/>
        <v>0</v>
      </c>
      <c r="E175" s="317">
        <f t="shared" si="63"/>
        <v>0</v>
      </c>
      <c r="F175" s="317">
        <f t="shared" si="63"/>
        <v>0</v>
      </c>
      <c r="G175" s="317">
        <f t="shared" si="63"/>
        <v>0</v>
      </c>
      <c r="H175" s="317">
        <f t="shared" si="63"/>
        <v>0</v>
      </c>
      <c r="I175" s="317">
        <f t="shared" si="63"/>
        <v>0</v>
      </c>
      <c r="J175" s="317">
        <f t="shared" si="63"/>
        <v>0</v>
      </c>
      <c r="K175" s="317">
        <f t="shared" si="63"/>
        <v>0</v>
      </c>
      <c r="L175" s="317">
        <f t="shared" si="63"/>
        <v>0</v>
      </c>
      <c r="M175" s="317">
        <f t="shared" si="63"/>
        <v>0</v>
      </c>
      <c r="N175" s="317">
        <f t="shared" si="63"/>
        <v>0</v>
      </c>
      <c r="O175" s="317">
        <f t="shared" si="63"/>
        <v>0</v>
      </c>
      <c r="P175" s="317">
        <f t="shared" si="63"/>
        <v>0</v>
      </c>
      <c r="Q175" s="317">
        <f t="shared" si="63"/>
        <v>0</v>
      </c>
      <c r="R175" s="317">
        <f t="shared" si="63"/>
        <v>0</v>
      </c>
      <c r="S175" s="317">
        <f t="shared" si="63"/>
        <v>0</v>
      </c>
      <c r="T175" s="317">
        <f t="shared" si="63"/>
        <v>0</v>
      </c>
      <c r="U175" s="317">
        <f t="shared" si="63"/>
        <v>0</v>
      </c>
      <c r="V175" s="317">
        <f t="shared" si="63"/>
        <v>0</v>
      </c>
      <c r="W175" s="317">
        <f t="shared" si="63"/>
        <v>0</v>
      </c>
      <c r="X175" s="317">
        <f t="shared" si="63"/>
        <v>0</v>
      </c>
      <c r="Y175" s="317">
        <f t="shared" si="63"/>
        <v>0</v>
      </c>
      <c r="Z175" s="317">
        <f t="shared" si="63"/>
        <v>0</v>
      </c>
      <c r="AA175" s="317">
        <f t="shared" si="63"/>
        <v>0</v>
      </c>
      <c r="AB175" s="317">
        <f t="shared" si="63"/>
        <v>0</v>
      </c>
      <c r="AC175" s="317">
        <f t="shared" si="63"/>
        <v>0</v>
      </c>
      <c r="AD175" s="317">
        <f t="shared" si="63"/>
        <v>0</v>
      </c>
      <c r="AE175" s="317">
        <f t="shared" si="63"/>
        <v>0</v>
      </c>
      <c r="AF175" s="1015">
        <f t="shared" si="62"/>
        <v>0</v>
      </c>
    </row>
    <row r="176">
      <c r="A176" s="20"/>
      <c r="B176" s="651"/>
      <c r="C176" s="651"/>
      <c r="D176" s="651"/>
      <c r="E176" s="651"/>
      <c r="F176" s="651"/>
      <c r="G176" s="651"/>
      <c r="H176" s="651"/>
      <c r="I176" s="582"/>
      <c r="J176" s="582"/>
      <c r="K176" s="582"/>
      <c r="L176" s="582"/>
      <c r="M176" s="582"/>
      <c r="N176" s="582"/>
      <c r="O176" s="582"/>
      <c r="P176" s="582"/>
      <c r="Q176" s="582"/>
      <c r="R176" s="582"/>
      <c r="S176" s="582"/>
      <c r="T176" s="582"/>
      <c r="U176" s="582"/>
      <c r="V176" s="582"/>
      <c r="W176" s="582"/>
      <c r="X176" s="582"/>
      <c r="Y176" s="582"/>
      <c r="Z176" s="582"/>
      <c r="AA176" s="582"/>
      <c r="AB176" s="582"/>
      <c r="AC176" s="582"/>
      <c r="AD176" s="582"/>
      <c r="AE176" s="582"/>
      <c r="AF176" s="1015"/>
    </row>
    <row r="177">
      <c r="A177" s="1093" t="s">
        <v>196</v>
      </c>
      <c r="B177" s="1075"/>
      <c r="C177" s="1075"/>
      <c r="D177" s="1075"/>
      <c r="E177" s="1075"/>
      <c r="F177" s="694"/>
      <c r="G177" s="694"/>
      <c r="H177" s="694"/>
      <c r="I177" s="694"/>
      <c r="J177" s="694"/>
      <c r="K177" s="694"/>
      <c r="L177" s="694"/>
      <c r="M177" s="694"/>
      <c r="N177" s="694"/>
      <c r="O177" s="694"/>
      <c r="P177" s="1075"/>
      <c r="Q177" s="694"/>
      <c r="R177" s="694"/>
      <c r="S177" s="694"/>
      <c r="T177" s="1075"/>
      <c r="U177" s="694"/>
      <c r="V177" s="694"/>
      <c r="W177" s="694"/>
      <c r="X177" s="694"/>
      <c r="Y177" s="694"/>
      <c r="Z177" s="694"/>
      <c r="AA177" s="694"/>
      <c r="AB177" s="694"/>
      <c r="AC177" s="694"/>
      <c r="AD177" s="694"/>
      <c r="AE177" s="694"/>
      <c r="AF177" s="1015">
        <f t="shared" ref="AF177:AF182" si="64">SUM(B177:AE177)</f>
        <v>0</v>
      </c>
    </row>
    <row r="178">
      <c r="A178" s="1093" t="s">
        <v>197</v>
      </c>
      <c r="B178" s="1075"/>
      <c r="C178" s="1075"/>
      <c r="D178" s="1075"/>
      <c r="E178" s="1075"/>
      <c r="F178" s="1075"/>
      <c r="G178" s="1077"/>
      <c r="H178" s="1075"/>
      <c r="I178" s="1075"/>
      <c r="J178" s="1077"/>
      <c r="K178" s="1077"/>
      <c r="L178" s="623"/>
      <c r="M178" s="623"/>
      <c r="N178" s="623"/>
      <c r="O178" s="694"/>
      <c r="P178" s="1075"/>
      <c r="Q178" s="694"/>
      <c r="R178" s="694"/>
      <c r="S178" s="1075"/>
      <c r="T178" s="694"/>
      <c r="U178" s="694"/>
      <c r="V178" s="694"/>
      <c r="W178" s="694"/>
      <c r="X178" s="694"/>
      <c r="Y178" s="694"/>
      <c r="Z178" s="694"/>
      <c r="AA178" s="694"/>
      <c r="AB178" s="694"/>
      <c r="AC178" s="694"/>
      <c r="AD178" s="694"/>
      <c r="AE178" s="694"/>
      <c r="AF178" s="1015">
        <f t="shared" si="64"/>
        <v>0</v>
      </c>
    </row>
    <row r="179">
      <c r="A179" s="1093" t="s">
        <v>198</v>
      </c>
      <c r="B179" s="1077"/>
      <c r="C179" s="1077"/>
      <c r="D179" s="1077"/>
      <c r="E179" s="1077"/>
      <c r="F179" s="623"/>
      <c r="G179" s="623"/>
      <c r="H179" s="623"/>
      <c r="I179" s="623"/>
      <c r="J179" s="1077"/>
      <c r="K179" s="623"/>
      <c r="L179" s="1077"/>
      <c r="M179" s="1077"/>
      <c r="N179" s="1077"/>
      <c r="O179" s="694"/>
      <c r="P179" s="694"/>
      <c r="Q179" s="694"/>
      <c r="R179" s="694"/>
      <c r="S179" s="694"/>
      <c r="T179" s="694"/>
      <c r="U179" s="694"/>
      <c r="V179" s="694"/>
      <c r="W179" s="694"/>
      <c r="X179" s="694"/>
      <c r="Y179" s="694"/>
      <c r="Z179" s="694"/>
      <c r="AA179" s="694"/>
      <c r="AB179" s="694"/>
      <c r="AC179" s="694"/>
      <c r="AD179" s="694"/>
      <c r="AE179" s="694"/>
      <c r="AF179" s="1015">
        <f t="shared" si="64"/>
        <v>0</v>
      </c>
    </row>
    <row r="180">
      <c r="A180" s="1093" t="s">
        <v>199</v>
      </c>
      <c r="B180" s="1077"/>
      <c r="C180" s="1077"/>
      <c r="D180" s="1077"/>
      <c r="E180" s="1077"/>
      <c r="F180" s="623"/>
      <c r="G180" s="623"/>
      <c r="H180" s="623"/>
      <c r="I180" s="623"/>
      <c r="J180" s="623"/>
      <c r="K180" s="623"/>
      <c r="L180" s="623"/>
      <c r="M180" s="623"/>
      <c r="N180" s="623"/>
      <c r="O180" s="694"/>
      <c r="P180" s="694"/>
      <c r="Q180" s="694"/>
      <c r="R180" s="694"/>
      <c r="S180" s="694"/>
      <c r="T180" s="694"/>
      <c r="U180" s="694"/>
      <c r="V180" s="694"/>
      <c r="W180" s="694"/>
      <c r="X180" s="694"/>
      <c r="Y180" s="694"/>
      <c r="Z180" s="694"/>
      <c r="AA180" s="694"/>
      <c r="AB180" s="694"/>
      <c r="AC180" s="694"/>
      <c r="AD180" s="694"/>
      <c r="AE180" s="694"/>
      <c r="AF180" s="1015">
        <f t="shared" si="64"/>
        <v>0</v>
      </c>
    </row>
    <row r="181">
      <c r="A181" s="1093" t="s">
        <v>201</v>
      </c>
      <c r="B181" s="1075"/>
      <c r="C181" s="1075"/>
      <c r="D181" s="1075"/>
      <c r="E181" s="1075"/>
      <c r="F181" s="694"/>
      <c r="G181" s="694"/>
      <c r="H181" s="694"/>
      <c r="I181" s="694"/>
      <c r="J181" s="694"/>
      <c r="K181" s="694"/>
      <c r="L181" s="694"/>
      <c r="M181" s="694"/>
      <c r="N181" s="694"/>
      <c r="O181" s="694"/>
      <c r="P181" s="694"/>
      <c r="Q181" s="694"/>
      <c r="R181" s="694"/>
      <c r="S181" s="694"/>
      <c r="T181" s="694"/>
      <c r="U181" s="694"/>
      <c r="V181" s="694"/>
      <c r="W181" s="694"/>
      <c r="X181" s="694"/>
      <c r="Y181" s="694"/>
      <c r="Z181" s="694"/>
      <c r="AA181" s="694"/>
      <c r="AB181" s="694"/>
      <c r="AC181" s="694"/>
      <c r="AD181" s="694"/>
      <c r="AE181" s="694"/>
      <c r="AF181" s="1015">
        <f t="shared" si="64"/>
        <v>0</v>
      </c>
    </row>
    <row r="182">
      <c r="A182" s="1100" t="s">
        <v>202</v>
      </c>
      <c r="B182" s="317">
        <f t="shared" ref="B182:AE182" si="65">SUM(B177:B181)</f>
        <v>0</v>
      </c>
      <c r="C182" s="317">
        <f t="shared" si="65"/>
        <v>0</v>
      </c>
      <c r="D182" s="317">
        <f t="shared" si="65"/>
        <v>0</v>
      </c>
      <c r="E182" s="317">
        <f t="shared" si="65"/>
        <v>0</v>
      </c>
      <c r="F182" s="317">
        <f t="shared" si="65"/>
        <v>0</v>
      </c>
      <c r="G182" s="317">
        <f t="shared" si="65"/>
        <v>0</v>
      </c>
      <c r="H182" s="317">
        <f t="shared" si="65"/>
        <v>0</v>
      </c>
      <c r="I182" s="317">
        <f t="shared" si="65"/>
        <v>0</v>
      </c>
      <c r="J182" s="317">
        <f t="shared" si="65"/>
        <v>0</v>
      </c>
      <c r="K182" s="317">
        <f t="shared" si="65"/>
        <v>0</v>
      </c>
      <c r="L182" s="317">
        <f t="shared" si="65"/>
        <v>0</v>
      </c>
      <c r="M182" s="317">
        <f t="shared" si="65"/>
        <v>0</v>
      </c>
      <c r="N182" s="317">
        <f t="shared" si="65"/>
        <v>0</v>
      </c>
      <c r="O182" s="317">
        <f t="shared" si="65"/>
        <v>0</v>
      </c>
      <c r="P182" s="317">
        <f t="shared" si="65"/>
        <v>0</v>
      </c>
      <c r="Q182" s="317">
        <f t="shared" si="65"/>
        <v>0</v>
      </c>
      <c r="R182" s="317">
        <f t="shared" si="65"/>
        <v>0</v>
      </c>
      <c r="S182" s="317">
        <f t="shared" si="65"/>
        <v>0</v>
      </c>
      <c r="T182" s="317">
        <f t="shared" si="65"/>
        <v>0</v>
      </c>
      <c r="U182" s="317">
        <f t="shared" si="65"/>
        <v>0</v>
      </c>
      <c r="V182" s="317">
        <f t="shared" si="65"/>
        <v>0</v>
      </c>
      <c r="W182" s="317">
        <f t="shared" si="65"/>
        <v>0</v>
      </c>
      <c r="X182" s="317">
        <f t="shared" si="65"/>
        <v>0</v>
      </c>
      <c r="Y182" s="317">
        <f t="shared" si="65"/>
        <v>0</v>
      </c>
      <c r="Z182" s="317">
        <f t="shared" si="65"/>
        <v>0</v>
      </c>
      <c r="AA182" s="317">
        <f t="shared" si="65"/>
        <v>0</v>
      </c>
      <c r="AB182" s="317">
        <f t="shared" si="65"/>
        <v>0</v>
      </c>
      <c r="AC182" s="317">
        <f t="shared" si="65"/>
        <v>0</v>
      </c>
      <c r="AD182" s="317">
        <f t="shared" si="65"/>
        <v>0</v>
      </c>
      <c r="AE182" s="317">
        <f t="shared" si="65"/>
        <v>0</v>
      </c>
      <c r="AF182" s="1015">
        <f t="shared" si="64"/>
        <v>0</v>
      </c>
    </row>
    <row r="183">
      <c r="A183" s="854"/>
      <c r="B183" s="1097"/>
      <c r="AF183" s="1015"/>
    </row>
    <row r="184">
      <c r="A184" s="854"/>
      <c r="AF184" s="700"/>
    </row>
    <row r="185">
      <c r="A185" s="931" t="s">
        <v>1045</v>
      </c>
      <c r="AF185" s="700"/>
    </row>
    <row r="186">
      <c r="A186" s="1093" t="s">
        <v>1337</v>
      </c>
      <c r="B186" s="1077"/>
      <c r="C186" s="1077"/>
      <c r="D186" s="1077"/>
      <c r="E186" s="1077"/>
      <c r="F186" s="1078"/>
      <c r="G186" s="1078"/>
      <c r="H186" s="1077"/>
      <c r="I186" s="1077"/>
      <c r="J186" s="1077"/>
      <c r="K186" s="1077"/>
      <c r="L186" s="1077"/>
      <c r="M186" s="1077"/>
      <c r="N186" s="1077"/>
      <c r="O186" s="1077"/>
      <c r="P186" s="1077"/>
      <c r="Q186" s="1077"/>
      <c r="R186" s="1077"/>
      <c r="S186" s="1078"/>
      <c r="T186" s="1077"/>
      <c r="U186" s="1077"/>
      <c r="V186" s="1077"/>
      <c r="W186" s="1078"/>
      <c r="X186" s="1078"/>
      <c r="Y186" s="1077"/>
      <c r="Z186" s="1077"/>
      <c r="AA186" s="1077"/>
      <c r="AB186" s="1077"/>
      <c r="AC186" s="1077"/>
      <c r="AD186" s="1077"/>
      <c r="AE186" s="1077"/>
      <c r="AF186" s="1015">
        <f t="shared" ref="AF186:AF193" si="66">SUM(B186:AE186)</f>
        <v>0</v>
      </c>
    </row>
    <row r="187">
      <c r="A187" s="1461" t="s">
        <v>212</v>
      </c>
      <c r="B187" s="331">
        <v>0.0</v>
      </c>
      <c r="C187" s="331">
        <v>0.0</v>
      </c>
      <c r="D187" s="331">
        <v>0.0</v>
      </c>
      <c r="E187" s="331">
        <v>0.0</v>
      </c>
      <c r="F187" s="331">
        <v>0.0</v>
      </c>
      <c r="G187" s="331">
        <v>0.0</v>
      </c>
      <c r="H187" s="331">
        <v>0.0</v>
      </c>
      <c r="I187" s="331">
        <v>0.0</v>
      </c>
      <c r="J187" s="331">
        <v>0.0</v>
      </c>
      <c r="K187" s="331">
        <v>0.0</v>
      </c>
      <c r="L187" s="331">
        <v>0.0</v>
      </c>
      <c r="M187" s="331">
        <v>0.0</v>
      </c>
      <c r="N187" s="331">
        <v>0.0</v>
      </c>
      <c r="O187" s="331">
        <v>0.0</v>
      </c>
      <c r="P187" s="331">
        <v>0.0</v>
      </c>
      <c r="Q187" s="331">
        <v>0.0</v>
      </c>
      <c r="R187" s="331">
        <v>0.0</v>
      </c>
      <c r="S187" s="331">
        <v>0.0</v>
      </c>
      <c r="T187" s="331">
        <v>0.0</v>
      </c>
      <c r="U187" s="331">
        <v>0.0</v>
      </c>
      <c r="V187" s="331">
        <v>0.0</v>
      </c>
      <c r="W187" s="331">
        <v>0.0</v>
      </c>
      <c r="X187" s="331">
        <v>0.0</v>
      </c>
      <c r="Y187" s="331">
        <v>0.0</v>
      </c>
      <c r="Z187" s="331">
        <v>0.0</v>
      </c>
      <c r="AA187" s="331">
        <v>0.0</v>
      </c>
      <c r="AB187" s="331">
        <v>0.0</v>
      </c>
      <c r="AC187" s="331">
        <v>0.0</v>
      </c>
      <c r="AD187" s="331">
        <v>0.0</v>
      </c>
      <c r="AE187" s="331">
        <v>0.0</v>
      </c>
      <c r="AF187" s="877">
        <f t="shared" si="66"/>
        <v>0</v>
      </c>
    </row>
    <row r="188">
      <c r="A188" s="1093" t="s">
        <v>172</v>
      </c>
      <c r="B188" s="1077"/>
      <c r="C188" s="1077"/>
      <c r="D188" s="1077"/>
      <c r="E188" s="1077"/>
      <c r="F188" s="1078"/>
      <c r="G188" s="1078"/>
      <c r="H188" s="1077"/>
      <c r="I188" s="1077"/>
      <c r="J188" s="1077"/>
      <c r="K188" s="1077"/>
      <c r="L188" s="1077"/>
      <c r="M188" s="1077"/>
      <c r="N188" s="1077"/>
      <c r="O188" s="1077"/>
      <c r="P188" s="1077"/>
      <c r="Q188" s="1077"/>
      <c r="R188" s="1077"/>
      <c r="S188" s="1078"/>
      <c r="T188" s="1077"/>
      <c r="U188" s="1077"/>
      <c r="V188" s="1077"/>
      <c r="W188" s="1077"/>
      <c r="X188" s="1077"/>
      <c r="Y188" s="1077"/>
      <c r="Z188" s="1077"/>
      <c r="AA188" s="1077"/>
      <c r="AB188" s="1077"/>
      <c r="AC188" s="1077"/>
      <c r="AD188" s="1077"/>
      <c r="AE188" s="1077"/>
      <c r="AF188" s="1015">
        <f t="shared" si="66"/>
        <v>0</v>
      </c>
    </row>
    <row r="189">
      <c r="A189" s="1093" t="s">
        <v>174</v>
      </c>
      <c r="B189" s="1077"/>
      <c r="C189" s="1077"/>
      <c r="D189" s="1077"/>
      <c r="E189" s="1077"/>
      <c r="F189" s="1078"/>
      <c r="G189" s="1078"/>
      <c r="H189" s="1077"/>
      <c r="I189" s="1077"/>
      <c r="J189" s="1077"/>
      <c r="K189" s="1077"/>
      <c r="L189" s="1077"/>
      <c r="M189" s="1077"/>
      <c r="N189" s="1077"/>
      <c r="O189" s="1077"/>
      <c r="P189" s="1077"/>
      <c r="Q189" s="1077"/>
      <c r="R189" s="1077"/>
      <c r="S189" s="1078"/>
      <c r="T189" s="1077"/>
      <c r="U189" s="1077"/>
      <c r="V189" s="1077"/>
      <c r="W189" s="1077"/>
      <c r="X189" s="1077"/>
      <c r="Y189" s="1077"/>
      <c r="Z189" s="1077"/>
      <c r="AA189" s="1077"/>
      <c r="AB189" s="1077"/>
      <c r="AC189" s="1077"/>
      <c r="AD189" s="1077"/>
      <c r="AE189" s="1077"/>
      <c r="AF189" s="1015">
        <f t="shared" si="66"/>
        <v>0</v>
      </c>
    </row>
    <row r="190">
      <c r="A190" s="1093" t="s">
        <v>175</v>
      </c>
      <c r="B190" s="1077"/>
      <c r="C190" s="1077"/>
      <c r="D190" s="1077"/>
      <c r="E190" s="1077"/>
      <c r="F190" s="1078"/>
      <c r="G190" s="1078"/>
      <c r="H190" s="1077"/>
      <c r="I190" s="1077"/>
      <c r="J190" s="1077"/>
      <c r="K190" s="1077"/>
      <c r="L190" s="1077"/>
      <c r="M190" s="1077"/>
      <c r="N190" s="1077"/>
      <c r="O190" s="1077"/>
      <c r="P190" s="1077"/>
      <c r="Q190" s="1077"/>
      <c r="R190" s="1077"/>
      <c r="S190" s="1078"/>
      <c r="T190" s="1077"/>
      <c r="U190" s="1077"/>
      <c r="V190" s="1077"/>
      <c r="W190" s="1077"/>
      <c r="X190" s="1077"/>
      <c r="Y190" s="1077"/>
      <c r="Z190" s="1077"/>
      <c r="AA190" s="1077"/>
      <c r="AB190" s="1077"/>
      <c r="AC190" s="1077"/>
      <c r="AD190" s="1077"/>
      <c r="AE190" s="1077"/>
      <c r="AF190" s="1015">
        <f t="shared" si="66"/>
        <v>0</v>
      </c>
    </row>
    <row r="191">
      <c r="A191" s="1093" t="s">
        <v>178</v>
      </c>
      <c r="B191" s="1077"/>
      <c r="C191" s="1077"/>
      <c r="D191" s="1077"/>
      <c r="E191" s="1077"/>
      <c r="F191" s="1078"/>
      <c r="G191" s="1078"/>
      <c r="H191" s="1077"/>
      <c r="I191" s="1077"/>
      <c r="J191" s="1077"/>
      <c r="K191" s="1077"/>
      <c r="L191" s="1077"/>
      <c r="M191" s="1077"/>
      <c r="N191" s="1077"/>
      <c r="O191" s="1077"/>
      <c r="P191" s="1077"/>
      <c r="Q191" s="1077"/>
      <c r="R191" s="1077"/>
      <c r="S191" s="1078"/>
      <c r="T191" s="1077"/>
      <c r="U191" s="1077"/>
      <c r="V191" s="1077"/>
      <c r="W191" s="1077"/>
      <c r="X191" s="1077"/>
      <c r="Y191" s="1077"/>
      <c r="Z191" s="1077"/>
      <c r="AA191" s="1077"/>
      <c r="AB191" s="1077"/>
      <c r="AC191" s="1077"/>
      <c r="AD191" s="1077"/>
      <c r="AE191" s="1077"/>
      <c r="AF191" s="1015">
        <f t="shared" si="66"/>
        <v>0</v>
      </c>
    </row>
    <row r="192">
      <c r="A192" s="1095" t="s">
        <v>179</v>
      </c>
      <c r="B192" s="317">
        <f t="shared" ref="B192:V192" si="67">B186+B188+B190</f>
        <v>0</v>
      </c>
      <c r="C192" s="317">
        <f t="shared" si="67"/>
        <v>0</v>
      </c>
      <c r="D192" s="317">
        <f t="shared" si="67"/>
        <v>0</v>
      </c>
      <c r="E192" s="317">
        <f t="shared" si="67"/>
        <v>0</v>
      </c>
      <c r="F192" s="317">
        <f t="shared" si="67"/>
        <v>0</v>
      </c>
      <c r="G192" s="317">
        <f t="shared" si="67"/>
        <v>0</v>
      </c>
      <c r="H192" s="317">
        <f t="shared" si="67"/>
        <v>0</v>
      </c>
      <c r="I192" s="317">
        <f t="shared" si="67"/>
        <v>0</v>
      </c>
      <c r="J192" s="317">
        <f t="shared" si="67"/>
        <v>0</v>
      </c>
      <c r="K192" s="317">
        <f t="shared" si="67"/>
        <v>0</v>
      </c>
      <c r="L192" s="317">
        <f t="shared" si="67"/>
        <v>0</v>
      </c>
      <c r="M192" s="317">
        <f t="shared" si="67"/>
        <v>0</v>
      </c>
      <c r="N192" s="317">
        <f t="shared" si="67"/>
        <v>0</v>
      </c>
      <c r="O192" s="317">
        <f t="shared" si="67"/>
        <v>0</v>
      </c>
      <c r="P192" s="317">
        <f t="shared" si="67"/>
        <v>0</v>
      </c>
      <c r="Q192" s="317">
        <f t="shared" si="67"/>
        <v>0</v>
      </c>
      <c r="R192" s="317">
        <f t="shared" si="67"/>
        <v>0</v>
      </c>
      <c r="S192" s="317">
        <f t="shared" si="67"/>
        <v>0</v>
      </c>
      <c r="T192" s="317">
        <f t="shared" si="67"/>
        <v>0</v>
      </c>
      <c r="U192" s="317">
        <f t="shared" si="67"/>
        <v>0</v>
      </c>
      <c r="V192" s="317">
        <f t="shared" si="67"/>
        <v>0</v>
      </c>
      <c r="W192" s="317">
        <f>W186+W187+W190</f>
        <v>0</v>
      </c>
      <c r="X192" s="317">
        <f t="shared" ref="X192:AE192" si="68">X186+X188+X190</f>
        <v>0</v>
      </c>
      <c r="Y192" s="317">
        <f t="shared" si="68"/>
        <v>0</v>
      </c>
      <c r="Z192" s="317">
        <f t="shared" si="68"/>
        <v>0</v>
      </c>
      <c r="AA192" s="317">
        <f t="shared" si="68"/>
        <v>0</v>
      </c>
      <c r="AB192" s="317">
        <f t="shared" si="68"/>
        <v>0</v>
      </c>
      <c r="AC192" s="317">
        <f t="shared" si="68"/>
        <v>0</v>
      </c>
      <c r="AD192" s="317">
        <f t="shared" si="68"/>
        <v>0</v>
      </c>
      <c r="AE192" s="317">
        <f t="shared" si="68"/>
        <v>0</v>
      </c>
      <c r="AF192" s="1015">
        <f t="shared" si="66"/>
        <v>0</v>
      </c>
    </row>
    <row r="193">
      <c r="A193" s="1095" t="s">
        <v>181</v>
      </c>
      <c r="B193" s="317">
        <f t="shared" ref="B193:AE193" si="69">B187+B189+B191</f>
        <v>0</v>
      </c>
      <c r="C193" s="317">
        <f t="shared" si="69"/>
        <v>0</v>
      </c>
      <c r="D193" s="317">
        <f t="shared" si="69"/>
        <v>0</v>
      </c>
      <c r="E193" s="317">
        <f t="shared" si="69"/>
        <v>0</v>
      </c>
      <c r="F193" s="317">
        <f t="shared" si="69"/>
        <v>0</v>
      </c>
      <c r="G193" s="317">
        <f t="shared" si="69"/>
        <v>0</v>
      </c>
      <c r="H193" s="317">
        <f t="shared" si="69"/>
        <v>0</v>
      </c>
      <c r="I193" s="317">
        <f t="shared" si="69"/>
        <v>0</v>
      </c>
      <c r="J193" s="317">
        <f t="shared" si="69"/>
        <v>0</v>
      </c>
      <c r="K193" s="317">
        <f t="shared" si="69"/>
        <v>0</v>
      </c>
      <c r="L193" s="317">
        <f t="shared" si="69"/>
        <v>0</v>
      </c>
      <c r="M193" s="317">
        <f t="shared" si="69"/>
        <v>0</v>
      </c>
      <c r="N193" s="317">
        <f t="shared" si="69"/>
        <v>0</v>
      </c>
      <c r="O193" s="317">
        <f t="shared" si="69"/>
        <v>0</v>
      </c>
      <c r="P193" s="317">
        <f t="shared" si="69"/>
        <v>0</v>
      </c>
      <c r="Q193" s="317">
        <f t="shared" si="69"/>
        <v>0</v>
      </c>
      <c r="R193" s="317">
        <f t="shared" si="69"/>
        <v>0</v>
      </c>
      <c r="S193" s="317">
        <f t="shared" si="69"/>
        <v>0</v>
      </c>
      <c r="T193" s="317">
        <f t="shared" si="69"/>
        <v>0</v>
      </c>
      <c r="U193" s="317">
        <f t="shared" si="69"/>
        <v>0</v>
      </c>
      <c r="V193" s="317">
        <f t="shared" si="69"/>
        <v>0</v>
      </c>
      <c r="W193" s="317">
        <f t="shared" si="69"/>
        <v>0</v>
      </c>
      <c r="X193" s="317">
        <f t="shared" si="69"/>
        <v>0</v>
      </c>
      <c r="Y193" s="317">
        <f t="shared" si="69"/>
        <v>0</v>
      </c>
      <c r="Z193" s="317">
        <f t="shared" si="69"/>
        <v>0</v>
      </c>
      <c r="AA193" s="317">
        <f t="shared" si="69"/>
        <v>0</v>
      </c>
      <c r="AB193" s="317">
        <f t="shared" si="69"/>
        <v>0</v>
      </c>
      <c r="AC193" s="317">
        <f t="shared" si="69"/>
        <v>0</v>
      </c>
      <c r="AD193" s="317">
        <f t="shared" si="69"/>
        <v>0</v>
      </c>
      <c r="AE193" s="317">
        <f t="shared" si="69"/>
        <v>0</v>
      </c>
      <c r="AF193" s="1015">
        <f t="shared" si="66"/>
        <v>0</v>
      </c>
    </row>
    <row r="194">
      <c r="A194" s="20"/>
      <c r="AF194" s="700"/>
    </row>
    <row r="195">
      <c r="A195" s="1093" t="s">
        <v>1339</v>
      </c>
      <c r="B195" s="1077"/>
      <c r="C195" s="1077"/>
      <c r="D195" s="1077"/>
      <c r="E195" s="1077"/>
      <c r="F195" s="1077"/>
      <c r="G195" s="1077"/>
      <c r="H195" s="1077"/>
      <c r="I195" s="1077"/>
      <c r="J195" s="1077"/>
      <c r="K195" s="1077"/>
      <c r="L195" s="1077"/>
      <c r="M195" s="1077"/>
      <c r="N195" s="1077"/>
      <c r="O195" s="1077"/>
      <c r="P195" s="1077"/>
      <c r="Q195" s="1077"/>
      <c r="R195" s="1077"/>
      <c r="S195" s="1078"/>
      <c r="T195" s="1077"/>
      <c r="U195" s="1077"/>
      <c r="V195" s="1077"/>
      <c r="W195" s="1077"/>
      <c r="X195" s="1078"/>
      <c r="Y195" s="1077"/>
      <c r="Z195" s="1077"/>
      <c r="AA195" s="1077"/>
      <c r="AB195" s="1077"/>
      <c r="AC195" s="1077"/>
      <c r="AD195" s="1077"/>
      <c r="AE195" s="1077"/>
      <c r="AF195" s="1015">
        <f t="shared" ref="AF195:AF200" si="70">SUM(B195:AE195)</f>
        <v>0</v>
      </c>
    </row>
    <row r="196">
      <c r="A196" s="1093" t="s">
        <v>1340</v>
      </c>
      <c r="B196" s="1077"/>
      <c r="C196" s="1077"/>
      <c r="D196" s="1077"/>
      <c r="E196" s="1077"/>
      <c r="F196" s="1077"/>
      <c r="G196" s="1077"/>
      <c r="H196" s="1077"/>
      <c r="I196" s="1077"/>
      <c r="J196" s="1077"/>
      <c r="K196" s="1077"/>
      <c r="L196" s="1077"/>
      <c r="M196" s="1077"/>
      <c r="N196" s="1077"/>
      <c r="O196" s="1077"/>
      <c r="P196" s="1077"/>
      <c r="Q196" s="1077"/>
      <c r="R196" s="1077"/>
      <c r="S196" s="1078"/>
      <c r="T196" s="1077"/>
      <c r="U196" s="1077"/>
      <c r="V196" s="1077"/>
      <c r="W196" s="1077"/>
      <c r="X196" s="1078"/>
      <c r="Y196" s="1077"/>
      <c r="Z196" s="1077"/>
      <c r="AA196" s="1077"/>
      <c r="AB196" s="1077"/>
      <c r="AC196" s="1077"/>
      <c r="AD196" s="1077"/>
      <c r="AE196" s="1077"/>
      <c r="AF196" s="1015">
        <f t="shared" si="70"/>
        <v>0</v>
      </c>
    </row>
    <row r="197">
      <c r="A197" s="1093" t="s">
        <v>184</v>
      </c>
      <c r="B197" s="1077"/>
      <c r="C197" s="1077"/>
      <c r="D197" s="1077"/>
      <c r="E197" s="1077"/>
      <c r="F197" s="1077"/>
      <c r="G197" s="1077"/>
      <c r="H197" s="1077"/>
      <c r="I197" s="1077"/>
      <c r="J197" s="1077"/>
      <c r="K197" s="1077"/>
      <c r="L197" s="1077"/>
      <c r="M197" s="1077"/>
      <c r="N197" s="1077"/>
      <c r="O197" s="1077"/>
      <c r="P197" s="1077"/>
      <c r="Q197" s="1077"/>
      <c r="R197" s="1077"/>
      <c r="S197" s="1078"/>
      <c r="T197" s="1077"/>
      <c r="U197" s="1077"/>
      <c r="V197" s="1077"/>
      <c r="W197" s="1077"/>
      <c r="X197" s="1078"/>
      <c r="Y197" s="1077"/>
      <c r="Z197" s="1077"/>
      <c r="AA197" s="1077"/>
      <c r="AB197" s="1077"/>
      <c r="AC197" s="1077"/>
      <c r="AD197" s="1077"/>
      <c r="AE197" s="1077"/>
      <c r="AF197" s="1015">
        <f t="shared" si="70"/>
        <v>0</v>
      </c>
    </row>
    <row r="198">
      <c r="A198" s="1093" t="s">
        <v>1341</v>
      </c>
      <c r="B198" s="1077"/>
      <c r="C198" s="1077"/>
      <c r="D198" s="1077"/>
      <c r="E198" s="1077"/>
      <c r="F198" s="1077"/>
      <c r="G198" s="1077"/>
      <c r="H198" s="1077"/>
      <c r="I198" s="1077"/>
      <c r="J198" s="1077"/>
      <c r="K198" s="1077"/>
      <c r="L198" s="1077"/>
      <c r="M198" s="1077"/>
      <c r="N198" s="1077"/>
      <c r="O198" s="1077"/>
      <c r="P198" s="1077"/>
      <c r="Q198" s="1077"/>
      <c r="R198" s="1077"/>
      <c r="S198" s="1078"/>
      <c r="T198" s="1077"/>
      <c r="U198" s="1077"/>
      <c r="V198" s="1077"/>
      <c r="W198" s="1077"/>
      <c r="X198" s="1078"/>
      <c r="Y198" s="1077"/>
      <c r="Z198" s="1077"/>
      <c r="AA198" s="1077"/>
      <c r="AB198" s="1077"/>
      <c r="AC198" s="1077"/>
      <c r="AD198" s="1077"/>
      <c r="AE198" s="1077"/>
      <c r="AF198" s="1015">
        <f t="shared" si="70"/>
        <v>0</v>
      </c>
    </row>
    <row r="199">
      <c r="A199" s="1093" t="s">
        <v>1342</v>
      </c>
      <c r="B199" s="1077"/>
      <c r="C199" s="1077"/>
      <c r="D199" s="1077"/>
      <c r="E199" s="1077"/>
      <c r="F199" s="1077"/>
      <c r="G199" s="1077"/>
      <c r="H199" s="1077"/>
      <c r="I199" s="1077"/>
      <c r="J199" s="1077"/>
      <c r="K199" s="1077"/>
      <c r="L199" s="1077"/>
      <c r="M199" s="1077"/>
      <c r="N199" s="1077"/>
      <c r="O199" s="1077"/>
      <c r="P199" s="1077"/>
      <c r="Q199" s="1077"/>
      <c r="R199" s="1077"/>
      <c r="S199" s="1078"/>
      <c r="T199" s="1077"/>
      <c r="U199" s="1077"/>
      <c r="V199" s="1077"/>
      <c r="W199" s="1077"/>
      <c r="X199" s="1078"/>
      <c r="Y199" s="1077"/>
      <c r="Z199" s="1077"/>
      <c r="AA199" s="1077"/>
      <c r="AB199" s="1077"/>
      <c r="AC199" s="1077"/>
      <c r="AD199" s="1077"/>
      <c r="AE199" s="1077"/>
      <c r="AF199" s="1015">
        <f t="shared" si="70"/>
        <v>0</v>
      </c>
    </row>
    <row r="200">
      <c r="A200" s="1460" t="s">
        <v>1343</v>
      </c>
      <c r="B200" s="317">
        <f t="shared" ref="B200:G200" si="71">SUM(B195:B199)</f>
        <v>0</v>
      </c>
      <c r="C200" s="317">
        <f t="shared" si="71"/>
        <v>0</v>
      </c>
      <c r="D200" s="317">
        <f t="shared" si="71"/>
        <v>0</v>
      </c>
      <c r="E200" s="317">
        <f t="shared" si="71"/>
        <v>0</v>
      </c>
      <c r="F200" s="317">
        <f t="shared" si="71"/>
        <v>0</v>
      </c>
      <c r="G200" s="317">
        <f t="shared" si="71"/>
        <v>0</v>
      </c>
      <c r="H200" s="425">
        <v>0.0</v>
      </c>
      <c r="I200" s="317">
        <f t="shared" ref="I200:AE200" si="72">SUM(I195:I199)</f>
        <v>0</v>
      </c>
      <c r="J200" s="317">
        <f t="shared" si="72"/>
        <v>0</v>
      </c>
      <c r="K200" s="317">
        <f t="shared" si="72"/>
        <v>0</v>
      </c>
      <c r="L200" s="317">
        <f t="shared" si="72"/>
        <v>0</v>
      </c>
      <c r="M200" s="317">
        <f t="shared" si="72"/>
        <v>0</v>
      </c>
      <c r="N200" s="317">
        <f t="shared" si="72"/>
        <v>0</v>
      </c>
      <c r="O200" s="317">
        <f t="shared" si="72"/>
        <v>0</v>
      </c>
      <c r="P200" s="317">
        <f t="shared" si="72"/>
        <v>0</v>
      </c>
      <c r="Q200" s="317">
        <f t="shared" si="72"/>
        <v>0</v>
      </c>
      <c r="R200" s="317">
        <f t="shared" si="72"/>
        <v>0</v>
      </c>
      <c r="S200" s="317">
        <f t="shared" si="72"/>
        <v>0</v>
      </c>
      <c r="T200" s="317">
        <f t="shared" si="72"/>
        <v>0</v>
      </c>
      <c r="U200" s="317">
        <f t="shared" si="72"/>
        <v>0</v>
      </c>
      <c r="V200" s="317">
        <f t="shared" si="72"/>
        <v>0</v>
      </c>
      <c r="W200" s="317">
        <f t="shared" si="72"/>
        <v>0</v>
      </c>
      <c r="X200" s="317">
        <f t="shared" si="72"/>
        <v>0</v>
      </c>
      <c r="Y200" s="317">
        <f t="shared" si="72"/>
        <v>0</v>
      </c>
      <c r="Z200" s="317">
        <f t="shared" si="72"/>
        <v>0</v>
      </c>
      <c r="AA200" s="317">
        <f t="shared" si="72"/>
        <v>0</v>
      </c>
      <c r="AB200" s="317">
        <f t="shared" si="72"/>
        <v>0</v>
      </c>
      <c r="AC200" s="317">
        <f t="shared" si="72"/>
        <v>0</v>
      </c>
      <c r="AD200" s="317">
        <f t="shared" si="72"/>
        <v>0</v>
      </c>
      <c r="AE200" s="317">
        <f t="shared" si="72"/>
        <v>0</v>
      </c>
      <c r="AF200" s="1015">
        <f t="shared" si="70"/>
        <v>0</v>
      </c>
    </row>
    <row r="201">
      <c r="A201" s="20"/>
      <c r="AF201" s="700"/>
    </row>
    <row r="202">
      <c r="A202" s="1093" t="s">
        <v>189</v>
      </c>
      <c r="B202" s="1077"/>
      <c r="C202" s="1077"/>
      <c r="D202" s="1077"/>
      <c r="E202" s="1077"/>
      <c r="F202" s="1077"/>
      <c r="G202" s="1077"/>
      <c r="H202" s="1077"/>
      <c r="I202" s="1077"/>
      <c r="J202" s="1077"/>
      <c r="K202" s="1077"/>
      <c r="L202" s="1077"/>
      <c r="M202" s="1077"/>
      <c r="N202" s="1077"/>
      <c r="O202" s="1077"/>
      <c r="P202" s="1077"/>
      <c r="Q202" s="1077"/>
      <c r="R202" s="1077"/>
      <c r="S202" s="1078"/>
      <c r="T202" s="1077"/>
      <c r="U202" s="1077"/>
      <c r="V202" s="1077"/>
      <c r="W202" s="1077"/>
      <c r="X202" s="1077"/>
      <c r="Y202" s="1077"/>
      <c r="Z202" s="1077"/>
      <c r="AA202" s="1077"/>
      <c r="AB202" s="1077"/>
      <c r="AC202" s="1077"/>
      <c r="AD202" s="1077"/>
      <c r="AE202" s="1077"/>
      <c r="AF202" s="1015">
        <f t="shared" ref="AF202:AF207" si="73">SUM(B202:AE202)</f>
        <v>0</v>
      </c>
    </row>
    <row r="203">
      <c r="A203" s="1093" t="s">
        <v>190</v>
      </c>
      <c r="B203" s="1077"/>
      <c r="C203" s="1077"/>
      <c r="D203" s="1077"/>
      <c r="E203" s="1077"/>
      <c r="F203" s="1077"/>
      <c r="G203" s="1077"/>
      <c r="H203" s="1077"/>
      <c r="I203" s="1077"/>
      <c r="J203" s="1077"/>
      <c r="K203" s="1077"/>
      <c r="L203" s="1077"/>
      <c r="M203" s="1077"/>
      <c r="N203" s="1077"/>
      <c r="O203" s="1077"/>
      <c r="P203" s="1077"/>
      <c r="Q203" s="1077"/>
      <c r="R203" s="1077"/>
      <c r="S203" s="1078"/>
      <c r="T203" s="1077"/>
      <c r="U203" s="1077"/>
      <c r="V203" s="1077"/>
      <c r="W203" s="1077"/>
      <c r="X203" s="1077"/>
      <c r="Y203" s="1077"/>
      <c r="Z203" s="1077"/>
      <c r="AA203" s="1077"/>
      <c r="AB203" s="1077"/>
      <c r="AC203" s="1077"/>
      <c r="AD203" s="1077"/>
      <c r="AE203" s="1077"/>
      <c r="AF203" s="1015">
        <f t="shared" si="73"/>
        <v>0</v>
      </c>
    </row>
    <row r="204">
      <c r="A204" s="1093" t="s">
        <v>191</v>
      </c>
      <c r="B204" s="1077"/>
      <c r="C204" s="1077"/>
      <c r="D204" s="1077"/>
      <c r="E204" s="1077"/>
      <c r="F204" s="1077"/>
      <c r="G204" s="1077"/>
      <c r="H204" s="1077"/>
      <c r="I204" s="1077"/>
      <c r="J204" s="1077"/>
      <c r="K204" s="1077"/>
      <c r="L204" s="1077"/>
      <c r="M204" s="1077"/>
      <c r="N204" s="1077"/>
      <c r="O204" s="1077"/>
      <c r="P204" s="1077"/>
      <c r="Q204" s="1077"/>
      <c r="R204" s="1077"/>
      <c r="S204" s="1078"/>
      <c r="T204" s="1077"/>
      <c r="U204" s="1077"/>
      <c r="V204" s="1077"/>
      <c r="W204" s="1077"/>
      <c r="X204" s="1077"/>
      <c r="Y204" s="1077"/>
      <c r="Z204" s="1077"/>
      <c r="AA204" s="1077"/>
      <c r="AB204" s="1077"/>
      <c r="AC204" s="1077"/>
      <c r="AD204" s="1077"/>
      <c r="AE204" s="1077"/>
      <c r="AF204" s="1015">
        <f t="shared" si="73"/>
        <v>0</v>
      </c>
    </row>
    <row r="205">
      <c r="A205" s="1093" t="s">
        <v>192</v>
      </c>
      <c r="B205" s="1077"/>
      <c r="C205" s="1077"/>
      <c r="D205" s="1077"/>
      <c r="E205" s="1077"/>
      <c r="F205" s="1077"/>
      <c r="G205" s="1077"/>
      <c r="H205" s="1077"/>
      <c r="I205" s="1077"/>
      <c r="J205" s="1077"/>
      <c r="K205" s="1077"/>
      <c r="L205" s="1077"/>
      <c r="M205" s="1077"/>
      <c r="N205" s="1077"/>
      <c r="O205" s="1077"/>
      <c r="P205" s="1077"/>
      <c r="Q205" s="1077"/>
      <c r="R205" s="1077"/>
      <c r="S205" s="1078"/>
      <c r="T205" s="1077"/>
      <c r="U205" s="1077"/>
      <c r="V205" s="1077"/>
      <c r="W205" s="1077"/>
      <c r="X205" s="1077"/>
      <c r="Y205" s="1077"/>
      <c r="Z205" s="1077"/>
      <c r="AA205" s="1077"/>
      <c r="AB205" s="1077"/>
      <c r="AC205" s="1077"/>
      <c r="AD205" s="1077"/>
      <c r="AE205" s="1077"/>
      <c r="AF205" s="1015">
        <f t="shared" si="73"/>
        <v>0</v>
      </c>
    </row>
    <row r="206">
      <c r="A206" s="1093" t="s">
        <v>193</v>
      </c>
      <c r="B206" s="1077"/>
      <c r="C206" s="1077"/>
      <c r="D206" s="1077"/>
      <c r="E206" s="1077"/>
      <c r="F206" s="1077"/>
      <c r="G206" s="1077"/>
      <c r="H206" s="1077"/>
      <c r="I206" s="1077"/>
      <c r="J206" s="1077"/>
      <c r="K206" s="1077"/>
      <c r="L206" s="1077"/>
      <c r="M206" s="1077"/>
      <c r="N206" s="1077"/>
      <c r="O206" s="1077"/>
      <c r="P206" s="1077"/>
      <c r="Q206" s="1077"/>
      <c r="R206" s="1077"/>
      <c r="S206" s="1078"/>
      <c r="T206" s="1077"/>
      <c r="U206" s="1077"/>
      <c r="V206" s="1077"/>
      <c r="W206" s="1077"/>
      <c r="X206" s="1077"/>
      <c r="Y206" s="1077"/>
      <c r="Z206" s="1077"/>
      <c r="AA206" s="1077"/>
      <c r="AB206" s="1077"/>
      <c r="AC206" s="1077"/>
      <c r="AD206" s="1077"/>
      <c r="AE206" s="1077"/>
      <c r="AF206" s="1015">
        <f t="shared" si="73"/>
        <v>0</v>
      </c>
    </row>
    <row r="207">
      <c r="A207" s="1100" t="s">
        <v>195</v>
      </c>
      <c r="B207" s="317">
        <f t="shared" ref="B207:R207" si="74">SUM(B202:B206)</f>
        <v>0</v>
      </c>
      <c r="C207" s="317">
        <f t="shared" si="74"/>
        <v>0</v>
      </c>
      <c r="D207" s="317">
        <f t="shared" si="74"/>
        <v>0</v>
      </c>
      <c r="E207" s="317">
        <f t="shared" si="74"/>
        <v>0</v>
      </c>
      <c r="F207" s="317">
        <f t="shared" si="74"/>
        <v>0</v>
      </c>
      <c r="G207" s="317">
        <f t="shared" si="74"/>
        <v>0</v>
      </c>
      <c r="H207" s="317">
        <f t="shared" si="74"/>
        <v>0</v>
      </c>
      <c r="I207" s="317">
        <f t="shared" si="74"/>
        <v>0</v>
      </c>
      <c r="J207" s="317">
        <f t="shared" si="74"/>
        <v>0</v>
      </c>
      <c r="K207" s="317">
        <f t="shared" si="74"/>
        <v>0</v>
      </c>
      <c r="L207" s="317">
        <f t="shared" si="74"/>
        <v>0</v>
      </c>
      <c r="M207" s="317">
        <f t="shared" si="74"/>
        <v>0</v>
      </c>
      <c r="N207" s="317">
        <f t="shared" si="74"/>
        <v>0</v>
      </c>
      <c r="O207" s="317">
        <f t="shared" si="74"/>
        <v>0</v>
      </c>
      <c r="P207" s="317">
        <f t="shared" si="74"/>
        <v>0</v>
      </c>
      <c r="Q207" s="317">
        <f t="shared" si="74"/>
        <v>0</v>
      </c>
      <c r="R207" s="317">
        <f t="shared" si="74"/>
        <v>0</v>
      </c>
      <c r="S207" s="425">
        <v>0.0</v>
      </c>
      <c r="T207" s="317">
        <f t="shared" ref="T207:AE207" si="75">SUM(T202:T206)</f>
        <v>0</v>
      </c>
      <c r="U207" s="317">
        <f t="shared" si="75"/>
        <v>0</v>
      </c>
      <c r="V207" s="317">
        <f t="shared" si="75"/>
        <v>0</v>
      </c>
      <c r="W207" s="317">
        <f t="shared" si="75"/>
        <v>0</v>
      </c>
      <c r="X207" s="317">
        <f t="shared" si="75"/>
        <v>0</v>
      </c>
      <c r="Y207" s="317">
        <f t="shared" si="75"/>
        <v>0</v>
      </c>
      <c r="Z207" s="317">
        <f t="shared" si="75"/>
        <v>0</v>
      </c>
      <c r="AA207" s="317">
        <f t="shared" si="75"/>
        <v>0</v>
      </c>
      <c r="AB207" s="317">
        <f t="shared" si="75"/>
        <v>0</v>
      </c>
      <c r="AC207" s="317">
        <f t="shared" si="75"/>
        <v>0</v>
      </c>
      <c r="AD207" s="317">
        <f t="shared" si="75"/>
        <v>0</v>
      </c>
      <c r="AE207" s="317">
        <f t="shared" si="75"/>
        <v>0</v>
      </c>
      <c r="AF207" s="1015">
        <f t="shared" si="73"/>
        <v>0</v>
      </c>
    </row>
    <row r="208">
      <c r="A208" s="20"/>
      <c r="S208" s="581"/>
      <c r="AF208" s="700"/>
    </row>
    <row r="209">
      <c r="A209" s="1093" t="s">
        <v>196</v>
      </c>
      <c r="B209" s="1077"/>
      <c r="C209" s="1077"/>
      <c r="D209" s="1077"/>
      <c r="E209" s="1077"/>
      <c r="F209" s="1077"/>
      <c r="G209" s="1077"/>
      <c r="H209" s="1077"/>
      <c r="I209" s="1077"/>
      <c r="J209" s="1077"/>
      <c r="K209" s="1077"/>
      <c r="L209" s="1077"/>
      <c r="M209" s="1077"/>
      <c r="N209" s="1077"/>
      <c r="O209" s="1077"/>
      <c r="P209" s="1077"/>
      <c r="Q209" s="1077"/>
      <c r="R209" s="1077"/>
      <c r="S209" s="1078"/>
      <c r="T209" s="1077"/>
      <c r="U209" s="1077"/>
      <c r="V209" s="1077"/>
      <c r="W209" s="1077"/>
      <c r="X209" s="1077"/>
      <c r="Y209" s="1077"/>
      <c r="Z209" s="1077"/>
      <c r="AA209" s="1077"/>
      <c r="AB209" s="1077"/>
      <c r="AC209" s="1077"/>
      <c r="AD209" s="1077"/>
      <c r="AE209" s="1077"/>
      <c r="AF209" s="1015">
        <f t="shared" ref="AF209:AF214" si="76">SUM(B209:AE209)</f>
        <v>0</v>
      </c>
    </row>
    <row r="210">
      <c r="A210" s="1093" t="s">
        <v>197</v>
      </c>
      <c r="B210" s="1077"/>
      <c r="C210" s="1077"/>
      <c r="D210" s="1077"/>
      <c r="E210" s="1077"/>
      <c r="F210" s="1077"/>
      <c r="G210" s="1077"/>
      <c r="H210" s="1077"/>
      <c r="I210" s="1077"/>
      <c r="J210" s="1077"/>
      <c r="K210" s="1077"/>
      <c r="L210" s="1077"/>
      <c r="M210" s="1077"/>
      <c r="N210" s="1077"/>
      <c r="O210" s="1077"/>
      <c r="P210" s="1077"/>
      <c r="Q210" s="1077"/>
      <c r="R210" s="1077"/>
      <c r="S210" s="1078"/>
      <c r="T210" s="1077"/>
      <c r="U210" s="1077"/>
      <c r="V210" s="1077"/>
      <c r="W210" s="1077"/>
      <c r="X210" s="1077"/>
      <c r="Y210" s="1077"/>
      <c r="Z210" s="1077"/>
      <c r="AA210" s="1077"/>
      <c r="AB210" s="1077"/>
      <c r="AC210" s="1077"/>
      <c r="AD210" s="1077"/>
      <c r="AE210" s="1077"/>
      <c r="AF210" s="1015">
        <f t="shared" si="76"/>
        <v>0</v>
      </c>
    </row>
    <row r="211">
      <c r="A211" s="1093" t="s">
        <v>198</v>
      </c>
      <c r="B211" s="1077"/>
      <c r="C211" s="1077"/>
      <c r="D211" s="1077"/>
      <c r="E211" s="1077"/>
      <c r="F211" s="1077"/>
      <c r="G211" s="1077"/>
      <c r="H211" s="1077"/>
      <c r="I211" s="1077"/>
      <c r="J211" s="1077"/>
      <c r="K211" s="1077"/>
      <c r="L211" s="1077"/>
      <c r="M211" s="1077"/>
      <c r="N211" s="1077"/>
      <c r="O211" s="1077"/>
      <c r="P211" s="1077"/>
      <c r="Q211" s="1077"/>
      <c r="R211" s="1077"/>
      <c r="S211" s="1078"/>
      <c r="T211" s="1077"/>
      <c r="U211" s="1077"/>
      <c r="V211" s="1077"/>
      <c r="W211" s="1077"/>
      <c r="X211" s="1077"/>
      <c r="Y211" s="1077"/>
      <c r="Z211" s="1077"/>
      <c r="AA211" s="1077"/>
      <c r="AB211" s="1077"/>
      <c r="AC211" s="1077"/>
      <c r="AD211" s="1077"/>
      <c r="AE211" s="1077"/>
      <c r="AF211" s="1015">
        <f t="shared" si="76"/>
        <v>0</v>
      </c>
    </row>
    <row r="212">
      <c r="A212" s="1093" t="s">
        <v>199</v>
      </c>
      <c r="B212" s="1077"/>
      <c r="C212" s="1077"/>
      <c r="D212" s="1077"/>
      <c r="E212" s="1077"/>
      <c r="F212" s="1077"/>
      <c r="G212" s="1077"/>
      <c r="H212" s="1077"/>
      <c r="I212" s="1077"/>
      <c r="J212" s="1077"/>
      <c r="K212" s="1077"/>
      <c r="L212" s="1077"/>
      <c r="M212" s="1077"/>
      <c r="N212" s="1077"/>
      <c r="O212" s="1077"/>
      <c r="P212" s="1077"/>
      <c r="Q212" s="1077"/>
      <c r="R212" s="1077"/>
      <c r="S212" s="1078"/>
      <c r="T212" s="1077"/>
      <c r="U212" s="1077"/>
      <c r="V212" s="1077"/>
      <c r="W212" s="1077"/>
      <c r="X212" s="1077"/>
      <c r="Y212" s="1077"/>
      <c r="Z212" s="1077"/>
      <c r="AA212" s="1077"/>
      <c r="AB212" s="1077"/>
      <c r="AC212" s="1077"/>
      <c r="AD212" s="1077"/>
      <c r="AE212" s="1077"/>
      <c r="AF212" s="1015">
        <f t="shared" si="76"/>
        <v>0</v>
      </c>
    </row>
    <row r="213">
      <c r="A213" s="1093" t="s">
        <v>201</v>
      </c>
      <c r="B213" s="1077"/>
      <c r="C213" s="1077"/>
      <c r="D213" s="1077"/>
      <c r="E213" s="1077"/>
      <c r="F213" s="1077"/>
      <c r="G213" s="1077"/>
      <c r="H213" s="1077"/>
      <c r="I213" s="1077"/>
      <c r="J213" s="1077"/>
      <c r="K213" s="1077"/>
      <c r="L213" s="1077"/>
      <c r="M213" s="1077"/>
      <c r="N213" s="1077"/>
      <c r="O213" s="1077"/>
      <c r="P213" s="1077"/>
      <c r="Q213" s="1077"/>
      <c r="R213" s="1077"/>
      <c r="S213" s="1078"/>
      <c r="T213" s="1077"/>
      <c r="U213" s="1077"/>
      <c r="V213" s="1077"/>
      <c r="W213" s="1077"/>
      <c r="X213" s="1077"/>
      <c r="Y213" s="1077"/>
      <c r="Z213" s="1077"/>
      <c r="AA213" s="1077"/>
      <c r="AB213" s="1077"/>
      <c r="AC213" s="1077"/>
      <c r="AD213" s="1077"/>
      <c r="AE213" s="1077"/>
      <c r="AF213" s="1015">
        <f t="shared" si="76"/>
        <v>0</v>
      </c>
    </row>
    <row r="214">
      <c r="A214" s="1100" t="s">
        <v>202</v>
      </c>
      <c r="B214" s="317">
        <f t="shared" ref="B214:AE214" si="77">SUM(B209:B213)</f>
        <v>0</v>
      </c>
      <c r="C214" s="317">
        <f t="shared" si="77"/>
        <v>0</v>
      </c>
      <c r="D214" s="317">
        <f t="shared" si="77"/>
        <v>0</v>
      </c>
      <c r="E214" s="317">
        <f t="shared" si="77"/>
        <v>0</v>
      </c>
      <c r="F214" s="317">
        <f t="shared" si="77"/>
        <v>0</v>
      </c>
      <c r="G214" s="317">
        <f t="shared" si="77"/>
        <v>0</v>
      </c>
      <c r="H214" s="317">
        <f t="shared" si="77"/>
        <v>0</v>
      </c>
      <c r="I214" s="317">
        <f t="shared" si="77"/>
        <v>0</v>
      </c>
      <c r="J214" s="317">
        <f t="shared" si="77"/>
        <v>0</v>
      </c>
      <c r="K214" s="317">
        <f t="shared" si="77"/>
        <v>0</v>
      </c>
      <c r="L214" s="317">
        <f t="shared" si="77"/>
        <v>0</v>
      </c>
      <c r="M214" s="317">
        <f t="shared" si="77"/>
        <v>0</v>
      </c>
      <c r="N214" s="317">
        <f t="shared" si="77"/>
        <v>0</v>
      </c>
      <c r="O214" s="317">
        <f t="shared" si="77"/>
        <v>0</v>
      </c>
      <c r="P214" s="317">
        <f t="shared" si="77"/>
        <v>0</v>
      </c>
      <c r="Q214" s="317">
        <f t="shared" si="77"/>
        <v>0</v>
      </c>
      <c r="R214" s="317">
        <f t="shared" si="77"/>
        <v>0</v>
      </c>
      <c r="S214" s="317">
        <f t="shared" si="77"/>
        <v>0</v>
      </c>
      <c r="T214" s="317">
        <f t="shared" si="77"/>
        <v>0</v>
      </c>
      <c r="U214" s="317">
        <f t="shared" si="77"/>
        <v>0</v>
      </c>
      <c r="V214" s="317">
        <f t="shared" si="77"/>
        <v>0</v>
      </c>
      <c r="W214" s="317">
        <f t="shared" si="77"/>
        <v>0</v>
      </c>
      <c r="X214" s="317">
        <f t="shared" si="77"/>
        <v>0</v>
      </c>
      <c r="Y214" s="317">
        <f t="shared" si="77"/>
        <v>0</v>
      </c>
      <c r="Z214" s="317">
        <f t="shared" si="77"/>
        <v>0</v>
      </c>
      <c r="AA214" s="317">
        <f t="shared" si="77"/>
        <v>0</v>
      </c>
      <c r="AB214" s="317">
        <f t="shared" si="77"/>
        <v>0</v>
      </c>
      <c r="AC214" s="317">
        <f t="shared" si="77"/>
        <v>0</v>
      </c>
      <c r="AD214" s="317">
        <f t="shared" si="77"/>
        <v>0</v>
      </c>
      <c r="AE214" s="317">
        <f t="shared" si="77"/>
        <v>0</v>
      </c>
      <c r="AF214" s="1015">
        <f t="shared" si="76"/>
        <v>0</v>
      </c>
    </row>
    <row r="215">
      <c r="A215" s="854"/>
      <c r="AF215" s="700"/>
    </row>
    <row r="216">
      <c r="A216" s="854"/>
      <c r="AF216" s="700"/>
    </row>
    <row r="217">
      <c r="A217" s="1494" t="s">
        <v>1369</v>
      </c>
      <c r="B217" s="331">
        <v>2.0</v>
      </c>
      <c r="C217" s="331">
        <v>2.0</v>
      </c>
      <c r="D217" s="331">
        <v>0.0</v>
      </c>
      <c r="E217" s="331">
        <v>0.0</v>
      </c>
      <c r="F217" s="331">
        <v>0.0</v>
      </c>
      <c r="G217" s="331">
        <v>2.0</v>
      </c>
      <c r="H217" s="331">
        <v>2.0</v>
      </c>
      <c r="I217" s="331">
        <v>1.0</v>
      </c>
      <c r="J217" s="331">
        <v>2.0</v>
      </c>
      <c r="K217" s="331">
        <v>1.0</v>
      </c>
      <c r="L217" s="331">
        <v>1.0</v>
      </c>
      <c r="M217" s="331">
        <v>0.0</v>
      </c>
      <c r="N217" s="331">
        <v>1.0</v>
      </c>
      <c r="O217" s="331">
        <v>1.0</v>
      </c>
      <c r="P217" s="331">
        <v>0.0</v>
      </c>
      <c r="Q217" s="331">
        <v>0.0</v>
      </c>
      <c r="R217" s="331">
        <v>0.0</v>
      </c>
      <c r="S217" s="331">
        <v>0.0</v>
      </c>
      <c r="T217" s="331">
        <v>0.0</v>
      </c>
      <c r="U217" s="331">
        <v>0.0</v>
      </c>
      <c r="V217" s="331">
        <v>0.0</v>
      </c>
      <c r="W217" s="331">
        <v>3.0</v>
      </c>
      <c r="X217" s="1074">
        <v>1.0</v>
      </c>
      <c r="Y217" s="331">
        <v>2.0</v>
      </c>
      <c r="Z217" s="331">
        <v>2.0</v>
      </c>
      <c r="AA217" s="331">
        <v>1.0</v>
      </c>
      <c r="AB217" s="331">
        <v>0.0</v>
      </c>
      <c r="AC217" s="331">
        <v>0.0</v>
      </c>
      <c r="AD217" s="331">
        <v>0.0</v>
      </c>
      <c r="AE217" s="331">
        <v>0.0</v>
      </c>
      <c r="AF217" s="1015">
        <f t="shared" ref="AF217:AF220" si="78">SUM(B217:AE217)</f>
        <v>24</v>
      </c>
    </row>
    <row r="218">
      <c r="A218" s="1093" t="s">
        <v>1372</v>
      </c>
      <c r="B218" s="1077"/>
      <c r="C218" s="1077"/>
      <c r="D218" s="1077"/>
      <c r="E218" s="1077"/>
      <c r="F218" s="1078"/>
      <c r="G218" s="1078"/>
      <c r="H218" s="1077"/>
      <c r="I218" s="1077"/>
      <c r="J218" s="1077"/>
      <c r="K218" s="1077"/>
      <c r="L218" s="1077"/>
      <c r="M218" s="1077"/>
      <c r="N218" s="1077"/>
      <c r="O218" s="1077"/>
      <c r="P218" s="1077"/>
      <c r="Q218" s="1077"/>
      <c r="R218" s="1077"/>
      <c r="S218" s="1078"/>
      <c r="T218" s="1077"/>
      <c r="U218" s="1077"/>
      <c r="V218" s="1077"/>
      <c r="W218" s="1077"/>
      <c r="X218" s="1078"/>
      <c r="Y218" s="1077"/>
      <c r="Z218" s="1077"/>
      <c r="AA218" s="1077"/>
      <c r="AB218" s="1077"/>
      <c r="AC218" s="1077"/>
      <c r="AD218" s="1077"/>
      <c r="AE218" s="1077"/>
      <c r="AF218" s="1015">
        <f t="shared" si="78"/>
        <v>0</v>
      </c>
    </row>
    <row r="219">
      <c r="A219" s="1093" t="s">
        <v>1373</v>
      </c>
      <c r="B219" s="1077"/>
      <c r="C219" s="1077"/>
      <c r="D219" s="1077"/>
      <c r="E219" s="1077"/>
      <c r="F219" s="1078"/>
      <c r="G219" s="1078"/>
      <c r="H219" s="1077"/>
      <c r="I219" s="1077"/>
      <c r="J219" s="1077"/>
      <c r="K219" s="1077"/>
      <c r="L219" s="1077"/>
      <c r="M219" s="1077"/>
      <c r="N219" s="1077"/>
      <c r="O219" s="1077"/>
      <c r="P219" s="1077"/>
      <c r="Q219" s="1077"/>
      <c r="R219" s="1077"/>
      <c r="S219" s="1078"/>
      <c r="T219" s="1077"/>
      <c r="U219" s="1077"/>
      <c r="V219" s="1077"/>
      <c r="W219" s="1077"/>
      <c r="X219" s="1078"/>
      <c r="Y219" s="1077"/>
      <c r="Z219" s="1077"/>
      <c r="AA219" s="1077"/>
      <c r="AB219" s="1077"/>
      <c r="AC219" s="1077"/>
      <c r="AD219" s="1077"/>
      <c r="AE219" s="1077"/>
      <c r="AF219" s="1015">
        <f t="shared" si="78"/>
        <v>0</v>
      </c>
    </row>
    <row r="220">
      <c r="A220" s="1096" t="s">
        <v>426</v>
      </c>
      <c r="B220" s="317">
        <f t="shared" ref="B220:AE220" si="79">SUM(B217:B219)</f>
        <v>2</v>
      </c>
      <c r="C220" s="317">
        <f t="shared" si="79"/>
        <v>2</v>
      </c>
      <c r="D220" s="317">
        <f t="shared" si="79"/>
        <v>0</v>
      </c>
      <c r="E220" s="317">
        <f t="shared" si="79"/>
        <v>0</v>
      </c>
      <c r="F220" s="317">
        <f t="shared" si="79"/>
        <v>0</v>
      </c>
      <c r="G220" s="317">
        <f t="shared" si="79"/>
        <v>2</v>
      </c>
      <c r="H220" s="317">
        <f t="shared" si="79"/>
        <v>2</v>
      </c>
      <c r="I220" s="317">
        <f t="shared" si="79"/>
        <v>1</v>
      </c>
      <c r="J220" s="317">
        <f t="shared" si="79"/>
        <v>2</v>
      </c>
      <c r="K220" s="317">
        <f t="shared" si="79"/>
        <v>1</v>
      </c>
      <c r="L220" s="317">
        <f t="shared" si="79"/>
        <v>1</v>
      </c>
      <c r="M220" s="317">
        <f t="shared" si="79"/>
        <v>0</v>
      </c>
      <c r="N220" s="317">
        <f t="shared" si="79"/>
        <v>1</v>
      </c>
      <c r="O220" s="317">
        <f t="shared" si="79"/>
        <v>1</v>
      </c>
      <c r="P220" s="317">
        <f t="shared" si="79"/>
        <v>0</v>
      </c>
      <c r="Q220" s="317">
        <f t="shared" si="79"/>
        <v>0</v>
      </c>
      <c r="R220" s="317">
        <f t="shared" si="79"/>
        <v>0</v>
      </c>
      <c r="S220" s="317">
        <f t="shared" si="79"/>
        <v>0</v>
      </c>
      <c r="T220" s="317">
        <f t="shared" si="79"/>
        <v>0</v>
      </c>
      <c r="U220" s="317">
        <f t="shared" si="79"/>
        <v>0</v>
      </c>
      <c r="V220" s="317">
        <f t="shared" si="79"/>
        <v>0</v>
      </c>
      <c r="W220" s="317">
        <f t="shared" si="79"/>
        <v>3</v>
      </c>
      <c r="X220" s="317">
        <f t="shared" si="79"/>
        <v>1</v>
      </c>
      <c r="Y220" s="317">
        <f t="shared" si="79"/>
        <v>2</v>
      </c>
      <c r="Z220" s="317">
        <f t="shared" si="79"/>
        <v>2</v>
      </c>
      <c r="AA220" s="317">
        <f t="shared" si="79"/>
        <v>1</v>
      </c>
      <c r="AB220" s="317">
        <f t="shared" si="79"/>
        <v>0</v>
      </c>
      <c r="AC220" s="317">
        <f t="shared" si="79"/>
        <v>0</v>
      </c>
      <c r="AD220" s="317">
        <f t="shared" si="79"/>
        <v>0</v>
      </c>
      <c r="AE220" s="317">
        <f t="shared" si="79"/>
        <v>0</v>
      </c>
      <c r="AF220" s="1015">
        <f t="shared" si="78"/>
        <v>24</v>
      </c>
    </row>
    <row r="221">
      <c r="A221" s="854"/>
      <c r="B221" s="1097"/>
      <c r="AF221" s="700"/>
    </row>
    <row r="222">
      <c r="A222" s="931" t="s">
        <v>1050</v>
      </c>
      <c r="B222" s="651"/>
      <c r="C222" s="651"/>
      <c r="D222" s="651"/>
      <c r="E222" s="651"/>
      <c r="F222" s="651"/>
      <c r="G222" s="1081"/>
      <c r="H222" s="651"/>
      <c r="I222" s="582"/>
      <c r="J222" s="582"/>
      <c r="K222" s="582"/>
      <c r="L222" s="582"/>
      <c r="M222" s="582"/>
      <c r="N222" s="582"/>
      <c r="O222" s="582"/>
      <c r="P222" s="582"/>
      <c r="Q222" s="582"/>
      <c r="R222" s="582"/>
      <c r="S222" s="582"/>
      <c r="T222" s="582"/>
      <c r="U222" s="582"/>
      <c r="V222" s="582"/>
      <c r="W222" s="582"/>
      <c r="X222" s="582"/>
      <c r="Y222" s="582"/>
      <c r="Z222" s="582"/>
      <c r="AA222" s="582"/>
      <c r="AB222" s="582"/>
      <c r="AC222" s="582"/>
      <c r="AD222" s="582"/>
      <c r="AE222" s="582"/>
      <c r="AF222" s="700"/>
    </row>
    <row r="223">
      <c r="A223" s="1494" t="s">
        <v>308</v>
      </c>
      <c r="B223" s="1081">
        <v>609.62</v>
      </c>
      <c r="C223" s="1081">
        <v>579.54</v>
      </c>
      <c r="D223" s="579">
        <v>0.0</v>
      </c>
      <c r="E223" s="579">
        <v>0.0</v>
      </c>
      <c r="F223" s="579">
        <v>0.0</v>
      </c>
      <c r="G223" s="579">
        <v>562.98</v>
      </c>
      <c r="H223" s="579">
        <v>582.37</v>
      </c>
      <c r="I223" s="579">
        <v>285.78</v>
      </c>
      <c r="J223" s="579">
        <v>568.59</v>
      </c>
      <c r="K223" s="579">
        <v>288.09</v>
      </c>
      <c r="L223" s="579">
        <v>289.41</v>
      </c>
      <c r="M223" s="579">
        <v>0.0</v>
      </c>
      <c r="N223" s="579">
        <v>285.78</v>
      </c>
      <c r="O223" s="579">
        <v>279.84</v>
      </c>
      <c r="P223" s="579">
        <v>605.78</v>
      </c>
      <c r="Q223" s="579">
        <v>307.6</v>
      </c>
      <c r="R223" s="579">
        <v>301.38</v>
      </c>
      <c r="S223" s="579">
        <v>298.53</v>
      </c>
      <c r="T223" s="579">
        <v>301.32</v>
      </c>
      <c r="U223" s="579">
        <v>892.8</v>
      </c>
      <c r="V223" s="579">
        <v>591.29</v>
      </c>
      <c r="W223" s="579">
        <v>1489.16</v>
      </c>
      <c r="X223" s="579">
        <v>583.21</v>
      </c>
      <c r="Y223" s="579">
        <v>279.84</v>
      </c>
      <c r="Z223" s="579">
        <v>580.62</v>
      </c>
      <c r="AA223" s="579">
        <v>295.74</v>
      </c>
      <c r="AB223" s="579">
        <v>0.0</v>
      </c>
      <c r="AC223" s="579">
        <v>0.0</v>
      </c>
      <c r="AD223" s="579">
        <v>0.0</v>
      </c>
      <c r="AE223" s="579">
        <v>0.0</v>
      </c>
      <c r="AF223" s="888">
        <f t="shared" ref="AF223:AF226" si="80">SUM(B223:AE223)</f>
        <v>10859.27</v>
      </c>
    </row>
    <row r="224">
      <c r="A224" s="1494" t="s">
        <v>1377</v>
      </c>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888">
        <f t="shared" si="80"/>
        <v>0</v>
      </c>
    </row>
    <row r="225">
      <c r="A225" s="1494" t="s">
        <v>1378</v>
      </c>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888">
        <f t="shared" si="80"/>
        <v>0</v>
      </c>
    </row>
    <row r="226">
      <c r="A226" s="1498" t="s">
        <v>1380</v>
      </c>
      <c r="B226" s="411"/>
      <c r="C226" s="411"/>
      <c r="D226" s="411"/>
      <c r="E226" s="411"/>
      <c r="F226" s="411"/>
      <c r="G226" s="411"/>
      <c r="H226" s="411"/>
      <c r="I226" s="411"/>
      <c r="J226" s="411"/>
      <c r="K226" s="411"/>
      <c r="L226" s="411"/>
      <c r="M226" s="411"/>
      <c r="N226" s="411"/>
      <c r="O226" s="411"/>
      <c r="P226" s="411"/>
      <c r="Q226" s="411"/>
      <c r="R226" s="411"/>
      <c r="S226" s="411"/>
      <c r="T226" s="411"/>
      <c r="U226" s="411"/>
      <c r="V226" s="411"/>
      <c r="W226" s="411"/>
      <c r="X226" s="411"/>
      <c r="Y226" s="411"/>
      <c r="Z226" s="411"/>
      <c r="AA226" s="411"/>
      <c r="AB226" s="411"/>
      <c r="AC226" s="411"/>
      <c r="AD226" s="411"/>
      <c r="AE226" s="411"/>
      <c r="AF226" s="888">
        <f t="shared" si="80"/>
        <v>0</v>
      </c>
    </row>
    <row r="227">
      <c r="A227" s="854"/>
      <c r="AF227" s="888"/>
    </row>
    <row r="228">
      <c r="A228" s="1093" t="s">
        <v>1382</v>
      </c>
      <c r="B228" s="71"/>
      <c r="C228" s="71"/>
      <c r="D228" s="71"/>
      <c r="E228" s="71"/>
      <c r="F228" s="1092"/>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888">
        <f t="shared" ref="AF228:AF231" si="81">SUM(B228:AE228)</f>
        <v>0</v>
      </c>
    </row>
    <row r="229">
      <c r="A229" s="1093" t="s">
        <v>1383</v>
      </c>
      <c r="B229" s="71"/>
      <c r="C229" s="71"/>
      <c r="D229" s="71"/>
      <c r="E229" s="71"/>
      <c r="F229" s="1092"/>
      <c r="G229" s="71"/>
      <c r="H229" s="71"/>
      <c r="I229" s="71"/>
      <c r="J229" s="71"/>
      <c r="K229" s="71"/>
      <c r="L229" s="71"/>
      <c r="M229" s="71"/>
      <c r="N229" s="71"/>
      <c r="O229" s="71"/>
      <c r="P229" s="71"/>
      <c r="Q229" s="71"/>
      <c r="R229" s="71"/>
      <c r="S229" s="71"/>
      <c r="T229" s="71"/>
      <c r="U229" s="71"/>
      <c r="V229" s="71"/>
      <c r="W229" s="1092"/>
      <c r="X229" s="1092"/>
      <c r="Y229" s="71"/>
      <c r="Z229" s="71"/>
      <c r="AA229" s="71"/>
      <c r="AB229" s="71"/>
      <c r="AC229" s="71"/>
      <c r="AD229" s="71"/>
      <c r="AE229" s="71"/>
      <c r="AF229" s="888">
        <f t="shared" si="81"/>
        <v>0</v>
      </c>
    </row>
    <row r="230">
      <c r="A230" s="1093" t="s">
        <v>1385</v>
      </c>
      <c r="B230" s="71">
        <f t="shared" ref="B230:AE230" si="82">B228*0.22</f>
        <v>0</v>
      </c>
      <c r="C230" s="71">
        <f t="shared" si="82"/>
        <v>0</v>
      </c>
      <c r="D230" s="71">
        <f t="shared" si="82"/>
        <v>0</v>
      </c>
      <c r="E230" s="71">
        <f t="shared" si="82"/>
        <v>0</v>
      </c>
      <c r="F230" s="71">
        <f t="shared" si="82"/>
        <v>0</v>
      </c>
      <c r="G230" s="71">
        <f t="shared" si="82"/>
        <v>0</v>
      </c>
      <c r="H230" s="71">
        <f t="shared" si="82"/>
        <v>0</v>
      </c>
      <c r="I230" s="71">
        <f t="shared" si="82"/>
        <v>0</v>
      </c>
      <c r="J230" s="71">
        <f t="shared" si="82"/>
        <v>0</v>
      </c>
      <c r="K230" s="71">
        <f t="shared" si="82"/>
        <v>0</v>
      </c>
      <c r="L230" s="71">
        <f t="shared" si="82"/>
        <v>0</v>
      </c>
      <c r="M230" s="71">
        <f t="shared" si="82"/>
        <v>0</v>
      </c>
      <c r="N230" s="71">
        <f t="shared" si="82"/>
        <v>0</v>
      </c>
      <c r="O230" s="71">
        <f t="shared" si="82"/>
        <v>0</v>
      </c>
      <c r="P230" s="71">
        <f t="shared" si="82"/>
        <v>0</v>
      </c>
      <c r="Q230" s="71">
        <f t="shared" si="82"/>
        <v>0</v>
      </c>
      <c r="R230" s="71">
        <f t="shared" si="82"/>
        <v>0</v>
      </c>
      <c r="S230" s="71">
        <f t="shared" si="82"/>
        <v>0</v>
      </c>
      <c r="T230" s="71">
        <f t="shared" si="82"/>
        <v>0</v>
      </c>
      <c r="U230" s="71">
        <f t="shared" si="82"/>
        <v>0</v>
      </c>
      <c r="V230" s="71">
        <f t="shared" si="82"/>
        <v>0</v>
      </c>
      <c r="W230" s="71">
        <f t="shared" si="82"/>
        <v>0</v>
      </c>
      <c r="X230" s="71">
        <f t="shared" si="82"/>
        <v>0</v>
      </c>
      <c r="Y230" s="71">
        <f t="shared" si="82"/>
        <v>0</v>
      </c>
      <c r="Z230" s="71">
        <f t="shared" si="82"/>
        <v>0</v>
      </c>
      <c r="AA230" s="71">
        <f t="shared" si="82"/>
        <v>0</v>
      </c>
      <c r="AB230" s="71">
        <f t="shared" si="82"/>
        <v>0</v>
      </c>
      <c r="AC230" s="71">
        <f t="shared" si="82"/>
        <v>0</v>
      </c>
      <c r="AD230" s="71">
        <f t="shared" si="82"/>
        <v>0</v>
      </c>
      <c r="AE230" s="71">
        <f t="shared" si="82"/>
        <v>0</v>
      </c>
      <c r="AF230" s="888">
        <f t="shared" si="81"/>
        <v>0</v>
      </c>
    </row>
    <row r="231">
      <c r="A231" s="1100" t="s">
        <v>195</v>
      </c>
      <c r="B231" s="411">
        <f t="shared" ref="B231:AE231" si="83">B228+B229</f>
        <v>0</v>
      </c>
      <c r="C231" s="411">
        <f t="shared" si="83"/>
        <v>0</v>
      </c>
      <c r="D231" s="411">
        <f t="shared" si="83"/>
        <v>0</v>
      </c>
      <c r="E231" s="411">
        <f t="shared" si="83"/>
        <v>0</v>
      </c>
      <c r="F231" s="411">
        <f t="shared" si="83"/>
        <v>0</v>
      </c>
      <c r="G231" s="411">
        <f t="shared" si="83"/>
        <v>0</v>
      </c>
      <c r="H231" s="411">
        <f t="shared" si="83"/>
        <v>0</v>
      </c>
      <c r="I231" s="411">
        <f t="shared" si="83"/>
        <v>0</v>
      </c>
      <c r="J231" s="411">
        <f t="shared" si="83"/>
        <v>0</v>
      </c>
      <c r="K231" s="411">
        <f t="shared" si="83"/>
        <v>0</v>
      </c>
      <c r="L231" s="411">
        <f t="shared" si="83"/>
        <v>0</v>
      </c>
      <c r="M231" s="411">
        <f t="shared" si="83"/>
        <v>0</v>
      </c>
      <c r="N231" s="411">
        <f t="shared" si="83"/>
        <v>0</v>
      </c>
      <c r="O231" s="411">
        <f t="shared" si="83"/>
        <v>0</v>
      </c>
      <c r="P231" s="411">
        <f t="shared" si="83"/>
        <v>0</v>
      </c>
      <c r="Q231" s="411">
        <f t="shared" si="83"/>
        <v>0</v>
      </c>
      <c r="R231" s="411">
        <f t="shared" si="83"/>
        <v>0</v>
      </c>
      <c r="S231" s="411">
        <f t="shared" si="83"/>
        <v>0</v>
      </c>
      <c r="T231" s="411">
        <f t="shared" si="83"/>
        <v>0</v>
      </c>
      <c r="U231" s="411">
        <f t="shared" si="83"/>
        <v>0</v>
      </c>
      <c r="V231" s="411">
        <f t="shared" si="83"/>
        <v>0</v>
      </c>
      <c r="W231" s="411">
        <f t="shared" si="83"/>
        <v>0</v>
      </c>
      <c r="X231" s="411">
        <f t="shared" si="83"/>
        <v>0</v>
      </c>
      <c r="Y231" s="411">
        <f t="shared" si="83"/>
        <v>0</v>
      </c>
      <c r="Z231" s="411">
        <f t="shared" si="83"/>
        <v>0</v>
      </c>
      <c r="AA231" s="411">
        <f t="shared" si="83"/>
        <v>0</v>
      </c>
      <c r="AB231" s="411">
        <f t="shared" si="83"/>
        <v>0</v>
      </c>
      <c r="AC231" s="411">
        <f t="shared" si="83"/>
        <v>0</v>
      </c>
      <c r="AD231" s="411">
        <f t="shared" si="83"/>
        <v>0</v>
      </c>
      <c r="AE231" s="411">
        <f t="shared" si="83"/>
        <v>0</v>
      </c>
      <c r="AF231" s="888">
        <f t="shared" si="81"/>
        <v>0</v>
      </c>
    </row>
    <row r="232">
      <c r="A232" s="854"/>
      <c r="B232" s="331"/>
      <c r="C232" s="331"/>
      <c r="D232" s="331"/>
      <c r="E232" s="331"/>
      <c r="F232" s="331"/>
      <c r="G232" s="331"/>
      <c r="H232" s="331"/>
      <c r="I232" s="331"/>
      <c r="J232" s="331"/>
      <c r="K232" s="331"/>
      <c r="L232" s="331"/>
      <c r="M232" s="331"/>
      <c r="N232" s="331"/>
      <c r="O232" s="609"/>
      <c r="P232" s="609"/>
      <c r="Q232" s="609"/>
      <c r="R232" s="609"/>
      <c r="S232" s="609"/>
      <c r="T232" s="609"/>
      <c r="U232" s="609"/>
      <c r="V232" s="609"/>
      <c r="W232" s="609"/>
      <c r="X232" s="609"/>
      <c r="Y232" s="609"/>
      <c r="Z232" s="609"/>
      <c r="AA232" s="609"/>
      <c r="AB232" s="609"/>
      <c r="AC232" s="609"/>
      <c r="AD232" s="609"/>
      <c r="AE232" s="609"/>
      <c r="AF232" s="888"/>
    </row>
    <row r="233">
      <c r="A233" s="1093" t="s">
        <v>1388</v>
      </c>
      <c r="B233" s="61"/>
      <c r="C233" s="61"/>
      <c r="D233" s="61"/>
      <c r="E233" s="1513"/>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888">
        <f t="shared" ref="AF233:AF236" si="84">SUM(B233:AE233)</f>
        <v>0</v>
      </c>
    </row>
    <row r="234">
      <c r="A234" s="1093" t="s">
        <v>1390</v>
      </c>
      <c r="B234" s="61"/>
      <c r="C234" s="61"/>
      <c r="D234" s="61"/>
      <c r="E234" s="1513"/>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888">
        <f t="shared" si="84"/>
        <v>0</v>
      </c>
    </row>
    <row r="235">
      <c r="A235" s="1093" t="s">
        <v>1391</v>
      </c>
      <c r="B235" s="61"/>
      <c r="C235" s="61"/>
      <c r="D235" s="61"/>
      <c r="E235" s="1513"/>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888">
        <f t="shared" si="84"/>
        <v>0</v>
      </c>
    </row>
    <row r="236">
      <c r="A236" s="1100" t="s">
        <v>202</v>
      </c>
      <c r="B236" s="411">
        <f t="shared" ref="B236:AE236" si="85">B233+B234</f>
        <v>0</v>
      </c>
      <c r="C236" s="411">
        <f t="shared" si="85"/>
        <v>0</v>
      </c>
      <c r="D236" s="411">
        <f t="shared" si="85"/>
        <v>0</v>
      </c>
      <c r="E236" s="411">
        <f t="shared" si="85"/>
        <v>0</v>
      </c>
      <c r="F236" s="411">
        <f t="shared" si="85"/>
        <v>0</v>
      </c>
      <c r="G236" s="411">
        <f t="shared" si="85"/>
        <v>0</v>
      </c>
      <c r="H236" s="411">
        <f t="shared" si="85"/>
        <v>0</v>
      </c>
      <c r="I236" s="411">
        <f t="shared" si="85"/>
        <v>0</v>
      </c>
      <c r="J236" s="411">
        <f t="shared" si="85"/>
        <v>0</v>
      </c>
      <c r="K236" s="411">
        <f t="shared" si="85"/>
        <v>0</v>
      </c>
      <c r="L236" s="411">
        <f t="shared" si="85"/>
        <v>0</v>
      </c>
      <c r="M236" s="411">
        <f t="shared" si="85"/>
        <v>0</v>
      </c>
      <c r="N236" s="411">
        <f t="shared" si="85"/>
        <v>0</v>
      </c>
      <c r="O236" s="411">
        <f t="shared" si="85"/>
        <v>0</v>
      </c>
      <c r="P236" s="411">
        <f t="shared" si="85"/>
        <v>0</v>
      </c>
      <c r="Q236" s="411">
        <f t="shared" si="85"/>
        <v>0</v>
      </c>
      <c r="R236" s="411">
        <f t="shared" si="85"/>
        <v>0</v>
      </c>
      <c r="S236" s="411">
        <f t="shared" si="85"/>
        <v>0</v>
      </c>
      <c r="T236" s="411">
        <f t="shared" si="85"/>
        <v>0</v>
      </c>
      <c r="U236" s="411">
        <f t="shared" si="85"/>
        <v>0</v>
      </c>
      <c r="V236" s="411">
        <f t="shared" si="85"/>
        <v>0</v>
      </c>
      <c r="W236" s="411">
        <f t="shared" si="85"/>
        <v>0</v>
      </c>
      <c r="X236" s="411">
        <f t="shared" si="85"/>
        <v>0</v>
      </c>
      <c r="Y236" s="411">
        <f t="shared" si="85"/>
        <v>0</v>
      </c>
      <c r="Z236" s="411">
        <f t="shared" si="85"/>
        <v>0</v>
      </c>
      <c r="AA236" s="411">
        <f t="shared" si="85"/>
        <v>0</v>
      </c>
      <c r="AB236" s="411">
        <f t="shared" si="85"/>
        <v>0</v>
      </c>
      <c r="AC236" s="411">
        <f t="shared" si="85"/>
        <v>0</v>
      </c>
      <c r="AD236" s="411">
        <f t="shared" si="85"/>
        <v>0</v>
      </c>
      <c r="AE236" s="411">
        <f t="shared" si="85"/>
        <v>0</v>
      </c>
      <c r="AF236" s="888">
        <f t="shared" si="84"/>
        <v>0</v>
      </c>
    </row>
    <row r="237">
      <c r="A237" s="854"/>
      <c r="AF237" s="700"/>
    </row>
    <row r="238">
      <c r="A238" s="931" t="s">
        <v>1057</v>
      </c>
      <c r="AF238" s="700"/>
    </row>
    <row r="239">
      <c r="A239" s="1494" t="s">
        <v>1394</v>
      </c>
      <c r="B239" s="579">
        <v>0.0</v>
      </c>
      <c r="C239" s="579">
        <v>0.0</v>
      </c>
      <c r="D239" s="579">
        <v>0.0</v>
      </c>
      <c r="E239" s="1105">
        <v>0.0</v>
      </c>
      <c r="F239" s="1105">
        <v>0.0</v>
      </c>
      <c r="G239" s="1105">
        <v>0.0</v>
      </c>
      <c r="H239" s="1105">
        <v>0.0</v>
      </c>
      <c r="I239" s="1105">
        <v>0.0</v>
      </c>
      <c r="J239" s="1105">
        <v>0.0</v>
      </c>
      <c r="K239" s="1105">
        <v>0.0</v>
      </c>
      <c r="L239" s="1105">
        <v>0.0</v>
      </c>
      <c r="M239" s="1105">
        <v>0.0</v>
      </c>
      <c r="N239" s="1105">
        <v>0.0</v>
      </c>
      <c r="O239" s="1105">
        <v>0.0</v>
      </c>
      <c r="P239" s="1105">
        <v>0.0</v>
      </c>
      <c r="Q239" s="1105">
        <v>0.0</v>
      </c>
      <c r="R239" s="1105">
        <v>0.0</v>
      </c>
      <c r="S239" s="1105">
        <v>0.0</v>
      </c>
      <c r="T239" s="1105">
        <v>0.0</v>
      </c>
      <c r="U239" s="1105">
        <v>0.0</v>
      </c>
      <c r="V239" s="1105">
        <v>0.0</v>
      </c>
      <c r="W239" s="579">
        <v>0.0</v>
      </c>
      <c r="X239" s="579">
        <v>0.0</v>
      </c>
      <c r="Y239" s="1105">
        <v>0.0</v>
      </c>
      <c r="Z239" s="1105">
        <v>0.0</v>
      </c>
      <c r="AA239" s="1105">
        <v>0.0</v>
      </c>
      <c r="AB239" s="1105">
        <v>0.0</v>
      </c>
      <c r="AC239" s="1105">
        <v>0.0</v>
      </c>
      <c r="AD239" s="1105">
        <v>0.0</v>
      </c>
      <c r="AE239" s="1105">
        <v>0.0</v>
      </c>
      <c r="AF239" s="888">
        <f t="shared" ref="AF239:AF242" si="86">SUM(B239:AE239)</f>
        <v>0</v>
      </c>
    </row>
    <row r="240">
      <c r="A240" s="1494" t="s">
        <v>1395</v>
      </c>
      <c r="B240" s="1206"/>
      <c r="C240" s="1519"/>
      <c r="D240" s="1519"/>
      <c r="E240" s="1519"/>
      <c r="F240" s="1519"/>
      <c r="G240" s="1519"/>
      <c r="H240" s="1519"/>
      <c r="I240" s="1519"/>
      <c r="J240" s="1519"/>
      <c r="K240" s="1519"/>
      <c r="L240" s="1519"/>
      <c r="M240" s="1519"/>
      <c r="N240" s="1519"/>
      <c r="O240" s="1519"/>
      <c r="P240" s="1519"/>
      <c r="Q240" s="1519"/>
      <c r="R240" s="1519"/>
      <c r="S240" s="1519"/>
      <c r="T240" s="1519"/>
      <c r="U240" s="1519"/>
      <c r="V240" s="1519"/>
      <c r="W240" s="1519"/>
      <c r="X240" s="1519"/>
      <c r="Y240" s="1519"/>
      <c r="Z240" s="1519"/>
      <c r="AA240" s="1519"/>
      <c r="AB240" s="1519"/>
      <c r="AC240" s="1519"/>
      <c r="AD240" s="1519"/>
      <c r="AE240" s="1519"/>
      <c r="AF240" s="888">
        <f t="shared" si="86"/>
        <v>0</v>
      </c>
    </row>
    <row r="241">
      <c r="A241" s="1093" t="s">
        <v>336</v>
      </c>
      <c r="B241" s="1206"/>
      <c r="C241" s="1519"/>
      <c r="D241" s="1519"/>
      <c r="E241" s="1519"/>
      <c r="F241" s="1519"/>
      <c r="G241" s="1519"/>
      <c r="H241" s="1519"/>
      <c r="I241" s="1519"/>
      <c r="J241" s="1519"/>
      <c r="K241" s="1519"/>
      <c r="L241" s="1519"/>
      <c r="M241" s="1519"/>
      <c r="N241" s="1519"/>
      <c r="O241" s="1519"/>
      <c r="P241" s="1519"/>
      <c r="Q241" s="1519"/>
      <c r="R241" s="1519"/>
      <c r="S241" s="1519"/>
      <c r="T241" s="1519"/>
      <c r="U241" s="1519"/>
      <c r="V241" s="1519"/>
      <c r="W241" s="1519"/>
      <c r="X241" s="1519"/>
      <c r="Y241" s="1519"/>
      <c r="Z241" s="1519"/>
      <c r="AA241" s="1519"/>
      <c r="AB241" s="1519"/>
      <c r="AC241" s="1519"/>
      <c r="AD241" s="1519"/>
      <c r="AE241" s="1519"/>
      <c r="AF241" s="888">
        <f t="shared" si="86"/>
        <v>0</v>
      </c>
    </row>
    <row r="242">
      <c r="A242" s="1498" t="s">
        <v>1396</v>
      </c>
      <c r="B242" s="1110">
        <f t="shared" ref="B242:AE242" si="87">sum(B239:B241)</f>
        <v>0</v>
      </c>
      <c r="C242" s="1110">
        <f t="shared" si="87"/>
        <v>0</v>
      </c>
      <c r="D242" s="1110">
        <f t="shared" si="87"/>
        <v>0</v>
      </c>
      <c r="E242" s="1110">
        <f t="shared" si="87"/>
        <v>0</v>
      </c>
      <c r="F242" s="1110">
        <f t="shared" si="87"/>
        <v>0</v>
      </c>
      <c r="G242" s="1110">
        <f t="shared" si="87"/>
        <v>0</v>
      </c>
      <c r="H242" s="1110">
        <f t="shared" si="87"/>
        <v>0</v>
      </c>
      <c r="I242" s="1110">
        <f t="shared" si="87"/>
        <v>0</v>
      </c>
      <c r="J242" s="1110">
        <f t="shared" si="87"/>
        <v>0</v>
      </c>
      <c r="K242" s="1110">
        <f t="shared" si="87"/>
        <v>0</v>
      </c>
      <c r="L242" s="1110">
        <f t="shared" si="87"/>
        <v>0</v>
      </c>
      <c r="M242" s="1110">
        <f t="shared" si="87"/>
        <v>0</v>
      </c>
      <c r="N242" s="1110">
        <f t="shared" si="87"/>
        <v>0</v>
      </c>
      <c r="O242" s="1110">
        <f t="shared" si="87"/>
        <v>0</v>
      </c>
      <c r="P242" s="1110">
        <f t="shared" si="87"/>
        <v>0</v>
      </c>
      <c r="Q242" s="1110">
        <f t="shared" si="87"/>
        <v>0</v>
      </c>
      <c r="R242" s="1110">
        <f t="shared" si="87"/>
        <v>0</v>
      </c>
      <c r="S242" s="1110">
        <f t="shared" si="87"/>
        <v>0</v>
      </c>
      <c r="T242" s="1110">
        <f t="shared" si="87"/>
        <v>0</v>
      </c>
      <c r="U242" s="1110">
        <f t="shared" si="87"/>
        <v>0</v>
      </c>
      <c r="V242" s="1110">
        <f t="shared" si="87"/>
        <v>0</v>
      </c>
      <c r="W242" s="1110">
        <f t="shared" si="87"/>
        <v>0</v>
      </c>
      <c r="X242" s="1110">
        <f t="shared" si="87"/>
        <v>0</v>
      </c>
      <c r="Y242" s="1110">
        <f t="shared" si="87"/>
        <v>0</v>
      </c>
      <c r="Z242" s="1110">
        <f t="shared" si="87"/>
        <v>0</v>
      </c>
      <c r="AA242" s="1110">
        <f t="shared" si="87"/>
        <v>0</v>
      </c>
      <c r="AB242" s="1110">
        <f t="shared" si="87"/>
        <v>0</v>
      </c>
      <c r="AC242" s="1110">
        <f t="shared" si="87"/>
        <v>0</v>
      </c>
      <c r="AD242" s="1110">
        <f t="shared" si="87"/>
        <v>0</v>
      </c>
      <c r="AE242" s="1110">
        <f t="shared" si="87"/>
        <v>0</v>
      </c>
      <c r="AF242" s="888">
        <f t="shared" si="86"/>
        <v>0</v>
      </c>
    </row>
    <row r="243">
      <c r="A243" s="854"/>
      <c r="B243" s="1520"/>
      <c r="C243" s="1520"/>
      <c r="D243" s="1520"/>
      <c r="E243" s="1520"/>
      <c r="F243" s="1520"/>
      <c r="G243" s="1520"/>
      <c r="H243" s="1520"/>
      <c r="I243" s="1520"/>
      <c r="J243" s="1520"/>
      <c r="K243" s="1520"/>
      <c r="L243" s="1520"/>
      <c r="M243" s="1520"/>
      <c r="N243" s="1520"/>
      <c r="O243" s="1520"/>
      <c r="P243" s="1520"/>
      <c r="Q243" s="1520"/>
      <c r="R243" s="1520"/>
      <c r="S243" s="1520"/>
      <c r="T243" s="1520"/>
      <c r="U243" s="1520"/>
      <c r="V243" s="1520"/>
      <c r="W243" s="1520"/>
      <c r="X243" s="1520"/>
      <c r="Y243" s="1520"/>
      <c r="Z243" s="1520"/>
      <c r="AA243" s="1520"/>
      <c r="AB243" s="1520"/>
      <c r="AC243" s="1520"/>
      <c r="AD243" s="1520"/>
      <c r="AE243" s="1520"/>
      <c r="AF243" s="700"/>
    </row>
    <row r="244">
      <c r="A244" s="1093" t="s">
        <v>1382</v>
      </c>
      <c r="B244" s="71"/>
      <c r="C244" s="71"/>
      <c r="D244" s="71"/>
      <c r="E244" s="1521"/>
      <c r="F244" s="1092"/>
      <c r="G244" s="1092"/>
      <c r="H244" s="1521"/>
      <c r="I244" s="1521"/>
      <c r="J244" s="1521"/>
      <c r="K244" s="1521"/>
      <c r="L244" s="1521"/>
      <c r="M244" s="1521"/>
      <c r="N244" s="1521"/>
      <c r="O244" s="1521"/>
      <c r="P244" s="1521"/>
      <c r="Q244" s="1521"/>
      <c r="R244" s="71"/>
      <c r="S244" s="1521"/>
      <c r="T244" s="1521"/>
      <c r="U244" s="1521"/>
      <c r="V244" s="1521"/>
      <c r="W244" s="1521"/>
      <c r="X244" s="1522"/>
      <c r="Y244" s="1521"/>
      <c r="Z244" s="1521"/>
      <c r="AA244" s="1521"/>
      <c r="AB244" s="1521"/>
      <c r="AC244" s="1521"/>
      <c r="AD244" s="1521"/>
      <c r="AE244" s="1521"/>
      <c r="AF244" s="888">
        <f t="shared" ref="AF244:AF247" si="88">SUM(B244:AE244)</f>
        <v>0</v>
      </c>
    </row>
    <row r="245">
      <c r="A245" s="1093" t="s">
        <v>1383</v>
      </c>
      <c r="B245" s="71"/>
      <c r="C245" s="71"/>
      <c r="D245" s="71"/>
      <c r="E245" s="1521"/>
      <c r="F245" s="1092"/>
      <c r="G245" s="1092"/>
      <c r="H245" s="1521"/>
      <c r="I245" s="1521"/>
      <c r="J245" s="1521"/>
      <c r="K245" s="1521"/>
      <c r="L245" s="1521"/>
      <c r="M245" s="1521"/>
      <c r="N245" s="1521"/>
      <c r="O245" s="1521"/>
      <c r="P245" s="1521"/>
      <c r="Q245" s="1521"/>
      <c r="R245" s="71"/>
      <c r="S245" s="1521"/>
      <c r="T245" s="1521"/>
      <c r="U245" s="1521"/>
      <c r="V245" s="1521"/>
      <c r="W245" s="1521"/>
      <c r="X245" s="1522"/>
      <c r="Y245" s="1521"/>
      <c r="Z245" s="1521"/>
      <c r="AA245" s="1521"/>
      <c r="AB245" s="1521"/>
      <c r="AC245" s="1521"/>
      <c r="AD245" s="1521"/>
      <c r="AE245" s="1521"/>
      <c r="AF245" s="888">
        <f t="shared" si="88"/>
        <v>0</v>
      </c>
    </row>
    <row r="246">
      <c r="A246" s="1093" t="s">
        <v>1385</v>
      </c>
      <c r="B246" s="71">
        <f t="shared" ref="B246:AE246" si="89">B244*0.22</f>
        <v>0</v>
      </c>
      <c r="C246" s="71">
        <f t="shared" si="89"/>
        <v>0</v>
      </c>
      <c r="D246" s="71">
        <f t="shared" si="89"/>
        <v>0</v>
      </c>
      <c r="E246" s="71">
        <f t="shared" si="89"/>
        <v>0</v>
      </c>
      <c r="F246" s="71">
        <f t="shared" si="89"/>
        <v>0</v>
      </c>
      <c r="G246" s="71">
        <f t="shared" si="89"/>
        <v>0</v>
      </c>
      <c r="H246" s="71">
        <f t="shared" si="89"/>
        <v>0</v>
      </c>
      <c r="I246" s="71">
        <f t="shared" si="89"/>
        <v>0</v>
      </c>
      <c r="J246" s="71">
        <f t="shared" si="89"/>
        <v>0</v>
      </c>
      <c r="K246" s="71">
        <f t="shared" si="89"/>
        <v>0</v>
      </c>
      <c r="L246" s="71">
        <f t="shared" si="89"/>
        <v>0</v>
      </c>
      <c r="M246" s="71">
        <f t="shared" si="89"/>
        <v>0</v>
      </c>
      <c r="N246" s="71">
        <f t="shared" si="89"/>
        <v>0</v>
      </c>
      <c r="O246" s="71">
        <f t="shared" si="89"/>
        <v>0</v>
      </c>
      <c r="P246" s="71">
        <f t="shared" si="89"/>
        <v>0</v>
      </c>
      <c r="Q246" s="71">
        <f t="shared" si="89"/>
        <v>0</v>
      </c>
      <c r="R246" s="71">
        <f t="shared" si="89"/>
        <v>0</v>
      </c>
      <c r="S246" s="71">
        <f t="shared" si="89"/>
        <v>0</v>
      </c>
      <c r="T246" s="71">
        <f t="shared" si="89"/>
        <v>0</v>
      </c>
      <c r="U246" s="71">
        <f t="shared" si="89"/>
        <v>0</v>
      </c>
      <c r="V246" s="71">
        <f t="shared" si="89"/>
        <v>0</v>
      </c>
      <c r="W246" s="71">
        <f t="shared" si="89"/>
        <v>0</v>
      </c>
      <c r="X246" s="71">
        <f t="shared" si="89"/>
        <v>0</v>
      </c>
      <c r="Y246" s="71">
        <f t="shared" si="89"/>
        <v>0</v>
      </c>
      <c r="Z246" s="71">
        <f t="shared" si="89"/>
        <v>0</v>
      </c>
      <c r="AA246" s="71">
        <f t="shared" si="89"/>
        <v>0</v>
      </c>
      <c r="AB246" s="71">
        <f t="shared" si="89"/>
        <v>0</v>
      </c>
      <c r="AC246" s="71">
        <f t="shared" si="89"/>
        <v>0</v>
      </c>
      <c r="AD246" s="71">
        <f t="shared" si="89"/>
        <v>0</v>
      </c>
      <c r="AE246" s="71">
        <f t="shared" si="89"/>
        <v>0</v>
      </c>
      <c r="AF246" s="888">
        <f t="shared" si="88"/>
        <v>0</v>
      </c>
    </row>
    <row r="247">
      <c r="A247" s="1100" t="s">
        <v>195</v>
      </c>
      <c r="B247" s="411">
        <f t="shared" ref="B247:AE247" si="90">SUM(B244:B246)</f>
        <v>0</v>
      </c>
      <c r="C247" s="411">
        <f t="shared" si="90"/>
        <v>0</v>
      </c>
      <c r="D247" s="411">
        <f t="shared" si="90"/>
        <v>0</v>
      </c>
      <c r="E247" s="411">
        <f t="shared" si="90"/>
        <v>0</v>
      </c>
      <c r="F247" s="411">
        <f t="shared" si="90"/>
        <v>0</v>
      </c>
      <c r="G247" s="411">
        <f t="shared" si="90"/>
        <v>0</v>
      </c>
      <c r="H247" s="411">
        <f t="shared" si="90"/>
        <v>0</v>
      </c>
      <c r="I247" s="411">
        <f t="shared" si="90"/>
        <v>0</v>
      </c>
      <c r="J247" s="411">
        <f t="shared" si="90"/>
        <v>0</v>
      </c>
      <c r="K247" s="411">
        <f t="shared" si="90"/>
        <v>0</v>
      </c>
      <c r="L247" s="411">
        <f t="shared" si="90"/>
        <v>0</v>
      </c>
      <c r="M247" s="411">
        <f t="shared" si="90"/>
        <v>0</v>
      </c>
      <c r="N247" s="411">
        <f t="shared" si="90"/>
        <v>0</v>
      </c>
      <c r="O247" s="411">
        <f t="shared" si="90"/>
        <v>0</v>
      </c>
      <c r="P247" s="411">
        <f t="shared" si="90"/>
        <v>0</v>
      </c>
      <c r="Q247" s="411">
        <f t="shared" si="90"/>
        <v>0</v>
      </c>
      <c r="R247" s="411">
        <f t="shared" si="90"/>
        <v>0</v>
      </c>
      <c r="S247" s="411">
        <f t="shared" si="90"/>
        <v>0</v>
      </c>
      <c r="T247" s="411">
        <f t="shared" si="90"/>
        <v>0</v>
      </c>
      <c r="U247" s="411">
        <f t="shared" si="90"/>
        <v>0</v>
      </c>
      <c r="V247" s="411">
        <f t="shared" si="90"/>
        <v>0</v>
      </c>
      <c r="W247" s="411">
        <f t="shared" si="90"/>
        <v>0</v>
      </c>
      <c r="X247" s="411">
        <f t="shared" si="90"/>
        <v>0</v>
      </c>
      <c r="Y247" s="411">
        <f t="shared" si="90"/>
        <v>0</v>
      </c>
      <c r="Z247" s="411">
        <f t="shared" si="90"/>
        <v>0</v>
      </c>
      <c r="AA247" s="411">
        <f t="shared" si="90"/>
        <v>0</v>
      </c>
      <c r="AB247" s="411">
        <f t="shared" si="90"/>
        <v>0</v>
      </c>
      <c r="AC247" s="411">
        <f t="shared" si="90"/>
        <v>0</v>
      </c>
      <c r="AD247" s="411">
        <f t="shared" si="90"/>
        <v>0</v>
      </c>
      <c r="AE247" s="411">
        <f t="shared" si="90"/>
        <v>0</v>
      </c>
      <c r="AF247" s="888">
        <f t="shared" si="88"/>
        <v>0</v>
      </c>
    </row>
    <row r="248">
      <c r="A248" s="854"/>
      <c r="B248" s="1520"/>
      <c r="C248" s="1520"/>
      <c r="D248" s="1520"/>
      <c r="E248" s="1520"/>
      <c r="F248" s="1520"/>
      <c r="G248" s="1520"/>
      <c r="H248" s="1520"/>
      <c r="I248" s="1520"/>
      <c r="J248" s="1520"/>
      <c r="K248" s="1520"/>
      <c r="L248" s="1520"/>
      <c r="M248" s="1520"/>
      <c r="N248" s="1520"/>
      <c r="O248" s="1520"/>
      <c r="P248" s="1520"/>
      <c r="Q248" s="1520"/>
      <c r="R248" s="1520"/>
      <c r="S248" s="1520"/>
      <c r="T248" s="1520"/>
      <c r="U248" s="1520"/>
      <c r="V248" s="1520"/>
      <c r="W248" s="1520"/>
      <c r="X248" s="1520"/>
      <c r="Y248" s="1520"/>
      <c r="Z248" s="1520"/>
      <c r="AA248" s="1520"/>
      <c r="AB248" s="1520"/>
      <c r="AC248" s="1520"/>
      <c r="AD248" s="1520"/>
      <c r="AE248" s="1520"/>
      <c r="AF248" s="700"/>
    </row>
    <row r="249">
      <c r="A249" s="1093" t="s">
        <v>1388</v>
      </c>
      <c r="B249" s="1525"/>
      <c r="C249" s="1526"/>
      <c r="D249" s="1526"/>
      <c r="E249" s="1526"/>
      <c r="F249" s="1526"/>
      <c r="G249" s="1526"/>
      <c r="H249" s="1526"/>
      <c r="I249" s="1526"/>
      <c r="J249" s="1526"/>
      <c r="K249" s="1526"/>
      <c r="L249" s="1526"/>
      <c r="M249" s="1526"/>
      <c r="N249" s="1526"/>
      <c r="O249" s="1526"/>
      <c r="P249" s="1526"/>
      <c r="Q249" s="1526"/>
      <c r="R249" s="1526"/>
      <c r="S249" s="1526"/>
      <c r="T249" s="1526"/>
      <c r="U249" s="1526"/>
      <c r="V249" s="1526"/>
      <c r="W249" s="1526"/>
      <c r="X249" s="1526"/>
      <c r="Y249" s="1526"/>
      <c r="Z249" s="1526"/>
      <c r="AA249" s="1526"/>
      <c r="AB249" s="1526"/>
      <c r="AC249" s="1526"/>
      <c r="AD249" s="1526"/>
      <c r="AE249" s="1526"/>
      <c r="AF249" s="888">
        <f t="shared" ref="AF249:AF252" si="91">SUM(B249:AE249)</f>
        <v>0</v>
      </c>
    </row>
    <row r="250">
      <c r="A250" s="1093" t="s">
        <v>1390</v>
      </c>
      <c r="B250" s="1525"/>
      <c r="C250" s="1526"/>
      <c r="D250" s="1526"/>
      <c r="E250" s="1526"/>
      <c r="F250" s="1526"/>
      <c r="G250" s="1526"/>
      <c r="H250" s="1526"/>
      <c r="I250" s="1526"/>
      <c r="J250" s="1526"/>
      <c r="K250" s="1526"/>
      <c r="L250" s="1526"/>
      <c r="M250" s="1526"/>
      <c r="N250" s="1526"/>
      <c r="O250" s="1526"/>
      <c r="P250" s="1526"/>
      <c r="Q250" s="1526"/>
      <c r="R250" s="1526"/>
      <c r="S250" s="1526"/>
      <c r="T250" s="1526"/>
      <c r="U250" s="1526"/>
      <c r="V250" s="1526"/>
      <c r="W250" s="1526"/>
      <c r="X250" s="1526"/>
      <c r="Y250" s="1526"/>
      <c r="Z250" s="1526"/>
      <c r="AA250" s="1526"/>
      <c r="AB250" s="1526"/>
      <c r="AC250" s="1526"/>
      <c r="AD250" s="1526"/>
      <c r="AE250" s="1526"/>
      <c r="AF250" s="888">
        <f t="shared" si="91"/>
        <v>0</v>
      </c>
    </row>
    <row r="251">
      <c r="A251" s="1093" t="s">
        <v>1391</v>
      </c>
      <c r="B251" s="1525"/>
      <c r="C251" s="1526"/>
      <c r="D251" s="1526"/>
      <c r="E251" s="1526"/>
      <c r="F251" s="1526"/>
      <c r="G251" s="1526"/>
      <c r="H251" s="1526"/>
      <c r="I251" s="1526"/>
      <c r="J251" s="1526"/>
      <c r="K251" s="1526"/>
      <c r="L251" s="1526"/>
      <c r="M251" s="1526"/>
      <c r="N251" s="1526"/>
      <c r="O251" s="1526"/>
      <c r="P251" s="1526"/>
      <c r="Q251" s="1526"/>
      <c r="R251" s="1526"/>
      <c r="S251" s="1526"/>
      <c r="T251" s="1526"/>
      <c r="U251" s="1526"/>
      <c r="V251" s="1526"/>
      <c r="W251" s="1526"/>
      <c r="X251" s="1526"/>
      <c r="Y251" s="1526"/>
      <c r="Z251" s="1526"/>
      <c r="AA251" s="1526"/>
      <c r="AB251" s="1526"/>
      <c r="AC251" s="1526"/>
      <c r="AD251" s="1526"/>
      <c r="AE251" s="1526"/>
      <c r="AF251" s="888">
        <f t="shared" si="91"/>
        <v>0</v>
      </c>
    </row>
    <row r="252">
      <c r="A252" s="1100" t="s">
        <v>202</v>
      </c>
      <c r="B252" s="411">
        <f t="shared" ref="B252:AE252" si="92">SUM(B249:B251)</f>
        <v>0</v>
      </c>
      <c r="C252" s="411">
        <f t="shared" si="92"/>
        <v>0</v>
      </c>
      <c r="D252" s="411">
        <f t="shared" si="92"/>
        <v>0</v>
      </c>
      <c r="E252" s="411">
        <f t="shared" si="92"/>
        <v>0</v>
      </c>
      <c r="F252" s="411">
        <f t="shared" si="92"/>
        <v>0</v>
      </c>
      <c r="G252" s="411">
        <f t="shared" si="92"/>
        <v>0</v>
      </c>
      <c r="H252" s="411">
        <f t="shared" si="92"/>
        <v>0</v>
      </c>
      <c r="I252" s="411">
        <f t="shared" si="92"/>
        <v>0</v>
      </c>
      <c r="J252" s="411">
        <f t="shared" si="92"/>
        <v>0</v>
      </c>
      <c r="K252" s="411">
        <f t="shared" si="92"/>
        <v>0</v>
      </c>
      <c r="L252" s="411">
        <f t="shared" si="92"/>
        <v>0</v>
      </c>
      <c r="M252" s="411">
        <f t="shared" si="92"/>
        <v>0</v>
      </c>
      <c r="N252" s="411">
        <f t="shared" si="92"/>
        <v>0</v>
      </c>
      <c r="O252" s="411">
        <f t="shared" si="92"/>
        <v>0</v>
      </c>
      <c r="P252" s="411">
        <f t="shared" si="92"/>
        <v>0</v>
      </c>
      <c r="Q252" s="411">
        <f t="shared" si="92"/>
        <v>0</v>
      </c>
      <c r="R252" s="411">
        <f t="shared" si="92"/>
        <v>0</v>
      </c>
      <c r="S252" s="411">
        <f t="shared" si="92"/>
        <v>0</v>
      </c>
      <c r="T252" s="411">
        <f t="shared" si="92"/>
        <v>0</v>
      </c>
      <c r="U252" s="411">
        <f t="shared" si="92"/>
        <v>0</v>
      </c>
      <c r="V252" s="411">
        <f t="shared" si="92"/>
        <v>0</v>
      </c>
      <c r="W252" s="411">
        <f t="shared" si="92"/>
        <v>0</v>
      </c>
      <c r="X252" s="411">
        <f t="shared" si="92"/>
        <v>0</v>
      </c>
      <c r="Y252" s="411">
        <f t="shared" si="92"/>
        <v>0</v>
      </c>
      <c r="Z252" s="411">
        <f t="shared" si="92"/>
        <v>0</v>
      </c>
      <c r="AA252" s="411">
        <f t="shared" si="92"/>
        <v>0</v>
      </c>
      <c r="AB252" s="411">
        <f t="shared" si="92"/>
        <v>0</v>
      </c>
      <c r="AC252" s="411">
        <f t="shared" si="92"/>
        <v>0</v>
      </c>
      <c r="AD252" s="411">
        <f t="shared" si="92"/>
        <v>0</v>
      </c>
      <c r="AE252" s="411">
        <f t="shared" si="92"/>
        <v>0</v>
      </c>
      <c r="AF252" s="888">
        <f t="shared" si="91"/>
        <v>0</v>
      </c>
    </row>
    <row r="253">
      <c r="A253" s="854"/>
      <c r="AF253" s="700"/>
    </row>
    <row r="254">
      <c r="A254" s="931" t="s">
        <v>1063</v>
      </c>
      <c r="AF254" s="700"/>
    </row>
    <row r="255">
      <c r="A255" s="1093" t="s">
        <v>1337</v>
      </c>
      <c r="B255" s="1077"/>
      <c r="C255" s="1077"/>
      <c r="D255" s="1077"/>
      <c r="E255" s="1077"/>
      <c r="F255" s="1077"/>
      <c r="G255" s="1077"/>
      <c r="H255" s="1077"/>
      <c r="I255" s="1077"/>
      <c r="J255" s="1077"/>
      <c r="K255" s="1077"/>
      <c r="L255" s="1077"/>
      <c r="M255" s="1077"/>
      <c r="N255" s="1077"/>
      <c r="O255" s="1077"/>
      <c r="P255" s="1077"/>
      <c r="Q255" s="1077"/>
      <c r="R255" s="1077"/>
      <c r="S255" s="1077"/>
      <c r="T255" s="1077"/>
      <c r="U255" s="1077"/>
      <c r="V255" s="1077"/>
      <c r="W255" s="1077"/>
      <c r="X255" s="1077"/>
      <c r="Y255" s="1077"/>
      <c r="Z255" s="1077"/>
      <c r="AA255" s="1077"/>
      <c r="AB255" s="1077"/>
      <c r="AC255" s="1077"/>
      <c r="AD255" s="1077"/>
      <c r="AE255" s="1077"/>
      <c r="AF255" s="1015">
        <f t="shared" ref="AF255:AF262" si="93">SUM(B255:AE255)</f>
        <v>0</v>
      </c>
    </row>
    <row r="256">
      <c r="A256" s="1093" t="s">
        <v>212</v>
      </c>
      <c r="B256" s="331">
        <v>0.0</v>
      </c>
      <c r="C256" s="331">
        <v>0.0</v>
      </c>
      <c r="D256" s="331">
        <v>0.0</v>
      </c>
      <c r="E256" s="331">
        <v>0.0</v>
      </c>
      <c r="F256" s="331">
        <v>0.0</v>
      </c>
      <c r="G256" s="331">
        <v>0.0</v>
      </c>
      <c r="H256" s="331">
        <v>0.0</v>
      </c>
      <c r="I256" s="331">
        <v>0.0</v>
      </c>
      <c r="J256" s="331">
        <v>0.0</v>
      </c>
      <c r="K256" s="331">
        <v>0.0</v>
      </c>
      <c r="L256" s="331">
        <v>0.0</v>
      </c>
      <c r="M256" s="331">
        <v>0.0</v>
      </c>
      <c r="N256" s="331">
        <v>0.0</v>
      </c>
      <c r="O256" s="331">
        <v>0.0</v>
      </c>
      <c r="P256" s="331">
        <v>0.0</v>
      </c>
      <c r="Q256" s="331">
        <v>0.0</v>
      </c>
      <c r="R256" s="331">
        <v>0.0</v>
      </c>
      <c r="S256" s="331">
        <v>0.0</v>
      </c>
      <c r="T256" s="331">
        <v>0.0</v>
      </c>
      <c r="U256" s="331">
        <v>0.0</v>
      </c>
      <c r="V256" s="331">
        <v>0.0</v>
      </c>
      <c r="W256" s="331">
        <v>0.0</v>
      </c>
      <c r="X256" s="331">
        <v>0.0</v>
      </c>
      <c r="Y256" s="331">
        <v>0.0</v>
      </c>
      <c r="Z256" s="331">
        <v>0.0</v>
      </c>
      <c r="AA256" s="331">
        <v>0.0</v>
      </c>
      <c r="AB256" s="331">
        <v>0.0</v>
      </c>
      <c r="AC256" s="331">
        <v>0.0</v>
      </c>
      <c r="AD256" s="331">
        <v>0.0</v>
      </c>
      <c r="AE256" s="331">
        <v>0.0</v>
      </c>
      <c r="AF256" s="1015">
        <f t="shared" si="93"/>
        <v>0</v>
      </c>
    </row>
    <row r="257">
      <c r="A257" s="1093" t="s">
        <v>172</v>
      </c>
      <c r="B257" s="1077"/>
      <c r="C257" s="1077"/>
      <c r="D257" s="1077"/>
      <c r="E257" s="1077"/>
      <c r="F257" s="1077"/>
      <c r="G257" s="1077"/>
      <c r="H257" s="1077"/>
      <c r="I257" s="1077"/>
      <c r="J257" s="1077"/>
      <c r="K257" s="1077"/>
      <c r="L257" s="1077"/>
      <c r="M257" s="1077"/>
      <c r="N257" s="1077"/>
      <c r="O257" s="1077"/>
      <c r="P257" s="1077"/>
      <c r="Q257" s="1077"/>
      <c r="R257" s="1077"/>
      <c r="S257" s="1077"/>
      <c r="T257" s="1077"/>
      <c r="U257" s="1077"/>
      <c r="V257" s="1077"/>
      <c r="W257" s="1077"/>
      <c r="X257" s="1077"/>
      <c r="Y257" s="1077"/>
      <c r="Z257" s="1077"/>
      <c r="AA257" s="1077"/>
      <c r="AB257" s="1077"/>
      <c r="AC257" s="1077"/>
      <c r="AD257" s="1077"/>
      <c r="AE257" s="1077"/>
      <c r="AF257" s="1015">
        <f t="shared" si="93"/>
        <v>0</v>
      </c>
    </row>
    <row r="258">
      <c r="A258" s="1093" t="s">
        <v>174</v>
      </c>
      <c r="B258" s="1077"/>
      <c r="C258" s="1077"/>
      <c r="D258" s="1077"/>
      <c r="E258" s="1077"/>
      <c r="F258" s="1077"/>
      <c r="G258" s="1077"/>
      <c r="H258" s="1077"/>
      <c r="I258" s="1077"/>
      <c r="J258" s="1077"/>
      <c r="K258" s="1077"/>
      <c r="L258" s="1077"/>
      <c r="M258" s="1077"/>
      <c r="N258" s="1077"/>
      <c r="O258" s="1077"/>
      <c r="P258" s="1077"/>
      <c r="Q258" s="1077"/>
      <c r="R258" s="1077"/>
      <c r="S258" s="1077"/>
      <c r="T258" s="1077"/>
      <c r="U258" s="1077"/>
      <c r="V258" s="1077"/>
      <c r="W258" s="1077"/>
      <c r="X258" s="1077"/>
      <c r="Y258" s="1077"/>
      <c r="Z258" s="1077"/>
      <c r="AA258" s="1077"/>
      <c r="AB258" s="1077"/>
      <c r="AC258" s="1077"/>
      <c r="AD258" s="1077"/>
      <c r="AE258" s="1077"/>
      <c r="AF258" s="1015">
        <f t="shared" si="93"/>
        <v>0</v>
      </c>
    </row>
    <row r="259">
      <c r="A259" s="1093" t="s">
        <v>175</v>
      </c>
      <c r="B259" s="1077"/>
      <c r="C259" s="1077"/>
      <c r="D259" s="1077"/>
      <c r="E259" s="1077"/>
      <c r="F259" s="1077"/>
      <c r="G259" s="1077"/>
      <c r="H259" s="1077"/>
      <c r="I259" s="1077"/>
      <c r="J259" s="1077"/>
      <c r="K259" s="1077"/>
      <c r="L259" s="1077"/>
      <c r="M259" s="1077"/>
      <c r="N259" s="1077"/>
      <c r="O259" s="1077"/>
      <c r="P259" s="1077"/>
      <c r="Q259" s="1077"/>
      <c r="R259" s="1077"/>
      <c r="S259" s="1077"/>
      <c r="T259" s="1077"/>
      <c r="U259" s="1077"/>
      <c r="V259" s="1077"/>
      <c r="W259" s="1077"/>
      <c r="X259" s="1077"/>
      <c r="Y259" s="1077"/>
      <c r="Z259" s="1077"/>
      <c r="AA259" s="1077"/>
      <c r="AB259" s="1077"/>
      <c r="AC259" s="1077"/>
      <c r="AD259" s="1077"/>
      <c r="AE259" s="1077"/>
      <c r="AF259" s="1015">
        <f t="shared" si="93"/>
        <v>0</v>
      </c>
    </row>
    <row r="260">
      <c r="A260" s="1093" t="s">
        <v>178</v>
      </c>
      <c r="B260" s="1077"/>
      <c r="C260" s="1077"/>
      <c r="D260" s="1077"/>
      <c r="E260" s="1077"/>
      <c r="F260" s="1077"/>
      <c r="G260" s="1077"/>
      <c r="H260" s="1077"/>
      <c r="I260" s="1077"/>
      <c r="J260" s="1077"/>
      <c r="K260" s="1077"/>
      <c r="L260" s="1077"/>
      <c r="M260" s="1077"/>
      <c r="N260" s="1077"/>
      <c r="O260" s="1077"/>
      <c r="P260" s="1077"/>
      <c r="Q260" s="1077"/>
      <c r="R260" s="1077"/>
      <c r="S260" s="1077"/>
      <c r="T260" s="1077"/>
      <c r="U260" s="1077"/>
      <c r="V260" s="1077"/>
      <c r="W260" s="1077"/>
      <c r="X260" s="1078"/>
      <c r="Y260" s="1078"/>
      <c r="Z260" s="1077"/>
      <c r="AA260" s="1077"/>
      <c r="AB260" s="1077"/>
      <c r="AC260" s="1077"/>
      <c r="AD260" s="1077"/>
      <c r="AE260" s="1077"/>
      <c r="AF260" s="1015">
        <f t="shared" si="93"/>
        <v>0</v>
      </c>
    </row>
    <row r="261">
      <c r="A261" s="598" t="s">
        <v>179</v>
      </c>
      <c r="B261" s="1145">
        <f t="shared" ref="B261:AE261" si="94">B255+B257+B259</f>
        <v>0</v>
      </c>
      <c r="C261" s="594">
        <f t="shared" si="94"/>
        <v>0</v>
      </c>
      <c r="D261" s="594">
        <f t="shared" si="94"/>
        <v>0</v>
      </c>
      <c r="E261" s="594">
        <f t="shared" si="94"/>
        <v>0</v>
      </c>
      <c r="F261" s="594">
        <f t="shared" si="94"/>
        <v>0</v>
      </c>
      <c r="G261" s="594">
        <f t="shared" si="94"/>
        <v>0</v>
      </c>
      <c r="H261" s="594">
        <f t="shared" si="94"/>
        <v>0</v>
      </c>
      <c r="I261" s="594">
        <f t="shared" si="94"/>
        <v>0</v>
      </c>
      <c r="J261" s="594">
        <f t="shared" si="94"/>
        <v>0</v>
      </c>
      <c r="K261" s="594">
        <f t="shared" si="94"/>
        <v>0</v>
      </c>
      <c r="L261" s="594">
        <f t="shared" si="94"/>
        <v>0</v>
      </c>
      <c r="M261" s="594">
        <f t="shared" si="94"/>
        <v>0</v>
      </c>
      <c r="N261" s="594">
        <f t="shared" si="94"/>
        <v>0</v>
      </c>
      <c r="O261" s="594">
        <f t="shared" si="94"/>
        <v>0</v>
      </c>
      <c r="P261" s="594">
        <f t="shared" si="94"/>
        <v>0</v>
      </c>
      <c r="Q261" s="594">
        <f t="shared" si="94"/>
        <v>0</v>
      </c>
      <c r="R261" s="594">
        <f t="shared" si="94"/>
        <v>0</v>
      </c>
      <c r="S261" s="594">
        <f t="shared" si="94"/>
        <v>0</v>
      </c>
      <c r="T261" s="594">
        <f t="shared" si="94"/>
        <v>0</v>
      </c>
      <c r="U261" s="594">
        <f t="shared" si="94"/>
        <v>0</v>
      </c>
      <c r="V261" s="594">
        <f t="shared" si="94"/>
        <v>0</v>
      </c>
      <c r="W261" s="594">
        <f t="shared" si="94"/>
        <v>0</v>
      </c>
      <c r="X261" s="594">
        <f t="shared" si="94"/>
        <v>0</v>
      </c>
      <c r="Y261" s="594">
        <f t="shared" si="94"/>
        <v>0</v>
      </c>
      <c r="Z261" s="594">
        <f t="shared" si="94"/>
        <v>0</v>
      </c>
      <c r="AA261" s="594">
        <f t="shared" si="94"/>
        <v>0</v>
      </c>
      <c r="AB261" s="594">
        <f t="shared" si="94"/>
        <v>0</v>
      </c>
      <c r="AC261" s="594">
        <f t="shared" si="94"/>
        <v>0</v>
      </c>
      <c r="AD261" s="594">
        <f t="shared" si="94"/>
        <v>0</v>
      </c>
      <c r="AE261" s="594">
        <f t="shared" si="94"/>
        <v>0</v>
      </c>
      <c r="AF261" s="1015">
        <f t="shared" si="93"/>
        <v>0</v>
      </c>
    </row>
    <row r="262">
      <c r="A262" s="598" t="s">
        <v>181</v>
      </c>
      <c r="B262" s="1145">
        <f t="shared" ref="B262:AE262" si="95">B256+B258+B260</f>
        <v>0</v>
      </c>
      <c r="C262" s="594">
        <f t="shared" si="95"/>
        <v>0</v>
      </c>
      <c r="D262" s="594">
        <f t="shared" si="95"/>
        <v>0</v>
      </c>
      <c r="E262" s="594">
        <f t="shared" si="95"/>
        <v>0</v>
      </c>
      <c r="F262" s="594">
        <f t="shared" si="95"/>
        <v>0</v>
      </c>
      <c r="G262" s="594">
        <f t="shared" si="95"/>
        <v>0</v>
      </c>
      <c r="H262" s="594">
        <f t="shared" si="95"/>
        <v>0</v>
      </c>
      <c r="I262" s="594">
        <f t="shared" si="95"/>
        <v>0</v>
      </c>
      <c r="J262" s="594">
        <f t="shared" si="95"/>
        <v>0</v>
      </c>
      <c r="K262" s="594">
        <f t="shared" si="95"/>
        <v>0</v>
      </c>
      <c r="L262" s="594">
        <f t="shared" si="95"/>
        <v>0</v>
      </c>
      <c r="M262" s="594">
        <f t="shared" si="95"/>
        <v>0</v>
      </c>
      <c r="N262" s="594">
        <f t="shared" si="95"/>
        <v>0</v>
      </c>
      <c r="O262" s="594">
        <f t="shared" si="95"/>
        <v>0</v>
      </c>
      <c r="P262" s="594">
        <f t="shared" si="95"/>
        <v>0</v>
      </c>
      <c r="Q262" s="594">
        <f t="shared" si="95"/>
        <v>0</v>
      </c>
      <c r="R262" s="594">
        <f t="shared" si="95"/>
        <v>0</v>
      </c>
      <c r="S262" s="594">
        <f t="shared" si="95"/>
        <v>0</v>
      </c>
      <c r="T262" s="594">
        <f t="shared" si="95"/>
        <v>0</v>
      </c>
      <c r="U262" s="594">
        <f t="shared" si="95"/>
        <v>0</v>
      </c>
      <c r="V262" s="594">
        <f t="shared" si="95"/>
        <v>0</v>
      </c>
      <c r="W262" s="594">
        <f t="shared" si="95"/>
        <v>0</v>
      </c>
      <c r="X262" s="594">
        <f t="shared" si="95"/>
        <v>0</v>
      </c>
      <c r="Y262" s="594">
        <f t="shared" si="95"/>
        <v>0</v>
      </c>
      <c r="Z262" s="594">
        <f t="shared" si="95"/>
        <v>0</v>
      </c>
      <c r="AA262" s="594">
        <f t="shared" si="95"/>
        <v>0</v>
      </c>
      <c r="AB262" s="594">
        <f t="shared" si="95"/>
        <v>0</v>
      </c>
      <c r="AC262" s="594">
        <f t="shared" si="95"/>
        <v>0</v>
      </c>
      <c r="AD262" s="594">
        <f t="shared" si="95"/>
        <v>0</v>
      </c>
      <c r="AE262" s="594">
        <f t="shared" si="95"/>
        <v>0</v>
      </c>
      <c r="AF262" s="1015">
        <f t="shared" si="93"/>
        <v>0</v>
      </c>
    </row>
    <row r="263">
      <c r="A263" s="20"/>
      <c r="B263" s="1066"/>
      <c r="C263" s="1066"/>
      <c r="D263" s="1066"/>
      <c r="E263" s="1066"/>
      <c r="F263" s="1066"/>
      <c r="G263" s="1066"/>
      <c r="H263" s="1066"/>
      <c r="I263" s="1066"/>
      <c r="J263" s="1066"/>
      <c r="K263" s="1066"/>
      <c r="L263" s="1066"/>
      <c r="M263" s="1066"/>
      <c r="N263" s="1066"/>
      <c r="O263" s="1066"/>
      <c r="P263" s="1066"/>
      <c r="Q263" s="1066"/>
      <c r="R263" s="1066"/>
      <c r="S263" s="1066"/>
      <c r="T263" s="1066"/>
      <c r="U263" s="1066"/>
      <c r="V263" s="1066"/>
      <c r="W263" s="1066"/>
      <c r="X263" s="1066"/>
      <c r="Y263" s="1066"/>
      <c r="Z263" s="1066"/>
      <c r="AA263" s="1066"/>
      <c r="AB263" s="1066"/>
      <c r="AC263" s="1066"/>
      <c r="AD263" s="1066"/>
      <c r="AE263" s="1066"/>
      <c r="AF263" s="700"/>
    </row>
    <row r="264">
      <c r="A264" s="1093" t="s">
        <v>1339</v>
      </c>
      <c r="B264" s="1077"/>
      <c r="C264" s="1077"/>
      <c r="D264" s="1077"/>
      <c r="E264" s="1077"/>
      <c r="F264" s="1077"/>
      <c r="G264" s="1077"/>
      <c r="H264" s="1077"/>
      <c r="I264" s="1077"/>
      <c r="J264" s="1077"/>
      <c r="K264" s="1077"/>
      <c r="L264" s="1077"/>
      <c r="M264" s="1077"/>
      <c r="N264" s="1077"/>
      <c r="O264" s="1077"/>
      <c r="P264" s="1077"/>
      <c r="Q264" s="1077"/>
      <c r="R264" s="1077"/>
      <c r="S264" s="1077"/>
      <c r="T264" s="1077"/>
      <c r="U264" s="1077"/>
      <c r="V264" s="1077"/>
      <c r="W264" s="1077"/>
      <c r="X264" s="1077"/>
      <c r="Y264" s="1077"/>
      <c r="Z264" s="1077"/>
      <c r="AA264" s="1077"/>
      <c r="AB264" s="1077"/>
      <c r="AC264" s="1077"/>
      <c r="AD264" s="1077"/>
      <c r="AE264" s="1537"/>
      <c r="AF264" s="1015">
        <f t="shared" ref="AF264:AF269" si="96">SUM(B264:AE264)</f>
        <v>0</v>
      </c>
    </row>
    <row r="265">
      <c r="A265" s="1093" t="s">
        <v>1340</v>
      </c>
      <c r="B265" s="1077"/>
      <c r="C265" s="1077"/>
      <c r="D265" s="1077"/>
      <c r="E265" s="1077"/>
      <c r="F265" s="1077"/>
      <c r="G265" s="1077"/>
      <c r="H265" s="1077"/>
      <c r="I265" s="1077"/>
      <c r="J265" s="1077"/>
      <c r="K265" s="1077"/>
      <c r="L265" s="1077"/>
      <c r="M265" s="1077"/>
      <c r="N265" s="1077"/>
      <c r="O265" s="1077"/>
      <c r="P265" s="1077"/>
      <c r="Q265" s="1077"/>
      <c r="R265" s="1077"/>
      <c r="S265" s="1077"/>
      <c r="T265" s="1077"/>
      <c r="U265" s="1077"/>
      <c r="V265" s="1077"/>
      <c r="W265" s="1077"/>
      <c r="X265" s="1077"/>
      <c r="Y265" s="1077"/>
      <c r="Z265" s="1077"/>
      <c r="AA265" s="1077"/>
      <c r="AB265" s="1077"/>
      <c r="AC265" s="1077"/>
      <c r="AD265" s="1077"/>
      <c r="AE265" s="1537"/>
      <c r="AF265" s="1015">
        <f t="shared" si="96"/>
        <v>0</v>
      </c>
    </row>
    <row r="266">
      <c r="A266" s="1093" t="s">
        <v>184</v>
      </c>
      <c r="B266" s="1077"/>
      <c r="C266" s="1077"/>
      <c r="D266" s="1077"/>
      <c r="E266" s="1077"/>
      <c r="F266" s="1077"/>
      <c r="G266" s="1077"/>
      <c r="H266" s="1077"/>
      <c r="I266" s="1077"/>
      <c r="J266" s="1077"/>
      <c r="K266" s="1077"/>
      <c r="L266" s="1077"/>
      <c r="M266" s="1077"/>
      <c r="N266" s="1077"/>
      <c r="O266" s="1077"/>
      <c r="P266" s="1077"/>
      <c r="Q266" s="1077"/>
      <c r="R266" s="1077"/>
      <c r="S266" s="1077"/>
      <c r="T266" s="1077"/>
      <c r="U266" s="1077"/>
      <c r="V266" s="1077"/>
      <c r="W266" s="1077"/>
      <c r="X266" s="1077"/>
      <c r="Y266" s="1077"/>
      <c r="Z266" s="1077"/>
      <c r="AA266" s="1077"/>
      <c r="AB266" s="1077"/>
      <c r="AC266" s="1077"/>
      <c r="AD266" s="1077"/>
      <c r="AE266" s="1537"/>
      <c r="AF266" s="1015">
        <f t="shared" si="96"/>
        <v>0</v>
      </c>
    </row>
    <row r="267">
      <c r="A267" s="1093" t="s">
        <v>1341</v>
      </c>
      <c r="B267" s="1077"/>
      <c r="C267" s="1077"/>
      <c r="D267" s="1077"/>
      <c r="E267" s="1077"/>
      <c r="F267" s="1077"/>
      <c r="G267" s="1077"/>
      <c r="H267" s="1077"/>
      <c r="I267" s="1077"/>
      <c r="J267" s="1077"/>
      <c r="K267" s="1077"/>
      <c r="L267" s="1077"/>
      <c r="M267" s="1077"/>
      <c r="N267" s="1077"/>
      <c r="O267" s="1077"/>
      <c r="P267" s="1077"/>
      <c r="Q267" s="1077"/>
      <c r="R267" s="1077"/>
      <c r="S267" s="1077"/>
      <c r="T267" s="1077"/>
      <c r="U267" s="1077"/>
      <c r="V267" s="1077"/>
      <c r="W267" s="1077"/>
      <c r="X267" s="1077"/>
      <c r="Y267" s="1077"/>
      <c r="Z267" s="1077"/>
      <c r="AA267" s="1077"/>
      <c r="AB267" s="1077"/>
      <c r="AC267" s="1077"/>
      <c r="AD267" s="1077"/>
      <c r="AE267" s="1537"/>
      <c r="AF267" s="1015">
        <f t="shared" si="96"/>
        <v>0</v>
      </c>
    </row>
    <row r="268">
      <c r="A268" s="1093" t="s">
        <v>1342</v>
      </c>
      <c r="B268" s="1077"/>
      <c r="C268" s="1077"/>
      <c r="D268" s="1077"/>
      <c r="E268" s="1077"/>
      <c r="F268" s="1077"/>
      <c r="G268" s="1077"/>
      <c r="H268" s="1077"/>
      <c r="I268" s="1077"/>
      <c r="J268" s="1077"/>
      <c r="K268" s="1077"/>
      <c r="L268" s="1077"/>
      <c r="M268" s="1077"/>
      <c r="N268" s="1077"/>
      <c r="O268" s="1077"/>
      <c r="P268" s="1077"/>
      <c r="Q268" s="1077"/>
      <c r="R268" s="1077"/>
      <c r="S268" s="1077"/>
      <c r="T268" s="1077"/>
      <c r="U268" s="1077"/>
      <c r="V268" s="1077"/>
      <c r="W268" s="1077"/>
      <c r="X268" s="1077"/>
      <c r="Y268" s="1077"/>
      <c r="Z268" s="1077"/>
      <c r="AA268" s="1077"/>
      <c r="AB268" s="1077"/>
      <c r="AC268" s="1077"/>
      <c r="AD268" s="1077"/>
      <c r="AE268" s="1537"/>
      <c r="AF268" s="1015">
        <f t="shared" si="96"/>
        <v>0</v>
      </c>
    </row>
    <row r="269">
      <c r="A269" s="1460" t="s">
        <v>1343</v>
      </c>
      <c r="B269" s="594">
        <f t="shared" ref="B269:AE269" si="97">SUM(B264:B268)</f>
        <v>0</v>
      </c>
      <c r="C269" s="594">
        <f t="shared" si="97"/>
        <v>0</v>
      </c>
      <c r="D269" s="594">
        <f t="shared" si="97"/>
        <v>0</v>
      </c>
      <c r="E269" s="594">
        <f t="shared" si="97"/>
        <v>0</v>
      </c>
      <c r="F269" s="594">
        <f t="shared" si="97"/>
        <v>0</v>
      </c>
      <c r="G269" s="594">
        <f t="shared" si="97"/>
        <v>0</v>
      </c>
      <c r="H269" s="594">
        <f t="shared" si="97"/>
        <v>0</v>
      </c>
      <c r="I269" s="594">
        <f t="shared" si="97"/>
        <v>0</v>
      </c>
      <c r="J269" s="594">
        <f t="shared" si="97"/>
        <v>0</v>
      </c>
      <c r="K269" s="594">
        <f t="shared" si="97"/>
        <v>0</v>
      </c>
      <c r="L269" s="594">
        <f t="shared" si="97"/>
        <v>0</v>
      </c>
      <c r="M269" s="594">
        <f t="shared" si="97"/>
        <v>0</v>
      </c>
      <c r="N269" s="594">
        <f t="shared" si="97"/>
        <v>0</v>
      </c>
      <c r="O269" s="594">
        <f t="shared" si="97"/>
        <v>0</v>
      </c>
      <c r="P269" s="594">
        <f t="shared" si="97"/>
        <v>0</v>
      </c>
      <c r="Q269" s="594">
        <f t="shared" si="97"/>
        <v>0</v>
      </c>
      <c r="R269" s="594">
        <f t="shared" si="97"/>
        <v>0</v>
      </c>
      <c r="S269" s="594">
        <f t="shared" si="97"/>
        <v>0</v>
      </c>
      <c r="T269" s="594">
        <f t="shared" si="97"/>
        <v>0</v>
      </c>
      <c r="U269" s="594">
        <f t="shared" si="97"/>
        <v>0</v>
      </c>
      <c r="V269" s="594">
        <f t="shared" si="97"/>
        <v>0</v>
      </c>
      <c r="W269" s="594">
        <f t="shared" si="97"/>
        <v>0</v>
      </c>
      <c r="X269" s="594">
        <f t="shared" si="97"/>
        <v>0</v>
      </c>
      <c r="Y269" s="594">
        <f t="shared" si="97"/>
        <v>0</v>
      </c>
      <c r="Z269" s="594">
        <f t="shared" si="97"/>
        <v>0</v>
      </c>
      <c r="AA269" s="594">
        <f t="shared" si="97"/>
        <v>0</v>
      </c>
      <c r="AB269" s="594">
        <f t="shared" si="97"/>
        <v>0</v>
      </c>
      <c r="AC269" s="594">
        <f t="shared" si="97"/>
        <v>0</v>
      </c>
      <c r="AD269" s="594">
        <f t="shared" si="97"/>
        <v>0</v>
      </c>
      <c r="AE269" s="594">
        <f t="shared" si="97"/>
        <v>0</v>
      </c>
      <c r="AF269" s="1015">
        <f t="shared" si="96"/>
        <v>0</v>
      </c>
    </row>
    <row r="270">
      <c r="A270" s="20"/>
      <c r="B270" s="331"/>
      <c r="C270" s="331"/>
      <c r="D270" s="331"/>
      <c r="E270" s="331"/>
      <c r="F270" s="331"/>
      <c r="G270" s="331"/>
      <c r="H270" s="331"/>
      <c r="I270" s="331"/>
      <c r="J270" s="331"/>
      <c r="K270" s="331"/>
      <c r="L270" s="331"/>
      <c r="M270" s="331"/>
      <c r="N270" s="331"/>
      <c r="O270" s="331"/>
      <c r="P270" s="331"/>
      <c r="Q270" s="331"/>
      <c r="R270" s="331"/>
      <c r="S270" s="331"/>
      <c r="T270" s="331"/>
      <c r="U270" s="331"/>
      <c r="V270" s="331"/>
      <c r="W270" s="331"/>
      <c r="X270" s="331"/>
      <c r="Y270" s="331"/>
      <c r="Z270" s="331"/>
      <c r="AA270" s="331"/>
      <c r="AB270" s="331"/>
      <c r="AC270" s="331"/>
      <c r="AD270" s="331"/>
      <c r="AE270" s="331"/>
      <c r="AF270" s="1015"/>
    </row>
    <row r="271">
      <c r="A271" s="1093" t="s">
        <v>189</v>
      </c>
      <c r="B271" s="1077"/>
      <c r="C271" s="1077"/>
      <c r="D271" s="1077"/>
      <c r="E271" s="1077"/>
      <c r="F271" s="1077"/>
      <c r="G271" s="1077"/>
      <c r="H271" s="1077"/>
      <c r="I271" s="1077"/>
      <c r="J271" s="1077"/>
      <c r="K271" s="1077"/>
      <c r="L271" s="1077"/>
      <c r="M271" s="1077"/>
      <c r="N271" s="1077"/>
      <c r="O271" s="1077"/>
      <c r="P271" s="1077"/>
      <c r="Q271" s="1077"/>
      <c r="R271" s="1077"/>
      <c r="S271" s="1077"/>
      <c r="T271" s="1077"/>
      <c r="U271" s="1077"/>
      <c r="V271" s="1077"/>
      <c r="W271" s="1077"/>
      <c r="X271" s="1077"/>
      <c r="Y271" s="1077"/>
      <c r="Z271" s="1077"/>
      <c r="AA271" s="1077"/>
      <c r="AB271" s="1077"/>
      <c r="AC271" s="1077"/>
      <c r="AD271" s="1077"/>
      <c r="AE271" s="1077"/>
      <c r="AF271" s="1015">
        <f t="shared" ref="AF271:AF276" si="98">SUM(B271:AE271)</f>
        <v>0</v>
      </c>
    </row>
    <row r="272">
      <c r="A272" s="1093" t="s">
        <v>190</v>
      </c>
      <c r="B272" s="1077"/>
      <c r="C272" s="1077"/>
      <c r="D272" s="1077"/>
      <c r="E272" s="1077"/>
      <c r="F272" s="1077"/>
      <c r="G272" s="1077"/>
      <c r="H272" s="1077"/>
      <c r="I272" s="1077"/>
      <c r="J272" s="1077"/>
      <c r="K272" s="1077"/>
      <c r="L272" s="1077"/>
      <c r="M272" s="1077"/>
      <c r="N272" s="1077"/>
      <c r="O272" s="1077"/>
      <c r="P272" s="1077"/>
      <c r="Q272" s="1077"/>
      <c r="R272" s="1077"/>
      <c r="S272" s="1077"/>
      <c r="T272" s="1077"/>
      <c r="U272" s="1077"/>
      <c r="V272" s="1077"/>
      <c r="W272" s="1077"/>
      <c r="X272" s="1077"/>
      <c r="Y272" s="1077"/>
      <c r="Z272" s="1077"/>
      <c r="AA272" s="1077"/>
      <c r="AB272" s="1077"/>
      <c r="AC272" s="1077"/>
      <c r="AD272" s="1077"/>
      <c r="AE272" s="1077"/>
      <c r="AF272" s="1015">
        <f t="shared" si="98"/>
        <v>0</v>
      </c>
    </row>
    <row r="273">
      <c r="A273" s="1093" t="s">
        <v>191</v>
      </c>
      <c r="B273" s="1077"/>
      <c r="C273" s="1077"/>
      <c r="D273" s="1077"/>
      <c r="E273" s="1077"/>
      <c r="F273" s="1077"/>
      <c r="G273" s="1077"/>
      <c r="H273" s="1077"/>
      <c r="I273" s="1077"/>
      <c r="J273" s="1077"/>
      <c r="K273" s="1077"/>
      <c r="L273" s="1077"/>
      <c r="M273" s="1077"/>
      <c r="N273" s="1077"/>
      <c r="O273" s="1077"/>
      <c r="P273" s="1077"/>
      <c r="Q273" s="1077"/>
      <c r="R273" s="1077"/>
      <c r="S273" s="1077"/>
      <c r="T273" s="1077"/>
      <c r="U273" s="1077"/>
      <c r="V273" s="1077"/>
      <c r="W273" s="1077"/>
      <c r="X273" s="1077"/>
      <c r="Y273" s="1077"/>
      <c r="Z273" s="1077"/>
      <c r="AA273" s="1077"/>
      <c r="AB273" s="1077"/>
      <c r="AC273" s="1077"/>
      <c r="AD273" s="1077"/>
      <c r="AE273" s="1077"/>
      <c r="AF273" s="1015">
        <f t="shared" si="98"/>
        <v>0</v>
      </c>
    </row>
    <row r="274">
      <c r="A274" s="1093" t="s">
        <v>192</v>
      </c>
      <c r="B274" s="1077"/>
      <c r="C274" s="1077"/>
      <c r="D274" s="1077"/>
      <c r="E274" s="1077"/>
      <c r="F274" s="1077"/>
      <c r="G274" s="1077"/>
      <c r="H274" s="1077"/>
      <c r="I274" s="1077"/>
      <c r="J274" s="1077"/>
      <c r="K274" s="1077"/>
      <c r="L274" s="1077"/>
      <c r="M274" s="1077"/>
      <c r="N274" s="1077"/>
      <c r="O274" s="1077"/>
      <c r="P274" s="1077"/>
      <c r="Q274" s="1077"/>
      <c r="R274" s="1077"/>
      <c r="S274" s="1077"/>
      <c r="T274" s="1077"/>
      <c r="U274" s="1077"/>
      <c r="V274" s="1077"/>
      <c r="W274" s="1077"/>
      <c r="X274" s="1077"/>
      <c r="Y274" s="1077"/>
      <c r="Z274" s="1077"/>
      <c r="AA274" s="1077"/>
      <c r="AB274" s="1077"/>
      <c r="AC274" s="1077"/>
      <c r="AD274" s="1077"/>
      <c r="AE274" s="1077"/>
      <c r="AF274" s="1015">
        <f t="shared" si="98"/>
        <v>0</v>
      </c>
    </row>
    <row r="275">
      <c r="A275" s="1093" t="s">
        <v>193</v>
      </c>
      <c r="B275" s="1077"/>
      <c r="C275" s="1077"/>
      <c r="D275" s="1077"/>
      <c r="E275" s="1077"/>
      <c r="F275" s="1077"/>
      <c r="G275" s="1077"/>
      <c r="H275" s="1077"/>
      <c r="I275" s="1077"/>
      <c r="J275" s="1077"/>
      <c r="K275" s="1077"/>
      <c r="L275" s="1077"/>
      <c r="M275" s="1077"/>
      <c r="N275" s="1077"/>
      <c r="O275" s="1077"/>
      <c r="P275" s="1077"/>
      <c r="Q275" s="1077"/>
      <c r="R275" s="1077"/>
      <c r="S275" s="1077"/>
      <c r="T275" s="1077"/>
      <c r="U275" s="1077"/>
      <c r="V275" s="1077"/>
      <c r="W275" s="1077"/>
      <c r="X275" s="1077"/>
      <c r="Y275" s="1077"/>
      <c r="Z275" s="1077"/>
      <c r="AA275" s="1077"/>
      <c r="AB275" s="1077"/>
      <c r="AC275" s="1077"/>
      <c r="AD275" s="1077"/>
      <c r="AE275" s="1077"/>
      <c r="AF275" s="1015">
        <f t="shared" si="98"/>
        <v>0</v>
      </c>
    </row>
    <row r="276">
      <c r="A276" s="1100" t="s">
        <v>195</v>
      </c>
      <c r="B276" s="594">
        <f t="shared" ref="B276:AE276" si="99">SUM(B271:B275)</f>
        <v>0</v>
      </c>
      <c r="C276" s="594">
        <f t="shared" si="99"/>
        <v>0</v>
      </c>
      <c r="D276" s="594">
        <f t="shared" si="99"/>
        <v>0</v>
      </c>
      <c r="E276" s="594">
        <f t="shared" si="99"/>
        <v>0</v>
      </c>
      <c r="F276" s="594">
        <f t="shared" si="99"/>
        <v>0</v>
      </c>
      <c r="G276" s="594">
        <f t="shared" si="99"/>
        <v>0</v>
      </c>
      <c r="H276" s="594">
        <f t="shared" si="99"/>
        <v>0</v>
      </c>
      <c r="I276" s="594">
        <f t="shared" si="99"/>
        <v>0</v>
      </c>
      <c r="J276" s="594">
        <f t="shared" si="99"/>
        <v>0</v>
      </c>
      <c r="K276" s="594">
        <f t="shared" si="99"/>
        <v>0</v>
      </c>
      <c r="L276" s="594">
        <f t="shared" si="99"/>
        <v>0</v>
      </c>
      <c r="M276" s="594">
        <f t="shared" si="99"/>
        <v>0</v>
      </c>
      <c r="N276" s="594">
        <f t="shared" si="99"/>
        <v>0</v>
      </c>
      <c r="O276" s="594">
        <f t="shared" si="99"/>
        <v>0</v>
      </c>
      <c r="P276" s="594">
        <f t="shared" si="99"/>
        <v>0</v>
      </c>
      <c r="Q276" s="594">
        <f t="shared" si="99"/>
        <v>0</v>
      </c>
      <c r="R276" s="594">
        <f t="shared" si="99"/>
        <v>0</v>
      </c>
      <c r="S276" s="594">
        <f t="shared" si="99"/>
        <v>0</v>
      </c>
      <c r="T276" s="594">
        <f t="shared" si="99"/>
        <v>0</v>
      </c>
      <c r="U276" s="594">
        <f t="shared" si="99"/>
        <v>0</v>
      </c>
      <c r="V276" s="594">
        <f t="shared" si="99"/>
        <v>0</v>
      </c>
      <c r="W276" s="594">
        <f t="shared" si="99"/>
        <v>0</v>
      </c>
      <c r="X276" s="594">
        <f t="shared" si="99"/>
        <v>0</v>
      </c>
      <c r="Y276" s="594">
        <f t="shared" si="99"/>
        <v>0</v>
      </c>
      <c r="Z276" s="594">
        <f t="shared" si="99"/>
        <v>0</v>
      </c>
      <c r="AA276" s="594">
        <f t="shared" si="99"/>
        <v>0</v>
      </c>
      <c r="AB276" s="594">
        <f t="shared" si="99"/>
        <v>0</v>
      </c>
      <c r="AC276" s="594">
        <f t="shared" si="99"/>
        <v>0</v>
      </c>
      <c r="AD276" s="594">
        <f t="shared" si="99"/>
        <v>0</v>
      </c>
      <c r="AE276" s="594">
        <f t="shared" si="99"/>
        <v>0</v>
      </c>
      <c r="AF276" s="1015">
        <f t="shared" si="98"/>
        <v>0</v>
      </c>
    </row>
    <row r="277">
      <c r="A277" s="20"/>
      <c r="B277" s="1066"/>
      <c r="C277" s="1066"/>
      <c r="D277" s="1066"/>
      <c r="E277" s="1066"/>
      <c r="F277" s="1066"/>
      <c r="G277" s="1066"/>
      <c r="H277" s="1066"/>
      <c r="I277" s="1066"/>
      <c r="J277" s="1066"/>
      <c r="K277" s="1066"/>
      <c r="L277" s="1066"/>
      <c r="M277" s="1066"/>
      <c r="N277" s="1066"/>
      <c r="O277" s="1066"/>
      <c r="P277" s="1066"/>
      <c r="Q277" s="1066"/>
      <c r="R277" s="1066"/>
      <c r="S277" s="1066"/>
      <c r="T277" s="1066"/>
      <c r="U277" s="1066"/>
      <c r="V277" s="1066"/>
      <c r="W277" s="1066"/>
      <c r="X277" s="1066"/>
      <c r="Y277" s="1066"/>
      <c r="Z277" s="1066"/>
      <c r="AA277" s="1066"/>
      <c r="AB277" s="1066"/>
      <c r="AC277" s="1066"/>
      <c r="AD277" s="1066"/>
      <c r="AE277" s="1066"/>
      <c r="AF277" s="700"/>
    </row>
    <row r="278">
      <c r="A278" s="1093" t="s">
        <v>196</v>
      </c>
      <c r="B278" s="1077"/>
      <c r="C278" s="1077"/>
      <c r="D278" s="1077"/>
      <c r="E278" s="1077"/>
      <c r="F278" s="1077"/>
      <c r="G278" s="1077"/>
      <c r="H278" s="1077"/>
      <c r="I278" s="1077"/>
      <c r="J278" s="1077"/>
      <c r="K278" s="1077"/>
      <c r="L278" s="1077"/>
      <c r="M278" s="1077"/>
      <c r="N278" s="1077"/>
      <c r="O278" s="1077"/>
      <c r="P278" s="1077"/>
      <c r="Q278" s="1077"/>
      <c r="R278" s="1077"/>
      <c r="S278" s="1077"/>
      <c r="T278" s="1077"/>
      <c r="U278" s="1077"/>
      <c r="V278" s="1077"/>
      <c r="W278" s="1077"/>
      <c r="X278" s="1077"/>
      <c r="Y278" s="1077"/>
      <c r="Z278" s="1077"/>
      <c r="AA278" s="1077"/>
      <c r="AB278" s="1077"/>
      <c r="AC278" s="1077"/>
      <c r="AD278" s="1077"/>
      <c r="AE278" s="1537"/>
      <c r="AF278" s="1015">
        <f t="shared" ref="AF278:AF283" si="100">SUM(B278:AE278)</f>
        <v>0</v>
      </c>
    </row>
    <row r="279">
      <c r="A279" s="1093" t="s">
        <v>197</v>
      </c>
      <c r="B279" s="1077"/>
      <c r="C279" s="1077"/>
      <c r="D279" s="1077"/>
      <c r="E279" s="1077"/>
      <c r="F279" s="1077"/>
      <c r="G279" s="1077"/>
      <c r="H279" s="1077"/>
      <c r="I279" s="1077"/>
      <c r="J279" s="1077"/>
      <c r="K279" s="1077"/>
      <c r="L279" s="1077"/>
      <c r="M279" s="1077"/>
      <c r="N279" s="1077"/>
      <c r="O279" s="1077"/>
      <c r="P279" s="1077"/>
      <c r="Q279" s="1077"/>
      <c r="R279" s="1077"/>
      <c r="S279" s="1077"/>
      <c r="T279" s="1077"/>
      <c r="U279" s="1077"/>
      <c r="V279" s="1077"/>
      <c r="W279" s="1077"/>
      <c r="X279" s="1077"/>
      <c r="Y279" s="1077"/>
      <c r="Z279" s="1077"/>
      <c r="AA279" s="1077"/>
      <c r="AB279" s="1077"/>
      <c r="AC279" s="1077"/>
      <c r="AD279" s="1077"/>
      <c r="AE279" s="1537"/>
      <c r="AF279" s="1015">
        <f t="shared" si="100"/>
        <v>0</v>
      </c>
    </row>
    <row r="280">
      <c r="A280" s="1093" t="s">
        <v>198</v>
      </c>
      <c r="B280" s="1077"/>
      <c r="C280" s="1077"/>
      <c r="D280" s="1077"/>
      <c r="E280" s="1077"/>
      <c r="F280" s="1077"/>
      <c r="G280" s="1077"/>
      <c r="H280" s="1077"/>
      <c r="I280" s="1077"/>
      <c r="J280" s="1077"/>
      <c r="K280" s="1077"/>
      <c r="L280" s="1077"/>
      <c r="M280" s="1077"/>
      <c r="N280" s="1077"/>
      <c r="O280" s="1077"/>
      <c r="P280" s="1077"/>
      <c r="Q280" s="1077"/>
      <c r="R280" s="1077"/>
      <c r="S280" s="1077"/>
      <c r="T280" s="1077"/>
      <c r="U280" s="1077"/>
      <c r="V280" s="1077"/>
      <c r="W280" s="1077"/>
      <c r="X280" s="1077"/>
      <c r="Y280" s="1077"/>
      <c r="Z280" s="1077"/>
      <c r="AA280" s="1077"/>
      <c r="AB280" s="1077"/>
      <c r="AC280" s="1077"/>
      <c r="AD280" s="1077"/>
      <c r="AE280" s="1537"/>
      <c r="AF280" s="1015">
        <f t="shared" si="100"/>
        <v>0</v>
      </c>
    </row>
    <row r="281">
      <c r="A281" s="1093" t="s">
        <v>199</v>
      </c>
      <c r="B281" s="1077"/>
      <c r="C281" s="1077"/>
      <c r="D281" s="1077"/>
      <c r="E281" s="1077"/>
      <c r="F281" s="1077"/>
      <c r="G281" s="1077"/>
      <c r="H281" s="1077"/>
      <c r="I281" s="1077"/>
      <c r="J281" s="1077"/>
      <c r="K281" s="1077"/>
      <c r="L281" s="1077"/>
      <c r="M281" s="1077"/>
      <c r="N281" s="1077"/>
      <c r="O281" s="1077"/>
      <c r="P281" s="1077"/>
      <c r="Q281" s="1077"/>
      <c r="R281" s="1077"/>
      <c r="S281" s="1077"/>
      <c r="T281" s="1077"/>
      <c r="U281" s="1077"/>
      <c r="V281" s="1077"/>
      <c r="W281" s="1077"/>
      <c r="X281" s="1077"/>
      <c r="Y281" s="1077"/>
      <c r="Z281" s="1077"/>
      <c r="AA281" s="1077"/>
      <c r="AB281" s="1077"/>
      <c r="AC281" s="1077"/>
      <c r="AD281" s="1077"/>
      <c r="AE281" s="1537"/>
      <c r="AF281" s="1015">
        <f t="shared" si="100"/>
        <v>0</v>
      </c>
    </row>
    <row r="282">
      <c r="A282" s="1093" t="s">
        <v>201</v>
      </c>
      <c r="B282" s="1077"/>
      <c r="C282" s="1077"/>
      <c r="D282" s="1077"/>
      <c r="E282" s="1077"/>
      <c r="F282" s="1077"/>
      <c r="G282" s="1077"/>
      <c r="H282" s="1077"/>
      <c r="I282" s="1077"/>
      <c r="J282" s="1077"/>
      <c r="K282" s="1077"/>
      <c r="L282" s="1077"/>
      <c r="M282" s="1077"/>
      <c r="N282" s="1077"/>
      <c r="O282" s="1077"/>
      <c r="P282" s="1077"/>
      <c r="Q282" s="1077"/>
      <c r="R282" s="1077"/>
      <c r="S282" s="1077"/>
      <c r="T282" s="1077"/>
      <c r="U282" s="1077"/>
      <c r="V282" s="1077"/>
      <c r="W282" s="1077"/>
      <c r="X282" s="1077"/>
      <c r="Y282" s="1077"/>
      <c r="Z282" s="1077"/>
      <c r="AA282" s="1077"/>
      <c r="AB282" s="1077"/>
      <c r="AC282" s="1077"/>
      <c r="AD282" s="1077"/>
      <c r="AE282" s="1537"/>
      <c r="AF282" s="1015">
        <f t="shared" si="100"/>
        <v>0</v>
      </c>
    </row>
    <row r="283">
      <c r="A283" s="1100" t="s">
        <v>202</v>
      </c>
      <c r="B283" s="594">
        <f t="shared" ref="B283:AE283" si="101">SUM(B278:B282)</f>
        <v>0</v>
      </c>
      <c r="C283" s="594">
        <f t="shared" si="101"/>
        <v>0</v>
      </c>
      <c r="D283" s="594">
        <f t="shared" si="101"/>
        <v>0</v>
      </c>
      <c r="E283" s="594">
        <f t="shared" si="101"/>
        <v>0</v>
      </c>
      <c r="F283" s="594">
        <f t="shared" si="101"/>
        <v>0</v>
      </c>
      <c r="G283" s="594">
        <f t="shared" si="101"/>
        <v>0</v>
      </c>
      <c r="H283" s="594">
        <f t="shared" si="101"/>
        <v>0</v>
      </c>
      <c r="I283" s="594">
        <f t="shared" si="101"/>
        <v>0</v>
      </c>
      <c r="J283" s="594">
        <f t="shared" si="101"/>
        <v>0</v>
      </c>
      <c r="K283" s="594">
        <f t="shared" si="101"/>
        <v>0</v>
      </c>
      <c r="L283" s="594">
        <f t="shared" si="101"/>
        <v>0</v>
      </c>
      <c r="M283" s="594">
        <f t="shared" si="101"/>
        <v>0</v>
      </c>
      <c r="N283" s="594">
        <f t="shared" si="101"/>
        <v>0</v>
      </c>
      <c r="O283" s="594">
        <f t="shared" si="101"/>
        <v>0</v>
      </c>
      <c r="P283" s="594">
        <f t="shared" si="101"/>
        <v>0</v>
      </c>
      <c r="Q283" s="594">
        <f t="shared" si="101"/>
        <v>0</v>
      </c>
      <c r="R283" s="594">
        <f t="shared" si="101"/>
        <v>0</v>
      </c>
      <c r="S283" s="594">
        <f t="shared" si="101"/>
        <v>0</v>
      </c>
      <c r="T283" s="594">
        <f t="shared" si="101"/>
        <v>0</v>
      </c>
      <c r="U283" s="594">
        <f t="shared" si="101"/>
        <v>0</v>
      </c>
      <c r="V283" s="594">
        <f t="shared" si="101"/>
        <v>0</v>
      </c>
      <c r="W283" s="594">
        <f t="shared" si="101"/>
        <v>0</v>
      </c>
      <c r="X283" s="594">
        <f t="shared" si="101"/>
        <v>0</v>
      </c>
      <c r="Y283" s="594">
        <f t="shared" si="101"/>
        <v>0</v>
      </c>
      <c r="Z283" s="594">
        <f t="shared" si="101"/>
        <v>0</v>
      </c>
      <c r="AA283" s="594">
        <f t="shared" si="101"/>
        <v>0</v>
      </c>
      <c r="AB283" s="594">
        <f t="shared" si="101"/>
        <v>0</v>
      </c>
      <c r="AC283" s="594">
        <f t="shared" si="101"/>
        <v>0</v>
      </c>
      <c r="AD283" s="594">
        <f t="shared" si="101"/>
        <v>0</v>
      </c>
      <c r="AE283" s="594">
        <f t="shared" si="101"/>
        <v>0</v>
      </c>
      <c r="AF283" s="1015">
        <f t="shared" si="100"/>
        <v>0</v>
      </c>
    </row>
    <row r="284">
      <c r="A284" s="854"/>
      <c r="AF284" s="700"/>
    </row>
    <row r="285">
      <c r="A285" s="854"/>
      <c r="AF285" s="700"/>
    </row>
    <row r="286">
      <c r="A286" s="931" t="s">
        <v>1079</v>
      </c>
      <c r="B286" s="651"/>
      <c r="C286" s="651"/>
      <c r="D286" s="651"/>
      <c r="E286" s="651"/>
      <c r="F286" s="651"/>
      <c r="G286" s="651"/>
      <c r="H286" s="651"/>
      <c r="I286" s="582"/>
      <c r="J286" s="582"/>
      <c r="K286" s="582"/>
      <c r="L286" s="582"/>
      <c r="M286" s="582"/>
      <c r="N286" s="582"/>
      <c r="O286" s="582"/>
      <c r="P286" s="582"/>
      <c r="Q286" s="582"/>
      <c r="R286" s="582"/>
      <c r="S286" s="582"/>
      <c r="T286" s="582"/>
      <c r="U286" s="582"/>
      <c r="V286" s="582"/>
      <c r="W286" s="582"/>
      <c r="X286" s="582"/>
      <c r="Y286" s="582"/>
      <c r="Z286" s="582"/>
      <c r="AA286" s="582"/>
      <c r="AB286" s="582"/>
      <c r="AC286" s="582"/>
      <c r="AD286" s="582"/>
      <c r="AE286" s="582"/>
      <c r="AF286" s="700"/>
    </row>
    <row r="287">
      <c r="A287" s="1185" t="s">
        <v>1337</v>
      </c>
      <c r="B287" s="1077">
        <f t="shared" ref="B287:AE287" si="102">B91-B154</f>
        <v>0</v>
      </c>
      <c r="C287" s="1077">
        <f t="shared" si="102"/>
        <v>0</v>
      </c>
      <c r="D287" s="1077">
        <f t="shared" si="102"/>
        <v>0</v>
      </c>
      <c r="E287" s="1077">
        <f t="shared" si="102"/>
        <v>0</v>
      </c>
      <c r="F287" s="1077">
        <f t="shared" si="102"/>
        <v>0</v>
      </c>
      <c r="G287" s="1077">
        <f t="shared" si="102"/>
        <v>0</v>
      </c>
      <c r="H287" s="1077">
        <f t="shared" si="102"/>
        <v>0</v>
      </c>
      <c r="I287" s="1077">
        <f t="shared" si="102"/>
        <v>0</v>
      </c>
      <c r="J287" s="1077">
        <f t="shared" si="102"/>
        <v>0</v>
      </c>
      <c r="K287" s="1077">
        <f t="shared" si="102"/>
        <v>0</v>
      </c>
      <c r="L287" s="1077">
        <f t="shared" si="102"/>
        <v>0</v>
      </c>
      <c r="M287" s="1077">
        <f t="shared" si="102"/>
        <v>0</v>
      </c>
      <c r="N287" s="1077">
        <f t="shared" si="102"/>
        <v>0</v>
      </c>
      <c r="O287" s="1077">
        <f t="shared" si="102"/>
        <v>0</v>
      </c>
      <c r="P287" s="1077">
        <f t="shared" si="102"/>
        <v>0</v>
      </c>
      <c r="Q287" s="1077">
        <f t="shared" si="102"/>
        <v>0</v>
      </c>
      <c r="R287" s="1077">
        <f t="shared" si="102"/>
        <v>0</v>
      </c>
      <c r="S287" s="1077">
        <f t="shared" si="102"/>
        <v>0</v>
      </c>
      <c r="T287" s="1077">
        <f t="shared" si="102"/>
        <v>0</v>
      </c>
      <c r="U287" s="1077">
        <f t="shared" si="102"/>
        <v>0</v>
      </c>
      <c r="V287" s="1077">
        <f t="shared" si="102"/>
        <v>0</v>
      </c>
      <c r="W287" s="1077">
        <f t="shared" si="102"/>
        <v>0</v>
      </c>
      <c r="X287" s="1077">
        <f t="shared" si="102"/>
        <v>0</v>
      </c>
      <c r="Y287" s="1077">
        <f t="shared" si="102"/>
        <v>0</v>
      </c>
      <c r="Z287" s="1077">
        <f t="shared" si="102"/>
        <v>0</v>
      </c>
      <c r="AA287" s="1077">
        <f t="shared" si="102"/>
        <v>0</v>
      </c>
      <c r="AB287" s="1077">
        <f t="shared" si="102"/>
        <v>0</v>
      </c>
      <c r="AC287" s="1077">
        <f t="shared" si="102"/>
        <v>0</v>
      </c>
      <c r="AD287" s="1077">
        <f t="shared" si="102"/>
        <v>0</v>
      </c>
      <c r="AE287" s="1077">
        <f t="shared" si="102"/>
        <v>0</v>
      </c>
      <c r="AF287" s="1015">
        <f t="shared" ref="AF287:AF294" si="104">SUM(B287:AE287)</f>
        <v>0</v>
      </c>
    </row>
    <row r="288">
      <c r="A288" s="1185" t="s">
        <v>212</v>
      </c>
      <c r="B288" s="331">
        <f t="shared" ref="B288:AE288" si="103">B92-B155</f>
        <v>12</v>
      </c>
      <c r="C288" s="331">
        <f t="shared" si="103"/>
        <v>5</v>
      </c>
      <c r="D288" s="331">
        <f t="shared" si="103"/>
        <v>19</v>
      </c>
      <c r="E288" s="331">
        <f t="shared" si="103"/>
        <v>23</v>
      </c>
      <c r="F288" s="331">
        <f t="shared" si="103"/>
        <v>16</v>
      </c>
      <c r="G288" s="331">
        <f t="shared" si="103"/>
        <v>17</v>
      </c>
      <c r="H288" s="331">
        <f t="shared" si="103"/>
        <v>10</v>
      </c>
      <c r="I288" s="331">
        <f t="shared" si="103"/>
        <v>10</v>
      </c>
      <c r="J288" s="331">
        <f t="shared" si="103"/>
        <v>26</v>
      </c>
      <c r="K288" s="331">
        <f t="shared" si="103"/>
        <v>18</v>
      </c>
      <c r="L288" s="331">
        <f t="shared" si="103"/>
        <v>21</v>
      </c>
      <c r="M288" s="331">
        <f t="shared" si="103"/>
        <v>25</v>
      </c>
      <c r="N288" s="331">
        <f t="shared" si="103"/>
        <v>25</v>
      </c>
      <c r="O288" s="331">
        <f t="shared" si="103"/>
        <v>26</v>
      </c>
      <c r="P288" s="331">
        <f t="shared" si="103"/>
        <v>13</v>
      </c>
      <c r="Q288" s="331">
        <f t="shared" si="103"/>
        <v>22</v>
      </c>
      <c r="R288" s="331">
        <f t="shared" si="103"/>
        <v>24</v>
      </c>
      <c r="S288" s="331">
        <f t="shared" si="103"/>
        <v>26</v>
      </c>
      <c r="T288" s="331">
        <f t="shared" si="103"/>
        <v>37</v>
      </c>
      <c r="U288" s="331">
        <f t="shared" si="103"/>
        <v>33</v>
      </c>
      <c r="V288" s="331">
        <f t="shared" si="103"/>
        <v>34</v>
      </c>
      <c r="W288" s="331">
        <f t="shared" si="103"/>
        <v>29</v>
      </c>
      <c r="X288" s="331">
        <f t="shared" si="103"/>
        <v>26</v>
      </c>
      <c r="Y288" s="331">
        <f t="shared" si="103"/>
        <v>32</v>
      </c>
      <c r="Z288" s="331">
        <f t="shared" si="103"/>
        <v>30</v>
      </c>
      <c r="AA288" s="331">
        <f t="shared" si="103"/>
        <v>37</v>
      </c>
      <c r="AB288" s="331">
        <f t="shared" si="103"/>
        <v>28</v>
      </c>
      <c r="AC288" s="331">
        <f t="shared" si="103"/>
        <v>40</v>
      </c>
      <c r="AD288" s="331">
        <f t="shared" si="103"/>
        <v>31</v>
      </c>
      <c r="AE288" s="331">
        <f t="shared" si="103"/>
        <v>30</v>
      </c>
      <c r="AF288" s="1015">
        <f t="shared" si="104"/>
        <v>725</v>
      </c>
    </row>
    <row r="289">
      <c r="A289" s="1185" t="s">
        <v>172</v>
      </c>
      <c r="B289" s="1077">
        <f t="shared" ref="B289:M289" si="105">B93-B156</f>
        <v>0</v>
      </c>
      <c r="C289" s="1077">
        <f t="shared" si="105"/>
        <v>0</v>
      </c>
      <c r="D289" s="1077">
        <f t="shared" si="105"/>
        <v>0</v>
      </c>
      <c r="E289" s="1077">
        <f t="shared" si="105"/>
        <v>0</v>
      </c>
      <c r="F289" s="1077">
        <f t="shared" si="105"/>
        <v>0</v>
      </c>
      <c r="G289" s="1077">
        <f t="shared" si="105"/>
        <v>0</v>
      </c>
      <c r="H289" s="1077">
        <f t="shared" si="105"/>
        <v>0</v>
      </c>
      <c r="I289" s="1077">
        <f t="shared" si="105"/>
        <v>0</v>
      </c>
      <c r="J289" s="1077">
        <f t="shared" si="105"/>
        <v>0</v>
      </c>
      <c r="K289" s="1077">
        <f t="shared" si="105"/>
        <v>0</v>
      </c>
      <c r="L289" s="1077">
        <f t="shared" si="105"/>
        <v>0</v>
      </c>
      <c r="M289" s="1077">
        <f t="shared" si="105"/>
        <v>0</v>
      </c>
      <c r="N289" s="1077">
        <f>N93-N154</f>
        <v>0</v>
      </c>
      <c r="O289" s="1077">
        <f t="shared" ref="O289:AE289" si="106">O93-O156</f>
        <v>0</v>
      </c>
      <c r="P289" s="1077">
        <f t="shared" si="106"/>
        <v>0</v>
      </c>
      <c r="Q289" s="1077">
        <f t="shared" si="106"/>
        <v>0</v>
      </c>
      <c r="R289" s="1077">
        <f t="shared" si="106"/>
        <v>0</v>
      </c>
      <c r="S289" s="1077">
        <f t="shared" si="106"/>
        <v>0</v>
      </c>
      <c r="T289" s="1077">
        <f t="shared" si="106"/>
        <v>0</v>
      </c>
      <c r="U289" s="1077">
        <f t="shared" si="106"/>
        <v>0</v>
      </c>
      <c r="V289" s="1077">
        <f t="shared" si="106"/>
        <v>0</v>
      </c>
      <c r="W289" s="1077">
        <f t="shared" si="106"/>
        <v>0</v>
      </c>
      <c r="X289" s="1077">
        <f t="shared" si="106"/>
        <v>0</v>
      </c>
      <c r="Y289" s="1077">
        <f t="shared" si="106"/>
        <v>0</v>
      </c>
      <c r="Z289" s="1077">
        <f t="shared" si="106"/>
        <v>0</v>
      </c>
      <c r="AA289" s="1077">
        <f t="shared" si="106"/>
        <v>0</v>
      </c>
      <c r="AB289" s="1077">
        <f t="shared" si="106"/>
        <v>0</v>
      </c>
      <c r="AC289" s="1077">
        <f t="shared" si="106"/>
        <v>0</v>
      </c>
      <c r="AD289" s="1077">
        <f t="shared" si="106"/>
        <v>0</v>
      </c>
      <c r="AE289" s="1077">
        <f t="shared" si="106"/>
        <v>0</v>
      </c>
      <c r="AF289" s="1015">
        <f t="shared" si="104"/>
        <v>0</v>
      </c>
    </row>
    <row r="290">
      <c r="A290" s="1185" t="s">
        <v>174</v>
      </c>
      <c r="B290" s="1077">
        <f t="shared" ref="B290:AE290" si="107">B94-B157</f>
        <v>0</v>
      </c>
      <c r="C290" s="1077">
        <f t="shared" si="107"/>
        <v>0</v>
      </c>
      <c r="D290" s="1077">
        <f t="shared" si="107"/>
        <v>0</v>
      </c>
      <c r="E290" s="1077">
        <f t="shared" si="107"/>
        <v>0</v>
      </c>
      <c r="F290" s="1077">
        <f t="shared" si="107"/>
        <v>0</v>
      </c>
      <c r="G290" s="1077">
        <f t="shared" si="107"/>
        <v>0</v>
      </c>
      <c r="H290" s="1077">
        <f t="shared" si="107"/>
        <v>0</v>
      </c>
      <c r="I290" s="1077">
        <f t="shared" si="107"/>
        <v>0</v>
      </c>
      <c r="J290" s="1077">
        <f t="shared" si="107"/>
        <v>0</v>
      </c>
      <c r="K290" s="1077">
        <f t="shared" si="107"/>
        <v>0</v>
      </c>
      <c r="L290" s="1077">
        <f t="shared" si="107"/>
        <v>0</v>
      </c>
      <c r="M290" s="1077">
        <f t="shared" si="107"/>
        <v>0</v>
      </c>
      <c r="N290" s="1077">
        <f t="shared" si="107"/>
        <v>0</v>
      </c>
      <c r="O290" s="1077">
        <f t="shared" si="107"/>
        <v>0</v>
      </c>
      <c r="P290" s="1077">
        <f t="shared" si="107"/>
        <v>0</v>
      </c>
      <c r="Q290" s="1077">
        <f t="shared" si="107"/>
        <v>0</v>
      </c>
      <c r="R290" s="1077">
        <f t="shared" si="107"/>
        <v>0</v>
      </c>
      <c r="S290" s="1077">
        <f t="shared" si="107"/>
        <v>0</v>
      </c>
      <c r="T290" s="1077">
        <f t="shared" si="107"/>
        <v>0</v>
      </c>
      <c r="U290" s="1077">
        <f t="shared" si="107"/>
        <v>0</v>
      </c>
      <c r="V290" s="1077">
        <f t="shared" si="107"/>
        <v>0</v>
      </c>
      <c r="W290" s="1077">
        <f t="shared" si="107"/>
        <v>0</v>
      </c>
      <c r="X290" s="1077">
        <f t="shared" si="107"/>
        <v>0</v>
      </c>
      <c r="Y290" s="1077">
        <f t="shared" si="107"/>
        <v>0</v>
      </c>
      <c r="Z290" s="1077">
        <f t="shared" si="107"/>
        <v>0</v>
      </c>
      <c r="AA290" s="1077">
        <f t="shared" si="107"/>
        <v>0</v>
      </c>
      <c r="AB290" s="1077">
        <f t="shared" si="107"/>
        <v>0</v>
      </c>
      <c r="AC290" s="1077">
        <f t="shared" si="107"/>
        <v>0</v>
      </c>
      <c r="AD290" s="1077">
        <f t="shared" si="107"/>
        <v>0</v>
      </c>
      <c r="AE290" s="1077">
        <f t="shared" si="107"/>
        <v>0</v>
      </c>
      <c r="AF290" s="1015">
        <f t="shared" si="104"/>
        <v>0</v>
      </c>
    </row>
    <row r="291">
      <c r="A291" s="1185" t="s">
        <v>175</v>
      </c>
      <c r="B291" s="623">
        <f t="shared" ref="B291:AE291" si="108">B95-B158</f>
        <v>0</v>
      </c>
      <c r="C291" s="623">
        <f t="shared" si="108"/>
        <v>0</v>
      </c>
      <c r="D291" s="623">
        <f t="shared" si="108"/>
        <v>0</v>
      </c>
      <c r="E291" s="623">
        <f t="shared" si="108"/>
        <v>0</v>
      </c>
      <c r="F291" s="623">
        <f t="shared" si="108"/>
        <v>0</v>
      </c>
      <c r="G291" s="623">
        <f t="shared" si="108"/>
        <v>0</v>
      </c>
      <c r="H291" s="623">
        <f t="shared" si="108"/>
        <v>0</v>
      </c>
      <c r="I291" s="623">
        <f t="shared" si="108"/>
        <v>0</v>
      </c>
      <c r="J291" s="623">
        <f t="shared" si="108"/>
        <v>0</v>
      </c>
      <c r="K291" s="623">
        <f t="shared" si="108"/>
        <v>0</v>
      </c>
      <c r="L291" s="623">
        <f t="shared" si="108"/>
        <v>0</v>
      </c>
      <c r="M291" s="623">
        <f t="shared" si="108"/>
        <v>0</v>
      </c>
      <c r="N291" s="623">
        <f t="shared" si="108"/>
        <v>0</v>
      </c>
      <c r="O291" s="623">
        <f t="shared" si="108"/>
        <v>0</v>
      </c>
      <c r="P291" s="623">
        <f t="shared" si="108"/>
        <v>0</v>
      </c>
      <c r="Q291" s="623">
        <f t="shared" si="108"/>
        <v>0</v>
      </c>
      <c r="R291" s="623">
        <f t="shared" si="108"/>
        <v>0</v>
      </c>
      <c r="S291" s="623">
        <f t="shared" si="108"/>
        <v>0</v>
      </c>
      <c r="T291" s="623">
        <f t="shared" si="108"/>
        <v>0</v>
      </c>
      <c r="U291" s="623">
        <f t="shared" si="108"/>
        <v>0</v>
      </c>
      <c r="V291" s="623">
        <f t="shared" si="108"/>
        <v>0</v>
      </c>
      <c r="W291" s="623">
        <f t="shared" si="108"/>
        <v>0</v>
      </c>
      <c r="X291" s="623">
        <f t="shared" si="108"/>
        <v>0</v>
      </c>
      <c r="Y291" s="623">
        <f t="shared" si="108"/>
        <v>0</v>
      </c>
      <c r="Z291" s="623">
        <f t="shared" si="108"/>
        <v>0</v>
      </c>
      <c r="AA291" s="623">
        <f t="shared" si="108"/>
        <v>0</v>
      </c>
      <c r="AB291" s="623">
        <f t="shared" si="108"/>
        <v>0</v>
      </c>
      <c r="AC291" s="623">
        <f t="shared" si="108"/>
        <v>0</v>
      </c>
      <c r="AD291" s="623">
        <f t="shared" si="108"/>
        <v>0</v>
      </c>
      <c r="AE291" s="623">
        <f t="shared" si="108"/>
        <v>0</v>
      </c>
      <c r="AF291" s="1015">
        <f t="shared" si="104"/>
        <v>0</v>
      </c>
    </row>
    <row r="292">
      <c r="A292" s="1185" t="s">
        <v>178</v>
      </c>
      <c r="B292" s="623">
        <f t="shared" ref="B292:AE292" si="109">B96-B159</f>
        <v>0</v>
      </c>
      <c r="C292" s="623">
        <f t="shared" si="109"/>
        <v>0</v>
      </c>
      <c r="D292" s="623">
        <f t="shared" si="109"/>
        <v>0</v>
      </c>
      <c r="E292" s="623">
        <f t="shared" si="109"/>
        <v>0</v>
      </c>
      <c r="F292" s="623">
        <f t="shared" si="109"/>
        <v>0</v>
      </c>
      <c r="G292" s="623">
        <f t="shared" si="109"/>
        <v>0</v>
      </c>
      <c r="H292" s="623">
        <f t="shared" si="109"/>
        <v>0</v>
      </c>
      <c r="I292" s="623">
        <f t="shared" si="109"/>
        <v>0</v>
      </c>
      <c r="J292" s="623">
        <f t="shared" si="109"/>
        <v>0</v>
      </c>
      <c r="K292" s="623">
        <f t="shared" si="109"/>
        <v>0</v>
      </c>
      <c r="L292" s="623">
        <f t="shared" si="109"/>
        <v>0</v>
      </c>
      <c r="M292" s="623">
        <f t="shared" si="109"/>
        <v>0</v>
      </c>
      <c r="N292" s="623">
        <f t="shared" si="109"/>
        <v>0</v>
      </c>
      <c r="O292" s="623">
        <f t="shared" si="109"/>
        <v>0</v>
      </c>
      <c r="P292" s="623">
        <f t="shared" si="109"/>
        <v>0</v>
      </c>
      <c r="Q292" s="623">
        <f t="shared" si="109"/>
        <v>0</v>
      </c>
      <c r="R292" s="623">
        <f t="shared" si="109"/>
        <v>0</v>
      </c>
      <c r="S292" s="623">
        <f t="shared" si="109"/>
        <v>0</v>
      </c>
      <c r="T292" s="623">
        <f t="shared" si="109"/>
        <v>0</v>
      </c>
      <c r="U292" s="623">
        <f t="shared" si="109"/>
        <v>0</v>
      </c>
      <c r="V292" s="623">
        <f t="shared" si="109"/>
        <v>0</v>
      </c>
      <c r="W292" s="623">
        <f t="shared" si="109"/>
        <v>0</v>
      </c>
      <c r="X292" s="623">
        <f t="shared" si="109"/>
        <v>0</v>
      </c>
      <c r="Y292" s="623">
        <f t="shared" si="109"/>
        <v>0</v>
      </c>
      <c r="Z292" s="623">
        <f t="shared" si="109"/>
        <v>0</v>
      </c>
      <c r="AA292" s="623">
        <f t="shared" si="109"/>
        <v>0</v>
      </c>
      <c r="AB292" s="623">
        <f t="shared" si="109"/>
        <v>0</v>
      </c>
      <c r="AC292" s="623">
        <f t="shared" si="109"/>
        <v>0</v>
      </c>
      <c r="AD292" s="623">
        <f t="shared" si="109"/>
        <v>0</v>
      </c>
      <c r="AE292" s="623">
        <f t="shared" si="109"/>
        <v>0</v>
      </c>
      <c r="AF292" s="1015">
        <f t="shared" si="104"/>
        <v>0</v>
      </c>
    </row>
    <row r="293">
      <c r="A293" s="1196" t="s">
        <v>179</v>
      </c>
      <c r="B293" s="1197">
        <f t="shared" ref="B293:AE293" si="110">B287+B289+B291</f>
        <v>0</v>
      </c>
      <c r="C293" s="1197">
        <f t="shared" si="110"/>
        <v>0</v>
      </c>
      <c r="D293" s="1197">
        <f t="shared" si="110"/>
        <v>0</v>
      </c>
      <c r="E293" s="1197">
        <f t="shared" si="110"/>
        <v>0</v>
      </c>
      <c r="F293" s="1197">
        <f t="shared" si="110"/>
        <v>0</v>
      </c>
      <c r="G293" s="1197">
        <f t="shared" si="110"/>
        <v>0</v>
      </c>
      <c r="H293" s="1197">
        <f t="shared" si="110"/>
        <v>0</v>
      </c>
      <c r="I293" s="1197">
        <f t="shared" si="110"/>
        <v>0</v>
      </c>
      <c r="J293" s="1197">
        <f t="shared" si="110"/>
        <v>0</v>
      </c>
      <c r="K293" s="1197">
        <f t="shared" si="110"/>
        <v>0</v>
      </c>
      <c r="L293" s="1197">
        <f t="shared" si="110"/>
        <v>0</v>
      </c>
      <c r="M293" s="1197">
        <f t="shared" si="110"/>
        <v>0</v>
      </c>
      <c r="N293" s="1197">
        <f t="shared" si="110"/>
        <v>0</v>
      </c>
      <c r="O293" s="1197">
        <f t="shared" si="110"/>
        <v>0</v>
      </c>
      <c r="P293" s="1197">
        <f t="shared" si="110"/>
        <v>0</v>
      </c>
      <c r="Q293" s="1197">
        <f t="shared" si="110"/>
        <v>0</v>
      </c>
      <c r="R293" s="1197">
        <f t="shared" si="110"/>
        <v>0</v>
      </c>
      <c r="S293" s="1197">
        <f t="shared" si="110"/>
        <v>0</v>
      </c>
      <c r="T293" s="1197">
        <f t="shared" si="110"/>
        <v>0</v>
      </c>
      <c r="U293" s="1197">
        <f t="shared" si="110"/>
        <v>0</v>
      </c>
      <c r="V293" s="1197">
        <f t="shared" si="110"/>
        <v>0</v>
      </c>
      <c r="W293" s="1197">
        <f t="shared" si="110"/>
        <v>0</v>
      </c>
      <c r="X293" s="1197">
        <f t="shared" si="110"/>
        <v>0</v>
      </c>
      <c r="Y293" s="1197">
        <f t="shared" si="110"/>
        <v>0</v>
      </c>
      <c r="Z293" s="1197">
        <f t="shared" si="110"/>
        <v>0</v>
      </c>
      <c r="AA293" s="1197">
        <f t="shared" si="110"/>
        <v>0</v>
      </c>
      <c r="AB293" s="1197">
        <f t="shared" si="110"/>
        <v>0</v>
      </c>
      <c r="AC293" s="1197">
        <f t="shared" si="110"/>
        <v>0</v>
      </c>
      <c r="AD293" s="1197">
        <f t="shared" si="110"/>
        <v>0</v>
      </c>
      <c r="AE293" s="1197">
        <f t="shared" si="110"/>
        <v>0</v>
      </c>
      <c r="AF293" s="1015">
        <f t="shared" si="104"/>
        <v>0</v>
      </c>
    </row>
    <row r="294">
      <c r="A294" s="1196" t="s">
        <v>181</v>
      </c>
      <c r="B294" s="1197">
        <f t="shared" ref="B294:AE294" si="111">B288+B290+B292</f>
        <v>12</v>
      </c>
      <c r="C294" s="1197">
        <f t="shared" si="111"/>
        <v>5</v>
      </c>
      <c r="D294" s="1197">
        <f t="shared" si="111"/>
        <v>19</v>
      </c>
      <c r="E294" s="1197">
        <f t="shared" si="111"/>
        <v>23</v>
      </c>
      <c r="F294" s="1197">
        <f t="shared" si="111"/>
        <v>16</v>
      </c>
      <c r="G294" s="1197">
        <f t="shared" si="111"/>
        <v>17</v>
      </c>
      <c r="H294" s="1197">
        <f t="shared" si="111"/>
        <v>10</v>
      </c>
      <c r="I294" s="1197">
        <f t="shared" si="111"/>
        <v>10</v>
      </c>
      <c r="J294" s="1197">
        <f t="shared" si="111"/>
        <v>26</v>
      </c>
      <c r="K294" s="1197">
        <f t="shared" si="111"/>
        <v>18</v>
      </c>
      <c r="L294" s="1197">
        <f t="shared" si="111"/>
        <v>21</v>
      </c>
      <c r="M294" s="1197">
        <f t="shared" si="111"/>
        <v>25</v>
      </c>
      <c r="N294" s="1197">
        <f t="shared" si="111"/>
        <v>25</v>
      </c>
      <c r="O294" s="1197">
        <f t="shared" si="111"/>
        <v>26</v>
      </c>
      <c r="P294" s="1197">
        <f t="shared" si="111"/>
        <v>13</v>
      </c>
      <c r="Q294" s="1197">
        <f t="shared" si="111"/>
        <v>22</v>
      </c>
      <c r="R294" s="1197">
        <f t="shared" si="111"/>
        <v>24</v>
      </c>
      <c r="S294" s="1197">
        <f t="shared" si="111"/>
        <v>26</v>
      </c>
      <c r="T294" s="1197">
        <f t="shared" si="111"/>
        <v>37</v>
      </c>
      <c r="U294" s="1197">
        <f t="shared" si="111"/>
        <v>33</v>
      </c>
      <c r="V294" s="1197">
        <f t="shared" si="111"/>
        <v>34</v>
      </c>
      <c r="W294" s="1197">
        <f t="shared" si="111"/>
        <v>29</v>
      </c>
      <c r="X294" s="1197">
        <f t="shared" si="111"/>
        <v>26</v>
      </c>
      <c r="Y294" s="1197">
        <f t="shared" si="111"/>
        <v>32</v>
      </c>
      <c r="Z294" s="1197">
        <f t="shared" si="111"/>
        <v>30</v>
      </c>
      <c r="AA294" s="1197">
        <f t="shared" si="111"/>
        <v>37</v>
      </c>
      <c r="AB294" s="1197">
        <f t="shared" si="111"/>
        <v>28</v>
      </c>
      <c r="AC294" s="1197">
        <f t="shared" si="111"/>
        <v>40</v>
      </c>
      <c r="AD294" s="1197">
        <f t="shared" si="111"/>
        <v>31</v>
      </c>
      <c r="AE294" s="1197">
        <f t="shared" si="111"/>
        <v>30</v>
      </c>
      <c r="AF294" s="1015">
        <f t="shared" si="104"/>
        <v>725</v>
      </c>
    </row>
    <row r="295">
      <c r="A295" s="20"/>
      <c r="B295" s="651"/>
      <c r="C295" s="651"/>
      <c r="D295" s="651"/>
      <c r="E295" s="651"/>
      <c r="F295" s="651"/>
      <c r="G295" s="651"/>
      <c r="H295" s="651"/>
      <c r="I295" s="651"/>
      <c r="J295" s="651"/>
      <c r="K295" s="651"/>
      <c r="L295" s="651"/>
      <c r="M295" s="651"/>
      <c r="N295" s="651"/>
      <c r="O295" s="651"/>
      <c r="P295" s="651"/>
      <c r="Q295" s="651"/>
      <c r="R295" s="651"/>
      <c r="S295" s="651"/>
      <c r="T295" s="651"/>
      <c r="U295" s="651"/>
      <c r="V295" s="651"/>
      <c r="W295" s="651"/>
      <c r="X295" s="651"/>
      <c r="Y295" s="651"/>
      <c r="Z295" s="651"/>
      <c r="AA295" s="651"/>
      <c r="AB295" s="651"/>
      <c r="AC295" s="651"/>
      <c r="AD295" s="651"/>
      <c r="AE295" s="651"/>
      <c r="AF295" s="1015"/>
    </row>
    <row r="296">
      <c r="A296" s="1185" t="s">
        <v>1339</v>
      </c>
      <c r="B296" s="1077">
        <f t="shared" ref="B296:AE296" si="112">B100-B163</f>
        <v>0</v>
      </c>
      <c r="C296" s="1077">
        <f t="shared" si="112"/>
        <v>0</v>
      </c>
      <c r="D296" s="1077">
        <f t="shared" si="112"/>
        <v>0</v>
      </c>
      <c r="E296" s="1077">
        <f t="shared" si="112"/>
        <v>0</v>
      </c>
      <c r="F296" s="1077">
        <f t="shared" si="112"/>
        <v>0</v>
      </c>
      <c r="G296" s="1077">
        <f t="shared" si="112"/>
        <v>0</v>
      </c>
      <c r="H296" s="1077">
        <f t="shared" si="112"/>
        <v>0</v>
      </c>
      <c r="I296" s="1077">
        <f t="shared" si="112"/>
        <v>0</v>
      </c>
      <c r="J296" s="1077">
        <f t="shared" si="112"/>
        <v>0</v>
      </c>
      <c r="K296" s="1077">
        <f t="shared" si="112"/>
        <v>0</v>
      </c>
      <c r="L296" s="1077">
        <f t="shared" si="112"/>
        <v>0</v>
      </c>
      <c r="M296" s="1077">
        <f t="shared" si="112"/>
        <v>0</v>
      </c>
      <c r="N296" s="1077">
        <f t="shared" si="112"/>
        <v>0</v>
      </c>
      <c r="O296" s="1077">
        <f t="shared" si="112"/>
        <v>0</v>
      </c>
      <c r="P296" s="1077">
        <f t="shared" si="112"/>
        <v>0</v>
      </c>
      <c r="Q296" s="1077">
        <f t="shared" si="112"/>
        <v>0</v>
      </c>
      <c r="R296" s="1077">
        <f t="shared" si="112"/>
        <v>0</v>
      </c>
      <c r="S296" s="1077">
        <f t="shared" si="112"/>
        <v>0</v>
      </c>
      <c r="T296" s="1077">
        <f t="shared" si="112"/>
        <v>0</v>
      </c>
      <c r="U296" s="1077">
        <f t="shared" si="112"/>
        <v>0</v>
      </c>
      <c r="V296" s="1077">
        <f t="shared" si="112"/>
        <v>0</v>
      </c>
      <c r="W296" s="1077">
        <f t="shared" si="112"/>
        <v>0</v>
      </c>
      <c r="X296" s="1077">
        <f t="shared" si="112"/>
        <v>0</v>
      </c>
      <c r="Y296" s="1077">
        <f t="shared" si="112"/>
        <v>0</v>
      </c>
      <c r="Z296" s="1077">
        <f t="shared" si="112"/>
        <v>0</v>
      </c>
      <c r="AA296" s="1077">
        <f t="shared" si="112"/>
        <v>0</v>
      </c>
      <c r="AB296" s="1077">
        <f t="shared" si="112"/>
        <v>0</v>
      </c>
      <c r="AC296" s="1077">
        <f t="shared" si="112"/>
        <v>0</v>
      </c>
      <c r="AD296" s="1077">
        <f t="shared" si="112"/>
        <v>0</v>
      </c>
      <c r="AE296" s="1077">
        <f t="shared" si="112"/>
        <v>0</v>
      </c>
      <c r="AF296" s="1015">
        <f t="shared" ref="AF296:AF301" si="114">SUM(B296:AE296)</f>
        <v>0</v>
      </c>
    </row>
    <row r="297">
      <c r="A297" s="1185" t="s">
        <v>1340</v>
      </c>
      <c r="B297" s="1077">
        <f t="shared" ref="B297:AE297" si="113">B101-B164</f>
        <v>0</v>
      </c>
      <c r="C297" s="1077">
        <f t="shared" si="113"/>
        <v>0</v>
      </c>
      <c r="D297" s="1077">
        <f t="shared" si="113"/>
        <v>0</v>
      </c>
      <c r="E297" s="1077">
        <f t="shared" si="113"/>
        <v>0</v>
      </c>
      <c r="F297" s="1077">
        <f t="shared" si="113"/>
        <v>0</v>
      </c>
      <c r="G297" s="1077">
        <f t="shared" si="113"/>
        <v>0</v>
      </c>
      <c r="H297" s="1077">
        <f t="shared" si="113"/>
        <v>0</v>
      </c>
      <c r="I297" s="1077">
        <f t="shared" si="113"/>
        <v>0</v>
      </c>
      <c r="J297" s="1077">
        <f t="shared" si="113"/>
        <v>0</v>
      </c>
      <c r="K297" s="1077">
        <f t="shared" si="113"/>
        <v>0</v>
      </c>
      <c r="L297" s="1077">
        <f t="shared" si="113"/>
        <v>0</v>
      </c>
      <c r="M297" s="1077">
        <f t="shared" si="113"/>
        <v>0</v>
      </c>
      <c r="N297" s="1077">
        <f t="shared" si="113"/>
        <v>0</v>
      </c>
      <c r="O297" s="1077">
        <f t="shared" si="113"/>
        <v>0</v>
      </c>
      <c r="P297" s="1077">
        <f t="shared" si="113"/>
        <v>0</v>
      </c>
      <c r="Q297" s="1077">
        <f t="shared" si="113"/>
        <v>0</v>
      </c>
      <c r="R297" s="1077">
        <f t="shared" si="113"/>
        <v>0</v>
      </c>
      <c r="S297" s="1077">
        <f t="shared" si="113"/>
        <v>0</v>
      </c>
      <c r="T297" s="1077">
        <f t="shared" si="113"/>
        <v>0</v>
      </c>
      <c r="U297" s="1077">
        <f t="shared" si="113"/>
        <v>0</v>
      </c>
      <c r="V297" s="1077">
        <f t="shared" si="113"/>
        <v>0</v>
      </c>
      <c r="W297" s="1077">
        <f t="shared" si="113"/>
        <v>0</v>
      </c>
      <c r="X297" s="1077">
        <f t="shared" si="113"/>
        <v>0</v>
      </c>
      <c r="Y297" s="1077">
        <f t="shared" si="113"/>
        <v>0</v>
      </c>
      <c r="Z297" s="1077">
        <f t="shared" si="113"/>
        <v>0</v>
      </c>
      <c r="AA297" s="1077">
        <f t="shared" si="113"/>
        <v>0</v>
      </c>
      <c r="AB297" s="1077">
        <f t="shared" si="113"/>
        <v>0</v>
      </c>
      <c r="AC297" s="1077">
        <f t="shared" si="113"/>
        <v>0</v>
      </c>
      <c r="AD297" s="1077">
        <f t="shared" si="113"/>
        <v>0</v>
      </c>
      <c r="AE297" s="1077">
        <f t="shared" si="113"/>
        <v>0</v>
      </c>
      <c r="AF297" s="1015">
        <f t="shared" si="114"/>
        <v>0</v>
      </c>
    </row>
    <row r="298">
      <c r="A298" s="1185" t="s">
        <v>184</v>
      </c>
      <c r="B298" s="1077">
        <f t="shared" ref="B298:AE298" si="115">B102-B165</f>
        <v>0</v>
      </c>
      <c r="C298" s="1077">
        <f t="shared" si="115"/>
        <v>0</v>
      </c>
      <c r="D298" s="1077">
        <f t="shared" si="115"/>
        <v>0</v>
      </c>
      <c r="E298" s="1077">
        <f t="shared" si="115"/>
        <v>0</v>
      </c>
      <c r="F298" s="1077">
        <f t="shared" si="115"/>
        <v>0</v>
      </c>
      <c r="G298" s="1077">
        <f t="shared" si="115"/>
        <v>0</v>
      </c>
      <c r="H298" s="1077">
        <f t="shared" si="115"/>
        <v>0</v>
      </c>
      <c r="I298" s="1077">
        <f t="shared" si="115"/>
        <v>0</v>
      </c>
      <c r="J298" s="1077">
        <f t="shared" si="115"/>
        <v>0</v>
      </c>
      <c r="K298" s="1077">
        <f t="shared" si="115"/>
        <v>0</v>
      </c>
      <c r="L298" s="1077">
        <f t="shared" si="115"/>
        <v>0</v>
      </c>
      <c r="M298" s="1077">
        <f t="shared" si="115"/>
        <v>0</v>
      </c>
      <c r="N298" s="1077">
        <f t="shared" si="115"/>
        <v>0</v>
      </c>
      <c r="O298" s="1077">
        <f t="shared" si="115"/>
        <v>0</v>
      </c>
      <c r="P298" s="1077">
        <f t="shared" si="115"/>
        <v>0</v>
      </c>
      <c r="Q298" s="1077">
        <f t="shared" si="115"/>
        <v>0</v>
      </c>
      <c r="R298" s="1077">
        <f t="shared" si="115"/>
        <v>0</v>
      </c>
      <c r="S298" s="1077">
        <f t="shared" si="115"/>
        <v>0</v>
      </c>
      <c r="T298" s="1077">
        <f t="shared" si="115"/>
        <v>0</v>
      </c>
      <c r="U298" s="1077">
        <f t="shared" si="115"/>
        <v>0</v>
      </c>
      <c r="V298" s="1077">
        <f t="shared" si="115"/>
        <v>0</v>
      </c>
      <c r="W298" s="1077">
        <f t="shared" si="115"/>
        <v>0</v>
      </c>
      <c r="X298" s="1077">
        <f t="shared" si="115"/>
        <v>0</v>
      </c>
      <c r="Y298" s="1077">
        <f t="shared" si="115"/>
        <v>0</v>
      </c>
      <c r="Z298" s="1077">
        <f t="shared" si="115"/>
        <v>0</v>
      </c>
      <c r="AA298" s="1077">
        <f t="shared" si="115"/>
        <v>0</v>
      </c>
      <c r="AB298" s="1077">
        <f t="shared" si="115"/>
        <v>0</v>
      </c>
      <c r="AC298" s="1077">
        <f t="shared" si="115"/>
        <v>0</v>
      </c>
      <c r="AD298" s="1077">
        <f t="shared" si="115"/>
        <v>0</v>
      </c>
      <c r="AE298" s="1077">
        <f t="shared" si="115"/>
        <v>0</v>
      </c>
      <c r="AF298" s="1015">
        <f t="shared" si="114"/>
        <v>0</v>
      </c>
    </row>
    <row r="299">
      <c r="A299" s="1185" t="s">
        <v>1341</v>
      </c>
      <c r="B299" s="1077">
        <f t="shared" ref="B299:AE299" si="116">B103-B166</f>
        <v>0</v>
      </c>
      <c r="C299" s="1077">
        <f t="shared" si="116"/>
        <v>0</v>
      </c>
      <c r="D299" s="1077">
        <f t="shared" si="116"/>
        <v>0</v>
      </c>
      <c r="E299" s="1077">
        <f t="shared" si="116"/>
        <v>0</v>
      </c>
      <c r="F299" s="1077">
        <f t="shared" si="116"/>
        <v>0</v>
      </c>
      <c r="G299" s="1077">
        <f t="shared" si="116"/>
        <v>0</v>
      </c>
      <c r="H299" s="1077">
        <f t="shared" si="116"/>
        <v>0</v>
      </c>
      <c r="I299" s="1077">
        <f t="shared" si="116"/>
        <v>0</v>
      </c>
      <c r="J299" s="1077">
        <f t="shared" si="116"/>
        <v>0</v>
      </c>
      <c r="K299" s="1077">
        <f t="shared" si="116"/>
        <v>0</v>
      </c>
      <c r="L299" s="1077">
        <f t="shared" si="116"/>
        <v>0</v>
      </c>
      <c r="M299" s="1077">
        <f t="shared" si="116"/>
        <v>0</v>
      </c>
      <c r="N299" s="1077">
        <f t="shared" si="116"/>
        <v>0</v>
      </c>
      <c r="O299" s="1077">
        <f t="shared" si="116"/>
        <v>0</v>
      </c>
      <c r="P299" s="1077">
        <f t="shared" si="116"/>
        <v>0</v>
      </c>
      <c r="Q299" s="1077">
        <f t="shared" si="116"/>
        <v>0</v>
      </c>
      <c r="R299" s="1077">
        <f t="shared" si="116"/>
        <v>0</v>
      </c>
      <c r="S299" s="1077">
        <f t="shared" si="116"/>
        <v>0</v>
      </c>
      <c r="T299" s="1077">
        <f t="shared" si="116"/>
        <v>0</v>
      </c>
      <c r="U299" s="1077">
        <f t="shared" si="116"/>
        <v>0</v>
      </c>
      <c r="V299" s="1077">
        <f t="shared" si="116"/>
        <v>0</v>
      </c>
      <c r="W299" s="1077">
        <f t="shared" si="116"/>
        <v>0</v>
      </c>
      <c r="X299" s="1077">
        <f t="shared" si="116"/>
        <v>0</v>
      </c>
      <c r="Y299" s="1077">
        <f t="shared" si="116"/>
        <v>0</v>
      </c>
      <c r="Z299" s="1077">
        <f t="shared" si="116"/>
        <v>0</v>
      </c>
      <c r="AA299" s="1077">
        <f t="shared" si="116"/>
        <v>0</v>
      </c>
      <c r="AB299" s="1077">
        <f t="shared" si="116"/>
        <v>0</v>
      </c>
      <c r="AC299" s="1077">
        <f t="shared" si="116"/>
        <v>0</v>
      </c>
      <c r="AD299" s="1077">
        <f t="shared" si="116"/>
        <v>0</v>
      </c>
      <c r="AE299" s="1077">
        <f t="shared" si="116"/>
        <v>0</v>
      </c>
      <c r="AF299" s="1015">
        <f t="shared" si="114"/>
        <v>0</v>
      </c>
    </row>
    <row r="300">
      <c r="A300" s="1185" t="s">
        <v>1342</v>
      </c>
      <c r="B300" s="1077">
        <f t="shared" ref="B300:AE300" si="117">B104-B167</f>
        <v>0</v>
      </c>
      <c r="C300" s="1077">
        <f t="shared" si="117"/>
        <v>0</v>
      </c>
      <c r="D300" s="1077">
        <f t="shared" si="117"/>
        <v>0</v>
      </c>
      <c r="E300" s="1077">
        <f t="shared" si="117"/>
        <v>0</v>
      </c>
      <c r="F300" s="1077">
        <f t="shared" si="117"/>
        <v>0</v>
      </c>
      <c r="G300" s="1077">
        <f t="shared" si="117"/>
        <v>0</v>
      </c>
      <c r="H300" s="1077">
        <f t="shared" si="117"/>
        <v>0</v>
      </c>
      <c r="I300" s="1077">
        <f t="shared" si="117"/>
        <v>0</v>
      </c>
      <c r="J300" s="1077">
        <f t="shared" si="117"/>
        <v>0</v>
      </c>
      <c r="K300" s="1077">
        <f t="shared" si="117"/>
        <v>0</v>
      </c>
      <c r="L300" s="1077">
        <f t="shared" si="117"/>
        <v>0</v>
      </c>
      <c r="M300" s="1077">
        <f t="shared" si="117"/>
        <v>0</v>
      </c>
      <c r="N300" s="1077">
        <f t="shared" si="117"/>
        <v>0</v>
      </c>
      <c r="O300" s="1077">
        <f t="shared" si="117"/>
        <v>0</v>
      </c>
      <c r="P300" s="1077">
        <f t="shared" si="117"/>
        <v>0</v>
      </c>
      <c r="Q300" s="1077">
        <f t="shared" si="117"/>
        <v>0</v>
      </c>
      <c r="R300" s="1077">
        <f t="shared" si="117"/>
        <v>0</v>
      </c>
      <c r="S300" s="1077">
        <f t="shared" si="117"/>
        <v>0</v>
      </c>
      <c r="T300" s="1077">
        <f t="shared" si="117"/>
        <v>0</v>
      </c>
      <c r="U300" s="1077">
        <f t="shared" si="117"/>
        <v>0</v>
      </c>
      <c r="V300" s="1077">
        <f t="shared" si="117"/>
        <v>0</v>
      </c>
      <c r="W300" s="1077">
        <f t="shared" si="117"/>
        <v>0</v>
      </c>
      <c r="X300" s="1077">
        <f t="shared" si="117"/>
        <v>0</v>
      </c>
      <c r="Y300" s="1077">
        <f t="shared" si="117"/>
        <v>0</v>
      </c>
      <c r="Z300" s="1077">
        <f t="shared" si="117"/>
        <v>0</v>
      </c>
      <c r="AA300" s="1077">
        <f t="shared" si="117"/>
        <v>0</v>
      </c>
      <c r="AB300" s="1077">
        <f t="shared" si="117"/>
        <v>0</v>
      </c>
      <c r="AC300" s="1077">
        <f t="shared" si="117"/>
        <v>0</v>
      </c>
      <c r="AD300" s="1077">
        <f t="shared" si="117"/>
        <v>0</v>
      </c>
      <c r="AE300" s="1077">
        <f t="shared" si="117"/>
        <v>0</v>
      </c>
      <c r="AF300" s="1015">
        <f t="shared" si="114"/>
        <v>0</v>
      </c>
    </row>
    <row r="301">
      <c r="A301" s="1544" t="s">
        <v>1343</v>
      </c>
      <c r="B301" s="1197">
        <f t="shared" ref="B301:AE301" si="118">SUM(B296:B300)</f>
        <v>0</v>
      </c>
      <c r="C301" s="1197">
        <f t="shared" si="118"/>
        <v>0</v>
      </c>
      <c r="D301" s="1197">
        <f t="shared" si="118"/>
        <v>0</v>
      </c>
      <c r="E301" s="1197">
        <f t="shared" si="118"/>
        <v>0</v>
      </c>
      <c r="F301" s="1197">
        <f t="shared" si="118"/>
        <v>0</v>
      </c>
      <c r="G301" s="1197">
        <f t="shared" si="118"/>
        <v>0</v>
      </c>
      <c r="H301" s="1197">
        <f t="shared" si="118"/>
        <v>0</v>
      </c>
      <c r="I301" s="1197">
        <f t="shared" si="118"/>
        <v>0</v>
      </c>
      <c r="J301" s="1197">
        <f t="shared" si="118"/>
        <v>0</v>
      </c>
      <c r="K301" s="1197">
        <f t="shared" si="118"/>
        <v>0</v>
      </c>
      <c r="L301" s="1197">
        <f t="shared" si="118"/>
        <v>0</v>
      </c>
      <c r="M301" s="1197">
        <f t="shared" si="118"/>
        <v>0</v>
      </c>
      <c r="N301" s="1197">
        <f t="shared" si="118"/>
        <v>0</v>
      </c>
      <c r="O301" s="1197">
        <f t="shared" si="118"/>
        <v>0</v>
      </c>
      <c r="P301" s="1197">
        <f t="shared" si="118"/>
        <v>0</v>
      </c>
      <c r="Q301" s="1197">
        <f t="shared" si="118"/>
        <v>0</v>
      </c>
      <c r="R301" s="1197">
        <f t="shared" si="118"/>
        <v>0</v>
      </c>
      <c r="S301" s="1197">
        <f t="shared" si="118"/>
        <v>0</v>
      </c>
      <c r="T301" s="1197">
        <f t="shared" si="118"/>
        <v>0</v>
      </c>
      <c r="U301" s="1197">
        <f t="shared" si="118"/>
        <v>0</v>
      </c>
      <c r="V301" s="1197">
        <f t="shared" si="118"/>
        <v>0</v>
      </c>
      <c r="W301" s="1197">
        <f t="shared" si="118"/>
        <v>0</v>
      </c>
      <c r="X301" s="1197">
        <f t="shared" si="118"/>
        <v>0</v>
      </c>
      <c r="Y301" s="1197">
        <f t="shared" si="118"/>
        <v>0</v>
      </c>
      <c r="Z301" s="1197">
        <f t="shared" si="118"/>
        <v>0</v>
      </c>
      <c r="AA301" s="1197">
        <f t="shared" si="118"/>
        <v>0</v>
      </c>
      <c r="AB301" s="1197">
        <f t="shared" si="118"/>
        <v>0</v>
      </c>
      <c r="AC301" s="1197">
        <f t="shared" si="118"/>
        <v>0</v>
      </c>
      <c r="AD301" s="1197">
        <f t="shared" si="118"/>
        <v>0</v>
      </c>
      <c r="AE301" s="1197">
        <f t="shared" si="118"/>
        <v>0</v>
      </c>
      <c r="AF301" s="1015">
        <f t="shared" si="114"/>
        <v>0</v>
      </c>
    </row>
    <row r="302">
      <c r="A302" s="20"/>
      <c r="B302" s="651"/>
      <c r="C302" s="651"/>
      <c r="D302" s="651"/>
      <c r="E302" s="651"/>
      <c r="F302" s="651"/>
      <c r="G302" s="651"/>
      <c r="H302" s="651"/>
      <c r="I302" s="651"/>
      <c r="J302" s="651"/>
      <c r="K302" s="651"/>
      <c r="L302" s="651"/>
      <c r="M302" s="651"/>
      <c r="N302" s="651"/>
      <c r="O302" s="651"/>
      <c r="P302" s="651"/>
      <c r="Q302" s="651"/>
      <c r="R302" s="651"/>
      <c r="S302" s="651"/>
      <c r="T302" s="651"/>
      <c r="U302" s="651"/>
      <c r="V302" s="651"/>
      <c r="W302" s="651"/>
      <c r="X302" s="651"/>
      <c r="Y302" s="651"/>
      <c r="Z302" s="651"/>
      <c r="AA302" s="651"/>
      <c r="AB302" s="651"/>
      <c r="AC302" s="651"/>
      <c r="AD302" s="651"/>
      <c r="AE302" s="651"/>
      <c r="AF302" s="1015"/>
    </row>
    <row r="303">
      <c r="A303" s="1185" t="s">
        <v>189</v>
      </c>
      <c r="B303" s="1077">
        <f t="shared" ref="B303:AE303" si="119">B107-B170</f>
        <v>0</v>
      </c>
      <c r="C303" s="1077">
        <f t="shared" si="119"/>
        <v>0</v>
      </c>
      <c r="D303" s="1077">
        <f t="shared" si="119"/>
        <v>0</v>
      </c>
      <c r="E303" s="1077">
        <f t="shared" si="119"/>
        <v>0</v>
      </c>
      <c r="F303" s="1077">
        <f t="shared" si="119"/>
        <v>0</v>
      </c>
      <c r="G303" s="1077">
        <f t="shared" si="119"/>
        <v>0</v>
      </c>
      <c r="H303" s="1077">
        <f t="shared" si="119"/>
        <v>0</v>
      </c>
      <c r="I303" s="1077">
        <f t="shared" si="119"/>
        <v>0</v>
      </c>
      <c r="J303" s="1077">
        <f t="shared" si="119"/>
        <v>0</v>
      </c>
      <c r="K303" s="1077">
        <f t="shared" si="119"/>
        <v>0</v>
      </c>
      <c r="L303" s="1077">
        <f t="shared" si="119"/>
        <v>0</v>
      </c>
      <c r="M303" s="1077">
        <f t="shared" si="119"/>
        <v>0</v>
      </c>
      <c r="N303" s="1077">
        <f t="shared" si="119"/>
        <v>0</v>
      </c>
      <c r="O303" s="1077">
        <f t="shared" si="119"/>
        <v>0</v>
      </c>
      <c r="P303" s="1077">
        <f t="shared" si="119"/>
        <v>0</v>
      </c>
      <c r="Q303" s="1077">
        <f t="shared" si="119"/>
        <v>0</v>
      </c>
      <c r="R303" s="1077">
        <f t="shared" si="119"/>
        <v>0</v>
      </c>
      <c r="S303" s="1077">
        <f t="shared" si="119"/>
        <v>0</v>
      </c>
      <c r="T303" s="1077">
        <f t="shared" si="119"/>
        <v>0</v>
      </c>
      <c r="U303" s="1077">
        <f t="shared" si="119"/>
        <v>0</v>
      </c>
      <c r="V303" s="1077">
        <f t="shared" si="119"/>
        <v>0</v>
      </c>
      <c r="W303" s="1077">
        <f t="shared" si="119"/>
        <v>0</v>
      </c>
      <c r="X303" s="1077">
        <f t="shared" si="119"/>
        <v>0</v>
      </c>
      <c r="Y303" s="1077">
        <f t="shared" si="119"/>
        <v>0</v>
      </c>
      <c r="Z303" s="1077">
        <f t="shared" si="119"/>
        <v>0</v>
      </c>
      <c r="AA303" s="1077">
        <f t="shared" si="119"/>
        <v>0</v>
      </c>
      <c r="AB303" s="1077">
        <f t="shared" si="119"/>
        <v>0</v>
      </c>
      <c r="AC303" s="1077">
        <f t="shared" si="119"/>
        <v>0</v>
      </c>
      <c r="AD303" s="1077">
        <f t="shared" si="119"/>
        <v>0</v>
      </c>
      <c r="AE303" s="1077">
        <f t="shared" si="119"/>
        <v>0</v>
      </c>
      <c r="AF303" s="1015">
        <f t="shared" ref="AF303:AF308" si="121">SUM(B303:AE303)</f>
        <v>0</v>
      </c>
    </row>
    <row r="304">
      <c r="A304" s="1185" t="s">
        <v>190</v>
      </c>
      <c r="B304" s="1077">
        <f t="shared" ref="B304:AE304" si="120">B108-B171</f>
        <v>0</v>
      </c>
      <c r="C304" s="1077">
        <f t="shared" si="120"/>
        <v>0</v>
      </c>
      <c r="D304" s="1077">
        <f t="shared" si="120"/>
        <v>0</v>
      </c>
      <c r="E304" s="1077">
        <f t="shared" si="120"/>
        <v>0</v>
      </c>
      <c r="F304" s="1077">
        <f t="shared" si="120"/>
        <v>0</v>
      </c>
      <c r="G304" s="1077">
        <f t="shared" si="120"/>
        <v>0</v>
      </c>
      <c r="H304" s="1077">
        <f t="shared" si="120"/>
        <v>0</v>
      </c>
      <c r="I304" s="1077">
        <f t="shared" si="120"/>
        <v>0</v>
      </c>
      <c r="J304" s="1077">
        <f t="shared" si="120"/>
        <v>0</v>
      </c>
      <c r="K304" s="1077">
        <f t="shared" si="120"/>
        <v>0</v>
      </c>
      <c r="L304" s="1077">
        <f t="shared" si="120"/>
        <v>0</v>
      </c>
      <c r="M304" s="1077">
        <f t="shared" si="120"/>
        <v>0</v>
      </c>
      <c r="N304" s="1077">
        <f t="shared" si="120"/>
        <v>0</v>
      </c>
      <c r="O304" s="1077">
        <f t="shared" si="120"/>
        <v>0</v>
      </c>
      <c r="P304" s="1077">
        <f t="shared" si="120"/>
        <v>0</v>
      </c>
      <c r="Q304" s="1077">
        <f t="shared" si="120"/>
        <v>0</v>
      </c>
      <c r="R304" s="1077">
        <f t="shared" si="120"/>
        <v>0</v>
      </c>
      <c r="S304" s="1077">
        <f t="shared" si="120"/>
        <v>0</v>
      </c>
      <c r="T304" s="1077">
        <f t="shared" si="120"/>
        <v>0</v>
      </c>
      <c r="U304" s="1077">
        <f t="shared" si="120"/>
        <v>0</v>
      </c>
      <c r="V304" s="1077">
        <f t="shared" si="120"/>
        <v>0</v>
      </c>
      <c r="W304" s="1077">
        <f t="shared" si="120"/>
        <v>0</v>
      </c>
      <c r="X304" s="1077">
        <f t="shared" si="120"/>
        <v>0</v>
      </c>
      <c r="Y304" s="1077">
        <f t="shared" si="120"/>
        <v>0</v>
      </c>
      <c r="Z304" s="1077">
        <f t="shared" si="120"/>
        <v>0</v>
      </c>
      <c r="AA304" s="1077">
        <f t="shared" si="120"/>
        <v>0</v>
      </c>
      <c r="AB304" s="1077">
        <f t="shared" si="120"/>
        <v>0</v>
      </c>
      <c r="AC304" s="1077">
        <f t="shared" si="120"/>
        <v>0</v>
      </c>
      <c r="AD304" s="1077">
        <f t="shared" si="120"/>
        <v>0</v>
      </c>
      <c r="AE304" s="1077">
        <f t="shared" si="120"/>
        <v>0</v>
      </c>
      <c r="AF304" s="1015">
        <f t="shared" si="121"/>
        <v>0</v>
      </c>
    </row>
    <row r="305">
      <c r="A305" s="1185" t="s">
        <v>191</v>
      </c>
      <c r="B305" s="1077">
        <f t="shared" ref="B305:AE305" si="122">B109-B172</f>
        <v>0</v>
      </c>
      <c r="C305" s="1077">
        <f t="shared" si="122"/>
        <v>0</v>
      </c>
      <c r="D305" s="1077">
        <f t="shared" si="122"/>
        <v>0</v>
      </c>
      <c r="E305" s="1077">
        <f t="shared" si="122"/>
        <v>0</v>
      </c>
      <c r="F305" s="1077">
        <f t="shared" si="122"/>
        <v>0</v>
      </c>
      <c r="G305" s="1077">
        <f t="shared" si="122"/>
        <v>0</v>
      </c>
      <c r="H305" s="1077">
        <f t="shared" si="122"/>
        <v>0</v>
      </c>
      <c r="I305" s="1077">
        <f t="shared" si="122"/>
        <v>0</v>
      </c>
      <c r="J305" s="1077">
        <f t="shared" si="122"/>
        <v>0</v>
      </c>
      <c r="K305" s="1077">
        <f t="shared" si="122"/>
        <v>0</v>
      </c>
      <c r="L305" s="1077">
        <f t="shared" si="122"/>
        <v>0</v>
      </c>
      <c r="M305" s="1077">
        <f t="shared" si="122"/>
        <v>0</v>
      </c>
      <c r="N305" s="1077">
        <f t="shared" si="122"/>
        <v>0</v>
      </c>
      <c r="O305" s="1077">
        <f t="shared" si="122"/>
        <v>0</v>
      </c>
      <c r="P305" s="1077">
        <f t="shared" si="122"/>
        <v>0</v>
      </c>
      <c r="Q305" s="1077">
        <f t="shared" si="122"/>
        <v>0</v>
      </c>
      <c r="R305" s="1077">
        <f t="shared" si="122"/>
        <v>0</v>
      </c>
      <c r="S305" s="1077">
        <f t="shared" si="122"/>
        <v>0</v>
      </c>
      <c r="T305" s="1077">
        <f t="shared" si="122"/>
        <v>0</v>
      </c>
      <c r="U305" s="1077">
        <f t="shared" si="122"/>
        <v>0</v>
      </c>
      <c r="V305" s="1077">
        <f t="shared" si="122"/>
        <v>0</v>
      </c>
      <c r="W305" s="1077">
        <f t="shared" si="122"/>
        <v>0</v>
      </c>
      <c r="X305" s="1077">
        <f t="shared" si="122"/>
        <v>0</v>
      </c>
      <c r="Y305" s="1077">
        <f t="shared" si="122"/>
        <v>0</v>
      </c>
      <c r="Z305" s="1077">
        <f t="shared" si="122"/>
        <v>0</v>
      </c>
      <c r="AA305" s="1077">
        <f t="shared" si="122"/>
        <v>0</v>
      </c>
      <c r="AB305" s="1077">
        <f t="shared" si="122"/>
        <v>0</v>
      </c>
      <c r="AC305" s="1077">
        <f t="shared" si="122"/>
        <v>0</v>
      </c>
      <c r="AD305" s="1077">
        <f t="shared" si="122"/>
        <v>0</v>
      </c>
      <c r="AE305" s="1077">
        <f t="shared" si="122"/>
        <v>0</v>
      </c>
      <c r="AF305" s="1015">
        <f t="shared" si="121"/>
        <v>0</v>
      </c>
    </row>
    <row r="306">
      <c r="A306" s="1185" t="s">
        <v>192</v>
      </c>
      <c r="B306" s="1077">
        <f t="shared" ref="B306:AE306" si="123">B110-B173</f>
        <v>0</v>
      </c>
      <c r="C306" s="1077">
        <f t="shared" si="123"/>
        <v>0</v>
      </c>
      <c r="D306" s="1077">
        <f t="shared" si="123"/>
        <v>0</v>
      </c>
      <c r="E306" s="1077">
        <f t="shared" si="123"/>
        <v>0</v>
      </c>
      <c r="F306" s="1077">
        <f t="shared" si="123"/>
        <v>0</v>
      </c>
      <c r="G306" s="1077">
        <f t="shared" si="123"/>
        <v>0</v>
      </c>
      <c r="H306" s="1077">
        <f t="shared" si="123"/>
        <v>0</v>
      </c>
      <c r="I306" s="1077">
        <f t="shared" si="123"/>
        <v>0</v>
      </c>
      <c r="J306" s="1077">
        <f t="shared" si="123"/>
        <v>0</v>
      </c>
      <c r="K306" s="1077">
        <f t="shared" si="123"/>
        <v>0</v>
      </c>
      <c r="L306" s="1077">
        <f t="shared" si="123"/>
        <v>0</v>
      </c>
      <c r="M306" s="1077">
        <f t="shared" si="123"/>
        <v>0</v>
      </c>
      <c r="N306" s="1077">
        <f t="shared" si="123"/>
        <v>0</v>
      </c>
      <c r="O306" s="1077">
        <f t="shared" si="123"/>
        <v>0</v>
      </c>
      <c r="P306" s="1077">
        <f t="shared" si="123"/>
        <v>0</v>
      </c>
      <c r="Q306" s="1077">
        <f t="shared" si="123"/>
        <v>0</v>
      </c>
      <c r="R306" s="1077">
        <f t="shared" si="123"/>
        <v>0</v>
      </c>
      <c r="S306" s="1077">
        <f t="shared" si="123"/>
        <v>0</v>
      </c>
      <c r="T306" s="1077">
        <f t="shared" si="123"/>
        <v>0</v>
      </c>
      <c r="U306" s="1077">
        <f t="shared" si="123"/>
        <v>0</v>
      </c>
      <c r="V306" s="1077">
        <f t="shared" si="123"/>
        <v>0</v>
      </c>
      <c r="W306" s="1077">
        <f t="shared" si="123"/>
        <v>0</v>
      </c>
      <c r="X306" s="1077">
        <f t="shared" si="123"/>
        <v>0</v>
      </c>
      <c r="Y306" s="1077">
        <f t="shared" si="123"/>
        <v>0</v>
      </c>
      <c r="Z306" s="1077">
        <f t="shared" si="123"/>
        <v>0</v>
      </c>
      <c r="AA306" s="1077">
        <f t="shared" si="123"/>
        <v>0</v>
      </c>
      <c r="AB306" s="1077">
        <f t="shared" si="123"/>
        <v>0</v>
      </c>
      <c r="AC306" s="1077">
        <f t="shared" si="123"/>
        <v>0</v>
      </c>
      <c r="AD306" s="1077">
        <f t="shared" si="123"/>
        <v>0</v>
      </c>
      <c r="AE306" s="1077">
        <f t="shared" si="123"/>
        <v>0</v>
      </c>
      <c r="AF306" s="1015">
        <f t="shared" si="121"/>
        <v>0</v>
      </c>
    </row>
    <row r="307">
      <c r="A307" s="1185" t="s">
        <v>193</v>
      </c>
      <c r="B307" s="1077">
        <f t="shared" ref="B307:AE307" si="124">B111-B174</f>
        <v>0</v>
      </c>
      <c r="C307" s="1077">
        <f t="shared" si="124"/>
        <v>0</v>
      </c>
      <c r="D307" s="1077">
        <f t="shared" si="124"/>
        <v>0</v>
      </c>
      <c r="E307" s="1077">
        <f t="shared" si="124"/>
        <v>0</v>
      </c>
      <c r="F307" s="1077">
        <f t="shared" si="124"/>
        <v>0</v>
      </c>
      <c r="G307" s="1077">
        <f t="shared" si="124"/>
        <v>0</v>
      </c>
      <c r="H307" s="1077">
        <f t="shared" si="124"/>
        <v>0</v>
      </c>
      <c r="I307" s="1077">
        <f t="shared" si="124"/>
        <v>0</v>
      </c>
      <c r="J307" s="1077">
        <f t="shared" si="124"/>
        <v>0</v>
      </c>
      <c r="K307" s="1077">
        <f t="shared" si="124"/>
        <v>0</v>
      </c>
      <c r="L307" s="1077">
        <f t="shared" si="124"/>
        <v>0</v>
      </c>
      <c r="M307" s="1077">
        <f t="shared" si="124"/>
        <v>0</v>
      </c>
      <c r="N307" s="1077">
        <f t="shared" si="124"/>
        <v>0</v>
      </c>
      <c r="O307" s="1077">
        <f t="shared" si="124"/>
        <v>0</v>
      </c>
      <c r="P307" s="1077">
        <f t="shared" si="124"/>
        <v>0</v>
      </c>
      <c r="Q307" s="1077">
        <f t="shared" si="124"/>
        <v>0</v>
      </c>
      <c r="R307" s="1077">
        <f t="shared" si="124"/>
        <v>0</v>
      </c>
      <c r="S307" s="1077">
        <f t="shared" si="124"/>
        <v>0</v>
      </c>
      <c r="T307" s="1077">
        <f t="shared" si="124"/>
        <v>0</v>
      </c>
      <c r="U307" s="1077">
        <f t="shared" si="124"/>
        <v>0</v>
      </c>
      <c r="V307" s="1077">
        <f t="shared" si="124"/>
        <v>0</v>
      </c>
      <c r="W307" s="1077">
        <f t="shared" si="124"/>
        <v>0</v>
      </c>
      <c r="X307" s="1077">
        <f t="shared" si="124"/>
        <v>0</v>
      </c>
      <c r="Y307" s="1077">
        <f t="shared" si="124"/>
        <v>0</v>
      </c>
      <c r="Z307" s="1077">
        <f t="shared" si="124"/>
        <v>0</v>
      </c>
      <c r="AA307" s="1077">
        <f t="shared" si="124"/>
        <v>0</v>
      </c>
      <c r="AB307" s="1077">
        <f t="shared" si="124"/>
        <v>0</v>
      </c>
      <c r="AC307" s="1077">
        <f t="shared" si="124"/>
        <v>0</v>
      </c>
      <c r="AD307" s="1077">
        <f t="shared" si="124"/>
        <v>0</v>
      </c>
      <c r="AE307" s="1077">
        <f t="shared" si="124"/>
        <v>0</v>
      </c>
      <c r="AF307" s="1015">
        <f t="shared" si="121"/>
        <v>0</v>
      </c>
    </row>
    <row r="308">
      <c r="A308" s="1545" t="s">
        <v>195</v>
      </c>
      <c r="B308" s="1223">
        <f t="shared" ref="B308:AE308" si="125">SUM(B303:B307)</f>
        <v>0</v>
      </c>
      <c r="C308" s="1197">
        <f t="shared" si="125"/>
        <v>0</v>
      </c>
      <c r="D308" s="1197">
        <f t="shared" si="125"/>
        <v>0</v>
      </c>
      <c r="E308" s="1197">
        <f t="shared" si="125"/>
        <v>0</v>
      </c>
      <c r="F308" s="1197">
        <f t="shared" si="125"/>
        <v>0</v>
      </c>
      <c r="G308" s="1197">
        <f t="shared" si="125"/>
        <v>0</v>
      </c>
      <c r="H308" s="1197">
        <f t="shared" si="125"/>
        <v>0</v>
      </c>
      <c r="I308" s="1197">
        <f t="shared" si="125"/>
        <v>0</v>
      </c>
      <c r="J308" s="1197">
        <f t="shared" si="125"/>
        <v>0</v>
      </c>
      <c r="K308" s="1197">
        <f t="shared" si="125"/>
        <v>0</v>
      </c>
      <c r="L308" s="1197">
        <f t="shared" si="125"/>
        <v>0</v>
      </c>
      <c r="M308" s="1197">
        <f t="shared" si="125"/>
        <v>0</v>
      </c>
      <c r="N308" s="1197">
        <f t="shared" si="125"/>
        <v>0</v>
      </c>
      <c r="O308" s="1197">
        <f t="shared" si="125"/>
        <v>0</v>
      </c>
      <c r="P308" s="1197">
        <f t="shared" si="125"/>
        <v>0</v>
      </c>
      <c r="Q308" s="1197">
        <f t="shared" si="125"/>
        <v>0</v>
      </c>
      <c r="R308" s="1197">
        <f t="shared" si="125"/>
        <v>0</v>
      </c>
      <c r="S308" s="1197">
        <f t="shared" si="125"/>
        <v>0</v>
      </c>
      <c r="T308" s="1197">
        <f t="shared" si="125"/>
        <v>0</v>
      </c>
      <c r="U308" s="1197">
        <f t="shared" si="125"/>
        <v>0</v>
      </c>
      <c r="V308" s="1197">
        <f t="shared" si="125"/>
        <v>0</v>
      </c>
      <c r="W308" s="1197">
        <f t="shared" si="125"/>
        <v>0</v>
      </c>
      <c r="X308" s="1197">
        <f t="shared" si="125"/>
        <v>0</v>
      </c>
      <c r="Y308" s="1197">
        <f t="shared" si="125"/>
        <v>0</v>
      </c>
      <c r="Z308" s="1197">
        <f t="shared" si="125"/>
        <v>0</v>
      </c>
      <c r="AA308" s="1197">
        <f t="shared" si="125"/>
        <v>0</v>
      </c>
      <c r="AB308" s="1197">
        <f t="shared" si="125"/>
        <v>0</v>
      </c>
      <c r="AC308" s="1197">
        <f t="shared" si="125"/>
        <v>0</v>
      </c>
      <c r="AD308" s="1197">
        <f t="shared" si="125"/>
        <v>0</v>
      </c>
      <c r="AE308" s="1197">
        <f t="shared" si="125"/>
        <v>0</v>
      </c>
      <c r="AF308" s="1015">
        <f t="shared" si="121"/>
        <v>0</v>
      </c>
    </row>
    <row r="309">
      <c r="A309" s="20"/>
      <c r="B309" s="651"/>
      <c r="C309" s="651"/>
      <c r="D309" s="651"/>
      <c r="E309" s="651"/>
      <c r="F309" s="651"/>
      <c r="G309" s="651"/>
      <c r="H309" s="651"/>
      <c r="I309" s="651"/>
      <c r="J309" s="651"/>
      <c r="K309" s="651"/>
      <c r="L309" s="651"/>
      <c r="M309" s="651"/>
      <c r="N309" s="651"/>
      <c r="O309" s="651"/>
      <c r="P309" s="651"/>
      <c r="Q309" s="651"/>
      <c r="R309" s="651"/>
      <c r="S309" s="651"/>
      <c r="T309" s="651"/>
      <c r="U309" s="651"/>
      <c r="V309" s="651"/>
      <c r="W309" s="651"/>
      <c r="X309" s="651"/>
      <c r="Y309" s="651"/>
      <c r="Z309" s="651"/>
      <c r="AA309" s="651"/>
      <c r="AB309" s="651"/>
      <c r="AC309" s="651"/>
      <c r="AD309" s="651"/>
      <c r="AE309" s="651"/>
      <c r="AF309" s="1015"/>
    </row>
    <row r="310">
      <c r="A310" s="1185" t="s">
        <v>196</v>
      </c>
      <c r="B310" s="694">
        <f t="shared" ref="B310:AE310" si="126">B114-B177</f>
        <v>0</v>
      </c>
      <c r="C310" s="694">
        <f t="shared" si="126"/>
        <v>0</v>
      </c>
      <c r="D310" s="694">
        <f t="shared" si="126"/>
        <v>0</v>
      </c>
      <c r="E310" s="694">
        <f t="shared" si="126"/>
        <v>0</v>
      </c>
      <c r="F310" s="694">
        <f t="shared" si="126"/>
        <v>0</v>
      </c>
      <c r="G310" s="694">
        <f t="shared" si="126"/>
        <v>0</v>
      </c>
      <c r="H310" s="694">
        <f t="shared" si="126"/>
        <v>0</v>
      </c>
      <c r="I310" s="694">
        <f t="shared" si="126"/>
        <v>0</v>
      </c>
      <c r="J310" s="694">
        <f t="shared" si="126"/>
        <v>0</v>
      </c>
      <c r="K310" s="694">
        <f t="shared" si="126"/>
        <v>0</v>
      </c>
      <c r="L310" s="694">
        <f t="shared" si="126"/>
        <v>0</v>
      </c>
      <c r="M310" s="694">
        <f t="shared" si="126"/>
        <v>0</v>
      </c>
      <c r="N310" s="694">
        <f t="shared" si="126"/>
        <v>0</v>
      </c>
      <c r="O310" s="694">
        <f t="shared" si="126"/>
        <v>0</v>
      </c>
      <c r="P310" s="694">
        <f t="shared" si="126"/>
        <v>0</v>
      </c>
      <c r="Q310" s="694">
        <f t="shared" si="126"/>
        <v>0</v>
      </c>
      <c r="R310" s="694">
        <f t="shared" si="126"/>
        <v>0</v>
      </c>
      <c r="S310" s="694">
        <f t="shared" si="126"/>
        <v>0</v>
      </c>
      <c r="T310" s="694">
        <f t="shared" si="126"/>
        <v>0</v>
      </c>
      <c r="U310" s="694">
        <f t="shared" si="126"/>
        <v>0</v>
      </c>
      <c r="V310" s="694">
        <f t="shared" si="126"/>
        <v>0</v>
      </c>
      <c r="W310" s="694">
        <f t="shared" si="126"/>
        <v>0</v>
      </c>
      <c r="X310" s="694">
        <f t="shared" si="126"/>
        <v>0</v>
      </c>
      <c r="Y310" s="694">
        <f t="shared" si="126"/>
        <v>0</v>
      </c>
      <c r="Z310" s="694">
        <f t="shared" si="126"/>
        <v>0</v>
      </c>
      <c r="AA310" s="694">
        <f t="shared" si="126"/>
        <v>0</v>
      </c>
      <c r="AB310" s="694">
        <f t="shared" si="126"/>
        <v>0</v>
      </c>
      <c r="AC310" s="694">
        <f t="shared" si="126"/>
        <v>0</v>
      </c>
      <c r="AD310" s="694">
        <f t="shared" si="126"/>
        <v>0</v>
      </c>
      <c r="AE310" s="694">
        <f t="shared" si="126"/>
        <v>0</v>
      </c>
      <c r="AF310" s="1015">
        <f t="shared" ref="AF310:AF315" si="128">SUM(B310:AE310)</f>
        <v>0</v>
      </c>
    </row>
    <row r="311">
      <c r="A311" s="1185" t="s">
        <v>197</v>
      </c>
      <c r="B311" s="694">
        <f t="shared" ref="B311:AE311" si="127">B115-B178</f>
        <v>0</v>
      </c>
      <c r="C311" s="694">
        <f t="shared" si="127"/>
        <v>0</v>
      </c>
      <c r="D311" s="694">
        <f t="shared" si="127"/>
        <v>0</v>
      </c>
      <c r="E311" s="694">
        <f t="shared" si="127"/>
        <v>0</v>
      </c>
      <c r="F311" s="694">
        <f t="shared" si="127"/>
        <v>0</v>
      </c>
      <c r="G311" s="694">
        <f t="shared" si="127"/>
        <v>0</v>
      </c>
      <c r="H311" s="694">
        <f t="shared" si="127"/>
        <v>0</v>
      </c>
      <c r="I311" s="694">
        <f t="shared" si="127"/>
        <v>0</v>
      </c>
      <c r="J311" s="694">
        <f t="shared" si="127"/>
        <v>0</v>
      </c>
      <c r="K311" s="694">
        <f t="shared" si="127"/>
        <v>0</v>
      </c>
      <c r="L311" s="694">
        <f t="shared" si="127"/>
        <v>0</v>
      </c>
      <c r="M311" s="694">
        <f t="shared" si="127"/>
        <v>0</v>
      </c>
      <c r="N311" s="694">
        <f t="shared" si="127"/>
        <v>0</v>
      </c>
      <c r="O311" s="694">
        <f t="shared" si="127"/>
        <v>0</v>
      </c>
      <c r="P311" s="694">
        <f t="shared" si="127"/>
        <v>0</v>
      </c>
      <c r="Q311" s="694">
        <f t="shared" si="127"/>
        <v>0</v>
      </c>
      <c r="R311" s="694">
        <f t="shared" si="127"/>
        <v>0</v>
      </c>
      <c r="S311" s="694">
        <f t="shared" si="127"/>
        <v>0</v>
      </c>
      <c r="T311" s="694">
        <f t="shared" si="127"/>
        <v>0</v>
      </c>
      <c r="U311" s="694">
        <f t="shared" si="127"/>
        <v>0</v>
      </c>
      <c r="V311" s="694">
        <f t="shared" si="127"/>
        <v>0</v>
      </c>
      <c r="W311" s="694">
        <f t="shared" si="127"/>
        <v>0</v>
      </c>
      <c r="X311" s="694">
        <f t="shared" si="127"/>
        <v>0</v>
      </c>
      <c r="Y311" s="694">
        <f t="shared" si="127"/>
        <v>0</v>
      </c>
      <c r="Z311" s="694">
        <f t="shared" si="127"/>
        <v>0</v>
      </c>
      <c r="AA311" s="694">
        <f t="shared" si="127"/>
        <v>0</v>
      </c>
      <c r="AB311" s="694">
        <f t="shared" si="127"/>
        <v>0</v>
      </c>
      <c r="AC311" s="694">
        <f t="shared" si="127"/>
        <v>0</v>
      </c>
      <c r="AD311" s="694">
        <f t="shared" si="127"/>
        <v>0</v>
      </c>
      <c r="AE311" s="694">
        <f t="shared" si="127"/>
        <v>0</v>
      </c>
      <c r="AF311" s="1015">
        <f t="shared" si="128"/>
        <v>0</v>
      </c>
    </row>
    <row r="312">
      <c r="A312" s="1185" t="s">
        <v>198</v>
      </c>
      <c r="B312" s="694">
        <f t="shared" ref="B312:AE312" si="129">B116-B179</f>
        <v>0</v>
      </c>
      <c r="C312" s="694">
        <f t="shared" si="129"/>
        <v>0</v>
      </c>
      <c r="D312" s="694">
        <f t="shared" si="129"/>
        <v>0</v>
      </c>
      <c r="E312" s="694">
        <f t="shared" si="129"/>
        <v>0</v>
      </c>
      <c r="F312" s="694">
        <f t="shared" si="129"/>
        <v>0</v>
      </c>
      <c r="G312" s="694">
        <f t="shared" si="129"/>
        <v>0</v>
      </c>
      <c r="H312" s="694">
        <f t="shared" si="129"/>
        <v>0</v>
      </c>
      <c r="I312" s="694">
        <f t="shared" si="129"/>
        <v>0</v>
      </c>
      <c r="J312" s="694">
        <f t="shared" si="129"/>
        <v>0</v>
      </c>
      <c r="K312" s="694">
        <f t="shared" si="129"/>
        <v>0</v>
      </c>
      <c r="L312" s="694">
        <f t="shared" si="129"/>
        <v>0</v>
      </c>
      <c r="M312" s="694">
        <f t="shared" si="129"/>
        <v>0</v>
      </c>
      <c r="N312" s="694">
        <f t="shared" si="129"/>
        <v>0</v>
      </c>
      <c r="O312" s="694">
        <f t="shared" si="129"/>
        <v>0</v>
      </c>
      <c r="P312" s="694">
        <f t="shared" si="129"/>
        <v>0</v>
      </c>
      <c r="Q312" s="694">
        <f t="shared" si="129"/>
        <v>0</v>
      </c>
      <c r="R312" s="694">
        <f t="shared" si="129"/>
        <v>0</v>
      </c>
      <c r="S312" s="694">
        <f t="shared" si="129"/>
        <v>0</v>
      </c>
      <c r="T312" s="694">
        <f t="shared" si="129"/>
        <v>0</v>
      </c>
      <c r="U312" s="694">
        <f t="shared" si="129"/>
        <v>0</v>
      </c>
      <c r="V312" s="694">
        <f t="shared" si="129"/>
        <v>0</v>
      </c>
      <c r="W312" s="694">
        <f t="shared" si="129"/>
        <v>0</v>
      </c>
      <c r="X312" s="694">
        <f t="shared" si="129"/>
        <v>0</v>
      </c>
      <c r="Y312" s="694">
        <f t="shared" si="129"/>
        <v>0</v>
      </c>
      <c r="Z312" s="694">
        <f t="shared" si="129"/>
        <v>0</v>
      </c>
      <c r="AA312" s="694">
        <f t="shared" si="129"/>
        <v>0</v>
      </c>
      <c r="AB312" s="694">
        <f t="shared" si="129"/>
        <v>0</v>
      </c>
      <c r="AC312" s="694">
        <f t="shared" si="129"/>
        <v>0</v>
      </c>
      <c r="AD312" s="694">
        <f t="shared" si="129"/>
        <v>0</v>
      </c>
      <c r="AE312" s="694">
        <f t="shared" si="129"/>
        <v>0</v>
      </c>
      <c r="AF312" s="1015">
        <f t="shared" si="128"/>
        <v>0</v>
      </c>
    </row>
    <row r="313">
      <c r="A313" s="1185" t="s">
        <v>199</v>
      </c>
      <c r="B313" s="694">
        <f t="shared" ref="B313:AE313" si="130">B117-B180</f>
        <v>0</v>
      </c>
      <c r="C313" s="694">
        <f t="shared" si="130"/>
        <v>0</v>
      </c>
      <c r="D313" s="694">
        <f t="shared" si="130"/>
        <v>0</v>
      </c>
      <c r="E313" s="694">
        <f t="shared" si="130"/>
        <v>0</v>
      </c>
      <c r="F313" s="694">
        <f t="shared" si="130"/>
        <v>0</v>
      </c>
      <c r="G313" s="694">
        <f t="shared" si="130"/>
        <v>0</v>
      </c>
      <c r="H313" s="694">
        <f t="shared" si="130"/>
        <v>0</v>
      </c>
      <c r="I313" s="694">
        <f t="shared" si="130"/>
        <v>0</v>
      </c>
      <c r="J313" s="694">
        <f t="shared" si="130"/>
        <v>0</v>
      </c>
      <c r="K313" s="694">
        <f t="shared" si="130"/>
        <v>0</v>
      </c>
      <c r="L313" s="694">
        <f t="shared" si="130"/>
        <v>0</v>
      </c>
      <c r="M313" s="694">
        <f t="shared" si="130"/>
        <v>0</v>
      </c>
      <c r="N313" s="694">
        <f t="shared" si="130"/>
        <v>0</v>
      </c>
      <c r="O313" s="694">
        <f t="shared" si="130"/>
        <v>0</v>
      </c>
      <c r="P313" s="694">
        <f t="shared" si="130"/>
        <v>0</v>
      </c>
      <c r="Q313" s="694">
        <f t="shared" si="130"/>
        <v>0</v>
      </c>
      <c r="R313" s="694">
        <f t="shared" si="130"/>
        <v>0</v>
      </c>
      <c r="S313" s="694">
        <f t="shared" si="130"/>
        <v>0</v>
      </c>
      <c r="T313" s="694">
        <f t="shared" si="130"/>
        <v>0</v>
      </c>
      <c r="U313" s="694">
        <f t="shared" si="130"/>
        <v>0</v>
      </c>
      <c r="V313" s="694">
        <f t="shared" si="130"/>
        <v>0</v>
      </c>
      <c r="W313" s="694">
        <f t="shared" si="130"/>
        <v>0</v>
      </c>
      <c r="X313" s="694">
        <f t="shared" si="130"/>
        <v>0</v>
      </c>
      <c r="Y313" s="694">
        <f t="shared" si="130"/>
        <v>0</v>
      </c>
      <c r="Z313" s="694">
        <f t="shared" si="130"/>
        <v>0</v>
      </c>
      <c r="AA313" s="694">
        <f t="shared" si="130"/>
        <v>0</v>
      </c>
      <c r="AB313" s="694">
        <f t="shared" si="130"/>
        <v>0</v>
      </c>
      <c r="AC313" s="694">
        <f t="shared" si="130"/>
        <v>0</v>
      </c>
      <c r="AD313" s="694">
        <f t="shared" si="130"/>
        <v>0</v>
      </c>
      <c r="AE313" s="694">
        <f t="shared" si="130"/>
        <v>0</v>
      </c>
      <c r="AF313" s="1015">
        <f t="shared" si="128"/>
        <v>0</v>
      </c>
    </row>
    <row r="314">
      <c r="A314" s="1185" t="s">
        <v>201</v>
      </c>
      <c r="B314" s="694">
        <f t="shared" ref="B314:AE314" si="131">B118-B181</f>
        <v>0</v>
      </c>
      <c r="C314" s="694">
        <f t="shared" si="131"/>
        <v>0</v>
      </c>
      <c r="D314" s="694">
        <f t="shared" si="131"/>
        <v>0</v>
      </c>
      <c r="E314" s="694">
        <f t="shared" si="131"/>
        <v>0</v>
      </c>
      <c r="F314" s="694">
        <f t="shared" si="131"/>
        <v>0</v>
      </c>
      <c r="G314" s="694">
        <f t="shared" si="131"/>
        <v>0</v>
      </c>
      <c r="H314" s="694">
        <f t="shared" si="131"/>
        <v>0</v>
      </c>
      <c r="I314" s="694">
        <f t="shared" si="131"/>
        <v>0</v>
      </c>
      <c r="J314" s="694">
        <f t="shared" si="131"/>
        <v>0</v>
      </c>
      <c r="K314" s="694">
        <f t="shared" si="131"/>
        <v>0</v>
      </c>
      <c r="L314" s="694">
        <f t="shared" si="131"/>
        <v>0</v>
      </c>
      <c r="M314" s="694">
        <f t="shared" si="131"/>
        <v>0</v>
      </c>
      <c r="N314" s="694">
        <f t="shared" si="131"/>
        <v>0</v>
      </c>
      <c r="O314" s="694">
        <f t="shared" si="131"/>
        <v>0</v>
      </c>
      <c r="P314" s="694">
        <f t="shared" si="131"/>
        <v>0</v>
      </c>
      <c r="Q314" s="694">
        <f t="shared" si="131"/>
        <v>0</v>
      </c>
      <c r="R314" s="694">
        <f t="shared" si="131"/>
        <v>0</v>
      </c>
      <c r="S314" s="694">
        <f t="shared" si="131"/>
        <v>0</v>
      </c>
      <c r="T314" s="694">
        <f t="shared" si="131"/>
        <v>0</v>
      </c>
      <c r="U314" s="694">
        <f t="shared" si="131"/>
        <v>0</v>
      </c>
      <c r="V314" s="694">
        <f t="shared" si="131"/>
        <v>0</v>
      </c>
      <c r="W314" s="694">
        <f t="shared" si="131"/>
        <v>0</v>
      </c>
      <c r="X314" s="694">
        <f t="shared" si="131"/>
        <v>0</v>
      </c>
      <c r="Y314" s="694">
        <f t="shared" si="131"/>
        <v>0</v>
      </c>
      <c r="Z314" s="694">
        <f t="shared" si="131"/>
        <v>0</v>
      </c>
      <c r="AA314" s="694">
        <f t="shared" si="131"/>
        <v>0</v>
      </c>
      <c r="AB314" s="694">
        <f t="shared" si="131"/>
        <v>0</v>
      </c>
      <c r="AC314" s="694">
        <f t="shared" si="131"/>
        <v>0</v>
      </c>
      <c r="AD314" s="694">
        <f t="shared" si="131"/>
        <v>0</v>
      </c>
      <c r="AE314" s="694">
        <f t="shared" si="131"/>
        <v>0</v>
      </c>
      <c r="AF314" s="1015">
        <f t="shared" si="128"/>
        <v>0</v>
      </c>
    </row>
    <row r="315">
      <c r="A315" s="1545" t="s">
        <v>202</v>
      </c>
      <c r="B315" s="1223">
        <f t="shared" ref="B315:AE315" si="132">SUM(B310:B314)</f>
        <v>0</v>
      </c>
      <c r="C315" s="1197">
        <f t="shared" si="132"/>
        <v>0</v>
      </c>
      <c r="D315" s="1197">
        <f t="shared" si="132"/>
        <v>0</v>
      </c>
      <c r="E315" s="1197">
        <f t="shared" si="132"/>
        <v>0</v>
      </c>
      <c r="F315" s="1197">
        <f t="shared" si="132"/>
        <v>0</v>
      </c>
      <c r="G315" s="1197">
        <f t="shared" si="132"/>
        <v>0</v>
      </c>
      <c r="H315" s="1197">
        <f t="shared" si="132"/>
        <v>0</v>
      </c>
      <c r="I315" s="1197">
        <f t="shared" si="132"/>
        <v>0</v>
      </c>
      <c r="J315" s="1197">
        <f t="shared" si="132"/>
        <v>0</v>
      </c>
      <c r="K315" s="1197">
        <f t="shared" si="132"/>
        <v>0</v>
      </c>
      <c r="L315" s="1197">
        <f t="shared" si="132"/>
        <v>0</v>
      </c>
      <c r="M315" s="1197">
        <f t="shared" si="132"/>
        <v>0</v>
      </c>
      <c r="N315" s="1197">
        <f t="shared" si="132"/>
        <v>0</v>
      </c>
      <c r="O315" s="1197">
        <f t="shared" si="132"/>
        <v>0</v>
      </c>
      <c r="P315" s="1197">
        <f t="shared" si="132"/>
        <v>0</v>
      </c>
      <c r="Q315" s="1197">
        <f t="shared" si="132"/>
        <v>0</v>
      </c>
      <c r="R315" s="1197">
        <f t="shared" si="132"/>
        <v>0</v>
      </c>
      <c r="S315" s="1197">
        <f t="shared" si="132"/>
        <v>0</v>
      </c>
      <c r="T315" s="1197">
        <f t="shared" si="132"/>
        <v>0</v>
      </c>
      <c r="U315" s="1197">
        <f t="shared" si="132"/>
        <v>0</v>
      </c>
      <c r="V315" s="1197">
        <f t="shared" si="132"/>
        <v>0</v>
      </c>
      <c r="W315" s="1197">
        <f t="shared" si="132"/>
        <v>0</v>
      </c>
      <c r="X315" s="1197">
        <f t="shared" si="132"/>
        <v>0</v>
      </c>
      <c r="Y315" s="1197">
        <f t="shared" si="132"/>
        <v>0</v>
      </c>
      <c r="Z315" s="1197">
        <f t="shared" si="132"/>
        <v>0</v>
      </c>
      <c r="AA315" s="1197">
        <f t="shared" si="132"/>
        <v>0</v>
      </c>
      <c r="AB315" s="1197">
        <f t="shared" si="132"/>
        <v>0</v>
      </c>
      <c r="AC315" s="1197">
        <f t="shared" si="132"/>
        <v>0</v>
      </c>
      <c r="AD315" s="1197">
        <f t="shared" si="132"/>
        <v>0</v>
      </c>
      <c r="AE315" s="1197">
        <f t="shared" si="132"/>
        <v>0</v>
      </c>
      <c r="AF315" s="1015">
        <f t="shared" si="128"/>
        <v>0</v>
      </c>
    </row>
    <row r="316">
      <c r="A316" s="854"/>
      <c r="B316" s="1097"/>
      <c r="AF316" s="1015"/>
    </row>
    <row r="317">
      <c r="A317" s="854"/>
      <c r="AF317" s="700"/>
    </row>
    <row r="318">
      <c r="A318" s="901" t="s">
        <v>849</v>
      </c>
      <c r="B318" s="582"/>
      <c r="C318" s="582"/>
      <c r="D318" s="582"/>
      <c r="E318" s="582"/>
      <c r="F318" s="582"/>
      <c r="G318" s="582"/>
      <c r="H318" s="582"/>
      <c r="I318" s="582"/>
      <c r="J318" s="582"/>
      <c r="K318" s="582"/>
      <c r="L318" s="582"/>
      <c r="M318" s="582"/>
      <c r="N318" s="582"/>
      <c r="O318" s="582"/>
      <c r="P318" s="582"/>
      <c r="Q318" s="582"/>
      <c r="R318" s="582"/>
      <c r="S318" s="582"/>
      <c r="T318" s="582"/>
      <c r="U318" s="582"/>
      <c r="V318" s="582"/>
      <c r="W318" s="582"/>
      <c r="X318" s="582"/>
      <c r="Y318" s="582"/>
      <c r="Z318" s="582"/>
      <c r="AA318" s="582"/>
      <c r="AB318" s="582"/>
      <c r="AC318" s="582"/>
      <c r="AD318" s="582"/>
      <c r="AE318" s="582"/>
      <c r="AF318" s="700"/>
    </row>
    <row r="319">
      <c r="A319" s="872" t="s">
        <v>374</v>
      </c>
      <c r="B319" s="1238">
        <f t="shared" ref="B319:AE319" si="133">B13</f>
        <v>1276.67</v>
      </c>
      <c r="C319" s="1238">
        <f t="shared" si="133"/>
        <v>1876.55</v>
      </c>
      <c r="D319" s="1238">
        <f t="shared" si="133"/>
        <v>2182.61</v>
      </c>
      <c r="E319" s="1238">
        <f t="shared" si="133"/>
        <v>1886.24</v>
      </c>
      <c r="F319" s="1238">
        <f t="shared" si="133"/>
        <v>1401.31</v>
      </c>
      <c r="G319" s="1238">
        <f t="shared" si="133"/>
        <v>1491.07</v>
      </c>
      <c r="H319" s="1238">
        <f t="shared" si="133"/>
        <v>1448.93</v>
      </c>
      <c r="I319" s="1238">
        <f t="shared" si="133"/>
        <v>1479.75</v>
      </c>
      <c r="J319" s="1238">
        <f t="shared" si="133"/>
        <v>1888.27</v>
      </c>
      <c r="K319" s="1238">
        <f t="shared" si="133"/>
        <v>2296.89</v>
      </c>
      <c r="L319" s="1238">
        <f t="shared" si="133"/>
        <v>1797.51</v>
      </c>
      <c r="M319" s="1238">
        <f t="shared" si="133"/>
        <v>1678.5</v>
      </c>
      <c r="N319" s="1238">
        <f t="shared" si="133"/>
        <v>1662.46</v>
      </c>
      <c r="O319" s="1238">
        <f t="shared" si="133"/>
        <v>1696.47</v>
      </c>
      <c r="P319" s="1238">
        <f t="shared" si="133"/>
        <v>1674.55</v>
      </c>
      <c r="Q319" s="1238">
        <f t="shared" si="133"/>
        <v>2303.3</v>
      </c>
      <c r="R319" s="1238">
        <f t="shared" si="133"/>
        <v>2443.56</v>
      </c>
      <c r="S319" s="1238">
        <f t="shared" si="133"/>
        <v>2161.34</v>
      </c>
      <c r="T319" s="1238">
        <f t="shared" si="133"/>
        <v>2309.42</v>
      </c>
      <c r="U319" s="1238">
        <f t="shared" si="133"/>
        <v>2091.87</v>
      </c>
      <c r="V319" s="1238">
        <f t="shared" si="133"/>
        <v>1920.72</v>
      </c>
      <c r="W319" s="1238">
        <f t="shared" si="133"/>
        <v>1492.52</v>
      </c>
      <c r="X319" s="1238">
        <f t="shared" si="133"/>
        <v>1881.18</v>
      </c>
      <c r="Y319" s="1238">
        <f t="shared" si="133"/>
        <v>2255.79</v>
      </c>
      <c r="Z319" s="1238">
        <f t="shared" si="133"/>
        <v>1672.88</v>
      </c>
      <c r="AA319" s="1238">
        <f t="shared" si="133"/>
        <v>1771.38</v>
      </c>
      <c r="AB319" s="1238">
        <f t="shared" si="133"/>
        <v>2743.88</v>
      </c>
      <c r="AC319" s="1238">
        <f t="shared" si="133"/>
        <v>3792.92</v>
      </c>
      <c r="AD319" s="1238">
        <f t="shared" si="133"/>
        <v>2832.22</v>
      </c>
      <c r="AE319" s="1238">
        <f t="shared" si="133"/>
        <v>3932.81</v>
      </c>
      <c r="AF319" s="900">
        <f t="shared" ref="AF319:AF340" si="135">SUM(B319:AE319)</f>
        <v>61343.57</v>
      </c>
    </row>
    <row r="320">
      <c r="A320" s="872" t="s">
        <v>545</v>
      </c>
      <c r="B320" s="70">
        <f t="shared" ref="B320:AE320" si="134">B14+B15</f>
        <v>306.9</v>
      </c>
      <c r="C320" s="70">
        <f t="shared" si="134"/>
        <v>251.1</v>
      </c>
      <c r="D320" s="70">
        <f t="shared" si="134"/>
        <v>418.5</v>
      </c>
      <c r="E320" s="70">
        <f t="shared" si="134"/>
        <v>558</v>
      </c>
      <c r="F320" s="70">
        <f t="shared" si="134"/>
        <v>558</v>
      </c>
      <c r="G320" s="70">
        <f t="shared" si="134"/>
        <v>446.4</v>
      </c>
      <c r="H320" s="70">
        <f t="shared" si="134"/>
        <v>362.7</v>
      </c>
      <c r="I320" s="70">
        <f t="shared" si="134"/>
        <v>279</v>
      </c>
      <c r="J320" s="70">
        <f t="shared" si="134"/>
        <v>697.5</v>
      </c>
      <c r="K320" s="70">
        <f t="shared" si="134"/>
        <v>613.8</v>
      </c>
      <c r="L320" s="70">
        <f t="shared" si="134"/>
        <v>613.8</v>
      </c>
      <c r="M320" s="70">
        <f t="shared" si="134"/>
        <v>669.6</v>
      </c>
      <c r="N320" s="70">
        <f t="shared" si="134"/>
        <v>753.3</v>
      </c>
      <c r="O320" s="70">
        <f t="shared" si="134"/>
        <v>837</v>
      </c>
      <c r="P320" s="70">
        <f t="shared" si="134"/>
        <v>418.5</v>
      </c>
      <c r="Q320" s="70">
        <f t="shared" si="134"/>
        <v>585.9</v>
      </c>
      <c r="R320" s="70">
        <f t="shared" si="134"/>
        <v>725.4</v>
      </c>
      <c r="S320" s="70">
        <f t="shared" si="134"/>
        <v>697.5</v>
      </c>
      <c r="T320" s="70">
        <f t="shared" si="134"/>
        <v>1311.3</v>
      </c>
      <c r="U320" s="70">
        <f t="shared" si="134"/>
        <v>892.8</v>
      </c>
      <c r="V320" s="70">
        <f t="shared" si="134"/>
        <v>864.9</v>
      </c>
      <c r="W320" s="70">
        <f t="shared" si="134"/>
        <v>1088.1</v>
      </c>
      <c r="X320" s="70">
        <f t="shared" si="134"/>
        <v>558</v>
      </c>
      <c r="Y320" s="70">
        <f t="shared" si="134"/>
        <v>1060.2</v>
      </c>
      <c r="Z320" s="70">
        <f t="shared" si="134"/>
        <v>892.8</v>
      </c>
      <c r="AA320" s="70">
        <f t="shared" si="134"/>
        <v>1088.1</v>
      </c>
      <c r="AB320" s="70">
        <f t="shared" si="134"/>
        <v>781.2</v>
      </c>
      <c r="AC320" s="70">
        <f t="shared" si="134"/>
        <v>1116</v>
      </c>
      <c r="AD320" s="70">
        <f t="shared" si="134"/>
        <v>976.5</v>
      </c>
      <c r="AE320" s="70">
        <f t="shared" si="134"/>
        <v>725.4</v>
      </c>
      <c r="AF320" s="900">
        <f t="shared" si="135"/>
        <v>21148.2</v>
      </c>
    </row>
    <row r="321">
      <c r="A321" s="1257" t="s">
        <v>1110</v>
      </c>
      <c r="B321" s="70">
        <f>B78*'OLD  Formulas'!$C$3</f>
        <v>0</v>
      </c>
      <c r="C321" s="70">
        <f>C78*'OLD  Formulas'!$C$3</f>
        <v>0</v>
      </c>
      <c r="D321" s="70">
        <f>D78*'OLD  Formulas'!$C$3</f>
        <v>0</v>
      </c>
      <c r="E321" s="70">
        <f>E78*'OLD  Formulas'!$C$3</f>
        <v>0</v>
      </c>
      <c r="F321" s="70">
        <f>F78*'OLD  Formulas'!$C$3</f>
        <v>0</v>
      </c>
      <c r="G321" s="70">
        <f>G78*'OLD  Formulas'!$C$3</f>
        <v>0</v>
      </c>
      <c r="H321" s="70">
        <f>H78*'OLD  Formulas'!$C$3</f>
        <v>0</v>
      </c>
      <c r="I321" s="70">
        <f>I78*'OLD  Formulas'!$C$3</f>
        <v>0</v>
      </c>
      <c r="J321" s="70">
        <f>J78*'OLD  Formulas'!$C$3</f>
        <v>0</v>
      </c>
      <c r="K321" s="70">
        <f>K78*'OLD  Formulas'!$C$3</f>
        <v>0</v>
      </c>
      <c r="L321" s="70">
        <f>L78*'OLD  Formulas'!$C$3</f>
        <v>0</v>
      </c>
      <c r="M321" s="70">
        <f>M78*'OLD  Formulas'!$C$3</f>
        <v>0</v>
      </c>
      <c r="N321" s="70">
        <f>N78*'OLD  Formulas'!$C$3</f>
        <v>0</v>
      </c>
      <c r="O321" s="70">
        <f>O78*'OLD  Formulas'!$C$3</f>
        <v>0</v>
      </c>
      <c r="P321" s="70">
        <f>P78*'OLD  Formulas'!$C$3</f>
        <v>0</v>
      </c>
      <c r="Q321" s="70">
        <f>Q78*'OLD  Formulas'!$C$3</f>
        <v>0</v>
      </c>
      <c r="R321" s="70">
        <f>R78*'OLD  Formulas'!$C$3</f>
        <v>0</v>
      </c>
      <c r="S321" s="70">
        <f>S78*'OLD  Formulas'!$C$3</f>
        <v>0</v>
      </c>
      <c r="T321" s="70">
        <f>T78*'OLD  Formulas'!$C$3</f>
        <v>0</v>
      </c>
      <c r="U321" s="70">
        <f>U78*'OLD  Formulas'!$C$3</f>
        <v>0</v>
      </c>
      <c r="V321" s="70">
        <f>V78*'OLD  Formulas'!$C$3</f>
        <v>0</v>
      </c>
      <c r="W321" s="70">
        <f>W78*'OLD  Formulas'!$C$3</f>
        <v>0</v>
      </c>
      <c r="X321" s="70">
        <f>X78*'OLD  Formulas'!$C$3</f>
        <v>0</v>
      </c>
      <c r="Y321" s="70">
        <f>Y78*'OLD  Formulas'!$C$3</f>
        <v>0</v>
      </c>
      <c r="Z321" s="70">
        <f>Z78*'OLD  Formulas'!$C$3</f>
        <v>0</v>
      </c>
      <c r="AA321" s="70">
        <f>AA78*'OLD  Formulas'!$C$3</f>
        <v>0</v>
      </c>
      <c r="AB321" s="70">
        <f>AB78*'OLD  Formulas'!$C$3</f>
        <v>0</v>
      </c>
      <c r="AC321" s="70">
        <f>AC78*'OLD  Formulas'!$C$3</f>
        <v>0</v>
      </c>
      <c r="AD321" s="70">
        <f>AD78*'OLD  Formulas'!$C$3</f>
        <v>0</v>
      </c>
      <c r="AE321" s="70">
        <f>AE78*'OLD  Formulas'!$C$3</f>
        <v>0</v>
      </c>
      <c r="AF321" s="900">
        <f t="shared" si="135"/>
        <v>0</v>
      </c>
    </row>
    <row r="322">
      <c r="A322" s="1260" t="s">
        <v>1112</v>
      </c>
      <c r="B322" s="70">
        <f>(B321)*'OLD  Formulas'!$L$5</f>
        <v>0</v>
      </c>
      <c r="C322" s="70">
        <f>(C321)*'OLD  Formulas'!$L$5</f>
        <v>0</v>
      </c>
      <c r="D322" s="70">
        <f>(D321)*'OLD  Formulas'!$L$5</f>
        <v>0</v>
      </c>
      <c r="E322" s="70">
        <f>(E321)*'OLD  Formulas'!$L$5</f>
        <v>0</v>
      </c>
      <c r="F322" s="70">
        <f>(F321)*'OLD  Formulas'!$L$5</f>
        <v>0</v>
      </c>
      <c r="G322" s="70">
        <f>(G321)*'OLD  Formulas'!$L$5</f>
        <v>0</v>
      </c>
      <c r="H322" s="70">
        <f>(H321)*'OLD  Formulas'!$L$5</f>
        <v>0</v>
      </c>
      <c r="I322" s="70">
        <f>(I321)*'OLD  Formulas'!$L$5</f>
        <v>0</v>
      </c>
      <c r="J322" s="70">
        <f>(J321)*'OLD  Formulas'!$L$5</f>
        <v>0</v>
      </c>
      <c r="K322" s="70">
        <f>(K321)*'OLD  Formulas'!$L$5</f>
        <v>0</v>
      </c>
      <c r="L322" s="70">
        <f>(L321)*'OLD  Formulas'!$L$5</f>
        <v>0</v>
      </c>
      <c r="M322" s="70">
        <f>(M321)*'OLD  Formulas'!$L$5</f>
        <v>0</v>
      </c>
      <c r="N322" s="70">
        <f>(N321)*'OLD  Formulas'!$L$5</f>
        <v>0</v>
      </c>
      <c r="O322" s="70">
        <f>(O321)*'OLD  Formulas'!$L$5</f>
        <v>0</v>
      </c>
      <c r="P322" s="70">
        <f>(P321)*'OLD  Formulas'!$L$5</f>
        <v>0</v>
      </c>
      <c r="Q322" s="70">
        <f>(Q321)*'OLD  Formulas'!$L$5</f>
        <v>0</v>
      </c>
      <c r="R322" s="70">
        <f>(R321)*'OLD  Formulas'!$L$5</f>
        <v>0</v>
      </c>
      <c r="S322" s="70">
        <f>(S321)*'OLD  Formulas'!$L$5</f>
        <v>0</v>
      </c>
      <c r="T322" s="70">
        <f>(T321)*'OLD  Formulas'!$L$5</f>
        <v>0</v>
      </c>
      <c r="U322" s="70">
        <f>(U321)*'OLD  Formulas'!$L$5</f>
        <v>0</v>
      </c>
      <c r="V322" s="70">
        <f>(V321)*'OLD  Formulas'!$L$5</f>
        <v>0</v>
      </c>
      <c r="W322" s="70">
        <f>(W321)*'OLD  Formulas'!$L$5</f>
        <v>0</v>
      </c>
      <c r="X322" s="70">
        <f>(X321)*'OLD  Formulas'!$L$5</f>
        <v>0</v>
      </c>
      <c r="Y322" s="70">
        <f>(Y321)*'OLD  Formulas'!$L$5</f>
        <v>0</v>
      </c>
      <c r="Z322" s="70">
        <f>(Z321)*'OLD  Formulas'!$L$5</f>
        <v>0</v>
      </c>
      <c r="AA322" s="70">
        <f>(AA321)*'OLD  Formulas'!$L$5</f>
        <v>0</v>
      </c>
      <c r="AB322" s="70">
        <f>(AB321)*'OLD  Formulas'!$L$5</f>
        <v>0</v>
      </c>
      <c r="AC322" s="70">
        <f>(AC321)*'OLD  Formulas'!$L$5</f>
        <v>0</v>
      </c>
      <c r="AD322" s="70">
        <f>(AD321)*'OLD  Formulas'!$L$5</f>
        <v>0</v>
      </c>
      <c r="AE322" s="70">
        <f>(AE321)*'OLD  Formulas'!$L$5</f>
        <v>0</v>
      </c>
      <c r="AF322" s="900">
        <f t="shared" si="135"/>
        <v>0</v>
      </c>
    </row>
    <row r="323">
      <c r="A323" s="1257" t="s">
        <v>1113</v>
      </c>
      <c r="B323" s="70">
        <f>B79*'OLD  Formulas'!$C$4</f>
        <v>1093.68</v>
      </c>
      <c r="C323" s="70">
        <f>C79*'OLD  Formulas'!$C$4</f>
        <v>455.7</v>
      </c>
      <c r="D323" s="70">
        <f>D79*'OLD  Formulas'!$C$4</f>
        <v>1731.66</v>
      </c>
      <c r="E323" s="70">
        <f>E79*'OLD  Formulas'!$C$4</f>
        <v>2096.22</v>
      </c>
      <c r="F323" s="70">
        <f>F79*'OLD  Formulas'!$C$4</f>
        <v>1458.24</v>
      </c>
      <c r="G323" s="70">
        <f>G79*'OLD  Formulas'!$C$4</f>
        <v>1549.38</v>
      </c>
      <c r="H323" s="70">
        <f>H79*'OLD  Formulas'!$C$4</f>
        <v>911.4</v>
      </c>
      <c r="I323" s="70">
        <f>I79*'OLD  Formulas'!$C$4</f>
        <v>911.4</v>
      </c>
      <c r="J323" s="70">
        <f>J79*'OLD  Formulas'!$C$4</f>
        <v>2369.64</v>
      </c>
      <c r="K323" s="70">
        <f>K79*'OLD  Formulas'!$C$4</f>
        <v>1640.52</v>
      </c>
      <c r="L323" s="70">
        <f>L79*'OLD  Formulas'!$C$4</f>
        <v>1913.94</v>
      </c>
      <c r="M323" s="70">
        <f>M79*'OLD  Formulas'!$C$4</f>
        <v>2278.5</v>
      </c>
      <c r="N323" s="70">
        <f>N79*'OLD  Formulas'!$C$4</f>
        <v>2278.5</v>
      </c>
      <c r="O323" s="70">
        <f>O79*'OLD  Formulas'!$C$4</f>
        <v>2369.64</v>
      </c>
      <c r="P323" s="70">
        <f>P79*'OLD  Formulas'!$C$4</f>
        <v>1184.82</v>
      </c>
      <c r="Q323" s="70">
        <f>Q79*'OLD  Formulas'!$C$4</f>
        <v>2005.08</v>
      </c>
      <c r="R323" s="70">
        <f>R79*'OLD  Formulas'!$C$4</f>
        <v>2187.36</v>
      </c>
      <c r="S323" s="70">
        <f>S79*'OLD  Formulas'!$C$4</f>
        <v>2369.64</v>
      </c>
      <c r="T323" s="70">
        <f>T79*'OLD  Formulas'!$C$4</f>
        <v>3372.18</v>
      </c>
      <c r="U323" s="70">
        <f>U79*'OLD  Formulas'!$C$4</f>
        <v>3007.62</v>
      </c>
      <c r="V323" s="70">
        <f>V79*'OLD  Formulas'!$C$4</f>
        <v>3098.76</v>
      </c>
      <c r="W323" s="70">
        <f>W79*'OLD  Formulas'!$C$4</f>
        <v>2643.06</v>
      </c>
      <c r="X323" s="70">
        <f>X79*'OLD  Formulas'!$C$4</f>
        <v>2369.64</v>
      </c>
      <c r="Y323" s="70">
        <f>Y79*'OLD  Formulas'!$C$4</f>
        <v>2916.48</v>
      </c>
      <c r="Z323" s="70">
        <f>Z79*'OLD  Formulas'!$C$4</f>
        <v>2734.2</v>
      </c>
      <c r="AA323" s="70">
        <f>AA79*'OLD  Formulas'!$C$4</f>
        <v>3372.18</v>
      </c>
      <c r="AB323" s="70">
        <f>AB79*'OLD  Formulas'!$C$4</f>
        <v>2551.92</v>
      </c>
      <c r="AC323" s="70">
        <f>AC79*'OLD  Formulas'!$C$4</f>
        <v>3645.6</v>
      </c>
      <c r="AD323" s="70">
        <f>AD79*'OLD  Formulas'!$C$4</f>
        <v>2825.34</v>
      </c>
      <c r="AE323" s="70">
        <f>AE79*'OLD  Formulas'!$C$4</f>
        <v>2734.2</v>
      </c>
      <c r="AF323" s="900">
        <f t="shared" si="135"/>
        <v>66076.5</v>
      </c>
    </row>
    <row r="324">
      <c r="A324" s="1260" t="s">
        <v>1114</v>
      </c>
      <c r="B324" s="70">
        <f>(B323)*'OLD  Formulas'!$L$5</f>
        <v>82.026</v>
      </c>
      <c r="C324" s="70">
        <f>(C323)*'OLD  Formulas'!$L$5</f>
        <v>34.1775</v>
      </c>
      <c r="D324" s="70">
        <f>(D323)*'OLD  Formulas'!$L$5</f>
        <v>129.8745</v>
      </c>
      <c r="E324" s="70">
        <f>(E323)*'OLD  Formulas'!$L$5</f>
        <v>157.2165</v>
      </c>
      <c r="F324" s="70">
        <f>(F323)*'OLD  Formulas'!$L$5</f>
        <v>109.368</v>
      </c>
      <c r="G324" s="70">
        <f>(G323)*'OLD  Formulas'!$L$5</f>
        <v>116.2035</v>
      </c>
      <c r="H324" s="70">
        <f>(H323)*'OLD  Formulas'!$L$5</f>
        <v>68.355</v>
      </c>
      <c r="I324" s="70">
        <f>(I323)*'OLD  Formulas'!$L$5</f>
        <v>68.355</v>
      </c>
      <c r="J324" s="70">
        <f>(J323)*'OLD  Formulas'!$L$5</f>
        <v>177.723</v>
      </c>
      <c r="K324" s="70">
        <f>(K323)*'OLD  Formulas'!$L$5</f>
        <v>123.039</v>
      </c>
      <c r="L324" s="70">
        <f>(L323)*'OLD  Formulas'!$L$5</f>
        <v>143.5455</v>
      </c>
      <c r="M324" s="70">
        <f>(M323)*'OLD  Formulas'!$L$5</f>
        <v>170.8875</v>
      </c>
      <c r="N324" s="70">
        <f>(N323)*'OLD  Formulas'!$L$5</f>
        <v>170.8875</v>
      </c>
      <c r="O324" s="70">
        <f>(O323)*'OLD  Formulas'!$L$5</f>
        <v>177.723</v>
      </c>
      <c r="P324" s="70">
        <f>(P323)*'OLD  Formulas'!$L$5</f>
        <v>88.8615</v>
      </c>
      <c r="Q324" s="70">
        <f>(Q323)*'OLD  Formulas'!$L$5</f>
        <v>150.381</v>
      </c>
      <c r="R324" s="70">
        <f>(R323)*'OLD  Formulas'!$L$5</f>
        <v>164.052</v>
      </c>
      <c r="S324" s="70">
        <f>(S323)*'OLD  Formulas'!$L$5</f>
        <v>177.723</v>
      </c>
      <c r="T324" s="70">
        <f>(T323)*'OLD  Formulas'!$L$5</f>
        <v>252.9135</v>
      </c>
      <c r="U324" s="70">
        <f>(U323)*'OLD  Formulas'!$L$5</f>
        <v>225.5715</v>
      </c>
      <c r="V324" s="70">
        <f>(V323)*'OLD  Formulas'!$L$5</f>
        <v>232.407</v>
      </c>
      <c r="W324" s="70">
        <f>(W323)*'OLD  Formulas'!$L$5</f>
        <v>198.2295</v>
      </c>
      <c r="X324" s="70">
        <f>(X323)*'OLD  Formulas'!$L$5</f>
        <v>177.723</v>
      </c>
      <c r="Y324" s="70">
        <f>(Y323)*'OLD  Formulas'!$L$5</f>
        <v>218.736</v>
      </c>
      <c r="Z324" s="70">
        <f>(Z323)*'OLD  Formulas'!$L$5</f>
        <v>205.065</v>
      </c>
      <c r="AA324" s="70">
        <f>(AA323)*'OLD  Formulas'!$L$5</f>
        <v>252.9135</v>
      </c>
      <c r="AB324" s="70">
        <f>(AB323)*'OLD  Formulas'!$L$5</f>
        <v>191.394</v>
      </c>
      <c r="AC324" s="70">
        <f>(AC323)*'OLD  Formulas'!$L$5</f>
        <v>273.42</v>
      </c>
      <c r="AD324" s="70">
        <f>(AD323)*'OLD  Formulas'!$L$5</f>
        <v>211.9005</v>
      </c>
      <c r="AE324" s="70">
        <f>(AE323)*'OLD  Formulas'!$L$5</f>
        <v>205.065</v>
      </c>
      <c r="AF324" s="900">
        <f t="shared" si="135"/>
        <v>4955.7375</v>
      </c>
    </row>
    <row r="325">
      <c r="A325" s="1257" t="s">
        <v>1115</v>
      </c>
      <c r="B325" s="70">
        <f>B83*'OLD  Formulas'!$C$7</f>
        <v>0</v>
      </c>
      <c r="C325" s="70">
        <f>C83*'OLD  Formulas'!$C$7</f>
        <v>0</v>
      </c>
      <c r="D325" s="70">
        <f>D83*'OLD  Formulas'!$C$7</f>
        <v>0</v>
      </c>
      <c r="E325" s="70">
        <f>E83*'OLD  Formulas'!$C$7</f>
        <v>0</v>
      </c>
      <c r="F325" s="70">
        <f>F83*'OLD  Formulas'!$C$7</f>
        <v>0</v>
      </c>
      <c r="G325" s="70">
        <f>G83*'OLD  Formulas'!$C$7</f>
        <v>0</v>
      </c>
      <c r="H325" s="70">
        <f>H83*'OLD  Formulas'!$C$7</f>
        <v>0</v>
      </c>
      <c r="I325" s="70">
        <f>I83*'OLD  Formulas'!$C$7</f>
        <v>0</v>
      </c>
      <c r="J325" s="70">
        <f>J83*'OLD  Formulas'!$C$7</f>
        <v>0</v>
      </c>
      <c r="K325" s="70">
        <f>K83*'OLD  Formulas'!$C$7</f>
        <v>0</v>
      </c>
      <c r="L325" s="70">
        <f>L83*'OLD  Formulas'!$C$7</f>
        <v>0</v>
      </c>
      <c r="M325" s="70">
        <f>M83*'OLD  Formulas'!$C$7</f>
        <v>0</v>
      </c>
      <c r="N325" s="70">
        <f>N83*'OLD  Formulas'!$C$7</f>
        <v>0</v>
      </c>
      <c r="O325" s="70">
        <f>O83*'OLD  Formulas'!$C$7</f>
        <v>0</v>
      </c>
      <c r="P325" s="70">
        <f>P83*'OLD  Formulas'!$C$7</f>
        <v>0</v>
      </c>
      <c r="Q325" s="70">
        <f>Q83*'OLD  Formulas'!$C$7</f>
        <v>0</v>
      </c>
      <c r="R325" s="70">
        <f>R83*'OLD  Formulas'!$C$7</f>
        <v>0</v>
      </c>
      <c r="S325" s="70">
        <f>S83*'OLD  Formulas'!$C$7</f>
        <v>0</v>
      </c>
      <c r="T325" s="70">
        <f>T83*'OLD  Formulas'!$C$7</f>
        <v>0</v>
      </c>
      <c r="U325" s="70">
        <f>U83*'OLD  Formulas'!$C$7</f>
        <v>0</v>
      </c>
      <c r="V325" s="70">
        <f>V83*'OLD  Formulas'!$C$7</f>
        <v>0</v>
      </c>
      <c r="W325" s="70">
        <f>W83*'OLD  Formulas'!$C$7</f>
        <v>0</v>
      </c>
      <c r="X325" s="70">
        <f>X83*'OLD  Formulas'!$C$7</f>
        <v>0</v>
      </c>
      <c r="Y325" s="70">
        <f>Y83*'OLD  Formulas'!$C$7</f>
        <v>0</v>
      </c>
      <c r="Z325" s="70">
        <f>Z83*'OLD  Formulas'!$C$7</f>
        <v>0</v>
      </c>
      <c r="AA325" s="70">
        <f>AA83*'OLD  Formulas'!$C$7</f>
        <v>0</v>
      </c>
      <c r="AB325" s="70">
        <f>AB83*'OLD  Formulas'!$C$7</f>
        <v>0</v>
      </c>
      <c r="AC325" s="70">
        <f>AC83*'OLD  Formulas'!$C$7</f>
        <v>0</v>
      </c>
      <c r="AD325" s="70">
        <f>AD83*'OLD  Formulas'!$C$7</f>
        <v>0</v>
      </c>
      <c r="AE325" s="70">
        <f>AE83*'OLD  Formulas'!$C$7</f>
        <v>0</v>
      </c>
      <c r="AF325" s="900">
        <f t="shared" si="135"/>
        <v>0</v>
      </c>
    </row>
    <row r="326">
      <c r="A326" s="1260" t="s">
        <v>1116</v>
      </c>
      <c r="B326" s="70">
        <f>B325*'OLD  Formulas'!$L$5</f>
        <v>0</v>
      </c>
      <c r="C326" s="70">
        <f>C325*'OLD  Formulas'!$L$5</f>
        <v>0</v>
      </c>
      <c r="D326" s="70">
        <f>D325*'OLD  Formulas'!$L$5</f>
        <v>0</v>
      </c>
      <c r="E326" s="70">
        <f>E325*'OLD  Formulas'!$L$5</f>
        <v>0</v>
      </c>
      <c r="F326" s="70">
        <f>F325*'OLD  Formulas'!$L$5</f>
        <v>0</v>
      </c>
      <c r="G326" s="70">
        <f>G325*'OLD  Formulas'!$L$5</f>
        <v>0</v>
      </c>
      <c r="H326" s="70">
        <f>H325*'OLD  Formulas'!$L$5</f>
        <v>0</v>
      </c>
      <c r="I326" s="70">
        <f>I325*'OLD  Formulas'!$L$5</f>
        <v>0</v>
      </c>
      <c r="J326" s="70">
        <f>J325*'OLD  Formulas'!$L$5</f>
        <v>0</v>
      </c>
      <c r="K326" s="70">
        <f>K325*'OLD  Formulas'!$L$5</f>
        <v>0</v>
      </c>
      <c r="L326" s="70">
        <f>L325*'OLD  Formulas'!$L$5</f>
        <v>0</v>
      </c>
      <c r="M326" s="70">
        <f>M325*'OLD  Formulas'!$L$5</f>
        <v>0</v>
      </c>
      <c r="N326" s="70">
        <f>N325*'OLD  Formulas'!$L$5</f>
        <v>0</v>
      </c>
      <c r="O326" s="70">
        <f>O325*'OLD  Formulas'!$L$5</f>
        <v>0</v>
      </c>
      <c r="P326" s="70">
        <f>P325*'OLD  Formulas'!$L$5</f>
        <v>0</v>
      </c>
      <c r="Q326" s="70">
        <f>Q325*'OLD  Formulas'!$L$5</f>
        <v>0</v>
      </c>
      <c r="R326" s="70">
        <f>R325*'OLD  Formulas'!$L$5</f>
        <v>0</v>
      </c>
      <c r="S326" s="70">
        <f>S325*'OLD  Formulas'!$L$5</f>
        <v>0</v>
      </c>
      <c r="T326" s="70">
        <f>T325*'OLD  Formulas'!$L$5</f>
        <v>0</v>
      </c>
      <c r="U326" s="70">
        <f>U325*'OLD  Formulas'!$L$5</f>
        <v>0</v>
      </c>
      <c r="V326" s="70">
        <f>V325*'OLD  Formulas'!$L$5</f>
        <v>0</v>
      </c>
      <c r="W326" s="70">
        <f>W325*'OLD  Formulas'!$L$5</f>
        <v>0</v>
      </c>
      <c r="X326" s="70">
        <f>X325*'OLD  Formulas'!$L$5</f>
        <v>0</v>
      </c>
      <c r="Y326" s="70">
        <f>Y325*'OLD  Formulas'!$L$5</f>
        <v>0</v>
      </c>
      <c r="Z326" s="70">
        <f>Z325*'OLD  Formulas'!$L$5</f>
        <v>0</v>
      </c>
      <c r="AA326" s="70">
        <f>AA325*'OLD  Formulas'!$L$5</f>
        <v>0</v>
      </c>
      <c r="AB326" s="70">
        <f>AB325*'OLD  Formulas'!$L$5</f>
        <v>0</v>
      </c>
      <c r="AC326" s="70">
        <f>AC325*'OLD  Formulas'!$L$5</f>
        <v>0</v>
      </c>
      <c r="AD326" s="70">
        <f>AD325*'OLD  Formulas'!$L$5</f>
        <v>0</v>
      </c>
      <c r="AE326" s="70">
        <f>AE325*'OLD  Formulas'!$L$5</f>
        <v>0</v>
      </c>
      <c r="AF326" s="900">
        <f t="shared" si="135"/>
        <v>0</v>
      </c>
    </row>
    <row r="327">
      <c r="A327" s="1260" t="s">
        <v>1117</v>
      </c>
      <c r="B327" s="70">
        <f>B325*'OLD  Formulas'!$L$4</f>
        <v>0</v>
      </c>
      <c r="C327" s="70">
        <f>C325*'OLD  Formulas'!$L$4</f>
        <v>0</v>
      </c>
      <c r="D327" s="70">
        <f>D325*'OLD  Formulas'!$L$4</f>
        <v>0</v>
      </c>
      <c r="E327" s="70">
        <f>E325*'OLD  Formulas'!$L$4</f>
        <v>0</v>
      </c>
      <c r="F327" s="70">
        <f>F325*'OLD  Formulas'!$L$4</f>
        <v>0</v>
      </c>
      <c r="G327" s="70">
        <f>G325*'OLD  Formulas'!$L$4</f>
        <v>0</v>
      </c>
      <c r="H327" s="70">
        <f>H325*'OLD  Formulas'!$L$4</f>
        <v>0</v>
      </c>
      <c r="I327" s="70">
        <f>I325*'OLD  Formulas'!$L$4</f>
        <v>0</v>
      </c>
      <c r="J327" s="70">
        <f>J325*'OLD  Formulas'!$L$4</f>
        <v>0</v>
      </c>
      <c r="K327" s="70">
        <f>K325*'OLD  Formulas'!$L$4</f>
        <v>0</v>
      </c>
      <c r="L327" s="70">
        <f>L325*'OLD  Formulas'!$L$4</f>
        <v>0</v>
      </c>
      <c r="M327" s="70">
        <f>M325*'OLD  Formulas'!$L$4</f>
        <v>0</v>
      </c>
      <c r="N327" s="70">
        <f>N325*'OLD  Formulas'!$L$4</f>
        <v>0</v>
      </c>
      <c r="O327" s="70">
        <f>O325*'OLD  Formulas'!$L$4</f>
        <v>0</v>
      </c>
      <c r="P327" s="70">
        <f>P325*'OLD  Formulas'!$L$4</f>
        <v>0</v>
      </c>
      <c r="Q327" s="70">
        <f>Q325*'OLD  Formulas'!$L$4</f>
        <v>0</v>
      </c>
      <c r="R327" s="70">
        <f>R325*'OLD  Formulas'!$L$4</f>
        <v>0</v>
      </c>
      <c r="S327" s="70">
        <f>S325*'OLD  Formulas'!$L$4</f>
        <v>0</v>
      </c>
      <c r="T327" s="70">
        <f>T325*'OLD  Formulas'!$L$4</f>
        <v>0</v>
      </c>
      <c r="U327" s="70">
        <f>U325*'OLD  Formulas'!$L$4</f>
        <v>0</v>
      </c>
      <c r="V327" s="70">
        <f>V325*'OLD  Formulas'!$L$4</f>
        <v>0</v>
      </c>
      <c r="W327" s="70">
        <f>W325*'OLD  Formulas'!$L$4</f>
        <v>0</v>
      </c>
      <c r="X327" s="70">
        <f>X325*'OLD  Formulas'!$L$4</f>
        <v>0</v>
      </c>
      <c r="Y327" s="70">
        <f>Y325*'OLD  Formulas'!$L$4</f>
        <v>0</v>
      </c>
      <c r="Z327" s="70">
        <f>Z325*'OLD  Formulas'!$L$4</f>
        <v>0</v>
      </c>
      <c r="AA327" s="70">
        <f>AA325*'OLD  Formulas'!$L$4</f>
        <v>0</v>
      </c>
      <c r="AB327" s="70">
        <f>AB325*'OLD  Formulas'!$L$4</f>
        <v>0</v>
      </c>
      <c r="AC327" s="70">
        <f>AC325*'OLD  Formulas'!$L$4</f>
        <v>0</v>
      </c>
      <c r="AD327" s="70">
        <f>AD325*'OLD  Formulas'!$L$4</f>
        <v>0</v>
      </c>
      <c r="AE327" s="70">
        <f>AE325*'OLD  Formulas'!$L$4</f>
        <v>0</v>
      </c>
      <c r="AF327" s="900">
        <f t="shared" si="135"/>
        <v>0</v>
      </c>
    </row>
    <row r="328">
      <c r="A328" s="1257" t="s">
        <v>1118</v>
      </c>
      <c r="B328" s="70">
        <f>B82*'OLD  Formulas'!$C$6</f>
        <v>0</v>
      </c>
      <c r="C328" s="70">
        <f>C82*'OLD  Formulas'!$C$6</f>
        <v>0</v>
      </c>
      <c r="D328" s="70">
        <f>D82*'OLD  Formulas'!$C$6</f>
        <v>0</v>
      </c>
      <c r="E328" s="70">
        <f>E82*'OLD  Formulas'!$C$6</f>
        <v>0</v>
      </c>
      <c r="F328" s="70">
        <f>F82*'OLD  Formulas'!$C$6</f>
        <v>0</v>
      </c>
      <c r="G328" s="70">
        <f>G82*'OLD  Formulas'!$C$6</f>
        <v>0</v>
      </c>
      <c r="H328" s="70">
        <f>H82*'OLD  Formulas'!$C$6</f>
        <v>0</v>
      </c>
      <c r="I328" s="70">
        <f>I82*'OLD  Formulas'!$C$6</f>
        <v>0</v>
      </c>
      <c r="J328" s="70">
        <f>J82*'OLD  Formulas'!$C$6</f>
        <v>0</v>
      </c>
      <c r="K328" s="70">
        <f>K82*'OLD  Formulas'!$C$6</f>
        <v>0</v>
      </c>
      <c r="L328" s="70">
        <f>L82*'OLD  Formulas'!$C$6</f>
        <v>0</v>
      </c>
      <c r="M328" s="70">
        <f>M82*'OLD  Formulas'!$C$6</f>
        <v>0</v>
      </c>
      <c r="N328" s="70">
        <f>N82*'OLD  Formulas'!$C$6</f>
        <v>0</v>
      </c>
      <c r="O328" s="70">
        <f>O82*'OLD  Formulas'!$C$6</f>
        <v>0</v>
      </c>
      <c r="P328" s="70">
        <f>P82*'OLD  Formulas'!$C$6</f>
        <v>0</v>
      </c>
      <c r="Q328" s="70">
        <f>Q82*'OLD  Formulas'!$C$6</f>
        <v>0</v>
      </c>
      <c r="R328" s="70">
        <f>R82*'OLD  Formulas'!$C$6</f>
        <v>0</v>
      </c>
      <c r="S328" s="70">
        <f>S82*'OLD  Formulas'!$C$6</f>
        <v>0</v>
      </c>
      <c r="T328" s="70">
        <f>T82*'OLD  Formulas'!$C$6</f>
        <v>0</v>
      </c>
      <c r="U328" s="70">
        <f>U82*'OLD  Formulas'!$C$6</f>
        <v>0</v>
      </c>
      <c r="V328" s="70">
        <f>V82*'OLD  Formulas'!$C$6</f>
        <v>0</v>
      </c>
      <c r="W328" s="70">
        <f>W82*'OLD  Formulas'!$C$6</f>
        <v>0</v>
      </c>
      <c r="X328" s="70">
        <f>X82*'OLD  Formulas'!$C$6</f>
        <v>0</v>
      </c>
      <c r="Y328" s="70">
        <f>Y82*'OLD  Formulas'!$C$6</f>
        <v>0</v>
      </c>
      <c r="Z328" s="70">
        <f>Z82*'OLD  Formulas'!$C$6</f>
        <v>0</v>
      </c>
      <c r="AA328" s="70">
        <f>AA82*'OLD  Formulas'!$C$6</f>
        <v>0</v>
      </c>
      <c r="AB328" s="70">
        <f>AB82*'OLD  Formulas'!$C$6</f>
        <v>0</v>
      </c>
      <c r="AC328" s="70">
        <f>AC82*'OLD  Formulas'!$C$6</f>
        <v>0</v>
      </c>
      <c r="AD328" s="70">
        <f>AD82*'OLD  Formulas'!$C$6</f>
        <v>0</v>
      </c>
      <c r="AE328" s="70">
        <f>AE82*'OLD  Formulas'!$C$6</f>
        <v>0</v>
      </c>
      <c r="AF328" s="900">
        <f t="shared" si="135"/>
        <v>0</v>
      </c>
    </row>
    <row r="329">
      <c r="A329" s="1260" t="s">
        <v>1119</v>
      </c>
      <c r="B329" s="70">
        <f>B328*'OLD  Formulas'!$L$5</f>
        <v>0</v>
      </c>
      <c r="C329" s="70">
        <f>C328*'OLD  Formulas'!$L$5</f>
        <v>0</v>
      </c>
      <c r="D329" s="70">
        <f>D328*'OLD  Formulas'!$L$5</f>
        <v>0</v>
      </c>
      <c r="E329" s="70">
        <f>E328*'OLD  Formulas'!$L$5</f>
        <v>0</v>
      </c>
      <c r="F329" s="70">
        <f>F328*'OLD  Formulas'!$L$5</f>
        <v>0</v>
      </c>
      <c r="G329" s="70">
        <f>G328*'OLD  Formulas'!$L$5</f>
        <v>0</v>
      </c>
      <c r="H329" s="70">
        <f>H328*'OLD  Formulas'!$L$5</f>
        <v>0</v>
      </c>
      <c r="I329" s="70">
        <f>I328*'OLD  Formulas'!$L$5</f>
        <v>0</v>
      </c>
      <c r="J329" s="70">
        <f>J328*'OLD  Formulas'!$L$5</f>
        <v>0</v>
      </c>
      <c r="K329" s="70">
        <f>K328*'OLD  Formulas'!$L$5</f>
        <v>0</v>
      </c>
      <c r="L329" s="70">
        <f>L328*'OLD  Formulas'!$L$5</f>
        <v>0</v>
      </c>
      <c r="M329" s="70">
        <f>M328*'OLD  Formulas'!$L$5</f>
        <v>0</v>
      </c>
      <c r="N329" s="70">
        <f>N328*'OLD  Formulas'!$L$5</f>
        <v>0</v>
      </c>
      <c r="O329" s="70">
        <f>O328*'OLD  Formulas'!$L$5</f>
        <v>0</v>
      </c>
      <c r="P329" s="70">
        <f>P328*'OLD  Formulas'!$L$5</f>
        <v>0</v>
      </c>
      <c r="Q329" s="70">
        <f>Q328*'OLD  Formulas'!$L$5</f>
        <v>0</v>
      </c>
      <c r="R329" s="70">
        <f>R328*'OLD  Formulas'!$L$5</f>
        <v>0</v>
      </c>
      <c r="S329" s="70">
        <f>S328*'OLD  Formulas'!$L$5</f>
        <v>0</v>
      </c>
      <c r="T329" s="70">
        <f>T328*'OLD  Formulas'!$L$5</f>
        <v>0</v>
      </c>
      <c r="U329" s="70">
        <f>U328*'OLD  Formulas'!$L$5</f>
        <v>0</v>
      </c>
      <c r="V329" s="70">
        <f>V328*'OLD  Formulas'!$L$5</f>
        <v>0</v>
      </c>
      <c r="W329" s="70">
        <f>W328*'OLD  Formulas'!$L$5</f>
        <v>0</v>
      </c>
      <c r="X329" s="70">
        <f>X328*'OLD  Formulas'!$L$5</f>
        <v>0</v>
      </c>
      <c r="Y329" s="70">
        <f>Y328*'OLD  Formulas'!$L$5</f>
        <v>0</v>
      </c>
      <c r="Z329" s="70">
        <f>Z328*'OLD  Formulas'!$L$5</f>
        <v>0</v>
      </c>
      <c r="AA329" s="70">
        <f>AA328*'OLD  Formulas'!$L$5</f>
        <v>0</v>
      </c>
      <c r="AB329" s="70">
        <f>AB328*'OLD  Formulas'!$L$5</f>
        <v>0</v>
      </c>
      <c r="AC329" s="70">
        <f>AC328*'OLD  Formulas'!$L$5</f>
        <v>0</v>
      </c>
      <c r="AD329" s="70">
        <f>AD328*'OLD  Formulas'!$L$5</f>
        <v>0</v>
      </c>
      <c r="AE329" s="70">
        <f>AE328*'OLD  Formulas'!$L$5</f>
        <v>0</v>
      </c>
      <c r="AF329" s="900">
        <f t="shared" si="135"/>
        <v>0</v>
      </c>
    </row>
    <row r="330">
      <c r="A330" s="1260" t="s">
        <v>1121</v>
      </c>
      <c r="B330" s="70">
        <f>B328*'OLD  Formulas'!$L$4</f>
        <v>0</v>
      </c>
      <c r="C330" s="70">
        <f>C328*'OLD  Formulas'!$L$4</f>
        <v>0</v>
      </c>
      <c r="D330" s="70">
        <f>D328*'OLD  Formulas'!$L$4</f>
        <v>0</v>
      </c>
      <c r="E330" s="70">
        <f>E328*'OLD  Formulas'!$L$4</f>
        <v>0</v>
      </c>
      <c r="F330" s="70">
        <f>F328*'OLD  Formulas'!$L$4</f>
        <v>0</v>
      </c>
      <c r="G330" s="70">
        <f>G328*'OLD  Formulas'!$L$4</f>
        <v>0</v>
      </c>
      <c r="H330" s="70">
        <f>H328*'OLD  Formulas'!$L$4</f>
        <v>0</v>
      </c>
      <c r="I330" s="70">
        <f>I328*'OLD  Formulas'!$L$4</f>
        <v>0</v>
      </c>
      <c r="J330" s="70">
        <f>J328*'OLD  Formulas'!$L$4</f>
        <v>0</v>
      </c>
      <c r="K330" s="70">
        <f>K328*'OLD  Formulas'!$L$4</f>
        <v>0</v>
      </c>
      <c r="L330" s="70">
        <f>L328*'OLD  Formulas'!$L$4</f>
        <v>0</v>
      </c>
      <c r="M330" s="70">
        <f>M328*'OLD  Formulas'!$L$4</f>
        <v>0</v>
      </c>
      <c r="N330" s="70">
        <f>N328*'OLD  Formulas'!$L$4</f>
        <v>0</v>
      </c>
      <c r="O330" s="70">
        <f>O328*'OLD  Formulas'!$L$4</f>
        <v>0</v>
      </c>
      <c r="P330" s="70">
        <f>P328*'OLD  Formulas'!$L$4</f>
        <v>0</v>
      </c>
      <c r="Q330" s="70">
        <f>Q328*'OLD  Formulas'!$L$4</f>
        <v>0</v>
      </c>
      <c r="R330" s="70">
        <f>R328*'OLD  Formulas'!$L$4</f>
        <v>0</v>
      </c>
      <c r="S330" s="70">
        <f>S328*'OLD  Formulas'!$L$4</f>
        <v>0</v>
      </c>
      <c r="T330" s="70">
        <f>T328*'OLD  Formulas'!$L$4</f>
        <v>0</v>
      </c>
      <c r="U330" s="70">
        <f>U328*'OLD  Formulas'!$L$4</f>
        <v>0</v>
      </c>
      <c r="V330" s="70">
        <f>V328*'OLD  Formulas'!$L$4</f>
        <v>0</v>
      </c>
      <c r="W330" s="70">
        <f>W328*'OLD  Formulas'!$L$4</f>
        <v>0</v>
      </c>
      <c r="X330" s="70">
        <f>X328*'OLD  Formulas'!$L$4</f>
        <v>0</v>
      </c>
      <c r="Y330" s="70">
        <f>Y328*'OLD  Formulas'!$L$4</f>
        <v>0</v>
      </c>
      <c r="Z330" s="70">
        <f>Z328*'OLD  Formulas'!$L$4</f>
        <v>0</v>
      </c>
      <c r="AA330" s="70">
        <f>AA328*'OLD  Formulas'!$L$4</f>
        <v>0</v>
      </c>
      <c r="AB330" s="70">
        <f>AB328*'OLD  Formulas'!$L$4</f>
        <v>0</v>
      </c>
      <c r="AC330" s="70">
        <f>AC328*'OLD  Formulas'!$L$4</f>
        <v>0</v>
      </c>
      <c r="AD330" s="70">
        <f>AD328*'OLD  Formulas'!$L$4</f>
        <v>0</v>
      </c>
      <c r="AE330" s="70">
        <f>AE328*'OLD  Formulas'!$L$4</f>
        <v>0</v>
      </c>
      <c r="AF330" s="900">
        <f t="shared" si="135"/>
        <v>0</v>
      </c>
    </row>
    <row r="331">
      <c r="A331" s="1257" t="s">
        <v>1122</v>
      </c>
      <c r="B331" s="70">
        <f>B84*'OLD  Formulas'!$C$8</f>
        <v>0</v>
      </c>
      <c r="C331" s="70">
        <f>C84*'OLD  Formulas'!$C$8</f>
        <v>0</v>
      </c>
      <c r="D331" s="70">
        <f>D84*'OLD  Formulas'!$C$8</f>
        <v>0</v>
      </c>
      <c r="E331" s="70">
        <f>E84*'OLD  Formulas'!$C$8</f>
        <v>0</v>
      </c>
      <c r="F331" s="70">
        <f>F84*'OLD  Formulas'!$C$8</f>
        <v>0</v>
      </c>
      <c r="G331" s="70">
        <f>G84*'OLD  Formulas'!$C$8</f>
        <v>0</v>
      </c>
      <c r="H331" s="70">
        <f>H84*'OLD  Formulas'!$C$8</f>
        <v>0</v>
      </c>
      <c r="I331" s="70">
        <f>I84*'OLD  Formulas'!$C$8</f>
        <v>0</v>
      </c>
      <c r="J331" s="70">
        <f>J84*'OLD  Formulas'!$C$8</f>
        <v>0</v>
      </c>
      <c r="K331" s="70">
        <f>K84*'OLD  Formulas'!$C$8</f>
        <v>0</v>
      </c>
      <c r="L331" s="70">
        <f>L84*'OLD  Formulas'!$C$8</f>
        <v>0</v>
      </c>
      <c r="M331" s="70">
        <f>M84*'OLD  Formulas'!$C$8</f>
        <v>0</v>
      </c>
      <c r="N331" s="70">
        <f>N84*'OLD  Formulas'!$C$8</f>
        <v>0</v>
      </c>
      <c r="O331" s="70">
        <f>O84*'OLD  Formulas'!$C$8</f>
        <v>0</v>
      </c>
      <c r="P331" s="70">
        <f>P84*'OLD  Formulas'!$C$8</f>
        <v>0</v>
      </c>
      <c r="Q331" s="70">
        <f>Q84*'OLD  Formulas'!$C$8</f>
        <v>0</v>
      </c>
      <c r="R331" s="70">
        <f>R84*'OLD  Formulas'!$C$8</f>
        <v>0</v>
      </c>
      <c r="S331" s="70">
        <f>S84*'OLD  Formulas'!$C$8</f>
        <v>0</v>
      </c>
      <c r="T331" s="70">
        <f>T84*'OLD  Formulas'!$C$8</f>
        <v>0</v>
      </c>
      <c r="U331" s="70">
        <f>U84*'OLD  Formulas'!$C$8</f>
        <v>0</v>
      </c>
      <c r="V331" s="70">
        <f>V84*'OLD  Formulas'!$C$8</f>
        <v>0</v>
      </c>
      <c r="W331" s="70">
        <f>W84*'OLD  Formulas'!$C$8</f>
        <v>0</v>
      </c>
      <c r="X331" s="70">
        <f>X84*'OLD  Formulas'!$C$8</f>
        <v>0</v>
      </c>
      <c r="Y331" s="70">
        <f>Y84*'OLD  Formulas'!$C$8</f>
        <v>0</v>
      </c>
      <c r="Z331" s="70">
        <f>Z84*'OLD  Formulas'!$C$8</f>
        <v>0</v>
      </c>
      <c r="AA331" s="70">
        <f>AA84*'OLD  Formulas'!$C$8</f>
        <v>0</v>
      </c>
      <c r="AB331" s="70">
        <f>AB84*'OLD  Formulas'!$C$8</f>
        <v>0</v>
      </c>
      <c r="AC331" s="70">
        <f>AC84*'OLD  Formulas'!$C$8</f>
        <v>0</v>
      </c>
      <c r="AD331" s="70">
        <f>AD84*'OLD  Formulas'!$C$8</f>
        <v>0</v>
      </c>
      <c r="AE331" s="70">
        <f>AE84*'OLD  Formulas'!$C$8</f>
        <v>0</v>
      </c>
      <c r="AF331" s="900">
        <f t="shared" si="135"/>
        <v>0</v>
      </c>
    </row>
    <row r="332">
      <c r="A332" s="1260" t="s">
        <v>1123</v>
      </c>
      <c r="B332" s="70">
        <f>B331*'OLD  Formulas'!$L$5</f>
        <v>0</v>
      </c>
      <c r="C332" s="70">
        <f>C331*'OLD  Formulas'!$L$5</f>
        <v>0</v>
      </c>
      <c r="D332" s="70">
        <f>D331*'OLD  Formulas'!$L$5</f>
        <v>0</v>
      </c>
      <c r="E332" s="70">
        <f>E331*'OLD  Formulas'!$L$5</f>
        <v>0</v>
      </c>
      <c r="F332" s="70">
        <f>F331*'OLD  Formulas'!$L$5</f>
        <v>0</v>
      </c>
      <c r="G332" s="70">
        <f>G331*'OLD  Formulas'!$L$5</f>
        <v>0</v>
      </c>
      <c r="H332" s="70">
        <f>H331*'OLD  Formulas'!$L$5</f>
        <v>0</v>
      </c>
      <c r="I332" s="70">
        <f>I331*'OLD  Formulas'!$L$5</f>
        <v>0</v>
      </c>
      <c r="J332" s="70">
        <f>J331*'OLD  Formulas'!$L$5</f>
        <v>0</v>
      </c>
      <c r="K332" s="70">
        <f>K331*'OLD  Formulas'!$L$5</f>
        <v>0</v>
      </c>
      <c r="L332" s="70">
        <f>L331*'OLD  Formulas'!$L$5</f>
        <v>0</v>
      </c>
      <c r="M332" s="70">
        <f>M331*'OLD  Formulas'!$L$5</f>
        <v>0</v>
      </c>
      <c r="N332" s="70">
        <f>N331*'OLD  Formulas'!$L$5</f>
        <v>0</v>
      </c>
      <c r="O332" s="70">
        <f>O331*'OLD  Formulas'!$L$5</f>
        <v>0</v>
      </c>
      <c r="P332" s="70">
        <f>P331*'OLD  Formulas'!$L$5</f>
        <v>0</v>
      </c>
      <c r="Q332" s="70">
        <f>Q331*'OLD  Formulas'!$L$5</f>
        <v>0</v>
      </c>
      <c r="R332" s="70">
        <f>R331*'OLD  Formulas'!$L$5</f>
        <v>0</v>
      </c>
      <c r="S332" s="70">
        <f>S331*'OLD  Formulas'!$L$5</f>
        <v>0</v>
      </c>
      <c r="T332" s="70">
        <f>T331*'OLD  Formulas'!$L$5</f>
        <v>0</v>
      </c>
      <c r="U332" s="70">
        <f>U331*'OLD  Formulas'!$L$5</f>
        <v>0</v>
      </c>
      <c r="V332" s="70">
        <f>V331*'OLD  Formulas'!$L$5</f>
        <v>0</v>
      </c>
      <c r="W332" s="70">
        <f>W331*'OLD  Formulas'!$L$5</f>
        <v>0</v>
      </c>
      <c r="X332" s="70">
        <f>X331*'OLD  Formulas'!$L$5</f>
        <v>0</v>
      </c>
      <c r="Y332" s="70">
        <f>Y331*'OLD  Formulas'!$L$5</f>
        <v>0</v>
      </c>
      <c r="Z332" s="70">
        <f>Z331*'OLD  Formulas'!$L$5</f>
        <v>0</v>
      </c>
      <c r="AA332" s="70">
        <f>AA331*'OLD  Formulas'!$L$5</f>
        <v>0</v>
      </c>
      <c r="AB332" s="70">
        <f>AB331*'OLD  Formulas'!$L$5</f>
        <v>0</v>
      </c>
      <c r="AC332" s="70">
        <f>AC331*'OLD  Formulas'!$L$5</f>
        <v>0</v>
      </c>
      <c r="AD332" s="70">
        <f>AD331*'OLD  Formulas'!$L$5</f>
        <v>0</v>
      </c>
      <c r="AE332" s="70">
        <f>AE331*'OLD  Formulas'!$L$5</f>
        <v>0</v>
      </c>
      <c r="AF332" s="900">
        <f t="shared" si="135"/>
        <v>0</v>
      </c>
    </row>
    <row r="333">
      <c r="A333" s="1260" t="s">
        <v>1124</v>
      </c>
      <c r="B333" s="70">
        <f>B331*'OLD  Formulas'!$L$4</f>
        <v>0</v>
      </c>
      <c r="C333" s="70">
        <f>C331*'OLD  Formulas'!$L$4</f>
        <v>0</v>
      </c>
      <c r="D333" s="70">
        <f>D331*'OLD  Formulas'!$L$4</f>
        <v>0</v>
      </c>
      <c r="E333" s="70">
        <f>E331*'OLD  Formulas'!$L$4</f>
        <v>0</v>
      </c>
      <c r="F333" s="70">
        <f>F331*'OLD  Formulas'!$L$4</f>
        <v>0</v>
      </c>
      <c r="G333" s="70">
        <f>G331*'OLD  Formulas'!$L$4</f>
        <v>0</v>
      </c>
      <c r="H333" s="70">
        <f>H331*'OLD  Formulas'!$L$4</f>
        <v>0</v>
      </c>
      <c r="I333" s="70">
        <f>I331*'OLD  Formulas'!$L$4</f>
        <v>0</v>
      </c>
      <c r="J333" s="70">
        <f>J331*'OLD  Formulas'!$L$4</f>
        <v>0</v>
      </c>
      <c r="K333" s="70">
        <f>K331*'OLD  Formulas'!$L$4</f>
        <v>0</v>
      </c>
      <c r="L333" s="70">
        <f>L331*'OLD  Formulas'!$L$4</f>
        <v>0</v>
      </c>
      <c r="M333" s="70">
        <f>M331*'OLD  Formulas'!$L$4</f>
        <v>0</v>
      </c>
      <c r="N333" s="70">
        <f>N331*'OLD  Formulas'!$L$4</f>
        <v>0</v>
      </c>
      <c r="O333" s="70">
        <f>O331*'OLD  Formulas'!$L$4</f>
        <v>0</v>
      </c>
      <c r="P333" s="70">
        <f>P331*'OLD  Formulas'!$L$4</f>
        <v>0</v>
      </c>
      <c r="Q333" s="70">
        <f>Q331*'OLD  Formulas'!$L$4</f>
        <v>0</v>
      </c>
      <c r="R333" s="70">
        <f>R331*'OLD  Formulas'!$L$4</f>
        <v>0</v>
      </c>
      <c r="S333" s="70">
        <f>S331*'OLD  Formulas'!$L$4</f>
        <v>0</v>
      </c>
      <c r="T333" s="70">
        <f>T331*'OLD  Formulas'!$L$4</f>
        <v>0</v>
      </c>
      <c r="U333" s="70">
        <f>U331*'OLD  Formulas'!$L$4</f>
        <v>0</v>
      </c>
      <c r="V333" s="70">
        <f>V331*'OLD  Formulas'!$L$4</f>
        <v>0</v>
      </c>
      <c r="W333" s="70">
        <f>W331*'OLD  Formulas'!$L$4</f>
        <v>0</v>
      </c>
      <c r="X333" s="70">
        <f>X331*'OLD  Formulas'!$L$4</f>
        <v>0</v>
      </c>
      <c r="Y333" s="70">
        <f>Y331*'OLD  Formulas'!$L$4</f>
        <v>0</v>
      </c>
      <c r="Z333" s="70">
        <f>Z331*'OLD  Formulas'!$L$4</f>
        <v>0</v>
      </c>
      <c r="AA333" s="70">
        <f>AA331*'OLD  Formulas'!$L$4</f>
        <v>0</v>
      </c>
      <c r="AB333" s="70">
        <f>AB331*'OLD  Formulas'!$L$4</f>
        <v>0</v>
      </c>
      <c r="AC333" s="70">
        <f>AC331*'OLD  Formulas'!$L$4</f>
        <v>0</v>
      </c>
      <c r="AD333" s="70">
        <f>AD331*'OLD  Formulas'!$L$4</f>
        <v>0</v>
      </c>
      <c r="AE333" s="70">
        <f>AE331*'OLD  Formulas'!$L$4</f>
        <v>0</v>
      </c>
      <c r="AF333" s="900">
        <f t="shared" si="135"/>
        <v>0</v>
      </c>
    </row>
    <row r="334">
      <c r="A334" s="1257" t="s">
        <v>1125</v>
      </c>
      <c r="B334" s="70">
        <f>B85*'OLD  Formulas'!$C$9</f>
        <v>0</v>
      </c>
      <c r="C334" s="70">
        <f>C85*'OLD  Formulas'!$C$9</f>
        <v>0</v>
      </c>
      <c r="D334" s="70">
        <f>D85*'OLD  Formulas'!$C$9</f>
        <v>0</v>
      </c>
      <c r="E334" s="70">
        <f>E85*'OLD  Formulas'!$C$9</f>
        <v>0</v>
      </c>
      <c r="F334" s="70">
        <f>F85*'OLD  Formulas'!$C$9</f>
        <v>0</v>
      </c>
      <c r="G334" s="70">
        <f>G85*'OLD  Formulas'!$C$9</f>
        <v>0</v>
      </c>
      <c r="H334" s="70">
        <f>H85*'OLD  Formulas'!$C$9</f>
        <v>0</v>
      </c>
      <c r="I334" s="70">
        <f>I85*'OLD  Formulas'!$C$9</f>
        <v>0</v>
      </c>
      <c r="J334" s="70">
        <f>J85*'OLD  Formulas'!$C$9</f>
        <v>0</v>
      </c>
      <c r="K334" s="70">
        <f>K85*'OLD  Formulas'!$C$9</f>
        <v>0</v>
      </c>
      <c r="L334" s="70">
        <f>L85*'OLD  Formulas'!$C$9</f>
        <v>0</v>
      </c>
      <c r="M334" s="70">
        <f>M85*'OLD  Formulas'!$C$9</f>
        <v>0</v>
      </c>
      <c r="N334" s="70">
        <f>N85*'OLD  Formulas'!$C$9</f>
        <v>0</v>
      </c>
      <c r="O334" s="70">
        <f>O85*'OLD  Formulas'!$C$9</f>
        <v>0</v>
      </c>
      <c r="P334" s="70">
        <f>P85*'OLD  Formulas'!$C$9</f>
        <v>0</v>
      </c>
      <c r="Q334" s="70">
        <f>Q85*'OLD  Formulas'!$C$9</f>
        <v>0</v>
      </c>
      <c r="R334" s="70">
        <f>R85*'OLD  Formulas'!$C$9</f>
        <v>0</v>
      </c>
      <c r="S334" s="70">
        <f>S85*'OLD  Formulas'!$C$9</f>
        <v>0</v>
      </c>
      <c r="T334" s="70">
        <f>T85*'OLD  Formulas'!$C$9</f>
        <v>0</v>
      </c>
      <c r="U334" s="70">
        <f>U85*'OLD  Formulas'!$C$9</f>
        <v>0</v>
      </c>
      <c r="V334" s="70">
        <f>V85*'OLD  Formulas'!$C$9</f>
        <v>0</v>
      </c>
      <c r="W334" s="70">
        <f>W85*'OLD  Formulas'!$C$9</f>
        <v>0</v>
      </c>
      <c r="X334" s="70">
        <f>X85*'OLD  Formulas'!$C$9</f>
        <v>0</v>
      </c>
      <c r="Y334" s="70">
        <f>Y85*'OLD  Formulas'!$C$9</f>
        <v>0</v>
      </c>
      <c r="Z334" s="70">
        <f>Z85*'OLD  Formulas'!$C$9</f>
        <v>0</v>
      </c>
      <c r="AA334" s="70">
        <f>AA85*'OLD  Formulas'!$C$9</f>
        <v>0</v>
      </c>
      <c r="AB334" s="70">
        <f>AB85*'OLD  Formulas'!$C$9</f>
        <v>0</v>
      </c>
      <c r="AC334" s="70">
        <f>AC85*'OLD  Formulas'!$C$9</f>
        <v>0</v>
      </c>
      <c r="AD334" s="70">
        <f>AD85*'OLD  Formulas'!$C$9</f>
        <v>0</v>
      </c>
      <c r="AE334" s="70">
        <f>AE85*'OLD  Formulas'!$C$9</f>
        <v>0</v>
      </c>
      <c r="AF334" s="900">
        <f t="shared" si="135"/>
        <v>0</v>
      </c>
    </row>
    <row r="335">
      <c r="A335" s="1260" t="s">
        <v>1126</v>
      </c>
      <c r="B335" s="70">
        <f>B334*'OLD  Formulas'!$L$5</f>
        <v>0</v>
      </c>
      <c r="C335" s="70">
        <f>C334*'OLD  Formulas'!$L$5</f>
        <v>0</v>
      </c>
      <c r="D335" s="70">
        <f>D334*'OLD  Formulas'!$L$5</f>
        <v>0</v>
      </c>
      <c r="E335" s="70">
        <f>E334*'OLD  Formulas'!$L$5</f>
        <v>0</v>
      </c>
      <c r="F335" s="70">
        <f>F334*'OLD  Formulas'!$L$5</f>
        <v>0</v>
      </c>
      <c r="G335" s="70">
        <f>G334*'OLD  Formulas'!$L$5</f>
        <v>0</v>
      </c>
      <c r="H335" s="70">
        <f>H334*'OLD  Formulas'!$L$5</f>
        <v>0</v>
      </c>
      <c r="I335" s="70">
        <f>I334*'OLD  Formulas'!$L$5</f>
        <v>0</v>
      </c>
      <c r="J335" s="70">
        <f>J334*'OLD  Formulas'!$L$5</f>
        <v>0</v>
      </c>
      <c r="K335" s="70">
        <f>K334*'OLD  Formulas'!$L$5</f>
        <v>0</v>
      </c>
      <c r="L335" s="70">
        <f>L334*'OLD  Formulas'!$L$5</f>
        <v>0</v>
      </c>
      <c r="M335" s="70">
        <f>M334*'OLD  Formulas'!$L$5</f>
        <v>0</v>
      </c>
      <c r="N335" s="70">
        <f>N334*'OLD  Formulas'!$L$5</f>
        <v>0</v>
      </c>
      <c r="O335" s="70">
        <f>O334*'OLD  Formulas'!$L$5</f>
        <v>0</v>
      </c>
      <c r="P335" s="70">
        <f>P334*'OLD  Formulas'!$L$5</f>
        <v>0</v>
      </c>
      <c r="Q335" s="70">
        <f>Q334*'OLD  Formulas'!$L$5</f>
        <v>0</v>
      </c>
      <c r="R335" s="70">
        <f>R334*'OLD  Formulas'!$L$5</f>
        <v>0</v>
      </c>
      <c r="S335" s="70">
        <f>S334*'OLD  Formulas'!$L$5</f>
        <v>0</v>
      </c>
      <c r="T335" s="70">
        <f>T334*'OLD  Formulas'!$L$5</f>
        <v>0</v>
      </c>
      <c r="U335" s="70">
        <f>U334*'OLD  Formulas'!$L$5</f>
        <v>0</v>
      </c>
      <c r="V335" s="70">
        <f>V334*'OLD  Formulas'!$L$5</f>
        <v>0</v>
      </c>
      <c r="W335" s="70">
        <f>W334*'OLD  Formulas'!$L$5</f>
        <v>0</v>
      </c>
      <c r="X335" s="70">
        <f>X334*'OLD  Formulas'!$L$5</f>
        <v>0</v>
      </c>
      <c r="Y335" s="70">
        <f>Y334*'OLD  Formulas'!$L$5</f>
        <v>0</v>
      </c>
      <c r="Z335" s="70">
        <f>Z334*'OLD  Formulas'!$L$5</f>
        <v>0</v>
      </c>
      <c r="AA335" s="70">
        <f>AA334*'OLD  Formulas'!$L$5</f>
        <v>0</v>
      </c>
      <c r="AB335" s="70">
        <f>AB334*'OLD  Formulas'!$L$5</f>
        <v>0</v>
      </c>
      <c r="AC335" s="70">
        <f>AC334*'OLD  Formulas'!$L$5</f>
        <v>0</v>
      </c>
      <c r="AD335" s="70">
        <f>AD334*'OLD  Formulas'!$L$5</f>
        <v>0</v>
      </c>
      <c r="AE335" s="70">
        <f>AE334*'OLD  Formulas'!$L$5</f>
        <v>0</v>
      </c>
      <c r="AF335" s="900">
        <f t="shared" si="135"/>
        <v>0</v>
      </c>
    </row>
    <row r="336">
      <c r="A336" s="1260" t="s">
        <v>1128</v>
      </c>
      <c r="B336" s="70">
        <f>B334*'OLD  Formulas'!$L$4</f>
        <v>0</v>
      </c>
      <c r="C336" s="70">
        <f>C334*'OLD  Formulas'!$L$4</f>
        <v>0</v>
      </c>
      <c r="D336" s="70">
        <f>D334*'OLD  Formulas'!$L$4</f>
        <v>0</v>
      </c>
      <c r="E336" s="70">
        <f>E334*'OLD  Formulas'!$L$4</f>
        <v>0</v>
      </c>
      <c r="F336" s="70">
        <f>F334*'OLD  Formulas'!$L$4</f>
        <v>0</v>
      </c>
      <c r="G336" s="70">
        <f>G334*'OLD  Formulas'!$L$4</f>
        <v>0</v>
      </c>
      <c r="H336" s="70">
        <f>H334*'OLD  Formulas'!$L$4</f>
        <v>0</v>
      </c>
      <c r="I336" s="70">
        <f>I334*'OLD  Formulas'!$L$4</f>
        <v>0</v>
      </c>
      <c r="J336" s="70">
        <f>J334*'OLD  Formulas'!$L$4</f>
        <v>0</v>
      </c>
      <c r="K336" s="70">
        <f>K334*'OLD  Formulas'!$L$4</f>
        <v>0</v>
      </c>
      <c r="L336" s="70">
        <f>L334*'OLD  Formulas'!$L$4</f>
        <v>0</v>
      </c>
      <c r="M336" s="70">
        <f>M334*'OLD  Formulas'!$L$4</f>
        <v>0</v>
      </c>
      <c r="N336" s="70">
        <f>N334*'OLD  Formulas'!$L$4</f>
        <v>0</v>
      </c>
      <c r="O336" s="70">
        <f>O334*'OLD  Formulas'!$L$4</f>
        <v>0</v>
      </c>
      <c r="P336" s="70">
        <f>P334*'OLD  Formulas'!$L$4</f>
        <v>0</v>
      </c>
      <c r="Q336" s="70">
        <f>Q334*'OLD  Formulas'!$L$4</f>
        <v>0</v>
      </c>
      <c r="R336" s="70">
        <f>R334*'OLD  Formulas'!$L$4</f>
        <v>0</v>
      </c>
      <c r="S336" s="70">
        <f>S334*'OLD  Formulas'!$L$4</f>
        <v>0</v>
      </c>
      <c r="T336" s="70">
        <f>T334*'OLD  Formulas'!$L$4</f>
        <v>0</v>
      </c>
      <c r="U336" s="70">
        <f>U334*'OLD  Formulas'!$L$4</f>
        <v>0</v>
      </c>
      <c r="V336" s="70">
        <f>V334*'OLD  Formulas'!$L$4</f>
        <v>0</v>
      </c>
      <c r="W336" s="70">
        <f>W334*'OLD  Formulas'!$L$4</f>
        <v>0</v>
      </c>
      <c r="X336" s="70">
        <f>X334*'OLD  Formulas'!$L$4</f>
        <v>0</v>
      </c>
      <c r="Y336" s="70">
        <f>Y334*'OLD  Formulas'!$L$4</f>
        <v>0</v>
      </c>
      <c r="Z336" s="70">
        <f>Z334*'OLD  Formulas'!$L$4</f>
        <v>0</v>
      </c>
      <c r="AA336" s="70">
        <f>AA334*'OLD  Formulas'!$L$4</f>
        <v>0</v>
      </c>
      <c r="AB336" s="70">
        <f>AB334*'OLD  Formulas'!$L$4</f>
        <v>0</v>
      </c>
      <c r="AC336" s="70">
        <f>AC334*'OLD  Formulas'!$L$4</f>
        <v>0</v>
      </c>
      <c r="AD336" s="70">
        <f>AD334*'OLD  Formulas'!$L$4</f>
        <v>0</v>
      </c>
      <c r="AE336" s="70">
        <f>AE334*'OLD  Formulas'!$L$4</f>
        <v>0</v>
      </c>
      <c r="AF336" s="900">
        <f t="shared" si="135"/>
        <v>0</v>
      </c>
    </row>
    <row r="337">
      <c r="A337" s="1257" t="s">
        <v>1129</v>
      </c>
      <c r="B337" s="70">
        <f>B86*'OLD  Formulas'!$C$5</f>
        <v>0</v>
      </c>
      <c r="C337" s="70">
        <f>C86*'OLD  Formulas'!$C$5</f>
        <v>0</v>
      </c>
      <c r="D337" s="70">
        <f>D86*'OLD  Formulas'!$C$5</f>
        <v>0</v>
      </c>
      <c r="E337" s="70">
        <f>E86*'OLD  Formulas'!$C$5</f>
        <v>0</v>
      </c>
      <c r="F337" s="70">
        <f>F86*'OLD  Formulas'!$C$5</f>
        <v>0</v>
      </c>
      <c r="G337" s="70">
        <f>G86*'OLD  Formulas'!$C$5</f>
        <v>0</v>
      </c>
      <c r="H337" s="70">
        <f>H86*'OLD  Formulas'!$C$5</f>
        <v>0</v>
      </c>
      <c r="I337" s="70">
        <f>I86*'OLD  Formulas'!$C$5</f>
        <v>0</v>
      </c>
      <c r="J337" s="70">
        <f>J86*'OLD  Formulas'!$C$5</f>
        <v>0</v>
      </c>
      <c r="K337" s="70">
        <f>K86*'OLD  Formulas'!$C$5</f>
        <v>0</v>
      </c>
      <c r="L337" s="70">
        <f>L86*'OLD  Formulas'!$C$5</f>
        <v>0</v>
      </c>
      <c r="M337" s="70">
        <f>M86*'OLD  Formulas'!$C$5</f>
        <v>0</v>
      </c>
      <c r="N337" s="70">
        <f>N86*'OLD  Formulas'!$C$5</f>
        <v>0</v>
      </c>
      <c r="O337" s="70">
        <f>O86*'OLD  Formulas'!$C$5</f>
        <v>0</v>
      </c>
      <c r="P337" s="70">
        <f>P86*'OLD  Formulas'!$C$5</f>
        <v>0</v>
      </c>
      <c r="Q337" s="70">
        <f>Q86*'OLD  Formulas'!$C$5</f>
        <v>0</v>
      </c>
      <c r="R337" s="70">
        <f>R86*'OLD  Formulas'!$C$5</f>
        <v>0</v>
      </c>
      <c r="S337" s="70">
        <f>S86*'OLD  Formulas'!$C$5</f>
        <v>0</v>
      </c>
      <c r="T337" s="70">
        <f>T86*'OLD  Formulas'!$C$5</f>
        <v>0</v>
      </c>
      <c r="U337" s="70">
        <f>U86*'OLD  Formulas'!$C$5</f>
        <v>0</v>
      </c>
      <c r="V337" s="70">
        <f>V86*'OLD  Formulas'!$C$5</f>
        <v>0</v>
      </c>
      <c r="W337" s="70">
        <f>W86*'OLD  Formulas'!$C$5</f>
        <v>0</v>
      </c>
      <c r="X337" s="70">
        <f>X86*'OLD  Formulas'!$C$5</f>
        <v>0</v>
      </c>
      <c r="Y337" s="70">
        <f>Y86*'OLD  Formulas'!$C$5</f>
        <v>0</v>
      </c>
      <c r="Z337" s="70">
        <f>Z86*'OLD  Formulas'!$C$5</f>
        <v>0</v>
      </c>
      <c r="AA337" s="70">
        <f>AA86*'OLD  Formulas'!$C$5</f>
        <v>0</v>
      </c>
      <c r="AB337" s="70">
        <f>AB86*'OLD  Formulas'!$C$5</f>
        <v>0</v>
      </c>
      <c r="AC337" s="70">
        <f>AC86*'OLD  Formulas'!$C$5</f>
        <v>0</v>
      </c>
      <c r="AD337" s="70">
        <f>AD86*'OLD  Formulas'!$C$5</f>
        <v>0</v>
      </c>
      <c r="AE337" s="70">
        <f>AE86*'OLD  Formulas'!$C$5</f>
        <v>0</v>
      </c>
      <c r="AF337" s="900">
        <f t="shared" si="135"/>
        <v>0</v>
      </c>
    </row>
    <row r="338">
      <c r="A338" s="1260" t="s">
        <v>1130</v>
      </c>
      <c r="B338" s="70">
        <f>B337*'OLD  Formulas'!$L$8</f>
        <v>0</v>
      </c>
      <c r="C338" s="70">
        <f>C337*'OLD  Formulas'!$L$8</f>
        <v>0</v>
      </c>
      <c r="D338" s="70">
        <f>D337*'OLD  Formulas'!$L$8</f>
        <v>0</v>
      </c>
      <c r="E338" s="70">
        <f>E337*'OLD  Formulas'!$L$8</f>
        <v>0</v>
      </c>
      <c r="F338" s="70">
        <f>F337*'OLD  Formulas'!$L$8</f>
        <v>0</v>
      </c>
      <c r="G338" s="70">
        <f>G337*'OLD  Formulas'!$L$8</f>
        <v>0</v>
      </c>
      <c r="H338" s="70">
        <f>H337*'OLD  Formulas'!$L$8</f>
        <v>0</v>
      </c>
      <c r="I338" s="70">
        <f>I337*'OLD  Formulas'!$L$8</f>
        <v>0</v>
      </c>
      <c r="J338" s="70">
        <f>J337*'OLD  Formulas'!$L$8</f>
        <v>0</v>
      </c>
      <c r="K338" s="70">
        <f>K337*'OLD  Formulas'!$L$8</f>
        <v>0</v>
      </c>
      <c r="L338" s="70">
        <f>L337*'OLD  Formulas'!$L$8</f>
        <v>0</v>
      </c>
      <c r="M338" s="70">
        <f>M337*'OLD  Formulas'!$L$8</f>
        <v>0</v>
      </c>
      <c r="N338" s="70">
        <f>N337*'OLD  Formulas'!$L$8</f>
        <v>0</v>
      </c>
      <c r="O338" s="70">
        <f>O337*'OLD  Formulas'!$L$8</f>
        <v>0</v>
      </c>
      <c r="P338" s="70">
        <f>P337*'OLD  Formulas'!$L$8</f>
        <v>0</v>
      </c>
      <c r="Q338" s="70">
        <f>Q337*'OLD  Formulas'!$L$8</f>
        <v>0</v>
      </c>
      <c r="R338" s="70">
        <f>R337*'OLD  Formulas'!$L$8</f>
        <v>0</v>
      </c>
      <c r="S338" s="70">
        <f>S337*'OLD  Formulas'!$L$8</f>
        <v>0</v>
      </c>
      <c r="T338" s="70">
        <f>T337*'OLD  Formulas'!$L$8</f>
        <v>0</v>
      </c>
      <c r="U338" s="70">
        <f>U337*'OLD  Formulas'!$L$8</f>
        <v>0</v>
      </c>
      <c r="V338" s="70">
        <f>V337*'OLD  Formulas'!$L$8</f>
        <v>0</v>
      </c>
      <c r="W338" s="70">
        <f>W337*'OLD  Formulas'!$L$8</f>
        <v>0</v>
      </c>
      <c r="X338" s="70">
        <f>X337*'OLD  Formulas'!$L$8</f>
        <v>0</v>
      </c>
      <c r="Y338" s="70">
        <f>Y337*'OLD  Formulas'!$L$8</f>
        <v>0</v>
      </c>
      <c r="Z338" s="70">
        <f>Z337*'OLD  Formulas'!$L$8</f>
        <v>0</v>
      </c>
      <c r="AA338" s="70">
        <f>AA337*'OLD  Formulas'!$L$8</f>
        <v>0</v>
      </c>
      <c r="AB338" s="70">
        <f>AB337*'OLD  Formulas'!$L$8</f>
        <v>0</v>
      </c>
      <c r="AC338" s="70">
        <f>AC337*'OLD  Formulas'!$L$8</f>
        <v>0</v>
      </c>
      <c r="AD338" s="70">
        <f>AD337*'OLD  Formulas'!$L$8</f>
        <v>0</v>
      </c>
      <c r="AE338" s="70">
        <f>AE337*'OLD  Formulas'!$L$8</f>
        <v>0</v>
      </c>
      <c r="AF338" s="900">
        <f t="shared" si="135"/>
        <v>0</v>
      </c>
    </row>
    <row r="339">
      <c r="A339" s="1260" t="s">
        <v>1134</v>
      </c>
      <c r="B339" s="70">
        <f>B337*'OLD  Formulas'!$L$9</f>
        <v>0</v>
      </c>
      <c r="C339" s="70">
        <f>C337*'OLD  Formulas'!$L$9</f>
        <v>0</v>
      </c>
      <c r="D339" s="70">
        <f>D337*'OLD  Formulas'!$L$9</f>
        <v>0</v>
      </c>
      <c r="E339" s="70">
        <f>E337*'OLD  Formulas'!$L$9</f>
        <v>0</v>
      </c>
      <c r="F339" s="70">
        <f>F337*'OLD  Formulas'!$L$9</f>
        <v>0</v>
      </c>
      <c r="G339" s="70">
        <f>G337*'OLD  Formulas'!$L$9</f>
        <v>0</v>
      </c>
      <c r="H339" s="70">
        <f>H337*'OLD  Formulas'!$L$9</f>
        <v>0</v>
      </c>
      <c r="I339" s="70">
        <f>I337*'OLD  Formulas'!$L$9</f>
        <v>0</v>
      </c>
      <c r="J339" s="70">
        <f>J337*'OLD  Formulas'!$L$9</f>
        <v>0</v>
      </c>
      <c r="K339" s="70">
        <f>K337*'OLD  Formulas'!$L$9</f>
        <v>0</v>
      </c>
      <c r="L339" s="70">
        <f>L337*'OLD  Formulas'!$L$9</f>
        <v>0</v>
      </c>
      <c r="M339" s="70">
        <f>M337*'OLD  Formulas'!$L$9</f>
        <v>0</v>
      </c>
      <c r="N339" s="70">
        <f>N337*'OLD  Formulas'!$L$9</f>
        <v>0</v>
      </c>
      <c r="O339" s="70">
        <f>O337*'OLD  Formulas'!$L$9</f>
        <v>0</v>
      </c>
      <c r="P339" s="70">
        <f>P337*'OLD  Formulas'!$L$9</f>
        <v>0</v>
      </c>
      <c r="Q339" s="70">
        <f>Q337*'OLD  Formulas'!$L$9</f>
        <v>0</v>
      </c>
      <c r="R339" s="70">
        <f>R337*'OLD  Formulas'!$L$9</f>
        <v>0</v>
      </c>
      <c r="S339" s="70">
        <f>S337*'OLD  Formulas'!$L$9</f>
        <v>0</v>
      </c>
      <c r="T339" s="70">
        <f>T337*'OLD  Formulas'!$L$9</f>
        <v>0</v>
      </c>
      <c r="U339" s="70">
        <f>U337*'OLD  Formulas'!$L$9</f>
        <v>0</v>
      </c>
      <c r="V339" s="70">
        <f>V337*'OLD  Formulas'!$L$9</f>
        <v>0</v>
      </c>
      <c r="W339" s="70">
        <f>W337*'OLD  Formulas'!$L$9</f>
        <v>0</v>
      </c>
      <c r="X339" s="70">
        <f>X337*'OLD  Formulas'!$L$9</f>
        <v>0</v>
      </c>
      <c r="Y339" s="70">
        <f>Y337*'OLD  Formulas'!$L$9</f>
        <v>0</v>
      </c>
      <c r="Z339" s="70">
        <f>Z337*'OLD  Formulas'!$L$9</f>
        <v>0</v>
      </c>
      <c r="AA339" s="70">
        <f>AA337*'OLD  Formulas'!$L$9</f>
        <v>0</v>
      </c>
      <c r="AB339" s="70">
        <f>AB337*'OLD  Formulas'!$L$9</f>
        <v>0</v>
      </c>
      <c r="AC339" s="70">
        <f>AC337*'OLD  Formulas'!$L$9</f>
        <v>0</v>
      </c>
      <c r="AD339" s="70">
        <f>AD337*'OLD  Formulas'!$L$9</f>
        <v>0</v>
      </c>
      <c r="AE339" s="70">
        <f>AE337*'OLD  Formulas'!$L$9</f>
        <v>0</v>
      </c>
      <c r="AF339" s="900">
        <f t="shared" si="135"/>
        <v>0</v>
      </c>
    </row>
    <row r="340">
      <c r="A340" s="1260" t="s">
        <v>1154</v>
      </c>
      <c r="B340" s="1310">
        <f>(B321+B323+B325+B328+B331+B334+B337)*'OLD  Formulas'!$L$6</f>
        <v>1.3671</v>
      </c>
      <c r="C340" s="1310">
        <f>(C321+C323+C325+C328+C331+C334+C337)*'OLD  Formulas'!$L$6</f>
        <v>0.569625</v>
      </c>
      <c r="D340" s="1310">
        <f>(D321+D323+D325+D328+D331+D334+D337)*'OLD  Formulas'!$L$6</f>
        <v>2.164575</v>
      </c>
      <c r="E340" s="1310">
        <f>(E321+E323+E325+E328+E331+E334+E337)*'OLD  Formulas'!$L$6</f>
        <v>2.620275</v>
      </c>
      <c r="F340" s="1310">
        <f>(F321+F323+F325+F328+F331+F334+F337)*'OLD  Formulas'!$L$6</f>
        <v>1.8228</v>
      </c>
      <c r="G340" s="1310">
        <f>(G321+G323+G325+G328+G331+G334+G337)*'OLD  Formulas'!$L$6</f>
        <v>1.936725</v>
      </c>
      <c r="H340" s="1310">
        <f>(H321+H323+H325+H328+H331+H334+H337)*'OLD  Formulas'!$L$6</f>
        <v>1.13925</v>
      </c>
      <c r="I340" s="1310">
        <f>(I321+I323+I325+I328+I331+I334+I337)*'OLD  Formulas'!$L$6</f>
        <v>1.13925</v>
      </c>
      <c r="J340" s="1310">
        <f>(J321+J323+J325+J328+J331+J334+J337)*'OLD  Formulas'!$L$6</f>
        <v>2.96205</v>
      </c>
      <c r="K340" s="1310">
        <f>(K321+K323+K325+K328+K331+K334+K337)*'OLD  Formulas'!$L$6</f>
        <v>2.05065</v>
      </c>
      <c r="L340" s="1310">
        <f>(L321+L323+L325+L328+L331+L334+L337)*'OLD  Formulas'!$L$6</f>
        <v>2.392425</v>
      </c>
      <c r="M340" s="1310">
        <f>(M321+M323+M325+M328+M331+M334+M337)*'OLD  Formulas'!$L$6</f>
        <v>2.848125</v>
      </c>
      <c r="N340" s="1310">
        <f>(N321+N323+N325+N328+N331+N334+N337)*'OLD  Formulas'!$L$6</f>
        <v>2.848125</v>
      </c>
      <c r="O340" s="1310">
        <f>(O321+O323+O325+O328+O331+O334+O337)*'OLD  Formulas'!$L$6</f>
        <v>2.96205</v>
      </c>
      <c r="P340" s="1310">
        <f>(P321+P323+P325+P328+P331+P334+P337)*'OLD  Formulas'!$L$6</f>
        <v>1.481025</v>
      </c>
      <c r="Q340" s="1310">
        <f>(Q321+Q323+Q325+Q328+Q331+Q334+Q337)*'OLD  Formulas'!$L$6</f>
        <v>2.50635</v>
      </c>
      <c r="R340" s="1310">
        <f>(R321+R323+R325+R328+R331+R334+R337)*'OLD  Formulas'!$L$6</f>
        <v>2.7342</v>
      </c>
      <c r="S340" s="1310">
        <f>(S321+S323+S325+S328+S331+S334+S337)*'OLD  Formulas'!$L$6</f>
        <v>2.96205</v>
      </c>
      <c r="T340" s="1310">
        <f>(T321+T323+T325+T328+T331+T334+T337)*'OLD  Formulas'!$L$6</f>
        <v>4.215225</v>
      </c>
      <c r="U340" s="1310">
        <f>(U321+U323+U325+U328+U331+U334+U337)*'OLD  Formulas'!$L$6</f>
        <v>3.759525</v>
      </c>
      <c r="V340" s="1310">
        <f>(V321+V323+V325+V328+V331+V334+V337)*'OLD  Formulas'!$L$6</f>
        <v>3.87345</v>
      </c>
      <c r="W340" s="1310">
        <f>(W321+W323+W325+W328+W331+W334+W337)*'OLD  Formulas'!$L$6</f>
        <v>3.303825</v>
      </c>
      <c r="X340" s="1310">
        <f>(X321+X323+X325+X328+X331+X334+X337)*'OLD  Formulas'!$L$6</f>
        <v>2.96205</v>
      </c>
      <c r="Y340" s="1310">
        <f>(Y321+Y323+Y325+Y328+Y331+Y334+Y337)*'OLD  Formulas'!$L$6</f>
        <v>3.6456</v>
      </c>
      <c r="Z340" s="1310">
        <f>(Z321+Z323+Z325+Z328+Z331+Z334+Z337)*'OLD  Formulas'!$L$6</f>
        <v>3.41775</v>
      </c>
      <c r="AA340" s="1310">
        <f>(AA321+AA323+AA325+AA328+AA331+AA334+AA337)*'OLD  Formulas'!$L$6</f>
        <v>4.215225</v>
      </c>
      <c r="AB340" s="1310">
        <f>(AB321+AB323+AB325+AB328+AB331+AB334+AB337)*'OLD  Formulas'!$L$6</f>
        <v>3.1899</v>
      </c>
      <c r="AC340" s="1310">
        <f>(AC321+AC323+AC325+AC328+AC331+AC334+AC337)*'OLD  Formulas'!$L$6</f>
        <v>4.557</v>
      </c>
      <c r="AD340" s="1310">
        <f>(AD321+AD323+AD325+AD328+AD331+AD334+AD337)*'OLD  Formulas'!$L$6</f>
        <v>3.531675</v>
      </c>
      <c r="AE340" s="1310">
        <f>(AE321+AE323+AE325+AE328+AE331+AE334+AE337)*'OLD  Formulas'!$L$6</f>
        <v>3.41775</v>
      </c>
      <c r="AF340" s="900">
        <f t="shared" si="135"/>
        <v>82.595625</v>
      </c>
    </row>
    <row r="341">
      <c r="A341" s="1260" t="s">
        <v>1166</v>
      </c>
      <c r="B341" s="1406">
        <v>0.0</v>
      </c>
      <c r="C341" s="1406">
        <v>0.0</v>
      </c>
      <c r="D341" s="1406">
        <v>0.0</v>
      </c>
      <c r="E341" s="1310">
        <f t="shared" ref="E341:AE341" si="136">$AF341/31</f>
        <v>17.36774194</v>
      </c>
      <c r="F341" s="1310">
        <f t="shared" si="136"/>
        <v>17.36774194</v>
      </c>
      <c r="G341" s="1310">
        <f t="shared" si="136"/>
        <v>17.36774194</v>
      </c>
      <c r="H341" s="1310">
        <f t="shared" si="136"/>
        <v>17.36774194</v>
      </c>
      <c r="I341" s="1310">
        <f t="shared" si="136"/>
        <v>17.36774194</v>
      </c>
      <c r="J341" s="1310">
        <f t="shared" si="136"/>
        <v>17.36774194</v>
      </c>
      <c r="K341" s="1310">
        <f t="shared" si="136"/>
        <v>17.36774194</v>
      </c>
      <c r="L341" s="1310">
        <f t="shared" si="136"/>
        <v>17.36774194</v>
      </c>
      <c r="M341" s="1310">
        <f t="shared" si="136"/>
        <v>17.36774194</v>
      </c>
      <c r="N341" s="1310">
        <f t="shared" si="136"/>
        <v>17.36774194</v>
      </c>
      <c r="O341" s="1310">
        <f t="shared" si="136"/>
        <v>17.36774194</v>
      </c>
      <c r="P341" s="1310">
        <f t="shared" si="136"/>
        <v>17.36774194</v>
      </c>
      <c r="Q341" s="1310">
        <f t="shared" si="136"/>
        <v>17.36774194</v>
      </c>
      <c r="R341" s="1310">
        <f t="shared" si="136"/>
        <v>17.36774194</v>
      </c>
      <c r="S341" s="1310">
        <f t="shared" si="136"/>
        <v>17.36774194</v>
      </c>
      <c r="T341" s="1310">
        <f t="shared" si="136"/>
        <v>17.36774194</v>
      </c>
      <c r="U341" s="1310">
        <f t="shared" si="136"/>
        <v>17.36774194</v>
      </c>
      <c r="V341" s="1310">
        <f t="shared" si="136"/>
        <v>17.36774194</v>
      </c>
      <c r="W341" s="1310">
        <f t="shared" si="136"/>
        <v>17.36774194</v>
      </c>
      <c r="X341" s="1310">
        <f t="shared" si="136"/>
        <v>17.36774194</v>
      </c>
      <c r="Y341" s="1310">
        <f t="shared" si="136"/>
        <v>17.36774194</v>
      </c>
      <c r="Z341" s="1310">
        <f t="shared" si="136"/>
        <v>17.36774194</v>
      </c>
      <c r="AA341" s="1310">
        <f t="shared" si="136"/>
        <v>17.36774194</v>
      </c>
      <c r="AB341" s="1310">
        <f t="shared" si="136"/>
        <v>17.36774194</v>
      </c>
      <c r="AC341" s="1310">
        <f t="shared" si="136"/>
        <v>17.36774194</v>
      </c>
      <c r="AD341" s="1310">
        <f t="shared" si="136"/>
        <v>17.36774194</v>
      </c>
      <c r="AE341" s="1310">
        <f t="shared" si="136"/>
        <v>17.36774194</v>
      </c>
      <c r="AF341" s="1333">
        <v>538.4</v>
      </c>
    </row>
    <row r="342">
      <c r="A342" s="1357" t="s">
        <v>1185</v>
      </c>
      <c r="B342" s="70">
        <f>((B287+B288)*'OLD  Formulas'!$C$32)+((B289+B290)*'OLD  Formulas'!$C$33)+((B291+B292)*'OLD  Formulas'!$C$34)</f>
        <v>143.28</v>
      </c>
      <c r="C342" s="70">
        <f>((C287+C288)*'OLD  Formulas'!$C$32)+((C289+C290)*'OLD  Formulas'!$C$33)+((C291+C292)*'OLD  Formulas'!$C$34)</f>
        <v>59.7</v>
      </c>
      <c r="D342" s="70">
        <f>((D287+D288)*'OLD  Formulas'!$C$32)+((D289+D290)*'OLD  Formulas'!$C$33)+((D291+D292)*'OLD  Formulas'!$C$34)</f>
        <v>226.86</v>
      </c>
      <c r="E342" s="70">
        <f>((E287+E288)*'OLD  Formulas'!$C$32)+((E289+E290)*'OLD  Formulas'!$C$33)+((E291+E292)*'OLD  Formulas'!$C$34)</f>
        <v>274.62</v>
      </c>
      <c r="F342" s="70">
        <f>((F287+F288)*'OLD  Formulas'!$C$32)+((F289+F290)*'OLD  Formulas'!$C$33)+((F291+F292)*'OLD  Formulas'!$C$34)</f>
        <v>191.04</v>
      </c>
      <c r="G342" s="70">
        <f>((G287+G288)*'OLD  Formulas'!$C$32)+((G289+G290)*'OLD  Formulas'!$C$33)+((G291+G292)*'OLD  Formulas'!$C$34)</f>
        <v>202.98</v>
      </c>
      <c r="H342" s="70">
        <f>((H287+H288)*'OLD  Formulas'!$C$32)+((H289+H290)*'OLD  Formulas'!$C$33)+((H291+H292)*'OLD  Formulas'!$C$34)</f>
        <v>119.4</v>
      </c>
      <c r="I342" s="70">
        <f>((I287+I288)*'OLD  Formulas'!$C$32)+((I289+I290)*'OLD  Formulas'!$C$33)+((I291+I292)*'OLD  Formulas'!$C$34)</f>
        <v>119.4</v>
      </c>
      <c r="J342" s="70">
        <f>((J287+J288)*'OLD  Formulas'!$C$32)+((J289+J290)*'OLD  Formulas'!$C$33)+((J291+J292)*'OLD  Formulas'!$C$34)</f>
        <v>310.44</v>
      </c>
      <c r="K342" s="70">
        <f>((K287+K288)*'OLD  Formulas'!$C$32)+((K289+K290)*'OLD  Formulas'!$C$33)+((K291+K292)*'OLD  Formulas'!$C$34)</f>
        <v>214.92</v>
      </c>
      <c r="L342" s="70">
        <f>((L287+L288)*'OLD  Formulas'!$C$32)+((L289+L290)*'OLD  Formulas'!$C$33)+((L291+L292)*'OLD  Formulas'!$C$34)</f>
        <v>250.74</v>
      </c>
      <c r="M342" s="70">
        <f>((M287+M288)*'OLD  Formulas'!$C$32)+((M289+M290)*'OLD  Formulas'!$C$33)+((M291+M292)*'OLD  Formulas'!$C$34)</f>
        <v>298.5</v>
      </c>
      <c r="N342" s="70">
        <f>((N287+N288)*'OLD  Formulas'!$C$32)+((N289+N290)*'OLD  Formulas'!$C$33)+((N291+N292)*'OLD  Formulas'!$C$34)</f>
        <v>298.5</v>
      </c>
      <c r="O342" s="70">
        <f>((O287+O288)*'OLD  Formulas'!$C$32)+((O289+O290)*'OLD  Formulas'!$C$33)+((O291+O292)*'OLD  Formulas'!$C$34)</f>
        <v>310.44</v>
      </c>
      <c r="P342" s="70">
        <f>((P287+P288)*'OLD  Formulas'!$C$32)+((P289+P290)*'OLD  Formulas'!$C$33)+((P291+P292)*'OLD  Formulas'!$C$34)</f>
        <v>155.22</v>
      </c>
      <c r="Q342" s="70">
        <f>((Q287+Q288)*'OLD  Formulas'!$C$32)+((Q289+Q290)*'OLD  Formulas'!$C$33)+((Q291+Q292)*'OLD  Formulas'!$C$34)</f>
        <v>262.68</v>
      </c>
      <c r="R342" s="70">
        <f>((R287+R288)*'OLD  Formulas'!$C$32)+((R289+R290)*'OLD  Formulas'!$C$33)+((R291+R292)*'OLD  Formulas'!$C$34)</f>
        <v>286.56</v>
      </c>
      <c r="S342" s="70">
        <f>((S287+S288)*'OLD  Formulas'!$C$32)+((S289+S290)*'OLD  Formulas'!$C$33)+((S291+S292)*'OLD  Formulas'!$C$34)</f>
        <v>310.44</v>
      </c>
      <c r="T342" s="70">
        <f>((T287+T288)*'OLD  Formulas'!$C$32)+((T289+T290)*'OLD  Formulas'!$C$33)+((T291+T292)*'OLD  Formulas'!$C$34)</f>
        <v>441.78</v>
      </c>
      <c r="U342" s="70">
        <f>((U287+U288)*'OLD  Formulas'!$C$32)+((U289+U290)*'OLD  Formulas'!$C$33)+((U291+U292)*'OLD  Formulas'!$C$34)</f>
        <v>394.02</v>
      </c>
      <c r="V342" s="70">
        <f>((V287+V288)*'OLD  Formulas'!$C$32)+((V289+V290)*'OLD  Formulas'!$C$33)+((V291+V292)*'OLD  Formulas'!$C$34)</f>
        <v>405.96</v>
      </c>
      <c r="W342" s="70">
        <f>((W287+W288)*'OLD  Formulas'!$C$32)+((W289+W290)*'OLD  Formulas'!$C$33)+((W291+W292)*'OLD  Formulas'!$C$34)</f>
        <v>346.26</v>
      </c>
      <c r="X342" s="70">
        <f>((X287+X288)*'OLD  Formulas'!$C$32)+((X289+X290)*'OLD  Formulas'!$C$33)+((X291+X292)*'OLD  Formulas'!$C$34)</f>
        <v>310.44</v>
      </c>
      <c r="Y342" s="70">
        <f>((Y287+Y288)*'OLD  Formulas'!$C$32)+((Y289+Y290)*'OLD  Formulas'!$C$33)+((Y291+Y292)*'OLD  Formulas'!$C$34)</f>
        <v>382.08</v>
      </c>
      <c r="Z342" s="70">
        <f>((Z287+Z288)*'OLD  Formulas'!$C$32)+((Z289+Z290)*'OLD  Formulas'!$C$33)+((Z291+Z292)*'OLD  Formulas'!$C$34)</f>
        <v>358.2</v>
      </c>
      <c r="AA342" s="70">
        <f>((AA287+AA288)*'OLD  Formulas'!$C$32)+((AA289+AA290)*'OLD  Formulas'!$C$33)+((AA291+AA292)*'OLD  Formulas'!$C$34)</f>
        <v>441.78</v>
      </c>
      <c r="AB342" s="70">
        <f>((AB287+AB288)*'OLD  Formulas'!$C$32)+((AB289+AB290)*'OLD  Formulas'!$C$33)+((AB291+AB292)*'OLD  Formulas'!$C$34)</f>
        <v>334.32</v>
      </c>
      <c r="AC342" s="70">
        <f>((AC287+AC288)*'OLD  Formulas'!$C$32)+((AC289+AC290)*'OLD  Formulas'!$C$33)+((AC291+AC292)*'OLD  Formulas'!$C$34)</f>
        <v>477.6</v>
      </c>
      <c r="AD342" s="70">
        <f>((AD287+AD288)*'OLD  Formulas'!$C$32)+((AD289+AD290)*'OLD  Formulas'!$C$33)+((AD291+AD292)*'OLD  Formulas'!$C$34)</f>
        <v>370.14</v>
      </c>
      <c r="AE342" s="70">
        <f>((AE287+AE288)*'OLD  Formulas'!$C$32)+((AE289+AE290)*'OLD  Formulas'!$C$33)+((AE291+AE292)*'OLD  Formulas'!$C$34)</f>
        <v>358.2</v>
      </c>
      <c r="AF342" s="900">
        <f t="shared" ref="AF342:AF357" si="137">SUM(B342:AE342)</f>
        <v>8656.5</v>
      </c>
    </row>
    <row r="343">
      <c r="A343" s="1358" t="s">
        <v>1189</v>
      </c>
      <c r="B343" s="1310">
        <f>((B287+B288)*'OLD  Formulas'!$C$28)+((B289+B290)*'OLD  Formulas'!$C$29)+((B291+B292)*'OLD  Formulas'!$C$30)</f>
        <v>180.72</v>
      </c>
      <c r="C343" s="1310">
        <f>((C287+C288)*'OLD  Formulas'!$C$28)+((C289+C290)*'OLD  Formulas'!$C$29)+((C291+C292)*'OLD  Formulas'!$C$30)</f>
        <v>75.3</v>
      </c>
      <c r="D343" s="1310">
        <f>((D287+D288)*'OLD  Formulas'!$C$28)+((D289+D290)*'OLD  Formulas'!$C$29)+((D291+D292)*'OLD  Formulas'!$C$30)</f>
        <v>286.14</v>
      </c>
      <c r="E343" s="1310">
        <f>((E287+E288)*'OLD  Formulas'!$C$28)+((E289+E290)*'OLD  Formulas'!$C$29)+((E291+E292)*'OLD  Formulas'!$C$30)</f>
        <v>346.38</v>
      </c>
      <c r="F343" s="1310">
        <f>((F287+F288)*'OLD  Formulas'!$C$28)+((F289+F290)*'OLD  Formulas'!$C$29)+((F291+F292)*'OLD  Formulas'!$C$30)</f>
        <v>240.96</v>
      </c>
      <c r="G343" s="1310">
        <f>((G287+G288)*'OLD  Formulas'!$C$28)+((G289+G290)*'OLD  Formulas'!$C$29)+((G291+G292)*'OLD  Formulas'!$C$30)</f>
        <v>256.02</v>
      </c>
      <c r="H343" s="1310">
        <f>((H287+H288)*'OLD  Formulas'!$C$28)+((H289+H290)*'OLD  Formulas'!$C$29)+((H291+H292)*'OLD  Formulas'!$C$30)</f>
        <v>150.6</v>
      </c>
      <c r="I343" s="1310">
        <f>((I287+I288)*'OLD  Formulas'!$C$28)+((I289+I290)*'OLD  Formulas'!$C$29)+((I291+I292)*'OLD  Formulas'!$C$30)</f>
        <v>150.6</v>
      </c>
      <c r="J343" s="1310">
        <f>((J287+J288)*'OLD  Formulas'!$C$28)+((J289+J290)*'OLD  Formulas'!$C$29)+((J291+J292)*'OLD  Formulas'!$C$30)</f>
        <v>391.56</v>
      </c>
      <c r="K343" s="1310">
        <f>((K287+K288)*'OLD  Formulas'!$C$28)+((K289+K290)*'OLD  Formulas'!$C$29)+((K291+K292)*'OLD  Formulas'!$C$30)</f>
        <v>271.08</v>
      </c>
      <c r="L343" s="1310">
        <f>((L287+L288)*'OLD  Formulas'!$C$28)+((L289+L290)*'OLD  Formulas'!$C$29)+((L291+L292)*'OLD  Formulas'!$C$30)</f>
        <v>316.26</v>
      </c>
      <c r="M343" s="1310">
        <f>((M287+M288)*'OLD  Formulas'!$C$28)+((M289+M290)*'OLD  Formulas'!$C$29)+((M291+M292)*'OLD  Formulas'!$C$30)</f>
        <v>376.5</v>
      </c>
      <c r="N343" s="1310">
        <f>((N287+N288)*'OLD  Formulas'!$C$28)+((N289+N290)*'OLD  Formulas'!$C$29)+((N291+N292)*'OLD  Formulas'!$C$30)</f>
        <v>376.5</v>
      </c>
      <c r="O343" s="1310">
        <f>((O287+O288)*'OLD  Formulas'!$C$28)+((O289+O290)*'OLD  Formulas'!$C$29)+((O291+O292)*'OLD  Formulas'!$C$30)</f>
        <v>391.56</v>
      </c>
      <c r="P343" s="1310">
        <f>((P287+P288)*'OLD  Formulas'!$C$28)+((P289+P290)*'OLD  Formulas'!$C$29)+((P291+P292)*'OLD  Formulas'!$C$30)</f>
        <v>195.78</v>
      </c>
      <c r="Q343" s="1310">
        <f>((Q287+Q288)*'OLD  Formulas'!$C$28)+((Q289+Q290)*'OLD  Formulas'!$C$29)+((Q291+Q292)*'OLD  Formulas'!$C$30)</f>
        <v>331.32</v>
      </c>
      <c r="R343" s="1310">
        <f>((R287+R288)*'OLD  Formulas'!$C$28)+((R289+R290)*'OLD  Formulas'!$C$29)+((R291+R292)*'OLD  Formulas'!$C$30)</f>
        <v>361.44</v>
      </c>
      <c r="S343" s="1310">
        <f>((S287+S288)*'OLD  Formulas'!$C$28)+((S289+S290)*'OLD  Formulas'!$C$29)+((S291+S292)*'OLD  Formulas'!$C$30)</f>
        <v>391.56</v>
      </c>
      <c r="T343" s="1310">
        <f>((T287+T288)*'OLD  Formulas'!$C$28)+((T289+T290)*'OLD  Formulas'!$C$29)+((T291+T292)*'OLD  Formulas'!$C$30)</f>
        <v>557.22</v>
      </c>
      <c r="U343" s="1310">
        <f>((U287+U288)*'OLD  Formulas'!$C$28)+((U289+U290)*'OLD  Formulas'!$C$29)+((U291+U292)*'OLD  Formulas'!$C$30)</f>
        <v>496.98</v>
      </c>
      <c r="V343" s="1310">
        <f>((V287+V288)*'OLD  Formulas'!$C$28)+((V289+V290)*'OLD  Formulas'!$C$29)+((V291+V292)*'OLD  Formulas'!$C$30)</f>
        <v>512.04</v>
      </c>
      <c r="W343" s="1310">
        <f>((W287+W288)*'OLD  Formulas'!$C$28)+((W289+W290)*'OLD  Formulas'!$C$29)+((W291+W292)*'OLD  Formulas'!$C$30)</f>
        <v>436.74</v>
      </c>
      <c r="X343" s="1310">
        <f>((X287+X288)*'OLD  Formulas'!$C$28)+((X289+X290)*'OLD  Formulas'!$C$29)+((X291+X292)*'OLD  Formulas'!$C$30)</f>
        <v>391.56</v>
      </c>
      <c r="Y343" s="1310">
        <f>((Y287+Y288)*'OLD  Formulas'!$C$28)+((Y289+Y290)*'OLD  Formulas'!$C$29)+((Y291+Y292)*'OLD  Formulas'!$C$30)</f>
        <v>481.92</v>
      </c>
      <c r="Z343" s="1310">
        <f>((Z287+Z288)*'OLD  Formulas'!$C$28)+((Z289+Z290)*'OLD  Formulas'!$C$29)+((Z291+Z292)*'OLD  Formulas'!$C$30)</f>
        <v>451.8</v>
      </c>
      <c r="AA343" s="1310">
        <f>((AA287+AA288)*'OLD  Formulas'!$C$28)+((AA289+AA290)*'OLD  Formulas'!$C$29)+((AA291+AA292)*'OLD  Formulas'!$C$30)</f>
        <v>557.22</v>
      </c>
      <c r="AB343" s="1310">
        <f>((AB287+AB288)*'OLD  Formulas'!$C$28)+((AB289+AB290)*'OLD  Formulas'!$C$29)+((AB291+AB292)*'OLD  Formulas'!$C$30)</f>
        <v>421.68</v>
      </c>
      <c r="AC343" s="1310">
        <f>((AC287+AC288)*'OLD  Formulas'!$C$28)+((AC289+AC290)*'OLD  Formulas'!$C$29)+((AC291+AC292)*'OLD  Formulas'!$C$30)</f>
        <v>602.4</v>
      </c>
      <c r="AD343" s="1310">
        <f>((AD287+AD288)*'OLD  Formulas'!$C$28)+((AD289+AD290)*'OLD  Formulas'!$C$29)+((AD291+AD292)*'OLD  Formulas'!$C$30)</f>
        <v>466.86</v>
      </c>
      <c r="AE343" s="1310">
        <f>((AE287+AE288)*'OLD  Formulas'!$C$28)+((AE289+AE290)*'OLD  Formulas'!$C$29)+((AE291+AE292)*'OLD  Formulas'!$C$30)</f>
        <v>451.8</v>
      </c>
      <c r="AF343" s="900">
        <f t="shared" si="137"/>
        <v>10918.5</v>
      </c>
    </row>
    <row r="344">
      <c r="A344" s="1358" t="s">
        <v>1191</v>
      </c>
      <c r="B344" s="595">
        <f>(B301*'OLD  Formulas'!$D$32)+(B308*'OLD  Formulas'!$D$33)+(B315*'OLD  Formulas'!$D$34)</f>
        <v>0</v>
      </c>
      <c r="C344" s="595">
        <f>(C301*'OLD  Formulas'!$D$32)+(C308*'OLD  Formulas'!$D$33)+(C315*'OLD  Formulas'!$D$34)</f>
        <v>0</v>
      </c>
      <c r="D344" s="595">
        <f>(D301*'OLD  Formulas'!$D$32)+(D308*'OLD  Formulas'!$D$33)+(D315*'OLD  Formulas'!$D$34)</f>
        <v>0</v>
      </c>
      <c r="E344" s="595">
        <f>(E301*'OLD  Formulas'!$D$32)+(E308*'OLD  Formulas'!$D$33)+(E315*'OLD  Formulas'!$D$34)</f>
        <v>0</v>
      </c>
      <c r="F344" s="595">
        <f>(F301*'OLD  Formulas'!$D$32)+(F308*'OLD  Formulas'!$D$33)+(F315*'OLD  Formulas'!$D$34)</f>
        <v>0</v>
      </c>
      <c r="G344" s="595">
        <f>(G301*'OLD  Formulas'!$D$32)+(G308*'OLD  Formulas'!$D$33)+(G315*'OLD  Formulas'!$D$34)</f>
        <v>0</v>
      </c>
      <c r="H344" s="595">
        <f>(H301*'OLD  Formulas'!$D$32)+(H308*'OLD  Formulas'!$D$33)+(H315*'OLD  Formulas'!$D$34)</f>
        <v>0</v>
      </c>
      <c r="I344" s="595">
        <f>(I301*'OLD  Formulas'!$D$32)+(I308*'OLD  Formulas'!$D$33)+(I315*'OLD  Formulas'!$D$34)</f>
        <v>0</v>
      </c>
      <c r="J344" s="595">
        <f>(J301*'OLD  Formulas'!$D$32)+(J308*'OLD  Formulas'!$D$33)+(J315*'OLD  Formulas'!$D$34)</f>
        <v>0</v>
      </c>
      <c r="K344" s="595">
        <f>(K301*'OLD  Formulas'!$D$32)+(K308*'OLD  Formulas'!$D$33)+(K315*'OLD  Formulas'!$D$34)</f>
        <v>0</v>
      </c>
      <c r="L344" s="595">
        <f>(L301*'OLD  Formulas'!$D$32)+(L308*'OLD  Formulas'!$D$33)+(L315*'OLD  Formulas'!$D$34)</f>
        <v>0</v>
      </c>
      <c r="M344" s="595">
        <f>(M301*'OLD  Formulas'!$D$32)+(M308*'OLD  Formulas'!$D$33)+(M315*'OLD  Formulas'!$D$34)</f>
        <v>0</v>
      </c>
      <c r="N344" s="595">
        <f>(N301*'OLD  Formulas'!$D$32)+(N308*'OLD  Formulas'!$D$33)+(N315*'OLD  Formulas'!$D$34)</f>
        <v>0</v>
      </c>
      <c r="O344" s="595">
        <f>(O301*'OLD  Formulas'!$D$32)+(O308*'OLD  Formulas'!$D$33)+(O315*'OLD  Formulas'!$D$34)</f>
        <v>0</v>
      </c>
      <c r="P344" s="595">
        <f>(P301*'OLD  Formulas'!$D$32)+(P308*'OLD  Formulas'!$D$33)+(P315*'OLD  Formulas'!$D$34)</f>
        <v>0</v>
      </c>
      <c r="Q344" s="595">
        <f>(Q301*'OLD  Formulas'!$D$32)+(Q308*'OLD  Formulas'!$D$33)+(Q315*'OLD  Formulas'!$D$34)</f>
        <v>0</v>
      </c>
      <c r="R344" s="595">
        <f>(R301*'OLD  Formulas'!$D$32)+(R308*'OLD  Formulas'!$D$33)+(R315*'OLD  Formulas'!$D$34)</f>
        <v>0</v>
      </c>
      <c r="S344" s="595">
        <f>(S301*'OLD  Formulas'!$D$32)+(S308*'OLD  Formulas'!$D$33)+(S315*'OLD  Formulas'!$D$34)</f>
        <v>0</v>
      </c>
      <c r="T344" s="595">
        <f>(T301*'OLD  Formulas'!$D$32)+(T308*'OLD  Formulas'!$D$33)+(T315*'OLD  Formulas'!$D$34)</f>
        <v>0</v>
      </c>
      <c r="U344" s="595">
        <f>(U301*'OLD  Formulas'!$D$32)+(U308*'OLD  Formulas'!$D$33)+(U315*'OLD  Formulas'!$D$34)</f>
        <v>0</v>
      </c>
      <c r="V344" s="595">
        <f>(V301*'OLD  Formulas'!$D$32)+(V308*'OLD  Formulas'!$D$33)+(V315*'OLD  Formulas'!$D$34)</f>
        <v>0</v>
      </c>
      <c r="W344" s="595">
        <f>(W301*'OLD  Formulas'!$D$32)+(W308*'OLD  Formulas'!$D$33)+(W315*'OLD  Formulas'!$D$34)</f>
        <v>0</v>
      </c>
      <c r="X344" s="595">
        <f>(X301*'OLD  Formulas'!$D$32)+(X308*'OLD  Formulas'!$D$33)+(X315*'OLD  Formulas'!$D$34)</f>
        <v>0</v>
      </c>
      <c r="Y344" s="595">
        <f>(Y301*'OLD  Formulas'!$D$32)+(Y308*'OLD  Formulas'!$D$33)+(Y315*'OLD  Formulas'!$D$34)</f>
        <v>0</v>
      </c>
      <c r="Z344" s="595">
        <f>(Z301*'OLD  Formulas'!$D$32)+(Z308*'OLD  Formulas'!$D$33)+(Z315*'OLD  Formulas'!$D$34)</f>
        <v>0</v>
      </c>
      <c r="AA344" s="595">
        <f>(AA301*'OLD  Formulas'!$D$32)+(AA308*'OLD  Formulas'!$D$33)+(AA315*'OLD  Formulas'!$D$34)</f>
        <v>0</v>
      </c>
      <c r="AB344" s="595">
        <f>(AB301*'OLD  Formulas'!$D$32)+(AB308*'OLD  Formulas'!$D$33)+(AB315*'OLD  Formulas'!$D$34)</f>
        <v>0</v>
      </c>
      <c r="AC344" s="595">
        <f>(AC301*'OLD  Formulas'!$D$32)+(AC308*'OLD  Formulas'!$D$33)+(AC315*'OLD  Formulas'!$D$34)</f>
        <v>0</v>
      </c>
      <c r="AD344" s="595">
        <f>(AD301*'OLD  Formulas'!$D$32)+(AD308*'OLD  Formulas'!$D$33)+(AD315*'OLD  Formulas'!$D$34)</f>
        <v>0</v>
      </c>
      <c r="AE344" s="595">
        <f>(AE301*'OLD  Formulas'!$D$32)+(AE308*'OLD  Formulas'!$D$33)+(AE315*'OLD  Formulas'!$D$34)</f>
        <v>0</v>
      </c>
      <c r="AF344" s="900">
        <f t="shared" si="137"/>
        <v>0</v>
      </c>
    </row>
    <row r="345">
      <c r="A345" s="1358" t="s">
        <v>1193</v>
      </c>
      <c r="B345" s="595">
        <f>(B75*'OLD  Formulas'!$D$28)</f>
        <v>0</v>
      </c>
      <c r="C345" s="595">
        <f>(C75*'OLD  Formulas'!$D$28)</f>
        <v>0</v>
      </c>
      <c r="D345" s="595">
        <f>(D75*'OLD  Formulas'!$D$28)</f>
        <v>0</v>
      </c>
      <c r="E345" s="595">
        <f>(E75*'OLD  Formulas'!$D$28)</f>
        <v>0</v>
      </c>
      <c r="F345" s="595">
        <f>(F75*'OLD  Formulas'!$D$28)</f>
        <v>0</v>
      </c>
      <c r="G345" s="595">
        <f>(G75*'OLD  Formulas'!$D$28)</f>
        <v>0</v>
      </c>
      <c r="H345" s="595">
        <f>(H75*'OLD  Formulas'!$D$28)</f>
        <v>0</v>
      </c>
      <c r="I345" s="595">
        <f>(I75*'OLD  Formulas'!$D$28)</f>
        <v>0</v>
      </c>
      <c r="J345" s="595">
        <f>(J75*'OLD  Formulas'!$D$28)</f>
        <v>0</v>
      </c>
      <c r="K345" s="595">
        <f>(K75*'OLD  Formulas'!$D$28)</f>
        <v>0</v>
      </c>
      <c r="L345" s="595">
        <f>(L75*'OLD  Formulas'!$D$28)</f>
        <v>0</v>
      </c>
      <c r="M345" s="595">
        <f>(M75*'OLD  Formulas'!$D$28)</f>
        <v>0</v>
      </c>
      <c r="N345" s="595">
        <f>(N75*'OLD  Formulas'!$D$28)</f>
        <v>0</v>
      </c>
      <c r="O345" s="595">
        <f>(O75*'OLD  Formulas'!$D$28)</f>
        <v>0</v>
      </c>
      <c r="P345" s="595">
        <f>(P75*'OLD  Formulas'!$D$28)</f>
        <v>0</v>
      </c>
      <c r="Q345" s="595">
        <f>(Q75*'OLD  Formulas'!$D$28)</f>
        <v>0</v>
      </c>
      <c r="R345" s="595">
        <f>(R75*'OLD  Formulas'!$D$28)</f>
        <v>0</v>
      </c>
      <c r="S345" s="595">
        <f>(S75*'OLD  Formulas'!$D$28)</f>
        <v>0</v>
      </c>
      <c r="T345" s="595">
        <f>(T75*'OLD  Formulas'!$D$28)</f>
        <v>0</v>
      </c>
      <c r="U345" s="595">
        <f>(U75*'OLD  Formulas'!$D$28)</f>
        <v>0</v>
      </c>
      <c r="V345" s="595">
        <f>(V75*'OLD  Formulas'!$D$28)</f>
        <v>0</v>
      </c>
      <c r="W345" s="595">
        <f>(W75*'OLD  Formulas'!$D$28)</f>
        <v>0</v>
      </c>
      <c r="X345" s="595">
        <f>(X75*'OLD  Formulas'!$D$28)</f>
        <v>0</v>
      </c>
      <c r="Y345" s="595">
        <f>(Y75*'OLD  Formulas'!$D$28)</f>
        <v>0</v>
      </c>
      <c r="Z345" s="595">
        <f>(Z75*'OLD  Formulas'!$D$28)</f>
        <v>0</v>
      </c>
      <c r="AA345" s="595">
        <f>(AA75*'OLD  Formulas'!$D$28)</f>
        <v>0</v>
      </c>
      <c r="AB345" s="595">
        <f>(AB75*'OLD  Formulas'!$D$28)</f>
        <v>0</v>
      </c>
      <c r="AC345" s="595">
        <f>(AC75*'OLD  Formulas'!$D$28)</f>
        <v>0</v>
      </c>
      <c r="AD345" s="595">
        <f>(AD75*'OLD  Formulas'!$D$28)</f>
        <v>0</v>
      </c>
      <c r="AE345" s="595">
        <f>(AE75*'OLD  Formulas'!$D$28)</f>
        <v>0</v>
      </c>
      <c r="AF345" s="900">
        <f t="shared" si="137"/>
        <v>0</v>
      </c>
    </row>
    <row r="346">
      <c r="A346" s="1373" t="s">
        <v>1476</v>
      </c>
      <c r="B346" s="595"/>
      <c r="C346" s="595"/>
      <c r="D346" s="595"/>
      <c r="E346" s="595"/>
      <c r="F346" s="595"/>
      <c r="G346" s="595"/>
      <c r="H346" s="595"/>
      <c r="I346" s="595"/>
      <c r="J346" s="595"/>
      <c r="K346" s="595"/>
      <c r="L346" s="595"/>
      <c r="M346" s="595"/>
      <c r="N346" s="595"/>
      <c r="O346" s="595"/>
      <c r="P346" s="595"/>
      <c r="Q346" s="595"/>
      <c r="R346" s="595"/>
      <c r="S346" s="595"/>
      <c r="T346" s="595"/>
      <c r="U346" s="595"/>
      <c r="V346" s="595"/>
      <c r="W346" s="595"/>
      <c r="X346" s="595"/>
      <c r="Y346" s="595"/>
      <c r="Z346" s="595"/>
      <c r="AA346" s="595"/>
      <c r="AB346" s="595"/>
      <c r="AC346" s="595"/>
      <c r="AD346" s="595"/>
      <c r="AE346" s="595"/>
      <c r="AF346" s="900">
        <f t="shared" si="137"/>
        <v>0</v>
      </c>
    </row>
    <row r="347">
      <c r="A347" s="1388" t="s">
        <v>1477</v>
      </c>
      <c r="B347" s="1389">
        <f t="shared" ref="B347:AE347" si="138">iferror(B348+B349+B350+B351,"")</f>
        <v>30</v>
      </c>
      <c r="C347" s="1389">
        <f t="shared" si="138"/>
        <v>30</v>
      </c>
      <c r="D347" s="1389">
        <f t="shared" si="138"/>
        <v>0</v>
      </c>
      <c r="E347" s="1389">
        <f t="shared" si="138"/>
        <v>0</v>
      </c>
      <c r="F347" s="1389">
        <f t="shared" si="138"/>
        <v>0</v>
      </c>
      <c r="G347" s="1389">
        <f t="shared" si="138"/>
        <v>30</v>
      </c>
      <c r="H347" s="1389">
        <f t="shared" si="138"/>
        <v>30</v>
      </c>
      <c r="I347" s="1389">
        <f t="shared" si="138"/>
        <v>15</v>
      </c>
      <c r="J347" s="1389">
        <f t="shared" si="138"/>
        <v>30</v>
      </c>
      <c r="K347" s="1389">
        <f t="shared" si="138"/>
        <v>15</v>
      </c>
      <c r="L347" s="1389">
        <f t="shared" si="138"/>
        <v>15</v>
      </c>
      <c r="M347" s="1389">
        <f t="shared" si="138"/>
        <v>0</v>
      </c>
      <c r="N347" s="1389">
        <f t="shared" si="138"/>
        <v>15</v>
      </c>
      <c r="O347" s="1389">
        <f t="shared" si="138"/>
        <v>15</v>
      </c>
      <c r="P347" s="1389">
        <f t="shared" si="138"/>
        <v>0</v>
      </c>
      <c r="Q347" s="1389">
        <f t="shared" si="138"/>
        <v>0</v>
      </c>
      <c r="R347" s="1389">
        <f t="shared" si="138"/>
        <v>0</v>
      </c>
      <c r="S347" s="1389">
        <f t="shared" si="138"/>
        <v>0</v>
      </c>
      <c r="T347" s="1389">
        <f t="shared" si="138"/>
        <v>0</v>
      </c>
      <c r="U347" s="1389">
        <f t="shared" si="138"/>
        <v>0</v>
      </c>
      <c r="V347" s="1389">
        <f t="shared" si="138"/>
        <v>0</v>
      </c>
      <c r="W347" s="1389">
        <f t="shared" si="138"/>
        <v>45</v>
      </c>
      <c r="X347" s="1389">
        <f t="shared" si="138"/>
        <v>15</v>
      </c>
      <c r="Y347" s="1389">
        <f t="shared" si="138"/>
        <v>30</v>
      </c>
      <c r="Z347" s="1389">
        <f t="shared" si="138"/>
        <v>30</v>
      </c>
      <c r="AA347" s="1389">
        <f t="shared" si="138"/>
        <v>15</v>
      </c>
      <c r="AB347" s="1389">
        <f t="shared" si="138"/>
        <v>0</v>
      </c>
      <c r="AC347" s="1389">
        <f t="shared" si="138"/>
        <v>0</v>
      </c>
      <c r="AD347" s="1389">
        <f t="shared" si="138"/>
        <v>0</v>
      </c>
      <c r="AE347" s="1389">
        <f t="shared" si="138"/>
        <v>0</v>
      </c>
      <c r="AF347" s="900">
        <f t="shared" si="137"/>
        <v>360</v>
      </c>
    </row>
    <row r="348" outlineLevel="1">
      <c r="A348" s="1093" t="s">
        <v>1478</v>
      </c>
      <c r="B348" s="947">
        <v>0.0</v>
      </c>
      <c r="C348" s="947">
        <v>0.0</v>
      </c>
      <c r="D348" s="1556">
        <v>0.0</v>
      </c>
      <c r="E348" s="947">
        <v>0.0</v>
      </c>
      <c r="F348" s="1556">
        <v>0.0</v>
      </c>
      <c r="G348" s="947">
        <v>0.0</v>
      </c>
      <c r="H348" s="947">
        <v>0.0</v>
      </c>
      <c r="I348" s="947">
        <v>0.0</v>
      </c>
      <c r="J348" s="947">
        <v>0.0</v>
      </c>
      <c r="K348" s="947">
        <v>0.0</v>
      </c>
      <c r="L348" s="947">
        <v>0.0</v>
      </c>
      <c r="M348" s="947">
        <v>0.0</v>
      </c>
      <c r="N348" s="947">
        <v>0.0</v>
      </c>
      <c r="O348" s="947">
        <v>0.0</v>
      </c>
      <c r="P348" s="947">
        <v>0.0</v>
      </c>
      <c r="Q348" s="947">
        <v>0.0</v>
      </c>
      <c r="R348" s="1458">
        <v>0.0</v>
      </c>
      <c r="S348" s="1557">
        <v>0.0</v>
      </c>
      <c r="T348" s="1558">
        <v>0.0</v>
      </c>
      <c r="U348" s="1558">
        <v>0.0</v>
      </c>
      <c r="V348" s="1558">
        <v>0.0</v>
      </c>
      <c r="W348" s="1558">
        <v>0.0</v>
      </c>
      <c r="X348" s="1558">
        <v>0.0</v>
      </c>
      <c r="Y348" s="1558">
        <v>0.0</v>
      </c>
      <c r="Z348" s="1558">
        <v>0.0</v>
      </c>
      <c r="AA348" s="1558">
        <v>0.0</v>
      </c>
      <c r="AB348" s="1558">
        <v>0.0</v>
      </c>
      <c r="AC348" s="1558">
        <v>0.0</v>
      </c>
      <c r="AD348" s="1558">
        <v>0.0</v>
      </c>
      <c r="AE348" s="1558">
        <v>0.0</v>
      </c>
      <c r="AF348" s="900">
        <f t="shared" si="137"/>
        <v>0</v>
      </c>
    </row>
    <row r="349" outlineLevel="1">
      <c r="A349" s="1093" t="s">
        <v>1479</v>
      </c>
      <c r="B349" s="1310">
        <f t="shared" ref="B349:AE349" si="139">(B242+B247+B252)</f>
        <v>0</v>
      </c>
      <c r="C349" s="1310">
        <f t="shared" si="139"/>
        <v>0</v>
      </c>
      <c r="D349" s="1310">
        <f t="shared" si="139"/>
        <v>0</v>
      </c>
      <c r="E349" s="1310">
        <f t="shared" si="139"/>
        <v>0</v>
      </c>
      <c r="F349" s="1310">
        <f t="shared" si="139"/>
        <v>0</v>
      </c>
      <c r="G349" s="1310">
        <f t="shared" si="139"/>
        <v>0</v>
      </c>
      <c r="H349" s="1310">
        <f t="shared" si="139"/>
        <v>0</v>
      </c>
      <c r="I349" s="1310">
        <f t="shared" si="139"/>
        <v>0</v>
      </c>
      <c r="J349" s="1310">
        <f t="shared" si="139"/>
        <v>0</v>
      </c>
      <c r="K349" s="1310">
        <f t="shared" si="139"/>
        <v>0</v>
      </c>
      <c r="L349" s="1310">
        <f t="shared" si="139"/>
        <v>0</v>
      </c>
      <c r="M349" s="1310">
        <f t="shared" si="139"/>
        <v>0</v>
      </c>
      <c r="N349" s="1310">
        <f t="shared" si="139"/>
        <v>0</v>
      </c>
      <c r="O349" s="1310">
        <f t="shared" si="139"/>
        <v>0</v>
      </c>
      <c r="P349" s="1310">
        <f t="shared" si="139"/>
        <v>0</v>
      </c>
      <c r="Q349" s="1310">
        <f t="shared" si="139"/>
        <v>0</v>
      </c>
      <c r="R349" s="1310">
        <f t="shared" si="139"/>
        <v>0</v>
      </c>
      <c r="S349" s="1310">
        <f t="shared" si="139"/>
        <v>0</v>
      </c>
      <c r="T349" s="1310">
        <f t="shared" si="139"/>
        <v>0</v>
      </c>
      <c r="U349" s="1310">
        <f t="shared" si="139"/>
        <v>0</v>
      </c>
      <c r="V349" s="1310">
        <f t="shared" si="139"/>
        <v>0</v>
      </c>
      <c r="W349" s="1310">
        <f t="shared" si="139"/>
        <v>0</v>
      </c>
      <c r="X349" s="1310">
        <f t="shared" si="139"/>
        <v>0</v>
      </c>
      <c r="Y349" s="1310">
        <f t="shared" si="139"/>
        <v>0</v>
      </c>
      <c r="Z349" s="1310">
        <f t="shared" si="139"/>
        <v>0</v>
      </c>
      <c r="AA349" s="1310">
        <f t="shared" si="139"/>
        <v>0</v>
      </c>
      <c r="AB349" s="1310">
        <f t="shared" si="139"/>
        <v>0</v>
      </c>
      <c r="AC349" s="1310">
        <f t="shared" si="139"/>
        <v>0</v>
      </c>
      <c r="AD349" s="1310">
        <f t="shared" si="139"/>
        <v>0</v>
      </c>
      <c r="AE349" s="1310">
        <f t="shared" si="139"/>
        <v>0</v>
      </c>
      <c r="AF349" s="900">
        <f t="shared" si="137"/>
        <v>0</v>
      </c>
    </row>
    <row r="350" outlineLevel="1">
      <c r="A350" s="966" t="s">
        <v>1201</v>
      </c>
      <c r="B350" s="1310">
        <f>(B217*'OLD  Formulas'!$R$3)+(B218*'OLD  Formulas'!$R$4)+(B219*'OLD  Formulas'!$R$5)</f>
        <v>30</v>
      </c>
      <c r="C350" s="1310">
        <f>(C217*'OLD  Formulas'!$R$3)+(C218*'OLD  Formulas'!$R$4)+(C219*'OLD  Formulas'!$R$5)</f>
        <v>30</v>
      </c>
      <c r="D350" s="1310">
        <f>(D217*'OLD  Formulas'!$R$3)+(D218*'OLD  Formulas'!$R$4)+(D219*'OLD  Formulas'!$R$5)</f>
        <v>0</v>
      </c>
      <c r="E350" s="1310">
        <f>(E217*'OLD  Formulas'!$R$3)+(E218*'OLD  Formulas'!$R$4)+(E219*'OLD  Formulas'!$R$5)</f>
        <v>0</v>
      </c>
      <c r="F350" s="1310">
        <f>(F217*'OLD  Formulas'!$R$3)+(F218*'OLD  Formulas'!$R$4)+(F219*'OLD  Formulas'!$R$5)</f>
        <v>0</v>
      </c>
      <c r="G350" s="1310">
        <f>(G217*'OLD  Formulas'!$R$3)+(G218*'OLD  Formulas'!$R$4)+(G219*'OLD  Formulas'!$R$5)</f>
        <v>30</v>
      </c>
      <c r="H350" s="1310">
        <f>(H217*'OLD  Formulas'!$R$3)+(H218*'OLD  Formulas'!$R$4)+(H219*'OLD  Formulas'!$R$5)</f>
        <v>30</v>
      </c>
      <c r="I350" s="1310">
        <f>(I217*'OLD  Formulas'!$R$3)+(I218*'OLD  Formulas'!$R$4)+(I219*'OLD  Formulas'!$R$5)</f>
        <v>15</v>
      </c>
      <c r="J350" s="1310">
        <f>(J217*'OLD  Formulas'!$R$3)+(J218*'OLD  Formulas'!$R$4)+(J219*'OLD  Formulas'!$R$5)</f>
        <v>30</v>
      </c>
      <c r="K350" s="1310">
        <f>(K217*'OLD  Formulas'!$R$3)+(K218*'OLD  Formulas'!$R$4)+(K219*'OLD  Formulas'!$R$5)</f>
        <v>15</v>
      </c>
      <c r="L350" s="1310">
        <f>(L217*'OLD  Formulas'!$R$3)+(L218*'OLD  Formulas'!$R$4)+(L219*'OLD  Formulas'!$R$5)</f>
        <v>15</v>
      </c>
      <c r="M350" s="1310">
        <f>(M217*'OLD  Formulas'!$R$3)+(M218*'OLD  Formulas'!$R$4)+(M219*'OLD  Formulas'!$R$5)</f>
        <v>0</v>
      </c>
      <c r="N350" s="1310">
        <f>(N217*'OLD  Formulas'!$R$3)+(N218*'OLD  Formulas'!$R$4)+(N219*'OLD  Formulas'!$R$5)</f>
        <v>15</v>
      </c>
      <c r="O350" s="1310">
        <f>(O217*'OLD  Formulas'!$R$3)+(O218*'OLD  Formulas'!$R$4)+(O219*'OLD  Formulas'!$R$5)</f>
        <v>15</v>
      </c>
      <c r="P350" s="1310">
        <f>(P217*'OLD  Formulas'!$R$3)+(P218*'OLD  Formulas'!$R$4)+(P219*'OLD  Formulas'!$R$5)</f>
        <v>0</v>
      </c>
      <c r="Q350" s="1310">
        <f>(Q217*'OLD  Formulas'!$R$3)+(Q218*'OLD  Formulas'!$R$4)+(Q219*'OLD  Formulas'!$R$5)</f>
        <v>0</v>
      </c>
      <c r="R350" s="1310">
        <f>(R217*'OLD  Formulas'!$R$3)+(R218*'OLD  Formulas'!$R$4)+(R219*'OLD  Formulas'!$R$5)</f>
        <v>0</v>
      </c>
      <c r="S350" s="1310">
        <f>(S217*'OLD  Formulas'!$R$3)+(S218*'OLD  Formulas'!$R$4)+(S219*'OLD  Formulas'!$R$5)</f>
        <v>0</v>
      </c>
      <c r="T350" s="1310">
        <f>(T217*'OLD  Formulas'!$R$3)+(T218*'OLD  Formulas'!$R$4)+(T219*'OLD  Formulas'!$R$5)</f>
        <v>0</v>
      </c>
      <c r="U350" s="1310">
        <f>(U217*'OLD  Formulas'!$R$3)+(U218*'OLD  Formulas'!$R$4)+(U219*'OLD  Formulas'!$R$5)</f>
        <v>0</v>
      </c>
      <c r="V350" s="1310">
        <f>(V217*'OLD  Formulas'!$R$3)+(V218*'OLD  Formulas'!$R$4)+(V219*'OLD  Formulas'!$R$5)</f>
        <v>0</v>
      </c>
      <c r="W350" s="1310">
        <f>(W217*'OLD  Formulas'!$R$3)+(W218*'OLD  Formulas'!$R$4)+(W219*'OLD  Formulas'!$R$5)</f>
        <v>45</v>
      </c>
      <c r="X350" s="1310">
        <f>(X217*'OLD  Formulas'!$R$3)+(X218*'OLD  Formulas'!$R$4)+(X219*'OLD  Formulas'!$R$5)</f>
        <v>15</v>
      </c>
      <c r="Y350" s="1310">
        <f>(Y217*'OLD  Formulas'!$R$3)+(Y218*'OLD  Formulas'!$R$4)+(Y219*'OLD  Formulas'!$R$5)</f>
        <v>30</v>
      </c>
      <c r="Z350" s="1310">
        <f>(Z217*'OLD  Formulas'!$R$3)+(Z218*'OLD  Formulas'!$R$4)+(Z219*'OLD  Formulas'!$R$5)</f>
        <v>30</v>
      </c>
      <c r="AA350" s="1310">
        <f>(AA217*'OLD  Formulas'!$R$3)+(AA218*'OLD  Formulas'!$R$4)+(AA219*'OLD  Formulas'!$R$5)</f>
        <v>15</v>
      </c>
      <c r="AB350" s="1310">
        <f>(AB217*'OLD  Formulas'!$R$3)+(AB218*'OLD  Formulas'!$R$4)+(AB219*'OLD  Formulas'!$R$5)</f>
        <v>0</v>
      </c>
      <c r="AC350" s="1310">
        <f>(AC217*'OLD  Formulas'!$R$3)+(AC218*'OLD  Formulas'!$R$4)+(AC219*'OLD  Formulas'!$R$5)</f>
        <v>0</v>
      </c>
      <c r="AD350" s="1310">
        <f>(AD217*'OLD  Formulas'!$R$3)+(AD218*'OLD  Formulas'!$R$4)+(AD219*'OLD  Formulas'!$R$5)</f>
        <v>0</v>
      </c>
      <c r="AE350" s="1310">
        <f>(AE217*'OLD  Formulas'!$R$3)+(AE218*'OLD  Formulas'!$R$4)+(AE219*'OLD  Formulas'!$R$5)</f>
        <v>0</v>
      </c>
      <c r="AF350" s="900">
        <f t="shared" si="137"/>
        <v>360</v>
      </c>
    </row>
    <row r="351" outlineLevel="1">
      <c r="A351" s="1093" t="s">
        <v>369</v>
      </c>
      <c r="B351" s="1310"/>
      <c r="C351" s="1406"/>
      <c r="D351" s="1406"/>
      <c r="E351" s="1406"/>
      <c r="F351" s="1406"/>
      <c r="G351" s="1406"/>
      <c r="H351" s="1406"/>
      <c r="I351" s="1406"/>
      <c r="J351" s="1406"/>
      <c r="K351" s="1406"/>
      <c r="L351" s="1406"/>
      <c r="M351" s="1406"/>
      <c r="N351" s="1406"/>
      <c r="O351" s="1406"/>
      <c r="P351" s="1406"/>
      <c r="Q351" s="1406"/>
      <c r="R351" s="1406"/>
      <c r="S351" s="1406"/>
      <c r="T351" s="1310"/>
      <c r="U351" s="1310"/>
      <c r="V351" s="1310"/>
      <c r="W351" s="1310"/>
      <c r="X351" s="1310"/>
      <c r="Y351" s="1310"/>
      <c r="Z351" s="1310"/>
      <c r="AA351" s="1310"/>
      <c r="AB351" s="1406"/>
      <c r="AC351" s="1310"/>
      <c r="AD351" s="1310"/>
      <c r="AE351" s="1310"/>
      <c r="AF351" s="900">
        <f t="shared" si="137"/>
        <v>0</v>
      </c>
    </row>
    <row r="352" outlineLevel="1">
      <c r="A352" s="1409" t="s">
        <v>1268</v>
      </c>
      <c r="B352" s="580">
        <f>((B301+B308+B315)*'OLD  Formulas'!$D$22)</f>
        <v>0</v>
      </c>
      <c r="C352" s="580">
        <f>((C301+C308+C315)*'OLD  Formulas'!$D$22)</f>
        <v>0</v>
      </c>
      <c r="D352" s="580">
        <f>((D301+D308+D315)*'OLD  Formulas'!$D$22)</f>
        <v>0</v>
      </c>
      <c r="E352" s="580">
        <f>((E301+E308+E315)*'OLD  Formulas'!$D$22)</f>
        <v>0</v>
      </c>
      <c r="F352" s="580">
        <f>((F301+F308+F315)*'OLD  Formulas'!$D$22)</f>
        <v>0</v>
      </c>
      <c r="G352" s="580">
        <f>((G301+G308+G315)*'OLD  Formulas'!$D$22)</f>
        <v>0</v>
      </c>
      <c r="H352" s="580">
        <f>((H301+H308+H315)*'OLD  Formulas'!$D$22)</f>
        <v>0</v>
      </c>
      <c r="I352" s="580">
        <f>((I301+I308+I315)*'OLD  Formulas'!$D$22)</f>
        <v>0</v>
      </c>
      <c r="J352" s="580">
        <f>((J301+J308+J315)*'OLD  Formulas'!$D$22)</f>
        <v>0</v>
      </c>
      <c r="K352" s="580">
        <f>((K301+K308+K315)*'OLD  Formulas'!$D$22)</f>
        <v>0</v>
      </c>
      <c r="L352" s="580">
        <f>((L301+L308+L315)*'OLD  Formulas'!$D$22)</f>
        <v>0</v>
      </c>
      <c r="M352" s="580">
        <f>((M301+M308+M315)*'OLD  Formulas'!$D$22)</f>
        <v>0</v>
      </c>
      <c r="N352" s="580">
        <f>((N301+N308+N315)*'OLD  Formulas'!$D$22)</f>
        <v>0</v>
      </c>
      <c r="O352" s="580">
        <f>((O301+O308+O315)*'OLD  Formulas'!$D$22)</f>
        <v>0</v>
      </c>
      <c r="P352" s="580">
        <f>((P301+P308+P315)*'OLD  Formulas'!$D$22)</f>
        <v>0</v>
      </c>
      <c r="Q352" s="580">
        <f>((Q301+Q308+Q315)*'OLD  Formulas'!$D$22)</f>
        <v>0</v>
      </c>
      <c r="R352" s="580">
        <f>((R301+R308+R315)*'OLD  Formulas'!$D$22)</f>
        <v>0</v>
      </c>
      <c r="S352" s="580">
        <f>((S301+S308+S315)*'OLD  Formulas'!$D$22)</f>
        <v>0</v>
      </c>
      <c r="T352" s="580">
        <f>((T301+T308+T315)*'OLD  Formulas'!$D$22)</f>
        <v>0</v>
      </c>
      <c r="U352" s="580">
        <f>((U301+U308+U315)*'OLD  Formulas'!$D$22)</f>
        <v>0</v>
      </c>
      <c r="V352" s="580">
        <f>((V301+V308+V315)*'OLD  Formulas'!$D$22)</f>
        <v>0</v>
      </c>
      <c r="W352" s="580">
        <f>((W301+W308+W315)*'OLD  Formulas'!$D$22)</f>
        <v>0</v>
      </c>
      <c r="X352" s="580">
        <f>((X301+X308+X315)*'OLD  Formulas'!$D$22)</f>
        <v>0</v>
      </c>
      <c r="Y352" s="580">
        <f>((Y301+Y308+Y315)*'OLD  Formulas'!$D$22)</f>
        <v>0</v>
      </c>
      <c r="Z352" s="580">
        <f>((Z301+Z308+Z315)*'OLD  Formulas'!$D$22)</f>
        <v>0</v>
      </c>
      <c r="AA352" s="580">
        <f>((AA301+AA308+AA315)*'OLD  Formulas'!$D$22)</f>
        <v>0</v>
      </c>
      <c r="AB352" s="580">
        <f>((AB301+AB308+AB315)*'OLD  Formulas'!$D$22)</f>
        <v>0</v>
      </c>
      <c r="AC352" s="580">
        <f>((AC301+AC308+AC315)*'OLD  Formulas'!$D$22)</f>
        <v>0</v>
      </c>
      <c r="AD352" s="580">
        <f>((AD301+AD308+AD315)*'OLD  Formulas'!$D$22)</f>
        <v>0</v>
      </c>
      <c r="AE352" s="580">
        <f>((AE301+AE308+AE315)*'OLD  Formulas'!$D$22)</f>
        <v>0</v>
      </c>
      <c r="AF352" s="900">
        <f t="shared" si="137"/>
        <v>0</v>
      </c>
    </row>
    <row r="353" outlineLevel="1">
      <c r="A353" s="1409" t="s">
        <v>1269</v>
      </c>
      <c r="B353" s="580">
        <f>((B301+B308+B315)*'OLD  Formulas'!$D$23)</f>
        <v>0</v>
      </c>
      <c r="C353" s="580">
        <f>((C301+C308+C315)*'OLD  Formulas'!$D$23)</f>
        <v>0</v>
      </c>
      <c r="D353" s="580">
        <f>((D301+D308+D315)*'OLD  Formulas'!$D$23)</f>
        <v>0</v>
      </c>
      <c r="E353" s="580">
        <f>((E301+E308+E315)*'OLD  Formulas'!$D$23)</f>
        <v>0</v>
      </c>
      <c r="F353" s="580">
        <f>((F301+F308+F315)*'OLD  Formulas'!$D$23)</f>
        <v>0</v>
      </c>
      <c r="G353" s="580">
        <f>((G301+G308+G315)*'OLD  Formulas'!$D$23)</f>
        <v>0</v>
      </c>
      <c r="H353" s="580">
        <f>((H301+H308+H315)*'OLD  Formulas'!$D$23)</f>
        <v>0</v>
      </c>
      <c r="I353" s="580">
        <f>((I301+I308+I315)*'OLD  Formulas'!$D$23)</f>
        <v>0</v>
      </c>
      <c r="J353" s="580">
        <f>((J301+J308+J315)*'OLD  Formulas'!$D$23)</f>
        <v>0</v>
      </c>
      <c r="K353" s="580">
        <f>((K301+K308+K315)*'OLD  Formulas'!$D$23)</f>
        <v>0</v>
      </c>
      <c r="L353" s="580">
        <f>((L301+L308+L315)*'OLD  Formulas'!$D$23)</f>
        <v>0</v>
      </c>
      <c r="M353" s="580">
        <f>((M301+M308+M315)*'OLD  Formulas'!$D$23)</f>
        <v>0</v>
      </c>
      <c r="N353" s="580">
        <f>((N301+N308+N315)*'OLD  Formulas'!$D$23)</f>
        <v>0</v>
      </c>
      <c r="O353" s="580">
        <f>((O301+O308+O315)*'OLD  Formulas'!$D$23)</f>
        <v>0</v>
      </c>
      <c r="P353" s="580">
        <f>((P301+P308+P315)*'OLD  Formulas'!$D$23)</f>
        <v>0</v>
      </c>
      <c r="Q353" s="580">
        <f>((Q301+Q308+Q315)*'OLD  Formulas'!$D$23)</f>
        <v>0</v>
      </c>
      <c r="R353" s="580">
        <f>((R301+R308+R315)*'OLD  Formulas'!$D$23)</f>
        <v>0</v>
      </c>
      <c r="S353" s="580">
        <f>((S301+S308+S315)*'OLD  Formulas'!$D$23)</f>
        <v>0</v>
      </c>
      <c r="T353" s="580">
        <f>((T301+T308+T315)*'OLD  Formulas'!$D$23)</f>
        <v>0</v>
      </c>
      <c r="U353" s="580">
        <f>((U301+U308+U315)*'OLD  Formulas'!$D$23)</f>
        <v>0</v>
      </c>
      <c r="V353" s="580">
        <f>((V301+V308+V315)*'OLD  Formulas'!$D$23)</f>
        <v>0</v>
      </c>
      <c r="W353" s="580">
        <f>((W301+W308+W315)*'OLD  Formulas'!$D$23)</f>
        <v>0</v>
      </c>
      <c r="X353" s="580">
        <f>((X301+X308+X315)*'OLD  Formulas'!$D$23)</f>
        <v>0</v>
      </c>
      <c r="Y353" s="580">
        <f>((Y301+Y308+Y315)*'OLD  Formulas'!$D$23)</f>
        <v>0</v>
      </c>
      <c r="Z353" s="580">
        <f>((Z301+Z308+Z315)*'OLD  Formulas'!$D$23)</f>
        <v>0</v>
      </c>
      <c r="AA353" s="580">
        <f>((AA301+AA308+AA315)*'OLD  Formulas'!$D$23)</f>
        <v>0</v>
      </c>
      <c r="AB353" s="580">
        <f>((AB301+AB308+AB315)*'OLD  Formulas'!$D$23)</f>
        <v>0</v>
      </c>
      <c r="AC353" s="580">
        <f>((AC301+AC308+AC315)*'OLD  Formulas'!$D$23)</f>
        <v>0</v>
      </c>
      <c r="AD353" s="580">
        <f>((AD301+AD308+AD315)*'OLD  Formulas'!$D$23)</f>
        <v>0</v>
      </c>
      <c r="AE353" s="580">
        <f>((AE301+AE308+AE315)*'OLD  Formulas'!$D$23)</f>
        <v>0</v>
      </c>
      <c r="AF353" s="900">
        <f t="shared" si="137"/>
        <v>0</v>
      </c>
    </row>
    <row r="354" outlineLevel="1">
      <c r="A354" s="1409" t="s">
        <v>1270</v>
      </c>
      <c r="B354" s="580">
        <f>((B301+B308+B315)*'OLD  Formulas'!$D$24)</f>
        <v>0</v>
      </c>
      <c r="C354" s="580">
        <f>((C301+C308+C315)*'OLD  Formulas'!$D$24)</f>
        <v>0</v>
      </c>
      <c r="D354" s="580">
        <f>((D301+D308+D315)*'OLD  Formulas'!$D$24)</f>
        <v>0</v>
      </c>
      <c r="E354" s="580">
        <f>((E301+E308+E315)*'OLD  Formulas'!$D$24)</f>
        <v>0</v>
      </c>
      <c r="F354" s="580">
        <f>((F301+F308+F315)*'OLD  Formulas'!$D$24)</f>
        <v>0</v>
      </c>
      <c r="G354" s="580">
        <f>((G301+G308+G315)*'OLD  Formulas'!$D$24)</f>
        <v>0</v>
      </c>
      <c r="H354" s="580">
        <f>((H301+H308+H315)*'OLD  Formulas'!$D$24)</f>
        <v>0</v>
      </c>
      <c r="I354" s="580">
        <f>((I301+I308+I315)*'OLD  Formulas'!$D$24)</f>
        <v>0</v>
      </c>
      <c r="J354" s="580">
        <f>((J301+J308+J315)*'OLD  Formulas'!$D$24)</f>
        <v>0</v>
      </c>
      <c r="K354" s="580">
        <f>((K301+K308+K315)*'OLD  Formulas'!$D$24)</f>
        <v>0</v>
      </c>
      <c r="L354" s="580">
        <f>((L301+L308+L315)*'OLD  Formulas'!$D$24)</f>
        <v>0</v>
      </c>
      <c r="M354" s="580">
        <f>((M301+M308+M315)*'OLD  Formulas'!$D$24)</f>
        <v>0</v>
      </c>
      <c r="N354" s="580">
        <f>((N301+N308+N315)*'OLD  Formulas'!$D$24)</f>
        <v>0</v>
      </c>
      <c r="O354" s="580">
        <f>((O301+O308+O315)*'OLD  Formulas'!$D$24)</f>
        <v>0</v>
      </c>
      <c r="P354" s="580">
        <f>((P301+P308+P315)*'OLD  Formulas'!$D$24)</f>
        <v>0</v>
      </c>
      <c r="Q354" s="580">
        <f>((Q301+Q308+Q315)*'OLD  Formulas'!$D$24)</f>
        <v>0</v>
      </c>
      <c r="R354" s="580">
        <f>((R301+R308+R315)*'OLD  Formulas'!$D$24)</f>
        <v>0</v>
      </c>
      <c r="S354" s="580">
        <f>((S301+S308+S315)*'OLD  Formulas'!$D$24)</f>
        <v>0</v>
      </c>
      <c r="T354" s="580">
        <f>((T301+T308+T315)*'OLD  Formulas'!$D$24)</f>
        <v>0</v>
      </c>
      <c r="U354" s="580">
        <f>((U301+U308+U315)*'OLD  Formulas'!$D$24)</f>
        <v>0</v>
      </c>
      <c r="V354" s="580">
        <f>((V301+V308+V315)*'OLD  Formulas'!$D$24)</f>
        <v>0</v>
      </c>
      <c r="W354" s="580">
        <f>((W301+W308+W315)*'OLD  Formulas'!$D$24)</f>
        <v>0</v>
      </c>
      <c r="X354" s="580">
        <f>((X301+X308+X315)*'OLD  Formulas'!$D$24)</f>
        <v>0</v>
      </c>
      <c r="Y354" s="580">
        <f>((Y301+Y308+Y315)*'OLD  Formulas'!$D$24)</f>
        <v>0</v>
      </c>
      <c r="Z354" s="580">
        <f>((Z301+Z308+Z315)*'OLD  Formulas'!$D$24)</f>
        <v>0</v>
      </c>
      <c r="AA354" s="580">
        <f>((AA301+AA308+AA315)*'OLD  Formulas'!$D$24)</f>
        <v>0</v>
      </c>
      <c r="AB354" s="580">
        <f>((AB301+AB308+AB315)*'OLD  Formulas'!$D$24)</f>
        <v>0</v>
      </c>
      <c r="AC354" s="580">
        <f>((AC301+AC308+AC315)*'OLD  Formulas'!$D$24)</f>
        <v>0</v>
      </c>
      <c r="AD354" s="580">
        <f>((AD301+AD308+AD315)*'OLD  Formulas'!$D$24)</f>
        <v>0</v>
      </c>
      <c r="AE354" s="580">
        <f>((AE301+AE308+AE315)*'OLD  Formulas'!$D$24)</f>
        <v>0</v>
      </c>
      <c r="AF354" s="900">
        <f t="shared" si="137"/>
        <v>0</v>
      </c>
    </row>
    <row r="355" outlineLevel="1">
      <c r="A355" s="1409" t="s">
        <v>1293</v>
      </c>
      <c r="B355" s="580">
        <f>((B301+B308+B315)*'OLD  Formulas'!$D$25)</f>
        <v>0</v>
      </c>
      <c r="C355" s="580">
        <f>((C301+C308+C315)*'OLD  Formulas'!$D$25)</f>
        <v>0</v>
      </c>
      <c r="D355" s="580">
        <f>((D301+D308+D315)*'OLD  Formulas'!$D$25)</f>
        <v>0</v>
      </c>
      <c r="E355" s="580">
        <f>((E301+E308+E315)*'OLD  Formulas'!$D$25)</f>
        <v>0</v>
      </c>
      <c r="F355" s="580">
        <f>((F301+F308+F315)*'OLD  Formulas'!$D$25)</f>
        <v>0</v>
      </c>
      <c r="G355" s="580">
        <f>((G301+G308+G315)*'OLD  Formulas'!$D$25)</f>
        <v>0</v>
      </c>
      <c r="H355" s="580">
        <f>((H301+H308+H315)*'OLD  Formulas'!$D$25)</f>
        <v>0</v>
      </c>
      <c r="I355" s="580">
        <f>((I301+I308+I315)*'OLD  Formulas'!$D$25)</f>
        <v>0</v>
      </c>
      <c r="J355" s="580">
        <f>((J301+J308+J315)*'OLD  Formulas'!$D$25)</f>
        <v>0</v>
      </c>
      <c r="K355" s="580">
        <f>((K301+K308+K315)*'OLD  Formulas'!$D$25)</f>
        <v>0</v>
      </c>
      <c r="L355" s="580">
        <f>((L301+L308+L315)*'OLD  Formulas'!$D$25)</f>
        <v>0</v>
      </c>
      <c r="M355" s="580">
        <f>((M301+M308+M315)*'OLD  Formulas'!$D$25)</f>
        <v>0</v>
      </c>
      <c r="N355" s="580">
        <f>((N301+N308+N315)*'OLD  Formulas'!$D$25)</f>
        <v>0</v>
      </c>
      <c r="O355" s="580">
        <f>((O301+O308+O315)*'OLD  Formulas'!$D$25)</f>
        <v>0</v>
      </c>
      <c r="P355" s="580">
        <f>((P301+P308+P315)*'OLD  Formulas'!$D$25)</f>
        <v>0</v>
      </c>
      <c r="Q355" s="580">
        <f>((Q301+Q308+Q315)*'OLD  Formulas'!$D$25)</f>
        <v>0</v>
      </c>
      <c r="R355" s="580">
        <f>((R301+R308+R315)*'OLD  Formulas'!$D$25)</f>
        <v>0</v>
      </c>
      <c r="S355" s="580">
        <f>((S301+S308+S315)*'OLD  Formulas'!$D$25)</f>
        <v>0</v>
      </c>
      <c r="T355" s="580">
        <f>((T301+T308+T315)*'OLD  Formulas'!$D$25)</f>
        <v>0</v>
      </c>
      <c r="U355" s="580">
        <f>((U301+U308+U315)*'OLD  Formulas'!$D$25)</f>
        <v>0</v>
      </c>
      <c r="V355" s="580">
        <f>((V301+V308+V315)*'OLD  Formulas'!$D$25)</f>
        <v>0</v>
      </c>
      <c r="W355" s="580">
        <f>((W301+W308+W315)*'OLD  Formulas'!$D$25)</f>
        <v>0</v>
      </c>
      <c r="X355" s="580">
        <f>((X301+X308+X315)*'OLD  Formulas'!$D$25)</f>
        <v>0</v>
      </c>
      <c r="Y355" s="580">
        <f>((Y301+Y308+Y315)*'OLD  Formulas'!$D$25)</f>
        <v>0</v>
      </c>
      <c r="Z355" s="580">
        <f>((Z301+Z308+Z315)*'OLD  Formulas'!$D$25)</f>
        <v>0</v>
      </c>
      <c r="AA355" s="580">
        <f>((AA301+AA308+AA315)*'OLD  Formulas'!$D$25)</f>
        <v>0</v>
      </c>
      <c r="AB355" s="580">
        <f>((AB301+AB308+AB315)*'OLD  Formulas'!$D$25)</f>
        <v>0</v>
      </c>
      <c r="AC355" s="580">
        <f>((AC301+AC308+AC315)*'OLD  Formulas'!$D$25)</f>
        <v>0</v>
      </c>
      <c r="AD355" s="580">
        <f>((AD301+AD308+AD315)*'OLD  Formulas'!$D$25)</f>
        <v>0</v>
      </c>
      <c r="AE355" s="580">
        <f>((AE301+AE308+AE315)*'OLD  Formulas'!$D$25)</f>
        <v>0</v>
      </c>
      <c r="AF355" s="900">
        <f t="shared" si="137"/>
        <v>0</v>
      </c>
    </row>
    <row r="356" outlineLevel="1">
      <c r="A356" s="1409" t="s">
        <v>1306</v>
      </c>
      <c r="B356" s="580">
        <f>((B301+B308+B315)*'OLD  Formulas'!$D$26)</f>
        <v>0</v>
      </c>
      <c r="C356" s="580">
        <f>((C301+C308+C315)*'OLD  Formulas'!$D$26)</f>
        <v>0</v>
      </c>
      <c r="D356" s="580">
        <f>((D301+D308+D315)*'OLD  Formulas'!$D$26)</f>
        <v>0</v>
      </c>
      <c r="E356" s="580">
        <f>((E301+E308+E315)*'OLD  Formulas'!$D$26)</f>
        <v>0</v>
      </c>
      <c r="F356" s="580">
        <f>((F301+F308+F315)*'OLD  Formulas'!$D$26)</f>
        <v>0</v>
      </c>
      <c r="G356" s="580">
        <f>((G301+G308+G315)*'OLD  Formulas'!$D$26)</f>
        <v>0</v>
      </c>
      <c r="H356" s="580">
        <f>((H301+H308+H315)*'OLD  Formulas'!$D$26)</f>
        <v>0</v>
      </c>
      <c r="I356" s="580">
        <f>((I301+I308+I315)*'OLD  Formulas'!$D$26)</f>
        <v>0</v>
      </c>
      <c r="J356" s="580">
        <f>((J301+J308+J315)*'OLD  Formulas'!$D$26)</f>
        <v>0</v>
      </c>
      <c r="K356" s="580">
        <f>((K301+K308+K315)*'OLD  Formulas'!$D$26)</f>
        <v>0</v>
      </c>
      <c r="L356" s="580">
        <f>((L301+L308+L315)*'OLD  Formulas'!$D$26)</f>
        <v>0</v>
      </c>
      <c r="M356" s="580">
        <f>((M301+M308+M315)*'OLD  Formulas'!$D$26)</f>
        <v>0</v>
      </c>
      <c r="N356" s="580">
        <f>((N301+N308+N315)*'OLD  Formulas'!$D$26)</f>
        <v>0</v>
      </c>
      <c r="O356" s="580">
        <f>((O301+O308+O315)*'OLD  Formulas'!$D$26)</f>
        <v>0</v>
      </c>
      <c r="P356" s="580">
        <f>((P301+P308+P315)*'OLD  Formulas'!$D$26)</f>
        <v>0</v>
      </c>
      <c r="Q356" s="580">
        <f>((Q301+Q308+Q315)*'OLD  Formulas'!$D$26)</f>
        <v>0</v>
      </c>
      <c r="R356" s="580">
        <f>((R301+R308+R315)*'OLD  Formulas'!$D$26)</f>
        <v>0</v>
      </c>
      <c r="S356" s="580">
        <f>((S301+S308+S315)*'OLD  Formulas'!$D$26)</f>
        <v>0</v>
      </c>
      <c r="T356" s="580">
        <f>((T301+T308+T315)*'OLD  Formulas'!$D$26)</f>
        <v>0</v>
      </c>
      <c r="U356" s="580">
        <f>((U301+U308+U315)*'OLD  Formulas'!$D$26)</f>
        <v>0</v>
      </c>
      <c r="V356" s="580">
        <f>((V301+V308+V315)*'OLD  Formulas'!$D$26)</f>
        <v>0</v>
      </c>
      <c r="W356" s="580">
        <f>((W301+W308+W315)*'OLD  Formulas'!$D$26)</f>
        <v>0</v>
      </c>
      <c r="X356" s="580">
        <f>((X301+X308+X315)*'OLD  Formulas'!$D$26)</f>
        <v>0</v>
      </c>
      <c r="Y356" s="580">
        <f>((Y301+Y308+Y315)*'OLD  Formulas'!$D$26)</f>
        <v>0</v>
      </c>
      <c r="Z356" s="580">
        <f>((Z301+Z308+Z315)*'OLD  Formulas'!$D$26)</f>
        <v>0</v>
      </c>
      <c r="AA356" s="580">
        <f>((AA301+AA308+AA315)*'OLD  Formulas'!$D$26)</f>
        <v>0</v>
      </c>
      <c r="AB356" s="580">
        <f>((AB301+AB308+AB315)*'OLD  Formulas'!$D$26)</f>
        <v>0</v>
      </c>
      <c r="AC356" s="580">
        <f>((AC301+AC308+AC315)*'OLD  Formulas'!$D$26)</f>
        <v>0</v>
      </c>
      <c r="AD356" s="580">
        <f>((AD301+AD308+AD315)*'OLD  Formulas'!$D$26)</f>
        <v>0</v>
      </c>
      <c r="AE356" s="580">
        <f>((AE301+AE308+AE315)*'OLD  Formulas'!$D$26)</f>
        <v>0</v>
      </c>
      <c r="AF356" s="900">
        <f t="shared" si="137"/>
        <v>0</v>
      </c>
    </row>
    <row r="357" outlineLevel="1">
      <c r="A357" s="1454" t="s">
        <v>1320</v>
      </c>
      <c r="B357" s="1455">
        <f>((B301+B308+B315)*'OLD  Formulas'!$D$27)</f>
        <v>0</v>
      </c>
      <c r="C357" s="1455">
        <f>((C301+C308+C315)*'OLD  Formulas'!$D$27)</f>
        <v>0</v>
      </c>
      <c r="D357" s="1455">
        <f>((D301+D308+D315)*'OLD  Formulas'!$D$27)</f>
        <v>0</v>
      </c>
      <c r="E357" s="1455">
        <f>((E301+E308+E315)*'OLD  Formulas'!$D$27)</f>
        <v>0</v>
      </c>
      <c r="F357" s="1455">
        <f>((F301+F308+F315)*'OLD  Formulas'!$D$27)</f>
        <v>0</v>
      </c>
      <c r="G357" s="1455">
        <f>((G301+G308+G315)*'OLD  Formulas'!$D$27)</f>
        <v>0</v>
      </c>
      <c r="H357" s="1455">
        <f>((H301+H308+H315)*'OLD  Formulas'!$D$27)</f>
        <v>0</v>
      </c>
      <c r="I357" s="1455">
        <f>((I301+I308+I315)*'OLD  Formulas'!$D$27)</f>
        <v>0</v>
      </c>
      <c r="J357" s="1455">
        <f>((J301+J308+J315)*'OLD  Formulas'!$D$27)</f>
        <v>0</v>
      </c>
      <c r="K357" s="1455">
        <f>((K301+K308+K315)*'OLD  Formulas'!$D$27)</f>
        <v>0</v>
      </c>
      <c r="L357" s="1455">
        <f>((L301+L308+L315)*'OLD  Formulas'!$D$27)</f>
        <v>0</v>
      </c>
      <c r="M357" s="1455">
        <f>((M301+M308+M315)*'OLD  Formulas'!$D$27)</f>
        <v>0</v>
      </c>
      <c r="N357" s="1455">
        <f>((N301+N308+N315)*'OLD  Formulas'!$D$27)</f>
        <v>0</v>
      </c>
      <c r="O357" s="1455">
        <f>((O301+O308+O315)*'OLD  Formulas'!$D$27)</f>
        <v>0</v>
      </c>
      <c r="P357" s="1455">
        <f>((P301+P308+P315)*'OLD  Formulas'!$D$27)</f>
        <v>0</v>
      </c>
      <c r="Q357" s="1455">
        <f>((Q301+Q308+Q315)*'OLD  Formulas'!$D$27)</f>
        <v>0</v>
      </c>
      <c r="R357" s="1455">
        <f>((R301+R308+R315)*'OLD  Formulas'!$D$27)</f>
        <v>0</v>
      </c>
      <c r="S357" s="1455">
        <f>((S301+S308+S315)*'OLD  Formulas'!$D$27)</f>
        <v>0</v>
      </c>
      <c r="T357" s="1455">
        <f>((T301+T308+T315)*'OLD  Formulas'!$D$27)</f>
        <v>0</v>
      </c>
      <c r="U357" s="1455">
        <f>((U301+U308+U315)*'OLD  Formulas'!$D$27)</f>
        <v>0</v>
      </c>
      <c r="V357" s="1455">
        <f>((V301+V308+V315)*'OLD  Formulas'!$D$27)</f>
        <v>0</v>
      </c>
      <c r="W357" s="1455">
        <f>((W301+W308+W315)*'OLD  Formulas'!$D$27)</f>
        <v>0</v>
      </c>
      <c r="X357" s="1455">
        <f>((X301+X308+X315)*'OLD  Formulas'!$D$27)</f>
        <v>0</v>
      </c>
      <c r="Y357" s="1455">
        <f>((Y301+Y308+Y315)*'OLD  Formulas'!$D$27)</f>
        <v>0</v>
      </c>
      <c r="Z357" s="1455">
        <f>((Z301+Z308+Z315)*'OLD  Formulas'!$D$27)</f>
        <v>0</v>
      </c>
      <c r="AA357" s="1455">
        <f>((AA301+AA308+AA315)*'OLD  Formulas'!$D$27)</f>
        <v>0</v>
      </c>
      <c r="AB357" s="1455">
        <f>((AB301+AB308+AB315)*'OLD  Formulas'!$D$27)</f>
        <v>0</v>
      </c>
      <c r="AC357" s="1455">
        <f>((AC301+AC308+AC315)*'OLD  Formulas'!$D$27)</f>
        <v>0</v>
      </c>
      <c r="AD357" s="1455">
        <f>((AD301+AD308+AD315)*'OLD  Formulas'!$D$27)</f>
        <v>0</v>
      </c>
      <c r="AE357" s="1455">
        <f>((AE301+AE308+AE315)*'OLD  Formulas'!$D$27)</f>
        <v>0</v>
      </c>
      <c r="AF357" s="1457">
        <f t="shared" si="137"/>
        <v>0</v>
      </c>
    </row>
    <row r="358" collapsed="1">
      <c r="A358" s="1093" t="s">
        <v>1331</v>
      </c>
      <c r="B358" s="582"/>
      <c r="C358" s="582"/>
      <c r="D358" s="582"/>
      <c r="E358" s="582"/>
      <c r="F358" s="582"/>
      <c r="G358" s="582"/>
      <c r="H358" s="582"/>
      <c r="I358" s="582"/>
      <c r="J358" s="582"/>
      <c r="K358" s="582"/>
      <c r="L358" s="582"/>
      <c r="M358" s="582"/>
      <c r="N358" s="582"/>
      <c r="O358" s="582"/>
      <c r="P358" s="582"/>
      <c r="Q358" s="582"/>
      <c r="R358" s="582"/>
      <c r="S358" s="582"/>
      <c r="T358" s="582"/>
      <c r="U358" s="582"/>
      <c r="V358" s="582"/>
      <c r="W358" s="582"/>
      <c r="X358" s="582"/>
      <c r="Y358" s="582"/>
      <c r="Z358" s="582"/>
      <c r="AA358" s="582"/>
      <c r="AB358" s="582"/>
      <c r="AC358" s="582"/>
      <c r="AD358" s="582"/>
      <c r="AE358" s="1458"/>
      <c r="AF358" s="700"/>
    </row>
    <row r="359" hidden="1" outlineLevel="1">
      <c r="A359" s="1257" t="s">
        <v>1110</v>
      </c>
      <c r="B359" s="580">
        <f>B261*'OLD  Formulas'!$C$3</f>
        <v>0</v>
      </c>
      <c r="C359" s="580">
        <f>C261*'OLD  Formulas'!$C$3</f>
        <v>0</v>
      </c>
      <c r="D359" s="580">
        <f>D261*'OLD  Formulas'!$C$3</f>
        <v>0</v>
      </c>
      <c r="E359" s="580">
        <f>E261*'OLD  Formulas'!$C$3</f>
        <v>0</v>
      </c>
      <c r="F359" s="580">
        <f>F261*'OLD  Formulas'!$C$3</f>
        <v>0</v>
      </c>
      <c r="G359" s="580">
        <f>G261*'OLD  Formulas'!$C$3</f>
        <v>0</v>
      </c>
      <c r="H359" s="580">
        <f>H261*'OLD  Formulas'!$C$3</f>
        <v>0</v>
      </c>
      <c r="I359" s="580">
        <f>I261*'OLD  Formulas'!$C$3</f>
        <v>0</v>
      </c>
      <c r="J359" s="580">
        <f>J261*'OLD  Formulas'!$C$3</f>
        <v>0</v>
      </c>
      <c r="K359" s="580">
        <f>K261*'OLD  Formulas'!$C$3</f>
        <v>0</v>
      </c>
      <c r="L359" s="580">
        <f>L261*'OLD  Formulas'!$C$3</f>
        <v>0</v>
      </c>
      <c r="M359" s="580">
        <f>M261*'OLD  Formulas'!$C$3</f>
        <v>0</v>
      </c>
      <c r="N359" s="580">
        <f>N261*'OLD  Formulas'!$C$3</f>
        <v>0</v>
      </c>
      <c r="O359" s="580">
        <f>O261*'OLD  Formulas'!$C$3</f>
        <v>0</v>
      </c>
      <c r="P359" s="580">
        <f>P261*'OLD  Formulas'!$C$3</f>
        <v>0</v>
      </c>
      <c r="Q359" s="580">
        <f>Q261*'OLD  Formulas'!$C$3</f>
        <v>0</v>
      </c>
      <c r="R359" s="580">
        <f>R261*'OLD  Formulas'!$C$3</f>
        <v>0</v>
      </c>
      <c r="S359" s="580">
        <f>S261*'OLD  Formulas'!$C$3</f>
        <v>0</v>
      </c>
      <c r="T359" s="580">
        <f>T261*'OLD  Formulas'!$C$3</f>
        <v>0</v>
      </c>
      <c r="U359" s="580">
        <f>U261*'OLD  Formulas'!$C$3</f>
        <v>0</v>
      </c>
      <c r="V359" s="580">
        <f>V261*'OLD  Formulas'!$C$3</f>
        <v>0</v>
      </c>
      <c r="W359" s="580">
        <f>W261*'OLD  Formulas'!$C$3</f>
        <v>0</v>
      </c>
      <c r="X359" s="580">
        <f>X261*'OLD  Formulas'!$C$3</f>
        <v>0</v>
      </c>
      <c r="Y359" s="580">
        <f>Y261*'OLD  Formulas'!$C$3</f>
        <v>0</v>
      </c>
      <c r="Z359" s="580">
        <f>Z261*'OLD  Formulas'!$C$3</f>
        <v>0</v>
      </c>
      <c r="AA359" s="580">
        <f>AA261*'OLD  Formulas'!$C$3</f>
        <v>0</v>
      </c>
      <c r="AB359" s="580">
        <f>AB261*'OLD  Formulas'!$C$3</f>
        <v>0</v>
      </c>
      <c r="AC359" s="580">
        <f>AC261*'OLD  Formulas'!$C$3</f>
        <v>0</v>
      </c>
      <c r="AD359" s="580">
        <f>AD261*'OLD  Formulas'!$C$3</f>
        <v>0</v>
      </c>
      <c r="AE359" s="580">
        <f>AE261*'OLD  Formulas'!$C$3</f>
        <v>0</v>
      </c>
      <c r="AF359" s="1459">
        <f>SUM(C359:AD359)</f>
        <v>0</v>
      </c>
    </row>
    <row r="360" hidden="1" outlineLevel="1">
      <c r="A360" s="1260" t="s">
        <v>1112</v>
      </c>
      <c r="B360" s="580">
        <f>B359*'OLD  Formulas'!$L$5</f>
        <v>0</v>
      </c>
      <c r="C360" s="580">
        <f>C359*'OLD  Formulas'!$L$5</f>
        <v>0</v>
      </c>
      <c r="D360" s="580">
        <f>D359*'OLD  Formulas'!$L$5</f>
        <v>0</v>
      </c>
      <c r="E360" s="580">
        <f>E359*'OLD  Formulas'!$L$5</f>
        <v>0</v>
      </c>
      <c r="F360" s="580">
        <f>F359*'OLD  Formulas'!$L$5</f>
        <v>0</v>
      </c>
      <c r="G360" s="580">
        <f>G359*'OLD  Formulas'!$L$5</f>
        <v>0</v>
      </c>
      <c r="H360" s="580">
        <f>H359*'OLD  Formulas'!$L$5</f>
        <v>0</v>
      </c>
      <c r="I360" s="580">
        <f>I359*'OLD  Formulas'!$L$5</f>
        <v>0</v>
      </c>
      <c r="J360" s="580">
        <f>J359*'OLD  Formulas'!$L$5</f>
        <v>0</v>
      </c>
      <c r="K360" s="580">
        <f>K359*'OLD  Formulas'!$L$5</f>
        <v>0</v>
      </c>
      <c r="L360" s="580">
        <f>L359*'OLD  Formulas'!$L$5</f>
        <v>0</v>
      </c>
      <c r="M360" s="580">
        <f>M359*'OLD  Formulas'!$L$5</f>
        <v>0</v>
      </c>
      <c r="N360" s="580">
        <f>N359*'OLD  Formulas'!$L$5</f>
        <v>0</v>
      </c>
      <c r="O360" s="580">
        <f>O359*'OLD  Formulas'!$L$5</f>
        <v>0</v>
      </c>
      <c r="P360" s="580">
        <f>P359*'OLD  Formulas'!$L$5</f>
        <v>0</v>
      </c>
      <c r="Q360" s="580">
        <f>Q359*'OLD  Formulas'!$L$5</f>
        <v>0</v>
      </c>
      <c r="R360" s="580">
        <f>R359*'OLD  Formulas'!$L$5</f>
        <v>0</v>
      </c>
      <c r="S360" s="580">
        <f>S359*'OLD  Formulas'!$L$5</f>
        <v>0</v>
      </c>
      <c r="T360" s="580">
        <f>T359*'OLD  Formulas'!$L$5</f>
        <v>0</v>
      </c>
      <c r="U360" s="580">
        <f>U359*'OLD  Formulas'!$L$5</f>
        <v>0</v>
      </c>
      <c r="V360" s="580">
        <f>V359*'OLD  Formulas'!$L$5</f>
        <v>0</v>
      </c>
      <c r="W360" s="580">
        <f>W359*'OLD  Formulas'!$L$5</f>
        <v>0</v>
      </c>
      <c r="X360" s="580">
        <f>X359*'OLD  Formulas'!$L$5</f>
        <v>0</v>
      </c>
      <c r="Y360" s="580">
        <f>Y359*'OLD  Formulas'!$L$5</f>
        <v>0</v>
      </c>
      <c r="Z360" s="580">
        <f>Z359*'OLD  Formulas'!$L$5</f>
        <v>0</v>
      </c>
      <c r="AA360" s="580">
        <f>AA359*'OLD  Formulas'!$L$5</f>
        <v>0</v>
      </c>
      <c r="AB360" s="580">
        <f>AB359*'OLD  Formulas'!$L$5</f>
        <v>0</v>
      </c>
      <c r="AC360" s="580">
        <f>AC359*'OLD  Formulas'!$L$5</f>
        <v>0</v>
      </c>
      <c r="AD360" s="580">
        <f>AD359*'OLD  Formulas'!$L$5</f>
        <v>0</v>
      </c>
      <c r="AE360" s="580">
        <f>AE359*'OLD  Formulas'!$L$5</f>
        <v>0</v>
      </c>
      <c r="AF360" s="1459">
        <f t="shared" ref="AF360:AF382" si="140">SUM(C360:AE360)</f>
        <v>0</v>
      </c>
    </row>
    <row r="361" hidden="1" outlineLevel="1">
      <c r="A361" s="1257" t="s">
        <v>1113</v>
      </c>
      <c r="B361" s="580">
        <f>B262*'OLD  Formulas'!$C$4</f>
        <v>0</v>
      </c>
      <c r="C361" s="580">
        <f>C262*'OLD  Formulas'!$C$4</f>
        <v>0</v>
      </c>
      <c r="D361" s="580">
        <f>D262*'OLD  Formulas'!$C$4</f>
        <v>0</v>
      </c>
      <c r="E361" s="580">
        <f>E262*'OLD  Formulas'!$C$4</f>
        <v>0</v>
      </c>
      <c r="F361" s="580">
        <f>F262*'OLD  Formulas'!$C$4</f>
        <v>0</v>
      </c>
      <c r="G361" s="580">
        <f>G262*'OLD  Formulas'!$C$4</f>
        <v>0</v>
      </c>
      <c r="H361" s="580">
        <f>H262*'OLD  Formulas'!$C$4</f>
        <v>0</v>
      </c>
      <c r="I361" s="580">
        <f>I262*'OLD  Formulas'!$C$4</f>
        <v>0</v>
      </c>
      <c r="J361" s="580">
        <f>J262*'OLD  Formulas'!$C$4</f>
        <v>0</v>
      </c>
      <c r="K361" s="580">
        <f>K262*'OLD  Formulas'!$C$4</f>
        <v>0</v>
      </c>
      <c r="L361" s="580">
        <f>L262*'OLD  Formulas'!$C$4</f>
        <v>0</v>
      </c>
      <c r="M361" s="580">
        <f>M262*'OLD  Formulas'!$C$4</f>
        <v>0</v>
      </c>
      <c r="N361" s="580">
        <f>N262*'OLD  Formulas'!$C$4</f>
        <v>0</v>
      </c>
      <c r="O361" s="580">
        <f>O262*'OLD  Formulas'!$C$4</f>
        <v>0</v>
      </c>
      <c r="P361" s="580">
        <f>P262*'OLD  Formulas'!$C$4</f>
        <v>0</v>
      </c>
      <c r="Q361" s="580">
        <f>Q262*'OLD  Formulas'!$C$4</f>
        <v>0</v>
      </c>
      <c r="R361" s="580">
        <f>R262*'OLD  Formulas'!$C$4</f>
        <v>0</v>
      </c>
      <c r="S361" s="580">
        <f>S262*'OLD  Formulas'!$C$4</f>
        <v>0</v>
      </c>
      <c r="T361" s="580">
        <f>T262*'OLD  Formulas'!$C$4</f>
        <v>0</v>
      </c>
      <c r="U361" s="580">
        <f>U262*'OLD  Formulas'!$C$4</f>
        <v>0</v>
      </c>
      <c r="V361" s="580">
        <f>V262*'OLD  Formulas'!$C$4</f>
        <v>0</v>
      </c>
      <c r="W361" s="580">
        <f>W262*'OLD  Formulas'!$C$4</f>
        <v>0</v>
      </c>
      <c r="X361" s="580">
        <f>X262*'OLD  Formulas'!$C$4</f>
        <v>0</v>
      </c>
      <c r="Y361" s="580">
        <f>Y262*'OLD  Formulas'!$C$4</f>
        <v>0</v>
      </c>
      <c r="Z361" s="580">
        <f>Z262*'OLD  Formulas'!$C$4</f>
        <v>0</v>
      </c>
      <c r="AA361" s="580">
        <f>AA262*'OLD  Formulas'!$C$4</f>
        <v>0</v>
      </c>
      <c r="AB361" s="580">
        <f>AB262*'OLD  Formulas'!$C$4</f>
        <v>0</v>
      </c>
      <c r="AC361" s="580">
        <f>AC262*'OLD  Formulas'!$C$4</f>
        <v>0</v>
      </c>
      <c r="AD361" s="580">
        <f>AD262*'OLD  Formulas'!$C$4</f>
        <v>0</v>
      </c>
      <c r="AE361" s="580">
        <f>AE262*'OLD  Formulas'!$C$4</f>
        <v>0</v>
      </c>
      <c r="AF361" s="1459">
        <f t="shared" si="140"/>
        <v>0</v>
      </c>
    </row>
    <row r="362" hidden="1" outlineLevel="1">
      <c r="A362" s="1260" t="s">
        <v>1114</v>
      </c>
      <c r="B362" s="580">
        <f>B361*'OLD  Formulas'!$L$5</f>
        <v>0</v>
      </c>
      <c r="C362" s="580">
        <f>C361*'OLD  Formulas'!$L$5</f>
        <v>0</v>
      </c>
      <c r="D362" s="580">
        <f>D361*'OLD  Formulas'!$L$5</f>
        <v>0</v>
      </c>
      <c r="E362" s="580">
        <f>E361*'OLD  Formulas'!$L$5</f>
        <v>0</v>
      </c>
      <c r="F362" s="580">
        <f>F361*'OLD  Formulas'!$L$5</f>
        <v>0</v>
      </c>
      <c r="G362" s="580">
        <f>G361*'OLD  Formulas'!$L$5</f>
        <v>0</v>
      </c>
      <c r="H362" s="580">
        <f>H361*'OLD  Formulas'!$L$5</f>
        <v>0</v>
      </c>
      <c r="I362" s="580">
        <f>I361*'OLD  Formulas'!$L$5</f>
        <v>0</v>
      </c>
      <c r="J362" s="580">
        <f>J361*'OLD  Formulas'!$L$5</f>
        <v>0</v>
      </c>
      <c r="K362" s="580">
        <f>K361*'OLD  Formulas'!$L$5</f>
        <v>0</v>
      </c>
      <c r="L362" s="580">
        <f>L361*'OLD  Formulas'!$L$5</f>
        <v>0</v>
      </c>
      <c r="M362" s="580">
        <f>M361*'OLD  Formulas'!$L$5</f>
        <v>0</v>
      </c>
      <c r="N362" s="580">
        <f>N361*'OLD  Formulas'!$L$5</f>
        <v>0</v>
      </c>
      <c r="O362" s="580">
        <f>O361*'OLD  Formulas'!$L$5</f>
        <v>0</v>
      </c>
      <c r="P362" s="580">
        <f>P361*'OLD  Formulas'!$L$5</f>
        <v>0</v>
      </c>
      <c r="Q362" s="580">
        <f>Q361*'OLD  Formulas'!$L$5</f>
        <v>0</v>
      </c>
      <c r="R362" s="580">
        <f>R361*'OLD  Formulas'!$L$5</f>
        <v>0</v>
      </c>
      <c r="S362" s="580">
        <f>S361*'OLD  Formulas'!$L$5</f>
        <v>0</v>
      </c>
      <c r="T362" s="580">
        <f>T361*'OLD  Formulas'!$L$5</f>
        <v>0</v>
      </c>
      <c r="U362" s="580">
        <f>U361*'OLD  Formulas'!$L$5</f>
        <v>0</v>
      </c>
      <c r="V362" s="580">
        <f>V361*'OLD  Formulas'!$L$5</f>
        <v>0</v>
      </c>
      <c r="W362" s="580">
        <f>W361*'OLD  Formulas'!$L$5</f>
        <v>0</v>
      </c>
      <c r="X362" s="580">
        <f>X361*'OLD  Formulas'!$L$5</f>
        <v>0</v>
      </c>
      <c r="Y362" s="580">
        <f>Y361*'OLD  Formulas'!$L$5</f>
        <v>0</v>
      </c>
      <c r="Z362" s="580">
        <f>Z361*'OLD  Formulas'!$L$5</f>
        <v>0</v>
      </c>
      <c r="AA362" s="580">
        <f>AA361*'OLD  Formulas'!$L$5</f>
        <v>0</v>
      </c>
      <c r="AB362" s="580">
        <f>AB361*'OLD  Formulas'!$L$5</f>
        <v>0</v>
      </c>
      <c r="AC362" s="580">
        <f>AC361*'OLD  Formulas'!$L$5</f>
        <v>0</v>
      </c>
      <c r="AD362" s="580">
        <f>AD361*'OLD  Formulas'!$L$5</f>
        <v>0</v>
      </c>
      <c r="AE362" s="580">
        <f>AE361*'OLD  Formulas'!$L$5</f>
        <v>0</v>
      </c>
      <c r="AF362" s="1459">
        <f t="shared" si="140"/>
        <v>0</v>
      </c>
    </row>
    <row r="363" hidden="1" outlineLevel="1">
      <c r="A363" s="1257" t="s">
        <v>1115</v>
      </c>
      <c r="B363" s="580">
        <f>(B265+B272+B279)*'OLD  Formulas'!$C$7</f>
        <v>0</v>
      </c>
      <c r="C363" s="580">
        <f>(C265+C272+C279)*'OLD  Formulas'!$C$7</f>
        <v>0</v>
      </c>
      <c r="D363" s="580">
        <f>(D265+D272+D279)*'OLD  Formulas'!$C$7</f>
        <v>0</v>
      </c>
      <c r="E363" s="580">
        <f>(E265+E272+E279)*'OLD  Formulas'!$C$7</f>
        <v>0</v>
      </c>
      <c r="F363" s="580">
        <f>(F265+F272+F279)*'OLD  Formulas'!$C$7</f>
        <v>0</v>
      </c>
      <c r="G363" s="580">
        <f>(G265+G272+G279)*'OLD  Formulas'!$C$7</f>
        <v>0</v>
      </c>
      <c r="H363" s="580">
        <f>(H265+H272+H279)*'OLD  Formulas'!$C$7</f>
        <v>0</v>
      </c>
      <c r="I363" s="580">
        <f>(I265+I272+I279)*'OLD  Formulas'!$C$7</f>
        <v>0</v>
      </c>
      <c r="J363" s="580">
        <f>(J265+J272+J279)*'OLD  Formulas'!$C$7</f>
        <v>0</v>
      </c>
      <c r="K363" s="580">
        <f>(K265+K272+K279)*'OLD  Formulas'!$C$7</f>
        <v>0</v>
      </c>
      <c r="L363" s="580">
        <f>(L265+L272+L279)*'OLD  Formulas'!$C$7</f>
        <v>0</v>
      </c>
      <c r="M363" s="580">
        <f>(M265+M272+M279)*'OLD  Formulas'!$C$7</f>
        <v>0</v>
      </c>
      <c r="N363" s="580">
        <f>(N265+N272+N279)*'OLD  Formulas'!$C$7</f>
        <v>0</v>
      </c>
      <c r="O363" s="580">
        <f>(O265+O272+O279)*'OLD  Formulas'!$C$7</f>
        <v>0</v>
      </c>
      <c r="P363" s="580">
        <f>(P265+P272+P279)*'OLD  Formulas'!$C$7</f>
        <v>0</v>
      </c>
      <c r="Q363" s="580">
        <f>(Q265+Q272+Q279)*'OLD  Formulas'!$C$7</f>
        <v>0</v>
      </c>
      <c r="R363" s="580">
        <f>(R265+R272+R279)*'OLD  Formulas'!$C$7</f>
        <v>0</v>
      </c>
      <c r="S363" s="580">
        <f>(S265+S272+S279)*'OLD  Formulas'!$C$7</f>
        <v>0</v>
      </c>
      <c r="T363" s="580">
        <f>(T265+T272+T279)*'OLD  Formulas'!$C$7</f>
        <v>0</v>
      </c>
      <c r="U363" s="580">
        <f>(U265+U272+U279)*'OLD  Formulas'!$C$7</f>
        <v>0</v>
      </c>
      <c r="V363" s="580">
        <f>(V265+V272+V279)*'OLD  Formulas'!$C$7</f>
        <v>0</v>
      </c>
      <c r="W363" s="580">
        <f>(W265+W272+W279)*'OLD  Formulas'!$C$7</f>
        <v>0</v>
      </c>
      <c r="X363" s="580">
        <f>(X265+X272+X279)*'OLD  Formulas'!$C$7</f>
        <v>0</v>
      </c>
      <c r="Y363" s="580">
        <f>(Y265+Y272+Y279)*'OLD  Formulas'!$C$7</f>
        <v>0</v>
      </c>
      <c r="Z363" s="580">
        <f>(Z265+Z272+Z279)*'OLD  Formulas'!$C$7</f>
        <v>0</v>
      </c>
      <c r="AA363" s="580">
        <f>(AA265+AA272+AA279)*'OLD  Formulas'!$C$7</f>
        <v>0</v>
      </c>
      <c r="AB363" s="580">
        <f>(AB265+AB272+AB279)*'OLD  Formulas'!$C$7</f>
        <v>0</v>
      </c>
      <c r="AC363" s="580">
        <f>(AC265+AC272+AC279)*'OLD  Formulas'!$C$7</f>
        <v>0</v>
      </c>
      <c r="AD363" s="580">
        <f>(AD265+AD272+AD279)*'OLD  Formulas'!$C$7</f>
        <v>0</v>
      </c>
      <c r="AE363" s="580">
        <f>(AE265+AE272+AE279)*'OLD  Formulas'!$C$7</f>
        <v>0</v>
      </c>
      <c r="AF363" s="1459">
        <f t="shared" si="140"/>
        <v>0</v>
      </c>
    </row>
    <row r="364" hidden="1" outlineLevel="1">
      <c r="A364" s="1260" t="s">
        <v>1116</v>
      </c>
      <c r="B364" s="580">
        <f>B363*'OLD  Formulas'!$L$5</f>
        <v>0</v>
      </c>
      <c r="C364" s="580">
        <f>C363*'OLD  Formulas'!$L$5</f>
        <v>0</v>
      </c>
      <c r="D364" s="580">
        <f>D363*'OLD  Formulas'!$L$5</f>
        <v>0</v>
      </c>
      <c r="E364" s="580">
        <f>E363*'OLD  Formulas'!$L$5</f>
        <v>0</v>
      </c>
      <c r="F364" s="580">
        <f>F363*'OLD  Formulas'!$L$5</f>
        <v>0</v>
      </c>
      <c r="G364" s="580">
        <f>G363*'OLD  Formulas'!$L$5</f>
        <v>0</v>
      </c>
      <c r="H364" s="580">
        <f>H363*'OLD  Formulas'!$L$5</f>
        <v>0</v>
      </c>
      <c r="I364" s="580">
        <f>I363*'OLD  Formulas'!$L$5</f>
        <v>0</v>
      </c>
      <c r="J364" s="580">
        <f>J363*'OLD  Formulas'!$L$5</f>
        <v>0</v>
      </c>
      <c r="K364" s="580">
        <f>K363*'OLD  Formulas'!$L$5</f>
        <v>0</v>
      </c>
      <c r="L364" s="580">
        <f>L363*'OLD  Formulas'!$L$5</f>
        <v>0</v>
      </c>
      <c r="M364" s="580">
        <f>M363*'OLD  Formulas'!$L$5</f>
        <v>0</v>
      </c>
      <c r="N364" s="580">
        <f>N363*'OLD  Formulas'!$L$5</f>
        <v>0</v>
      </c>
      <c r="O364" s="580">
        <f>O363*'OLD  Formulas'!$L$5</f>
        <v>0</v>
      </c>
      <c r="P364" s="580">
        <f>P363*'OLD  Formulas'!$L$5</f>
        <v>0</v>
      </c>
      <c r="Q364" s="580">
        <f>Q363*'OLD  Formulas'!$L$5</f>
        <v>0</v>
      </c>
      <c r="R364" s="580">
        <f>R363*'OLD  Formulas'!$L$5</f>
        <v>0</v>
      </c>
      <c r="S364" s="580">
        <f>S363*'OLD  Formulas'!$L$5</f>
        <v>0</v>
      </c>
      <c r="T364" s="580">
        <f>T363*'OLD  Formulas'!$L$5</f>
        <v>0</v>
      </c>
      <c r="U364" s="580">
        <f>U363*'OLD  Formulas'!$L$5</f>
        <v>0</v>
      </c>
      <c r="V364" s="580">
        <f>V363*'OLD  Formulas'!$L$5</f>
        <v>0</v>
      </c>
      <c r="W364" s="580">
        <f>W363*'OLD  Formulas'!$L$5</f>
        <v>0</v>
      </c>
      <c r="X364" s="580">
        <f>X363*'OLD  Formulas'!$L$5</f>
        <v>0</v>
      </c>
      <c r="Y364" s="580">
        <f>Y363*'OLD  Formulas'!$L$5</f>
        <v>0</v>
      </c>
      <c r="Z364" s="580">
        <f>Z363*'OLD  Formulas'!$L$5</f>
        <v>0</v>
      </c>
      <c r="AA364" s="580">
        <f>AA363*'OLD  Formulas'!$L$5</f>
        <v>0</v>
      </c>
      <c r="AB364" s="580">
        <f>AB363*'OLD  Formulas'!$L$5</f>
        <v>0</v>
      </c>
      <c r="AC364" s="580">
        <f>AC363*'OLD  Formulas'!$L$5</f>
        <v>0</v>
      </c>
      <c r="AD364" s="580">
        <f>AD363*'OLD  Formulas'!$L$5</f>
        <v>0</v>
      </c>
      <c r="AE364" s="580">
        <f>AE363*'OLD  Formulas'!$L$5</f>
        <v>0</v>
      </c>
      <c r="AF364" s="1459">
        <f t="shared" si="140"/>
        <v>0</v>
      </c>
    </row>
    <row r="365" hidden="1" outlineLevel="1">
      <c r="A365" s="1260" t="s">
        <v>1117</v>
      </c>
      <c r="B365" s="580">
        <f>B363*'OLD  Formulas'!$L$4</f>
        <v>0</v>
      </c>
      <c r="C365" s="580">
        <f>C363*'OLD  Formulas'!$L$4</f>
        <v>0</v>
      </c>
      <c r="D365" s="580">
        <f>D363*'OLD  Formulas'!$L$4</f>
        <v>0</v>
      </c>
      <c r="E365" s="580">
        <f>E363*'OLD  Formulas'!$L$4</f>
        <v>0</v>
      </c>
      <c r="F365" s="580">
        <f>F363*'OLD  Formulas'!$L$4</f>
        <v>0</v>
      </c>
      <c r="G365" s="580">
        <f>G363*'OLD  Formulas'!$L$4</f>
        <v>0</v>
      </c>
      <c r="H365" s="580">
        <f>H363*'OLD  Formulas'!$L$4</f>
        <v>0</v>
      </c>
      <c r="I365" s="580">
        <f>I363*'OLD  Formulas'!$L$4</f>
        <v>0</v>
      </c>
      <c r="J365" s="580">
        <f>J363*'OLD  Formulas'!$L$4</f>
        <v>0</v>
      </c>
      <c r="K365" s="580">
        <f>K363*'OLD  Formulas'!$L$4</f>
        <v>0</v>
      </c>
      <c r="L365" s="580">
        <f>L363*'OLD  Formulas'!$L$4</f>
        <v>0</v>
      </c>
      <c r="M365" s="580">
        <f>M363*'OLD  Formulas'!$L$4</f>
        <v>0</v>
      </c>
      <c r="N365" s="580">
        <f>N363*'OLD  Formulas'!$L$4</f>
        <v>0</v>
      </c>
      <c r="O365" s="580">
        <f>O363*'OLD  Formulas'!$L$4</f>
        <v>0</v>
      </c>
      <c r="P365" s="580">
        <f>P363*'OLD  Formulas'!$L$4</f>
        <v>0</v>
      </c>
      <c r="Q365" s="580">
        <f>Q363*'OLD  Formulas'!$L$4</f>
        <v>0</v>
      </c>
      <c r="R365" s="580">
        <f>R363*'OLD  Formulas'!$L$4</f>
        <v>0</v>
      </c>
      <c r="S365" s="580">
        <f>S363*'OLD  Formulas'!$L$4</f>
        <v>0</v>
      </c>
      <c r="T365" s="580">
        <f>T363*'OLD  Formulas'!$L$4</f>
        <v>0</v>
      </c>
      <c r="U365" s="580">
        <f>U363*'OLD  Formulas'!$L$4</f>
        <v>0</v>
      </c>
      <c r="V365" s="580">
        <f>V363*'OLD  Formulas'!$L$4</f>
        <v>0</v>
      </c>
      <c r="W365" s="580">
        <f>W363*'OLD  Formulas'!$L$4</f>
        <v>0</v>
      </c>
      <c r="X365" s="580">
        <f>X363*'OLD  Formulas'!$L$4</f>
        <v>0</v>
      </c>
      <c r="Y365" s="580">
        <f>Y363*'OLD  Formulas'!$L$4</f>
        <v>0</v>
      </c>
      <c r="Z365" s="580">
        <f>Z363*'OLD  Formulas'!$L$4</f>
        <v>0</v>
      </c>
      <c r="AA365" s="580">
        <f>AA363*'OLD  Formulas'!$L$4</f>
        <v>0</v>
      </c>
      <c r="AB365" s="580">
        <f>AB363*'OLD  Formulas'!$L$4</f>
        <v>0</v>
      </c>
      <c r="AC365" s="580">
        <f>AC363*'OLD  Formulas'!$L$4</f>
        <v>0</v>
      </c>
      <c r="AD365" s="580">
        <f>AD363*'OLD  Formulas'!$L$4</f>
        <v>0</v>
      </c>
      <c r="AE365" s="580">
        <f>AE363*'OLD  Formulas'!$L$4</f>
        <v>0</v>
      </c>
      <c r="AF365" s="1459">
        <f t="shared" si="140"/>
        <v>0</v>
      </c>
    </row>
    <row r="366" hidden="1" outlineLevel="1">
      <c r="A366" s="1257" t="s">
        <v>1118</v>
      </c>
      <c r="B366" s="580">
        <f>(B264+B271+B278)*'OLD  Formulas'!$C$6</f>
        <v>0</v>
      </c>
      <c r="C366" s="580">
        <f>(C264+C271+C278)*'OLD  Formulas'!$C$6</f>
        <v>0</v>
      </c>
      <c r="D366" s="580">
        <f>(D264+D271+D278)*'OLD  Formulas'!$C$6</f>
        <v>0</v>
      </c>
      <c r="E366" s="580">
        <f>(E264+E271+E278)*'OLD  Formulas'!$C$6</f>
        <v>0</v>
      </c>
      <c r="F366" s="580">
        <f>(F264+F271+F278)*'OLD  Formulas'!$C$6</f>
        <v>0</v>
      </c>
      <c r="G366" s="580">
        <f>(G264+G271+G278)*'OLD  Formulas'!$C$6</f>
        <v>0</v>
      </c>
      <c r="H366" s="580">
        <f>(H264+H271+H278)*'OLD  Formulas'!$C$6</f>
        <v>0</v>
      </c>
      <c r="I366" s="580">
        <f>(I264+I271+I278)*'OLD  Formulas'!$C$6</f>
        <v>0</v>
      </c>
      <c r="J366" s="580">
        <f>(J264+J271+J278)*'OLD  Formulas'!$C$6</f>
        <v>0</v>
      </c>
      <c r="K366" s="580">
        <f>(K264+K271+K278)*'OLD  Formulas'!$C$6</f>
        <v>0</v>
      </c>
      <c r="L366" s="580">
        <f>(L264+L271+L278)*'OLD  Formulas'!$C$6</f>
        <v>0</v>
      </c>
      <c r="M366" s="580">
        <f>(M264+M271+M278)*'OLD  Formulas'!$C$6</f>
        <v>0</v>
      </c>
      <c r="N366" s="580">
        <f>(N264+N271+N278)*'OLD  Formulas'!$C$6</f>
        <v>0</v>
      </c>
      <c r="O366" s="580">
        <f>(O264+O271+O278)*'OLD  Formulas'!$C$6</f>
        <v>0</v>
      </c>
      <c r="P366" s="580">
        <f>(P264+P271+P278)*'OLD  Formulas'!$C$6</f>
        <v>0</v>
      </c>
      <c r="Q366" s="580">
        <f>(Q264+Q271+Q278)*'OLD  Formulas'!$C$6</f>
        <v>0</v>
      </c>
      <c r="R366" s="580">
        <f>(R264+R271+R278)*'OLD  Formulas'!$C$6</f>
        <v>0</v>
      </c>
      <c r="S366" s="580">
        <f>(S264+S271+S278)*'OLD  Formulas'!$C$6</f>
        <v>0</v>
      </c>
      <c r="T366" s="580">
        <f>(T264+T271+T278)*'OLD  Formulas'!$C$6</f>
        <v>0</v>
      </c>
      <c r="U366" s="580">
        <f>(U264+U271+U278)*'OLD  Formulas'!$C$6</f>
        <v>0</v>
      </c>
      <c r="V366" s="580">
        <f>(V264+V271+V278)*'OLD  Formulas'!$C$6</f>
        <v>0</v>
      </c>
      <c r="W366" s="580">
        <f>(W264+W271+W278)*'OLD  Formulas'!$C$6</f>
        <v>0</v>
      </c>
      <c r="X366" s="580">
        <f>(X264+X271+X278)*'OLD  Formulas'!$C$6</f>
        <v>0</v>
      </c>
      <c r="Y366" s="580">
        <f>(Y264+Y271+Y278)*'OLD  Formulas'!$C$6</f>
        <v>0</v>
      </c>
      <c r="Z366" s="580">
        <f>(Z264+Z271+Z278)*'OLD  Formulas'!$C$6</f>
        <v>0</v>
      </c>
      <c r="AA366" s="580">
        <f>(AA264+AA271+AA278)*'OLD  Formulas'!$C$6</f>
        <v>0</v>
      </c>
      <c r="AB366" s="580">
        <f>(AB264+AB271+AB278)*'OLD  Formulas'!$C$6</f>
        <v>0</v>
      </c>
      <c r="AC366" s="580">
        <f>(AC264+AC271+AC278)*'OLD  Formulas'!$C$6</f>
        <v>0</v>
      </c>
      <c r="AD366" s="580">
        <f>(AD264+AD271+AD278)*'OLD  Formulas'!$C$6</f>
        <v>0</v>
      </c>
      <c r="AE366" s="580">
        <f>(AE264+AE271+AE278)*'OLD  Formulas'!$C$6</f>
        <v>0</v>
      </c>
      <c r="AF366" s="1459">
        <f t="shared" si="140"/>
        <v>0</v>
      </c>
    </row>
    <row r="367" hidden="1" outlineLevel="1">
      <c r="A367" s="1260" t="s">
        <v>1119</v>
      </c>
      <c r="B367" s="580">
        <f>B366*'OLD  Formulas'!$L$5</f>
        <v>0</v>
      </c>
      <c r="C367" s="580">
        <f>C366*'OLD  Formulas'!$L$5</f>
        <v>0</v>
      </c>
      <c r="D367" s="580">
        <f>D366*'OLD  Formulas'!$L$5</f>
        <v>0</v>
      </c>
      <c r="E367" s="580">
        <f>E366*'OLD  Formulas'!$L$5</f>
        <v>0</v>
      </c>
      <c r="F367" s="580">
        <f>F366*'OLD  Formulas'!$L$5</f>
        <v>0</v>
      </c>
      <c r="G367" s="580">
        <f>G366*'OLD  Formulas'!$L$5</f>
        <v>0</v>
      </c>
      <c r="H367" s="580">
        <f>H366*'OLD  Formulas'!$L$5</f>
        <v>0</v>
      </c>
      <c r="I367" s="580">
        <f>I366*'OLD  Formulas'!$L$5</f>
        <v>0</v>
      </c>
      <c r="J367" s="580">
        <f>J366*'OLD  Formulas'!$L$5</f>
        <v>0</v>
      </c>
      <c r="K367" s="580">
        <f>K366*'OLD  Formulas'!$L$5</f>
        <v>0</v>
      </c>
      <c r="L367" s="580">
        <f>L366*'OLD  Formulas'!$L$5</f>
        <v>0</v>
      </c>
      <c r="M367" s="580">
        <f>M366*'OLD  Formulas'!$L$5</f>
        <v>0</v>
      </c>
      <c r="N367" s="580">
        <f>N366*'OLD  Formulas'!$L$5</f>
        <v>0</v>
      </c>
      <c r="O367" s="580">
        <f>O366*'OLD  Formulas'!$L$5</f>
        <v>0</v>
      </c>
      <c r="P367" s="580">
        <f>P366*'OLD  Formulas'!$L$5</f>
        <v>0</v>
      </c>
      <c r="Q367" s="580">
        <f>Q366*'OLD  Formulas'!$L$5</f>
        <v>0</v>
      </c>
      <c r="R367" s="580">
        <f>R366*'OLD  Formulas'!$L$5</f>
        <v>0</v>
      </c>
      <c r="S367" s="580">
        <f>S366*'OLD  Formulas'!$L$5</f>
        <v>0</v>
      </c>
      <c r="T367" s="580">
        <f>T366*'OLD  Formulas'!$L$5</f>
        <v>0</v>
      </c>
      <c r="U367" s="580">
        <f>U366*'OLD  Formulas'!$L$5</f>
        <v>0</v>
      </c>
      <c r="V367" s="580">
        <f>V366*'OLD  Formulas'!$L$5</f>
        <v>0</v>
      </c>
      <c r="W367" s="580">
        <f>W366*'OLD  Formulas'!$L$5</f>
        <v>0</v>
      </c>
      <c r="X367" s="580">
        <f>X366*'OLD  Formulas'!$L$5</f>
        <v>0</v>
      </c>
      <c r="Y367" s="580">
        <f>Y366*'OLD  Formulas'!$L$5</f>
        <v>0</v>
      </c>
      <c r="Z367" s="580">
        <f>Z366*'OLD  Formulas'!$L$5</f>
        <v>0</v>
      </c>
      <c r="AA367" s="580">
        <f>AA366*'OLD  Formulas'!$L$5</f>
        <v>0</v>
      </c>
      <c r="AB367" s="580">
        <f>AB366*'OLD  Formulas'!$L$5</f>
        <v>0</v>
      </c>
      <c r="AC367" s="580">
        <f>AC366*'OLD  Formulas'!$L$5</f>
        <v>0</v>
      </c>
      <c r="AD367" s="580">
        <f>AD366*'OLD  Formulas'!$L$5</f>
        <v>0</v>
      </c>
      <c r="AE367" s="580">
        <f>AE366*'OLD  Formulas'!$L$5</f>
        <v>0</v>
      </c>
      <c r="AF367" s="1459">
        <f t="shared" si="140"/>
        <v>0</v>
      </c>
    </row>
    <row r="368" hidden="1" outlineLevel="1">
      <c r="A368" s="1260" t="s">
        <v>1121</v>
      </c>
      <c r="B368" s="580">
        <f>B366*'OLD  Formulas'!$L$4</f>
        <v>0</v>
      </c>
      <c r="C368" s="580">
        <f>C366*'OLD  Formulas'!$L$4</f>
        <v>0</v>
      </c>
      <c r="D368" s="580">
        <f>D366*'OLD  Formulas'!$L$4</f>
        <v>0</v>
      </c>
      <c r="E368" s="580">
        <f>E366*'OLD  Formulas'!$L$4</f>
        <v>0</v>
      </c>
      <c r="F368" s="580">
        <f>F366*'OLD  Formulas'!$L$4</f>
        <v>0</v>
      </c>
      <c r="G368" s="580">
        <f>G366*'OLD  Formulas'!$L$4</f>
        <v>0</v>
      </c>
      <c r="H368" s="580">
        <f>H366*'OLD  Formulas'!$L$4</f>
        <v>0</v>
      </c>
      <c r="I368" s="580">
        <f>I366*'OLD  Formulas'!$L$4</f>
        <v>0</v>
      </c>
      <c r="J368" s="580">
        <f>J366*'OLD  Formulas'!$L$4</f>
        <v>0</v>
      </c>
      <c r="K368" s="580">
        <f>K366*'OLD  Formulas'!$L$4</f>
        <v>0</v>
      </c>
      <c r="L368" s="580">
        <f>L366*'OLD  Formulas'!$L$4</f>
        <v>0</v>
      </c>
      <c r="M368" s="580">
        <f>M366*'OLD  Formulas'!$L$4</f>
        <v>0</v>
      </c>
      <c r="N368" s="580">
        <f>N366*'OLD  Formulas'!$L$4</f>
        <v>0</v>
      </c>
      <c r="O368" s="580">
        <f>O366*'OLD  Formulas'!$L$4</f>
        <v>0</v>
      </c>
      <c r="P368" s="580">
        <f>P366*'OLD  Formulas'!$L$4</f>
        <v>0</v>
      </c>
      <c r="Q368" s="580">
        <f>Q366*'OLD  Formulas'!$L$4</f>
        <v>0</v>
      </c>
      <c r="R368" s="580">
        <f>R366*'OLD  Formulas'!$L$4</f>
        <v>0</v>
      </c>
      <c r="S368" s="580">
        <f>S366*'OLD  Formulas'!$L$4</f>
        <v>0</v>
      </c>
      <c r="T368" s="580">
        <f>T366*'OLD  Formulas'!$L$4</f>
        <v>0</v>
      </c>
      <c r="U368" s="580">
        <f>U366*'OLD  Formulas'!$L$4</f>
        <v>0</v>
      </c>
      <c r="V368" s="580">
        <f>V366*'OLD  Formulas'!$L$4</f>
        <v>0</v>
      </c>
      <c r="W368" s="580">
        <f>W366*'OLD  Formulas'!$L$4</f>
        <v>0</v>
      </c>
      <c r="X368" s="580">
        <f>X366*'OLD  Formulas'!$L$4</f>
        <v>0</v>
      </c>
      <c r="Y368" s="580">
        <f>Y366*'OLD  Formulas'!$L$4</f>
        <v>0</v>
      </c>
      <c r="Z368" s="580">
        <f>Z366*'OLD  Formulas'!$L$4</f>
        <v>0</v>
      </c>
      <c r="AA368" s="580">
        <f>AA366*'OLD  Formulas'!$L$4</f>
        <v>0</v>
      </c>
      <c r="AB368" s="580">
        <f>AB366*'OLD  Formulas'!$L$4</f>
        <v>0</v>
      </c>
      <c r="AC368" s="580">
        <f>AC366*'OLD  Formulas'!$L$4</f>
        <v>0</v>
      </c>
      <c r="AD368" s="580">
        <f>AD366*'OLD  Formulas'!$L$4</f>
        <v>0</v>
      </c>
      <c r="AE368" s="580">
        <f>AE366*'OLD  Formulas'!$L$4</f>
        <v>0</v>
      </c>
      <c r="AF368" s="1459">
        <f t="shared" si="140"/>
        <v>0</v>
      </c>
    </row>
    <row r="369" hidden="1" outlineLevel="1">
      <c r="A369" s="1257" t="s">
        <v>1122</v>
      </c>
      <c r="B369" s="580">
        <f>(B266+B273+B280)*'OLD  Formulas'!$C$8</f>
        <v>0</v>
      </c>
      <c r="C369" s="580">
        <f>(C266+C273+C280)*'OLD  Formulas'!$C$8</f>
        <v>0</v>
      </c>
      <c r="D369" s="580">
        <f>(D266+D273+D280)*'OLD  Formulas'!$C$8</f>
        <v>0</v>
      </c>
      <c r="E369" s="580">
        <f>(E266+E273+E280)*'OLD  Formulas'!$C$8</f>
        <v>0</v>
      </c>
      <c r="F369" s="580">
        <f>(F266+F273+F280)*'OLD  Formulas'!$C$8</f>
        <v>0</v>
      </c>
      <c r="G369" s="580">
        <f>(G266+G273+G280)*'OLD  Formulas'!$C$8</f>
        <v>0</v>
      </c>
      <c r="H369" s="580">
        <f>(H266+H273+H280)*'OLD  Formulas'!$C$8</f>
        <v>0</v>
      </c>
      <c r="I369" s="580">
        <f>(I266+I273+I280)*'OLD  Formulas'!$C$8</f>
        <v>0</v>
      </c>
      <c r="J369" s="580">
        <f>(J266+J273+J280)*'OLD  Formulas'!$C$8</f>
        <v>0</v>
      </c>
      <c r="K369" s="580">
        <f>(K266+K273+K280)*'OLD  Formulas'!$C$8</f>
        <v>0</v>
      </c>
      <c r="L369" s="580">
        <f>(L266+L273+L280)*'OLD  Formulas'!$C$8</f>
        <v>0</v>
      </c>
      <c r="M369" s="580">
        <f>(M266+M273+M280)*'OLD  Formulas'!$C$8</f>
        <v>0</v>
      </c>
      <c r="N369" s="580">
        <f>(N266+N273+N280)*'OLD  Formulas'!$C$8</f>
        <v>0</v>
      </c>
      <c r="O369" s="580">
        <f>(O266+O273+O280)*'OLD  Formulas'!$C$8</f>
        <v>0</v>
      </c>
      <c r="P369" s="580">
        <f>(P266+P273+P280)*'OLD  Formulas'!$C$8</f>
        <v>0</v>
      </c>
      <c r="Q369" s="580">
        <f>(Q266+Q273+Q280)*'OLD  Formulas'!$C$8</f>
        <v>0</v>
      </c>
      <c r="R369" s="580">
        <f>(R266+R273+R280)*'OLD  Formulas'!$C$8</f>
        <v>0</v>
      </c>
      <c r="S369" s="580">
        <f>(S266+S273+S280)*'OLD  Formulas'!$C$8</f>
        <v>0</v>
      </c>
      <c r="T369" s="580">
        <f>(T266+T273+T280)*'OLD  Formulas'!$C$8</f>
        <v>0</v>
      </c>
      <c r="U369" s="580">
        <f>(U266+U273+U280)*'OLD  Formulas'!$C$8</f>
        <v>0</v>
      </c>
      <c r="V369" s="580">
        <f>(V266+V273+V280)*'OLD  Formulas'!$C$8</f>
        <v>0</v>
      </c>
      <c r="W369" s="580">
        <f>(W266+W273+W280)*'OLD  Formulas'!$C$8</f>
        <v>0</v>
      </c>
      <c r="X369" s="580">
        <f>(X266+X273+X280)*'OLD  Formulas'!$C$8</f>
        <v>0</v>
      </c>
      <c r="Y369" s="580">
        <f>(Y266+Y273+Y280)*'OLD  Formulas'!$C$8</f>
        <v>0</v>
      </c>
      <c r="Z369" s="580">
        <f>(Z266+Z273+Z280)*'OLD  Formulas'!$C$8</f>
        <v>0</v>
      </c>
      <c r="AA369" s="580">
        <f>(AA266+AA273+AA280)*'OLD  Formulas'!$C$8</f>
        <v>0</v>
      </c>
      <c r="AB369" s="580">
        <f>(AB266+AB273+AB280)*'OLD  Formulas'!$C$8</f>
        <v>0</v>
      </c>
      <c r="AC369" s="580">
        <f>(AC266+AC273+AC280)*'OLD  Formulas'!$C$8</f>
        <v>0</v>
      </c>
      <c r="AD369" s="580">
        <f>(AD266+AD273+AD280)*'OLD  Formulas'!$C$8</f>
        <v>0</v>
      </c>
      <c r="AE369" s="580">
        <f>(AE266+AE273+AE280)*'OLD  Formulas'!$C$8</f>
        <v>0</v>
      </c>
      <c r="AF369" s="1459">
        <f t="shared" si="140"/>
        <v>0</v>
      </c>
    </row>
    <row r="370" hidden="1" outlineLevel="1">
      <c r="A370" s="1260" t="s">
        <v>1123</v>
      </c>
      <c r="B370" s="580">
        <f>B369*'OLD  Formulas'!$L$5</f>
        <v>0</v>
      </c>
      <c r="C370" s="580">
        <f>C369*'OLD  Formulas'!$L$5</f>
        <v>0</v>
      </c>
      <c r="D370" s="580">
        <f>D369*'OLD  Formulas'!$L$5</f>
        <v>0</v>
      </c>
      <c r="E370" s="580">
        <f>E369*'OLD  Formulas'!$L$5</f>
        <v>0</v>
      </c>
      <c r="F370" s="580">
        <f>F369*'OLD  Formulas'!$L$5</f>
        <v>0</v>
      </c>
      <c r="G370" s="580">
        <f>G369*'OLD  Formulas'!$L$5</f>
        <v>0</v>
      </c>
      <c r="H370" s="580">
        <f>H369*'OLD  Formulas'!$L$5</f>
        <v>0</v>
      </c>
      <c r="I370" s="580">
        <f>I369*'OLD  Formulas'!$L$5</f>
        <v>0</v>
      </c>
      <c r="J370" s="580">
        <f>J369*'OLD  Formulas'!$L$5</f>
        <v>0</v>
      </c>
      <c r="K370" s="580">
        <f>K369*'OLD  Formulas'!$L$5</f>
        <v>0</v>
      </c>
      <c r="L370" s="580">
        <f>L369*'OLD  Formulas'!$L$5</f>
        <v>0</v>
      </c>
      <c r="M370" s="580">
        <f>M369*'OLD  Formulas'!$L$5</f>
        <v>0</v>
      </c>
      <c r="N370" s="580">
        <f>N369*'OLD  Formulas'!$L$5</f>
        <v>0</v>
      </c>
      <c r="O370" s="580">
        <f>O369*'OLD  Formulas'!$L$5</f>
        <v>0</v>
      </c>
      <c r="P370" s="580">
        <f>P369*'OLD  Formulas'!$L$5</f>
        <v>0</v>
      </c>
      <c r="Q370" s="580">
        <f>Q369*'OLD  Formulas'!$L$5</f>
        <v>0</v>
      </c>
      <c r="R370" s="580">
        <f>R369*'OLD  Formulas'!$L$5</f>
        <v>0</v>
      </c>
      <c r="S370" s="580">
        <f>S369*'OLD  Formulas'!$L$5</f>
        <v>0</v>
      </c>
      <c r="T370" s="580">
        <f>T369*'OLD  Formulas'!$L$5</f>
        <v>0</v>
      </c>
      <c r="U370" s="580">
        <f>U369*'OLD  Formulas'!$L$5</f>
        <v>0</v>
      </c>
      <c r="V370" s="580">
        <f>V369*'OLD  Formulas'!$L$5</f>
        <v>0</v>
      </c>
      <c r="W370" s="580">
        <f>W369*'OLD  Formulas'!$L$5</f>
        <v>0</v>
      </c>
      <c r="X370" s="580">
        <f>X369*'OLD  Formulas'!$L$5</f>
        <v>0</v>
      </c>
      <c r="Y370" s="580">
        <f>Y369*'OLD  Formulas'!$L$5</f>
        <v>0</v>
      </c>
      <c r="Z370" s="580">
        <f>Z369*'OLD  Formulas'!$L$5</f>
        <v>0</v>
      </c>
      <c r="AA370" s="580">
        <f>AA369*'OLD  Formulas'!$L$5</f>
        <v>0</v>
      </c>
      <c r="AB370" s="580">
        <f>AB369*'OLD  Formulas'!$L$5</f>
        <v>0</v>
      </c>
      <c r="AC370" s="580">
        <f>AC369*'OLD  Formulas'!$L$5</f>
        <v>0</v>
      </c>
      <c r="AD370" s="580">
        <f>AD369*'OLD  Formulas'!$L$5</f>
        <v>0</v>
      </c>
      <c r="AE370" s="580">
        <f>AE369*'OLD  Formulas'!$L$5</f>
        <v>0</v>
      </c>
      <c r="AF370" s="1459">
        <f t="shared" si="140"/>
        <v>0</v>
      </c>
    </row>
    <row r="371" hidden="1" outlineLevel="1">
      <c r="A371" s="1260" t="s">
        <v>1124</v>
      </c>
      <c r="B371" s="580">
        <f>B369*'OLD  Formulas'!$L$4</f>
        <v>0</v>
      </c>
      <c r="C371" s="580">
        <f>C369*'OLD  Formulas'!$L$4</f>
        <v>0</v>
      </c>
      <c r="D371" s="580">
        <f>D369*'OLD  Formulas'!$L$4</f>
        <v>0</v>
      </c>
      <c r="E371" s="580">
        <f>E369*'OLD  Formulas'!$L$4</f>
        <v>0</v>
      </c>
      <c r="F371" s="580">
        <f>F369*'OLD  Formulas'!$L$4</f>
        <v>0</v>
      </c>
      <c r="G371" s="580">
        <f>G369*'OLD  Formulas'!$L$4</f>
        <v>0</v>
      </c>
      <c r="H371" s="580">
        <f>H369*'OLD  Formulas'!$L$4</f>
        <v>0</v>
      </c>
      <c r="I371" s="580">
        <f>I369*'OLD  Formulas'!$L$4</f>
        <v>0</v>
      </c>
      <c r="J371" s="580">
        <f>J369*'OLD  Formulas'!$L$4</f>
        <v>0</v>
      </c>
      <c r="K371" s="580">
        <f>K369*'OLD  Formulas'!$L$4</f>
        <v>0</v>
      </c>
      <c r="L371" s="580">
        <f>L369*'OLD  Formulas'!$L$4</f>
        <v>0</v>
      </c>
      <c r="M371" s="580">
        <f>M369*'OLD  Formulas'!$L$4</f>
        <v>0</v>
      </c>
      <c r="N371" s="580">
        <f>N369*'OLD  Formulas'!$L$4</f>
        <v>0</v>
      </c>
      <c r="O371" s="580">
        <f>O369*'OLD  Formulas'!$L$4</f>
        <v>0</v>
      </c>
      <c r="P371" s="580">
        <f>P369*'OLD  Formulas'!$L$4</f>
        <v>0</v>
      </c>
      <c r="Q371" s="580">
        <f>Q369*'OLD  Formulas'!$L$4</f>
        <v>0</v>
      </c>
      <c r="R371" s="580">
        <f>R369*'OLD  Formulas'!$L$4</f>
        <v>0</v>
      </c>
      <c r="S371" s="580">
        <f>S369*'OLD  Formulas'!$L$4</f>
        <v>0</v>
      </c>
      <c r="T371" s="580">
        <f>T369*'OLD  Formulas'!$L$4</f>
        <v>0</v>
      </c>
      <c r="U371" s="580">
        <f>U369*'OLD  Formulas'!$L$4</f>
        <v>0</v>
      </c>
      <c r="V371" s="580">
        <f>V369*'OLD  Formulas'!$L$4</f>
        <v>0</v>
      </c>
      <c r="W371" s="580">
        <f>W369*'OLD  Formulas'!$L$4</f>
        <v>0</v>
      </c>
      <c r="X371" s="580">
        <f>X369*'OLD  Formulas'!$L$4</f>
        <v>0</v>
      </c>
      <c r="Y371" s="580">
        <f>Y369*'OLD  Formulas'!$L$4</f>
        <v>0</v>
      </c>
      <c r="Z371" s="580">
        <f>Z369*'OLD  Formulas'!$L$4</f>
        <v>0</v>
      </c>
      <c r="AA371" s="580">
        <f>AA369*'OLD  Formulas'!$L$4</f>
        <v>0</v>
      </c>
      <c r="AB371" s="580">
        <f>AB369*'OLD  Formulas'!$L$4</f>
        <v>0</v>
      </c>
      <c r="AC371" s="580">
        <f>AC369*'OLD  Formulas'!$L$4</f>
        <v>0</v>
      </c>
      <c r="AD371" s="580">
        <f>AD369*'OLD  Formulas'!$L$4</f>
        <v>0</v>
      </c>
      <c r="AE371" s="580">
        <f>AE369*'OLD  Formulas'!$L$4</f>
        <v>0</v>
      </c>
      <c r="AF371" s="1459">
        <f t="shared" si="140"/>
        <v>0</v>
      </c>
    </row>
    <row r="372" hidden="1" outlineLevel="1">
      <c r="A372" s="1257" t="s">
        <v>1125</v>
      </c>
      <c r="B372" s="580">
        <f>(B267+B274+B281)*'OLD  Formulas'!$C$9</f>
        <v>0</v>
      </c>
      <c r="C372" s="580">
        <f>(C267+C274+C281)*'OLD  Formulas'!$C$9</f>
        <v>0</v>
      </c>
      <c r="D372" s="580">
        <f>(D267+D274+D281)*'OLD  Formulas'!$C$9</f>
        <v>0</v>
      </c>
      <c r="E372" s="580">
        <f>(E267+E274+E281)*'OLD  Formulas'!$C$9</f>
        <v>0</v>
      </c>
      <c r="F372" s="580">
        <f>(F267+F274+F281)*'OLD  Formulas'!$C$9</f>
        <v>0</v>
      </c>
      <c r="G372" s="580">
        <f>(G267+G274+G281)*'OLD  Formulas'!$C$9</f>
        <v>0</v>
      </c>
      <c r="H372" s="580">
        <f>(H267+H274+H281)*'OLD  Formulas'!$C$9</f>
        <v>0</v>
      </c>
      <c r="I372" s="580">
        <f>(I267+I274+I281)*'OLD  Formulas'!$C$9</f>
        <v>0</v>
      </c>
      <c r="J372" s="580">
        <f>(J267+J274+J281)*'OLD  Formulas'!$C$9</f>
        <v>0</v>
      </c>
      <c r="K372" s="580">
        <f>(K267+K274+K281)*'OLD  Formulas'!$C$9</f>
        <v>0</v>
      </c>
      <c r="L372" s="580">
        <f>(L267+L274+L281)*'OLD  Formulas'!$C$9</f>
        <v>0</v>
      </c>
      <c r="M372" s="580">
        <f>(M267+M274+M281)*'OLD  Formulas'!$C$9</f>
        <v>0</v>
      </c>
      <c r="N372" s="580">
        <f>(N267+N274+N281)*'OLD  Formulas'!$C$9</f>
        <v>0</v>
      </c>
      <c r="O372" s="580">
        <f>(O267+O274+O281)*'OLD  Formulas'!$C$9</f>
        <v>0</v>
      </c>
      <c r="P372" s="580">
        <f>(P267+P274+P281)*'OLD  Formulas'!$C$9</f>
        <v>0</v>
      </c>
      <c r="Q372" s="580">
        <f>(Q267+Q274+Q281)*'OLD  Formulas'!$C$9</f>
        <v>0</v>
      </c>
      <c r="R372" s="580">
        <f>(R267+R274+R281)*'OLD  Formulas'!$C$9</f>
        <v>0</v>
      </c>
      <c r="S372" s="580">
        <f>(S267+S274+S281)*'OLD  Formulas'!$C$9</f>
        <v>0</v>
      </c>
      <c r="T372" s="580">
        <f>(T267+T274+T281)*'OLD  Formulas'!$C$9</f>
        <v>0</v>
      </c>
      <c r="U372" s="580">
        <f>(U267+U274+U281)*'OLD  Formulas'!$C$9</f>
        <v>0</v>
      </c>
      <c r="V372" s="580">
        <f>(V267+V274+V281)*'OLD  Formulas'!$C$9</f>
        <v>0</v>
      </c>
      <c r="W372" s="580">
        <f>(W267+W274+W281)*'OLD  Formulas'!$C$9</f>
        <v>0</v>
      </c>
      <c r="X372" s="580">
        <f>(X267+X274+X281)*'OLD  Formulas'!$C$9</f>
        <v>0</v>
      </c>
      <c r="Y372" s="580">
        <f>(Y267+Y274+Y281)*'OLD  Formulas'!$C$9</f>
        <v>0</v>
      </c>
      <c r="Z372" s="580">
        <f>(Z267+Z274+Z281)*'OLD  Formulas'!$C$9</f>
        <v>0</v>
      </c>
      <c r="AA372" s="580">
        <f>(AA267+AA274+AA281)*'OLD  Formulas'!$C$9</f>
        <v>0</v>
      </c>
      <c r="AB372" s="580">
        <f>(AB267+AB274+AB281)*'OLD  Formulas'!$C$9</f>
        <v>0</v>
      </c>
      <c r="AC372" s="580">
        <f>(AC267+AC274+AC281)*'OLD  Formulas'!$C$9</f>
        <v>0</v>
      </c>
      <c r="AD372" s="580">
        <f>(AD267+AD274+AD281)*'OLD  Formulas'!$C$9</f>
        <v>0</v>
      </c>
      <c r="AE372" s="580">
        <f>(AE267+AE274+AE281)*'OLD  Formulas'!$C$9</f>
        <v>0</v>
      </c>
      <c r="AF372" s="1459">
        <f t="shared" si="140"/>
        <v>0</v>
      </c>
    </row>
    <row r="373" hidden="1" outlineLevel="1">
      <c r="A373" s="1260" t="s">
        <v>1126</v>
      </c>
      <c r="B373" s="580">
        <f>B372*'OLD  Formulas'!$L$5</f>
        <v>0</v>
      </c>
      <c r="C373" s="580">
        <f>C372*'OLD  Formulas'!$L$5</f>
        <v>0</v>
      </c>
      <c r="D373" s="580">
        <f>D372*'OLD  Formulas'!$L$5</f>
        <v>0</v>
      </c>
      <c r="E373" s="580">
        <f>E372*'OLD  Formulas'!$L$5</f>
        <v>0</v>
      </c>
      <c r="F373" s="580">
        <f>F372*'OLD  Formulas'!$L$5</f>
        <v>0</v>
      </c>
      <c r="G373" s="580">
        <f>G372*'OLD  Formulas'!$L$5</f>
        <v>0</v>
      </c>
      <c r="H373" s="580">
        <f>H372*'OLD  Formulas'!$L$5</f>
        <v>0</v>
      </c>
      <c r="I373" s="580">
        <f>I372*'OLD  Formulas'!$L$5</f>
        <v>0</v>
      </c>
      <c r="J373" s="580">
        <f>J372*'OLD  Formulas'!$L$5</f>
        <v>0</v>
      </c>
      <c r="K373" s="580">
        <f>K372*'OLD  Formulas'!$L$5</f>
        <v>0</v>
      </c>
      <c r="L373" s="580">
        <f>L372*'OLD  Formulas'!$L$5</f>
        <v>0</v>
      </c>
      <c r="M373" s="580">
        <f>M372*'OLD  Formulas'!$L$5</f>
        <v>0</v>
      </c>
      <c r="N373" s="580">
        <f>N372*'OLD  Formulas'!$L$5</f>
        <v>0</v>
      </c>
      <c r="O373" s="580">
        <f>O372*'OLD  Formulas'!$L$5</f>
        <v>0</v>
      </c>
      <c r="P373" s="580">
        <f>P372*'OLD  Formulas'!$L$5</f>
        <v>0</v>
      </c>
      <c r="Q373" s="580">
        <f>Q372*'OLD  Formulas'!$L$5</f>
        <v>0</v>
      </c>
      <c r="R373" s="580">
        <f>R372*'OLD  Formulas'!$L$5</f>
        <v>0</v>
      </c>
      <c r="S373" s="580">
        <f>S372*'OLD  Formulas'!$L$5</f>
        <v>0</v>
      </c>
      <c r="T373" s="580">
        <f>T372*'OLD  Formulas'!$L$5</f>
        <v>0</v>
      </c>
      <c r="U373" s="580">
        <f>U372*'OLD  Formulas'!$L$5</f>
        <v>0</v>
      </c>
      <c r="V373" s="580">
        <f>V372*'OLD  Formulas'!$L$5</f>
        <v>0</v>
      </c>
      <c r="W373" s="580">
        <f>W372*'OLD  Formulas'!$L$5</f>
        <v>0</v>
      </c>
      <c r="X373" s="580">
        <f>X372*'OLD  Formulas'!$L$5</f>
        <v>0</v>
      </c>
      <c r="Y373" s="580">
        <f>Y372*'OLD  Formulas'!$L$5</f>
        <v>0</v>
      </c>
      <c r="Z373" s="580">
        <f>Z372*'OLD  Formulas'!$L$5</f>
        <v>0</v>
      </c>
      <c r="AA373" s="580">
        <f>AA372*'OLD  Formulas'!$L$5</f>
        <v>0</v>
      </c>
      <c r="AB373" s="580">
        <f>AB372*'OLD  Formulas'!$L$5</f>
        <v>0</v>
      </c>
      <c r="AC373" s="580">
        <f>AC372*'OLD  Formulas'!$L$5</f>
        <v>0</v>
      </c>
      <c r="AD373" s="580">
        <f>AD372*'OLD  Formulas'!$L$5</f>
        <v>0</v>
      </c>
      <c r="AE373" s="580">
        <f>AE372*'OLD  Formulas'!$L$5</f>
        <v>0</v>
      </c>
      <c r="AF373" s="1459">
        <f t="shared" si="140"/>
        <v>0</v>
      </c>
    </row>
    <row r="374" hidden="1" outlineLevel="1">
      <c r="A374" s="1260" t="s">
        <v>1128</v>
      </c>
      <c r="B374" s="580">
        <f>B372*'OLD  Formulas'!$L$4</f>
        <v>0</v>
      </c>
      <c r="C374" s="580">
        <f>C372*'OLD  Formulas'!$L$4</f>
        <v>0</v>
      </c>
      <c r="D374" s="580">
        <f>D372*'OLD  Formulas'!$L$4</f>
        <v>0</v>
      </c>
      <c r="E374" s="580">
        <f>E372*'OLD  Formulas'!$L$4</f>
        <v>0</v>
      </c>
      <c r="F374" s="580">
        <f>F372*'OLD  Formulas'!$L$4</f>
        <v>0</v>
      </c>
      <c r="G374" s="580">
        <f>G372*'OLD  Formulas'!$L$4</f>
        <v>0</v>
      </c>
      <c r="H374" s="580">
        <f>H372*'OLD  Formulas'!$L$4</f>
        <v>0</v>
      </c>
      <c r="I374" s="580">
        <f>I372*'OLD  Formulas'!$L$4</f>
        <v>0</v>
      </c>
      <c r="J374" s="580">
        <f>J372*'OLD  Formulas'!$L$4</f>
        <v>0</v>
      </c>
      <c r="K374" s="580">
        <f>K372*'OLD  Formulas'!$L$4</f>
        <v>0</v>
      </c>
      <c r="L374" s="580">
        <f>L372*'OLD  Formulas'!$L$4</f>
        <v>0</v>
      </c>
      <c r="M374" s="580">
        <f>M372*'OLD  Formulas'!$L$4</f>
        <v>0</v>
      </c>
      <c r="N374" s="580">
        <f>N372*'OLD  Formulas'!$L$4</f>
        <v>0</v>
      </c>
      <c r="O374" s="580">
        <f>O372*'OLD  Formulas'!$L$4</f>
        <v>0</v>
      </c>
      <c r="P374" s="580">
        <f>P372*'OLD  Formulas'!$L$4</f>
        <v>0</v>
      </c>
      <c r="Q374" s="580">
        <f>Q372*'OLD  Formulas'!$L$4</f>
        <v>0</v>
      </c>
      <c r="R374" s="580">
        <f>R372*'OLD  Formulas'!$L$4</f>
        <v>0</v>
      </c>
      <c r="S374" s="580">
        <f>S372*'OLD  Formulas'!$L$4</f>
        <v>0</v>
      </c>
      <c r="T374" s="580">
        <f>T372*'OLD  Formulas'!$L$4</f>
        <v>0</v>
      </c>
      <c r="U374" s="580">
        <f>U372*'OLD  Formulas'!$L$4</f>
        <v>0</v>
      </c>
      <c r="V374" s="580">
        <f>V372*'OLD  Formulas'!$L$4</f>
        <v>0</v>
      </c>
      <c r="W374" s="580">
        <f>W372*'OLD  Formulas'!$L$4</f>
        <v>0</v>
      </c>
      <c r="X374" s="580">
        <f>X372*'OLD  Formulas'!$L$4</f>
        <v>0</v>
      </c>
      <c r="Y374" s="580">
        <f>Y372*'OLD  Formulas'!$L$4</f>
        <v>0</v>
      </c>
      <c r="Z374" s="580">
        <f>Z372*'OLD  Formulas'!$L$4</f>
        <v>0</v>
      </c>
      <c r="AA374" s="580">
        <f>AA372*'OLD  Formulas'!$L$4</f>
        <v>0</v>
      </c>
      <c r="AB374" s="580">
        <f>AB372*'OLD  Formulas'!$L$4</f>
        <v>0</v>
      </c>
      <c r="AC374" s="580">
        <f>AC372*'OLD  Formulas'!$L$4</f>
        <v>0</v>
      </c>
      <c r="AD374" s="580">
        <f>AD372*'OLD  Formulas'!$L$4</f>
        <v>0</v>
      </c>
      <c r="AE374" s="580">
        <f>AE372*'OLD  Formulas'!$L$4</f>
        <v>0</v>
      </c>
      <c r="AF374" s="1459">
        <f t="shared" si="140"/>
        <v>0</v>
      </c>
    </row>
    <row r="375" hidden="1" outlineLevel="1">
      <c r="A375" s="1257" t="s">
        <v>1129</v>
      </c>
      <c r="B375" s="580">
        <f>(B268+B275+B282)*'OLD  Formulas'!$C$5</f>
        <v>0</v>
      </c>
      <c r="C375" s="580">
        <f>(C268+C275+C282)*'OLD  Formulas'!$C$5</f>
        <v>0</v>
      </c>
      <c r="D375" s="580">
        <f>(D268+D275+D282)*'OLD  Formulas'!$C$5</f>
        <v>0</v>
      </c>
      <c r="E375" s="580">
        <f>(E268+E275+E282)*'OLD  Formulas'!$C$5</f>
        <v>0</v>
      </c>
      <c r="F375" s="580">
        <f>(F268+F275+F282)*'OLD  Formulas'!$C$5</f>
        <v>0</v>
      </c>
      <c r="G375" s="580">
        <f>(G268+G275+G282)*'OLD  Formulas'!$C$5</f>
        <v>0</v>
      </c>
      <c r="H375" s="580">
        <f>(H268+H275+H282)*'OLD  Formulas'!$C$5</f>
        <v>0</v>
      </c>
      <c r="I375" s="580">
        <f>(I268+I275+I282)*'OLD  Formulas'!$C$5</f>
        <v>0</v>
      </c>
      <c r="J375" s="580">
        <f>(J268+J275+J282)*'OLD  Formulas'!$C$5</f>
        <v>0</v>
      </c>
      <c r="K375" s="580">
        <f>(K268+K275+K282)*'OLD  Formulas'!$C$5</f>
        <v>0</v>
      </c>
      <c r="L375" s="580">
        <f>(L268+L275+L282)*'OLD  Formulas'!$C$5</f>
        <v>0</v>
      </c>
      <c r="M375" s="580">
        <f>(M268+M275+M282)*'OLD  Formulas'!$C$5</f>
        <v>0</v>
      </c>
      <c r="N375" s="580">
        <f>(N268+N275+N282)*'OLD  Formulas'!$C$5</f>
        <v>0</v>
      </c>
      <c r="O375" s="580">
        <f>(O268+O275+O282)*'OLD  Formulas'!$C$5</f>
        <v>0</v>
      </c>
      <c r="P375" s="580">
        <f>(P268+P275+P282)*'OLD  Formulas'!$C$5</f>
        <v>0</v>
      </c>
      <c r="Q375" s="580">
        <f>(Q268+Q275+Q282)*'OLD  Formulas'!$C$5</f>
        <v>0</v>
      </c>
      <c r="R375" s="580">
        <f>(R268+R275+R282)*'OLD  Formulas'!$C$5</f>
        <v>0</v>
      </c>
      <c r="S375" s="580">
        <f>(S268+S275+S282)*'OLD  Formulas'!$C$5</f>
        <v>0</v>
      </c>
      <c r="T375" s="580">
        <f>(T268+T275+T282)*'OLD  Formulas'!$C$5</f>
        <v>0</v>
      </c>
      <c r="U375" s="580">
        <f>(U268+U275+U282)*'OLD  Formulas'!$C$5</f>
        <v>0</v>
      </c>
      <c r="V375" s="580">
        <f>(V268+V275+V282)*'OLD  Formulas'!$C$5</f>
        <v>0</v>
      </c>
      <c r="W375" s="580">
        <f>(W268+W275+W282)*'OLD  Formulas'!$C$5</f>
        <v>0</v>
      </c>
      <c r="X375" s="580">
        <f>(X268+X275+X282)*'OLD  Formulas'!$C$5</f>
        <v>0</v>
      </c>
      <c r="Y375" s="580">
        <f>(Y268+Y275+Y282)*'OLD  Formulas'!$C$5</f>
        <v>0</v>
      </c>
      <c r="Z375" s="580">
        <f>(Z268+Z275+Z282)*'OLD  Formulas'!$C$5</f>
        <v>0</v>
      </c>
      <c r="AA375" s="580">
        <f>(AA268+AA275+AA282)*'OLD  Formulas'!$C$5</f>
        <v>0</v>
      </c>
      <c r="AB375" s="580">
        <f>(AB268+AB275+AB282)*'OLD  Formulas'!$C$5</f>
        <v>0</v>
      </c>
      <c r="AC375" s="580">
        <f>(AC268+AC275+AC282)*'OLD  Formulas'!$C$5</f>
        <v>0</v>
      </c>
      <c r="AD375" s="580">
        <f>(AD268+AD275+AD282)*'OLD  Formulas'!$C$5</f>
        <v>0</v>
      </c>
      <c r="AE375" s="580">
        <f>(AE268+AE275+AE282)*'OLD  Formulas'!$C$5</f>
        <v>0</v>
      </c>
      <c r="AF375" s="1459">
        <f t="shared" si="140"/>
        <v>0</v>
      </c>
    </row>
    <row r="376" hidden="1" outlineLevel="1">
      <c r="A376" s="1260" t="s">
        <v>1397</v>
      </c>
      <c r="B376" s="580">
        <f>B375*'OLD  Formulas'!$L$8</f>
        <v>0</v>
      </c>
      <c r="C376" s="580">
        <f>C375*'OLD  Formulas'!$L$8</f>
        <v>0</v>
      </c>
      <c r="D376" s="580">
        <f>D375*'OLD  Formulas'!$L$8</f>
        <v>0</v>
      </c>
      <c r="E376" s="580">
        <f>E375*'OLD  Formulas'!$L$8</f>
        <v>0</v>
      </c>
      <c r="F376" s="580">
        <f>F375*'OLD  Formulas'!$L$8</f>
        <v>0</v>
      </c>
      <c r="G376" s="580">
        <f>G375*'OLD  Formulas'!$L$8</f>
        <v>0</v>
      </c>
      <c r="H376" s="580">
        <f>H375*'OLD  Formulas'!$L$8</f>
        <v>0</v>
      </c>
      <c r="I376" s="580">
        <f>I375*'OLD  Formulas'!$L$8</f>
        <v>0</v>
      </c>
      <c r="J376" s="580">
        <f>J375*'OLD  Formulas'!$L$8</f>
        <v>0</v>
      </c>
      <c r="K376" s="580">
        <f>K375*'OLD  Formulas'!$L$8</f>
        <v>0</v>
      </c>
      <c r="L376" s="580">
        <f>L375*'OLD  Formulas'!$L$8</f>
        <v>0</v>
      </c>
      <c r="M376" s="580">
        <f>M375*'OLD  Formulas'!$L$8</f>
        <v>0</v>
      </c>
      <c r="N376" s="580">
        <f>N375*'OLD  Formulas'!$L$8</f>
        <v>0</v>
      </c>
      <c r="O376" s="580">
        <f>O375*'OLD  Formulas'!$L$8</f>
        <v>0</v>
      </c>
      <c r="P376" s="580">
        <f>P375*'OLD  Formulas'!$L$8</f>
        <v>0</v>
      </c>
      <c r="Q376" s="580">
        <f>Q375*'OLD  Formulas'!$L$8</f>
        <v>0</v>
      </c>
      <c r="R376" s="580">
        <f>R375*'OLD  Formulas'!$L$8</f>
        <v>0</v>
      </c>
      <c r="S376" s="580">
        <f>S375*'OLD  Formulas'!$L$8</f>
        <v>0</v>
      </c>
      <c r="T376" s="580">
        <f>T375*'OLD  Formulas'!$L$8</f>
        <v>0</v>
      </c>
      <c r="U376" s="580">
        <f>U375*'OLD  Formulas'!$L$8</f>
        <v>0</v>
      </c>
      <c r="V376" s="580">
        <f>V375*'OLD  Formulas'!$L$8</f>
        <v>0</v>
      </c>
      <c r="W376" s="580">
        <f>W375*'OLD  Formulas'!$L$8</f>
        <v>0</v>
      </c>
      <c r="X376" s="580">
        <f>X375*'OLD  Formulas'!$L$8</f>
        <v>0</v>
      </c>
      <c r="Y376" s="580">
        <f>Y375*'OLD  Formulas'!$L$8</f>
        <v>0</v>
      </c>
      <c r="Z376" s="580">
        <f>Z375*'OLD  Formulas'!$L$8</f>
        <v>0</v>
      </c>
      <c r="AA376" s="580">
        <f>AA375*'OLD  Formulas'!$L$8</f>
        <v>0</v>
      </c>
      <c r="AB376" s="580">
        <f>AB375*'OLD  Formulas'!$L$8</f>
        <v>0</v>
      </c>
      <c r="AC376" s="580">
        <f>AC375*'OLD  Formulas'!$L$8</f>
        <v>0</v>
      </c>
      <c r="AD376" s="580">
        <f>AD375*'OLD  Formulas'!$L$8</f>
        <v>0</v>
      </c>
      <c r="AE376" s="580">
        <f>AE375*'OLD  Formulas'!$L$8</f>
        <v>0</v>
      </c>
      <c r="AF376" s="1459">
        <f t="shared" si="140"/>
        <v>0</v>
      </c>
    </row>
    <row r="377" hidden="1" outlineLevel="1">
      <c r="A377" s="1260" t="s">
        <v>1134</v>
      </c>
      <c r="B377" s="580">
        <f>B375*'OLD  Formulas'!$L$9</f>
        <v>0</v>
      </c>
      <c r="C377" s="580">
        <f>C375*'OLD  Formulas'!$L$9</f>
        <v>0</v>
      </c>
      <c r="D377" s="580">
        <f>D375*'OLD  Formulas'!$L$9</f>
        <v>0</v>
      </c>
      <c r="E377" s="580">
        <f>E375*'OLD  Formulas'!$L$9</f>
        <v>0</v>
      </c>
      <c r="F377" s="580">
        <f>F375*'OLD  Formulas'!$L$9</f>
        <v>0</v>
      </c>
      <c r="G377" s="580">
        <f>G375*'OLD  Formulas'!$L$9</f>
        <v>0</v>
      </c>
      <c r="H377" s="580">
        <f>H375*'OLD  Formulas'!$L$9</f>
        <v>0</v>
      </c>
      <c r="I377" s="580">
        <f>I375*'OLD  Formulas'!$L$9</f>
        <v>0</v>
      </c>
      <c r="J377" s="580">
        <f>J375*'OLD  Formulas'!$L$9</f>
        <v>0</v>
      </c>
      <c r="K377" s="580">
        <f>K375*'OLD  Formulas'!$L$9</f>
        <v>0</v>
      </c>
      <c r="L377" s="580">
        <f>L375*'OLD  Formulas'!$L$9</f>
        <v>0</v>
      </c>
      <c r="M377" s="580">
        <f>M375*'OLD  Formulas'!$L$9</f>
        <v>0</v>
      </c>
      <c r="N377" s="580">
        <f>N375*'OLD  Formulas'!$L$9</f>
        <v>0</v>
      </c>
      <c r="O377" s="580">
        <f>O375*'OLD  Formulas'!$L$9</f>
        <v>0</v>
      </c>
      <c r="P377" s="580">
        <f>P375*'OLD  Formulas'!$L$9</f>
        <v>0</v>
      </c>
      <c r="Q377" s="580">
        <f>Q375*'OLD  Formulas'!$L$9</f>
        <v>0</v>
      </c>
      <c r="R377" s="580">
        <f>R375*'OLD  Formulas'!$L$9</f>
        <v>0</v>
      </c>
      <c r="S377" s="580">
        <f>S375*'OLD  Formulas'!$L$9</f>
        <v>0</v>
      </c>
      <c r="T377" s="580">
        <f>T375*'OLD  Formulas'!$L$9</f>
        <v>0</v>
      </c>
      <c r="U377" s="580">
        <f>U375*'OLD  Formulas'!$L$9</f>
        <v>0</v>
      </c>
      <c r="V377" s="580">
        <f>V375*'OLD  Formulas'!$L$9</f>
        <v>0</v>
      </c>
      <c r="W377" s="580">
        <f>W375*'OLD  Formulas'!$L$9</f>
        <v>0</v>
      </c>
      <c r="X377" s="580">
        <f>X375*'OLD  Formulas'!$L$9</f>
        <v>0</v>
      </c>
      <c r="Y377" s="580">
        <f>Y375*'OLD  Formulas'!$L$9</f>
        <v>0</v>
      </c>
      <c r="Z377" s="580">
        <f>Z375*'OLD  Formulas'!$L$9</f>
        <v>0</v>
      </c>
      <c r="AA377" s="580">
        <f>AA375*'OLD  Formulas'!$L$9</f>
        <v>0</v>
      </c>
      <c r="AB377" s="580">
        <f>AB375*'OLD  Formulas'!$L$9</f>
        <v>0</v>
      </c>
      <c r="AC377" s="580">
        <f>AC375*'OLD  Formulas'!$L$9</f>
        <v>0</v>
      </c>
      <c r="AD377" s="580">
        <f>AD375*'OLD  Formulas'!$L$9</f>
        <v>0</v>
      </c>
      <c r="AE377" s="580">
        <f>AE375*'OLD  Formulas'!$L$9</f>
        <v>0</v>
      </c>
      <c r="AF377" s="1459">
        <f t="shared" si="140"/>
        <v>0</v>
      </c>
    </row>
    <row r="378" hidden="1" outlineLevel="1">
      <c r="A378" s="1260" t="s">
        <v>1154</v>
      </c>
      <c r="B378" s="580">
        <f>(B359+B361+B363+B366+B369+B372+B375)*'OLD  Formulas'!$L$6</f>
        <v>0</v>
      </c>
      <c r="C378" s="580">
        <f>(C359+C361+C363+C366+C369+C372+C375)*'OLD  Formulas'!$L$6</f>
        <v>0</v>
      </c>
      <c r="D378" s="580">
        <f>(D359+D361+D363+D366+D369+D372+D375)*'OLD  Formulas'!$L$6</f>
        <v>0</v>
      </c>
      <c r="E378" s="580">
        <f>(E359+E361+E363+E366+E369+E372+E375)*'OLD  Formulas'!$L$6</f>
        <v>0</v>
      </c>
      <c r="F378" s="580">
        <f>(F359+F361+F363+F366+F369+F372+F375)*'OLD  Formulas'!$L$6</f>
        <v>0</v>
      </c>
      <c r="G378" s="580">
        <f>(G359+G361+G363+G366+G369+G372+G375)*'OLD  Formulas'!$L$6</f>
        <v>0</v>
      </c>
      <c r="H378" s="580">
        <f>(H359+H361+H363+H366+H369+H372+H375)*'OLD  Formulas'!$L$6</f>
        <v>0</v>
      </c>
      <c r="I378" s="580">
        <f>(I359+I361+I363+I366+I369+I372+I375)*'OLD  Formulas'!$L$6</f>
        <v>0</v>
      </c>
      <c r="J378" s="580">
        <f>(J359+J361+J363+J366+J369+J372+J375)*'OLD  Formulas'!$L$6</f>
        <v>0</v>
      </c>
      <c r="K378" s="580">
        <f>(K359+K361+K363+K366+K369+K372+K375)*'OLD  Formulas'!$L$6</f>
        <v>0</v>
      </c>
      <c r="L378" s="580">
        <f>(L359+L361+L363+L366+L369+L372+L375)*'OLD  Formulas'!$L$6</f>
        <v>0</v>
      </c>
      <c r="M378" s="580">
        <f>(M359+M361+M363+M366+M369+M372+M375)*'OLD  Formulas'!$L$6</f>
        <v>0</v>
      </c>
      <c r="N378" s="580">
        <f>(N359+N361+N363+N366+N369+N372+N375)*'OLD  Formulas'!$L$6</f>
        <v>0</v>
      </c>
      <c r="O378" s="580">
        <f>(O359+O361+O363+O366+O369+O372+O375)*'OLD  Formulas'!$L$6</f>
        <v>0</v>
      </c>
      <c r="P378" s="580">
        <f>(P359+P361+P363+P366+P369+P372+P375)*'OLD  Formulas'!$L$6</f>
        <v>0</v>
      </c>
      <c r="Q378" s="580">
        <f>(Q359+Q361+Q363+Q366+Q369+Q372+Q375)*'OLD  Formulas'!$L$6</f>
        <v>0</v>
      </c>
      <c r="R378" s="580">
        <f>(R359+R361+R363+R366+R369+R372+R375)*'OLD  Formulas'!$L$6</f>
        <v>0</v>
      </c>
      <c r="S378" s="580">
        <f>(S359+S361+S363+S366+S369+S372+S375)*'OLD  Formulas'!$L$6</f>
        <v>0</v>
      </c>
      <c r="T378" s="580">
        <f>(T359+T361+T363+T366+T369+T372+T375)*'OLD  Formulas'!$L$6</f>
        <v>0</v>
      </c>
      <c r="U378" s="580">
        <f>(U359+U361+U363+U366+U369+U372+U375)*'OLD  Formulas'!$L$6</f>
        <v>0</v>
      </c>
      <c r="V378" s="580">
        <f>(V359+V361+V363+V366+V369+V372+V375)*'OLD  Formulas'!$L$6</f>
        <v>0</v>
      </c>
      <c r="W378" s="580">
        <f>(W359+W361+W363+W366+W369+W372+W375)*'OLD  Formulas'!$L$6</f>
        <v>0</v>
      </c>
      <c r="X378" s="580">
        <f>(X359+X361+X363+X366+X369+X372+X375)*'OLD  Formulas'!$L$6</f>
        <v>0</v>
      </c>
      <c r="Y378" s="580">
        <f>(Y359+Y361+Y363+Y366+Y369+Y372+Y375)*'OLD  Formulas'!$L$6</f>
        <v>0</v>
      </c>
      <c r="Z378" s="580">
        <f>(Z359+Z361+Z363+Z366+Z369+Z372+Z375)*'OLD  Formulas'!$L$6</f>
        <v>0</v>
      </c>
      <c r="AA378" s="580">
        <f>(AA359+AA361+AA363+AA366+AA369+AA372+AA375)*'OLD  Formulas'!$L$6</f>
        <v>0</v>
      </c>
      <c r="AB378" s="580">
        <f>(AB359+AB361+AB363+AB366+AB369+AB372+AB375)*'OLD  Formulas'!$L$6</f>
        <v>0</v>
      </c>
      <c r="AC378" s="580">
        <f>(AC359+AC361+AC363+AC366+AC369+AC372+AC375)*'OLD  Formulas'!$L$6</f>
        <v>0</v>
      </c>
      <c r="AD378" s="580">
        <f>(AD359+AD361+AD363+AD366+AD369+AD372+AD375)*'OLD  Formulas'!$L$6</f>
        <v>0</v>
      </c>
      <c r="AE378" s="580">
        <f>(AE359+AE361+AE363+AE366+AE369+AE372+AE375)*'OLD  Formulas'!$L$6</f>
        <v>0</v>
      </c>
      <c r="AF378" s="1459">
        <f t="shared" si="140"/>
        <v>0</v>
      </c>
    </row>
    <row r="379" hidden="1" outlineLevel="1">
      <c r="A379" s="1260" t="s">
        <v>1185</v>
      </c>
      <c r="B379" s="580">
        <f>((B255+B256)*'OLD  Formulas'!$C$32)+((B257+B258)*'OLD  Formulas'!$C$33)+((B259+B260)*'OLD  Formulas'!$C$34)</f>
        <v>0</v>
      </c>
      <c r="C379" s="580">
        <f>((C255+C256)*'OLD  Formulas'!$C$32)+((C257+C258)*'OLD  Formulas'!$C$33)+((C259+C260)*'OLD  Formulas'!$C$34)</f>
        <v>0</v>
      </c>
      <c r="D379" s="580">
        <f>((D255+D256)*'OLD  Formulas'!$C$32)+((D257+D258)*'OLD  Formulas'!$C$33)+((D259+D260)*'OLD  Formulas'!$C$34)</f>
        <v>0</v>
      </c>
      <c r="E379" s="580">
        <f>((E255+E256)*'OLD  Formulas'!$C$32)+((E257+E258)*'OLD  Formulas'!$C$33)+((E259+E260)*'OLD  Formulas'!$C$34)</f>
        <v>0</v>
      </c>
      <c r="F379" s="580">
        <f>((F255+F256)*'OLD  Formulas'!$C$32)+((F257+F258)*'OLD  Formulas'!$C$33)+((F259+F260)*'OLD  Formulas'!$C$34)</f>
        <v>0</v>
      </c>
      <c r="G379" s="580">
        <f>((G255+G256)*'OLD  Formulas'!$C$32)+((G257+G258)*'OLD  Formulas'!$C$33)+((G259+G260)*'OLD  Formulas'!$C$34)</f>
        <v>0</v>
      </c>
      <c r="H379" s="580">
        <f>((H255+H256)*'OLD  Formulas'!$C$32)+((H257+H258)*'OLD  Formulas'!$C$33)+((H259+H260)*'OLD  Formulas'!$C$34)</f>
        <v>0</v>
      </c>
      <c r="I379" s="580">
        <f>((I255+I256)*'OLD  Formulas'!$C$32)+((I257+I258)*'OLD  Formulas'!$C$33)+((I259+I260)*'OLD  Formulas'!$C$34)</f>
        <v>0</v>
      </c>
      <c r="J379" s="580">
        <f>((J255+J256)*'OLD  Formulas'!$C$32)+((J257+J258)*'OLD  Formulas'!$C$33)+((J259+J260)*'OLD  Formulas'!$C$34)</f>
        <v>0</v>
      </c>
      <c r="K379" s="580">
        <f>((K255+K256)*'OLD  Formulas'!$C$32)+((K257+K258)*'OLD  Formulas'!$C$33)+((K259+K260)*'OLD  Formulas'!$C$34)</f>
        <v>0</v>
      </c>
      <c r="L379" s="580">
        <f>((L255+L256)*'OLD  Formulas'!$C$32)+((L257+L258)*'OLD  Formulas'!$C$33)+((L259+L260)*'OLD  Formulas'!$C$34)</f>
        <v>0</v>
      </c>
      <c r="M379" s="580">
        <f>((M255+M256)*'OLD  Formulas'!$C$32)+((M257+M258)*'OLD  Formulas'!$C$33)+((M259+M260)*'OLD  Formulas'!$C$34)</f>
        <v>0</v>
      </c>
      <c r="N379" s="580">
        <f>((N255+N256)*'OLD  Formulas'!$C$32)+((N257+N258)*'OLD  Formulas'!$C$33)+((N259+N260)*'OLD  Formulas'!$C$34)</f>
        <v>0</v>
      </c>
      <c r="O379" s="580">
        <f>((O255+O256)*'OLD  Formulas'!$C$32)+((O257+O258)*'OLD  Formulas'!$C$33)+((O259+O260)*'OLD  Formulas'!$C$34)</f>
        <v>0</v>
      </c>
      <c r="P379" s="580">
        <f>((P255+P256)*'OLD  Formulas'!$C$32)+((P257+P258)*'OLD  Formulas'!$C$33)+((P259+P260)*'OLD  Formulas'!$C$34)</f>
        <v>0</v>
      </c>
      <c r="Q379" s="580">
        <f>((Q255+Q256)*'OLD  Formulas'!$C$32)+((Q257+Q258)*'OLD  Formulas'!$C$33)+((Q259+Q260)*'OLD  Formulas'!$C$34)</f>
        <v>0</v>
      </c>
      <c r="R379" s="580">
        <f>((R255+R256)*'OLD  Formulas'!$C$32)+((R257+R258)*'OLD  Formulas'!$C$33)+((R259+R260)*'OLD  Formulas'!$C$34)</f>
        <v>0</v>
      </c>
      <c r="S379" s="580">
        <f>((S255+S256)*'OLD  Formulas'!$C$32)+((S257+S258)*'OLD  Formulas'!$C$33)+((S259+S260)*'OLD  Formulas'!$C$34)</f>
        <v>0</v>
      </c>
      <c r="T379" s="580">
        <f>((T255+T256)*'OLD  Formulas'!$C$32)+((T257+T258)*'OLD  Formulas'!$C$33)+((T259+T260)*'OLD  Formulas'!$C$34)</f>
        <v>0</v>
      </c>
      <c r="U379" s="580">
        <f>((U255+U256)*'OLD  Formulas'!$C$32)+((U257+U258)*'OLD  Formulas'!$C$33)+((U259+U260)*'OLD  Formulas'!$C$34)</f>
        <v>0</v>
      </c>
      <c r="V379" s="580">
        <f>((V255+V256)*'OLD  Formulas'!$C$32)+((V257+V258)*'OLD  Formulas'!$C$33)+((V259+V260)*'OLD  Formulas'!$C$34)</f>
        <v>0</v>
      </c>
      <c r="W379" s="580">
        <f>((W255+W256)*'OLD  Formulas'!$C$32)+((W257+W258)*'OLD  Formulas'!$C$33)+((W259+W260)*'OLD  Formulas'!$C$34)</f>
        <v>0</v>
      </c>
      <c r="X379" s="580">
        <f>((X255+X256)*'OLD  Formulas'!$C$32)+((X257+X258)*'OLD  Formulas'!$C$33)+((X259+X260)*'OLD  Formulas'!$C$34)</f>
        <v>0</v>
      </c>
      <c r="Y379" s="580">
        <f>((Y255+Y256)*'OLD  Formulas'!$C$32)+((Y257+Y258)*'OLD  Formulas'!$C$33)+((Y259+Y260)*'OLD  Formulas'!$C$34)</f>
        <v>0</v>
      </c>
      <c r="Z379" s="580">
        <f>((Z255+Z256)*'OLD  Formulas'!$C$32)+((Z257+Z258)*'OLD  Formulas'!$C$33)+((Z259+Z260)*'OLD  Formulas'!$C$34)</f>
        <v>0</v>
      </c>
      <c r="AA379" s="580">
        <f>((AA255+AA256)*'OLD  Formulas'!$C$32)+((AA257+AA258)*'OLD  Formulas'!$C$33)+((AA259+AA260)*'OLD  Formulas'!$C$34)</f>
        <v>0</v>
      </c>
      <c r="AB379" s="580">
        <f>((AB255+AB256)*'OLD  Formulas'!$C$32)+((AB257+AB258)*'OLD  Formulas'!$C$33)+((AB259+AB260)*'OLD  Formulas'!$C$34)</f>
        <v>0</v>
      </c>
      <c r="AC379" s="580">
        <f>((AC255+AC256)*'OLD  Formulas'!$C$32)+((AC257+AC258)*'OLD  Formulas'!$C$33)+((AC259+AC260)*'OLD  Formulas'!$C$34)</f>
        <v>0</v>
      </c>
      <c r="AD379" s="580">
        <f>((AD255+AD256)*'OLD  Formulas'!$C$32)+((AD257+AD258)*'OLD  Formulas'!$C$33)+((AD259+AD260)*'OLD  Formulas'!$C$34)</f>
        <v>0</v>
      </c>
      <c r="AE379" s="580">
        <f>((AE255+AE256)*'OLD  Formulas'!$C$32)+((AE257+AE258)*'OLD  Formulas'!$C$33)+((AE259+AE260)*'OLD  Formulas'!$C$34)</f>
        <v>0</v>
      </c>
      <c r="AF379" s="1459">
        <f t="shared" si="140"/>
        <v>0</v>
      </c>
    </row>
    <row r="380" hidden="1" outlineLevel="1">
      <c r="A380" s="1260" t="s">
        <v>1189</v>
      </c>
      <c r="B380" s="580">
        <f>((B255+B256)*'OLD  Formulas'!$C$17)+((B257+B258)*'OLD  Formulas'!$C$18)+((B259+B260)*'OLD  Formulas'!$C$19)</f>
        <v>0</v>
      </c>
      <c r="C380" s="580">
        <f>((C255+C256)*'OLD  Formulas'!$C$17)+((C257+C258)*'OLD  Formulas'!$C$18)+((C259+C260)*'OLD  Formulas'!$C$19)</f>
        <v>0</v>
      </c>
      <c r="D380" s="580">
        <f>((D255+D256)*'OLD  Formulas'!$C$17)+((D257+D258)*'OLD  Formulas'!$C$18)+((D259+D260)*'OLD  Formulas'!$C$19)</f>
        <v>0</v>
      </c>
      <c r="E380" s="580">
        <f>((E255+E256)*'OLD  Formulas'!$C$17)+((E257+E258)*'OLD  Formulas'!$C$18)+((E259+E260)*'OLD  Formulas'!$C$19)</f>
        <v>0</v>
      </c>
      <c r="F380" s="580">
        <f>((F255+F256)*'OLD  Formulas'!$C$17)+((F257+F258)*'OLD  Formulas'!$C$18)+((F259+F260)*'OLD  Formulas'!$C$19)</f>
        <v>0</v>
      </c>
      <c r="G380" s="580">
        <f>((G255+G256)*'OLD  Formulas'!$C$17)+((G257+G258)*'OLD  Formulas'!$C$18)+((G259+G260)*'OLD  Formulas'!$C$19)</f>
        <v>0</v>
      </c>
      <c r="H380" s="580">
        <f>((H255+H256)*'OLD  Formulas'!$C$17)+((H257+H258)*'OLD  Formulas'!$C$18)+((H259+H260)*'OLD  Formulas'!$C$19)</f>
        <v>0</v>
      </c>
      <c r="I380" s="580">
        <f>((I255+I256)*'OLD  Formulas'!$C$17)+((I257+I258)*'OLD  Formulas'!$C$18)+((I259+I260)*'OLD  Formulas'!$C$19)</f>
        <v>0</v>
      </c>
      <c r="J380" s="580">
        <f>((J255+J256)*'OLD  Formulas'!$C$17)+((J257+J258)*'OLD  Formulas'!$C$18)+((J259+J260)*'OLD  Formulas'!$C$19)</f>
        <v>0</v>
      </c>
      <c r="K380" s="580">
        <f>((K255+K256)*'OLD  Formulas'!$C$17)+((K257+K258)*'OLD  Formulas'!$C$18)+((K259+K260)*'OLD  Formulas'!$C$19)</f>
        <v>0</v>
      </c>
      <c r="L380" s="580">
        <f>((L255+L256)*'OLD  Formulas'!$C$17)+((L257+L258)*'OLD  Formulas'!$C$18)+((L259+L260)*'OLD  Formulas'!$C$19)</f>
        <v>0</v>
      </c>
      <c r="M380" s="580">
        <f>((M255+M256)*'OLD  Formulas'!$C$17)+((M257+M258)*'OLD  Formulas'!$C$18)+((M259+M260)*'OLD  Formulas'!$C$19)</f>
        <v>0</v>
      </c>
      <c r="N380" s="580">
        <f>((N255+N256)*'OLD  Formulas'!$C$17)+((N257+N258)*'OLD  Formulas'!$C$18)+((N259+N260)*'OLD  Formulas'!$C$19)</f>
        <v>0</v>
      </c>
      <c r="O380" s="580">
        <f>((O255+O256)*'OLD  Formulas'!$C$17)+((O257+O258)*'OLD  Formulas'!$C$18)+((O259+O260)*'OLD  Formulas'!$C$19)</f>
        <v>0</v>
      </c>
      <c r="P380" s="580">
        <f>((P255+P256)*'OLD  Formulas'!$C$17)+((P257+P258)*'OLD  Formulas'!$C$18)+((P259+P260)*'OLD  Formulas'!$C$19)</f>
        <v>0</v>
      </c>
      <c r="Q380" s="580">
        <f>((Q255+Q256)*'OLD  Formulas'!$C$17)+((Q257+Q258)*'OLD  Formulas'!$C$18)+((Q259+Q260)*'OLD  Formulas'!$C$19)</f>
        <v>0</v>
      </c>
      <c r="R380" s="580">
        <f>((R255+R256)*'OLD  Formulas'!$C$17)+((R257+R258)*'OLD  Formulas'!$C$18)+((R259+R260)*'OLD  Formulas'!$C$19)</f>
        <v>0</v>
      </c>
      <c r="S380" s="580">
        <f>((S255+S256)*'OLD  Formulas'!$C$17)+((S257+S258)*'OLD  Formulas'!$C$18)+((S259+S260)*'OLD  Formulas'!$C$19)</f>
        <v>0</v>
      </c>
      <c r="T380" s="580">
        <f>((T255+T256)*'OLD  Formulas'!$C$17)+((T257+T258)*'OLD  Formulas'!$C$18)+((T259+T260)*'OLD  Formulas'!$C$19)</f>
        <v>0</v>
      </c>
      <c r="U380" s="580">
        <f>((U255+U256)*'OLD  Formulas'!$C$17)+((U257+U258)*'OLD  Formulas'!$C$18)+((U259+U260)*'OLD  Formulas'!$C$19)</f>
        <v>0</v>
      </c>
      <c r="V380" s="580">
        <f>((V255+V256)*'OLD  Formulas'!$C$17)+((V257+V258)*'OLD  Formulas'!$C$18)+((V259+V260)*'OLD  Formulas'!$C$19)</f>
        <v>0</v>
      </c>
      <c r="W380" s="580">
        <f>((W255+W256)*'OLD  Formulas'!$C$17)+((W257+W258)*'OLD  Formulas'!$C$18)+((W259+W260)*'OLD  Formulas'!$C$19)</f>
        <v>0</v>
      </c>
      <c r="X380" s="580">
        <f>((X255+X256)*'OLD  Formulas'!$C$17)+((X257+X258)*'OLD  Formulas'!$C$18)+((X259+X260)*'OLD  Formulas'!$C$19)</f>
        <v>0</v>
      </c>
      <c r="Y380" s="580">
        <f>((Y255+Y256)*'OLD  Formulas'!$C$17)+((Y257+Y258)*'OLD  Formulas'!$C$18)+((Y259+Y260)*'OLD  Formulas'!$C$19)</f>
        <v>0</v>
      </c>
      <c r="Z380" s="580">
        <f>((Z255+Z256)*'OLD  Formulas'!$C$17)+((Z257+Z258)*'OLD  Formulas'!$C$18)+((Z259+Z260)*'OLD  Formulas'!$C$19)</f>
        <v>0</v>
      </c>
      <c r="AA380" s="580">
        <f>((AA255+AA256)*'OLD  Formulas'!$C$17)+((AA257+AA258)*'OLD  Formulas'!$C$18)+((AA259+AA260)*'OLD  Formulas'!$C$19)</f>
        <v>0</v>
      </c>
      <c r="AB380" s="580">
        <f>((AB255+AB256)*'OLD  Formulas'!$C$17)+((AB257+AB258)*'OLD  Formulas'!$C$18)+((AB259+AB260)*'OLD  Formulas'!$C$19)</f>
        <v>0</v>
      </c>
      <c r="AC380" s="580">
        <f>((AC255+AC256)*'OLD  Formulas'!$C$17)+((AC257+AC258)*'OLD  Formulas'!$C$18)+((AC259+AC260)*'OLD  Formulas'!$C$19)</f>
        <v>0</v>
      </c>
      <c r="AD380" s="580">
        <f>((AD255+AD256)*'OLD  Formulas'!$C$17)+((AD257+AD258)*'OLD  Formulas'!$C$18)+((AD259+AD260)*'OLD  Formulas'!$C$19)</f>
        <v>0</v>
      </c>
      <c r="AE380" s="580">
        <f>((AE255+AE256)*'OLD  Formulas'!$C$17)+((AE257+AE258)*'OLD  Formulas'!$C$18)+((AE259+AE260)*'OLD  Formulas'!$C$19)</f>
        <v>0</v>
      </c>
      <c r="AF380" s="1459">
        <f t="shared" si="140"/>
        <v>0</v>
      </c>
    </row>
    <row r="381" hidden="1" outlineLevel="1">
      <c r="A381" s="1260" t="s">
        <v>1191</v>
      </c>
      <c r="B381" s="580">
        <f>(B269*'OLD  Formulas'!$D$32)+(B276*'OLD  Formulas'!$D$33)+(B283*'OLD  Formulas'!$D$34)</f>
        <v>0</v>
      </c>
      <c r="C381" s="580">
        <f>(C269*'OLD  Formulas'!$D$32)+(C276*'OLD  Formulas'!$D$33)+(C283*'OLD  Formulas'!$D$34)</f>
        <v>0</v>
      </c>
      <c r="D381" s="580">
        <f>(D269*'OLD  Formulas'!$D$32)+(D276*'OLD  Formulas'!$D$33)+(D283*'OLD  Formulas'!$D$34)</f>
        <v>0</v>
      </c>
      <c r="E381" s="580">
        <f>(E269*'OLD  Formulas'!$D$32)+(E276*'OLD  Formulas'!$D$33)+(E283*'OLD  Formulas'!$D$34)</f>
        <v>0</v>
      </c>
      <c r="F381" s="580">
        <f>(F269*'OLD  Formulas'!$D$32)+(F276*'OLD  Formulas'!$D$33)+(F283*'OLD  Formulas'!$D$34)</f>
        <v>0</v>
      </c>
      <c r="G381" s="580">
        <f>(G269*'OLD  Formulas'!$D$32)+(G276*'OLD  Formulas'!$D$33)+(G283*'OLD  Formulas'!$D$34)</f>
        <v>0</v>
      </c>
      <c r="H381" s="580">
        <f>(H269*'OLD  Formulas'!$D$32)+(H276*'OLD  Formulas'!$D$33)+(H283*'OLD  Formulas'!$D$34)</f>
        <v>0</v>
      </c>
      <c r="I381" s="580">
        <f>(I269*'OLD  Formulas'!$D$32)+(I276*'OLD  Formulas'!$D$33)+(I283*'OLD  Formulas'!$D$34)</f>
        <v>0</v>
      </c>
      <c r="J381" s="580">
        <f>(J269*'OLD  Formulas'!$D$32)+(J276*'OLD  Formulas'!$D$33)+(J283*'OLD  Formulas'!$D$34)</f>
        <v>0</v>
      </c>
      <c r="K381" s="580">
        <f>(K269*'OLD  Formulas'!$D$32)+(K276*'OLD  Formulas'!$D$33)+(K283*'OLD  Formulas'!$D$34)</f>
        <v>0</v>
      </c>
      <c r="L381" s="580">
        <f>(L269*'OLD  Formulas'!$D$32)+(L276*'OLD  Formulas'!$D$33)+(L283*'OLD  Formulas'!$D$34)</f>
        <v>0</v>
      </c>
      <c r="M381" s="580">
        <f>(M269*'OLD  Formulas'!$D$32)+(M276*'OLD  Formulas'!$D$33)+(M283*'OLD  Formulas'!$D$34)</f>
        <v>0</v>
      </c>
      <c r="N381" s="580">
        <f>(N269*'OLD  Formulas'!$D$32)+(N276*'OLD  Formulas'!$D$33)+(N283*'OLD  Formulas'!$D$34)</f>
        <v>0</v>
      </c>
      <c r="O381" s="580">
        <f>(O269*'OLD  Formulas'!$D$32)+(O276*'OLD  Formulas'!$D$33)+(O283*'OLD  Formulas'!$D$34)</f>
        <v>0</v>
      </c>
      <c r="P381" s="580">
        <f>(P269*'OLD  Formulas'!$D$32)+(P276*'OLD  Formulas'!$D$33)+(P283*'OLD  Formulas'!$D$34)</f>
        <v>0</v>
      </c>
      <c r="Q381" s="580">
        <f>(Q269*'OLD  Formulas'!$D$32)+(Q276*'OLD  Formulas'!$D$33)+(Q283*'OLD  Formulas'!$D$34)</f>
        <v>0</v>
      </c>
      <c r="R381" s="580">
        <f>(R269*'OLD  Formulas'!$D$32)+(R276*'OLD  Formulas'!$D$33)+(R283*'OLD  Formulas'!$D$34)</f>
        <v>0</v>
      </c>
      <c r="S381" s="580">
        <f>(S269*'OLD  Formulas'!$D$32)+(S276*'OLD  Formulas'!$D$33)+(S283*'OLD  Formulas'!$D$34)</f>
        <v>0</v>
      </c>
      <c r="T381" s="580">
        <f>(T269*'OLD  Formulas'!$D$32)+(T276*'OLD  Formulas'!$D$33)+(T283*'OLD  Formulas'!$D$34)</f>
        <v>0</v>
      </c>
      <c r="U381" s="580">
        <f>(U269*'OLD  Formulas'!$D$32)+(U276*'OLD  Formulas'!$D$33)+(U283*'OLD  Formulas'!$D$34)</f>
        <v>0</v>
      </c>
      <c r="V381" s="580">
        <f>(V269*'OLD  Formulas'!$D$32)+(V276*'OLD  Formulas'!$D$33)+(V283*'OLD  Formulas'!$D$34)</f>
        <v>0</v>
      </c>
      <c r="W381" s="580">
        <f>(W269*'OLD  Formulas'!$D$32)+(W276*'OLD  Formulas'!$D$33)+(W283*'OLD  Formulas'!$D$34)</f>
        <v>0</v>
      </c>
      <c r="X381" s="580">
        <f>(X269*'OLD  Formulas'!$D$32)+(X276*'OLD  Formulas'!$D$33)+(X283*'OLD  Formulas'!$D$34)</f>
        <v>0</v>
      </c>
      <c r="Y381" s="580">
        <f>(Y269*'OLD  Formulas'!$D$32)+(Y276*'OLD  Formulas'!$D$33)+(Y283*'OLD  Formulas'!$D$34)</f>
        <v>0</v>
      </c>
      <c r="Z381" s="580">
        <f>(Z269*'OLD  Formulas'!$D$32)+(Z276*'OLD  Formulas'!$D$33)+(Z283*'OLD  Formulas'!$D$34)</f>
        <v>0</v>
      </c>
      <c r="AA381" s="580">
        <f>(AA269*'OLD  Formulas'!$D$32)+(AA276*'OLD  Formulas'!$D$33)+(AA283*'OLD  Formulas'!$D$34)</f>
        <v>0</v>
      </c>
      <c r="AB381" s="580">
        <f>(AB269*'OLD  Formulas'!$D$32)+(AB276*'OLD  Formulas'!$D$33)+(AB283*'OLD  Formulas'!$D$34)</f>
        <v>0</v>
      </c>
      <c r="AC381" s="580">
        <f>(AC269*'OLD  Formulas'!$D$32)+(AC276*'OLD  Formulas'!$D$33)+(AC283*'OLD  Formulas'!$D$34)</f>
        <v>0</v>
      </c>
      <c r="AD381" s="580">
        <f>(AD269*'OLD  Formulas'!$D$32)+(AD276*'OLD  Formulas'!$D$33)+(AD283*'OLD  Formulas'!$D$34)</f>
        <v>0</v>
      </c>
      <c r="AE381" s="580">
        <f>(AE269*'OLD  Formulas'!$D$32)+(AE276*'OLD  Formulas'!$D$33)+(AE283*'OLD  Formulas'!$D$34)</f>
        <v>0</v>
      </c>
      <c r="AF381" s="1459">
        <f t="shared" si="140"/>
        <v>0</v>
      </c>
    </row>
    <row r="382" hidden="1" outlineLevel="1">
      <c r="A382" s="1260" t="s">
        <v>1193</v>
      </c>
      <c r="B382" s="580">
        <f>(B269*'OLD  Formulas'!$D$17)+(B276*'OLD  Formulas'!$D$18)+(B283*'OLD  Formulas'!$D$19)</f>
        <v>0</v>
      </c>
      <c r="C382" s="580">
        <f>(C269*'OLD  Formulas'!$D$17)+(C276*'OLD  Formulas'!$D$18)+(C283*'OLD  Formulas'!$D$19)</f>
        <v>0</v>
      </c>
      <c r="D382" s="580">
        <f>(D269*'OLD  Formulas'!$D$17)+(D276*'OLD  Formulas'!$D$18)+(D283*'OLD  Formulas'!$D$19)</f>
        <v>0</v>
      </c>
      <c r="E382" s="580">
        <f>(E269*'OLD  Formulas'!$D$17)+(E276*'OLD  Formulas'!$D$18)+(E283*'OLD  Formulas'!$D$19)</f>
        <v>0</v>
      </c>
      <c r="F382" s="580">
        <f>(F269*'OLD  Formulas'!$D$17)+(F276*'OLD  Formulas'!$D$18)+(F283*'OLD  Formulas'!$D$19)</f>
        <v>0</v>
      </c>
      <c r="G382" s="580">
        <f>(G269*'OLD  Formulas'!$D$17)+(G276*'OLD  Formulas'!$D$18)+(G283*'OLD  Formulas'!$D$19)</f>
        <v>0</v>
      </c>
      <c r="H382" s="580">
        <f>(H269*'OLD  Formulas'!$D$17)+(H276*'OLD  Formulas'!$D$18)+(H283*'OLD  Formulas'!$D$19)</f>
        <v>0</v>
      </c>
      <c r="I382" s="580">
        <f>(I269*'OLD  Formulas'!$D$17)+(I276*'OLD  Formulas'!$D$18)+(I283*'OLD  Formulas'!$D$19)</f>
        <v>0</v>
      </c>
      <c r="J382" s="580">
        <f>(J269*'OLD  Formulas'!$D$17)+(J276*'OLD  Formulas'!$D$18)+(J283*'OLD  Formulas'!$D$19)</f>
        <v>0</v>
      </c>
      <c r="K382" s="580">
        <f>(K269*'OLD  Formulas'!$D$17)+(K276*'OLD  Formulas'!$D$18)+(K283*'OLD  Formulas'!$D$19)</f>
        <v>0</v>
      </c>
      <c r="L382" s="580">
        <f>(L269*'OLD  Formulas'!$D$17)+(L276*'OLD  Formulas'!$D$18)+(L283*'OLD  Formulas'!$D$19)</f>
        <v>0</v>
      </c>
      <c r="M382" s="580">
        <f>(M269*'OLD  Formulas'!$D$17)+(M276*'OLD  Formulas'!$D$18)+(M283*'OLD  Formulas'!$D$19)</f>
        <v>0</v>
      </c>
      <c r="N382" s="580">
        <f>(N269*'OLD  Formulas'!$D$17)+(N276*'OLD  Formulas'!$D$18)+(N283*'OLD  Formulas'!$D$19)</f>
        <v>0</v>
      </c>
      <c r="O382" s="580">
        <f>(O269*'OLD  Formulas'!$D$17)+(O276*'OLD  Formulas'!$D$18)+(O283*'OLD  Formulas'!$D$19)</f>
        <v>0</v>
      </c>
      <c r="P382" s="580">
        <f>(P269*'OLD  Formulas'!$D$17)+(P276*'OLD  Formulas'!$D$18)+(P283*'OLD  Formulas'!$D$19)</f>
        <v>0</v>
      </c>
      <c r="Q382" s="580">
        <f>(Q269*'OLD  Formulas'!$D$17)+(Q276*'OLD  Formulas'!$D$18)+(Q283*'OLD  Formulas'!$D$19)</f>
        <v>0</v>
      </c>
      <c r="R382" s="580">
        <f>(R269*'OLD  Formulas'!$D$17)+(R276*'OLD  Formulas'!$D$18)+(R283*'OLD  Formulas'!$D$19)</f>
        <v>0</v>
      </c>
      <c r="S382" s="580">
        <f>(S269*'OLD  Formulas'!$D$17)+(S276*'OLD  Formulas'!$D$18)+(S283*'OLD  Formulas'!$D$19)</f>
        <v>0</v>
      </c>
      <c r="T382" s="580">
        <f>(T269*'OLD  Formulas'!$D$17)+(T276*'OLD  Formulas'!$D$18)+(T283*'OLD  Formulas'!$D$19)</f>
        <v>0</v>
      </c>
      <c r="U382" s="580">
        <f>(U269*'OLD  Formulas'!$D$17)+(U276*'OLD  Formulas'!$D$18)+(U283*'OLD  Formulas'!$D$19)</f>
        <v>0</v>
      </c>
      <c r="V382" s="580">
        <f>(V269*'OLD  Formulas'!$D$17)+(V276*'OLD  Formulas'!$D$18)+(V283*'OLD  Formulas'!$D$19)</f>
        <v>0</v>
      </c>
      <c r="W382" s="580">
        <f>(W269*'OLD  Formulas'!$D$17)+(W276*'OLD  Formulas'!$D$18)+(W283*'OLD  Formulas'!$D$19)</f>
        <v>0</v>
      </c>
      <c r="X382" s="580">
        <f>(X269*'OLD  Formulas'!$D$17)+(X276*'OLD  Formulas'!$D$18)+(X283*'OLD  Formulas'!$D$19)</f>
        <v>0</v>
      </c>
      <c r="Y382" s="580">
        <f>(Y269*'OLD  Formulas'!$D$17)+(Y276*'OLD  Formulas'!$D$18)+(Y283*'OLD  Formulas'!$D$19)</f>
        <v>0</v>
      </c>
      <c r="Z382" s="580">
        <f>(Z269*'OLD  Formulas'!$D$17)+(Z276*'OLD  Formulas'!$D$18)+(Z283*'OLD  Formulas'!$D$19)</f>
        <v>0</v>
      </c>
      <c r="AA382" s="580">
        <f>(AA269*'OLD  Formulas'!$D$17)+(AA276*'OLD  Formulas'!$D$18)+(AA283*'OLD  Formulas'!$D$19)</f>
        <v>0</v>
      </c>
      <c r="AB382" s="580">
        <f>(AB269*'OLD  Formulas'!$D$17)+(AB276*'OLD  Formulas'!$D$18)+(AB283*'OLD  Formulas'!$D$19)</f>
        <v>0</v>
      </c>
      <c r="AC382" s="580">
        <f>(AC269*'OLD  Formulas'!$D$17)+(AC276*'OLD  Formulas'!$D$18)+(AC283*'OLD  Formulas'!$D$19)</f>
        <v>0</v>
      </c>
      <c r="AD382" s="580">
        <f>(AD269*'OLD  Formulas'!$D$17)+(AD276*'OLD  Formulas'!$D$18)+(AD283*'OLD  Formulas'!$D$19)</f>
        <v>0</v>
      </c>
      <c r="AE382" s="580">
        <f>(AE269*'OLD  Formulas'!$D$17)+(AE276*'OLD  Formulas'!$D$18)+(AE283*'OLD  Formulas'!$D$19)</f>
        <v>0</v>
      </c>
      <c r="AF382" s="1459">
        <f t="shared" si="140"/>
        <v>0</v>
      </c>
    </row>
    <row r="383" hidden="1" outlineLevel="1">
      <c r="A383" s="1409" t="s">
        <v>1206</v>
      </c>
      <c r="B383" s="582"/>
      <c r="C383" s="582"/>
      <c r="D383" s="582"/>
      <c r="E383" s="582"/>
      <c r="F383" s="582"/>
      <c r="G383" s="582"/>
      <c r="H383" s="582"/>
      <c r="I383" s="582"/>
      <c r="J383" s="582"/>
      <c r="K383" s="582"/>
      <c r="L383" s="582"/>
      <c r="M383" s="582"/>
      <c r="N383" s="582"/>
      <c r="O383" s="582"/>
      <c r="P383" s="582"/>
      <c r="Q383" s="582"/>
      <c r="R383" s="582"/>
      <c r="S383" s="582"/>
      <c r="T383" s="582"/>
      <c r="U383" s="582"/>
      <c r="V383" s="582"/>
      <c r="W383" s="582"/>
      <c r="X383" s="582"/>
      <c r="Y383" s="582"/>
      <c r="Z383" s="582"/>
      <c r="AA383" s="582"/>
      <c r="AB383" s="582"/>
      <c r="AC383" s="582"/>
      <c r="AD383" s="582"/>
      <c r="AE383" s="582"/>
      <c r="AF383" s="1459"/>
    </row>
    <row r="384" hidden="1" outlineLevel="1">
      <c r="A384" s="1409" t="s">
        <v>1209</v>
      </c>
      <c r="B384" s="580">
        <f>(B261+B262)*'OLD  Formulas'!$C$22</f>
        <v>0</v>
      </c>
      <c r="C384" s="580">
        <f>(C261+C262)*'OLD  Formulas'!$C$22</f>
        <v>0</v>
      </c>
      <c r="D384" s="580">
        <f>(D261+D262)*'OLD  Formulas'!$C$22</f>
        <v>0</v>
      </c>
      <c r="E384" s="580">
        <f>(E261+E262)*'OLD  Formulas'!$C$22</f>
        <v>0</v>
      </c>
      <c r="F384" s="580">
        <f>(F261+F262)*'OLD  Formulas'!$C$22</f>
        <v>0</v>
      </c>
      <c r="G384" s="580">
        <f>(G261+G262)*'OLD  Formulas'!$C$22</f>
        <v>0</v>
      </c>
      <c r="H384" s="580">
        <f>(H261+H262)*'OLD  Formulas'!$C$22</f>
        <v>0</v>
      </c>
      <c r="I384" s="580">
        <f>(I261+I262)*'OLD  Formulas'!$C$22</f>
        <v>0</v>
      </c>
      <c r="J384" s="580">
        <f>(J261+J262)*'OLD  Formulas'!$C$22</f>
        <v>0</v>
      </c>
      <c r="K384" s="580">
        <f>(K261+K262)*'OLD  Formulas'!$C$22</f>
        <v>0</v>
      </c>
      <c r="L384" s="580">
        <f>(L261+L262)*'OLD  Formulas'!$C$22</f>
        <v>0</v>
      </c>
      <c r="M384" s="580">
        <f>(M261+M262)*'OLD  Formulas'!$C$22</f>
        <v>0</v>
      </c>
      <c r="N384" s="580">
        <f>(N261+N262)*'OLD  Formulas'!$C$22</f>
        <v>0</v>
      </c>
      <c r="O384" s="580">
        <f>(O261+O262)*'OLD  Formulas'!$C$22</f>
        <v>0</v>
      </c>
      <c r="P384" s="580">
        <f>(P261+P262)*'OLD  Formulas'!$C$22</f>
        <v>0</v>
      </c>
      <c r="Q384" s="580">
        <f>(Q261+Q262)*'OLD  Formulas'!$C$22</f>
        <v>0</v>
      </c>
      <c r="R384" s="580">
        <f>(R261+R262)*'OLD  Formulas'!$C$22</f>
        <v>0</v>
      </c>
      <c r="S384" s="580">
        <f>(S261+S262)*'OLD  Formulas'!$C$22</f>
        <v>0</v>
      </c>
      <c r="T384" s="580">
        <f>(T261+T262)*'OLD  Formulas'!$C$22</f>
        <v>0</v>
      </c>
      <c r="U384" s="580">
        <f>(U261+U262)*'OLD  Formulas'!$C$22</f>
        <v>0</v>
      </c>
      <c r="V384" s="580">
        <f>(V261+V262)*'OLD  Formulas'!$C$22</f>
        <v>0</v>
      </c>
      <c r="W384" s="580">
        <f>(W261+W262)*'OLD  Formulas'!$C$22</f>
        <v>0</v>
      </c>
      <c r="X384" s="580">
        <f>(X261+X262)*'OLD  Formulas'!$C$22</f>
        <v>0</v>
      </c>
      <c r="Y384" s="580">
        <f>(Y261+Y262)*'OLD  Formulas'!$C$22</f>
        <v>0</v>
      </c>
      <c r="Z384" s="580">
        <f>(Z261+Z262)*'OLD  Formulas'!$C$22</f>
        <v>0</v>
      </c>
      <c r="AA384" s="580">
        <f>(AA261+AA262)*'OLD  Formulas'!$C$22</f>
        <v>0</v>
      </c>
      <c r="AB384" s="580">
        <f>(AB261+AB262)*'OLD  Formulas'!$C$22</f>
        <v>0</v>
      </c>
      <c r="AC384" s="580">
        <f>(AC261+AC262)*'OLD  Formulas'!$C$22</f>
        <v>0</v>
      </c>
      <c r="AD384" s="580">
        <f>(AD261+AD262)*'OLD  Formulas'!$C$22</f>
        <v>0</v>
      </c>
      <c r="AE384" s="580">
        <f>(AE261+AE262)*'OLD  Formulas'!$C$22</f>
        <v>0</v>
      </c>
      <c r="AF384" s="1459"/>
    </row>
    <row r="385" hidden="1" outlineLevel="1">
      <c r="A385" s="1409" t="s">
        <v>1211</v>
      </c>
      <c r="B385" s="580">
        <f>(B261+B262)*'OLD  Formulas'!$C$23</f>
        <v>0</v>
      </c>
      <c r="C385" s="580">
        <f>(C261+C262)*'OLD  Formulas'!$C$23</f>
        <v>0</v>
      </c>
      <c r="D385" s="580">
        <f>(D261+D262)*'OLD  Formulas'!$C$23</f>
        <v>0</v>
      </c>
      <c r="E385" s="580">
        <f>(E261+E262)*'OLD  Formulas'!$C$23</f>
        <v>0</v>
      </c>
      <c r="F385" s="580">
        <f>(F261+F262)*'OLD  Formulas'!$C$23</f>
        <v>0</v>
      </c>
      <c r="G385" s="580">
        <f>(G261+G262)*'OLD  Formulas'!$C$23</f>
        <v>0</v>
      </c>
      <c r="H385" s="580">
        <f>(H261+H262)*'OLD  Formulas'!$C$23</f>
        <v>0</v>
      </c>
      <c r="I385" s="580">
        <f>(I261+I262)*'OLD  Formulas'!$C$23</f>
        <v>0</v>
      </c>
      <c r="J385" s="580">
        <f>(J261+J262)*'OLD  Formulas'!$C$23</f>
        <v>0</v>
      </c>
      <c r="K385" s="580">
        <f>(K261+K262)*'OLD  Formulas'!$C$23</f>
        <v>0</v>
      </c>
      <c r="L385" s="580">
        <f>(L261+L262)*'OLD  Formulas'!$C$23</f>
        <v>0</v>
      </c>
      <c r="M385" s="580">
        <f>(M261+M262)*'OLD  Formulas'!$C$23</f>
        <v>0</v>
      </c>
      <c r="N385" s="580">
        <f>(N261+N262)*'OLD  Formulas'!$C$23</f>
        <v>0</v>
      </c>
      <c r="O385" s="580">
        <f>(O261+O262)*'OLD  Formulas'!$C$23</f>
        <v>0</v>
      </c>
      <c r="P385" s="580">
        <f>(P261+P262)*'OLD  Formulas'!$C$23</f>
        <v>0</v>
      </c>
      <c r="Q385" s="580">
        <f>(Q261+Q262)*'OLD  Formulas'!$C$23</f>
        <v>0</v>
      </c>
      <c r="R385" s="580">
        <f>(R261+R262)*'OLD  Formulas'!$C$23</f>
        <v>0</v>
      </c>
      <c r="S385" s="580">
        <f>(S261+S262)*'OLD  Formulas'!$C$23</f>
        <v>0</v>
      </c>
      <c r="T385" s="580">
        <f>(T261+T262)*'OLD  Formulas'!$C$23</f>
        <v>0</v>
      </c>
      <c r="U385" s="580">
        <f>(U261+U262)*'OLD  Formulas'!$C$23</f>
        <v>0</v>
      </c>
      <c r="V385" s="580">
        <f>(V261+V262)*'OLD  Formulas'!$C$23</f>
        <v>0</v>
      </c>
      <c r="W385" s="580">
        <f>(W261+W262)*'OLD  Formulas'!$C$23</f>
        <v>0</v>
      </c>
      <c r="X385" s="580">
        <f>(X261+X262)*'OLD  Formulas'!$C$23</f>
        <v>0</v>
      </c>
      <c r="Y385" s="580">
        <f>(Y261+Y262)*'OLD  Formulas'!$C$23</f>
        <v>0</v>
      </c>
      <c r="Z385" s="580">
        <f>(Z261+Z262)*'OLD  Formulas'!$C$23</f>
        <v>0</v>
      </c>
      <c r="AA385" s="580">
        <f>(AA261+AA262)*'OLD  Formulas'!$C$23</f>
        <v>0</v>
      </c>
      <c r="AB385" s="580">
        <f>(AB261+AB262)*'OLD  Formulas'!$C$23</f>
        <v>0</v>
      </c>
      <c r="AC385" s="580">
        <f>(AC261+AC262)*'OLD  Formulas'!$C$23</f>
        <v>0</v>
      </c>
      <c r="AD385" s="580">
        <f>(AD261+AD262)*'OLD  Formulas'!$C$23</f>
        <v>0</v>
      </c>
      <c r="AE385" s="580">
        <f>(AE261+AE262)*'OLD  Formulas'!$C$23</f>
        <v>0</v>
      </c>
      <c r="AF385" s="1459"/>
    </row>
    <row r="386" hidden="1" outlineLevel="1">
      <c r="A386" s="1409" t="s">
        <v>1213</v>
      </c>
      <c r="B386" s="580">
        <f>(B261+B262)*'OLD  Formulas'!$C$24</f>
        <v>0</v>
      </c>
      <c r="C386" s="580">
        <f>(C261+C262)*'OLD  Formulas'!$C$24</f>
        <v>0</v>
      </c>
      <c r="D386" s="580">
        <f>(D261+D262)*'OLD  Formulas'!$C$24</f>
        <v>0</v>
      </c>
      <c r="E386" s="580">
        <f>(E261+E262)*'OLD  Formulas'!$C$24</f>
        <v>0</v>
      </c>
      <c r="F386" s="580">
        <f>(F261+F262)*'OLD  Formulas'!$C$24</f>
        <v>0</v>
      </c>
      <c r="G386" s="580">
        <f>(G261+G262)*'OLD  Formulas'!$C$24</f>
        <v>0</v>
      </c>
      <c r="H386" s="580">
        <f>(H261+H262)*'OLD  Formulas'!$C$24</f>
        <v>0</v>
      </c>
      <c r="I386" s="580">
        <f>(I261+I262)*'OLD  Formulas'!$C$24</f>
        <v>0</v>
      </c>
      <c r="J386" s="580">
        <f>(J261+J262)*'OLD  Formulas'!$C$24</f>
        <v>0</v>
      </c>
      <c r="K386" s="580">
        <f>(K261+K262)*'OLD  Formulas'!$C$24</f>
        <v>0</v>
      </c>
      <c r="L386" s="580">
        <f>(L261+L262)*'OLD  Formulas'!$C$24</f>
        <v>0</v>
      </c>
      <c r="M386" s="580">
        <f>(M261+M262)*'OLD  Formulas'!$C$24</f>
        <v>0</v>
      </c>
      <c r="N386" s="580">
        <f>(N261+N262)*'OLD  Formulas'!$C$24</f>
        <v>0</v>
      </c>
      <c r="O386" s="580">
        <f>(O261+O262)*'OLD  Formulas'!$C$24</f>
        <v>0</v>
      </c>
      <c r="P386" s="580">
        <f>(P261+P262)*'OLD  Formulas'!$C$24</f>
        <v>0</v>
      </c>
      <c r="Q386" s="580">
        <f>(Q261+Q262)*'OLD  Formulas'!$C$24</f>
        <v>0</v>
      </c>
      <c r="R386" s="580">
        <f>(R261+R262)*'OLD  Formulas'!$C$24</f>
        <v>0</v>
      </c>
      <c r="S386" s="580">
        <f>(S261+S262)*'OLD  Formulas'!$C$24</f>
        <v>0</v>
      </c>
      <c r="T386" s="580">
        <f>(T261+T262)*'OLD  Formulas'!$C$24</f>
        <v>0</v>
      </c>
      <c r="U386" s="580">
        <f>(U261+U262)*'OLD  Formulas'!$C$24</f>
        <v>0</v>
      </c>
      <c r="V386" s="580">
        <f>(V261+V262)*'OLD  Formulas'!$C$24</f>
        <v>0</v>
      </c>
      <c r="W386" s="580">
        <f>(W261+W262)*'OLD  Formulas'!$C$24</f>
        <v>0</v>
      </c>
      <c r="X386" s="580">
        <f>(X261+X262)*'OLD  Formulas'!$C$24</f>
        <v>0</v>
      </c>
      <c r="Y386" s="580">
        <f>(Y261+Y262)*'OLD  Formulas'!$C$24</f>
        <v>0</v>
      </c>
      <c r="Z386" s="580">
        <f>(Z261+Z262)*'OLD  Formulas'!$C$24</f>
        <v>0</v>
      </c>
      <c r="AA386" s="580">
        <f>(AA261+AA262)*'OLD  Formulas'!$C$24</f>
        <v>0</v>
      </c>
      <c r="AB386" s="580">
        <f>(AB261+AB262)*'OLD  Formulas'!$C$24</f>
        <v>0</v>
      </c>
      <c r="AC386" s="580">
        <f>(AC261+AC262)*'OLD  Formulas'!$C$24</f>
        <v>0</v>
      </c>
      <c r="AD386" s="580">
        <f>(AD261+AD262)*'OLD  Formulas'!$C$24</f>
        <v>0</v>
      </c>
      <c r="AE386" s="580">
        <f>(AE261+AE262)*'OLD  Formulas'!$C$24</f>
        <v>0</v>
      </c>
      <c r="AF386" s="1459"/>
    </row>
    <row r="387" hidden="1" outlineLevel="1">
      <c r="A387" s="1409" t="s">
        <v>1216</v>
      </c>
      <c r="B387" s="580">
        <f>(B261+B262)*'OLD  Formulas'!$C$25</f>
        <v>0</v>
      </c>
      <c r="C387" s="580">
        <f>(C261+C262)*'OLD  Formulas'!$C$25</f>
        <v>0</v>
      </c>
      <c r="D387" s="580">
        <f>(D261+D262)*'OLD  Formulas'!$C$25</f>
        <v>0</v>
      </c>
      <c r="E387" s="580">
        <f>(E261+E262)*'OLD  Formulas'!$C$25</f>
        <v>0</v>
      </c>
      <c r="F387" s="580">
        <f>(F261+F262)*'OLD  Formulas'!$C$25</f>
        <v>0</v>
      </c>
      <c r="G387" s="580">
        <f>(G261+G262)*'OLD  Formulas'!$C$25</f>
        <v>0</v>
      </c>
      <c r="H387" s="580">
        <f>(H261+H262)*'OLD  Formulas'!$C$25</f>
        <v>0</v>
      </c>
      <c r="I387" s="580">
        <f>(I261+I262)*'OLD  Formulas'!$C$25</f>
        <v>0</v>
      </c>
      <c r="J387" s="580">
        <f>(J261+J262)*'OLD  Formulas'!$C$25</f>
        <v>0</v>
      </c>
      <c r="K387" s="580">
        <f>(K261+K262)*'OLD  Formulas'!$C$25</f>
        <v>0</v>
      </c>
      <c r="L387" s="580">
        <f>(L261+L262)*'OLD  Formulas'!$C$25</f>
        <v>0</v>
      </c>
      <c r="M387" s="580">
        <f>(M261+M262)*'OLD  Formulas'!$C$25</f>
        <v>0</v>
      </c>
      <c r="N387" s="580">
        <f>(N261+N262)*'OLD  Formulas'!$C$25</f>
        <v>0</v>
      </c>
      <c r="O387" s="580">
        <f>(O261+O262)*'OLD  Formulas'!$C$25</f>
        <v>0</v>
      </c>
      <c r="P387" s="580">
        <f>(P261+P262)*'OLD  Formulas'!$C$25</f>
        <v>0</v>
      </c>
      <c r="Q387" s="580">
        <f>(Q261+Q262)*'OLD  Formulas'!$C$25</f>
        <v>0</v>
      </c>
      <c r="R387" s="580">
        <f>(R261+R262)*'OLD  Formulas'!$C$25</f>
        <v>0</v>
      </c>
      <c r="S387" s="580">
        <f>(S261+S262)*'OLD  Formulas'!$C$25</f>
        <v>0</v>
      </c>
      <c r="T387" s="580">
        <f>(T261+T262)*'OLD  Formulas'!$C$25</f>
        <v>0</v>
      </c>
      <c r="U387" s="580">
        <f>(U261+U262)*'OLD  Formulas'!$C$25</f>
        <v>0</v>
      </c>
      <c r="V387" s="580">
        <f>(V261+V262)*'OLD  Formulas'!$C$25</f>
        <v>0</v>
      </c>
      <c r="W387" s="580">
        <f>(W261+W262)*'OLD  Formulas'!$C$25</f>
        <v>0</v>
      </c>
      <c r="X387" s="580">
        <f>(X261+X262)*'OLD  Formulas'!$C$25</f>
        <v>0</v>
      </c>
      <c r="Y387" s="580">
        <f>(Y261+Y262)*'OLD  Formulas'!$C$25</f>
        <v>0</v>
      </c>
      <c r="Z387" s="580">
        <f>(Z261+Z262)*'OLD  Formulas'!$C$25</f>
        <v>0</v>
      </c>
      <c r="AA387" s="580">
        <f>(AA261+AA262)*'OLD  Formulas'!$C$25</f>
        <v>0</v>
      </c>
      <c r="AB387" s="580">
        <f>(AB261+AB262)*'OLD  Formulas'!$C$25</f>
        <v>0</v>
      </c>
      <c r="AC387" s="580">
        <f>(AC261+AC262)*'OLD  Formulas'!$C$25</f>
        <v>0</v>
      </c>
      <c r="AD387" s="580">
        <f>(AD261+AD262)*'OLD  Formulas'!$C$25</f>
        <v>0</v>
      </c>
      <c r="AE387" s="580">
        <f>(AE261+AE262)*'OLD  Formulas'!$C$25</f>
        <v>0</v>
      </c>
      <c r="AF387" s="1459"/>
    </row>
    <row r="388" hidden="1" outlineLevel="1">
      <c r="A388" s="1409" t="s">
        <v>1260</v>
      </c>
      <c r="B388" s="580">
        <f>(B261+B262)*'OLD  Formulas'!$C$26</f>
        <v>0</v>
      </c>
      <c r="C388" s="580">
        <f>(C261+C262)*'OLD  Formulas'!$C$26</f>
        <v>0</v>
      </c>
      <c r="D388" s="580">
        <f>(D261+D262)*'OLD  Formulas'!$C$26</f>
        <v>0</v>
      </c>
      <c r="E388" s="580">
        <f>(E261+E262)*'OLD  Formulas'!$C$26</f>
        <v>0</v>
      </c>
      <c r="F388" s="580">
        <f>(F261+F262)*'OLD  Formulas'!$C$26</f>
        <v>0</v>
      </c>
      <c r="G388" s="580">
        <f>(G261+G262)*'OLD  Formulas'!$C$26</f>
        <v>0</v>
      </c>
      <c r="H388" s="580">
        <f>(H261+H262)*'OLD  Formulas'!$C$26</f>
        <v>0</v>
      </c>
      <c r="I388" s="580">
        <f>(I261+I262)*'OLD  Formulas'!$C$26</f>
        <v>0</v>
      </c>
      <c r="J388" s="580">
        <f>(J261+J262)*'OLD  Formulas'!$C$26</f>
        <v>0</v>
      </c>
      <c r="K388" s="580">
        <f>(K261+K262)*'OLD  Formulas'!$C$26</f>
        <v>0</v>
      </c>
      <c r="L388" s="580">
        <f>(L261+L262)*'OLD  Formulas'!$C$26</f>
        <v>0</v>
      </c>
      <c r="M388" s="580">
        <f>(M261+M262)*'OLD  Formulas'!$C$26</f>
        <v>0</v>
      </c>
      <c r="N388" s="580">
        <f>(N261+N262)*'OLD  Formulas'!$C$26</f>
        <v>0</v>
      </c>
      <c r="O388" s="580">
        <f>(O261+O262)*'OLD  Formulas'!$C$26</f>
        <v>0</v>
      </c>
      <c r="P388" s="580">
        <f>(P261+P262)*'OLD  Formulas'!$C$26</f>
        <v>0</v>
      </c>
      <c r="Q388" s="580">
        <f>(Q261+Q262)*'OLD  Formulas'!$C$26</f>
        <v>0</v>
      </c>
      <c r="R388" s="580">
        <f>(R261+R262)*'OLD  Formulas'!$C$26</f>
        <v>0</v>
      </c>
      <c r="S388" s="580">
        <f>(S261+S262)*'OLD  Formulas'!$C$26</f>
        <v>0</v>
      </c>
      <c r="T388" s="580">
        <f>(T261+T262)*'OLD  Formulas'!$C$26</f>
        <v>0</v>
      </c>
      <c r="U388" s="580">
        <f>(U261+U262)*'OLD  Formulas'!$C$26</f>
        <v>0</v>
      </c>
      <c r="V388" s="580">
        <f>(V261+V262)*'OLD  Formulas'!$C$26</f>
        <v>0</v>
      </c>
      <c r="W388" s="580">
        <f>(W261+W262)*'OLD  Formulas'!$C$26</f>
        <v>0</v>
      </c>
      <c r="X388" s="580">
        <f>(X261+X262)*'OLD  Formulas'!$C$26</f>
        <v>0</v>
      </c>
      <c r="Y388" s="580">
        <f>(Y261+Y262)*'OLD  Formulas'!$C$26</f>
        <v>0</v>
      </c>
      <c r="Z388" s="580">
        <f>(Z261+Z262)*'OLD  Formulas'!$C$26</f>
        <v>0</v>
      </c>
      <c r="AA388" s="580">
        <f>(AA261+AA262)*'OLD  Formulas'!$C$26</f>
        <v>0</v>
      </c>
      <c r="AB388" s="580">
        <f>(AB261+AB262)*'OLD  Formulas'!$C$26</f>
        <v>0</v>
      </c>
      <c r="AC388" s="580">
        <f>(AC261+AC262)*'OLD  Formulas'!$C$26</f>
        <v>0</v>
      </c>
      <c r="AD388" s="580">
        <f>(AD261+AD262)*'OLD  Formulas'!$C$26</f>
        <v>0</v>
      </c>
      <c r="AE388" s="580">
        <f>(AE261+AE262)*'OLD  Formulas'!$C$26</f>
        <v>0</v>
      </c>
      <c r="AF388" s="1459"/>
    </row>
    <row r="389" hidden="1" outlineLevel="1">
      <c r="A389" s="1409" t="s">
        <v>1263</v>
      </c>
      <c r="B389" s="580">
        <f>(B261+B262)*'OLD  Formulas'!$C$27</f>
        <v>0</v>
      </c>
      <c r="C389" s="580">
        <f>(C261+C262)*'OLD  Formulas'!$C$27</f>
        <v>0</v>
      </c>
      <c r="D389" s="580">
        <f>(D261+D262)*'OLD  Formulas'!$C$27</f>
        <v>0</v>
      </c>
      <c r="E389" s="580">
        <f>(E261+E262)*'OLD  Formulas'!$C$27</f>
        <v>0</v>
      </c>
      <c r="F389" s="580">
        <f>(F261+F262)*'OLD  Formulas'!$C$27</f>
        <v>0</v>
      </c>
      <c r="G389" s="580">
        <f>(G261+G262)*'OLD  Formulas'!$C$27</f>
        <v>0</v>
      </c>
      <c r="H389" s="580">
        <f>(H261+H262)*'OLD  Formulas'!$C$27</f>
        <v>0</v>
      </c>
      <c r="I389" s="580">
        <f>(I261+I262)*'OLD  Formulas'!$C$27</f>
        <v>0</v>
      </c>
      <c r="J389" s="580">
        <f>(J261+J262)*'OLD  Formulas'!$C$27</f>
        <v>0</v>
      </c>
      <c r="K389" s="580">
        <f>(K261+K262)*'OLD  Formulas'!$C$27</f>
        <v>0</v>
      </c>
      <c r="L389" s="580">
        <f>(L261+L262)*'OLD  Formulas'!$C$27</f>
        <v>0</v>
      </c>
      <c r="M389" s="580">
        <f>(M261+M262)*'OLD  Formulas'!$C$27</f>
        <v>0</v>
      </c>
      <c r="N389" s="580">
        <f>(N261+N262)*'OLD  Formulas'!$C$27</f>
        <v>0</v>
      </c>
      <c r="O389" s="580">
        <f>(O261+O262)*'OLD  Formulas'!$C$27</f>
        <v>0</v>
      </c>
      <c r="P389" s="580">
        <f>(P261+P262)*'OLD  Formulas'!$C$27</f>
        <v>0</v>
      </c>
      <c r="Q389" s="580">
        <f>(Q261+Q262)*'OLD  Formulas'!$C$27</f>
        <v>0</v>
      </c>
      <c r="R389" s="580">
        <f>(R261+R262)*'OLD  Formulas'!$C$27</f>
        <v>0</v>
      </c>
      <c r="S389" s="580">
        <f>(S261+S262)*'OLD  Formulas'!$C$27</f>
        <v>0</v>
      </c>
      <c r="T389" s="580">
        <f>(T261+T262)*'OLD  Formulas'!$C$27</f>
        <v>0</v>
      </c>
      <c r="U389" s="580">
        <f>(U261+U262)*'OLD  Formulas'!$C$27</f>
        <v>0</v>
      </c>
      <c r="V389" s="580">
        <f>(V261+V262)*'OLD  Formulas'!$C$27</f>
        <v>0</v>
      </c>
      <c r="W389" s="580">
        <f>(W261+W262)*'OLD  Formulas'!$C$27</f>
        <v>0</v>
      </c>
      <c r="X389" s="580">
        <f>(X261+X262)*'OLD  Formulas'!$C$27</f>
        <v>0</v>
      </c>
      <c r="Y389" s="580">
        <f>(Y261+Y262)*'OLD  Formulas'!$C$27</f>
        <v>0</v>
      </c>
      <c r="Z389" s="580">
        <f>(Z261+Z262)*'OLD  Formulas'!$C$27</f>
        <v>0</v>
      </c>
      <c r="AA389" s="580">
        <f>(AA261+AA262)*'OLD  Formulas'!$C$27</f>
        <v>0</v>
      </c>
      <c r="AB389" s="580">
        <f>(AB261+AB262)*'OLD  Formulas'!$C$27</f>
        <v>0</v>
      </c>
      <c r="AC389" s="580">
        <f>(AC261+AC262)*'OLD  Formulas'!$C$27</f>
        <v>0</v>
      </c>
      <c r="AD389" s="580">
        <f>(AD261+AD262)*'OLD  Formulas'!$C$27</f>
        <v>0</v>
      </c>
      <c r="AE389" s="580">
        <f>(AE261+AE262)*'OLD  Formulas'!$C$27</f>
        <v>0</v>
      </c>
      <c r="AF389" s="1459"/>
    </row>
    <row r="390" hidden="1" outlineLevel="1">
      <c r="A390" s="1409" t="s">
        <v>1268</v>
      </c>
      <c r="B390" s="580">
        <f>(B269+B276+B283)*'OLD  Formulas'!$D$22</f>
        <v>0</v>
      </c>
      <c r="C390" s="580">
        <f>(C269+C276+C283)*'OLD  Formulas'!$D$22</f>
        <v>0</v>
      </c>
      <c r="D390" s="580">
        <f>(D269+D276+D283)*'OLD  Formulas'!$D$22</f>
        <v>0</v>
      </c>
      <c r="E390" s="580">
        <f>(E269+E276+E283)*'OLD  Formulas'!$D$22</f>
        <v>0</v>
      </c>
      <c r="F390" s="580">
        <f>(F269+F276+F283)*'OLD  Formulas'!$D$22</f>
        <v>0</v>
      </c>
      <c r="G390" s="580">
        <f>(G269+G276+G283)*'OLD  Formulas'!$D$22</f>
        <v>0</v>
      </c>
      <c r="H390" s="580">
        <f>(H269+H276+H283)*'OLD  Formulas'!$D$22</f>
        <v>0</v>
      </c>
      <c r="I390" s="580">
        <f>(I269+I276+I283)*'OLD  Formulas'!$D$22</f>
        <v>0</v>
      </c>
      <c r="J390" s="580">
        <f>(J269+J276+J283)*'OLD  Formulas'!$D$22</f>
        <v>0</v>
      </c>
      <c r="K390" s="580">
        <f>(K269+K276+K283)*'OLD  Formulas'!$D$22</f>
        <v>0</v>
      </c>
      <c r="L390" s="580">
        <f>(L269+L276+L283)*'OLD  Formulas'!$D$22</f>
        <v>0</v>
      </c>
      <c r="M390" s="580">
        <f>(M269+M276+M283)*'OLD  Formulas'!$D$22</f>
        <v>0</v>
      </c>
      <c r="N390" s="580">
        <f>(N269+N276+N283)*'OLD  Formulas'!$D$22</f>
        <v>0</v>
      </c>
      <c r="O390" s="580">
        <f>(O269+O276+O283)*'OLD  Formulas'!$D$22</f>
        <v>0</v>
      </c>
      <c r="P390" s="580">
        <f>(P269+P276+P283)*'OLD  Formulas'!$D$22</f>
        <v>0</v>
      </c>
      <c r="Q390" s="580">
        <f>(Q269+Q276+Q283)*'OLD  Formulas'!$D$22</f>
        <v>0</v>
      </c>
      <c r="R390" s="580">
        <f>(R269+R276+R283)*'OLD  Formulas'!$D$22</f>
        <v>0</v>
      </c>
      <c r="S390" s="580">
        <f>(S269+S276+S283)*'OLD  Formulas'!$D$22</f>
        <v>0</v>
      </c>
      <c r="T390" s="580">
        <f>(T269+T276+T283)*'OLD  Formulas'!$D$22</f>
        <v>0</v>
      </c>
      <c r="U390" s="580">
        <f>(U269+U276+U283)*'OLD  Formulas'!$D$22</f>
        <v>0</v>
      </c>
      <c r="V390" s="580">
        <f>(V269+V276+V283)*'OLD  Formulas'!$D$22</f>
        <v>0</v>
      </c>
      <c r="W390" s="580">
        <f>(W269+W276+W283)*'OLD  Formulas'!$D$22</f>
        <v>0</v>
      </c>
      <c r="X390" s="580">
        <f>(X269+X276+X283)*'OLD  Formulas'!$D$22</f>
        <v>0</v>
      </c>
      <c r="Y390" s="580">
        <f>(Y269+Y276+Y283)*'OLD  Formulas'!$D$22</f>
        <v>0</v>
      </c>
      <c r="Z390" s="580">
        <f>(Z269+Z276+Z283)*'OLD  Formulas'!$D$22</f>
        <v>0</v>
      </c>
      <c r="AA390" s="580">
        <f>(AA269+AA276+AA283)*'OLD  Formulas'!$D$22</f>
        <v>0</v>
      </c>
      <c r="AB390" s="580">
        <f>(AB269+AB276+AB283)*'OLD  Formulas'!$D$22</f>
        <v>0</v>
      </c>
      <c r="AC390" s="580">
        <f>(AC269+AC276+AC283)*'OLD  Formulas'!$D$22</f>
        <v>0</v>
      </c>
      <c r="AD390" s="580">
        <f>(AD269+AD276+AD283)*'OLD  Formulas'!$D$22</f>
        <v>0</v>
      </c>
      <c r="AE390" s="580">
        <f>(AE269+AE276+AE283)*'OLD  Formulas'!$D$22</f>
        <v>0</v>
      </c>
      <c r="AF390" s="1459"/>
    </row>
    <row r="391" hidden="1" outlineLevel="1">
      <c r="A391" s="1409" t="s">
        <v>1269</v>
      </c>
      <c r="B391" s="580">
        <f>(B269+B276+B283)*'OLD  Formulas'!$D$23</f>
        <v>0</v>
      </c>
      <c r="C391" s="580">
        <f>(C269+C276+C283)*'OLD  Formulas'!$D$23</f>
        <v>0</v>
      </c>
      <c r="D391" s="580">
        <f>(D269+D276+D283)*'OLD  Formulas'!$D$23</f>
        <v>0</v>
      </c>
      <c r="E391" s="580">
        <f>(E269+E276+E283)*'OLD  Formulas'!$D$23</f>
        <v>0</v>
      </c>
      <c r="F391" s="580">
        <f>(F269+F276+F283)*'OLD  Formulas'!$D$23</f>
        <v>0</v>
      </c>
      <c r="G391" s="580">
        <f>(G269+G276+G283)*'OLD  Formulas'!$D$23</f>
        <v>0</v>
      </c>
      <c r="H391" s="580">
        <f>(H269+H276+H283)*'OLD  Formulas'!$D$23</f>
        <v>0</v>
      </c>
      <c r="I391" s="580">
        <f>(I269+I276+I283)*'OLD  Formulas'!$D$23</f>
        <v>0</v>
      </c>
      <c r="J391" s="580">
        <f>(J269+J276+J283)*'OLD  Formulas'!$D$23</f>
        <v>0</v>
      </c>
      <c r="K391" s="580">
        <f>(K269+K276+K283)*'OLD  Formulas'!$D$23</f>
        <v>0</v>
      </c>
      <c r="L391" s="580">
        <f>(L269+L276+L283)*'OLD  Formulas'!$D$23</f>
        <v>0</v>
      </c>
      <c r="M391" s="580">
        <f>(M269+M276+M283)*'OLD  Formulas'!$D$23</f>
        <v>0</v>
      </c>
      <c r="N391" s="580">
        <f>(N269+N276+N283)*'OLD  Formulas'!$D$23</f>
        <v>0</v>
      </c>
      <c r="O391" s="580">
        <f>(O269+O276+O283)*'OLD  Formulas'!$D$23</f>
        <v>0</v>
      </c>
      <c r="P391" s="580">
        <f>(P269+P276+P283)*'OLD  Formulas'!$D$23</f>
        <v>0</v>
      </c>
      <c r="Q391" s="580">
        <f>(Q269+Q276+Q283)*'OLD  Formulas'!$D$23</f>
        <v>0</v>
      </c>
      <c r="R391" s="580">
        <f>(R269+R276+R283)*'OLD  Formulas'!$D$23</f>
        <v>0</v>
      </c>
      <c r="S391" s="580">
        <f>(S269+S276+S283)*'OLD  Formulas'!$D$23</f>
        <v>0</v>
      </c>
      <c r="T391" s="580">
        <f>(T269+T276+T283)*'OLD  Formulas'!$D$23</f>
        <v>0</v>
      </c>
      <c r="U391" s="580">
        <f>(U269+U276+U283)*'OLD  Formulas'!$D$23</f>
        <v>0</v>
      </c>
      <c r="V391" s="580">
        <f>(V269+V276+V283)*'OLD  Formulas'!$D$23</f>
        <v>0</v>
      </c>
      <c r="W391" s="580">
        <f>(W269+W276+W283)*'OLD  Formulas'!$D$23</f>
        <v>0</v>
      </c>
      <c r="X391" s="580">
        <f>(X269+X276+X283)*'OLD  Formulas'!$D$23</f>
        <v>0</v>
      </c>
      <c r="Y391" s="580">
        <f>(Y269+Y276+Y283)*'OLD  Formulas'!$D$23</f>
        <v>0</v>
      </c>
      <c r="Z391" s="580">
        <f>(Z269+Z276+Z283)*'OLD  Formulas'!$D$23</f>
        <v>0</v>
      </c>
      <c r="AA391" s="580">
        <f>(AA269+AA276+AA283)*'OLD  Formulas'!$D$23</f>
        <v>0</v>
      </c>
      <c r="AB391" s="580">
        <f>(AB269+AB276+AB283)*'OLD  Formulas'!$D$23</f>
        <v>0</v>
      </c>
      <c r="AC391" s="580">
        <f>(AC269+AC276+AC283)*'OLD  Formulas'!$D$23</f>
        <v>0</v>
      </c>
      <c r="AD391" s="580">
        <f>(AD269+AD276+AD283)*'OLD  Formulas'!$D$23</f>
        <v>0</v>
      </c>
      <c r="AE391" s="580">
        <f>(AE269+AE276+AE283)*'OLD  Formulas'!$D$23</f>
        <v>0</v>
      </c>
      <c r="AF391" s="1459"/>
    </row>
    <row r="392" hidden="1" outlineLevel="1">
      <c r="A392" s="1409" t="s">
        <v>1270</v>
      </c>
      <c r="B392" s="580">
        <f>(B269+B276+B283)*'OLD  Formulas'!$D$24</f>
        <v>0</v>
      </c>
      <c r="C392" s="580">
        <f>(C269+C276+C283)*'OLD  Formulas'!$D$24</f>
        <v>0</v>
      </c>
      <c r="D392" s="580">
        <f>(D269+D276+D283)*'OLD  Formulas'!$D$24</f>
        <v>0</v>
      </c>
      <c r="E392" s="580">
        <f>(E269+E276+E283)*'OLD  Formulas'!$D$24</f>
        <v>0</v>
      </c>
      <c r="F392" s="580">
        <f>(F269+F276+F283)*'OLD  Formulas'!$D$24</f>
        <v>0</v>
      </c>
      <c r="G392" s="580">
        <f>(G269+G276+G283)*'OLD  Formulas'!$D$24</f>
        <v>0</v>
      </c>
      <c r="H392" s="580">
        <f>(H269+H276+H283)*'OLD  Formulas'!$D$24</f>
        <v>0</v>
      </c>
      <c r="I392" s="580">
        <f>(I269+I276+I283)*'OLD  Formulas'!$D$24</f>
        <v>0</v>
      </c>
      <c r="J392" s="580">
        <f>(J269+J276+J283)*'OLD  Formulas'!$D$24</f>
        <v>0</v>
      </c>
      <c r="K392" s="580">
        <f>(K269+K276+K283)*'OLD  Formulas'!$D$24</f>
        <v>0</v>
      </c>
      <c r="L392" s="580">
        <f>(L269+L276+L283)*'OLD  Formulas'!$D$24</f>
        <v>0</v>
      </c>
      <c r="M392" s="580">
        <f>(M269+M276+M283)*'OLD  Formulas'!$D$24</f>
        <v>0</v>
      </c>
      <c r="N392" s="580">
        <f>(N269+N276+N283)*'OLD  Formulas'!$D$24</f>
        <v>0</v>
      </c>
      <c r="O392" s="580">
        <f>(O269+O276+O283)*'OLD  Formulas'!$D$24</f>
        <v>0</v>
      </c>
      <c r="P392" s="580">
        <f>(P269+P276+P283)*'OLD  Formulas'!$D$24</f>
        <v>0</v>
      </c>
      <c r="Q392" s="580">
        <f>(Q269+Q276+Q283)*'OLD  Formulas'!$D$24</f>
        <v>0</v>
      </c>
      <c r="R392" s="580">
        <f>(R269+R276+R283)*'OLD  Formulas'!$D$24</f>
        <v>0</v>
      </c>
      <c r="S392" s="580">
        <f>(S269+S276+S283)*'OLD  Formulas'!$D$24</f>
        <v>0</v>
      </c>
      <c r="T392" s="580">
        <f>(T269+T276+T283)*'OLD  Formulas'!$D$24</f>
        <v>0</v>
      </c>
      <c r="U392" s="580">
        <f>(U269+U276+U283)*'OLD  Formulas'!$D$24</f>
        <v>0</v>
      </c>
      <c r="V392" s="580">
        <f>(V269+V276+V283)*'OLD  Formulas'!$D$24</f>
        <v>0</v>
      </c>
      <c r="W392" s="580">
        <f>(W269+W276+W283)*'OLD  Formulas'!$D$24</f>
        <v>0</v>
      </c>
      <c r="X392" s="580">
        <f>(X269+X276+X283)*'OLD  Formulas'!$D$24</f>
        <v>0</v>
      </c>
      <c r="Y392" s="580">
        <f>(Y269+Y276+Y283)*'OLD  Formulas'!$D$24</f>
        <v>0</v>
      </c>
      <c r="Z392" s="580">
        <f>(Z269+Z276+Z283)*'OLD  Formulas'!$D$24</f>
        <v>0</v>
      </c>
      <c r="AA392" s="580">
        <f>(AA269+AA276+AA283)*'OLD  Formulas'!$D$24</f>
        <v>0</v>
      </c>
      <c r="AB392" s="580">
        <f>(AB269+AB276+AB283)*'OLD  Formulas'!$D$24</f>
        <v>0</v>
      </c>
      <c r="AC392" s="580">
        <f>(AC269+AC276+AC283)*'OLD  Formulas'!$D$24</f>
        <v>0</v>
      </c>
      <c r="AD392" s="580">
        <f>(AD269+AD276+AD283)*'OLD  Formulas'!$D$24</f>
        <v>0</v>
      </c>
      <c r="AE392" s="580">
        <f>(AE269+AE276+AE283)*'OLD  Formulas'!$D$24</f>
        <v>0</v>
      </c>
      <c r="AF392" s="1459"/>
    </row>
    <row r="393" hidden="1" outlineLevel="1">
      <c r="A393" s="1409" t="s">
        <v>1293</v>
      </c>
      <c r="B393" s="580">
        <f>(B269+B276+B283)*'OLD  Formulas'!$D$25</f>
        <v>0</v>
      </c>
      <c r="C393" s="580">
        <f>(C269+C276+C283)*'OLD  Formulas'!$D$25</f>
        <v>0</v>
      </c>
      <c r="D393" s="580">
        <f>(D269+D276+D283)*'OLD  Formulas'!$D$25</f>
        <v>0</v>
      </c>
      <c r="E393" s="580">
        <f>(E269+E276+E283)*'OLD  Formulas'!$D$25</f>
        <v>0</v>
      </c>
      <c r="F393" s="580">
        <f>(F269+F276+F283)*'OLD  Formulas'!$D$25</f>
        <v>0</v>
      </c>
      <c r="G393" s="580">
        <f>(G269+G276+G283)*'OLD  Formulas'!$D$25</f>
        <v>0</v>
      </c>
      <c r="H393" s="580">
        <f>(H269+H276+H283)*'OLD  Formulas'!$D$25</f>
        <v>0</v>
      </c>
      <c r="I393" s="580">
        <f>(I269+I276+I283)*'OLD  Formulas'!$D$25</f>
        <v>0</v>
      </c>
      <c r="J393" s="580">
        <f>(J269+J276+J283)*'OLD  Formulas'!$D$25</f>
        <v>0</v>
      </c>
      <c r="K393" s="580">
        <f>(K269+K276+K283)*'OLD  Formulas'!$D$25</f>
        <v>0</v>
      </c>
      <c r="L393" s="580">
        <f>(L269+L276+L283)*'OLD  Formulas'!$D$25</f>
        <v>0</v>
      </c>
      <c r="M393" s="580">
        <f>(M269+M276+M283)*'OLD  Formulas'!$D$25</f>
        <v>0</v>
      </c>
      <c r="N393" s="580">
        <f>(N269+N276+N283)*'OLD  Formulas'!$D$25</f>
        <v>0</v>
      </c>
      <c r="O393" s="580">
        <f>(O269+O276+O283)*'OLD  Formulas'!$D$25</f>
        <v>0</v>
      </c>
      <c r="P393" s="580">
        <f>(P269+P276+P283)*'OLD  Formulas'!$D$25</f>
        <v>0</v>
      </c>
      <c r="Q393" s="580">
        <f>(Q269+Q276+Q283)*'OLD  Formulas'!$D$25</f>
        <v>0</v>
      </c>
      <c r="R393" s="580">
        <f>(R269+R276+R283)*'OLD  Formulas'!$D$25</f>
        <v>0</v>
      </c>
      <c r="S393" s="580">
        <f>(S269+S276+S283)*'OLD  Formulas'!$D$25</f>
        <v>0</v>
      </c>
      <c r="T393" s="580">
        <f>(T269+T276+T283)*'OLD  Formulas'!$D$25</f>
        <v>0</v>
      </c>
      <c r="U393" s="580">
        <f>(U269+U276+U283)*'OLD  Formulas'!$D$25</f>
        <v>0</v>
      </c>
      <c r="V393" s="580">
        <f>(V269+V276+V283)*'OLD  Formulas'!$D$25</f>
        <v>0</v>
      </c>
      <c r="W393" s="580">
        <f>(W269+W276+W283)*'OLD  Formulas'!$D$25</f>
        <v>0</v>
      </c>
      <c r="X393" s="580">
        <f>(X269+X276+X283)*'OLD  Formulas'!$D$25</f>
        <v>0</v>
      </c>
      <c r="Y393" s="580">
        <f>(Y269+Y276+Y283)*'OLD  Formulas'!$D$25</f>
        <v>0</v>
      </c>
      <c r="Z393" s="580">
        <f>(Z269+Z276+Z283)*'OLD  Formulas'!$D$25</f>
        <v>0</v>
      </c>
      <c r="AA393" s="580">
        <f>(AA269+AA276+AA283)*'OLD  Formulas'!$D$25</f>
        <v>0</v>
      </c>
      <c r="AB393" s="580">
        <f>(AB269+AB276+AB283)*'OLD  Formulas'!$D$25</f>
        <v>0</v>
      </c>
      <c r="AC393" s="580">
        <f>(AC269+AC276+AC283)*'OLD  Formulas'!$D$25</f>
        <v>0</v>
      </c>
      <c r="AD393" s="580">
        <f>(AD269+AD276+AD283)*'OLD  Formulas'!$D$25</f>
        <v>0</v>
      </c>
      <c r="AE393" s="580">
        <f>(AE269+AE276+AE283)*'OLD  Formulas'!$D$25</f>
        <v>0</v>
      </c>
      <c r="AF393" s="1459"/>
    </row>
    <row r="394" hidden="1" outlineLevel="1">
      <c r="A394" s="1409" t="s">
        <v>1306</v>
      </c>
      <c r="B394" s="580">
        <f>(B269+B276+B283)*'OLD  Formulas'!$D$26</f>
        <v>0</v>
      </c>
      <c r="C394" s="580">
        <f>(C269+C276+C283)*'OLD  Formulas'!$D$26</f>
        <v>0</v>
      </c>
      <c r="D394" s="580">
        <f>(D269+D276+D283)*'OLD  Formulas'!$D$26</f>
        <v>0</v>
      </c>
      <c r="E394" s="580">
        <f>(E269+E276+E283)*'OLD  Formulas'!$D$26</f>
        <v>0</v>
      </c>
      <c r="F394" s="580">
        <f>(F269+F276+F283)*'OLD  Formulas'!$D$26</f>
        <v>0</v>
      </c>
      <c r="G394" s="580">
        <f>(G269+G276+G283)*'OLD  Formulas'!$D$26</f>
        <v>0</v>
      </c>
      <c r="H394" s="580">
        <f>(H269+H276+H283)*'OLD  Formulas'!$D$26</f>
        <v>0</v>
      </c>
      <c r="I394" s="580">
        <f>(I269+I276+I283)*'OLD  Formulas'!$D$26</f>
        <v>0</v>
      </c>
      <c r="J394" s="580">
        <f>(J269+J276+J283)*'OLD  Formulas'!$D$26</f>
        <v>0</v>
      </c>
      <c r="K394" s="580">
        <f>(K269+K276+K283)*'OLD  Formulas'!$D$26</f>
        <v>0</v>
      </c>
      <c r="L394" s="580">
        <f>(L269+L276+L283)*'OLD  Formulas'!$D$26</f>
        <v>0</v>
      </c>
      <c r="M394" s="580">
        <f>(M269+M276+M283)*'OLD  Formulas'!$D$26</f>
        <v>0</v>
      </c>
      <c r="N394" s="580">
        <f>(N269+N276+N283)*'OLD  Formulas'!$D$26</f>
        <v>0</v>
      </c>
      <c r="O394" s="580">
        <f>(O269+O276+O283)*'OLD  Formulas'!$D$26</f>
        <v>0</v>
      </c>
      <c r="P394" s="580">
        <f>(P269+P276+P283)*'OLD  Formulas'!$D$26</f>
        <v>0</v>
      </c>
      <c r="Q394" s="580">
        <f>(Q269+Q276+Q283)*'OLD  Formulas'!$D$26</f>
        <v>0</v>
      </c>
      <c r="R394" s="580">
        <f>(R269+R276+R283)*'OLD  Formulas'!$D$26</f>
        <v>0</v>
      </c>
      <c r="S394" s="580">
        <f>(S269+S276+S283)*'OLD  Formulas'!$D$26</f>
        <v>0</v>
      </c>
      <c r="T394" s="580">
        <f>(T269+T276+T283)*'OLD  Formulas'!$D$26</f>
        <v>0</v>
      </c>
      <c r="U394" s="580">
        <f>(U269+U276+U283)*'OLD  Formulas'!$D$26</f>
        <v>0</v>
      </c>
      <c r="V394" s="580">
        <f>(V269+V276+V283)*'OLD  Formulas'!$D$26</f>
        <v>0</v>
      </c>
      <c r="W394" s="580">
        <f>(W269+W276+W283)*'OLD  Formulas'!$D$26</f>
        <v>0</v>
      </c>
      <c r="X394" s="580">
        <f>(X269+X276+X283)*'OLD  Formulas'!$D$26</f>
        <v>0</v>
      </c>
      <c r="Y394" s="580">
        <f>(Y269+Y276+Y283)*'OLD  Formulas'!$D$26</f>
        <v>0</v>
      </c>
      <c r="Z394" s="580">
        <f>(Z269+Z276+Z283)*'OLD  Formulas'!$D$26</f>
        <v>0</v>
      </c>
      <c r="AA394" s="580">
        <f>(AA269+AA276+AA283)*'OLD  Formulas'!$D$26</f>
        <v>0</v>
      </c>
      <c r="AB394" s="580">
        <f>(AB269+AB276+AB283)*'OLD  Formulas'!$D$26</f>
        <v>0</v>
      </c>
      <c r="AC394" s="580">
        <f>(AC269+AC276+AC283)*'OLD  Formulas'!$D$26</f>
        <v>0</v>
      </c>
      <c r="AD394" s="580">
        <f>(AD269+AD276+AD283)*'OLD  Formulas'!$D$26</f>
        <v>0</v>
      </c>
      <c r="AE394" s="580">
        <f>(AE269+AE276+AE283)*'OLD  Formulas'!$D$26</f>
        <v>0</v>
      </c>
      <c r="AF394" s="1459"/>
    </row>
    <row r="395" hidden="1" outlineLevel="1">
      <c r="A395" s="1454" t="s">
        <v>1320</v>
      </c>
      <c r="B395" s="1455">
        <f>(B269+B276+B283)*'OLD  Formulas'!$D$27</f>
        <v>0</v>
      </c>
      <c r="C395" s="1455">
        <f>(C269+C276+C283)*'OLD  Formulas'!$D$27</f>
        <v>0</v>
      </c>
      <c r="D395" s="1455">
        <f>(D269+D276+D283)*'OLD  Formulas'!$D$27</f>
        <v>0</v>
      </c>
      <c r="E395" s="1455">
        <f>(E269+E276+E283)*'OLD  Formulas'!$D$27</f>
        <v>0</v>
      </c>
      <c r="F395" s="1455">
        <f>(F269+F276+F283)*'OLD  Formulas'!$D$27</f>
        <v>0</v>
      </c>
      <c r="G395" s="1455">
        <f>(G269+G276+G283)*'OLD  Formulas'!$D$27</f>
        <v>0</v>
      </c>
      <c r="H395" s="1455">
        <f>(H269+H276+H283)*'OLD  Formulas'!$D$27</f>
        <v>0</v>
      </c>
      <c r="I395" s="1455">
        <f>(I269+I276+I283)*'OLD  Formulas'!$D$27</f>
        <v>0</v>
      </c>
      <c r="J395" s="1455">
        <f>(J269+J276+J283)*'OLD  Formulas'!$D$27</f>
        <v>0</v>
      </c>
      <c r="K395" s="1455">
        <f>(K269+K276+K283)*'OLD  Formulas'!$D$27</f>
        <v>0</v>
      </c>
      <c r="L395" s="1455">
        <f>(L269+L276+L283)*'OLD  Formulas'!$D$27</f>
        <v>0</v>
      </c>
      <c r="M395" s="1455">
        <f>(M269+M276+M283)*'OLD  Formulas'!$D$27</f>
        <v>0</v>
      </c>
      <c r="N395" s="1455">
        <f>(N269+N276+N283)*'OLD  Formulas'!$D$27</f>
        <v>0</v>
      </c>
      <c r="O395" s="1455">
        <f>(O269+O276+O283)*'OLD  Formulas'!$D$27</f>
        <v>0</v>
      </c>
      <c r="P395" s="1455">
        <f>(P269+P276+P283)*'OLD  Formulas'!$D$27</f>
        <v>0</v>
      </c>
      <c r="Q395" s="1455">
        <f>(Q269+Q276+Q283)*'OLD  Formulas'!$D$27</f>
        <v>0</v>
      </c>
      <c r="R395" s="1455">
        <f>(R269+R276+R283)*'OLD  Formulas'!$D$27</f>
        <v>0</v>
      </c>
      <c r="S395" s="1455">
        <f>(S269+S276+S283)*'OLD  Formulas'!$D$27</f>
        <v>0</v>
      </c>
      <c r="T395" s="1455">
        <f>(T269+T276+T283)*'OLD  Formulas'!$D$27</f>
        <v>0</v>
      </c>
      <c r="U395" s="1455">
        <f>(U269+U276+U283)*'OLD  Formulas'!$D$27</f>
        <v>0</v>
      </c>
      <c r="V395" s="1455">
        <f>(V269+V276+V283)*'OLD  Formulas'!$D$27</f>
        <v>0</v>
      </c>
      <c r="W395" s="1455">
        <f>(W269+W276+W283)*'OLD  Formulas'!$D$27</f>
        <v>0</v>
      </c>
      <c r="X395" s="1455">
        <f>(X269+X276+X283)*'OLD  Formulas'!$D$27</f>
        <v>0</v>
      </c>
      <c r="Y395" s="1455">
        <f>(Y269+Y276+Y283)*'OLD  Formulas'!$D$27</f>
        <v>0</v>
      </c>
      <c r="Z395" s="1455">
        <f>(Z269+Z276+Z283)*'OLD  Formulas'!$D$27</f>
        <v>0</v>
      </c>
      <c r="AA395" s="1455">
        <f>(AA269+AA276+AA283)*'OLD  Formulas'!$D$27</f>
        <v>0</v>
      </c>
      <c r="AB395" s="1455">
        <f>(AB269+AB276+AB283)*'OLD  Formulas'!$D$27</f>
        <v>0</v>
      </c>
      <c r="AC395" s="1455">
        <f>(AC269+AC276+AC283)*'OLD  Formulas'!$D$27</f>
        <v>0</v>
      </c>
      <c r="AD395" s="1455">
        <f>(AD269+AD276+AD283)*'OLD  Formulas'!$D$27</f>
        <v>0</v>
      </c>
      <c r="AE395" s="1455">
        <f>(AE269+AE276+AE283)*'OLD  Formulas'!$D$27</f>
        <v>0</v>
      </c>
      <c r="AF395" s="1459"/>
    </row>
    <row r="396">
      <c r="A396" s="884" t="s">
        <v>567</v>
      </c>
      <c r="B396" s="580">
        <f t="shared" ref="B396:AE396" si="141">sum(B359:B395)</f>
        <v>0</v>
      </c>
      <c r="C396" s="580">
        <f t="shared" si="141"/>
        <v>0</v>
      </c>
      <c r="D396" s="580">
        <f t="shared" si="141"/>
        <v>0</v>
      </c>
      <c r="E396" s="580">
        <f t="shared" si="141"/>
        <v>0</v>
      </c>
      <c r="F396" s="580">
        <f t="shared" si="141"/>
        <v>0</v>
      </c>
      <c r="G396" s="580">
        <f t="shared" si="141"/>
        <v>0</v>
      </c>
      <c r="H396" s="580">
        <f t="shared" si="141"/>
        <v>0</v>
      </c>
      <c r="I396" s="580">
        <f t="shared" si="141"/>
        <v>0</v>
      </c>
      <c r="J396" s="580">
        <f t="shared" si="141"/>
        <v>0</v>
      </c>
      <c r="K396" s="580">
        <f t="shared" si="141"/>
        <v>0</v>
      </c>
      <c r="L396" s="580">
        <f t="shared" si="141"/>
        <v>0</v>
      </c>
      <c r="M396" s="580">
        <f t="shared" si="141"/>
        <v>0</v>
      </c>
      <c r="N396" s="580">
        <f t="shared" si="141"/>
        <v>0</v>
      </c>
      <c r="O396" s="580">
        <f t="shared" si="141"/>
        <v>0</v>
      </c>
      <c r="P396" s="580">
        <f t="shared" si="141"/>
        <v>0</v>
      </c>
      <c r="Q396" s="580">
        <f t="shared" si="141"/>
        <v>0</v>
      </c>
      <c r="R396" s="580">
        <f t="shared" si="141"/>
        <v>0</v>
      </c>
      <c r="S396" s="580">
        <f t="shared" si="141"/>
        <v>0</v>
      </c>
      <c r="T396" s="580">
        <f t="shared" si="141"/>
        <v>0</v>
      </c>
      <c r="U396" s="580">
        <f t="shared" si="141"/>
        <v>0</v>
      </c>
      <c r="V396" s="580">
        <f t="shared" si="141"/>
        <v>0</v>
      </c>
      <c r="W396" s="580">
        <f t="shared" si="141"/>
        <v>0</v>
      </c>
      <c r="X396" s="580">
        <f t="shared" si="141"/>
        <v>0</v>
      </c>
      <c r="Y396" s="580">
        <f t="shared" si="141"/>
        <v>0</v>
      </c>
      <c r="Z396" s="580">
        <f t="shared" si="141"/>
        <v>0</v>
      </c>
      <c r="AA396" s="580">
        <f t="shared" si="141"/>
        <v>0</v>
      </c>
      <c r="AB396" s="580">
        <f t="shared" si="141"/>
        <v>0</v>
      </c>
      <c r="AC396" s="580">
        <f t="shared" si="141"/>
        <v>0</v>
      </c>
      <c r="AD396" s="580">
        <f t="shared" si="141"/>
        <v>0</v>
      </c>
      <c r="AE396" s="580">
        <f t="shared" si="141"/>
        <v>0</v>
      </c>
      <c r="AF396" s="900">
        <f>SUM(B396:AE396)</f>
        <v>0</v>
      </c>
    </row>
    <row r="397">
      <c r="A397" s="20"/>
      <c r="B397" s="582"/>
      <c r="C397" s="582"/>
      <c r="D397" s="582"/>
      <c r="E397" s="582"/>
      <c r="F397" s="582"/>
      <c r="G397" s="582"/>
      <c r="H397" s="582"/>
      <c r="I397" s="582"/>
      <c r="J397" s="582"/>
      <c r="K397" s="582"/>
      <c r="L397" s="582"/>
      <c r="M397" s="582"/>
      <c r="N397" s="582"/>
      <c r="O397" s="582"/>
      <c r="P397" s="582"/>
      <c r="Q397" s="582"/>
      <c r="R397" s="582"/>
      <c r="S397" s="582"/>
      <c r="T397" s="582"/>
      <c r="U397" s="582"/>
      <c r="V397" s="582"/>
      <c r="W397" s="582"/>
      <c r="X397" s="582"/>
      <c r="Y397" s="582"/>
      <c r="Z397" s="582"/>
      <c r="AA397" s="582"/>
      <c r="AB397" s="582"/>
      <c r="AC397" s="582"/>
      <c r="AD397" s="582"/>
      <c r="AE397" s="582"/>
      <c r="AF397" s="700"/>
    </row>
    <row r="398">
      <c r="A398" s="1546" t="s">
        <v>95</v>
      </c>
      <c r="B398" s="1547">
        <f t="shared" ref="B398:AE398" si="142">SUM(B319:B347)+B396</f>
        <v>3114.6431</v>
      </c>
      <c r="C398" s="1547">
        <f t="shared" si="142"/>
        <v>2783.097125</v>
      </c>
      <c r="D398" s="1547">
        <f t="shared" si="142"/>
        <v>4977.809075</v>
      </c>
      <c r="E398" s="1547">
        <f t="shared" si="142"/>
        <v>5338.664517</v>
      </c>
      <c r="F398" s="1547">
        <f t="shared" si="142"/>
        <v>3978.108542</v>
      </c>
      <c r="G398" s="1547">
        <f t="shared" si="142"/>
        <v>4111.357967</v>
      </c>
      <c r="H398" s="1547">
        <f t="shared" si="142"/>
        <v>3109.891992</v>
      </c>
      <c r="I398" s="1547">
        <f t="shared" si="142"/>
        <v>3042.011992</v>
      </c>
      <c r="J398" s="1547">
        <f t="shared" si="142"/>
        <v>5885.462792</v>
      </c>
      <c r="K398" s="1547">
        <f t="shared" si="142"/>
        <v>5194.667392</v>
      </c>
      <c r="L398" s="1547">
        <f t="shared" si="142"/>
        <v>5070.555667</v>
      </c>
      <c r="M398" s="1547">
        <f t="shared" si="142"/>
        <v>5492.703367</v>
      </c>
      <c r="N398" s="1547">
        <f t="shared" si="142"/>
        <v>5575.363367</v>
      </c>
      <c r="O398" s="1547">
        <f t="shared" si="142"/>
        <v>5818.162792</v>
      </c>
      <c r="P398" s="1547">
        <f t="shared" si="142"/>
        <v>3736.580267</v>
      </c>
      <c r="Q398" s="1547">
        <f t="shared" si="142"/>
        <v>5658.535092</v>
      </c>
      <c r="R398" s="1547">
        <f t="shared" si="142"/>
        <v>6188.473942</v>
      </c>
      <c r="S398" s="1547">
        <f t="shared" si="142"/>
        <v>6128.532792</v>
      </c>
      <c r="T398" s="1547">
        <f t="shared" si="142"/>
        <v>8266.396467</v>
      </c>
      <c r="U398" s="1547">
        <f t="shared" si="142"/>
        <v>7129.988767</v>
      </c>
      <c r="V398" s="1547">
        <f t="shared" si="142"/>
        <v>7056.028192</v>
      </c>
      <c r="W398" s="1547">
        <f t="shared" si="142"/>
        <v>6270.581067</v>
      </c>
      <c r="X398" s="1547">
        <f t="shared" si="142"/>
        <v>5723.872792</v>
      </c>
      <c r="Y398" s="1547">
        <f t="shared" si="142"/>
        <v>7366.219342</v>
      </c>
      <c r="Z398" s="1547">
        <f t="shared" si="142"/>
        <v>6365.730492</v>
      </c>
      <c r="AA398" s="1547">
        <f t="shared" si="142"/>
        <v>7520.156467</v>
      </c>
      <c r="AB398" s="1547">
        <f t="shared" si="142"/>
        <v>7044.951642</v>
      </c>
      <c r="AC398" s="1547">
        <f t="shared" si="142"/>
        <v>9929.864742</v>
      </c>
      <c r="AD398" s="1547">
        <f t="shared" si="142"/>
        <v>7703.859917</v>
      </c>
      <c r="AE398" s="1547">
        <f t="shared" si="142"/>
        <v>8428.260492</v>
      </c>
      <c r="AF398" s="900">
        <f>SUM(B398:AE398)</f>
        <v>174010.5322</v>
      </c>
    </row>
    <row r="399">
      <c r="A399" s="20"/>
      <c r="B399" s="595"/>
      <c r="C399" s="595"/>
      <c r="D399" s="595"/>
      <c r="E399" s="595"/>
      <c r="F399" s="595"/>
      <c r="G399" s="595"/>
      <c r="H399" s="595"/>
      <c r="I399" s="595"/>
      <c r="J399" s="595"/>
      <c r="K399" s="595"/>
      <c r="L399" s="595"/>
      <c r="M399" s="595"/>
      <c r="N399" s="595"/>
      <c r="O399" s="595"/>
      <c r="P399" s="595"/>
      <c r="Q399" s="595"/>
      <c r="R399" s="595"/>
      <c r="S399" s="595"/>
      <c r="T399" s="595"/>
      <c r="U399" s="595"/>
      <c r="V399" s="595"/>
      <c r="W399" s="595"/>
      <c r="X399" s="595"/>
      <c r="Y399" s="595"/>
      <c r="Z399" s="595"/>
      <c r="AA399" s="595"/>
      <c r="AB399" s="595"/>
      <c r="AC399" s="595"/>
      <c r="AD399" s="595"/>
      <c r="AE399" s="595"/>
      <c r="AF399" s="700"/>
    </row>
    <row r="400">
      <c r="A400" s="885" t="s">
        <v>1472</v>
      </c>
      <c r="B400" s="70">
        <f t="shared" ref="B400:AE400" si="143">B9-B398</f>
        <v>-45.6431</v>
      </c>
      <c r="C400" s="70">
        <f t="shared" si="143"/>
        <v>-272.097125</v>
      </c>
      <c r="D400" s="70">
        <f t="shared" si="143"/>
        <v>-792.809075</v>
      </c>
      <c r="E400" s="70">
        <f t="shared" si="143"/>
        <v>241.3354831</v>
      </c>
      <c r="F400" s="70">
        <f t="shared" si="143"/>
        <v>1601.891458</v>
      </c>
      <c r="G400" s="70">
        <f t="shared" si="143"/>
        <v>352.6420331</v>
      </c>
      <c r="H400" s="70">
        <f t="shared" si="143"/>
        <v>517.1080081</v>
      </c>
      <c r="I400" s="70">
        <f t="shared" si="143"/>
        <v>-252.0119919</v>
      </c>
      <c r="J400" s="70">
        <f t="shared" si="143"/>
        <v>1089.537208</v>
      </c>
      <c r="K400" s="70">
        <f t="shared" si="143"/>
        <v>943.3326081</v>
      </c>
      <c r="L400" s="70">
        <f t="shared" si="143"/>
        <v>1067.444333</v>
      </c>
      <c r="M400" s="70">
        <f t="shared" si="143"/>
        <v>1203.296633</v>
      </c>
      <c r="N400" s="70">
        <f t="shared" si="143"/>
        <v>1957.636633</v>
      </c>
      <c r="O400" s="70">
        <f t="shared" si="143"/>
        <v>2551.837208</v>
      </c>
      <c r="P400" s="70">
        <f t="shared" si="143"/>
        <v>448.4197331</v>
      </c>
      <c r="Q400" s="70">
        <f t="shared" si="143"/>
        <v>200.4649081</v>
      </c>
      <c r="R400" s="70">
        <f t="shared" si="143"/>
        <v>1065.526058</v>
      </c>
      <c r="S400" s="70">
        <f t="shared" si="143"/>
        <v>846.4672081</v>
      </c>
      <c r="T400" s="70">
        <f t="shared" si="143"/>
        <v>4846.603533</v>
      </c>
      <c r="U400" s="70">
        <f t="shared" si="143"/>
        <v>1798.011233</v>
      </c>
      <c r="V400" s="70">
        <f t="shared" si="143"/>
        <v>1592.971808</v>
      </c>
      <c r="W400" s="70">
        <f t="shared" si="143"/>
        <v>4610.418933</v>
      </c>
      <c r="X400" s="70">
        <f t="shared" si="143"/>
        <v>-143.8727919</v>
      </c>
      <c r="Y400" s="70">
        <f t="shared" si="143"/>
        <v>3235.780658</v>
      </c>
      <c r="Z400" s="70">
        <f t="shared" si="143"/>
        <v>2562.269508</v>
      </c>
      <c r="AA400" s="70">
        <f t="shared" si="143"/>
        <v>3360.843533</v>
      </c>
      <c r="AB400" s="70">
        <f t="shared" si="143"/>
        <v>767.0483581</v>
      </c>
      <c r="AC400" s="70">
        <f t="shared" si="143"/>
        <v>1230.135258</v>
      </c>
      <c r="AD400" s="70">
        <f t="shared" si="143"/>
        <v>2061.140083</v>
      </c>
      <c r="AE400" s="70">
        <f t="shared" si="143"/>
        <v>-1174.260492</v>
      </c>
      <c r="AF400" s="900">
        <f>SUM(B400:AE400)</f>
        <v>37471.46784</v>
      </c>
    </row>
    <row r="401">
      <c r="A401" s="1548">
        <f>SUM(B400:AC400)</f>
        <v>36584.58825</v>
      </c>
      <c r="B401" s="595"/>
      <c r="C401" s="595"/>
      <c r="D401" s="595"/>
      <c r="E401" s="595"/>
      <c r="F401" s="595"/>
      <c r="G401" s="595"/>
      <c r="H401" s="595"/>
      <c r="I401" s="595"/>
      <c r="J401" s="595"/>
      <c r="K401" s="595"/>
      <c r="L401" s="595"/>
      <c r="M401" s="595"/>
      <c r="N401" s="595"/>
      <c r="O401" s="595"/>
      <c r="P401" s="595"/>
      <c r="Q401" s="595"/>
      <c r="R401" s="595"/>
      <c r="S401" s="595"/>
      <c r="T401" s="595"/>
      <c r="U401" s="595"/>
      <c r="V401" s="595"/>
      <c r="W401" s="595"/>
      <c r="X401" s="595"/>
      <c r="Y401" s="595"/>
      <c r="Z401" s="595"/>
      <c r="AA401" s="595"/>
      <c r="AB401" s="595"/>
      <c r="AC401" s="595"/>
      <c r="AD401" s="595"/>
      <c r="AE401" s="595"/>
      <c r="AF401" s="1549"/>
    </row>
    <row r="402">
      <c r="A402" s="20"/>
      <c r="B402" s="595"/>
      <c r="C402" s="595"/>
      <c r="D402" s="595"/>
      <c r="E402" s="595"/>
      <c r="F402" s="595"/>
      <c r="G402" s="595"/>
      <c r="H402" s="595"/>
      <c r="I402" s="595"/>
      <c r="J402" s="595"/>
      <c r="K402" s="595"/>
      <c r="L402" s="595"/>
      <c r="M402" s="595"/>
      <c r="N402" s="595"/>
      <c r="O402" s="595"/>
      <c r="P402" s="595"/>
      <c r="Q402" s="595"/>
      <c r="R402" s="595"/>
      <c r="S402" s="595"/>
      <c r="T402" s="595"/>
      <c r="U402" s="595"/>
      <c r="V402" s="595"/>
      <c r="W402" s="595"/>
      <c r="X402" s="595"/>
      <c r="Y402" s="595"/>
      <c r="Z402" s="595"/>
      <c r="AA402" s="595"/>
      <c r="AB402" s="595"/>
      <c r="AC402" s="595"/>
      <c r="AD402" s="595"/>
      <c r="AE402" s="595"/>
      <c r="AF402" s="1549"/>
    </row>
    <row r="403">
      <c r="A403" s="1550" t="s">
        <v>1473</v>
      </c>
      <c r="B403" s="1551">
        <f t="shared" ref="B403:AE403" si="144">B400/B9</f>
        <v>-0.01487230368</v>
      </c>
      <c r="C403" s="1551">
        <f t="shared" si="144"/>
        <v>-0.1083620569</v>
      </c>
      <c r="D403" s="1551">
        <f t="shared" si="144"/>
        <v>-0.1894406392</v>
      </c>
      <c r="E403" s="1551">
        <f t="shared" si="144"/>
        <v>0.04325008657</v>
      </c>
      <c r="F403" s="1551">
        <f t="shared" si="144"/>
        <v>0.2870773222</v>
      </c>
      <c r="G403" s="1551">
        <f t="shared" si="144"/>
        <v>0.07899687121</v>
      </c>
      <c r="H403" s="1551">
        <f t="shared" si="144"/>
        <v>0.1425718247</v>
      </c>
      <c r="I403" s="1551">
        <f t="shared" si="144"/>
        <v>-0.09032687883</v>
      </c>
      <c r="J403" s="1551">
        <f t="shared" si="144"/>
        <v>0.1562060513</v>
      </c>
      <c r="K403" s="1551">
        <f t="shared" si="144"/>
        <v>0.1536872936</v>
      </c>
      <c r="L403" s="1551">
        <f t="shared" si="144"/>
        <v>0.173907516</v>
      </c>
      <c r="M403" s="1551">
        <f t="shared" si="144"/>
        <v>0.1797037982</v>
      </c>
      <c r="N403" s="1551">
        <f t="shared" si="144"/>
        <v>0.2598747688</v>
      </c>
      <c r="O403" s="1551">
        <f t="shared" si="144"/>
        <v>0.3048789974</v>
      </c>
      <c r="P403" s="1551">
        <f t="shared" si="144"/>
        <v>0.1071492791</v>
      </c>
      <c r="Q403" s="1551">
        <f t="shared" si="144"/>
        <v>0.03421486739</v>
      </c>
      <c r="R403" s="1551">
        <f t="shared" si="144"/>
        <v>0.1468880698</v>
      </c>
      <c r="S403" s="1551">
        <f t="shared" si="144"/>
        <v>0.1213573058</v>
      </c>
      <c r="T403" s="1551">
        <f t="shared" si="144"/>
        <v>0.3696029538</v>
      </c>
      <c r="U403" s="1551">
        <f t="shared" si="144"/>
        <v>0.2013901471</v>
      </c>
      <c r="V403" s="1551">
        <f t="shared" si="144"/>
        <v>0.184179883</v>
      </c>
      <c r="W403" s="1551">
        <f t="shared" si="144"/>
        <v>0.423712796</v>
      </c>
      <c r="X403" s="1551">
        <f t="shared" si="144"/>
        <v>-0.02578365447</v>
      </c>
      <c r="Y403" s="1551">
        <f t="shared" si="144"/>
        <v>0.3052047404</v>
      </c>
      <c r="Z403" s="1551">
        <f t="shared" si="144"/>
        <v>0.2869925524</v>
      </c>
      <c r="AA403" s="1551">
        <f t="shared" si="144"/>
        <v>0.308872671</v>
      </c>
      <c r="AB403" s="1551">
        <f t="shared" si="144"/>
        <v>0.09818847389</v>
      </c>
      <c r="AC403" s="1551">
        <f t="shared" si="144"/>
        <v>0.1102271737</v>
      </c>
      <c r="AD403" s="1551">
        <f t="shared" si="144"/>
        <v>0.2110742533</v>
      </c>
      <c r="AE403" s="1551">
        <f t="shared" si="144"/>
        <v>-0.1618776526</v>
      </c>
      <c r="AF403" s="1549"/>
    </row>
    <row r="404">
      <c r="A404" s="1552" t="s">
        <v>1474</v>
      </c>
      <c r="B404" s="554">
        <f t="shared" ref="B404:AE404" si="145">(B9-B346)/B319</f>
        <v>2.403910173</v>
      </c>
      <c r="C404" s="554">
        <f t="shared" si="145"/>
        <v>1.338093842</v>
      </c>
      <c r="D404" s="554">
        <f t="shared" si="145"/>
        <v>1.917429133</v>
      </c>
      <c r="E404" s="554">
        <f t="shared" si="145"/>
        <v>2.95826618</v>
      </c>
      <c r="F404" s="554">
        <f t="shared" si="145"/>
        <v>3.981988282</v>
      </c>
      <c r="G404" s="554">
        <f t="shared" si="145"/>
        <v>2.993823228</v>
      </c>
      <c r="H404" s="554">
        <f t="shared" si="145"/>
        <v>2.503226519</v>
      </c>
      <c r="I404" s="554">
        <f t="shared" si="145"/>
        <v>1.885453624</v>
      </c>
      <c r="J404" s="554">
        <f t="shared" si="145"/>
        <v>3.69385734</v>
      </c>
      <c r="K404" s="554">
        <f t="shared" si="145"/>
        <v>2.672309079</v>
      </c>
      <c r="L404" s="554">
        <f t="shared" si="145"/>
        <v>3.414723701</v>
      </c>
      <c r="M404" s="554">
        <f t="shared" si="145"/>
        <v>3.989276139</v>
      </c>
      <c r="N404" s="554">
        <f t="shared" si="145"/>
        <v>4.531236842</v>
      </c>
      <c r="O404" s="554">
        <f t="shared" si="145"/>
        <v>4.933774249</v>
      </c>
      <c r="P404" s="554">
        <f t="shared" si="145"/>
        <v>2.499178884</v>
      </c>
      <c r="Q404" s="554">
        <f t="shared" si="145"/>
        <v>2.543741588</v>
      </c>
      <c r="R404" s="554">
        <f t="shared" si="145"/>
        <v>2.968619555</v>
      </c>
      <c r="S404" s="554">
        <f t="shared" si="145"/>
        <v>3.227164629</v>
      </c>
      <c r="T404" s="554">
        <f t="shared" si="145"/>
        <v>5.678049034</v>
      </c>
      <c r="U404" s="554">
        <f t="shared" si="145"/>
        <v>4.267951641</v>
      </c>
      <c r="V404" s="554">
        <f t="shared" si="145"/>
        <v>4.502998875</v>
      </c>
      <c r="W404" s="554">
        <f t="shared" si="145"/>
        <v>7.290354568</v>
      </c>
      <c r="X404" s="554">
        <f t="shared" si="145"/>
        <v>2.966223328</v>
      </c>
      <c r="Y404" s="554">
        <f t="shared" si="145"/>
        <v>4.699905576</v>
      </c>
      <c r="Z404" s="554">
        <f t="shared" si="145"/>
        <v>5.336904022</v>
      </c>
      <c r="AA404" s="554">
        <f t="shared" si="145"/>
        <v>6.142668428</v>
      </c>
      <c r="AB404" s="554">
        <f t="shared" si="145"/>
        <v>2.847063283</v>
      </c>
      <c r="AC404" s="554">
        <f t="shared" si="145"/>
        <v>2.94232412</v>
      </c>
      <c r="AD404" s="554">
        <f t="shared" si="145"/>
        <v>3.447825381</v>
      </c>
      <c r="AE404" s="554">
        <f t="shared" si="145"/>
        <v>1.844482698</v>
      </c>
      <c r="AF404" s="1549"/>
    </row>
    <row r="405">
      <c r="A405" s="325" t="s">
        <v>438</v>
      </c>
      <c r="B405" s="554">
        <f>'OLD Sales'!B48</f>
        <v>2.403910173</v>
      </c>
      <c r="C405" s="554">
        <f>'OLD Sales'!C48</f>
        <v>1.338093842</v>
      </c>
      <c r="D405" s="554">
        <f>'OLD Sales'!D48</f>
        <v>1.917429133</v>
      </c>
      <c r="E405" s="554">
        <f>'OLD Sales'!E48</f>
        <v>2.95826618</v>
      </c>
      <c r="F405" s="554">
        <f>'OLD Sales'!F48</f>
        <v>3.981988282</v>
      </c>
      <c r="G405" s="554">
        <f>'OLD Sales'!G48</f>
        <v>2.993823228</v>
      </c>
      <c r="H405" s="554">
        <f>'OLD Sales'!H48</f>
        <v>2.503226519</v>
      </c>
      <c r="I405" s="554">
        <f>'OLD Sales'!I48</f>
        <v>1.885453624</v>
      </c>
      <c r="J405" s="554">
        <f>'OLD Sales'!J48</f>
        <v>3.69385734</v>
      </c>
      <c r="K405" s="554">
        <f>'OLD Sales'!K48</f>
        <v>2.672309079</v>
      </c>
      <c r="L405" s="554">
        <f>'OLD Sales'!L48</f>
        <v>3.414723701</v>
      </c>
      <c r="M405" s="554">
        <f>'OLD Sales'!M48</f>
        <v>3.989276139</v>
      </c>
      <c r="N405" s="554">
        <f>'OLD Sales'!N48</f>
        <v>4.531236842</v>
      </c>
      <c r="O405" s="554">
        <f>'OLD Sales'!O48</f>
        <v>4.933774249</v>
      </c>
      <c r="P405" s="554">
        <f>'OLD Sales'!P48</f>
        <v>2.499178884</v>
      </c>
      <c r="Q405" s="554">
        <f>'OLD Sales'!Q48</f>
        <v>2.543741588</v>
      </c>
      <c r="R405" s="554">
        <f>'OLD Sales'!R48</f>
        <v>2.968619555</v>
      </c>
      <c r="S405" s="554">
        <f>'OLD Sales'!S48</f>
        <v>3.227164629</v>
      </c>
      <c r="T405" s="554">
        <f>'OLD Sales'!T48</f>
        <v>5.678049034</v>
      </c>
      <c r="U405" s="554">
        <f>'OLD Sales'!U48</f>
        <v>4.267951641</v>
      </c>
      <c r="V405" s="554">
        <f>'OLD Sales'!V48</f>
        <v>4.502998875</v>
      </c>
      <c r="W405" s="554">
        <f>'OLD Sales'!W48</f>
        <v>7.290354568</v>
      </c>
      <c r="X405" s="554">
        <f>'OLD Sales'!X48</f>
        <v>2.966223328</v>
      </c>
      <c r="Y405" s="554">
        <f>'OLD Sales'!Y48</f>
        <v>4.699905576</v>
      </c>
      <c r="Z405" s="554">
        <f>'OLD Sales'!Z48</f>
        <v>5.336904022</v>
      </c>
      <c r="AA405" s="554">
        <f>'OLD Sales'!AA48</f>
        <v>6.142668428</v>
      </c>
      <c r="AB405" s="554">
        <f>'OLD Sales'!AB48</f>
        <v>2.847063283</v>
      </c>
      <c r="AC405" s="554">
        <f>'OLD Sales'!AC48</f>
        <v>2.94232412</v>
      </c>
      <c r="AD405" s="554">
        <f>'OLD Sales'!AD48</f>
        <v>3.447825381</v>
      </c>
      <c r="AE405" s="554">
        <f>'OLD Sales'!AE48</f>
        <v>1.844482698</v>
      </c>
      <c r="AF405" s="1549"/>
    </row>
    <row r="406">
      <c r="A406" s="20"/>
      <c r="B406" s="962"/>
      <c r="C406" s="582"/>
      <c r="D406" s="582"/>
      <c r="E406" s="582"/>
      <c r="F406" s="582"/>
      <c r="G406" s="582"/>
      <c r="H406" s="582"/>
      <c r="I406" s="582"/>
      <c r="J406" s="582"/>
      <c r="K406" s="582"/>
      <c r="L406" s="582"/>
      <c r="M406" s="582"/>
      <c r="N406" s="582"/>
      <c r="O406" s="582"/>
      <c r="P406" s="582"/>
      <c r="Q406" s="582"/>
      <c r="R406" s="582"/>
      <c r="S406" s="582"/>
      <c r="T406" s="582"/>
      <c r="U406" s="582"/>
      <c r="V406" s="582"/>
      <c r="W406" s="582"/>
      <c r="X406" s="582"/>
      <c r="Y406" s="582"/>
      <c r="Z406" s="582"/>
      <c r="AA406" s="582"/>
      <c r="AB406" s="582"/>
      <c r="AC406" s="582"/>
      <c r="AD406" s="582"/>
      <c r="AE406" s="582"/>
      <c r="AF406" s="866"/>
    </row>
    <row r="407">
      <c r="A407" s="17"/>
      <c r="B407" s="1553"/>
      <c r="C407" s="115"/>
      <c r="D407" s="115"/>
      <c r="E407" s="115"/>
      <c r="F407" s="115"/>
      <c r="G407" s="115"/>
      <c r="H407" s="115"/>
      <c r="I407" s="115"/>
      <c r="J407" s="115"/>
      <c r="K407" s="115"/>
      <c r="L407" s="115"/>
      <c r="M407" s="115"/>
      <c r="N407" s="115"/>
      <c r="O407" s="115"/>
      <c r="P407" s="115"/>
      <c r="Q407" s="115"/>
      <c r="R407" s="115"/>
      <c r="S407" s="115"/>
      <c r="T407" s="115"/>
      <c r="U407" s="17"/>
      <c r="V407" s="17"/>
      <c r="W407" s="17"/>
      <c r="X407" s="17"/>
      <c r="Y407" s="17"/>
      <c r="Z407" s="17"/>
      <c r="AA407" s="17"/>
      <c r="AB407" s="17"/>
      <c r="AC407" s="17"/>
      <c r="AD407" s="17"/>
      <c r="AE407" s="17"/>
      <c r="AF407" s="866"/>
    </row>
    <row r="408">
      <c r="A408" s="325" t="s">
        <v>98</v>
      </c>
      <c r="B408" s="1554"/>
      <c r="C408" s="1554"/>
      <c r="D408" s="1554"/>
      <c r="E408" s="1554"/>
      <c r="F408" s="1554"/>
      <c r="G408" s="1554"/>
      <c r="H408" s="1554"/>
      <c r="I408" s="1554"/>
      <c r="J408" s="1554"/>
      <c r="K408" s="1554"/>
      <c r="L408" s="1554"/>
      <c r="M408" s="1554"/>
      <c r="N408" s="1554"/>
      <c r="O408" s="1554"/>
      <c r="P408" s="1554"/>
      <c r="Q408" s="1554"/>
      <c r="R408" s="1554"/>
      <c r="S408" s="1554"/>
      <c r="T408" s="1554"/>
      <c r="U408" s="1554"/>
      <c r="V408" s="1554"/>
      <c r="W408" s="1554"/>
      <c r="X408" s="1554"/>
      <c r="Y408" s="1554"/>
      <c r="Z408" s="1554"/>
      <c r="AA408" s="582"/>
      <c r="AB408" s="1554"/>
      <c r="AC408" s="1554"/>
      <c r="AD408" s="1554"/>
      <c r="AE408" s="1554"/>
      <c r="AF408" s="866"/>
    </row>
    <row r="409">
      <c r="A409" s="74">
        <f>SUM(B9:AE9)</f>
        <v>211482</v>
      </c>
      <c r="B409" s="1554"/>
      <c r="C409" s="1554"/>
      <c r="D409" s="1554"/>
      <c r="E409" s="1554"/>
      <c r="F409" s="1554"/>
      <c r="G409" s="1554"/>
      <c r="H409" s="1554"/>
      <c r="I409" s="1554"/>
      <c r="J409" s="1554"/>
      <c r="K409" s="1554"/>
      <c r="L409" s="1554"/>
      <c r="M409" s="1554"/>
      <c r="N409" s="1554"/>
      <c r="O409" s="1554"/>
      <c r="P409" s="1554"/>
      <c r="Q409" s="1554"/>
      <c r="R409" s="1554"/>
      <c r="S409" s="1554"/>
      <c r="T409" s="1554"/>
      <c r="U409" s="1554"/>
      <c r="V409" s="1554"/>
      <c r="W409" s="1554"/>
      <c r="X409" s="1554"/>
      <c r="Y409" s="1554"/>
      <c r="Z409" s="1554"/>
      <c r="AA409" s="1554"/>
      <c r="AB409" s="1554"/>
      <c r="AC409" s="1554"/>
      <c r="AD409" s="1554"/>
      <c r="AE409" s="1554"/>
      <c r="AF409" s="1555"/>
    </row>
    <row r="410">
      <c r="A410" s="20"/>
      <c r="B410" s="582"/>
      <c r="C410" s="582"/>
      <c r="D410" s="582"/>
      <c r="E410" s="582"/>
      <c r="F410" s="582"/>
      <c r="G410" s="582"/>
      <c r="H410" s="582"/>
      <c r="I410" s="582"/>
      <c r="J410" s="582"/>
      <c r="K410" s="582"/>
      <c r="L410" s="582"/>
      <c r="M410" s="582"/>
      <c r="N410" s="582"/>
      <c r="O410" s="582"/>
      <c r="P410" s="582"/>
      <c r="Q410" s="582"/>
      <c r="R410" s="582"/>
      <c r="S410" s="582"/>
      <c r="T410" s="582"/>
      <c r="U410" s="582"/>
      <c r="V410" s="582"/>
      <c r="W410" s="582"/>
      <c r="X410" s="582"/>
      <c r="Y410" s="582"/>
      <c r="Z410" s="582"/>
      <c r="AA410" s="582"/>
      <c r="AB410" s="582"/>
      <c r="AC410" s="582"/>
      <c r="AD410" s="582"/>
      <c r="AE410" s="582"/>
      <c r="AF410" s="866"/>
    </row>
    <row r="411">
      <c r="A411" s="1550" t="s">
        <v>849</v>
      </c>
      <c r="B411" s="582"/>
      <c r="C411" s="582"/>
      <c r="D411" s="582"/>
      <c r="E411" s="582"/>
      <c r="F411" s="582"/>
      <c r="G411" s="582"/>
      <c r="H411" s="582"/>
      <c r="I411" s="582"/>
      <c r="J411" s="582"/>
      <c r="K411" s="582"/>
      <c r="L411" s="582"/>
      <c r="M411" s="582"/>
      <c r="N411" s="582"/>
      <c r="O411" s="582"/>
      <c r="P411" s="582"/>
      <c r="Q411" s="582"/>
      <c r="R411" s="582"/>
      <c r="S411" s="582"/>
      <c r="T411" s="582"/>
      <c r="U411" s="582"/>
      <c r="V411" s="582"/>
      <c r="W411" s="582"/>
      <c r="X411" s="582"/>
      <c r="Y411" s="582"/>
      <c r="Z411" s="582"/>
      <c r="AA411" s="582"/>
      <c r="AB411" s="582"/>
      <c r="AC411" s="582"/>
      <c r="AD411" s="582"/>
      <c r="AE411" s="582"/>
      <c r="AF411" s="866"/>
    </row>
    <row r="412">
      <c r="A412" s="74">
        <f>SUM(B398:AE398)</f>
        <v>174010.5322</v>
      </c>
      <c r="B412" s="582"/>
      <c r="C412" s="582"/>
      <c r="D412" s="582"/>
      <c r="E412" s="582"/>
      <c r="F412" s="582"/>
      <c r="G412" s="582"/>
      <c r="H412" s="582"/>
      <c r="I412" s="582"/>
      <c r="J412" s="582"/>
      <c r="K412" s="582"/>
      <c r="L412" s="582"/>
      <c r="M412" s="582"/>
      <c r="N412" s="582"/>
      <c r="O412" s="582"/>
      <c r="P412" s="582"/>
      <c r="Q412" s="582"/>
      <c r="R412" s="582"/>
      <c r="S412" s="582"/>
      <c r="T412" s="582"/>
      <c r="U412" s="582"/>
      <c r="V412" s="582"/>
      <c r="W412" s="582"/>
      <c r="X412" s="582"/>
      <c r="Y412" s="582"/>
      <c r="Z412" s="582"/>
      <c r="AA412" s="582"/>
      <c r="AB412" s="582"/>
      <c r="AC412" s="582"/>
      <c r="AD412" s="582"/>
      <c r="AE412" s="582"/>
      <c r="AF412" s="866"/>
    </row>
    <row r="413">
      <c r="A413" s="20"/>
      <c r="B413" s="582"/>
      <c r="C413" s="582"/>
      <c r="D413" s="582"/>
      <c r="E413" s="582"/>
      <c r="F413" s="582"/>
      <c r="G413" s="582"/>
      <c r="H413" s="582"/>
      <c r="I413" s="582"/>
      <c r="J413" s="582"/>
      <c r="K413" s="582"/>
      <c r="L413" s="582"/>
      <c r="M413" s="582"/>
      <c r="N413" s="582"/>
      <c r="O413" s="582"/>
      <c r="P413" s="582"/>
      <c r="Q413" s="582"/>
      <c r="R413" s="582"/>
      <c r="S413" s="582"/>
      <c r="T413" s="582"/>
      <c r="U413" s="582"/>
      <c r="V413" s="582"/>
      <c r="W413" s="582"/>
      <c r="X413" s="582"/>
      <c r="Y413" s="582"/>
      <c r="Z413" s="582"/>
      <c r="AA413" s="582"/>
      <c r="AB413" s="582"/>
      <c r="AC413" s="582"/>
      <c r="AD413" s="582"/>
      <c r="AE413" s="582"/>
      <c r="AF413" s="866"/>
    </row>
    <row r="414">
      <c r="A414" s="1550" t="s">
        <v>1078</v>
      </c>
      <c r="B414" s="582"/>
      <c r="C414" s="582"/>
      <c r="D414" s="582"/>
      <c r="E414" s="582"/>
      <c r="F414" s="582"/>
      <c r="G414" s="582"/>
      <c r="H414" s="582"/>
      <c r="I414" s="582"/>
      <c r="J414" s="582"/>
      <c r="K414" s="582"/>
      <c r="L414" s="582"/>
      <c r="M414" s="582"/>
      <c r="N414" s="582"/>
      <c r="O414" s="582"/>
      <c r="P414" s="582"/>
      <c r="Q414" s="582"/>
      <c r="R414" s="582"/>
      <c r="S414" s="582"/>
      <c r="T414" s="582"/>
      <c r="U414" s="582"/>
      <c r="V414" s="582"/>
      <c r="W414" s="582"/>
      <c r="X414" s="582"/>
      <c r="Y414" s="582"/>
      <c r="Z414" s="582"/>
      <c r="AA414" s="582"/>
      <c r="AB414" s="582"/>
      <c r="AC414" s="582"/>
      <c r="AD414" s="582"/>
      <c r="AE414" s="582"/>
      <c r="AF414" s="866"/>
    </row>
    <row r="415">
      <c r="A415" s="329">
        <f>A401/A409</f>
        <v>0.1729914993</v>
      </c>
      <c r="B415" s="582"/>
      <c r="C415" s="582"/>
      <c r="D415" s="582"/>
      <c r="E415" s="582"/>
      <c r="F415" s="582"/>
      <c r="G415" s="582"/>
      <c r="H415" s="582"/>
      <c r="I415" s="582"/>
      <c r="J415" s="582"/>
      <c r="K415" s="582"/>
      <c r="L415" s="582"/>
      <c r="M415" s="582"/>
      <c r="N415" s="582"/>
      <c r="O415" s="582"/>
      <c r="P415" s="582"/>
      <c r="Q415" s="582"/>
      <c r="R415" s="582"/>
      <c r="S415" s="582"/>
      <c r="T415" s="582"/>
      <c r="U415" s="582"/>
      <c r="V415" s="582"/>
      <c r="W415" s="582"/>
      <c r="X415" s="582"/>
      <c r="Y415" s="582"/>
      <c r="Z415" s="582"/>
      <c r="AA415" s="582"/>
      <c r="AB415" s="582"/>
      <c r="AC415" s="582"/>
      <c r="AD415" s="582"/>
      <c r="AE415" s="582"/>
      <c r="AF415" s="866"/>
    </row>
    <row r="416">
      <c r="A416" s="20"/>
      <c r="B416" s="582"/>
      <c r="C416" s="582"/>
      <c r="D416" s="582"/>
      <c r="E416" s="582"/>
      <c r="F416" s="582"/>
      <c r="G416" s="582"/>
      <c r="H416" s="582"/>
      <c r="I416" s="582"/>
      <c r="J416" s="582"/>
      <c r="K416" s="582"/>
      <c r="L416" s="582"/>
      <c r="M416" s="582"/>
      <c r="N416" s="582"/>
      <c r="O416" s="582"/>
      <c r="P416" s="582"/>
      <c r="Q416" s="582"/>
      <c r="R416" s="582"/>
      <c r="S416" s="582"/>
      <c r="T416" s="582"/>
      <c r="U416" s="582"/>
      <c r="V416" s="582"/>
      <c r="W416" s="582"/>
      <c r="X416" s="582"/>
      <c r="Y416" s="582"/>
      <c r="Z416" s="582"/>
      <c r="AA416" s="582"/>
      <c r="AB416" s="582"/>
      <c r="AC416" s="582"/>
      <c r="AD416" s="582"/>
      <c r="AE416" s="582"/>
      <c r="AF416" s="866"/>
    </row>
    <row r="417">
      <c r="A417" s="854"/>
      <c r="AF417" s="1097"/>
    </row>
    <row r="418">
      <c r="A418" s="854"/>
      <c r="AF418" s="1097"/>
    </row>
    <row r="419">
      <c r="A419" s="854"/>
      <c r="AF419" s="1097"/>
    </row>
    <row r="420">
      <c r="A420" s="854"/>
      <c r="AF420" s="1097"/>
    </row>
    <row r="421">
      <c r="A421" s="854"/>
      <c r="AF421" s="1097"/>
    </row>
    <row r="422">
      <c r="A422" s="854"/>
      <c r="AF422" s="1097"/>
    </row>
    <row r="423">
      <c r="A423" s="854"/>
      <c r="AF423" s="1097"/>
    </row>
    <row r="424">
      <c r="A424" s="854"/>
      <c r="AF424" s="1097"/>
    </row>
    <row r="425">
      <c r="A425" s="854"/>
      <c r="AF425" s="1097"/>
    </row>
    <row r="426">
      <c r="A426" s="854"/>
      <c r="AF426" s="1097"/>
    </row>
    <row r="427">
      <c r="A427" s="854"/>
      <c r="AF427" s="1097"/>
    </row>
    <row r="428">
      <c r="A428" s="854"/>
      <c r="AF428" s="1097"/>
    </row>
    <row r="429">
      <c r="A429" s="854"/>
      <c r="AF429" s="1097"/>
    </row>
    <row r="430">
      <c r="A430" s="854"/>
      <c r="AF430" s="1097"/>
    </row>
    <row r="431">
      <c r="A431" s="854"/>
      <c r="AF431" s="1097"/>
    </row>
    <row r="432">
      <c r="A432" s="854"/>
      <c r="AF432" s="1097"/>
    </row>
    <row r="433">
      <c r="A433" s="854"/>
      <c r="AF433" s="1097"/>
    </row>
    <row r="434">
      <c r="A434" s="854"/>
      <c r="AF434" s="1097"/>
    </row>
    <row r="435">
      <c r="A435" s="854"/>
      <c r="AF435" s="1097"/>
    </row>
    <row r="436">
      <c r="A436" s="854"/>
      <c r="AF436" s="1097"/>
    </row>
    <row r="437">
      <c r="A437" s="854"/>
      <c r="AF437" s="1097"/>
    </row>
    <row r="438">
      <c r="A438" s="854"/>
      <c r="AF438" s="1097"/>
    </row>
    <row r="439">
      <c r="A439" s="854"/>
      <c r="AF439" s="1097"/>
    </row>
    <row r="440">
      <c r="A440" s="854"/>
      <c r="AF440" s="1097"/>
    </row>
    <row r="441">
      <c r="A441" s="854"/>
      <c r="AF441" s="1097"/>
    </row>
    <row r="442">
      <c r="A442" s="854"/>
      <c r="AF442" s="1097"/>
    </row>
    <row r="443">
      <c r="A443" s="854"/>
      <c r="AF443" s="1097"/>
    </row>
    <row r="444">
      <c r="A444" s="854"/>
      <c r="AF444" s="1097"/>
    </row>
    <row r="445">
      <c r="A445" s="854"/>
      <c r="AF445" s="1097"/>
    </row>
    <row r="446">
      <c r="A446" s="854"/>
      <c r="AF446" s="1097"/>
    </row>
    <row r="447">
      <c r="A447" s="854"/>
      <c r="AF447" s="1097"/>
    </row>
    <row r="448">
      <c r="A448" s="854"/>
      <c r="AF448" s="1097"/>
    </row>
    <row r="449">
      <c r="A449" s="854"/>
      <c r="AF449" s="1097"/>
    </row>
    <row r="450">
      <c r="A450" s="854"/>
      <c r="AF450" s="1097"/>
    </row>
    <row r="451">
      <c r="A451" s="854"/>
      <c r="AF451" s="1097"/>
    </row>
    <row r="452">
      <c r="A452" s="854"/>
      <c r="AF452" s="1097"/>
    </row>
    <row r="453">
      <c r="A453" s="854"/>
      <c r="AF453" s="1097"/>
    </row>
    <row r="454">
      <c r="A454" s="854"/>
      <c r="AF454" s="1097"/>
    </row>
    <row r="455">
      <c r="A455" s="854"/>
      <c r="AF455" s="1097"/>
    </row>
    <row r="456">
      <c r="A456" s="854"/>
      <c r="AF456" s="1097"/>
    </row>
    <row r="457">
      <c r="A457" s="854"/>
      <c r="AF457" s="1097"/>
    </row>
    <row r="458">
      <c r="A458" s="854"/>
      <c r="AF458" s="1097"/>
    </row>
    <row r="459">
      <c r="A459" s="854"/>
      <c r="AF459" s="1097"/>
    </row>
    <row r="460">
      <c r="A460" s="854"/>
      <c r="AF460" s="1097"/>
    </row>
    <row r="461">
      <c r="A461" s="854"/>
      <c r="AF461" s="1097"/>
    </row>
    <row r="462">
      <c r="A462" s="854"/>
      <c r="AF462" s="1097"/>
    </row>
    <row r="463">
      <c r="A463" s="854"/>
      <c r="AF463" s="1097"/>
    </row>
    <row r="464">
      <c r="A464" s="854"/>
      <c r="AF464" s="1097"/>
    </row>
    <row r="465">
      <c r="A465" s="854"/>
      <c r="AF465" s="1097"/>
    </row>
    <row r="466">
      <c r="A466" s="854"/>
      <c r="AF466" s="1097"/>
    </row>
    <row r="467">
      <c r="A467" s="854"/>
      <c r="AF467" s="1097"/>
    </row>
    <row r="468">
      <c r="A468" s="854"/>
      <c r="AF468" s="1097"/>
    </row>
    <row r="469">
      <c r="A469" s="854"/>
      <c r="AF469" s="1097"/>
    </row>
    <row r="470">
      <c r="A470" s="854"/>
      <c r="AF470" s="1097"/>
    </row>
    <row r="471">
      <c r="A471" s="854"/>
      <c r="AF471" s="1097"/>
    </row>
    <row r="472">
      <c r="A472" s="854"/>
      <c r="AF472" s="1097"/>
    </row>
    <row r="473">
      <c r="A473" s="854"/>
      <c r="AF473" s="1097"/>
    </row>
    <row r="474">
      <c r="A474" s="854"/>
      <c r="AF474" s="1097"/>
    </row>
    <row r="475">
      <c r="A475" s="854"/>
      <c r="AF475" s="1097"/>
    </row>
    <row r="476">
      <c r="A476" s="854"/>
      <c r="AF476" s="1097"/>
    </row>
    <row r="477">
      <c r="A477" s="854"/>
      <c r="AF477" s="1097"/>
    </row>
    <row r="478">
      <c r="A478" s="854"/>
      <c r="AF478" s="1097"/>
    </row>
    <row r="479">
      <c r="A479" s="854"/>
      <c r="AF479" s="1097"/>
    </row>
    <row r="480">
      <c r="A480" s="854"/>
      <c r="AF480" s="1097"/>
    </row>
    <row r="481">
      <c r="A481" s="854"/>
      <c r="AF481" s="1097"/>
    </row>
    <row r="482">
      <c r="A482" s="854"/>
      <c r="AF482" s="1097"/>
    </row>
    <row r="483">
      <c r="A483" s="854"/>
      <c r="AF483" s="1097"/>
    </row>
    <row r="484">
      <c r="A484" s="854"/>
      <c r="AF484" s="1097"/>
    </row>
    <row r="485">
      <c r="A485" s="854"/>
      <c r="AF485" s="1097"/>
    </row>
    <row r="486">
      <c r="A486" s="854"/>
      <c r="AF486" s="1097"/>
    </row>
    <row r="487">
      <c r="A487" s="854"/>
      <c r="AF487" s="1097"/>
    </row>
    <row r="488">
      <c r="A488" s="854"/>
      <c r="AF488" s="1097"/>
    </row>
    <row r="489">
      <c r="A489" s="854"/>
      <c r="AF489" s="1097"/>
    </row>
    <row r="490">
      <c r="A490" s="854"/>
      <c r="AF490" s="1097"/>
    </row>
    <row r="491">
      <c r="A491" s="854"/>
      <c r="AF491" s="1097"/>
    </row>
    <row r="492">
      <c r="A492" s="854"/>
      <c r="AF492" s="1097"/>
    </row>
    <row r="493">
      <c r="A493" s="854"/>
      <c r="AF493" s="1097"/>
    </row>
    <row r="494">
      <c r="A494" s="854"/>
      <c r="AF494" s="1097"/>
    </row>
    <row r="495">
      <c r="A495" s="854"/>
      <c r="AF495" s="1097"/>
    </row>
    <row r="496">
      <c r="A496" s="854"/>
      <c r="AF496" s="1097"/>
    </row>
    <row r="497">
      <c r="A497" s="854"/>
      <c r="AF497" s="1097"/>
    </row>
    <row r="498">
      <c r="A498" s="854"/>
      <c r="AF498" s="1097"/>
    </row>
    <row r="499">
      <c r="A499" s="854"/>
      <c r="AF499" s="1097"/>
    </row>
    <row r="500">
      <c r="A500" s="854"/>
      <c r="AF500" s="1097"/>
    </row>
    <row r="501">
      <c r="A501" s="854"/>
      <c r="AF501" s="1097"/>
    </row>
    <row r="502">
      <c r="A502" s="854"/>
      <c r="AF502" s="1097"/>
    </row>
    <row r="503">
      <c r="A503" s="854"/>
      <c r="AF503" s="1097"/>
    </row>
    <row r="504">
      <c r="A504" s="854"/>
      <c r="AF504" s="1097"/>
    </row>
    <row r="505">
      <c r="A505" s="854"/>
      <c r="AF505" s="1097"/>
    </row>
    <row r="506">
      <c r="A506" s="854"/>
      <c r="AF506" s="1097"/>
    </row>
    <row r="507">
      <c r="A507" s="854"/>
      <c r="AF507" s="1097"/>
    </row>
    <row r="508">
      <c r="A508" s="854"/>
      <c r="AF508" s="1097"/>
    </row>
    <row r="509">
      <c r="A509" s="854"/>
      <c r="AF509" s="1097"/>
    </row>
    <row r="510">
      <c r="A510" s="854"/>
      <c r="AF510" s="1097"/>
    </row>
    <row r="511">
      <c r="A511" s="854"/>
      <c r="AF511" s="1097"/>
    </row>
    <row r="512">
      <c r="A512" s="854"/>
      <c r="AF512" s="1097"/>
    </row>
    <row r="513">
      <c r="A513" s="854"/>
      <c r="AF513" s="1097"/>
    </row>
    <row r="514">
      <c r="A514" s="854"/>
      <c r="AF514" s="1097"/>
    </row>
    <row r="515">
      <c r="A515" s="854"/>
      <c r="AF515" s="1097"/>
    </row>
    <row r="516">
      <c r="A516" s="854"/>
      <c r="AF516" s="1097"/>
    </row>
    <row r="517">
      <c r="A517" s="854"/>
      <c r="AF517" s="1097"/>
    </row>
    <row r="518">
      <c r="A518" s="854"/>
      <c r="AF518" s="1097"/>
    </row>
    <row r="519">
      <c r="A519" s="854"/>
      <c r="AF519" s="1097"/>
    </row>
    <row r="520">
      <c r="A520" s="854"/>
      <c r="AF520" s="1097"/>
    </row>
    <row r="521">
      <c r="A521" s="854"/>
      <c r="AF521" s="1097"/>
    </row>
    <row r="522">
      <c r="A522" s="854"/>
      <c r="AF522" s="1097"/>
    </row>
    <row r="523">
      <c r="A523" s="854"/>
      <c r="AF523" s="1097"/>
    </row>
    <row r="524">
      <c r="A524" s="854"/>
      <c r="AF524" s="1097"/>
    </row>
    <row r="525">
      <c r="A525" s="854"/>
      <c r="AF525" s="1097"/>
    </row>
    <row r="526">
      <c r="A526" s="854"/>
      <c r="AF526" s="1097"/>
    </row>
    <row r="527">
      <c r="A527" s="854"/>
      <c r="AF527" s="1097"/>
    </row>
    <row r="528">
      <c r="A528" s="854"/>
      <c r="AF528" s="1097"/>
    </row>
    <row r="529">
      <c r="A529" s="854"/>
      <c r="AF529" s="1097"/>
    </row>
    <row r="530">
      <c r="A530" s="854"/>
      <c r="AF530" s="1097"/>
    </row>
    <row r="531">
      <c r="A531" s="854"/>
      <c r="AF531" s="1097"/>
    </row>
    <row r="532">
      <c r="A532" s="854"/>
      <c r="AF532" s="1097"/>
    </row>
    <row r="533">
      <c r="A533" s="854"/>
      <c r="AF533" s="1097"/>
    </row>
    <row r="534">
      <c r="A534" s="854"/>
      <c r="AF534" s="1097"/>
    </row>
    <row r="535">
      <c r="A535" s="854"/>
      <c r="AF535" s="1097"/>
    </row>
    <row r="536">
      <c r="A536" s="854"/>
      <c r="AF536" s="1097"/>
    </row>
    <row r="537">
      <c r="A537" s="854"/>
      <c r="AF537" s="1097"/>
    </row>
    <row r="538">
      <c r="A538" s="854"/>
      <c r="AF538" s="1097"/>
    </row>
    <row r="539">
      <c r="A539" s="854"/>
      <c r="AF539" s="1097"/>
    </row>
    <row r="540">
      <c r="A540" s="854"/>
      <c r="AF540" s="1097"/>
    </row>
    <row r="541">
      <c r="A541" s="854"/>
      <c r="AF541" s="1097"/>
    </row>
    <row r="542">
      <c r="A542" s="854"/>
      <c r="AF542" s="1097"/>
    </row>
    <row r="543">
      <c r="A543" s="854"/>
      <c r="AF543" s="1097"/>
    </row>
    <row r="544">
      <c r="A544" s="854"/>
      <c r="AF544" s="1097"/>
    </row>
    <row r="545">
      <c r="A545" s="854"/>
      <c r="AF545" s="1097"/>
    </row>
    <row r="546">
      <c r="A546" s="854"/>
      <c r="AF546" s="1097"/>
    </row>
    <row r="547">
      <c r="A547" s="854"/>
      <c r="AF547" s="1097"/>
    </row>
    <row r="548">
      <c r="A548" s="854"/>
      <c r="AF548" s="1097"/>
    </row>
    <row r="549">
      <c r="A549" s="854"/>
      <c r="AF549" s="1097"/>
    </row>
    <row r="550">
      <c r="A550" s="854"/>
      <c r="AF550" s="1097"/>
    </row>
    <row r="551">
      <c r="A551" s="854"/>
      <c r="AF551" s="1097"/>
    </row>
    <row r="552">
      <c r="A552" s="854"/>
      <c r="AF552" s="1097"/>
    </row>
    <row r="553">
      <c r="A553" s="854"/>
      <c r="AF553" s="1097"/>
    </row>
    <row r="554">
      <c r="A554" s="854"/>
      <c r="AF554" s="1097"/>
    </row>
    <row r="555">
      <c r="A555" s="854"/>
      <c r="AF555" s="1097"/>
    </row>
    <row r="556">
      <c r="A556" s="854"/>
      <c r="AF556" s="1097"/>
    </row>
    <row r="557">
      <c r="A557" s="854"/>
      <c r="AF557" s="1097"/>
    </row>
    <row r="558">
      <c r="A558" s="854"/>
      <c r="AF558" s="1097"/>
    </row>
    <row r="559">
      <c r="A559" s="854"/>
      <c r="AF559" s="1097"/>
    </row>
    <row r="560">
      <c r="A560" s="854"/>
      <c r="AF560" s="1097"/>
    </row>
    <row r="561">
      <c r="A561" s="854"/>
      <c r="AF561" s="1097"/>
    </row>
    <row r="562">
      <c r="A562" s="854"/>
      <c r="AF562" s="1097"/>
    </row>
    <row r="563">
      <c r="A563" s="854"/>
      <c r="AF563" s="1097"/>
    </row>
    <row r="564">
      <c r="A564" s="854"/>
      <c r="AF564" s="1097"/>
    </row>
    <row r="565">
      <c r="A565" s="854"/>
      <c r="AF565" s="1097"/>
    </row>
    <row r="566">
      <c r="A566" s="854"/>
      <c r="AF566" s="1097"/>
    </row>
    <row r="567">
      <c r="A567" s="854"/>
      <c r="AF567" s="1097"/>
    </row>
    <row r="568">
      <c r="A568" s="854"/>
      <c r="AF568" s="1097"/>
    </row>
    <row r="569">
      <c r="A569" s="854"/>
      <c r="AF569" s="1097"/>
    </row>
    <row r="570">
      <c r="A570" s="854"/>
      <c r="AF570" s="1097"/>
    </row>
    <row r="571">
      <c r="A571" s="854"/>
      <c r="AF571" s="1097"/>
    </row>
    <row r="572">
      <c r="A572" s="854"/>
      <c r="AF572" s="1097"/>
    </row>
    <row r="573">
      <c r="A573" s="854"/>
      <c r="AF573" s="1097"/>
    </row>
    <row r="574">
      <c r="A574" s="854"/>
      <c r="AF574" s="1097"/>
    </row>
    <row r="575">
      <c r="A575" s="854"/>
      <c r="AF575" s="1097"/>
    </row>
    <row r="576">
      <c r="A576" s="854"/>
      <c r="AF576" s="1097"/>
    </row>
    <row r="577">
      <c r="A577" s="854"/>
      <c r="AF577" s="1097"/>
    </row>
    <row r="578">
      <c r="A578" s="854"/>
      <c r="AF578" s="1097"/>
    </row>
    <row r="579">
      <c r="A579" s="854"/>
      <c r="AF579" s="1097"/>
    </row>
    <row r="580">
      <c r="A580" s="854"/>
      <c r="AF580" s="1097"/>
    </row>
    <row r="581">
      <c r="A581" s="854"/>
      <c r="AF581" s="1097"/>
    </row>
    <row r="582">
      <c r="A582" s="854"/>
      <c r="AF582" s="1097"/>
    </row>
    <row r="583">
      <c r="A583" s="854"/>
      <c r="AF583" s="1097"/>
    </row>
    <row r="584">
      <c r="A584" s="854"/>
      <c r="AF584" s="1097"/>
    </row>
    <row r="585">
      <c r="A585" s="854"/>
      <c r="AF585" s="1097"/>
    </row>
    <row r="586">
      <c r="A586" s="854"/>
      <c r="AF586" s="1097"/>
    </row>
    <row r="587">
      <c r="A587" s="854"/>
      <c r="AF587" s="1097"/>
    </row>
    <row r="588">
      <c r="A588" s="854"/>
      <c r="AF588" s="1097"/>
    </row>
    <row r="589">
      <c r="A589" s="854"/>
      <c r="AF589" s="1097"/>
    </row>
    <row r="590">
      <c r="A590" s="854"/>
      <c r="AF590" s="1097"/>
    </row>
    <row r="591">
      <c r="A591" s="854"/>
      <c r="AF591" s="1097"/>
    </row>
    <row r="592">
      <c r="A592" s="854"/>
      <c r="AF592" s="1097"/>
    </row>
    <row r="593">
      <c r="A593" s="854"/>
      <c r="AF593" s="1097"/>
    </row>
    <row r="594">
      <c r="A594" s="854"/>
      <c r="AF594" s="1097"/>
    </row>
    <row r="595">
      <c r="A595" s="854"/>
      <c r="AF595" s="1097"/>
    </row>
    <row r="596">
      <c r="A596" s="854"/>
      <c r="AF596" s="1097"/>
    </row>
    <row r="597">
      <c r="A597" s="854"/>
      <c r="AF597" s="1097"/>
    </row>
    <row r="598">
      <c r="A598" s="854"/>
      <c r="AF598" s="1097"/>
    </row>
    <row r="599">
      <c r="A599" s="854"/>
      <c r="AF599" s="1097"/>
    </row>
    <row r="600">
      <c r="A600" s="854"/>
      <c r="AF600" s="1097"/>
    </row>
    <row r="601">
      <c r="A601" s="854"/>
      <c r="AF601" s="1097"/>
    </row>
    <row r="602">
      <c r="A602" s="854"/>
      <c r="AF602" s="1097"/>
    </row>
    <row r="603">
      <c r="A603" s="854"/>
      <c r="AF603" s="1097"/>
    </row>
    <row r="604">
      <c r="A604" s="854"/>
      <c r="AF604" s="1097"/>
    </row>
    <row r="605">
      <c r="A605" s="854"/>
      <c r="AF605" s="1097"/>
    </row>
    <row r="606">
      <c r="A606" s="854"/>
      <c r="AF606" s="1097"/>
    </row>
    <row r="607">
      <c r="A607" s="854"/>
      <c r="AF607" s="1097"/>
    </row>
    <row r="608">
      <c r="A608" s="854"/>
      <c r="AF608" s="1097"/>
    </row>
    <row r="609">
      <c r="A609" s="854"/>
      <c r="AF609" s="1097"/>
    </row>
    <row r="610">
      <c r="A610" s="854"/>
      <c r="AF610" s="1097"/>
    </row>
    <row r="611">
      <c r="A611" s="854"/>
      <c r="AF611" s="1097"/>
    </row>
    <row r="612">
      <c r="A612" s="854"/>
      <c r="AF612" s="1097"/>
    </row>
    <row r="613">
      <c r="A613" s="854"/>
      <c r="AF613" s="1097"/>
    </row>
    <row r="614">
      <c r="A614" s="854"/>
      <c r="AF614" s="1097"/>
    </row>
    <row r="615">
      <c r="A615" s="854"/>
      <c r="AF615" s="1097"/>
    </row>
    <row r="616">
      <c r="A616" s="854"/>
      <c r="AF616" s="1097"/>
    </row>
    <row r="617">
      <c r="A617" s="854"/>
      <c r="AF617" s="1097"/>
    </row>
    <row r="618">
      <c r="A618" s="854"/>
      <c r="AF618" s="1097"/>
    </row>
    <row r="619">
      <c r="A619" s="854"/>
      <c r="AF619" s="1097"/>
    </row>
    <row r="620">
      <c r="A620" s="854"/>
      <c r="AF620" s="1097"/>
    </row>
    <row r="621">
      <c r="A621" s="854"/>
      <c r="AF621" s="1097"/>
    </row>
    <row r="622">
      <c r="A622" s="854"/>
      <c r="AF622" s="1097"/>
    </row>
    <row r="623">
      <c r="A623" s="854"/>
      <c r="AF623" s="1097"/>
    </row>
    <row r="624">
      <c r="A624" s="854"/>
      <c r="AF624" s="1097"/>
    </row>
    <row r="625">
      <c r="A625" s="854"/>
      <c r="AF625" s="1097"/>
    </row>
    <row r="626">
      <c r="A626" s="854"/>
      <c r="AF626" s="1097"/>
    </row>
    <row r="627">
      <c r="A627" s="854"/>
      <c r="AF627" s="1097"/>
    </row>
    <row r="628">
      <c r="A628" s="854"/>
      <c r="AF628" s="1097"/>
    </row>
    <row r="629">
      <c r="A629" s="854"/>
      <c r="AF629" s="1097"/>
    </row>
    <row r="630">
      <c r="A630" s="854"/>
      <c r="AF630" s="1097"/>
    </row>
    <row r="631">
      <c r="A631" s="854"/>
      <c r="AF631" s="1097"/>
    </row>
    <row r="632">
      <c r="A632" s="854"/>
      <c r="AF632" s="1097"/>
    </row>
    <row r="633">
      <c r="A633" s="854"/>
      <c r="AF633" s="1097"/>
    </row>
    <row r="634">
      <c r="A634" s="854"/>
      <c r="AF634" s="1097"/>
    </row>
    <row r="635">
      <c r="A635" s="854"/>
      <c r="AF635" s="1097"/>
    </row>
    <row r="636">
      <c r="A636" s="854"/>
      <c r="AF636" s="1097"/>
    </row>
    <row r="637">
      <c r="A637" s="854"/>
      <c r="AF637" s="1097"/>
    </row>
    <row r="638">
      <c r="A638" s="854"/>
      <c r="AF638" s="1097"/>
    </row>
    <row r="639">
      <c r="A639" s="854"/>
      <c r="AF639" s="1097"/>
    </row>
    <row r="640">
      <c r="A640" s="854"/>
      <c r="AF640" s="1097"/>
    </row>
    <row r="641">
      <c r="A641" s="854"/>
      <c r="AF641" s="1097"/>
    </row>
    <row r="642">
      <c r="A642" s="854"/>
      <c r="AF642" s="1097"/>
    </row>
    <row r="643">
      <c r="A643" s="854"/>
      <c r="AF643" s="1097"/>
    </row>
    <row r="644">
      <c r="A644" s="854"/>
      <c r="AF644" s="1097"/>
    </row>
    <row r="645">
      <c r="A645" s="854"/>
      <c r="AF645" s="1097"/>
    </row>
    <row r="646">
      <c r="A646" s="854"/>
      <c r="AF646" s="1097"/>
    </row>
    <row r="647">
      <c r="A647" s="854"/>
      <c r="AF647" s="1097"/>
    </row>
    <row r="648">
      <c r="A648" s="854"/>
      <c r="AF648" s="1097"/>
    </row>
    <row r="649">
      <c r="A649" s="854"/>
      <c r="AF649" s="1097"/>
    </row>
    <row r="650">
      <c r="A650" s="854"/>
      <c r="AF650" s="1097"/>
    </row>
    <row r="651">
      <c r="A651" s="854"/>
      <c r="AF651" s="1097"/>
    </row>
    <row r="652">
      <c r="A652" s="854"/>
      <c r="AF652" s="1097"/>
    </row>
    <row r="653">
      <c r="A653" s="854"/>
      <c r="AF653" s="1097"/>
    </row>
    <row r="654">
      <c r="A654" s="854"/>
      <c r="AF654" s="1097"/>
    </row>
    <row r="655">
      <c r="A655" s="854"/>
      <c r="AF655" s="1097"/>
    </row>
    <row r="656">
      <c r="A656" s="854"/>
      <c r="AF656" s="1097"/>
    </row>
    <row r="657">
      <c r="A657" s="854"/>
      <c r="AF657" s="1097"/>
    </row>
    <row r="658">
      <c r="A658" s="854"/>
      <c r="AF658" s="1097"/>
    </row>
    <row r="659">
      <c r="A659" s="854"/>
      <c r="AF659" s="1097"/>
    </row>
    <row r="660">
      <c r="A660" s="854"/>
      <c r="AF660" s="1097"/>
    </row>
    <row r="661">
      <c r="A661" s="854"/>
      <c r="AF661" s="1097"/>
    </row>
    <row r="662">
      <c r="A662" s="854"/>
      <c r="AF662" s="1097"/>
    </row>
    <row r="663">
      <c r="A663" s="854"/>
      <c r="AF663" s="1097"/>
    </row>
    <row r="664">
      <c r="A664" s="854"/>
      <c r="AF664" s="1097"/>
    </row>
    <row r="665">
      <c r="A665" s="854"/>
      <c r="AF665" s="1097"/>
    </row>
    <row r="666">
      <c r="A666" s="854"/>
      <c r="AF666" s="1097"/>
    </row>
    <row r="667">
      <c r="A667" s="854"/>
      <c r="AF667" s="1097"/>
    </row>
    <row r="668">
      <c r="A668" s="854"/>
      <c r="AF668" s="1097"/>
    </row>
    <row r="669">
      <c r="A669" s="854"/>
      <c r="AF669" s="1097"/>
    </row>
    <row r="670">
      <c r="A670" s="854"/>
      <c r="AF670" s="1097"/>
    </row>
    <row r="671">
      <c r="A671" s="854"/>
      <c r="AF671" s="1097"/>
    </row>
    <row r="672">
      <c r="A672" s="854"/>
      <c r="AF672" s="1097"/>
    </row>
    <row r="673">
      <c r="A673" s="854"/>
      <c r="AF673" s="1097"/>
    </row>
    <row r="674">
      <c r="A674" s="854"/>
      <c r="AF674" s="1097"/>
    </row>
    <row r="675">
      <c r="A675" s="854"/>
      <c r="AF675" s="1097"/>
    </row>
    <row r="676">
      <c r="A676" s="854"/>
      <c r="AF676" s="1097"/>
    </row>
    <row r="677">
      <c r="A677" s="854"/>
      <c r="AF677" s="1097"/>
    </row>
    <row r="678">
      <c r="A678" s="854"/>
      <c r="AF678" s="1097"/>
    </row>
    <row r="679">
      <c r="A679" s="854"/>
      <c r="AF679" s="1097"/>
    </row>
    <row r="680">
      <c r="A680" s="854"/>
      <c r="AF680" s="1097"/>
    </row>
    <row r="681">
      <c r="A681" s="854"/>
      <c r="AF681" s="1097"/>
    </row>
    <row r="682">
      <c r="A682" s="854"/>
      <c r="AF682" s="1097"/>
    </row>
    <row r="683">
      <c r="A683" s="854"/>
      <c r="AF683" s="1097"/>
    </row>
    <row r="684">
      <c r="A684" s="854"/>
      <c r="AF684" s="1097"/>
    </row>
    <row r="685">
      <c r="A685" s="854"/>
      <c r="AF685" s="1097"/>
    </row>
    <row r="686">
      <c r="A686" s="854"/>
      <c r="AF686" s="1097"/>
    </row>
    <row r="687">
      <c r="A687" s="854"/>
      <c r="AF687" s="1097"/>
    </row>
    <row r="688">
      <c r="A688" s="854"/>
      <c r="AF688" s="1097"/>
    </row>
    <row r="689">
      <c r="A689" s="854"/>
      <c r="AF689" s="1097"/>
    </row>
    <row r="690">
      <c r="A690" s="854"/>
      <c r="AF690" s="1097"/>
    </row>
    <row r="691">
      <c r="A691" s="854"/>
      <c r="AF691" s="1097"/>
    </row>
    <row r="692">
      <c r="A692" s="854"/>
      <c r="AF692" s="1097"/>
    </row>
    <row r="693">
      <c r="A693" s="854"/>
      <c r="AF693" s="1097"/>
    </row>
    <row r="694">
      <c r="A694" s="854"/>
      <c r="AF694" s="1097"/>
    </row>
    <row r="695">
      <c r="A695" s="854"/>
      <c r="AF695" s="1097"/>
    </row>
    <row r="696">
      <c r="A696" s="854"/>
      <c r="AF696" s="1097"/>
    </row>
    <row r="697">
      <c r="A697" s="854"/>
      <c r="AF697" s="1097"/>
    </row>
    <row r="698">
      <c r="A698" s="854"/>
      <c r="AF698" s="1097"/>
    </row>
    <row r="699">
      <c r="A699" s="854"/>
      <c r="AF699" s="1097"/>
    </row>
    <row r="700">
      <c r="A700" s="854"/>
      <c r="AF700" s="1097"/>
    </row>
    <row r="701">
      <c r="A701" s="854"/>
      <c r="AF701" s="1097"/>
    </row>
    <row r="702">
      <c r="A702" s="854"/>
      <c r="AF702" s="1097"/>
    </row>
    <row r="703">
      <c r="A703" s="854"/>
      <c r="AF703" s="1097"/>
    </row>
    <row r="704">
      <c r="A704" s="854"/>
      <c r="AF704" s="1097"/>
    </row>
    <row r="705">
      <c r="A705" s="854"/>
      <c r="AF705" s="1097"/>
    </row>
    <row r="706">
      <c r="A706" s="854"/>
      <c r="AF706" s="1097"/>
    </row>
    <row r="707">
      <c r="A707" s="854"/>
      <c r="AF707" s="1097"/>
    </row>
    <row r="708">
      <c r="A708" s="854"/>
      <c r="AF708" s="1097"/>
    </row>
    <row r="709">
      <c r="A709" s="854"/>
      <c r="AF709" s="1097"/>
    </row>
    <row r="710">
      <c r="A710" s="854"/>
      <c r="AF710" s="1097"/>
    </row>
    <row r="711">
      <c r="A711" s="854"/>
      <c r="AF711" s="1097"/>
    </row>
    <row r="712">
      <c r="A712" s="854"/>
      <c r="AF712" s="1097"/>
    </row>
    <row r="713">
      <c r="A713" s="854"/>
      <c r="AF713" s="1097"/>
    </row>
    <row r="714">
      <c r="A714" s="854"/>
      <c r="AF714" s="1097"/>
    </row>
    <row r="715">
      <c r="A715" s="854"/>
      <c r="AF715" s="1097"/>
    </row>
    <row r="716">
      <c r="A716" s="854"/>
      <c r="AF716" s="1097"/>
    </row>
    <row r="717">
      <c r="A717" s="854"/>
      <c r="AF717" s="1097"/>
    </row>
    <row r="718">
      <c r="A718" s="854"/>
      <c r="AF718" s="1097"/>
    </row>
    <row r="719">
      <c r="A719" s="854"/>
      <c r="AF719" s="1097"/>
    </row>
    <row r="720">
      <c r="A720" s="854"/>
      <c r="AF720" s="1097"/>
    </row>
    <row r="721">
      <c r="A721" s="854"/>
      <c r="AF721" s="1097"/>
    </row>
    <row r="722">
      <c r="A722" s="854"/>
      <c r="AF722" s="1097"/>
    </row>
    <row r="723">
      <c r="A723" s="854"/>
      <c r="AF723" s="1097"/>
    </row>
    <row r="724">
      <c r="A724" s="854"/>
      <c r="AF724" s="1097"/>
    </row>
    <row r="725">
      <c r="A725" s="854"/>
      <c r="AF725" s="1097"/>
    </row>
    <row r="726">
      <c r="A726" s="854"/>
      <c r="AF726" s="1097"/>
    </row>
    <row r="727">
      <c r="A727" s="854"/>
      <c r="AF727" s="1097"/>
    </row>
    <row r="728">
      <c r="A728" s="854"/>
      <c r="AF728" s="1097"/>
    </row>
    <row r="729">
      <c r="A729" s="854"/>
      <c r="AF729" s="1097"/>
    </row>
    <row r="730">
      <c r="A730" s="854"/>
      <c r="AF730" s="1097"/>
    </row>
    <row r="731">
      <c r="A731" s="854"/>
      <c r="AF731" s="1097"/>
    </row>
    <row r="732">
      <c r="A732" s="854"/>
      <c r="AF732" s="1097"/>
    </row>
    <row r="733">
      <c r="A733" s="854"/>
      <c r="AF733" s="1097"/>
    </row>
    <row r="734">
      <c r="A734" s="854"/>
      <c r="AF734" s="1097"/>
    </row>
    <row r="735">
      <c r="A735" s="854"/>
      <c r="AF735" s="1097"/>
    </row>
    <row r="736">
      <c r="A736" s="854"/>
      <c r="AF736" s="1097"/>
    </row>
    <row r="737">
      <c r="A737" s="854"/>
      <c r="AF737" s="1097"/>
    </row>
    <row r="738">
      <c r="A738" s="854"/>
      <c r="AF738" s="1097"/>
    </row>
    <row r="739">
      <c r="A739" s="854"/>
      <c r="AF739" s="1097"/>
    </row>
    <row r="740">
      <c r="A740" s="854"/>
      <c r="AF740" s="1097"/>
    </row>
    <row r="741">
      <c r="A741" s="854"/>
      <c r="AF741" s="1097"/>
    </row>
    <row r="742">
      <c r="A742" s="854"/>
      <c r="AF742" s="1097"/>
    </row>
    <row r="743">
      <c r="A743" s="854"/>
      <c r="AF743" s="1097"/>
    </row>
    <row r="744">
      <c r="A744" s="854"/>
      <c r="AF744" s="1097"/>
    </row>
    <row r="745">
      <c r="A745" s="854"/>
      <c r="AF745" s="1097"/>
    </row>
    <row r="746">
      <c r="A746" s="854"/>
      <c r="AF746" s="1097"/>
    </row>
    <row r="747">
      <c r="A747" s="854"/>
      <c r="AF747" s="1097"/>
    </row>
    <row r="748">
      <c r="A748" s="854"/>
      <c r="AF748" s="1097"/>
    </row>
    <row r="749">
      <c r="A749" s="854"/>
      <c r="AF749" s="1097"/>
    </row>
    <row r="750">
      <c r="A750" s="854"/>
      <c r="AF750" s="1097"/>
    </row>
    <row r="751">
      <c r="A751" s="854"/>
      <c r="AF751" s="1097"/>
    </row>
    <row r="752">
      <c r="A752" s="854"/>
      <c r="AF752" s="1097"/>
    </row>
    <row r="753">
      <c r="A753" s="854"/>
      <c r="AF753" s="1097"/>
    </row>
    <row r="754">
      <c r="A754" s="854"/>
      <c r="AF754" s="1097"/>
    </row>
    <row r="755">
      <c r="A755" s="854"/>
      <c r="AF755" s="1097"/>
    </row>
    <row r="756">
      <c r="A756" s="854"/>
      <c r="AF756" s="1097"/>
    </row>
    <row r="757">
      <c r="A757" s="854"/>
      <c r="AF757" s="1097"/>
    </row>
    <row r="758">
      <c r="A758" s="854"/>
      <c r="AF758" s="1097"/>
    </row>
    <row r="759">
      <c r="A759" s="854"/>
      <c r="AF759" s="1097"/>
    </row>
    <row r="760">
      <c r="A760" s="854"/>
      <c r="AF760" s="1097"/>
    </row>
    <row r="761">
      <c r="A761" s="854"/>
      <c r="AF761" s="1097"/>
    </row>
    <row r="762">
      <c r="A762" s="854"/>
      <c r="AF762" s="1097"/>
    </row>
    <row r="763">
      <c r="A763" s="854"/>
      <c r="AF763" s="1097"/>
    </row>
    <row r="764">
      <c r="A764" s="854"/>
      <c r="AF764" s="1097"/>
    </row>
    <row r="765">
      <c r="A765" s="854"/>
      <c r="AF765" s="1097"/>
    </row>
    <row r="766">
      <c r="A766" s="854"/>
      <c r="AF766" s="1097"/>
    </row>
    <row r="767">
      <c r="A767" s="854"/>
      <c r="AF767" s="1097"/>
    </row>
    <row r="768">
      <c r="A768" s="854"/>
      <c r="AF768" s="1097"/>
    </row>
    <row r="769">
      <c r="A769" s="854"/>
      <c r="AF769" s="1097"/>
    </row>
    <row r="770">
      <c r="A770" s="854"/>
      <c r="AF770" s="1097"/>
    </row>
    <row r="771">
      <c r="A771" s="854"/>
      <c r="AF771" s="1097"/>
    </row>
    <row r="772">
      <c r="A772" s="854"/>
      <c r="AF772" s="1097"/>
    </row>
    <row r="773">
      <c r="A773" s="854"/>
      <c r="AF773" s="1097"/>
    </row>
    <row r="774">
      <c r="A774" s="854"/>
      <c r="AF774" s="1097"/>
    </row>
    <row r="775">
      <c r="A775" s="854"/>
      <c r="AF775" s="1097"/>
    </row>
    <row r="776">
      <c r="A776" s="854"/>
      <c r="AF776" s="1097"/>
    </row>
    <row r="777">
      <c r="A777" s="854"/>
      <c r="AF777" s="1097"/>
    </row>
    <row r="778">
      <c r="A778" s="854"/>
      <c r="AF778" s="1097"/>
    </row>
    <row r="779">
      <c r="A779" s="854"/>
      <c r="AF779" s="1097"/>
    </row>
    <row r="780">
      <c r="A780" s="854"/>
      <c r="AF780" s="1097"/>
    </row>
    <row r="781">
      <c r="A781" s="854"/>
      <c r="AF781" s="1097"/>
    </row>
    <row r="782">
      <c r="A782" s="854"/>
      <c r="AF782" s="1097"/>
    </row>
    <row r="783">
      <c r="A783" s="854"/>
      <c r="AF783" s="1097"/>
    </row>
    <row r="784">
      <c r="A784" s="854"/>
      <c r="AF784" s="1097"/>
    </row>
    <row r="785">
      <c r="A785" s="854"/>
      <c r="AF785" s="1097"/>
    </row>
    <row r="786">
      <c r="A786" s="854"/>
      <c r="AF786" s="1097"/>
    </row>
    <row r="787">
      <c r="A787" s="854"/>
      <c r="AF787" s="1097"/>
    </row>
    <row r="788">
      <c r="A788" s="854"/>
      <c r="AF788" s="1097"/>
    </row>
    <row r="789">
      <c r="A789" s="854"/>
      <c r="AF789" s="1097"/>
    </row>
    <row r="790">
      <c r="A790" s="854"/>
      <c r="AF790" s="1097"/>
    </row>
    <row r="791">
      <c r="A791" s="854"/>
      <c r="AF791" s="1097"/>
    </row>
    <row r="792">
      <c r="A792" s="854"/>
      <c r="AF792" s="1097"/>
    </row>
    <row r="793">
      <c r="A793" s="854"/>
      <c r="AF793" s="1097"/>
    </row>
    <row r="794">
      <c r="A794" s="854"/>
      <c r="AF794" s="1097"/>
    </row>
    <row r="795">
      <c r="A795" s="854"/>
      <c r="AF795" s="1097"/>
    </row>
    <row r="796">
      <c r="A796" s="854"/>
      <c r="AF796" s="1097"/>
    </row>
    <row r="797">
      <c r="A797" s="854"/>
      <c r="AF797" s="1097"/>
    </row>
    <row r="798">
      <c r="A798" s="854"/>
      <c r="AF798" s="1097"/>
    </row>
    <row r="799">
      <c r="A799" s="854"/>
      <c r="AF799" s="1097"/>
    </row>
    <row r="800">
      <c r="A800" s="854"/>
      <c r="AF800" s="1097"/>
    </row>
    <row r="801">
      <c r="A801" s="854"/>
      <c r="AF801" s="1097"/>
    </row>
    <row r="802">
      <c r="A802" s="854"/>
      <c r="AF802" s="1097"/>
    </row>
    <row r="803">
      <c r="A803" s="854"/>
      <c r="AF803" s="1097"/>
    </row>
    <row r="804">
      <c r="A804" s="854"/>
      <c r="AF804" s="1097"/>
    </row>
    <row r="805">
      <c r="A805" s="854"/>
      <c r="AF805" s="1097"/>
    </row>
    <row r="806">
      <c r="A806" s="854"/>
      <c r="AF806" s="1097"/>
    </row>
    <row r="807">
      <c r="A807" s="854"/>
      <c r="AF807" s="1097"/>
    </row>
    <row r="808">
      <c r="A808" s="854"/>
      <c r="AF808" s="1097"/>
    </row>
    <row r="809">
      <c r="A809" s="854"/>
      <c r="AF809" s="1097"/>
    </row>
    <row r="810">
      <c r="A810" s="854"/>
      <c r="AF810" s="1097"/>
    </row>
    <row r="811">
      <c r="A811" s="854"/>
      <c r="AF811" s="1097"/>
    </row>
    <row r="812">
      <c r="A812" s="854"/>
      <c r="AF812" s="1097"/>
    </row>
    <row r="813">
      <c r="A813" s="854"/>
      <c r="AF813" s="1097"/>
    </row>
    <row r="814">
      <c r="A814" s="854"/>
      <c r="AF814" s="1097"/>
    </row>
    <row r="815">
      <c r="A815" s="854"/>
      <c r="AF815" s="1097"/>
    </row>
    <row r="816">
      <c r="A816" s="854"/>
      <c r="AF816" s="1097"/>
    </row>
    <row r="817">
      <c r="A817" s="854"/>
      <c r="AF817" s="1097"/>
    </row>
    <row r="818">
      <c r="A818" s="854"/>
      <c r="AF818" s="1097"/>
    </row>
    <row r="819">
      <c r="A819" s="854"/>
      <c r="AF819" s="1097"/>
    </row>
    <row r="820">
      <c r="A820" s="854"/>
      <c r="AF820" s="1097"/>
    </row>
    <row r="821">
      <c r="A821" s="854"/>
      <c r="AF821" s="1097"/>
    </row>
    <row r="822">
      <c r="A822" s="854"/>
      <c r="AF822" s="1097"/>
    </row>
    <row r="823">
      <c r="A823" s="854"/>
      <c r="AF823" s="1097"/>
    </row>
    <row r="824">
      <c r="A824" s="854"/>
      <c r="AF824" s="1097"/>
    </row>
    <row r="825">
      <c r="A825" s="854"/>
      <c r="AF825" s="1097"/>
    </row>
    <row r="826">
      <c r="A826" s="854"/>
      <c r="AF826" s="1097"/>
    </row>
    <row r="827">
      <c r="A827" s="854"/>
      <c r="AF827" s="1097"/>
    </row>
    <row r="828">
      <c r="A828" s="854"/>
      <c r="AF828" s="1097"/>
    </row>
    <row r="829">
      <c r="A829" s="854"/>
      <c r="AF829" s="1097"/>
    </row>
    <row r="830">
      <c r="A830" s="854"/>
      <c r="AF830" s="1097"/>
    </row>
    <row r="831">
      <c r="A831" s="854"/>
      <c r="AF831" s="1097"/>
    </row>
    <row r="832">
      <c r="A832" s="854"/>
      <c r="AF832" s="1097"/>
    </row>
    <row r="833">
      <c r="A833" s="854"/>
      <c r="AF833" s="1097"/>
    </row>
    <row r="834">
      <c r="A834" s="854"/>
      <c r="AF834" s="1097"/>
    </row>
    <row r="835">
      <c r="A835" s="854"/>
      <c r="AF835" s="1097"/>
    </row>
    <row r="836">
      <c r="A836" s="854"/>
      <c r="AF836" s="1097"/>
    </row>
    <row r="837">
      <c r="A837" s="854"/>
      <c r="AF837" s="1097"/>
    </row>
    <row r="838">
      <c r="A838" s="854"/>
      <c r="AF838" s="1097"/>
    </row>
    <row r="839">
      <c r="A839" s="854"/>
      <c r="AF839" s="1097"/>
    </row>
    <row r="840">
      <c r="A840" s="854"/>
      <c r="AF840" s="1097"/>
    </row>
    <row r="841">
      <c r="A841" s="854"/>
      <c r="AF841" s="1097"/>
    </row>
    <row r="842">
      <c r="A842" s="854"/>
      <c r="AF842" s="1097"/>
    </row>
    <row r="843">
      <c r="A843" s="854"/>
      <c r="AF843" s="1097"/>
    </row>
    <row r="844">
      <c r="A844" s="854"/>
      <c r="AF844" s="1097"/>
    </row>
    <row r="845">
      <c r="A845" s="854"/>
      <c r="AF845" s="1097"/>
    </row>
    <row r="846">
      <c r="A846" s="854"/>
      <c r="AF846" s="1097"/>
    </row>
    <row r="847">
      <c r="A847" s="854"/>
      <c r="AF847" s="1097"/>
    </row>
    <row r="848">
      <c r="A848" s="854"/>
      <c r="AF848" s="1097"/>
    </row>
    <row r="849">
      <c r="A849" s="854"/>
      <c r="AF849" s="1097"/>
    </row>
    <row r="850">
      <c r="A850" s="854"/>
      <c r="AF850" s="1097"/>
    </row>
    <row r="851">
      <c r="A851" s="854"/>
      <c r="AF851" s="1097"/>
    </row>
    <row r="852">
      <c r="A852" s="854"/>
      <c r="AF852" s="1097"/>
    </row>
    <row r="853">
      <c r="A853" s="854"/>
      <c r="AF853" s="1097"/>
    </row>
    <row r="854">
      <c r="A854" s="854"/>
      <c r="AF854" s="1097"/>
    </row>
    <row r="855">
      <c r="A855" s="854"/>
      <c r="AF855" s="1097"/>
    </row>
    <row r="856">
      <c r="A856" s="854"/>
      <c r="AF856" s="1097"/>
    </row>
    <row r="857">
      <c r="A857" s="854"/>
      <c r="AF857" s="1097"/>
    </row>
    <row r="858">
      <c r="A858" s="854"/>
      <c r="AF858" s="1097"/>
    </row>
    <row r="859">
      <c r="A859" s="854"/>
      <c r="AF859" s="1097"/>
    </row>
    <row r="860">
      <c r="A860" s="854"/>
      <c r="AF860" s="1097"/>
    </row>
    <row r="861">
      <c r="A861" s="854"/>
      <c r="AF861" s="1097"/>
    </row>
    <row r="862">
      <c r="A862" s="854"/>
      <c r="AF862" s="1097"/>
    </row>
    <row r="863">
      <c r="A863" s="854"/>
      <c r="AF863" s="1097"/>
    </row>
    <row r="864">
      <c r="A864" s="854"/>
      <c r="AF864" s="1097"/>
    </row>
    <row r="865">
      <c r="A865" s="854"/>
      <c r="AF865" s="1097"/>
    </row>
    <row r="866">
      <c r="A866" s="854"/>
      <c r="AF866" s="1097"/>
    </row>
    <row r="867">
      <c r="A867" s="854"/>
      <c r="AF867" s="1097"/>
    </row>
    <row r="868">
      <c r="A868" s="854"/>
      <c r="AF868" s="1097"/>
    </row>
    <row r="869">
      <c r="A869" s="854"/>
      <c r="AF869" s="1097"/>
    </row>
    <row r="870">
      <c r="A870" s="854"/>
      <c r="AF870" s="1097"/>
    </row>
    <row r="871">
      <c r="A871" s="854"/>
      <c r="AF871" s="1097"/>
    </row>
    <row r="872">
      <c r="A872" s="854"/>
      <c r="AF872" s="1097"/>
    </row>
    <row r="873">
      <c r="A873" s="854"/>
      <c r="AF873" s="1097"/>
    </row>
    <row r="874">
      <c r="A874" s="854"/>
      <c r="AF874" s="1097"/>
    </row>
    <row r="875">
      <c r="A875" s="854"/>
      <c r="AF875" s="1097"/>
    </row>
    <row r="876">
      <c r="A876" s="854"/>
      <c r="AF876" s="1097"/>
    </row>
    <row r="877">
      <c r="A877" s="854"/>
      <c r="AF877" s="1097"/>
    </row>
    <row r="878">
      <c r="A878" s="854"/>
      <c r="AF878" s="1097"/>
    </row>
    <row r="879">
      <c r="A879" s="854"/>
      <c r="AF879" s="1097"/>
    </row>
    <row r="880">
      <c r="A880" s="854"/>
      <c r="AF880" s="1097"/>
    </row>
    <row r="881">
      <c r="A881" s="854"/>
      <c r="AF881" s="1097"/>
    </row>
    <row r="882">
      <c r="A882" s="854"/>
      <c r="AF882" s="1097"/>
    </row>
    <row r="883">
      <c r="A883" s="854"/>
      <c r="AF883" s="1097"/>
    </row>
    <row r="884">
      <c r="A884" s="854"/>
      <c r="AF884" s="1097"/>
    </row>
    <row r="885">
      <c r="A885" s="854"/>
      <c r="AF885" s="1097"/>
    </row>
    <row r="886">
      <c r="A886" s="854"/>
      <c r="AF886" s="1097"/>
    </row>
    <row r="887">
      <c r="A887" s="854"/>
      <c r="AF887" s="1097"/>
    </row>
    <row r="888">
      <c r="A888" s="854"/>
      <c r="AF888" s="1097"/>
    </row>
    <row r="889">
      <c r="A889" s="854"/>
      <c r="AF889" s="1097"/>
    </row>
    <row r="890">
      <c r="A890" s="854"/>
      <c r="AF890" s="1097"/>
    </row>
    <row r="891">
      <c r="A891" s="854"/>
      <c r="AF891" s="1097"/>
    </row>
    <row r="892">
      <c r="A892" s="854"/>
      <c r="AF892" s="1097"/>
    </row>
    <row r="893">
      <c r="A893" s="854"/>
      <c r="AF893" s="1097"/>
    </row>
    <row r="894">
      <c r="A894" s="854"/>
      <c r="AF894" s="1097"/>
    </row>
    <row r="895">
      <c r="A895" s="854"/>
      <c r="AF895" s="1097"/>
    </row>
    <row r="896">
      <c r="A896" s="854"/>
      <c r="AF896" s="1097"/>
    </row>
    <row r="897">
      <c r="A897" s="854"/>
      <c r="AF897" s="1097"/>
    </row>
    <row r="898">
      <c r="A898" s="854"/>
      <c r="AF898" s="1097"/>
    </row>
    <row r="899">
      <c r="A899" s="854"/>
      <c r="AF899" s="1097"/>
    </row>
    <row r="900">
      <c r="A900" s="854"/>
      <c r="AF900" s="1097"/>
    </row>
    <row r="901">
      <c r="A901" s="854"/>
      <c r="AF901" s="1097"/>
    </row>
    <row r="902">
      <c r="A902" s="854"/>
      <c r="AF902" s="1097"/>
    </row>
    <row r="903">
      <c r="A903" s="854"/>
      <c r="AF903" s="1097"/>
    </row>
    <row r="904">
      <c r="A904" s="854"/>
      <c r="AF904" s="1097"/>
    </row>
    <row r="905">
      <c r="A905" s="854"/>
      <c r="AF905" s="1097"/>
    </row>
    <row r="906">
      <c r="A906" s="854"/>
      <c r="AF906" s="1097"/>
    </row>
    <row r="907">
      <c r="A907" s="854"/>
      <c r="AF907" s="1097"/>
    </row>
    <row r="908">
      <c r="A908" s="854"/>
      <c r="AF908" s="1097"/>
    </row>
    <row r="909">
      <c r="A909" s="854"/>
      <c r="AF909" s="1097"/>
    </row>
    <row r="910">
      <c r="A910" s="854"/>
      <c r="AF910" s="1097"/>
    </row>
    <row r="911">
      <c r="A911" s="854"/>
      <c r="AF911" s="1097"/>
    </row>
    <row r="912">
      <c r="A912" s="854"/>
      <c r="AF912" s="1097"/>
    </row>
    <row r="913">
      <c r="A913" s="854"/>
      <c r="AF913" s="1097"/>
    </row>
    <row r="914">
      <c r="A914" s="854"/>
      <c r="AF914" s="1097"/>
    </row>
    <row r="915">
      <c r="A915" s="854"/>
      <c r="AF915" s="1097"/>
    </row>
    <row r="916">
      <c r="A916" s="854"/>
      <c r="AF916" s="1097"/>
    </row>
    <row r="917">
      <c r="A917" s="854"/>
      <c r="AF917" s="1097"/>
    </row>
    <row r="918">
      <c r="A918" s="854"/>
      <c r="AF918" s="1097"/>
    </row>
    <row r="919">
      <c r="A919" s="854"/>
      <c r="AF919" s="1097"/>
    </row>
    <row r="920">
      <c r="A920" s="854"/>
      <c r="AF920" s="1097"/>
    </row>
    <row r="921">
      <c r="A921" s="854"/>
      <c r="AF921" s="1097"/>
    </row>
    <row r="922">
      <c r="A922" s="854"/>
      <c r="AF922" s="1097"/>
    </row>
    <row r="923">
      <c r="A923" s="854"/>
      <c r="AF923" s="1097"/>
    </row>
    <row r="924">
      <c r="A924" s="854"/>
      <c r="AF924" s="1097"/>
    </row>
    <row r="925">
      <c r="A925" s="854"/>
      <c r="AF925" s="1097"/>
    </row>
    <row r="926">
      <c r="A926" s="854"/>
      <c r="AF926" s="1097"/>
    </row>
    <row r="927">
      <c r="A927" s="854"/>
      <c r="AF927" s="1097"/>
    </row>
    <row r="928">
      <c r="A928" s="854"/>
      <c r="AF928" s="1097"/>
    </row>
    <row r="929">
      <c r="A929" s="854"/>
      <c r="AF929" s="1097"/>
    </row>
    <row r="930">
      <c r="A930" s="854"/>
      <c r="AF930" s="1097"/>
    </row>
    <row r="931">
      <c r="A931" s="854"/>
      <c r="AF931" s="1097"/>
    </row>
    <row r="932">
      <c r="A932" s="854"/>
      <c r="AF932" s="1097"/>
    </row>
    <row r="933">
      <c r="A933" s="854"/>
      <c r="AF933" s="1097"/>
    </row>
    <row r="934">
      <c r="A934" s="854"/>
      <c r="AF934" s="1097"/>
    </row>
    <row r="935">
      <c r="A935" s="854"/>
      <c r="AF935" s="1097"/>
    </row>
    <row r="936">
      <c r="A936" s="854"/>
      <c r="AF936" s="1097"/>
    </row>
    <row r="937">
      <c r="A937" s="854"/>
      <c r="AF937" s="1097"/>
    </row>
    <row r="938">
      <c r="A938" s="854"/>
      <c r="AF938" s="1097"/>
    </row>
    <row r="939">
      <c r="A939" s="854"/>
      <c r="AF939" s="1097"/>
    </row>
    <row r="940">
      <c r="A940" s="854"/>
      <c r="AF940" s="1097"/>
    </row>
    <row r="941">
      <c r="A941" s="854"/>
      <c r="AF941" s="1097"/>
    </row>
    <row r="942">
      <c r="A942" s="854"/>
      <c r="AF942" s="1097"/>
    </row>
    <row r="943">
      <c r="A943" s="854"/>
      <c r="AF943" s="1097"/>
    </row>
    <row r="944">
      <c r="A944" s="854"/>
      <c r="AF944" s="1097"/>
    </row>
    <row r="945">
      <c r="A945" s="854"/>
      <c r="AF945" s="1097"/>
    </row>
    <row r="946">
      <c r="A946" s="854"/>
      <c r="AF946" s="1097"/>
    </row>
    <row r="947">
      <c r="A947" s="854"/>
      <c r="AF947" s="1097"/>
    </row>
    <row r="948">
      <c r="A948" s="854"/>
      <c r="AF948" s="1097"/>
    </row>
    <row r="949">
      <c r="A949" s="854"/>
      <c r="AF949" s="1097"/>
    </row>
    <row r="950">
      <c r="A950" s="854"/>
      <c r="AF950" s="1097"/>
    </row>
    <row r="951">
      <c r="A951" s="854"/>
      <c r="AF951" s="1097"/>
    </row>
    <row r="952">
      <c r="A952" s="854"/>
      <c r="AF952" s="1097"/>
    </row>
    <row r="953">
      <c r="A953" s="854"/>
      <c r="AF953" s="1097"/>
    </row>
    <row r="954">
      <c r="A954" s="854"/>
      <c r="AF954" s="1097"/>
    </row>
    <row r="955">
      <c r="A955" s="854"/>
      <c r="AF955" s="1097"/>
    </row>
    <row r="956">
      <c r="A956" s="854"/>
      <c r="AF956" s="1097"/>
    </row>
    <row r="957">
      <c r="A957" s="854"/>
      <c r="AF957" s="1097"/>
    </row>
    <row r="958">
      <c r="A958" s="854"/>
      <c r="AF958" s="1097"/>
    </row>
    <row r="959">
      <c r="A959" s="854"/>
      <c r="AF959" s="1097"/>
    </row>
    <row r="960">
      <c r="A960" s="854"/>
      <c r="AF960" s="1097"/>
    </row>
    <row r="961">
      <c r="A961" s="854"/>
      <c r="AF961" s="1097"/>
    </row>
    <row r="962">
      <c r="A962" s="854"/>
      <c r="AF962" s="1097"/>
    </row>
    <row r="963">
      <c r="A963" s="854"/>
      <c r="AF963" s="1097"/>
    </row>
    <row r="964">
      <c r="A964" s="854"/>
      <c r="AF964" s="1097"/>
    </row>
    <row r="965">
      <c r="A965" s="854"/>
      <c r="AF965" s="1097"/>
    </row>
    <row r="966">
      <c r="A966" s="854"/>
      <c r="AF966" s="1097"/>
    </row>
    <row r="967">
      <c r="A967" s="854"/>
      <c r="AF967" s="1097"/>
    </row>
    <row r="968">
      <c r="A968" s="854"/>
      <c r="AF968" s="1097"/>
    </row>
    <row r="969">
      <c r="A969" s="854"/>
      <c r="AF969" s="1097"/>
    </row>
    <row r="970">
      <c r="A970" s="854"/>
      <c r="AF970" s="1097"/>
    </row>
    <row r="971">
      <c r="A971" s="854"/>
      <c r="AF971" s="1097"/>
    </row>
    <row r="972">
      <c r="A972" s="854"/>
      <c r="AF972" s="1097"/>
    </row>
    <row r="973">
      <c r="A973" s="854"/>
      <c r="AF973" s="1097"/>
    </row>
    <row r="974">
      <c r="A974" s="854"/>
      <c r="AF974" s="1097"/>
    </row>
  </sheetData>
  <conditionalFormatting sqref="B400:AE400">
    <cfRule type="cellIs" dxfId="1" priority="1" operator="lessThan">
      <formula>0</formula>
    </cfRule>
  </conditionalFormatting>
  <conditionalFormatting sqref="B400:AE400">
    <cfRule type="cellIs" dxfId="3" priority="2" operator="greaterThan">
      <formula>0</formula>
    </cfRule>
  </conditionalFormatting>
  <conditionalFormatting sqref="B319:AE319">
    <cfRule type="colorScale" priority="3">
      <colorScale>
        <cfvo type="min"/>
        <cfvo type="max"/>
        <color rgb="FFFFFFFF"/>
        <color rgb="FFE67C73"/>
      </colorScale>
    </cfRule>
  </conditionalFormatting>
  <conditionalFormatting sqref="B27:AE27">
    <cfRule type="cellIs" dxfId="3" priority="4" operator="greaterThan">
      <formula>0</formula>
    </cfRule>
  </conditionalFormatting>
  <conditionalFormatting sqref="B27:AE27">
    <cfRule type="cellIs" dxfId="1" priority="5" operator="lessThan">
      <formula>0</formula>
    </cfRule>
  </conditionalFormatting>
  <conditionalFormatting sqref="B403:AE403">
    <cfRule type="colorScale" priority="6">
      <colorScale>
        <cfvo type="min"/>
        <cfvo type="max"/>
        <color rgb="FFFFFFFF"/>
        <color rgb="FF57BB8A"/>
      </colorScale>
    </cfRule>
  </conditionalFormatting>
  <conditionalFormatting sqref="B405:AE405">
    <cfRule type="colorScale" priority="7">
      <colorScale>
        <cfvo type="min"/>
        <cfvo type="max"/>
        <color rgb="FFFFFFFF"/>
        <color rgb="FF57BB8A"/>
      </colorScale>
    </cfRule>
  </conditionalFormatting>
  <conditionalFormatting sqref="A28">
    <cfRule type="cellIs" dxfId="4" priority="8" operator="greaterThan">
      <formula>0</formula>
    </cfRule>
  </conditionalFormatting>
  <conditionalFormatting sqref="A28">
    <cfRule type="cellIs" dxfId="1" priority="9" operator="lessThan">
      <formula>0</formula>
    </cfRule>
  </conditionalFormatting>
  <conditionalFormatting sqref="A401">
    <cfRule type="cellIs" dxfId="0" priority="10" operator="greaterThan">
      <formula>0</formula>
    </cfRule>
  </conditionalFormatting>
  <conditionalFormatting sqref="A401">
    <cfRule type="cellIs" dxfId="5" priority="11" operator="lessThan">
      <formula>0</formula>
    </cfRule>
  </conditionalFormatting>
  <conditionalFormatting sqref="B347:AE348 AE358">
    <cfRule type="colorScale" priority="12">
      <colorScale>
        <cfvo type="min"/>
        <cfvo type="max"/>
        <color rgb="FFFFFFFF"/>
        <color rgb="FFE67C73"/>
      </colorScale>
    </cfRule>
  </conditionalFormatting>
  <conditionalFormatting sqref="B349:AE349">
    <cfRule type="colorScale" priority="13">
      <colorScale>
        <cfvo type="min"/>
        <cfvo type="max"/>
        <color rgb="FFFFFFFF"/>
        <color rgb="FFE67C73"/>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1277"/>
      <c r="B1" s="1278"/>
      <c r="C1" s="1279"/>
      <c r="D1" s="1277"/>
      <c r="E1" s="1277"/>
      <c r="F1" s="1279"/>
      <c r="G1" s="1280"/>
      <c r="H1" s="1280"/>
      <c r="I1" s="1280"/>
      <c r="J1" s="1280"/>
    </row>
    <row r="2">
      <c r="A2" s="1281" t="s">
        <v>1131</v>
      </c>
      <c r="B2" s="1282">
        <v>44935.0</v>
      </c>
      <c r="C2" s="1283"/>
      <c r="D2" s="1281" t="s">
        <v>1132</v>
      </c>
      <c r="E2" s="1281" t="s">
        <v>1133</v>
      </c>
      <c r="F2" s="1283"/>
      <c r="G2" s="1284" t="s">
        <v>1135</v>
      </c>
      <c r="H2" s="1109"/>
      <c r="I2" s="1285" t="s">
        <v>1136</v>
      </c>
      <c r="J2" s="1109"/>
    </row>
    <row r="3">
      <c r="A3" s="1286" t="s">
        <v>1137</v>
      </c>
      <c r="B3" s="1287">
        <v>30.0</v>
      </c>
      <c r="C3" s="1288" t="s">
        <v>1138</v>
      </c>
      <c r="D3" s="1289"/>
      <c r="E3" s="1289"/>
      <c r="F3" s="1290"/>
      <c r="G3" s="1291" t="s">
        <v>1139</v>
      </c>
      <c r="H3" s="1292">
        <v>1442794.0</v>
      </c>
      <c r="I3" s="1293" t="s">
        <v>1140</v>
      </c>
      <c r="J3" s="1294">
        <v>58775.0</v>
      </c>
    </row>
    <row r="4">
      <c r="A4" s="1286" t="s">
        <v>1141</v>
      </c>
      <c r="B4" s="1295">
        <f>count('OLD Sales'!B25:AE25)</f>
        <v>30</v>
      </c>
      <c r="C4" s="1296"/>
      <c r="D4" s="703"/>
      <c r="E4" s="703"/>
      <c r="F4" s="708"/>
      <c r="G4" s="1291" t="s">
        <v>1142</v>
      </c>
      <c r="H4" s="1297">
        <v>6922.0</v>
      </c>
      <c r="I4" s="1293" t="s">
        <v>1143</v>
      </c>
      <c r="J4" s="1298">
        <v>230.0</v>
      </c>
    </row>
    <row r="5">
      <c r="A5" s="1299"/>
      <c r="B5" s="1300" t="s">
        <v>1144</v>
      </c>
      <c r="C5" s="1109"/>
      <c r="D5" s="1300" t="s">
        <v>1145</v>
      </c>
      <c r="E5" s="1301"/>
      <c r="F5" s="1109"/>
      <c r="G5" s="1291" t="s">
        <v>1146</v>
      </c>
      <c r="H5" s="1292">
        <v>509669.0</v>
      </c>
      <c r="I5" s="1293" t="s">
        <v>1147</v>
      </c>
      <c r="J5" s="1294">
        <v>16862.0</v>
      </c>
    </row>
    <row r="6">
      <c r="A6" s="1302" t="s">
        <v>1148</v>
      </c>
      <c r="B6" s="1302" t="s">
        <v>1149</v>
      </c>
      <c r="C6" s="1303" t="s">
        <v>1141</v>
      </c>
      <c r="D6" s="1302" t="s">
        <v>1145</v>
      </c>
      <c r="E6" s="1302" t="s">
        <v>1150</v>
      </c>
      <c r="F6" s="1302" t="s">
        <v>1151</v>
      </c>
      <c r="G6" s="1291" t="s">
        <v>1152</v>
      </c>
      <c r="H6" s="1304">
        <v>606911.0</v>
      </c>
      <c r="I6" s="1293" t="s">
        <v>1153</v>
      </c>
      <c r="J6" s="1305">
        <v>20230.0</v>
      </c>
    </row>
    <row r="7">
      <c r="A7" s="1306">
        <v>1.0</v>
      </c>
      <c r="B7" s="1307">
        <f t="shared" ref="B7:B36" si="1">$B$38/$B$3</f>
        <v>48333.33333</v>
      </c>
      <c r="C7" s="1308">
        <f>'OLD Sales'!B23</f>
        <v>20334.68</v>
      </c>
      <c r="D7" s="1309">
        <f t="shared" ref="D7:D36" si="2">C7/$B$4*$B$3</f>
        <v>20334.68</v>
      </c>
      <c r="E7" s="1311">
        <f t="shared" ref="E7:E36" si="3">D7/B7-1</f>
        <v>-0.5792824828</v>
      </c>
      <c r="F7" s="1312">
        <f t="shared" ref="F7:F36" si="4">D7-B7</f>
        <v>-27998.65333</v>
      </c>
      <c r="G7" s="1291" t="s">
        <v>1155</v>
      </c>
      <c r="H7" s="1297">
        <v>3.63</v>
      </c>
      <c r="I7" s="1313"/>
      <c r="J7" s="1313"/>
    </row>
    <row r="8">
      <c r="A8" s="1314">
        <v>2.0</v>
      </c>
      <c r="B8" s="1315">
        <f t="shared" si="1"/>
        <v>48333.33333</v>
      </c>
      <c r="C8" s="1316">
        <f>'OLD Sales'!C23</f>
        <v>26248.33</v>
      </c>
      <c r="D8" s="1309">
        <f t="shared" si="2"/>
        <v>26248.33</v>
      </c>
      <c r="E8" s="1317">
        <f t="shared" si="3"/>
        <v>-0.4569311034</v>
      </c>
      <c r="F8" s="1318">
        <f t="shared" si="4"/>
        <v>-22085.00333</v>
      </c>
      <c r="G8" s="1291" t="s">
        <v>1156</v>
      </c>
      <c r="H8" s="1319">
        <v>0.3</v>
      </c>
      <c r="I8" s="1320"/>
      <c r="J8" s="1313"/>
    </row>
    <row r="9">
      <c r="A9" s="1314">
        <v>3.0</v>
      </c>
      <c r="B9" s="1307">
        <f t="shared" si="1"/>
        <v>48333.33333</v>
      </c>
      <c r="C9" s="1321">
        <f>'OLD Sales'!D23</f>
        <v>35212.91</v>
      </c>
      <c r="D9" s="1309">
        <f t="shared" si="2"/>
        <v>35212.91</v>
      </c>
      <c r="E9" s="1317">
        <f t="shared" si="3"/>
        <v>-0.2714570345</v>
      </c>
      <c r="F9" s="1318">
        <f t="shared" si="4"/>
        <v>-13120.42333</v>
      </c>
      <c r="G9" s="1322" t="s">
        <v>1157</v>
      </c>
      <c r="H9" s="1297" t="s">
        <v>1158</v>
      </c>
      <c r="I9" s="1313"/>
      <c r="J9" s="1313"/>
    </row>
    <row r="10">
      <c r="A10" s="1314">
        <v>4.0</v>
      </c>
      <c r="B10" s="1315">
        <f t="shared" si="1"/>
        <v>48333.33333</v>
      </c>
      <c r="C10" s="1316">
        <f>'OLD Sales'!E23</f>
        <v>44204.27</v>
      </c>
      <c r="D10" s="1309">
        <f t="shared" si="2"/>
        <v>44204.27</v>
      </c>
      <c r="E10" s="1317">
        <f t="shared" si="3"/>
        <v>-0.08542889655</v>
      </c>
      <c r="F10" s="1318">
        <f t="shared" si="4"/>
        <v>-4129.063333</v>
      </c>
      <c r="G10" s="1291" t="s">
        <v>1159</v>
      </c>
      <c r="H10" s="1323">
        <v>256.11</v>
      </c>
      <c r="I10" s="1313"/>
      <c r="J10" s="1313"/>
    </row>
    <row r="11">
      <c r="A11" s="1314">
        <v>5.0</v>
      </c>
      <c r="B11" s="1307">
        <f t="shared" si="1"/>
        <v>48333.33333</v>
      </c>
      <c r="C11" s="1321">
        <f>'OLD Sales'!F23</f>
        <v>37914.23</v>
      </c>
      <c r="D11" s="1309">
        <f t="shared" si="2"/>
        <v>37914.23</v>
      </c>
      <c r="E11" s="1317">
        <f t="shared" si="3"/>
        <v>-0.2155676552</v>
      </c>
      <c r="F11" s="1318">
        <f t="shared" si="4"/>
        <v>-10419.10333</v>
      </c>
    </row>
    <row r="12">
      <c r="A12" s="1314">
        <v>6.0</v>
      </c>
      <c r="B12" s="1315">
        <f t="shared" si="1"/>
        <v>48333.33333</v>
      </c>
      <c r="C12" s="1316">
        <f>'OLD Sales'!G23</f>
        <v>31324.42</v>
      </c>
      <c r="D12" s="1309">
        <f t="shared" si="2"/>
        <v>31324.42</v>
      </c>
      <c r="E12" s="1317">
        <f t="shared" si="3"/>
        <v>-0.3519085517</v>
      </c>
      <c r="F12" s="1318">
        <f t="shared" si="4"/>
        <v>-17008.91333</v>
      </c>
      <c r="G12" s="1324" t="s">
        <v>1160</v>
      </c>
      <c r="H12" s="1325" t="s">
        <v>1161</v>
      </c>
      <c r="I12" s="1325" t="s">
        <v>1162</v>
      </c>
      <c r="J12" s="1326" t="s">
        <v>1163</v>
      </c>
      <c r="K12" s="1280"/>
    </row>
    <row r="13">
      <c r="A13" s="1314">
        <v>7.0</v>
      </c>
      <c r="B13" s="1307">
        <f t="shared" si="1"/>
        <v>48333.33333</v>
      </c>
      <c r="C13" s="1321">
        <f>'OLD Sales'!H23</f>
        <v>21815.05</v>
      </c>
      <c r="D13" s="1309">
        <f t="shared" si="2"/>
        <v>21815.05</v>
      </c>
      <c r="E13" s="1317">
        <f t="shared" si="3"/>
        <v>-0.5486541379</v>
      </c>
      <c r="F13" s="1318">
        <f t="shared" si="4"/>
        <v>-26518.28333</v>
      </c>
      <c r="G13" s="1327" t="s">
        <v>1164</v>
      </c>
      <c r="H13" s="1328">
        <v>1450000.0</v>
      </c>
      <c r="I13" s="1329">
        <f>C38</f>
        <v>1050842.27</v>
      </c>
      <c r="J13" s="1330">
        <f t="shared" ref="J13:J20" si="5">I13/H13-1</f>
        <v>-0.2752811931</v>
      </c>
    </row>
    <row r="14">
      <c r="A14" s="1314">
        <v>8.0</v>
      </c>
      <c r="B14" s="1315">
        <f t="shared" si="1"/>
        <v>48333.33333</v>
      </c>
      <c r="C14" s="1316">
        <f>'OLD Sales'!I23</f>
        <v>22652.62</v>
      </c>
      <c r="D14" s="1309">
        <f t="shared" si="2"/>
        <v>22652.62</v>
      </c>
      <c r="E14" s="1317">
        <f t="shared" si="3"/>
        <v>-0.5313251034</v>
      </c>
      <c r="F14" s="1318">
        <f t="shared" si="4"/>
        <v>-25680.71333</v>
      </c>
      <c r="G14" s="1327" t="s">
        <v>1167</v>
      </c>
      <c r="H14" s="1331">
        <v>5400.0</v>
      </c>
      <c r="I14" s="1332">
        <f>sum('OLD Sales'!B25:AE25)</f>
        <v>3813</v>
      </c>
      <c r="J14" s="1330">
        <f t="shared" si="5"/>
        <v>-0.2938888889</v>
      </c>
    </row>
    <row r="15">
      <c r="A15" s="1314">
        <v>9.0</v>
      </c>
      <c r="B15" s="1307">
        <f t="shared" si="1"/>
        <v>48333.33333</v>
      </c>
      <c r="C15" s="1321">
        <f>'OLD Sales'!J23</f>
        <v>28378.24</v>
      </c>
      <c r="D15" s="1309">
        <f t="shared" si="2"/>
        <v>28378.24</v>
      </c>
      <c r="E15" s="1317">
        <f t="shared" si="3"/>
        <v>-0.412864</v>
      </c>
      <c r="F15" s="1318">
        <f t="shared" si="4"/>
        <v>-19955.09333</v>
      </c>
      <c r="G15" s="1327" t="s">
        <v>1168</v>
      </c>
      <c r="H15" s="1328">
        <v>560000.0</v>
      </c>
      <c r="I15" s="1329">
        <f>sum('OLD Sales'!B43:AE43)</f>
        <v>251026.95</v>
      </c>
      <c r="J15" s="1330">
        <f t="shared" si="5"/>
        <v>-0.5517375893</v>
      </c>
    </row>
    <row r="16">
      <c r="A16" s="1314">
        <v>10.0</v>
      </c>
      <c r="B16" s="1315">
        <f t="shared" si="1"/>
        <v>48333.33333</v>
      </c>
      <c r="C16" s="1316">
        <f>'OLD Sales'!K23</f>
        <v>34465.44</v>
      </c>
      <c r="D16" s="1309">
        <f t="shared" si="2"/>
        <v>34465.44</v>
      </c>
      <c r="E16" s="1317">
        <f t="shared" si="3"/>
        <v>-0.286921931</v>
      </c>
      <c r="F16" s="1318">
        <f t="shared" si="4"/>
        <v>-13867.89333</v>
      </c>
      <c r="G16" s="1327" t="s">
        <v>1170</v>
      </c>
      <c r="H16" s="1335">
        <f t="shared" ref="H16:I16" si="6">H13/H15</f>
        <v>2.589285714</v>
      </c>
      <c r="I16" s="1336">
        <f t="shared" si="6"/>
        <v>4.186173118</v>
      </c>
      <c r="J16" s="1330">
        <f t="shared" si="5"/>
        <v>0.6167289284</v>
      </c>
    </row>
    <row r="17">
      <c r="A17" s="1314">
        <v>11.0</v>
      </c>
      <c r="B17" s="1307">
        <f t="shared" si="1"/>
        <v>48333.33333</v>
      </c>
      <c r="C17" s="1321">
        <f>'OLD Sales'!L23</f>
        <v>30203.47</v>
      </c>
      <c r="D17" s="1309">
        <f t="shared" si="2"/>
        <v>30203.47</v>
      </c>
      <c r="E17" s="1317">
        <f t="shared" si="3"/>
        <v>-0.3751006207</v>
      </c>
      <c r="F17" s="1318">
        <f t="shared" si="4"/>
        <v>-18129.86333</v>
      </c>
      <c r="G17" s="1327" t="s">
        <v>1172</v>
      </c>
      <c r="H17" s="1337">
        <f t="shared" ref="H17:I17" si="7">H15/H13</f>
        <v>0.3862068966</v>
      </c>
      <c r="I17" s="1338">
        <f t="shared" si="7"/>
        <v>0.2388816639</v>
      </c>
      <c r="J17" s="1330">
        <f t="shared" si="5"/>
        <v>-0.3814671201</v>
      </c>
    </row>
    <row r="18">
      <c r="A18" s="1314">
        <v>12.0</v>
      </c>
      <c r="B18" s="1315">
        <f t="shared" si="1"/>
        <v>48333.33333</v>
      </c>
      <c r="C18" s="1315">
        <f>'OLD Sales'!M23</f>
        <v>29087.35</v>
      </c>
      <c r="D18" s="1309">
        <f t="shared" si="2"/>
        <v>29087.35</v>
      </c>
      <c r="E18" s="1317">
        <f t="shared" si="3"/>
        <v>-0.3981927586</v>
      </c>
      <c r="F18" s="1318">
        <f t="shared" si="4"/>
        <v>-19245.98333</v>
      </c>
      <c r="G18" s="1327" t="s">
        <v>1173</v>
      </c>
      <c r="H18" s="1339">
        <v>0.0125</v>
      </c>
      <c r="I18" s="1338">
        <f>I14/I20</f>
        <v>0.01486254195</v>
      </c>
      <c r="J18" s="1330">
        <f t="shared" si="5"/>
        <v>0.1890033561</v>
      </c>
    </row>
    <row r="19">
      <c r="A19" s="1314">
        <v>13.0</v>
      </c>
      <c r="B19" s="1307">
        <f t="shared" si="1"/>
        <v>48333.33333</v>
      </c>
      <c r="C19" s="1340">
        <f>'OLD Sales'!N23</f>
        <v>26656.53</v>
      </c>
      <c r="D19" s="1309">
        <f t="shared" si="2"/>
        <v>26656.53</v>
      </c>
      <c r="E19" s="1317">
        <f t="shared" si="3"/>
        <v>-0.4484855862</v>
      </c>
      <c r="F19" s="1318">
        <f t="shared" si="4"/>
        <v>-21676.80333</v>
      </c>
      <c r="G19" s="1327" t="s">
        <v>1174</v>
      </c>
      <c r="H19" s="1341">
        <f t="shared" ref="H19:I19" si="8">H13/H14</f>
        <v>268.5185185</v>
      </c>
      <c r="I19" s="1341">
        <f t="shared" si="8"/>
        <v>275.5946158</v>
      </c>
      <c r="J19" s="1330">
        <f t="shared" si="5"/>
        <v>0.02635236225</v>
      </c>
    </row>
    <row r="20">
      <c r="A20" s="1314">
        <v>14.0</v>
      </c>
      <c r="B20" s="1315">
        <f t="shared" si="1"/>
        <v>48333.33333</v>
      </c>
      <c r="C20" s="1315">
        <f>'OLD Sales'!O23</f>
        <v>32169.4</v>
      </c>
      <c r="D20" s="1309">
        <f t="shared" si="2"/>
        <v>32169.4</v>
      </c>
      <c r="E20" s="1317">
        <f t="shared" si="3"/>
        <v>-0.3344262069</v>
      </c>
      <c r="F20" s="1318">
        <f t="shared" si="4"/>
        <v>-16163.93333</v>
      </c>
      <c r="G20" s="1327" t="s">
        <v>1175</v>
      </c>
      <c r="H20" s="1342">
        <f>H14/H18</f>
        <v>432000</v>
      </c>
      <c r="I20" s="1342">
        <f>sum(C83:C113)</f>
        <v>256551</v>
      </c>
      <c r="J20" s="1330">
        <f t="shared" si="5"/>
        <v>-0.4061319444</v>
      </c>
    </row>
    <row r="21">
      <c r="A21" s="1314">
        <v>15.0</v>
      </c>
      <c r="B21" s="1307">
        <f t="shared" si="1"/>
        <v>48333.33333</v>
      </c>
      <c r="C21" s="1340">
        <f>'OLD Sales'!P23</f>
        <v>27191.81</v>
      </c>
      <c r="D21" s="1309">
        <f t="shared" si="2"/>
        <v>27191.81</v>
      </c>
      <c r="E21" s="1317">
        <f t="shared" si="3"/>
        <v>-0.4374108276</v>
      </c>
      <c r="F21" s="1318">
        <f t="shared" si="4"/>
        <v>-21141.52333</v>
      </c>
      <c r="G21" s="1343"/>
      <c r="H21" s="1280"/>
    </row>
    <row r="22">
      <c r="A22" s="1314">
        <v>16.0</v>
      </c>
      <c r="B22" s="1315">
        <f t="shared" si="1"/>
        <v>48333.33333</v>
      </c>
      <c r="C22" s="1315">
        <f>'OLD Sales'!Q23</f>
        <v>31113.02</v>
      </c>
      <c r="D22" s="1309">
        <f t="shared" si="2"/>
        <v>31113.02</v>
      </c>
      <c r="E22" s="1317">
        <f t="shared" si="3"/>
        <v>-0.3562823448</v>
      </c>
      <c r="F22" s="1318">
        <f t="shared" si="4"/>
        <v>-17220.31333</v>
      </c>
      <c r="G22" s="1344" t="s">
        <v>1177</v>
      </c>
      <c r="H22" s="1345" t="s">
        <v>1178</v>
      </c>
      <c r="I22" s="1346" t="s">
        <v>1179</v>
      </c>
    </row>
    <row r="23">
      <c r="A23" s="1314">
        <v>17.0</v>
      </c>
      <c r="B23" s="1307">
        <f t="shared" si="1"/>
        <v>48333.33333</v>
      </c>
      <c r="C23" s="1340">
        <f>'OLD Sales'!R23</f>
        <v>28720.89</v>
      </c>
      <c r="D23" s="1309">
        <f t="shared" si="2"/>
        <v>28720.89</v>
      </c>
      <c r="E23" s="1317">
        <f t="shared" si="3"/>
        <v>-0.4057746897</v>
      </c>
      <c r="F23" s="1318">
        <f t="shared" si="4"/>
        <v>-19612.44333</v>
      </c>
      <c r="G23" s="1344"/>
      <c r="H23" s="1347"/>
      <c r="I23" s="1348"/>
    </row>
    <row r="24">
      <c r="A24" s="1314">
        <v>18.0</v>
      </c>
      <c r="B24" s="1315">
        <f t="shared" si="1"/>
        <v>48333.33333</v>
      </c>
      <c r="C24" s="1315">
        <f>'OLD Sales'!S23</f>
        <v>70801.26</v>
      </c>
      <c r="D24" s="1309">
        <f t="shared" si="2"/>
        <v>70801.26</v>
      </c>
      <c r="E24" s="1317">
        <f t="shared" si="3"/>
        <v>0.4648536552</v>
      </c>
      <c r="F24" s="1318">
        <f t="shared" si="4"/>
        <v>22467.92667</v>
      </c>
      <c r="G24" s="1344"/>
      <c r="H24" s="1349"/>
      <c r="I24" s="1349"/>
    </row>
    <row r="25">
      <c r="A25" s="1314">
        <v>19.0</v>
      </c>
      <c r="B25" s="1307">
        <f t="shared" si="1"/>
        <v>48333.33333</v>
      </c>
      <c r="C25" s="1340">
        <f>'OLD Sales'!T23</f>
        <v>57377.33</v>
      </c>
      <c r="D25" s="1309">
        <f t="shared" si="2"/>
        <v>57377.33</v>
      </c>
      <c r="E25" s="1317">
        <f t="shared" si="3"/>
        <v>0.1871171724</v>
      </c>
      <c r="F25" s="1318">
        <f t="shared" si="4"/>
        <v>9043.996667</v>
      </c>
      <c r="G25" s="1344"/>
      <c r="H25" s="1350"/>
      <c r="I25" s="1348"/>
    </row>
    <row r="26">
      <c r="A26" s="1314">
        <v>20.0</v>
      </c>
      <c r="B26" s="1315">
        <f t="shared" si="1"/>
        <v>48333.33333</v>
      </c>
      <c r="C26" s="1315">
        <f>'OLD Sales'!U23</f>
        <v>40066.38</v>
      </c>
      <c r="D26" s="1309">
        <f t="shared" si="2"/>
        <v>40066.38</v>
      </c>
      <c r="E26" s="1317">
        <f t="shared" si="3"/>
        <v>-0.1710404138</v>
      </c>
      <c r="F26" s="1318">
        <f t="shared" si="4"/>
        <v>-8266.953333</v>
      </c>
      <c r="G26" s="1351"/>
      <c r="H26" s="1349"/>
      <c r="I26" s="1348"/>
    </row>
    <row r="27">
      <c r="A27" s="1314">
        <v>21.0</v>
      </c>
      <c r="B27" s="1307">
        <f t="shared" si="1"/>
        <v>48333.33333</v>
      </c>
      <c r="C27" s="1340">
        <f>'OLD Sales'!V23</f>
        <v>37145.13</v>
      </c>
      <c r="D27" s="1309">
        <f t="shared" si="2"/>
        <v>37145.13</v>
      </c>
      <c r="E27" s="1317">
        <f t="shared" si="3"/>
        <v>-0.231480069</v>
      </c>
      <c r="F27" s="1318">
        <f t="shared" si="4"/>
        <v>-11188.20333</v>
      </c>
      <c r="G27" s="1351"/>
      <c r="H27" s="1349"/>
      <c r="I27" s="1348"/>
    </row>
    <row r="28">
      <c r="A28" s="1314">
        <v>22.0</v>
      </c>
      <c r="B28" s="1315">
        <f t="shared" si="1"/>
        <v>48333.33333</v>
      </c>
      <c r="C28" s="1315">
        <f>'OLD Sales'!W23</f>
        <v>34149.99</v>
      </c>
      <c r="D28" s="1309">
        <f t="shared" si="2"/>
        <v>34149.99</v>
      </c>
      <c r="E28" s="1317">
        <f t="shared" si="3"/>
        <v>-0.2934484828</v>
      </c>
      <c r="F28" s="1318">
        <f t="shared" si="4"/>
        <v>-14183.34333</v>
      </c>
      <c r="G28" s="1344"/>
      <c r="H28" s="1352"/>
      <c r="I28" s="1348"/>
    </row>
    <row r="29">
      <c r="A29" s="1314">
        <v>23.0</v>
      </c>
      <c r="B29" s="1307">
        <f t="shared" si="1"/>
        <v>48333.33333</v>
      </c>
      <c r="C29" s="1340">
        <f>'OLD Sales'!X23</f>
        <v>32313.56</v>
      </c>
      <c r="D29" s="1309">
        <f t="shared" si="2"/>
        <v>32313.56</v>
      </c>
      <c r="E29" s="1317">
        <f t="shared" si="3"/>
        <v>-0.3314435862</v>
      </c>
      <c r="F29" s="1318">
        <f t="shared" si="4"/>
        <v>-16019.77333</v>
      </c>
      <c r="G29" s="1351"/>
      <c r="H29" s="1347"/>
      <c r="I29" s="1348"/>
    </row>
    <row r="30">
      <c r="A30" s="1314">
        <v>24.0</v>
      </c>
      <c r="B30" s="1315">
        <f t="shared" si="1"/>
        <v>48333.33333</v>
      </c>
      <c r="C30" s="1315">
        <f>'OLD Sales'!Y23</f>
        <v>38905.48</v>
      </c>
      <c r="D30" s="1309">
        <f t="shared" si="2"/>
        <v>38905.48</v>
      </c>
      <c r="E30" s="1317">
        <f t="shared" si="3"/>
        <v>-0.1950590345</v>
      </c>
      <c r="F30" s="1318">
        <f t="shared" si="4"/>
        <v>-9427.853333</v>
      </c>
    </row>
    <row r="31">
      <c r="A31" s="1314">
        <v>25.0</v>
      </c>
      <c r="B31" s="1307">
        <f t="shared" si="1"/>
        <v>48333.33333</v>
      </c>
      <c r="C31" s="1340">
        <f>'OLD Sales'!Z23</f>
        <v>35413.92</v>
      </c>
      <c r="D31" s="1309">
        <f t="shared" si="2"/>
        <v>35413.92</v>
      </c>
      <c r="E31" s="1317">
        <f t="shared" si="3"/>
        <v>-0.2672982069</v>
      </c>
      <c r="F31" s="1318">
        <f t="shared" si="4"/>
        <v>-12919.41333</v>
      </c>
    </row>
    <row r="32">
      <c r="A32" s="1314">
        <v>26.0</v>
      </c>
      <c r="B32" s="1315">
        <f t="shared" si="1"/>
        <v>48333.33333</v>
      </c>
      <c r="C32" s="1315">
        <f>'OLD Sales'!AA23</f>
        <v>29720.82</v>
      </c>
      <c r="D32" s="1309">
        <f t="shared" si="2"/>
        <v>29720.82</v>
      </c>
      <c r="E32" s="1317">
        <f t="shared" si="3"/>
        <v>-0.3850864828</v>
      </c>
      <c r="F32" s="1318">
        <f t="shared" si="4"/>
        <v>-18612.51333</v>
      </c>
    </row>
    <row r="33">
      <c r="A33" s="1314">
        <v>27.0</v>
      </c>
      <c r="B33" s="1307">
        <f t="shared" si="1"/>
        <v>48333.33333</v>
      </c>
      <c r="C33" s="1340">
        <f>'OLD Sales'!AB23</f>
        <v>38422.49</v>
      </c>
      <c r="D33" s="1309">
        <f t="shared" si="2"/>
        <v>38422.49</v>
      </c>
      <c r="E33" s="1317">
        <f t="shared" si="3"/>
        <v>-0.205051931</v>
      </c>
      <c r="F33" s="1318">
        <f t="shared" si="4"/>
        <v>-9910.843333</v>
      </c>
    </row>
    <row r="34">
      <c r="A34" s="1314">
        <v>28.0</v>
      </c>
      <c r="B34" s="1315">
        <f t="shared" si="1"/>
        <v>48333.33333</v>
      </c>
      <c r="C34" s="1315">
        <f>'OLD Sales'!AC23</f>
        <v>43546.51</v>
      </c>
      <c r="D34" s="1309">
        <f t="shared" si="2"/>
        <v>43546.51</v>
      </c>
      <c r="E34" s="1317">
        <f t="shared" si="3"/>
        <v>-0.09903772414</v>
      </c>
      <c r="F34" s="1318">
        <f t="shared" si="4"/>
        <v>-4786.823333</v>
      </c>
    </row>
    <row r="35">
      <c r="A35" s="1314">
        <v>29.0</v>
      </c>
      <c r="B35" s="1307">
        <f t="shared" si="1"/>
        <v>48333.33333</v>
      </c>
      <c r="C35" s="1340">
        <f>'OLD Sales'!AD23</f>
        <v>46725.89</v>
      </c>
      <c r="D35" s="1309">
        <f t="shared" si="2"/>
        <v>46725.89</v>
      </c>
      <c r="E35" s="1317">
        <f t="shared" si="3"/>
        <v>-0.03325744828</v>
      </c>
      <c r="F35" s="1318">
        <f t="shared" si="4"/>
        <v>-1607.443333</v>
      </c>
    </row>
    <row r="36">
      <c r="A36" s="1314">
        <v>30.0</v>
      </c>
      <c r="B36" s="1315">
        <f t="shared" si="1"/>
        <v>48333.33333</v>
      </c>
      <c r="C36" s="1315">
        <f>'OLD Sales'!AE23</f>
        <v>38560.85</v>
      </c>
      <c r="D36" s="1309">
        <f t="shared" si="2"/>
        <v>38560.85</v>
      </c>
      <c r="E36" s="1317">
        <f t="shared" si="3"/>
        <v>-0.2021893103</v>
      </c>
      <c r="F36" s="1318">
        <f t="shared" si="4"/>
        <v>-9772.483333</v>
      </c>
    </row>
    <row r="37">
      <c r="A37" s="1314">
        <v>31.0</v>
      </c>
      <c r="B37" s="1307"/>
      <c r="C37" s="1340"/>
      <c r="D37" s="1309"/>
      <c r="E37" s="1317"/>
      <c r="F37" s="1318"/>
    </row>
    <row r="38">
      <c r="A38" s="1353" t="s">
        <v>1182</v>
      </c>
      <c r="B38" s="1354">
        <f>H13</f>
        <v>1450000</v>
      </c>
      <c r="C38" s="1354">
        <f>sum(C7:C37)</f>
        <v>1050842.27</v>
      </c>
      <c r="D38" s="1355">
        <f>C38/$B$4*$B$3</f>
        <v>1050842.27</v>
      </c>
      <c r="E38" s="1356">
        <f>D38/B38-1</f>
        <v>-0.2752811931</v>
      </c>
      <c r="F38" s="1354">
        <f>D38-B38</f>
        <v>-399157.73</v>
      </c>
    </row>
    <row r="40">
      <c r="A40" s="1281" t="s">
        <v>1131</v>
      </c>
      <c r="B40" s="1282">
        <v>44935.0</v>
      </c>
      <c r="C40" s="1283"/>
      <c r="D40" s="1281" t="s">
        <v>1132</v>
      </c>
      <c r="E40" s="1281" t="s">
        <v>1133</v>
      </c>
      <c r="F40" s="1283"/>
    </row>
    <row r="41">
      <c r="A41" s="1286" t="s">
        <v>1137</v>
      </c>
      <c r="B41" s="1287">
        <v>30.0</v>
      </c>
      <c r="C41" s="1288" t="s">
        <v>1184</v>
      </c>
      <c r="D41" s="1289"/>
      <c r="E41" s="1289"/>
      <c r="F41" s="1290"/>
    </row>
    <row r="42">
      <c r="A42" s="1286" t="s">
        <v>1141</v>
      </c>
      <c r="B42" s="1295">
        <f>COUNT('OLD Sales'!B25:AE25)</f>
        <v>30</v>
      </c>
      <c r="C42" s="1296"/>
      <c r="D42" s="703"/>
      <c r="E42" s="703"/>
      <c r="F42" s="708"/>
    </row>
    <row r="43">
      <c r="A43" s="1299"/>
      <c r="B43" s="1300" t="s">
        <v>1144</v>
      </c>
      <c r="C43" s="1109"/>
      <c r="D43" s="1300" t="s">
        <v>1145</v>
      </c>
      <c r="E43" s="1301"/>
      <c r="F43" s="1109"/>
    </row>
    <row r="44">
      <c r="A44" s="1302" t="s">
        <v>1148</v>
      </c>
      <c r="B44" s="1302" t="s">
        <v>1186</v>
      </c>
      <c r="C44" s="1303" t="s">
        <v>1141</v>
      </c>
      <c r="D44" s="1302" t="s">
        <v>1145</v>
      </c>
      <c r="E44" s="1302" t="s">
        <v>1150</v>
      </c>
      <c r="F44" s="1302" t="s">
        <v>1151</v>
      </c>
    </row>
    <row r="45">
      <c r="A45" s="1306">
        <v>1.0</v>
      </c>
      <c r="B45" s="1308">
        <f t="shared" ref="B45:B74" si="9">$B$76/$B$41</f>
        <v>18666.66667</v>
      </c>
      <c r="C45" s="1308">
        <f>'OLD Sales'!B43</f>
        <v>6755.55</v>
      </c>
      <c r="D45" s="1309">
        <f t="shared" ref="D45:D74" si="10">C45/$B$4*$B$3</f>
        <v>6755.55</v>
      </c>
      <c r="E45" s="1311">
        <f t="shared" ref="E45:E74" si="11">D45/B45-1</f>
        <v>-0.6380955357</v>
      </c>
      <c r="F45" s="1312">
        <f t="shared" ref="F45:F74" si="12">D45-B45</f>
        <v>-11911.11667</v>
      </c>
    </row>
    <row r="46">
      <c r="A46" s="1314">
        <v>2.0</v>
      </c>
      <c r="B46" s="1316">
        <f t="shared" si="9"/>
        <v>18666.66667</v>
      </c>
      <c r="C46" s="1316">
        <f>'OLD Sales'!C43</f>
        <v>6311.8</v>
      </c>
      <c r="D46" s="1309">
        <f t="shared" si="10"/>
        <v>6311.8</v>
      </c>
      <c r="E46" s="1317">
        <f t="shared" si="11"/>
        <v>-0.6618678571</v>
      </c>
      <c r="F46" s="1318">
        <f t="shared" si="12"/>
        <v>-12354.86667</v>
      </c>
    </row>
    <row r="47">
      <c r="A47" s="1314">
        <v>3.0</v>
      </c>
      <c r="B47" s="1308">
        <f t="shared" si="9"/>
        <v>18666.66667</v>
      </c>
      <c r="C47" s="1321">
        <f>'OLD Sales'!D43</f>
        <v>8434.74</v>
      </c>
      <c r="D47" s="1309">
        <f t="shared" si="10"/>
        <v>8434.74</v>
      </c>
      <c r="E47" s="1317">
        <f t="shared" si="11"/>
        <v>-0.5481389286</v>
      </c>
      <c r="F47" s="1318">
        <f t="shared" si="12"/>
        <v>-10231.92667</v>
      </c>
    </row>
    <row r="48">
      <c r="A48" s="1314">
        <v>4.0</v>
      </c>
      <c r="B48" s="1316">
        <f t="shared" si="9"/>
        <v>18666.66667</v>
      </c>
      <c r="C48" s="1316">
        <f>'OLD Sales'!E43</f>
        <v>9032.68</v>
      </c>
      <c r="D48" s="1309">
        <f t="shared" si="10"/>
        <v>9032.68</v>
      </c>
      <c r="E48" s="1317">
        <f t="shared" si="11"/>
        <v>-0.5161064286</v>
      </c>
      <c r="F48" s="1318">
        <f t="shared" si="12"/>
        <v>-9633.986667</v>
      </c>
    </row>
    <row r="49">
      <c r="A49" s="1314">
        <v>5.0</v>
      </c>
      <c r="B49" s="1308">
        <f t="shared" si="9"/>
        <v>18666.66667</v>
      </c>
      <c r="C49" s="1321">
        <f>'OLD Sales'!F43</f>
        <v>11649.63</v>
      </c>
      <c r="D49" s="1309">
        <f t="shared" si="10"/>
        <v>11649.63</v>
      </c>
      <c r="E49" s="1317">
        <f t="shared" si="11"/>
        <v>-0.3759126786</v>
      </c>
      <c r="F49" s="1318">
        <f t="shared" si="12"/>
        <v>-7017.036667</v>
      </c>
    </row>
    <row r="50">
      <c r="A50" s="1314">
        <v>6.0</v>
      </c>
      <c r="B50" s="1316">
        <f t="shared" si="9"/>
        <v>18666.66667</v>
      </c>
      <c r="C50" s="1316">
        <f>'OLD Sales'!G43</f>
        <v>12283.26</v>
      </c>
      <c r="D50" s="1309">
        <f t="shared" si="10"/>
        <v>12283.26</v>
      </c>
      <c r="E50" s="1317">
        <f t="shared" si="11"/>
        <v>-0.3419682143</v>
      </c>
      <c r="F50" s="1318">
        <f t="shared" si="12"/>
        <v>-6383.406667</v>
      </c>
    </row>
    <row r="51">
      <c r="A51" s="1314">
        <v>7.0</v>
      </c>
      <c r="B51" s="1308">
        <f t="shared" si="9"/>
        <v>18666.66667</v>
      </c>
      <c r="C51" s="1321">
        <f>'OLD Sales'!H43</f>
        <v>6474.54</v>
      </c>
      <c r="D51" s="1309">
        <f t="shared" si="10"/>
        <v>6474.54</v>
      </c>
      <c r="E51" s="1317">
        <f t="shared" si="11"/>
        <v>-0.6531496429</v>
      </c>
      <c r="F51" s="1318">
        <f t="shared" si="12"/>
        <v>-12192.12667</v>
      </c>
    </row>
    <row r="52">
      <c r="A52" s="1314">
        <v>8.0</v>
      </c>
      <c r="B52" s="1316">
        <f t="shared" si="9"/>
        <v>18666.66667</v>
      </c>
      <c r="C52" s="1316">
        <f>'OLD Sales'!I43</f>
        <v>4228.63</v>
      </c>
      <c r="D52" s="1309">
        <f t="shared" si="10"/>
        <v>4228.63</v>
      </c>
      <c r="E52" s="1317">
        <f t="shared" si="11"/>
        <v>-0.77346625</v>
      </c>
      <c r="F52" s="1318">
        <f t="shared" si="12"/>
        <v>-14438.03667</v>
      </c>
    </row>
    <row r="53">
      <c r="A53" s="1314">
        <v>9.0</v>
      </c>
      <c r="B53" s="1308">
        <f t="shared" si="9"/>
        <v>18666.66667</v>
      </c>
      <c r="C53" s="1321">
        <f>'OLD Sales'!J43</f>
        <v>6255.86</v>
      </c>
      <c r="D53" s="1309">
        <f t="shared" si="10"/>
        <v>6255.86</v>
      </c>
      <c r="E53" s="1317">
        <f t="shared" si="11"/>
        <v>-0.6648646429</v>
      </c>
      <c r="F53" s="1318">
        <f t="shared" si="12"/>
        <v>-12410.80667</v>
      </c>
    </row>
    <row r="54">
      <c r="A54" s="1314">
        <v>10.0</v>
      </c>
      <c r="B54" s="1316">
        <f t="shared" si="9"/>
        <v>18666.66667</v>
      </c>
      <c r="C54" s="1316">
        <f>'OLD Sales'!K43</f>
        <v>10228.35</v>
      </c>
      <c r="D54" s="1309">
        <f t="shared" si="10"/>
        <v>10228.35</v>
      </c>
      <c r="E54" s="1317">
        <f t="shared" si="11"/>
        <v>-0.4520526786</v>
      </c>
      <c r="F54" s="1318">
        <f t="shared" si="12"/>
        <v>-8438.316667</v>
      </c>
    </row>
    <row r="55">
      <c r="A55" s="1314">
        <v>11.0</v>
      </c>
      <c r="B55" s="1308">
        <f t="shared" si="9"/>
        <v>18666.66667</v>
      </c>
      <c r="C55" s="1321">
        <f>'OLD Sales'!L43</f>
        <v>10251.47</v>
      </c>
      <c r="D55" s="1309">
        <f t="shared" si="10"/>
        <v>10251.47</v>
      </c>
      <c r="E55" s="1317">
        <f t="shared" si="11"/>
        <v>-0.4508141071</v>
      </c>
      <c r="F55" s="1318">
        <f t="shared" si="12"/>
        <v>-8415.196667</v>
      </c>
    </row>
    <row r="56">
      <c r="A56" s="1314">
        <v>12.0</v>
      </c>
      <c r="B56" s="1316">
        <f t="shared" si="9"/>
        <v>18666.66667</v>
      </c>
      <c r="C56" s="1315">
        <f>'OLD Sales'!M43</f>
        <v>9490.26</v>
      </c>
      <c r="D56" s="1309">
        <f t="shared" si="10"/>
        <v>9490.26</v>
      </c>
      <c r="E56" s="1317">
        <f t="shared" si="11"/>
        <v>-0.4915932143</v>
      </c>
      <c r="F56" s="1318">
        <f t="shared" si="12"/>
        <v>-9176.406667</v>
      </c>
    </row>
    <row r="57">
      <c r="A57" s="1314">
        <v>13.0</v>
      </c>
      <c r="B57" s="1308">
        <f t="shared" si="9"/>
        <v>18666.66667</v>
      </c>
      <c r="C57" s="1340">
        <f>'OLD Sales'!N43</f>
        <v>9176.31</v>
      </c>
      <c r="D57" s="1309">
        <f t="shared" si="10"/>
        <v>9176.31</v>
      </c>
      <c r="E57" s="1317">
        <f t="shared" si="11"/>
        <v>-0.5084119643</v>
      </c>
      <c r="F57" s="1318">
        <f t="shared" si="12"/>
        <v>-9490.356667</v>
      </c>
    </row>
    <row r="58">
      <c r="A58" s="1314">
        <v>14.0</v>
      </c>
      <c r="B58" s="1316">
        <f t="shared" si="9"/>
        <v>18666.66667</v>
      </c>
      <c r="C58" s="1315">
        <f>'OLD Sales'!O43</f>
        <v>7010.06</v>
      </c>
      <c r="D58" s="1309">
        <f t="shared" si="10"/>
        <v>7010.06</v>
      </c>
      <c r="E58" s="1317">
        <f t="shared" si="11"/>
        <v>-0.6244610714</v>
      </c>
      <c r="F58" s="1318">
        <f t="shared" si="12"/>
        <v>-11656.60667</v>
      </c>
    </row>
    <row r="59">
      <c r="A59" s="1314">
        <v>15.0</v>
      </c>
      <c r="B59" s="1308">
        <f t="shared" si="9"/>
        <v>18666.66667</v>
      </c>
      <c r="C59" s="1340">
        <f>'OLD Sales'!P43</f>
        <v>8008.39</v>
      </c>
      <c r="D59" s="1309">
        <f t="shared" si="10"/>
        <v>8008.39</v>
      </c>
      <c r="E59" s="1317">
        <f t="shared" si="11"/>
        <v>-0.5709791071</v>
      </c>
      <c r="F59" s="1318">
        <f t="shared" si="12"/>
        <v>-10658.27667</v>
      </c>
    </row>
    <row r="60">
      <c r="A60" s="1314">
        <v>16.0</v>
      </c>
      <c r="B60" s="1316">
        <f t="shared" si="9"/>
        <v>18666.66667</v>
      </c>
      <c r="C60" s="1315">
        <f>'OLD Sales'!Q43</f>
        <v>8500.19</v>
      </c>
      <c r="D60" s="1309">
        <f t="shared" si="10"/>
        <v>8500.19</v>
      </c>
      <c r="E60" s="1317">
        <f t="shared" si="11"/>
        <v>-0.5446326786</v>
      </c>
      <c r="F60" s="1318">
        <f t="shared" si="12"/>
        <v>-10166.47667</v>
      </c>
    </row>
    <row r="61">
      <c r="A61" s="1314">
        <v>17.0</v>
      </c>
      <c r="B61" s="1308">
        <f t="shared" si="9"/>
        <v>18666.66667</v>
      </c>
      <c r="C61" s="1340">
        <f>'OLD Sales'!R43</f>
        <v>9209.25</v>
      </c>
      <c r="D61" s="1309">
        <f t="shared" si="10"/>
        <v>9209.25</v>
      </c>
      <c r="E61" s="1317">
        <f t="shared" si="11"/>
        <v>-0.5066473214</v>
      </c>
      <c r="F61" s="1318">
        <f t="shared" si="12"/>
        <v>-9457.416667</v>
      </c>
    </row>
    <row r="62">
      <c r="A62" s="1314">
        <v>18.0</v>
      </c>
      <c r="B62" s="1316">
        <f t="shared" si="9"/>
        <v>18666.66667</v>
      </c>
      <c r="C62" s="1315">
        <f>'OLD Sales'!S43</f>
        <v>8892.41</v>
      </c>
      <c r="D62" s="1309">
        <f t="shared" si="10"/>
        <v>8892.41</v>
      </c>
      <c r="E62" s="1317">
        <f t="shared" si="11"/>
        <v>-0.5236208929</v>
      </c>
      <c r="F62" s="1318">
        <f t="shared" si="12"/>
        <v>-9774.256667</v>
      </c>
    </row>
    <row r="63">
      <c r="A63" s="1314">
        <v>19.0</v>
      </c>
      <c r="B63" s="1308">
        <f t="shared" si="9"/>
        <v>18666.66667</v>
      </c>
      <c r="C63" s="1340">
        <f>'OLD Sales'!T43</f>
        <v>9162.16</v>
      </c>
      <c r="D63" s="1309">
        <f t="shared" si="10"/>
        <v>9162.16</v>
      </c>
      <c r="E63" s="1317">
        <f t="shared" si="11"/>
        <v>-0.50917</v>
      </c>
      <c r="F63" s="1318">
        <f t="shared" si="12"/>
        <v>-9504.506667</v>
      </c>
    </row>
    <row r="64">
      <c r="A64" s="1314">
        <v>20.0</v>
      </c>
      <c r="B64" s="1316">
        <f t="shared" si="9"/>
        <v>18666.66667</v>
      </c>
      <c r="C64" s="1315">
        <f>'OLD Sales'!U43</f>
        <v>7499.26</v>
      </c>
      <c r="D64" s="1309">
        <f t="shared" si="10"/>
        <v>7499.26</v>
      </c>
      <c r="E64" s="1317">
        <f t="shared" si="11"/>
        <v>-0.5982539286</v>
      </c>
      <c r="F64" s="1318">
        <f t="shared" si="12"/>
        <v>-11167.40667</v>
      </c>
    </row>
    <row r="65">
      <c r="A65" s="1314">
        <v>21.0</v>
      </c>
      <c r="B65" s="1308">
        <f t="shared" si="9"/>
        <v>18666.66667</v>
      </c>
      <c r="C65" s="1340">
        <f>'OLD Sales'!V43</f>
        <v>7495.83</v>
      </c>
      <c r="D65" s="1309">
        <f t="shared" si="10"/>
        <v>7495.83</v>
      </c>
      <c r="E65" s="1317">
        <f t="shared" si="11"/>
        <v>-0.5984376786</v>
      </c>
      <c r="F65" s="1318">
        <f t="shared" si="12"/>
        <v>-11170.83667</v>
      </c>
    </row>
    <row r="66">
      <c r="A66" s="1314">
        <v>22.0</v>
      </c>
      <c r="B66" s="1316">
        <f t="shared" si="9"/>
        <v>18666.66667</v>
      </c>
      <c r="C66" s="1315">
        <f>'OLD Sales'!W43</f>
        <v>7622.62</v>
      </c>
      <c r="D66" s="1309">
        <f t="shared" si="10"/>
        <v>7622.62</v>
      </c>
      <c r="E66" s="1317">
        <f t="shared" si="11"/>
        <v>-0.5916453571</v>
      </c>
      <c r="F66" s="1318">
        <f t="shared" si="12"/>
        <v>-11044.04667</v>
      </c>
    </row>
    <row r="67">
      <c r="A67" s="1314">
        <v>23.0</v>
      </c>
      <c r="B67" s="1308">
        <f t="shared" si="9"/>
        <v>18666.66667</v>
      </c>
      <c r="C67" s="1340">
        <f>'OLD Sales'!X43</f>
        <v>9119.22</v>
      </c>
      <c r="D67" s="1309">
        <f t="shared" si="10"/>
        <v>9119.22</v>
      </c>
      <c r="E67" s="1317">
        <f t="shared" si="11"/>
        <v>-0.5114703571</v>
      </c>
      <c r="F67" s="1318">
        <f t="shared" si="12"/>
        <v>-9547.446667</v>
      </c>
    </row>
    <row r="68">
      <c r="A68" s="1314">
        <v>24.0</v>
      </c>
      <c r="B68" s="1316">
        <f t="shared" si="9"/>
        <v>18666.66667</v>
      </c>
      <c r="C68" s="1315">
        <f>'OLD Sales'!Y43</f>
        <v>11125.39</v>
      </c>
      <c r="D68" s="1309">
        <f t="shared" si="10"/>
        <v>11125.39</v>
      </c>
      <c r="E68" s="1317">
        <f t="shared" si="11"/>
        <v>-0.4039969643</v>
      </c>
      <c r="F68" s="1318">
        <f t="shared" si="12"/>
        <v>-7541.276667</v>
      </c>
    </row>
    <row r="69">
      <c r="A69" s="1314">
        <v>25.0</v>
      </c>
      <c r="B69" s="1308">
        <f t="shared" si="9"/>
        <v>18666.66667</v>
      </c>
      <c r="C69" s="1340">
        <f>'OLD Sales'!Z43</f>
        <v>9741.35</v>
      </c>
      <c r="D69" s="1309">
        <f t="shared" si="10"/>
        <v>9741.35</v>
      </c>
      <c r="E69" s="1317">
        <f t="shared" si="11"/>
        <v>-0.4781419643</v>
      </c>
      <c r="F69" s="1318">
        <f t="shared" si="12"/>
        <v>-8925.316667</v>
      </c>
    </row>
    <row r="70">
      <c r="A70" s="1314">
        <v>26.0</v>
      </c>
      <c r="B70" s="1316">
        <f t="shared" si="9"/>
        <v>18666.66667</v>
      </c>
      <c r="C70" s="1315">
        <f>'OLD Sales'!AA43</f>
        <v>8864.47</v>
      </c>
      <c r="D70" s="1309">
        <f t="shared" si="10"/>
        <v>8864.47</v>
      </c>
      <c r="E70" s="1317">
        <f t="shared" si="11"/>
        <v>-0.5251176786</v>
      </c>
      <c r="F70" s="1318">
        <f t="shared" si="12"/>
        <v>-9802.196667</v>
      </c>
    </row>
    <row r="71">
      <c r="A71" s="1314">
        <v>27.0</v>
      </c>
      <c r="B71" s="1308">
        <f t="shared" si="9"/>
        <v>18666.66667</v>
      </c>
      <c r="C71" s="1340">
        <f>'OLD Sales'!AB43</f>
        <v>6859.47</v>
      </c>
      <c r="D71" s="1309">
        <f t="shared" si="10"/>
        <v>6859.47</v>
      </c>
      <c r="E71" s="1317">
        <f t="shared" si="11"/>
        <v>-0.6325283929</v>
      </c>
      <c r="F71" s="1318">
        <f t="shared" si="12"/>
        <v>-11807.19667</v>
      </c>
    </row>
    <row r="72">
      <c r="A72" s="1314">
        <v>28.0</v>
      </c>
      <c r="B72" s="1316">
        <f t="shared" si="9"/>
        <v>18666.66667</v>
      </c>
      <c r="C72" s="1315">
        <f>'OLD Sales'!AC43</f>
        <v>6156.56</v>
      </c>
      <c r="D72" s="1309">
        <f t="shared" si="10"/>
        <v>6156.56</v>
      </c>
      <c r="E72" s="1317">
        <f t="shared" si="11"/>
        <v>-0.6701842857</v>
      </c>
      <c r="F72" s="1318">
        <f t="shared" si="12"/>
        <v>-12510.10667</v>
      </c>
    </row>
    <row r="73">
      <c r="A73" s="1314">
        <v>29.0</v>
      </c>
      <c r="B73" s="1308">
        <f t="shared" si="9"/>
        <v>18666.66667</v>
      </c>
      <c r="C73" s="1340">
        <f>'OLD Sales'!AD43</f>
        <v>6816.11</v>
      </c>
      <c r="D73" s="1309">
        <f t="shared" si="10"/>
        <v>6816.11</v>
      </c>
      <c r="E73" s="1317">
        <f t="shared" si="11"/>
        <v>-0.63485125</v>
      </c>
      <c r="F73" s="1318">
        <f t="shared" si="12"/>
        <v>-11850.55667</v>
      </c>
    </row>
    <row r="74">
      <c r="A74" s="1314">
        <v>30.0</v>
      </c>
      <c r="B74" s="1316">
        <f t="shared" si="9"/>
        <v>18666.66667</v>
      </c>
      <c r="C74" s="1315">
        <f>'OLD Sales'!AE43</f>
        <v>8371.13</v>
      </c>
      <c r="D74" s="1309">
        <f t="shared" si="10"/>
        <v>8371.13</v>
      </c>
      <c r="E74" s="1317">
        <f t="shared" si="11"/>
        <v>-0.5515466071</v>
      </c>
      <c r="F74" s="1318">
        <f t="shared" si="12"/>
        <v>-10295.53667</v>
      </c>
    </row>
    <row r="75">
      <c r="A75" s="1314">
        <v>31.0</v>
      </c>
      <c r="B75" s="1308"/>
      <c r="C75" s="1359"/>
      <c r="D75" s="1309"/>
      <c r="E75" s="1317"/>
      <c r="F75" s="1318"/>
    </row>
    <row r="76">
      <c r="A76" s="1353" t="s">
        <v>1182</v>
      </c>
      <c r="B76" s="1354">
        <f>H15</f>
        <v>560000</v>
      </c>
      <c r="C76" s="1354">
        <f>sum(C45:C75)</f>
        <v>251026.95</v>
      </c>
      <c r="D76" s="1354">
        <f>C76/$B$4*$B$3</f>
        <v>251026.95</v>
      </c>
      <c r="E76" s="1360">
        <f>D76/B76-1</f>
        <v>-0.5517375893</v>
      </c>
      <c r="F76" s="1361">
        <f>D76-B76</f>
        <v>-308973.05</v>
      </c>
    </row>
    <row r="78">
      <c r="A78" s="1281" t="s">
        <v>1131</v>
      </c>
      <c r="B78" s="1282">
        <v>44935.0</v>
      </c>
      <c r="C78" s="1283"/>
      <c r="D78" s="1281" t="s">
        <v>1132</v>
      </c>
      <c r="E78" s="1281" t="s">
        <v>1133</v>
      </c>
      <c r="F78" s="1283"/>
    </row>
    <row r="79">
      <c r="A79" s="1286" t="s">
        <v>1137</v>
      </c>
      <c r="B79" s="1287">
        <v>30.0</v>
      </c>
      <c r="C79" s="1288" t="s">
        <v>1190</v>
      </c>
      <c r="D79" s="1289"/>
      <c r="E79" s="1289"/>
      <c r="F79" s="1290"/>
    </row>
    <row r="80">
      <c r="A80" s="1286" t="s">
        <v>1141</v>
      </c>
      <c r="B80" s="1295">
        <f>COUNT(C83:C113)</f>
        <v>30</v>
      </c>
      <c r="C80" s="1296"/>
      <c r="D80" s="703"/>
      <c r="E80" s="703"/>
      <c r="F80" s="708"/>
    </row>
    <row r="81">
      <c r="A81" s="1299"/>
      <c r="B81" s="1300" t="s">
        <v>1144</v>
      </c>
      <c r="C81" s="1109"/>
      <c r="D81" s="1300" t="s">
        <v>1145</v>
      </c>
      <c r="E81" s="1301"/>
      <c r="F81" s="1109"/>
      <c r="H81" s="1363"/>
      <c r="I81" s="1363"/>
      <c r="J81" s="1363"/>
    </row>
    <row r="82">
      <c r="A82" s="1302" t="s">
        <v>1148</v>
      </c>
      <c r="B82" s="1302" t="s">
        <v>1192</v>
      </c>
      <c r="C82" s="1303" t="s">
        <v>1141</v>
      </c>
      <c r="D82" s="1302" t="s">
        <v>1145</v>
      </c>
      <c r="E82" s="1302" t="s">
        <v>1150</v>
      </c>
      <c r="F82" s="1302" t="s">
        <v>1151</v>
      </c>
      <c r="H82" s="1363"/>
      <c r="I82" s="1363"/>
      <c r="J82" s="1363"/>
    </row>
    <row r="83">
      <c r="A83" s="1306">
        <v>1.0</v>
      </c>
      <c r="B83" s="1364">
        <f t="shared" ref="B83:B112" si="13">$B$114/$B$79</f>
        <v>14400</v>
      </c>
      <c r="C83" s="1365">
        <v>7829.0</v>
      </c>
      <c r="D83" s="1366">
        <f t="shared" ref="D83:D112" si="14">C83/$B$4*$B$3</f>
        <v>7829</v>
      </c>
      <c r="E83" s="1311">
        <f t="shared" ref="E83:E112" si="15">D83/B83-1</f>
        <v>-0.4563194444</v>
      </c>
      <c r="F83" s="1367">
        <f t="shared" ref="F83:F112" si="16">D83-B83</f>
        <v>-6571</v>
      </c>
      <c r="H83" s="1363"/>
      <c r="I83" s="1363"/>
      <c r="J83" s="1363"/>
    </row>
    <row r="84">
      <c r="A84" s="1314">
        <v>2.0</v>
      </c>
      <c r="B84" s="1368">
        <f t="shared" si="13"/>
        <v>14400</v>
      </c>
      <c r="C84" s="1365">
        <v>13511.0</v>
      </c>
      <c r="D84" s="1366">
        <f t="shared" si="14"/>
        <v>13511</v>
      </c>
      <c r="E84" s="1317">
        <f t="shared" si="15"/>
        <v>-0.06173611111</v>
      </c>
      <c r="F84" s="1369">
        <f t="shared" si="16"/>
        <v>-889</v>
      </c>
      <c r="H84" s="1363"/>
      <c r="I84" s="1363"/>
      <c r="J84" s="1363"/>
    </row>
    <row r="85">
      <c r="A85" s="1314">
        <v>3.0</v>
      </c>
      <c r="B85" s="1364">
        <f t="shared" si="13"/>
        <v>14400</v>
      </c>
      <c r="C85" s="1365">
        <v>9892.0</v>
      </c>
      <c r="D85" s="1366">
        <f t="shared" si="14"/>
        <v>9892</v>
      </c>
      <c r="E85" s="1317">
        <f t="shared" si="15"/>
        <v>-0.3130555556</v>
      </c>
      <c r="F85" s="1369">
        <f t="shared" si="16"/>
        <v>-4508</v>
      </c>
      <c r="H85" s="1363"/>
      <c r="I85" s="1370"/>
      <c r="J85" s="1363"/>
    </row>
    <row r="86">
      <c r="A86" s="1314">
        <v>4.0</v>
      </c>
      <c r="B86" s="1368">
        <f t="shared" si="13"/>
        <v>14400</v>
      </c>
      <c r="C86" s="1365">
        <v>9575.0</v>
      </c>
      <c r="D86" s="1366">
        <f t="shared" si="14"/>
        <v>9575</v>
      </c>
      <c r="E86" s="1317">
        <f t="shared" si="15"/>
        <v>-0.3350694444</v>
      </c>
      <c r="F86" s="1369">
        <f t="shared" si="16"/>
        <v>-4825</v>
      </c>
      <c r="H86" s="1363"/>
      <c r="I86" s="1363"/>
      <c r="J86" s="1363"/>
    </row>
    <row r="87">
      <c r="A87" s="1314">
        <v>5.0</v>
      </c>
      <c r="B87" s="1364">
        <f t="shared" si="13"/>
        <v>14400</v>
      </c>
      <c r="C87" s="1365">
        <v>9041.0</v>
      </c>
      <c r="D87" s="1366">
        <f t="shared" si="14"/>
        <v>9041</v>
      </c>
      <c r="E87" s="1317">
        <f t="shared" si="15"/>
        <v>-0.3721527778</v>
      </c>
      <c r="F87" s="1369">
        <f t="shared" si="16"/>
        <v>-5359</v>
      </c>
      <c r="H87" s="1363"/>
      <c r="I87" s="1363"/>
      <c r="J87" s="1363"/>
    </row>
    <row r="88">
      <c r="A88" s="1314">
        <v>6.0</v>
      </c>
      <c r="B88" s="1368">
        <f t="shared" si="13"/>
        <v>14400</v>
      </c>
      <c r="C88" s="1365">
        <v>8169.0</v>
      </c>
      <c r="D88" s="1366">
        <f t="shared" si="14"/>
        <v>8169</v>
      </c>
      <c r="E88" s="1317">
        <f t="shared" si="15"/>
        <v>-0.4327083333</v>
      </c>
      <c r="F88" s="1369">
        <f t="shared" si="16"/>
        <v>-6231</v>
      </c>
      <c r="I88" s="1363"/>
      <c r="J88" s="1363"/>
    </row>
    <row r="89">
      <c r="A89" s="1314">
        <v>7.0</v>
      </c>
      <c r="B89" s="1364">
        <f t="shared" si="13"/>
        <v>14400</v>
      </c>
      <c r="C89" s="1365">
        <v>5993.0</v>
      </c>
      <c r="D89" s="1366">
        <f t="shared" si="14"/>
        <v>5993</v>
      </c>
      <c r="E89" s="1317">
        <f t="shared" si="15"/>
        <v>-0.5838194444</v>
      </c>
      <c r="F89" s="1369">
        <f t="shared" si="16"/>
        <v>-8407</v>
      </c>
      <c r="I89" s="1363"/>
      <c r="J89" s="1363"/>
    </row>
    <row r="90">
      <c r="A90" s="1314">
        <v>8.0</v>
      </c>
      <c r="B90" s="1368">
        <f t="shared" si="13"/>
        <v>14400</v>
      </c>
      <c r="C90" s="1365">
        <v>4109.0</v>
      </c>
      <c r="D90" s="1366">
        <f t="shared" si="14"/>
        <v>4109</v>
      </c>
      <c r="E90" s="1317">
        <f t="shared" si="15"/>
        <v>-0.7146527778</v>
      </c>
      <c r="F90" s="1369">
        <f t="shared" si="16"/>
        <v>-10291</v>
      </c>
      <c r="I90" s="1363"/>
      <c r="J90" s="1363"/>
    </row>
    <row r="91">
      <c r="A91" s="1314">
        <v>9.0</v>
      </c>
      <c r="B91" s="1364">
        <f t="shared" si="13"/>
        <v>14400</v>
      </c>
      <c r="C91" s="1365">
        <v>5330.0</v>
      </c>
      <c r="D91" s="1366">
        <f t="shared" si="14"/>
        <v>5330</v>
      </c>
      <c r="E91" s="1317">
        <f t="shared" si="15"/>
        <v>-0.6298611111</v>
      </c>
      <c r="F91" s="1369">
        <f t="shared" si="16"/>
        <v>-9070</v>
      </c>
      <c r="I91" s="1363"/>
      <c r="J91" s="1363"/>
    </row>
    <row r="92">
      <c r="A92" s="1314">
        <v>10.0</v>
      </c>
      <c r="B92" s="1368">
        <f t="shared" si="13"/>
        <v>14400</v>
      </c>
      <c r="C92" s="1365">
        <v>7829.0</v>
      </c>
      <c r="D92" s="1366">
        <f t="shared" si="14"/>
        <v>7829</v>
      </c>
      <c r="E92" s="1317">
        <f t="shared" si="15"/>
        <v>-0.4563194444</v>
      </c>
      <c r="F92" s="1369">
        <f t="shared" si="16"/>
        <v>-6571</v>
      </c>
      <c r="I92" s="1363"/>
      <c r="J92" s="1363"/>
    </row>
    <row r="93">
      <c r="A93" s="1314">
        <v>11.0</v>
      </c>
      <c r="B93" s="1364">
        <f t="shared" si="13"/>
        <v>14400</v>
      </c>
      <c r="C93" s="1365">
        <v>8339.0</v>
      </c>
      <c r="D93" s="1366">
        <f t="shared" si="14"/>
        <v>8339</v>
      </c>
      <c r="E93" s="1317">
        <f t="shared" si="15"/>
        <v>-0.4209027778</v>
      </c>
      <c r="F93" s="1369">
        <f t="shared" si="16"/>
        <v>-6061</v>
      </c>
      <c r="I93" s="1363"/>
      <c r="J93" s="1363"/>
    </row>
    <row r="94">
      <c r="A94" s="1314">
        <v>12.0</v>
      </c>
      <c r="B94" s="1368">
        <f t="shared" si="13"/>
        <v>14400</v>
      </c>
      <c r="C94" s="1365">
        <v>7971.0</v>
      </c>
      <c r="D94" s="1366">
        <f t="shared" si="14"/>
        <v>7971</v>
      </c>
      <c r="E94" s="1317">
        <f t="shared" si="15"/>
        <v>-0.4464583333</v>
      </c>
      <c r="F94" s="1369">
        <f t="shared" si="16"/>
        <v>-6429</v>
      </c>
      <c r="I94" s="1363"/>
      <c r="J94" s="1363"/>
    </row>
    <row r="95">
      <c r="A95" s="1314">
        <v>13.0</v>
      </c>
      <c r="B95" s="1364">
        <f t="shared" si="13"/>
        <v>14400</v>
      </c>
      <c r="C95" s="1365">
        <v>7471.0</v>
      </c>
      <c r="D95" s="1366">
        <f t="shared" si="14"/>
        <v>7471</v>
      </c>
      <c r="E95" s="1317">
        <f t="shared" si="15"/>
        <v>-0.4811805556</v>
      </c>
      <c r="F95" s="1369">
        <f t="shared" si="16"/>
        <v>-6929</v>
      </c>
      <c r="I95" s="1363"/>
      <c r="J95" s="1363"/>
    </row>
    <row r="96">
      <c r="A96" s="1314">
        <v>14.0</v>
      </c>
      <c r="B96" s="1368">
        <f t="shared" si="13"/>
        <v>14400</v>
      </c>
      <c r="C96" s="1365">
        <v>6572.0</v>
      </c>
      <c r="D96" s="1366">
        <f t="shared" si="14"/>
        <v>6572</v>
      </c>
      <c r="E96" s="1317">
        <f t="shared" si="15"/>
        <v>-0.5436111111</v>
      </c>
      <c r="F96" s="1369">
        <f t="shared" si="16"/>
        <v>-7828</v>
      </c>
      <c r="I96" s="1371"/>
      <c r="J96" s="1363"/>
    </row>
    <row r="97">
      <c r="A97" s="1314">
        <v>15.0</v>
      </c>
      <c r="B97" s="1364">
        <f t="shared" si="13"/>
        <v>14400</v>
      </c>
      <c r="C97" s="1365">
        <v>6206.0</v>
      </c>
      <c r="D97" s="1366">
        <f t="shared" si="14"/>
        <v>6206</v>
      </c>
      <c r="E97" s="1317">
        <f t="shared" si="15"/>
        <v>-0.5690277778</v>
      </c>
      <c r="F97" s="1369">
        <f t="shared" si="16"/>
        <v>-8194</v>
      </c>
      <c r="I97" s="1363"/>
      <c r="J97" s="1363"/>
    </row>
    <row r="98">
      <c r="A98" s="1314">
        <v>16.0</v>
      </c>
      <c r="B98" s="1368">
        <f t="shared" si="13"/>
        <v>14400</v>
      </c>
      <c r="C98" s="1365">
        <v>6710.0</v>
      </c>
      <c r="D98" s="1366">
        <f t="shared" si="14"/>
        <v>6710</v>
      </c>
      <c r="E98" s="1317">
        <f t="shared" si="15"/>
        <v>-0.5340277778</v>
      </c>
      <c r="F98" s="1369">
        <f t="shared" si="16"/>
        <v>-7690</v>
      </c>
      <c r="I98" s="1363"/>
      <c r="J98" s="1363"/>
    </row>
    <row r="99">
      <c r="A99" s="1314">
        <v>17.0</v>
      </c>
      <c r="B99" s="1364">
        <f t="shared" si="13"/>
        <v>14400</v>
      </c>
      <c r="C99" s="1365">
        <v>7263.0</v>
      </c>
      <c r="D99" s="1366">
        <f t="shared" si="14"/>
        <v>7263</v>
      </c>
      <c r="E99" s="1317">
        <f t="shared" si="15"/>
        <v>-0.495625</v>
      </c>
      <c r="F99" s="1369">
        <f t="shared" si="16"/>
        <v>-7137</v>
      </c>
      <c r="I99" s="1363"/>
      <c r="J99" s="1363"/>
    </row>
    <row r="100">
      <c r="A100" s="1314">
        <v>18.0</v>
      </c>
      <c r="B100" s="1368">
        <f t="shared" si="13"/>
        <v>14400</v>
      </c>
      <c r="C100" s="1365">
        <v>13613.0</v>
      </c>
      <c r="D100" s="1366">
        <f t="shared" si="14"/>
        <v>13613</v>
      </c>
      <c r="E100" s="1317">
        <f t="shared" si="15"/>
        <v>-0.05465277778</v>
      </c>
      <c r="F100" s="1369">
        <f t="shared" si="16"/>
        <v>-787</v>
      </c>
    </row>
    <row r="101">
      <c r="A101" s="1314">
        <v>19.0</v>
      </c>
      <c r="B101" s="1364">
        <f t="shared" si="13"/>
        <v>14400</v>
      </c>
      <c r="C101" s="1365">
        <v>16917.0</v>
      </c>
      <c r="D101" s="1366">
        <f t="shared" si="14"/>
        <v>16917</v>
      </c>
      <c r="E101" s="1317">
        <f t="shared" si="15"/>
        <v>0.1747916667</v>
      </c>
      <c r="F101" s="1369">
        <f t="shared" si="16"/>
        <v>2517</v>
      </c>
    </row>
    <row r="102">
      <c r="A102" s="1314">
        <v>20.0</v>
      </c>
      <c r="B102" s="1368">
        <f t="shared" si="13"/>
        <v>14400</v>
      </c>
      <c r="C102" s="1365">
        <v>12039.0</v>
      </c>
      <c r="D102" s="1366">
        <f t="shared" si="14"/>
        <v>12039</v>
      </c>
      <c r="E102" s="1317">
        <f t="shared" si="15"/>
        <v>-0.1639583333</v>
      </c>
      <c r="F102" s="1369">
        <f t="shared" si="16"/>
        <v>-2361</v>
      </c>
    </row>
    <row r="103">
      <c r="A103" s="1314">
        <v>21.0</v>
      </c>
      <c r="B103" s="1364">
        <f t="shared" si="13"/>
        <v>14400</v>
      </c>
      <c r="C103" s="1365">
        <v>10661.0</v>
      </c>
      <c r="D103" s="1366">
        <f t="shared" si="14"/>
        <v>10661</v>
      </c>
      <c r="E103" s="1317">
        <f t="shared" si="15"/>
        <v>-0.2596527778</v>
      </c>
      <c r="F103" s="1369">
        <f t="shared" si="16"/>
        <v>-3739</v>
      </c>
    </row>
    <row r="104">
      <c r="A104" s="1314">
        <v>22.0</v>
      </c>
      <c r="B104" s="1368">
        <f t="shared" si="13"/>
        <v>14400</v>
      </c>
      <c r="C104" s="1365">
        <v>8228.0</v>
      </c>
      <c r="D104" s="1366">
        <f t="shared" si="14"/>
        <v>8228</v>
      </c>
      <c r="E104" s="1317">
        <f t="shared" si="15"/>
        <v>-0.4286111111</v>
      </c>
      <c r="F104" s="1369">
        <f t="shared" si="16"/>
        <v>-6172</v>
      </c>
    </row>
    <row r="105">
      <c r="A105" s="1314">
        <v>23.0</v>
      </c>
      <c r="B105" s="1364">
        <f t="shared" si="13"/>
        <v>14400</v>
      </c>
      <c r="C105" s="1365">
        <v>7983.0</v>
      </c>
      <c r="D105" s="1366">
        <f t="shared" si="14"/>
        <v>7983</v>
      </c>
      <c r="E105" s="1317">
        <f t="shared" si="15"/>
        <v>-0.445625</v>
      </c>
      <c r="F105" s="1369">
        <f t="shared" si="16"/>
        <v>-6417</v>
      </c>
    </row>
    <row r="106">
      <c r="A106" s="1314">
        <v>24.0</v>
      </c>
      <c r="B106" s="1368">
        <f t="shared" si="13"/>
        <v>14400</v>
      </c>
      <c r="C106" s="1365">
        <v>9363.0</v>
      </c>
      <c r="D106" s="1366">
        <f t="shared" si="14"/>
        <v>9363</v>
      </c>
      <c r="E106" s="1317">
        <f t="shared" si="15"/>
        <v>-0.3497916667</v>
      </c>
      <c r="F106" s="1369">
        <f t="shared" si="16"/>
        <v>-5037</v>
      </c>
    </row>
    <row r="107">
      <c r="A107" s="1314">
        <v>25.0</v>
      </c>
      <c r="B107" s="1364">
        <f t="shared" si="13"/>
        <v>14400</v>
      </c>
      <c r="C107" s="1365">
        <v>8568.0</v>
      </c>
      <c r="D107" s="1366">
        <f t="shared" si="14"/>
        <v>8568</v>
      </c>
      <c r="E107" s="1317">
        <f t="shared" si="15"/>
        <v>-0.405</v>
      </c>
      <c r="F107" s="1369">
        <f t="shared" si="16"/>
        <v>-5832</v>
      </c>
    </row>
    <row r="108">
      <c r="A108" s="1314">
        <v>26.0</v>
      </c>
      <c r="B108" s="1368">
        <f t="shared" si="13"/>
        <v>14400</v>
      </c>
      <c r="C108" s="1365">
        <v>8143.0</v>
      </c>
      <c r="D108" s="1366">
        <f t="shared" si="14"/>
        <v>8143</v>
      </c>
      <c r="E108" s="1317">
        <f t="shared" si="15"/>
        <v>-0.4345138889</v>
      </c>
      <c r="F108" s="1369">
        <f t="shared" si="16"/>
        <v>-6257</v>
      </c>
      <c r="I108" s="1374"/>
    </row>
    <row r="109">
      <c r="A109" s="1314">
        <v>27.0</v>
      </c>
      <c r="B109" s="1364">
        <f t="shared" si="13"/>
        <v>14400</v>
      </c>
      <c r="C109" s="1365">
        <v>7304.0</v>
      </c>
      <c r="D109" s="1366">
        <f t="shared" si="14"/>
        <v>7304</v>
      </c>
      <c r="E109" s="1317">
        <f t="shared" si="15"/>
        <v>-0.4927777778</v>
      </c>
      <c r="F109" s="1369">
        <f t="shared" si="16"/>
        <v>-7096</v>
      </c>
    </row>
    <row r="110">
      <c r="A110" s="1314">
        <v>28.0</v>
      </c>
      <c r="B110" s="1368">
        <f t="shared" si="13"/>
        <v>14400</v>
      </c>
      <c r="C110" s="1365">
        <v>7570.0</v>
      </c>
      <c r="D110" s="1366">
        <f t="shared" si="14"/>
        <v>7570</v>
      </c>
      <c r="E110" s="1317">
        <f t="shared" si="15"/>
        <v>-0.4743055556</v>
      </c>
      <c r="F110" s="1369">
        <f t="shared" si="16"/>
        <v>-6830</v>
      </c>
    </row>
    <row r="111">
      <c r="A111" s="1314">
        <v>29.0</v>
      </c>
      <c r="B111" s="1364">
        <f t="shared" si="13"/>
        <v>14400</v>
      </c>
      <c r="C111" s="1365">
        <v>7512.0</v>
      </c>
      <c r="D111" s="1366">
        <f t="shared" si="14"/>
        <v>7512</v>
      </c>
      <c r="E111" s="1317">
        <f t="shared" si="15"/>
        <v>-0.4783333333</v>
      </c>
      <c r="F111" s="1369">
        <f t="shared" si="16"/>
        <v>-6888</v>
      </c>
    </row>
    <row r="112">
      <c r="A112" s="1314">
        <v>30.0</v>
      </c>
      <c r="B112" s="1368">
        <f t="shared" si="13"/>
        <v>14400</v>
      </c>
      <c r="C112" s="1365">
        <v>6840.0</v>
      </c>
      <c r="D112" s="1366">
        <f t="shared" si="14"/>
        <v>6840</v>
      </c>
      <c r="E112" s="1317">
        <f t="shared" si="15"/>
        <v>-0.525</v>
      </c>
      <c r="F112" s="1369">
        <f t="shared" si="16"/>
        <v>-7560</v>
      </c>
    </row>
    <row r="113">
      <c r="A113" s="1314">
        <v>31.0</v>
      </c>
      <c r="B113" s="1364"/>
      <c r="C113" s="1365"/>
      <c r="D113" s="1366"/>
      <c r="E113" s="1317"/>
      <c r="F113" s="1369"/>
    </row>
    <row r="114">
      <c r="A114" s="1353" t="s">
        <v>1182</v>
      </c>
      <c r="B114" s="1375">
        <f>H20</f>
        <v>432000</v>
      </c>
      <c r="C114" s="1375">
        <f>sum(C83:C113)</f>
        <v>256551</v>
      </c>
      <c r="D114" s="1375">
        <f>C114/$B$4*$B$3</f>
        <v>256551</v>
      </c>
      <c r="E114" s="1356">
        <f>D114/B114-1</f>
        <v>-0.4061319444</v>
      </c>
      <c r="F114" s="1375">
        <f>D114-B114</f>
        <v>-175449</v>
      </c>
    </row>
  </sheetData>
  <mergeCells count="12">
    <mergeCell ref="B43:C43"/>
    <mergeCell ref="D43:F43"/>
    <mergeCell ref="C79:F80"/>
    <mergeCell ref="B81:C81"/>
    <mergeCell ref="D81:F81"/>
    <mergeCell ref="G2:H2"/>
    <mergeCell ref="I2:J2"/>
    <mergeCell ref="C3:F4"/>
    <mergeCell ref="B5:C5"/>
    <mergeCell ref="D5:F5"/>
    <mergeCell ref="H21:I21"/>
    <mergeCell ref="C41:F42"/>
  </mergeCells>
  <conditionalFormatting sqref="E7:E37 E83:E113">
    <cfRule type="cellIs" dxfId="0" priority="1" operator="greaterThan">
      <formula>"0%"</formula>
    </cfRule>
  </conditionalFormatting>
  <conditionalFormatting sqref="E7:E37 E83:E113">
    <cfRule type="cellIs" dxfId="1" priority="2" operator="lessThanOrEqual">
      <formula>"0%"</formula>
    </cfRule>
  </conditionalFormatting>
  <conditionalFormatting sqref="E38 E114">
    <cfRule type="cellIs" dxfId="0" priority="3" operator="greaterThan">
      <formula>"0%"</formula>
    </cfRule>
  </conditionalFormatting>
  <conditionalFormatting sqref="E38 E114">
    <cfRule type="cellIs" dxfId="1" priority="4" operator="lessThanOrEqual">
      <formula>"0%"</formula>
    </cfRule>
  </conditionalFormatting>
  <conditionalFormatting sqref="F7:F38 F45:F75 F83:F114">
    <cfRule type="cellIs" dxfId="0" priority="5" operator="greaterThan">
      <formula>"0$"</formula>
    </cfRule>
  </conditionalFormatting>
  <conditionalFormatting sqref="F7:F38 F45:F75 F83:F114">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6 E114">
    <cfRule type="cellIs" dxfId="0" priority="17" operator="lessThanOrEqual">
      <formula>"0%"</formula>
    </cfRule>
  </conditionalFormatting>
  <conditionalFormatting sqref="F76 F114">
    <cfRule type="cellIs" dxfId="0" priority="18" operator="lessThanOrEqual">
      <formula>0</formula>
    </cfRule>
  </conditionalFormatting>
  <conditionalFormatting sqref="E76 E114">
    <cfRule type="cellIs" dxfId="2" priority="19" operator="greaterThan">
      <formula>"0%"</formula>
    </cfRule>
  </conditionalFormatting>
  <conditionalFormatting sqref="F76 F114">
    <cfRule type="cellIs" dxfId="2" priority="20" operator="greaterThan">
      <formula>0</formula>
    </cfRule>
  </conditionalFormatting>
  <conditionalFormatting sqref="E45:E75">
    <cfRule type="cellIs" dxfId="0" priority="21" operator="lessThanOrEqual">
      <formula>"0%"</formula>
    </cfRule>
  </conditionalFormatting>
  <conditionalFormatting sqref="E45:E75">
    <cfRule type="cellIs" dxfId="1" priority="22" operator="greaterThan">
      <formula>"0%"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384" t="s">
        <v>1197</v>
      </c>
      <c r="B1" s="1385"/>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c r="AD1" s="1385"/>
      <c r="AE1" s="1385"/>
      <c r="AF1" s="1385"/>
      <c r="AG1" s="1385"/>
      <c r="AH1" s="1385"/>
      <c r="AI1" s="1385"/>
      <c r="AJ1" s="1385"/>
      <c r="AK1" s="1385"/>
      <c r="AL1" s="1385"/>
      <c r="AM1" s="1385"/>
      <c r="AN1" s="1385"/>
      <c r="AO1" s="1385"/>
      <c r="AP1" s="1385"/>
      <c r="AQ1" s="1385"/>
      <c r="AR1" s="1385"/>
      <c r="AS1" s="1385"/>
      <c r="AT1" s="1385"/>
      <c r="AU1" s="1385"/>
      <c r="AV1" s="1385"/>
      <c r="AW1" s="1385"/>
      <c r="AX1" s="1385"/>
      <c r="AY1" s="1385"/>
      <c r="AZ1" s="1385"/>
      <c r="BA1" s="1385"/>
      <c r="BB1" s="1385"/>
      <c r="BC1" s="1385"/>
      <c r="BD1" s="1385"/>
      <c r="BE1" s="1385"/>
      <c r="BF1" s="1385"/>
      <c r="BG1" s="1385"/>
      <c r="BH1" s="1385"/>
      <c r="BI1" s="1385"/>
      <c r="BJ1" s="1385"/>
      <c r="BK1" s="1385"/>
      <c r="BL1" s="1385"/>
      <c r="BM1" s="1385"/>
    </row>
    <row r="2">
      <c r="A2" s="1385"/>
      <c r="B2" s="1385"/>
      <c r="C2" s="1385"/>
      <c r="D2" s="1385"/>
      <c r="E2" s="1385"/>
      <c r="F2" s="1385"/>
      <c r="G2" s="1385"/>
      <c r="H2" s="1385"/>
      <c r="I2" s="1385"/>
      <c r="J2" s="1385"/>
      <c r="K2" s="1385"/>
      <c r="L2" s="1385"/>
      <c r="M2" s="1385"/>
      <c r="N2" s="1385"/>
      <c r="O2" s="1385"/>
      <c r="P2" s="1385"/>
      <c r="Q2" s="1385"/>
      <c r="R2" s="1385"/>
      <c r="S2" s="1385"/>
      <c r="T2" s="1385"/>
      <c r="U2" s="1385"/>
      <c r="V2" s="1385"/>
      <c r="W2" s="1385"/>
      <c r="X2" s="1385"/>
      <c r="Y2" s="1385"/>
      <c r="Z2" s="1385"/>
      <c r="AA2" s="1385"/>
      <c r="AB2" s="1385"/>
      <c r="AC2" s="1385"/>
      <c r="AD2" s="1385"/>
      <c r="AE2" s="1385"/>
      <c r="AF2" s="1385"/>
      <c r="AG2" s="1385"/>
      <c r="AH2" s="1385"/>
      <c r="AI2" s="1385"/>
      <c r="AJ2" s="1385"/>
      <c r="AK2" s="1385"/>
      <c r="AL2" s="1385"/>
      <c r="AM2" s="1385"/>
      <c r="AN2" s="1385"/>
      <c r="AO2" s="1385"/>
      <c r="AP2" s="1385"/>
      <c r="AQ2" s="1385"/>
      <c r="AR2" s="1385"/>
      <c r="AS2" s="1385"/>
      <c r="AT2" s="1385"/>
      <c r="AU2" s="1385"/>
      <c r="AV2" s="1385"/>
      <c r="AW2" s="1385"/>
      <c r="AX2" s="1385"/>
      <c r="AY2" s="1385"/>
      <c r="AZ2" s="1385"/>
      <c r="BA2" s="1385"/>
      <c r="BB2" s="1385"/>
      <c r="BC2" s="1385"/>
      <c r="BD2" s="1385"/>
      <c r="BE2" s="1385"/>
      <c r="BF2" s="1385"/>
      <c r="BG2" s="1385"/>
      <c r="BH2" s="1385"/>
      <c r="BI2" s="1385"/>
      <c r="BJ2" s="1385"/>
      <c r="BK2" s="1385"/>
      <c r="BL2" s="1385"/>
      <c r="BM2" s="1385"/>
    </row>
    <row r="3">
      <c r="A3" s="1392" t="s">
        <v>1200</v>
      </c>
      <c r="B3" s="1385"/>
      <c r="C3" s="1385"/>
      <c r="D3" s="1385"/>
      <c r="E3" s="1385"/>
      <c r="F3" s="1385"/>
      <c r="G3" s="1385"/>
      <c r="H3" s="1385"/>
      <c r="I3" s="1385"/>
      <c r="J3" s="1385"/>
      <c r="K3" s="1385"/>
      <c r="L3" s="1385"/>
      <c r="M3" s="1385"/>
      <c r="N3" s="1385"/>
      <c r="O3" s="1385"/>
      <c r="P3" s="1385"/>
      <c r="Q3" s="1385"/>
      <c r="R3" s="1385"/>
      <c r="S3" s="1385"/>
      <c r="T3" s="1385"/>
      <c r="U3" s="1385"/>
      <c r="V3" s="1385"/>
      <c r="W3" s="1385"/>
      <c r="X3" s="1385"/>
      <c r="Y3" s="1385"/>
      <c r="Z3" s="1385"/>
      <c r="AA3" s="1385"/>
      <c r="AB3" s="1385"/>
      <c r="AC3" s="1385"/>
      <c r="AD3" s="1385"/>
      <c r="AE3" s="1385"/>
      <c r="AF3" s="1385"/>
      <c r="AG3" s="1385"/>
      <c r="AH3" s="1385"/>
      <c r="AI3" s="1385"/>
      <c r="AJ3" s="1385"/>
      <c r="AK3" s="1385"/>
      <c r="AL3" s="1385"/>
      <c r="AM3" s="1385"/>
      <c r="AN3" s="1385"/>
      <c r="AO3" s="1385"/>
      <c r="AP3" s="1385"/>
      <c r="AQ3" s="1385"/>
      <c r="AR3" s="1385"/>
      <c r="AS3" s="1385"/>
      <c r="AT3" s="1385"/>
      <c r="AU3" s="1385"/>
      <c r="AV3" s="1385"/>
      <c r="AW3" s="1385"/>
      <c r="AX3" s="1385"/>
      <c r="AY3" s="1385"/>
      <c r="AZ3" s="1385"/>
      <c r="BA3" s="1385"/>
      <c r="BB3" s="1385"/>
      <c r="BC3" s="1385"/>
      <c r="BD3" s="1385"/>
      <c r="BE3" s="1385"/>
      <c r="BF3" s="1385"/>
      <c r="BG3" s="1385"/>
      <c r="BH3" s="1385"/>
      <c r="BI3" s="1385"/>
      <c r="BJ3" s="1385"/>
      <c r="BK3" s="1385"/>
      <c r="BL3" s="1385"/>
      <c r="BM3" s="1385"/>
    </row>
    <row r="4">
      <c r="A4" s="1385"/>
      <c r="B4" s="1385"/>
      <c r="C4" s="1385"/>
      <c r="D4" s="1385"/>
      <c r="E4" s="1385"/>
      <c r="F4" s="1385"/>
      <c r="G4" s="1385"/>
      <c r="H4" s="1393">
        <v>1.6909567E7</v>
      </c>
      <c r="I4" s="1385"/>
      <c r="J4" s="1385"/>
      <c r="K4" s="1385"/>
      <c r="L4" s="1385"/>
      <c r="M4" s="1385"/>
      <c r="N4" s="1385"/>
      <c r="O4" s="1385"/>
      <c r="P4" s="1385"/>
      <c r="Q4" s="1385"/>
      <c r="R4" s="1385"/>
      <c r="S4" s="1385"/>
      <c r="T4" s="1385"/>
      <c r="U4" s="1385"/>
      <c r="V4" s="1385"/>
      <c r="W4" s="1385"/>
      <c r="X4" s="1385"/>
      <c r="Y4" s="1385"/>
      <c r="Z4" s="1385"/>
      <c r="AA4" s="1385"/>
      <c r="AB4" s="1385"/>
      <c r="AC4" s="1385"/>
      <c r="AD4" s="1385"/>
      <c r="AE4" s="1385"/>
      <c r="AF4" s="1385"/>
      <c r="AG4" s="1385"/>
      <c r="AH4" s="1385"/>
      <c r="AI4" s="1385"/>
      <c r="AJ4" s="1385"/>
      <c r="AK4" s="1385"/>
      <c r="AL4" s="1385"/>
      <c r="AM4" s="1385"/>
      <c r="AN4" s="1385"/>
      <c r="AO4" s="1385"/>
      <c r="AP4" s="1385"/>
      <c r="AQ4" s="1385"/>
      <c r="AR4" s="1385"/>
      <c r="AS4" s="1385"/>
      <c r="AT4" s="1385"/>
      <c r="AU4" s="1385"/>
      <c r="AV4" s="1385"/>
      <c r="AW4" s="1385"/>
      <c r="AX4" s="1385"/>
      <c r="AY4" s="1385"/>
      <c r="AZ4" s="1385"/>
      <c r="BA4" s="1385"/>
      <c r="BB4" s="1385"/>
      <c r="BC4" s="1385"/>
      <c r="BD4" s="1385"/>
      <c r="BE4" s="1385"/>
      <c r="BF4" s="1385"/>
      <c r="BG4" s="1385"/>
      <c r="BH4" s="1385"/>
      <c r="BI4" s="1385"/>
      <c r="BJ4" s="1385"/>
      <c r="BK4" s="1385"/>
      <c r="BL4" s="1385"/>
      <c r="BM4" s="1385"/>
    </row>
    <row r="5">
      <c r="A5" s="1396" t="s">
        <v>1202</v>
      </c>
      <c r="B5" s="1385"/>
      <c r="C5" s="1385"/>
      <c r="D5" s="1385"/>
      <c r="E5" s="1385"/>
      <c r="F5" s="1385"/>
      <c r="G5" s="1385"/>
      <c r="H5" s="1397"/>
      <c r="I5" s="1385"/>
      <c r="J5" s="1385"/>
      <c r="K5" s="1385"/>
      <c r="L5" s="1385"/>
      <c r="M5" s="1385"/>
      <c r="N5" s="1385"/>
      <c r="O5" s="1385"/>
      <c r="P5" s="1385"/>
      <c r="Q5" s="1385"/>
      <c r="R5" s="1385"/>
      <c r="S5" s="1385"/>
      <c r="T5" s="1385"/>
      <c r="U5" s="1385"/>
      <c r="V5" s="1385"/>
      <c r="W5" s="1385"/>
      <c r="X5" s="1385"/>
      <c r="Y5" s="1385"/>
      <c r="Z5" s="1385"/>
      <c r="AA5" s="1385"/>
      <c r="AB5" s="1385"/>
      <c r="AC5" s="1385"/>
      <c r="AD5" s="1385"/>
      <c r="AE5" s="1385"/>
      <c r="AF5" s="1385"/>
      <c r="AG5" s="1385"/>
      <c r="AH5" s="1385"/>
      <c r="AI5" s="1385"/>
      <c r="AJ5" s="1385"/>
      <c r="AK5" s="1385"/>
      <c r="AL5" s="1385"/>
      <c r="AM5" s="1385"/>
      <c r="AN5" s="1385"/>
      <c r="AO5" s="1385"/>
      <c r="AP5" s="1385"/>
      <c r="AQ5" s="1385"/>
      <c r="AR5" s="1385"/>
      <c r="AS5" s="1385"/>
      <c r="AT5" s="1385"/>
      <c r="AU5" s="1385"/>
      <c r="AV5" s="1385"/>
      <c r="AW5" s="1385"/>
      <c r="AX5" s="1385"/>
      <c r="AY5" s="1385"/>
      <c r="AZ5" s="1385"/>
      <c r="BA5" s="1385"/>
      <c r="BB5" s="1385"/>
      <c r="BC5" s="1385"/>
      <c r="BD5" s="1385"/>
      <c r="BE5" s="1385"/>
      <c r="BF5" s="1385"/>
      <c r="BG5" s="1385"/>
      <c r="BH5" s="1385"/>
      <c r="BI5" s="1385"/>
      <c r="BJ5" s="1385"/>
      <c r="BK5" s="1385"/>
      <c r="BL5" s="1385"/>
      <c r="BM5" s="1385"/>
    </row>
    <row r="6">
      <c r="A6" s="1399" t="s">
        <v>1203</v>
      </c>
      <c r="B6" s="1400"/>
      <c r="C6" s="1400"/>
      <c r="D6" s="1400"/>
      <c r="E6" s="1400"/>
      <c r="F6" s="1400"/>
      <c r="G6" s="1401"/>
      <c r="H6" s="1397"/>
      <c r="I6" s="1385"/>
      <c r="J6" s="1385"/>
      <c r="K6" s="1385"/>
      <c r="L6" s="1385"/>
      <c r="M6" s="1385"/>
      <c r="N6" s="1385"/>
      <c r="O6" s="1385"/>
      <c r="P6" s="1385"/>
      <c r="Q6" s="1385"/>
      <c r="R6" s="1385"/>
      <c r="S6" s="1385"/>
      <c r="T6" s="1385"/>
      <c r="U6" s="1385"/>
      <c r="V6" s="1385"/>
      <c r="W6" s="1385"/>
      <c r="X6" s="1385"/>
      <c r="Y6" s="1385"/>
      <c r="Z6" s="1385"/>
      <c r="AA6" s="1385"/>
      <c r="AB6" s="1385"/>
      <c r="AC6" s="1385"/>
      <c r="AD6" s="1385"/>
      <c r="AE6" s="1385"/>
      <c r="AF6" s="1385"/>
      <c r="AG6" s="1385"/>
      <c r="AH6" s="1385"/>
      <c r="AI6" s="1385"/>
      <c r="AJ6" s="1385"/>
      <c r="AK6" s="1385"/>
      <c r="AL6" s="1385"/>
      <c r="AM6" s="1385"/>
      <c r="AN6" s="1385"/>
      <c r="AO6" s="1385"/>
      <c r="AP6" s="1385"/>
      <c r="AQ6" s="1385"/>
      <c r="AR6" s="1385"/>
      <c r="AS6" s="1385"/>
      <c r="AT6" s="1385"/>
      <c r="AU6" s="1385"/>
      <c r="AV6" s="1385"/>
      <c r="AW6" s="1385"/>
      <c r="AX6" s="1385"/>
      <c r="AY6" s="1385"/>
      <c r="AZ6" s="1385"/>
      <c r="BA6" s="1385"/>
      <c r="BB6" s="1385"/>
      <c r="BC6" s="1385"/>
      <c r="BD6" s="1385"/>
      <c r="BE6" s="1385"/>
      <c r="BF6" s="1385"/>
      <c r="BG6" s="1385"/>
      <c r="BH6" s="1385"/>
      <c r="BI6" s="1385"/>
      <c r="BJ6" s="1385"/>
      <c r="BK6" s="1385"/>
      <c r="BL6" s="1385"/>
      <c r="BM6" s="1385"/>
    </row>
    <row r="7">
      <c r="A7" s="1403"/>
      <c r="B7" s="1404"/>
      <c r="C7" s="1404"/>
      <c r="D7" s="1404"/>
      <c r="E7" s="1404"/>
      <c r="F7" s="1404"/>
      <c r="G7" s="1405"/>
      <c r="H7" s="1385"/>
      <c r="I7" s="1385"/>
      <c r="J7" s="1385"/>
      <c r="K7" s="1385"/>
      <c r="L7" s="1385"/>
      <c r="M7" s="1385"/>
      <c r="N7" s="1385"/>
      <c r="O7" s="1385"/>
      <c r="P7" s="1385"/>
      <c r="Q7" s="1385"/>
      <c r="R7" s="1385"/>
      <c r="S7" s="1385"/>
      <c r="T7" s="1385"/>
      <c r="U7" s="1385"/>
      <c r="V7" s="1385"/>
      <c r="W7" s="1385"/>
      <c r="X7" s="1385"/>
      <c r="Y7" s="1385"/>
      <c r="Z7" s="1385"/>
      <c r="AA7" s="1385"/>
      <c r="AB7" s="1385"/>
      <c r="AC7" s="1385"/>
      <c r="AD7" s="1385"/>
      <c r="AE7" s="1385"/>
      <c r="AF7" s="1385"/>
      <c r="AG7" s="1385"/>
      <c r="AH7" s="1385"/>
      <c r="AI7" s="1385"/>
      <c r="AJ7" s="1385"/>
      <c r="AK7" s="1385"/>
      <c r="AL7" s="1385"/>
      <c r="AM7" s="1385"/>
      <c r="AN7" s="1385"/>
      <c r="AO7" s="1385"/>
      <c r="AP7" s="1385"/>
      <c r="AQ7" s="1385"/>
      <c r="AR7" s="1385"/>
      <c r="AS7" s="1385"/>
      <c r="AT7" s="1385"/>
      <c r="AU7" s="1385"/>
      <c r="AV7" s="1385"/>
      <c r="AW7" s="1385"/>
      <c r="AX7" s="1385"/>
      <c r="AY7" s="1385"/>
      <c r="AZ7" s="1385"/>
      <c r="BA7" s="1385"/>
      <c r="BB7" s="1385"/>
      <c r="BC7" s="1385"/>
      <c r="BD7" s="1385"/>
      <c r="BE7" s="1385"/>
      <c r="BF7" s="1385"/>
      <c r="BG7" s="1385"/>
      <c r="BH7" s="1385"/>
      <c r="BI7" s="1385"/>
      <c r="BJ7" s="1385"/>
      <c r="BK7" s="1385"/>
      <c r="BL7" s="1385"/>
      <c r="BM7" s="1385"/>
    </row>
    <row r="8">
      <c r="A8" s="1399" t="s">
        <v>1204</v>
      </c>
      <c r="B8" s="1400"/>
      <c r="C8" s="1400"/>
      <c r="D8" s="1400"/>
      <c r="E8" s="1400"/>
      <c r="F8" s="1400"/>
      <c r="G8" s="1401"/>
      <c r="H8" s="1408" t="s">
        <v>1205</v>
      </c>
      <c r="I8" s="1385"/>
      <c r="J8" s="1385"/>
      <c r="K8" s="1385"/>
      <c r="L8" s="1385"/>
      <c r="M8" s="1385"/>
      <c r="N8" s="1385"/>
      <c r="O8" s="1385"/>
      <c r="P8" s="1385"/>
      <c r="Q8" s="1385"/>
      <c r="R8" s="1385"/>
      <c r="S8" s="1385"/>
      <c r="T8" s="1385"/>
      <c r="U8" s="1385"/>
      <c r="V8" s="1385"/>
      <c r="W8" s="1385"/>
      <c r="X8" s="1385"/>
      <c r="Y8" s="1385"/>
      <c r="Z8" s="1385"/>
      <c r="AA8" s="1385"/>
      <c r="AB8" s="1385"/>
      <c r="AC8" s="1385"/>
      <c r="AD8" s="1385"/>
      <c r="AE8" s="1385"/>
      <c r="AF8" s="1385"/>
      <c r="AG8" s="1385"/>
      <c r="AH8" s="1385"/>
      <c r="AI8" s="1385"/>
      <c r="AJ8" s="1385"/>
      <c r="AK8" s="1385"/>
      <c r="AL8" s="1385"/>
      <c r="AM8" s="1385"/>
      <c r="AN8" s="1385"/>
      <c r="AO8" s="1385"/>
      <c r="AP8" s="1385"/>
      <c r="AQ8" s="1385"/>
      <c r="AR8" s="1385"/>
      <c r="AS8" s="1385"/>
      <c r="AT8" s="1385"/>
      <c r="AU8" s="1385"/>
      <c r="AV8" s="1385"/>
      <c r="AW8" s="1385"/>
      <c r="AX8" s="1385"/>
      <c r="AY8" s="1385"/>
      <c r="AZ8" s="1385"/>
      <c r="BA8" s="1385"/>
      <c r="BB8" s="1385"/>
      <c r="BC8" s="1385"/>
      <c r="BD8" s="1385"/>
      <c r="BE8" s="1385"/>
      <c r="BF8" s="1385"/>
      <c r="BG8" s="1385"/>
      <c r="BH8" s="1385"/>
      <c r="BI8" s="1385"/>
      <c r="BJ8" s="1385"/>
      <c r="BK8" s="1385"/>
      <c r="BL8" s="1385"/>
      <c r="BM8" s="1385"/>
    </row>
    <row r="9">
      <c r="A9" s="1403"/>
      <c r="B9" s="1404"/>
      <c r="C9" s="1404"/>
      <c r="D9" s="1404"/>
      <c r="E9" s="1404"/>
      <c r="F9" s="1404"/>
      <c r="G9" s="1405"/>
      <c r="H9" s="1385"/>
      <c r="I9" s="1385"/>
      <c r="J9" s="1385"/>
      <c r="K9" s="1385"/>
      <c r="L9" s="1385"/>
      <c r="M9" s="1385"/>
      <c r="N9" s="1385"/>
      <c r="O9" s="1385"/>
      <c r="P9" s="1385"/>
      <c r="Q9" s="1385"/>
      <c r="R9" s="1385"/>
      <c r="S9" s="1385"/>
      <c r="T9" s="1385"/>
      <c r="U9" s="1385"/>
      <c r="V9" s="1385"/>
      <c r="W9" s="1385"/>
      <c r="X9" s="1385"/>
      <c r="Y9" s="1385"/>
      <c r="Z9" s="1385"/>
      <c r="AA9" s="1385"/>
      <c r="AB9" s="1385"/>
      <c r="AC9" s="1385"/>
      <c r="AD9" s="1385"/>
      <c r="AE9" s="1385"/>
      <c r="AF9" s="1385"/>
      <c r="AG9" s="1385"/>
      <c r="AH9" s="1385"/>
      <c r="AI9" s="1385"/>
      <c r="AJ9" s="1385"/>
      <c r="AK9" s="1385"/>
      <c r="AL9" s="1385"/>
      <c r="AM9" s="1385"/>
      <c r="AN9" s="1385"/>
      <c r="AO9" s="1385"/>
      <c r="AP9" s="1385"/>
      <c r="AQ9" s="1385"/>
      <c r="AR9" s="1385"/>
      <c r="AS9" s="1385"/>
      <c r="AT9" s="1385"/>
      <c r="AU9" s="1385"/>
      <c r="AV9" s="1385"/>
      <c r="AW9" s="1385"/>
      <c r="AX9" s="1385"/>
      <c r="AY9" s="1385"/>
      <c r="AZ9" s="1385"/>
      <c r="BA9" s="1385"/>
      <c r="BB9" s="1385"/>
      <c r="BC9" s="1385"/>
      <c r="BD9" s="1385"/>
      <c r="BE9" s="1385"/>
      <c r="BF9" s="1385"/>
      <c r="BG9" s="1385"/>
      <c r="BH9" s="1385"/>
      <c r="BI9" s="1385"/>
      <c r="BJ9" s="1385"/>
      <c r="BK9" s="1385"/>
      <c r="BL9" s="1385"/>
      <c r="BM9" s="1385"/>
    </row>
    <row r="10">
      <c r="A10" s="1399" t="s">
        <v>1207</v>
      </c>
      <c r="B10" s="1400"/>
      <c r="C10" s="1400"/>
      <c r="D10" s="1400"/>
      <c r="E10" s="1400"/>
      <c r="F10" s="1400"/>
      <c r="G10" s="1401"/>
      <c r="H10" s="1385"/>
      <c r="I10" s="1385"/>
      <c r="J10" s="1385"/>
      <c r="K10" s="1385"/>
      <c r="L10" s="1385"/>
      <c r="M10" s="1385"/>
      <c r="N10" s="1385"/>
      <c r="O10" s="1385"/>
      <c r="P10" s="1385"/>
      <c r="Q10" s="1385"/>
      <c r="R10" s="1385"/>
      <c r="S10" s="1385"/>
      <c r="T10" s="1385"/>
      <c r="U10" s="1385"/>
      <c r="V10" s="1385"/>
      <c r="W10" s="1385"/>
      <c r="X10" s="1385"/>
      <c r="Y10" s="1385"/>
      <c r="Z10" s="1385"/>
      <c r="AA10" s="1385"/>
      <c r="AB10" s="1385"/>
      <c r="AC10" s="1385"/>
      <c r="AD10" s="1385"/>
      <c r="AE10" s="1385"/>
      <c r="AF10" s="1385"/>
      <c r="AG10" s="1385"/>
      <c r="AH10" s="1385"/>
      <c r="AI10" s="1385"/>
      <c r="AJ10" s="1385"/>
      <c r="AK10" s="1385"/>
      <c r="AL10" s="1385"/>
      <c r="AM10" s="1385"/>
      <c r="AN10" s="1385"/>
      <c r="AO10" s="1385"/>
      <c r="AP10" s="1385"/>
      <c r="AQ10" s="1385"/>
      <c r="AR10" s="1385"/>
      <c r="AS10" s="1385"/>
      <c r="AT10" s="1385"/>
      <c r="AU10" s="1385"/>
      <c r="AV10" s="1385"/>
      <c r="AW10" s="1385"/>
      <c r="AX10" s="1385"/>
      <c r="AY10" s="1385"/>
      <c r="AZ10" s="1385"/>
      <c r="BA10" s="1385"/>
      <c r="BB10" s="1385"/>
      <c r="BC10" s="1385"/>
      <c r="BD10" s="1385"/>
      <c r="BE10" s="1385"/>
      <c r="BF10" s="1385"/>
      <c r="BG10" s="1385"/>
      <c r="BH10" s="1385"/>
      <c r="BI10" s="1385"/>
      <c r="BJ10" s="1385"/>
      <c r="BK10" s="1385"/>
      <c r="BL10" s="1385"/>
      <c r="BM10" s="1385"/>
    </row>
    <row r="11">
      <c r="A11" s="1403"/>
      <c r="B11" s="1404"/>
      <c r="C11" s="1404"/>
      <c r="D11" s="1404"/>
      <c r="E11" s="1404"/>
      <c r="F11" s="1404"/>
      <c r="G11" s="1405"/>
      <c r="H11" s="1385"/>
      <c r="I11" s="1385"/>
      <c r="J11" s="1385"/>
      <c r="K11" s="1385"/>
      <c r="L11" s="1385"/>
      <c r="M11" s="1385"/>
      <c r="N11" s="1385"/>
      <c r="O11" s="1385"/>
      <c r="P11" s="1385"/>
      <c r="Q11" s="1385"/>
      <c r="R11" s="1385"/>
      <c r="S11" s="1385"/>
      <c r="T11" s="1385"/>
      <c r="U11" s="1385"/>
      <c r="V11" s="1385"/>
      <c r="W11" s="1385"/>
      <c r="X11" s="1385"/>
      <c r="Y11" s="1385"/>
      <c r="Z11" s="1385"/>
      <c r="AA11" s="1385"/>
      <c r="AB11" s="1385"/>
      <c r="AC11" s="1385"/>
      <c r="AD11" s="1385"/>
      <c r="AE11" s="1385"/>
      <c r="AF11" s="1385"/>
      <c r="AG11" s="1385"/>
      <c r="AH11" s="1385"/>
      <c r="AI11" s="1385"/>
      <c r="AJ11" s="1385"/>
      <c r="AK11" s="1385"/>
      <c r="AL11" s="1385"/>
      <c r="AM11" s="1385"/>
      <c r="AN11" s="1385"/>
      <c r="AO11" s="1385"/>
      <c r="AP11" s="1385"/>
      <c r="AQ11" s="1385"/>
      <c r="AR11" s="1385"/>
      <c r="AS11" s="1385"/>
      <c r="AT11" s="1385"/>
      <c r="AU11" s="1385"/>
      <c r="AV11" s="1385"/>
      <c r="AW11" s="1385"/>
      <c r="AX11" s="1385"/>
      <c r="AY11" s="1385"/>
      <c r="AZ11" s="1385"/>
      <c r="BA11" s="1385"/>
      <c r="BB11" s="1385"/>
      <c r="BC11" s="1385"/>
      <c r="BD11" s="1385"/>
      <c r="BE11" s="1385"/>
      <c r="BF11" s="1385"/>
      <c r="BG11" s="1385"/>
      <c r="BH11" s="1385"/>
      <c r="BI11" s="1385"/>
      <c r="BJ11" s="1385"/>
      <c r="BK11" s="1385"/>
      <c r="BL11" s="1385"/>
      <c r="BM11" s="1385"/>
    </row>
    <row r="12">
      <c r="A12" s="1385"/>
      <c r="B12" s="1385"/>
      <c r="C12" s="1385"/>
      <c r="D12" s="1385"/>
      <c r="E12" s="1385"/>
      <c r="F12" s="1385"/>
      <c r="G12" s="1385"/>
      <c r="H12" s="1385"/>
      <c r="I12" s="1385"/>
      <c r="J12" s="1385"/>
      <c r="K12" s="1385"/>
      <c r="L12" s="1385"/>
      <c r="M12" s="1385"/>
      <c r="N12" s="1385"/>
      <c r="O12" s="1385"/>
      <c r="P12" s="1385"/>
      <c r="Q12" s="1385"/>
      <c r="R12" s="1385"/>
      <c r="S12" s="1385"/>
      <c r="T12" s="1385"/>
      <c r="U12" s="1385"/>
      <c r="V12" s="1385"/>
      <c r="W12" s="1385"/>
      <c r="X12" s="1385"/>
      <c r="Y12" s="1385"/>
      <c r="Z12" s="1385"/>
      <c r="AA12" s="1385"/>
      <c r="AB12" s="1385"/>
      <c r="AC12" s="1385"/>
      <c r="AD12" s="1385"/>
      <c r="AE12" s="1385"/>
      <c r="AF12" s="1385"/>
      <c r="AG12" s="1385"/>
      <c r="AH12" s="1385"/>
      <c r="AI12" s="1385"/>
      <c r="AJ12" s="1385"/>
      <c r="AK12" s="1385"/>
      <c r="AL12" s="1385"/>
      <c r="AM12" s="1385"/>
      <c r="AN12" s="1385"/>
      <c r="AO12" s="1385"/>
      <c r="AP12" s="1385"/>
      <c r="AQ12" s="1385"/>
      <c r="AR12" s="1385"/>
      <c r="AS12" s="1385"/>
      <c r="AT12" s="1385"/>
      <c r="AU12" s="1385"/>
      <c r="AV12" s="1385"/>
      <c r="AW12" s="1385"/>
      <c r="AX12" s="1385"/>
      <c r="AY12" s="1385"/>
      <c r="AZ12" s="1385"/>
      <c r="BA12" s="1385"/>
      <c r="BB12" s="1385"/>
      <c r="BC12" s="1385"/>
      <c r="BD12" s="1385"/>
      <c r="BE12" s="1385"/>
      <c r="BF12" s="1385"/>
      <c r="BG12" s="1385"/>
      <c r="BH12" s="1385"/>
      <c r="BI12" s="1385"/>
      <c r="BJ12" s="1385"/>
      <c r="BK12" s="1385"/>
      <c r="BL12" s="1385"/>
      <c r="BM12" s="1385"/>
    </row>
    <row r="13">
      <c r="A13" s="1399" t="s">
        <v>1210</v>
      </c>
      <c r="B13" s="1400"/>
      <c r="C13" s="1400"/>
      <c r="D13" s="1400"/>
      <c r="E13" s="1400"/>
      <c r="F13" s="1400"/>
      <c r="G13" s="1400"/>
      <c r="H13" s="1401"/>
      <c r="I13" s="1385"/>
      <c r="J13" s="1385"/>
      <c r="K13" s="1385"/>
      <c r="L13" s="1385"/>
      <c r="M13" s="1385"/>
      <c r="N13" s="1385"/>
      <c r="O13" s="1385"/>
      <c r="P13" s="1385"/>
      <c r="Q13" s="1385"/>
      <c r="R13" s="1385"/>
      <c r="S13" s="1385"/>
      <c r="T13" s="1385"/>
      <c r="U13" s="1385"/>
      <c r="V13" s="1385"/>
      <c r="W13" s="1385"/>
      <c r="X13" s="1385"/>
      <c r="Y13" s="1385"/>
      <c r="Z13" s="1385"/>
      <c r="AA13" s="1385"/>
      <c r="AB13" s="1385"/>
      <c r="AC13" s="1385"/>
      <c r="AD13" s="1385"/>
      <c r="AE13" s="1385"/>
      <c r="AF13" s="1385"/>
      <c r="AG13" s="1385"/>
      <c r="AH13" s="1385"/>
      <c r="AI13" s="1385"/>
      <c r="AJ13" s="1385"/>
      <c r="AK13" s="1385"/>
      <c r="AL13" s="1385"/>
      <c r="AM13" s="1385"/>
      <c r="AN13" s="1385"/>
      <c r="AO13" s="1385"/>
      <c r="AP13" s="1385"/>
      <c r="AQ13" s="1385"/>
      <c r="AR13" s="1385"/>
      <c r="AS13" s="1385"/>
      <c r="AT13" s="1385"/>
      <c r="AU13" s="1385"/>
      <c r="AV13" s="1385"/>
      <c r="AW13" s="1385"/>
      <c r="AX13" s="1385"/>
      <c r="AY13" s="1385"/>
      <c r="AZ13" s="1385"/>
      <c r="BA13" s="1385"/>
      <c r="BB13" s="1385"/>
      <c r="BC13" s="1385"/>
      <c r="BD13" s="1385"/>
      <c r="BE13" s="1385"/>
      <c r="BF13" s="1385"/>
      <c r="BG13" s="1385"/>
      <c r="BH13" s="1385"/>
      <c r="BI13" s="1385"/>
      <c r="BJ13" s="1385"/>
      <c r="BK13" s="1385"/>
      <c r="BL13" s="1385"/>
      <c r="BM13" s="1385"/>
    </row>
    <row r="14">
      <c r="A14" s="1410"/>
      <c r="H14" s="1411"/>
      <c r="I14" s="1385"/>
      <c r="J14" s="1385"/>
      <c r="K14" s="1385"/>
      <c r="L14" s="1385"/>
      <c r="M14" s="1385"/>
      <c r="N14" s="1385"/>
      <c r="O14" s="1385"/>
      <c r="P14" s="1385"/>
      <c r="Q14" s="1385"/>
      <c r="R14" s="1385"/>
      <c r="S14" s="1385"/>
      <c r="T14" s="1385"/>
      <c r="U14" s="1385"/>
      <c r="V14" s="1385"/>
      <c r="W14" s="1385"/>
      <c r="X14" s="1385"/>
      <c r="Y14" s="1385"/>
      <c r="Z14" s="1385"/>
      <c r="AA14" s="1385"/>
      <c r="AB14" s="1385"/>
      <c r="AC14" s="1385"/>
      <c r="AD14" s="1385"/>
      <c r="AE14" s="1385"/>
      <c r="AF14" s="1385"/>
      <c r="AG14" s="1385"/>
      <c r="AH14" s="1385"/>
      <c r="AI14" s="1385"/>
      <c r="AJ14" s="1385"/>
      <c r="AK14" s="1385"/>
      <c r="AL14" s="1385"/>
      <c r="AM14" s="1385"/>
      <c r="AN14" s="1385"/>
      <c r="AO14" s="1385"/>
      <c r="AP14" s="1385"/>
      <c r="AQ14" s="1385"/>
      <c r="AR14" s="1385"/>
      <c r="AS14" s="1385"/>
      <c r="AT14" s="1385"/>
      <c r="AU14" s="1385"/>
      <c r="AV14" s="1385"/>
      <c r="AW14" s="1385"/>
      <c r="AX14" s="1385"/>
      <c r="AY14" s="1385"/>
      <c r="AZ14" s="1385"/>
      <c r="BA14" s="1385"/>
      <c r="BB14" s="1385"/>
      <c r="BC14" s="1385"/>
      <c r="BD14" s="1385"/>
      <c r="BE14" s="1385"/>
      <c r="BF14" s="1385"/>
      <c r="BG14" s="1385"/>
      <c r="BH14" s="1385"/>
      <c r="BI14" s="1385"/>
      <c r="BJ14" s="1385"/>
      <c r="BK14" s="1385"/>
      <c r="BL14" s="1385"/>
      <c r="BM14" s="1385"/>
    </row>
    <row r="15">
      <c r="A15" s="1403"/>
      <c r="B15" s="1404"/>
      <c r="C15" s="1404"/>
      <c r="D15" s="1404"/>
      <c r="E15" s="1404"/>
      <c r="F15" s="1404"/>
      <c r="G15" s="1404"/>
      <c r="H15" s="1405"/>
      <c r="I15" s="1385"/>
      <c r="J15" s="1385"/>
      <c r="K15" s="1385"/>
      <c r="L15" s="1385"/>
      <c r="M15" s="1385"/>
      <c r="N15" s="1385"/>
      <c r="O15" s="1385"/>
      <c r="P15" s="1385"/>
      <c r="Q15" s="1385"/>
      <c r="R15" s="1385"/>
      <c r="S15" s="1385"/>
      <c r="T15" s="1385"/>
      <c r="U15" s="1385"/>
      <c r="V15" s="1385"/>
      <c r="W15" s="1385"/>
      <c r="X15" s="1385"/>
      <c r="Y15" s="1385"/>
      <c r="Z15" s="1385"/>
      <c r="AA15" s="1385"/>
      <c r="AB15" s="1385"/>
      <c r="AC15" s="1385"/>
      <c r="AD15" s="1385"/>
      <c r="AE15" s="1385"/>
      <c r="AF15" s="1385"/>
      <c r="AG15" s="1385"/>
      <c r="AH15" s="1385"/>
      <c r="AI15" s="1385"/>
      <c r="AJ15" s="1385"/>
      <c r="AK15" s="1385"/>
      <c r="AL15" s="1385"/>
      <c r="AM15" s="1385"/>
      <c r="AN15" s="1385"/>
      <c r="AO15" s="1385"/>
      <c r="AP15" s="1385"/>
      <c r="AQ15" s="1385"/>
      <c r="AR15" s="1385"/>
      <c r="AS15" s="1385"/>
      <c r="AT15" s="1385"/>
      <c r="AU15" s="1385"/>
      <c r="AV15" s="1385"/>
      <c r="AW15" s="1385"/>
      <c r="AX15" s="1385"/>
      <c r="AY15" s="1385"/>
      <c r="AZ15" s="1385"/>
      <c r="BA15" s="1385"/>
      <c r="BB15" s="1385"/>
      <c r="BC15" s="1385"/>
      <c r="BD15" s="1385"/>
      <c r="BE15" s="1385"/>
      <c r="BF15" s="1385"/>
      <c r="BG15" s="1385"/>
      <c r="BH15" s="1385"/>
      <c r="BI15" s="1385"/>
      <c r="BJ15" s="1385"/>
      <c r="BK15" s="1385"/>
      <c r="BL15" s="1385"/>
      <c r="BM15" s="1385"/>
    </row>
    <row r="16">
      <c r="A16" s="1399" t="s">
        <v>1212</v>
      </c>
      <c r="B16" s="1400"/>
      <c r="C16" s="1400"/>
      <c r="D16" s="1400"/>
      <c r="E16" s="1400"/>
      <c r="F16" s="1400"/>
      <c r="G16" s="1400"/>
      <c r="H16" s="1401"/>
      <c r="I16" s="1385"/>
      <c r="J16" s="1385"/>
      <c r="K16" s="1385"/>
      <c r="L16" s="1385"/>
      <c r="M16" s="1385"/>
      <c r="N16" s="1385"/>
      <c r="O16" s="1385"/>
      <c r="P16" s="1385"/>
      <c r="Q16" s="1385"/>
      <c r="R16" s="1385"/>
      <c r="S16" s="1385"/>
      <c r="T16" s="1385"/>
      <c r="U16" s="1385"/>
      <c r="V16" s="1385"/>
      <c r="W16" s="1385"/>
      <c r="X16" s="1385"/>
      <c r="Y16" s="1385"/>
      <c r="Z16" s="1385"/>
      <c r="AA16" s="1385"/>
      <c r="AB16" s="1385"/>
      <c r="AC16" s="1385"/>
      <c r="AD16" s="1385"/>
      <c r="AE16" s="1385"/>
      <c r="AF16" s="1385"/>
      <c r="AG16" s="1385"/>
      <c r="AH16" s="1385"/>
      <c r="AI16" s="1385"/>
      <c r="AJ16" s="1385"/>
      <c r="AK16" s="1385"/>
      <c r="AL16" s="1385"/>
      <c r="AM16" s="1385"/>
      <c r="AN16" s="1385"/>
      <c r="AO16" s="1385"/>
      <c r="AP16" s="1385"/>
      <c r="AQ16" s="1385"/>
      <c r="AR16" s="1385"/>
      <c r="AS16" s="1385"/>
      <c r="AT16" s="1385"/>
      <c r="AU16" s="1385"/>
      <c r="AV16" s="1385"/>
      <c r="AW16" s="1385"/>
      <c r="AX16" s="1385"/>
      <c r="AY16" s="1385"/>
      <c r="AZ16" s="1385"/>
      <c r="BA16" s="1385"/>
      <c r="BB16" s="1385"/>
      <c r="BC16" s="1385"/>
      <c r="BD16" s="1385"/>
      <c r="BE16" s="1385"/>
      <c r="BF16" s="1385"/>
      <c r="BG16" s="1385"/>
      <c r="BH16" s="1385"/>
      <c r="BI16" s="1385"/>
      <c r="BJ16" s="1385"/>
      <c r="BK16" s="1385"/>
      <c r="BL16" s="1385"/>
      <c r="BM16" s="1385"/>
    </row>
    <row r="17">
      <c r="A17" s="1403"/>
      <c r="B17" s="1404"/>
      <c r="C17" s="1404"/>
      <c r="D17" s="1404"/>
      <c r="E17" s="1404"/>
      <c r="F17" s="1404"/>
      <c r="G17" s="1404"/>
      <c r="H17" s="1405"/>
      <c r="I17" s="1385"/>
      <c r="J17" s="1385"/>
      <c r="K17" s="1385"/>
      <c r="L17" s="1385"/>
      <c r="M17" s="1385"/>
      <c r="N17" s="1385"/>
      <c r="O17" s="1385"/>
      <c r="P17" s="1385"/>
      <c r="Q17" s="1385"/>
      <c r="R17" s="1385"/>
      <c r="S17" s="1385"/>
      <c r="T17" s="1385"/>
      <c r="U17" s="1385"/>
      <c r="V17" s="1385"/>
      <c r="W17" s="1385"/>
      <c r="X17" s="1385"/>
      <c r="Y17" s="1385"/>
      <c r="Z17" s="1385"/>
      <c r="AA17" s="1385"/>
      <c r="AB17" s="1385"/>
      <c r="AC17" s="1385"/>
      <c r="AD17" s="1385"/>
      <c r="AE17" s="1385"/>
      <c r="AF17" s="1385"/>
      <c r="AG17" s="1385"/>
      <c r="AH17" s="1385"/>
      <c r="AI17" s="1385"/>
      <c r="AJ17" s="1385"/>
      <c r="AK17" s="1385"/>
      <c r="AL17" s="1385"/>
      <c r="AM17" s="1385"/>
      <c r="AN17" s="1385"/>
      <c r="AO17" s="1385"/>
      <c r="AP17" s="1385"/>
      <c r="AQ17" s="1385"/>
      <c r="AR17" s="1385"/>
      <c r="AS17" s="1385"/>
      <c r="AT17" s="1385"/>
      <c r="AU17" s="1385"/>
      <c r="AV17" s="1385"/>
      <c r="AW17" s="1385"/>
      <c r="AX17" s="1385"/>
      <c r="AY17" s="1385"/>
      <c r="AZ17" s="1385"/>
      <c r="BA17" s="1385"/>
      <c r="BB17" s="1385"/>
      <c r="BC17" s="1385"/>
      <c r="BD17" s="1385"/>
      <c r="BE17" s="1385"/>
      <c r="BF17" s="1385"/>
      <c r="BG17" s="1385"/>
      <c r="BH17" s="1385"/>
      <c r="BI17" s="1385"/>
      <c r="BJ17" s="1385"/>
      <c r="BK17" s="1385"/>
      <c r="BL17" s="1385"/>
      <c r="BM17" s="1385"/>
    </row>
    <row r="18">
      <c r="A18" s="1385"/>
      <c r="B18" s="1385"/>
      <c r="C18" s="1385"/>
      <c r="D18" s="1385"/>
      <c r="E18" s="1385"/>
      <c r="F18" s="1385"/>
      <c r="G18" s="1385"/>
      <c r="H18" s="1385"/>
      <c r="I18" s="1385"/>
      <c r="J18" s="1385"/>
      <c r="K18" s="1385"/>
      <c r="L18" s="1385"/>
      <c r="M18" s="1385"/>
      <c r="N18" s="1385"/>
      <c r="O18" s="1385"/>
      <c r="P18" s="1385"/>
      <c r="Q18" s="1385"/>
      <c r="R18" s="1385"/>
      <c r="S18" s="1385"/>
      <c r="T18" s="1385"/>
      <c r="U18" s="1385"/>
      <c r="V18" s="1385"/>
      <c r="W18" s="1385"/>
      <c r="X18" s="1385"/>
      <c r="Y18" s="1385"/>
      <c r="Z18" s="1385"/>
      <c r="AA18" s="1385"/>
      <c r="AB18" s="1385"/>
      <c r="AC18" s="1385"/>
      <c r="AD18" s="1385"/>
      <c r="AE18" s="1385"/>
      <c r="AF18" s="1385"/>
      <c r="AG18" s="1385"/>
      <c r="AH18" s="1385"/>
      <c r="AI18" s="1385"/>
      <c r="AJ18" s="1385"/>
      <c r="AK18" s="1385"/>
      <c r="AL18" s="1385"/>
      <c r="AM18" s="1385"/>
      <c r="AN18" s="1385"/>
      <c r="AO18" s="1385"/>
      <c r="AP18" s="1385"/>
      <c r="AQ18" s="1385"/>
      <c r="AR18" s="1385"/>
      <c r="AS18" s="1385"/>
      <c r="AT18" s="1385"/>
      <c r="AU18" s="1385"/>
      <c r="AV18" s="1385"/>
      <c r="AW18" s="1385"/>
      <c r="AX18" s="1385"/>
      <c r="AY18" s="1385"/>
      <c r="AZ18" s="1385"/>
      <c r="BA18" s="1385"/>
      <c r="BB18" s="1385"/>
      <c r="BC18" s="1385"/>
      <c r="BD18" s="1385"/>
      <c r="BE18" s="1385"/>
      <c r="BF18" s="1385"/>
      <c r="BG18" s="1385"/>
      <c r="BH18" s="1385"/>
      <c r="BI18" s="1385"/>
      <c r="BJ18" s="1385"/>
      <c r="BK18" s="1385"/>
      <c r="BL18" s="1385"/>
      <c r="BM18" s="1385"/>
    </row>
    <row r="19">
      <c r="A19" s="1412" t="s">
        <v>1214</v>
      </c>
      <c r="B19" s="1413"/>
      <c r="C19" s="1413"/>
      <c r="D19" s="1412" t="s">
        <v>3</v>
      </c>
      <c r="E19" s="1412" t="s">
        <v>4</v>
      </c>
      <c r="F19" s="1413"/>
      <c r="G19" s="1412" t="s">
        <v>5</v>
      </c>
      <c r="H19" s="1412" t="s">
        <v>6</v>
      </c>
      <c r="I19" s="1412" t="s">
        <v>7</v>
      </c>
      <c r="J19" s="1412" t="s">
        <v>8</v>
      </c>
      <c r="K19" s="1412" t="s">
        <v>9</v>
      </c>
      <c r="L19" s="1412" t="s">
        <v>10</v>
      </c>
      <c r="M19" s="1412" t="s">
        <v>11</v>
      </c>
      <c r="N19" s="1412" t="s">
        <v>12</v>
      </c>
      <c r="O19" s="1412" t="s">
        <v>13</v>
      </c>
      <c r="P19" s="1413"/>
      <c r="Q19" s="1412" t="s">
        <v>14</v>
      </c>
      <c r="R19" s="1412" t="s">
        <v>15</v>
      </c>
      <c r="S19" s="1412" t="s">
        <v>16</v>
      </c>
      <c r="T19" s="1412" t="s">
        <v>17</v>
      </c>
      <c r="U19" s="1412" t="s">
        <v>18</v>
      </c>
      <c r="V19" s="1413"/>
      <c r="W19" s="1412" t="s">
        <v>19</v>
      </c>
      <c r="X19" s="1412" t="s">
        <v>20</v>
      </c>
      <c r="Y19" s="1412" t="s">
        <v>21</v>
      </c>
      <c r="Z19" s="1412" t="s">
        <v>22</v>
      </c>
      <c r="AA19" s="1412" t="s">
        <v>23</v>
      </c>
      <c r="AB19" s="1412" t="s">
        <v>24</v>
      </c>
      <c r="AC19" s="1412" t="s">
        <v>26</v>
      </c>
      <c r="AD19" s="1412" t="s">
        <v>27</v>
      </c>
      <c r="AE19" s="1412" t="s">
        <v>28</v>
      </c>
      <c r="AF19" s="1412" t="s">
        <v>29</v>
      </c>
      <c r="AG19" s="1412" t="s">
        <v>30</v>
      </c>
      <c r="AH19" s="1413"/>
      <c r="AI19" s="1413"/>
      <c r="AJ19" s="1412" t="s">
        <v>31</v>
      </c>
      <c r="AK19" s="1412" t="s">
        <v>32</v>
      </c>
      <c r="AL19" s="1412" t="s">
        <v>33</v>
      </c>
      <c r="AM19" s="1413"/>
      <c r="AN19" s="1412" t="s">
        <v>34</v>
      </c>
      <c r="AO19" s="1412" t="s">
        <v>35</v>
      </c>
      <c r="AP19" s="1412" t="s">
        <v>36</v>
      </c>
      <c r="AQ19" s="1412" t="s">
        <v>37</v>
      </c>
      <c r="AR19" s="1413"/>
      <c r="AS19" s="1413"/>
      <c r="AT19" s="1412" t="s">
        <v>38</v>
      </c>
      <c r="AU19" s="1412" t="s">
        <v>39</v>
      </c>
      <c r="AV19" s="1412" t="s">
        <v>40</v>
      </c>
      <c r="AW19" s="1412" t="s">
        <v>1217</v>
      </c>
      <c r="AX19" s="1413"/>
      <c r="AY19" s="1413"/>
      <c r="AZ19" s="1413"/>
      <c r="BA19" s="1413"/>
      <c r="BB19" s="1413"/>
      <c r="BC19" s="1413"/>
      <c r="BD19" s="1413"/>
      <c r="BE19" s="1413"/>
      <c r="BF19" s="1413"/>
      <c r="BG19" s="1413"/>
      <c r="BH19" s="1413"/>
      <c r="BI19" s="1413"/>
      <c r="BJ19" s="1413"/>
      <c r="BK19" s="1413"/>
      <c r="BL19" s="1413"/>
      <c r="BM19" s="1413"/>
    </row>
    <row r="20" hidden="1">
      <c r="A20" s="1" t="s">
        <v>1218</v>
      </c>
      <c r="C20" s="1" t="s">
        <v>1219</v>
      </c>
      <c r="D20" s="1" t="s">
        <v>1220</v>
      </c>
      <c r="E20" s="1" t="s">
        <v>1221</v>
      </c>
      <c r="G20" s="1" t="s">
        <v>1222</v>
      </c>
      <c r="H20" s="1" t="s">
        <v>1223</v>
      </c>
      <c r="I20" s="1" t="s">
        <v>1224</v>
      </c>
      <c r="J20" s="1" t="s">
        <v>1225</v>
      </c>
      <c r="K20" s="1" t="s">
        <v>1226</v>
      </c>
      <c r="L20" s="1" t="s">
        <v>1227</v>
      </c>
      <c r="M20" s="1" t="s">
        <v>1228</v>
      </c>
      <c r="N20" s="1" t="s">
        <v>1229</v>
      </c>
      <c r="O20" s="1" t="s">
        <v>1230</v>
      </c>
      <c r="Q20" s="1" t="s">
        <v>1231</v>
      </c>
      <c r="R20" s="1" t="s">
        <v>1232</v>
      </c>
      <c r="S20" s="1" t="s">
        <v>1233</v>
      </c>
      <c r="T20" s="1" t="s">
        <v>1234</v>
      </c>
      <c r="U20" s="1" t="s">
        <v>1235</v>
      </c>
      <c r="W20" s="1" t="s">
        <v>1236</v>
      </c>
      <c r="X20" s="1" t="s">
        <v>1237</v>
      </c>
      <c r="Y20" s="1" t="s">
        <v>1238</v>
      </c>
      <c r="Z20" s="1" t="s">
        <v>1239</v>
      </c>
      <c r="AA20" s="1" t="s">
        <v>1240</v>
      </c>
      <c r="AB20" s="1" t="s">
        <v>1241</v>
      </c>
      <c r="AC20" s="1" t="s">
        <v>1242</v>
      </c>
      <c r="AD20" s="1" t="s">
        <v>1243</v>
      </c>
      <c r="AE20" s="1" t="s">
        <v>1244</v>
      </c>
      <c r="AF20" s="1" t="s">
        <v>1245</v>
      </c>
      <c r="AG20" s="1" t="s">
        <v>1246</v>
      </c>
      <c r="AJ20" s="1" t="s">
        <v>1247</v>
      </c>
      <c r="AK20" s="1" t="s">
        <v>1248</v>
      </c>
      <c r="AL20" s="1" t="s">
        <v>1249</v>
      </c>
      <c r="AN20" s="1" t="s">
        <v>1250</v>
      </c>
      <c r="AO20" s="1" t="s">
        <v>1251</v>
      </c>
      <c r="AP20" s="1" t="s">
        <v>1252</v>
      </c>
      <c r="AQ20" s="1" t="s">
        <v>1253</v>
      </c>
      <c r="AR20" s="1" t="s">
        <v>1254</v>
      </c>
      <c r="AS20" s="1" t="s">
        <v>1255</v>
      </c>
      <c r="AT20" s="1" t="s">
        <v>1256</v>
      </c>
      <c r="AU20" s="1" t="s">
        <v>1257</v>
      </c>
      <c r="AV20" s="1" t="s">
        <v>1258</v>
      </c>
      <c r="AW20" s="1" t="s">
        <v>1259</v>
      </c>
    </row>
  </sheetData>
  <mergeCells count="5">
    <mergeCell ref="A6:G7"/>
    <mergeCell ref="A8:G9"/>
    <mergeCell ref="A10:G11"/>
    <mergeCell ref="A13:H15"/>
    <mergeCell ref="A16:H17"/>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25.38"/>
    <col customWidth="1" min="2" max="9" width="23.13"/>
  </cols>
  <sheetData>
    <row r="1">
      <c r="A1" s="1417" t="s">
        <v>1272</v>
      </c>
    </row>
    <row r="2">
      <c r="A2" s="1418" t="s">
        <v>1273</v>
      </c>
      <c r="B2" s="1418" t="s">
        <v>622</v>
      </c>
      <c r="C2" s="1418" t="s">
        <v>630</v>
      </c>
      <c r="D2" s="1418" t="s">
        <v>623</v>
      </c>
      <c r="E2" s="1418" t="s">
        <v>147</v>
      </c>
      <c r="F2" s="1418" t="s">
        <v>150</v>
      </c>
      <c r="G2" s="1418" t="s">
        <v>653</v>
      </c>
      <c r="H2" s="1" t="s">
        <v>1274</v>
      </c>
      <c r="I2" s="1" t="s">
        <v>657</v>
      </c>
      <c r="J2" s="1" t="s">
        <v>1275</v>
      </c>
    </row>
    <row r="3">
      <c r="A3" s="1419" t="s">
        <v>1276</v>
      </c>
      <c r="B3" s="1419" t="s">
        <v>1277</v>
      </c>
      <c r="C3" s="1419" t="s">
        <v>1277</v>
      </c>
      <c r="D3" s="1419" t="s">
        <v>1278</v>
      </c>
      <c r="E3" s="1419" t="s">
        <v>1278</v>
      </c>
      <c r="F3" s="1419" t="s">
        <v>1278</v>
      </c>
      <c r="G3" s="1419" t="s">
        <v>1278</v>
      </c>
    </row>
    <row r="5">
      <c r="A5" s="1114" t="s">
        <v>615</v>
      </c>
    </row>
    <row r="6">
      <c r="A6" s="1421" t="s">
        <v>614</v>
      </c>
    </row>
    <row r="7">
      <c r="A7" s="1208" t="s">
        <v>1279</v>
      </c>
      <c r="B7" s="1422" t="s">
        <v>1280</v>
      </c>
      <c r="C7" s="1422" t="s">
        <v>1280</v>
      </c>
      <c r="D7" s="1422" t="s">
        <v>1280</v>
      </c>
      <c r="E7" s="1422" t="s">
        <v>1280</v>
      </c>
      <c r="F7" s="1422" t="s">
        <v>1280</v>
      </c>
      <c r="G7" s="1422" t="s">
        <v>1280</v>
      </c>
    </row>
    <row r="8">
      <c r="A8" s="1208" t="s">
        <v>1281</v>
      </c>
      <c r="B8" s="1422" t="s">
        <v>1282</v>
      </c>
      <c r="C8" s="1422" t="s">
        <v>1282</v>
      </c>
      <c r="D8" s="1422" t="s">
        <v>1282</v>
      </c>
      <c r="E8" s="1422" t="s">
        <v>1282</v>
      </c>
      <c r="F8" s="1422" t="s">
        <v>1282</v>
      </c>
      <c r="G8" s="1422" t="s">
        <v>1282</v>
      </c>
    </row>
    <row r="9">
      <c r="A9" s="1208" t="s">
        <v>1283</v>
      </c>
      <c r="B9" s="1422" t="s">
        <v>1284</v>
      </c>
      <c r="C9" s="1422" t="s">
        <v>1284</v>
      </c>
      <c r="D9" s="1422" t="s">
        <v>1284</v>
      </c>
      <c r="E9" s="1422" t="s">
        <v>1284</v>
      </c>
      <c r="F9" s="1422" t="s">
        <v>1284</v>
      </c>
      <c r="G9" s="1422" t="s">
        <v>1284</v>
      </c>
    </row>
    <row r="10">
      <c r="A10" s="1208" t="s">
        <v>1285</v>
      </c>
      <c r="B10" s="1424">
        <v>150000.0</v>
      </c>
      <c r="C10" s="1424">
        <v>150000.0</v>
      </c>
      <c r="D10" s="1425"/>
      <c r="E10" s="1425"/>
      <c r="F10" s="1425"/>
      <c r="G10" s="1425"/>
    </row>
    <row r="11">
      <c r="A11" s="1208" t="s">
        <v>1286</v>
      </c>
      <c r="B11" s="1422" t="s">
        <v>1287</v>
      </c>
      <c r="C11" s="1422" t="s">
        <v>1287</v>
      </c>
      <c r="D11" s="1425"/>
      <c r="E11" s="1425"/>
      <c r="F11" s="1425"/>
      <c r="G11" s="1425"/>
    </row>
    <row r="12">
      <c r="B12" s="1422"/>
      <c r="C12" s="1422"/>
      <c r="D12" s="1422"/>
      <c r="E12" s="1422"/>
      <c r="F12" s="1422"/>
      <c r="G12" s="1422"/>
    </row>
    <row r="13">
      <c r="A13" s="1427" t="s">
        <v>1288</v>
      </c>
      <c r="B13" s="1117">
        <v>6.1433</v>
      </c>
      <c r="C13" s="1117">
        <v>6.1433</v>
      </c>
      <c r="D13" s="1428">
        <v>0.0</v>
      </c>
      <c r="E13" s="1428">
        <v>0.0</v>
      </c>
      <c r="F13" s="1428">
        <v>0.0</v>
      </c>
      <c r="G13" s="1428">
        <v>0.0</v>
      </c>
      <c r="H13" s="1429"/>
      <c r="I13" s="1430"/>
    </row>
    <row r="14">
      <c r="A14" s="1427" t="s">
        <v>1289</v>
      </c>
      <c r="B14" s="1117">
        <v>38.23</v>
      </c>
      <c r="C14" s="1117">
        <v>45.3</v>
      </c>
      <c r="D14" s="1431">
        <v>6.87</v>
      </c>
      <c r="E14" s="1431">
        <v>3.79</v>
      </c>
      <c r="F14" s="1431">
        <v>0.82</v>
      </c>
      <c r="G14" s="1432">
        <v>3.8336</v>
      </c>
      <c r="H14" s="1429"/>
      <c r="I14" s="1430"/>
    </row>
    <row r="15">
      <c r="A15" s="1427" t="s">
        <v>1290</v>
      </c>
      <c r="B15" s="1117">
        <f t="shared" ref="B15:G15" si="1">(B13+B14)*B23</f>
        <v>15.530655</v>
      </c>
      <c r="C15" s="1117">
        <f t="shared" si="1"/>
        <v>18.005155</v>
      </c>
      <c r="D15" s="1117">
        <f t="shared" si="1"/>
        <v>2.4045</v>
      </c>
      <c r="E15" s="1117">
        <f t="shared" si="1"/>
        <v>1.137</v>
      </c>
      <c r="F15" s="1117">
        <f t="shared" si="1"/>
        <v>0.246</v>
      </c>
      <c r="G15" s="1117">
        <f t="shared" si="1"/>
        <v>1.15008</v>
      </c>
      <c r="H15" s="1429"/>
      <c r="I15" s="1430"/>
    </row>
    <row r="16">
      <c r="A16" s="1427" t="s">
        <v>1291</v>
      </c>
      <c r="B16" s="1117">
        <v>8.1762</v>
      </c>
      <c r="C16" s="1117">
        <v>8.1762</v>
      </c>
      <c r="D16" s="1433">
        <v>0.544</v>
      </c>
      <c r="E16" s="1434">
        <v>0.0</v>
      </c>
      <c r="F16" s="1434">
        <v>0.0</v>
      </c>
      <c r="G16" s="1434">
        <v>0.8422</v>
      </c>
      <c r="H16" s="1429"/>
      <c r="I16" s="1435"/>
    </row>
    <row r="17">
      <c r="A17" s="1427" t="s">
        <v>1292</v>
      </c>
      <c r="B17" s="1117">
        <f t="shared" ref="B17:G17" si="2">B16*B24</f>
        <v>2.45286</v>
      </c>
      <c r="C17" s="1117">
        <f t="shared" si="2"/>
        <v>2.45286</v>
      </c>
      <c r="D17" s="1117">
        <f t="shared" si="2"/>
        <v>0.1632</v>
      </c>
      <c r="E17" s="1117">
        <f t="shared" si="2"/>
        <v>0</v>
      </c>
      <c r="F17" s="1117">
        <f t="shared" si="2"/>
        <v>0</v>
      </c>
      <c r="G17" s="1117">
        <f t="shared" si="2"/>
        <v>0.25266</v>
      </c>
      <c r="H17" s="1429"/>
      <c r="I17" s="1430"/>
    </row>
    <row r="18">
      <c r="A18" s="1436" t="s">
        <v>1294</v>
      </c>
      <c r="B18" s="1437">
        <f t="shared" ref="B18:G18" si="3">SUM(B13:B17)</f>
        <v>70.533015</v>
      </c>
      <c r="C18" s="1437">
        <f t="shared" si="3"/>
        <v>80.077515</v>
      </c>
      <c r="D18" s="1437">
        <f t="shared" si="3"/>
        <v>9.9817</v>
      </c>
      <c r="E18" s="1437">
        <f t="shared" si="3"/>
        <v>4.927</v>
      </c>
      <c r="F18" s="1437">
        <f t="shared" si="3"/>
        <v>1.066</v>
      </c>
      <c r="G18" s="1437">
        <f t="shared" si="3"/>
        <v>6.07854</v>
      </c>
      <c r="H18" s="1438"/>
      <c r="I18" s="204"/>
    </row>
    <row r="19">
      <c r="A19" s="1150"/>
      <c r="B19" s="1422"/>
      <c r="C19" s="1422"/>
      <c r="D19" s="1422"/>
      <c r="E19" s="1422"/>
      <c r="F19" s="1422"/>
      <c r="G19" s="1422"/>
      <c r="H19" s="1429"/>
      <c r="I19" s="1430"/>
    </row>
    <row r="20">
      <c r="A20" s="1422" t="s">
        <v>1295</v>
      </c>
      <c r="B20" s="1117">
        <v>10.0</v>
      </c>
      <c r="C20" s="1117">
        <v>10.0</v>
      </c>
      <c r="D20" s="1117">
        <v>0.0</v>
      </c>
      <c r="E20" s="1117">
        <v>0.0</v>
      </c>
      <c r="F20" s="1117">
        <v>0.0</v>
      </c>
      <c r="G20" s="1117">
        <v>0.0</v>
      </c>
      <c r="H20" s="1429"/>
      <c r="I20" s="1430"/>
    </row>
    <row r="21">
      <c r="A21" s="1422" t="s">
        <v>1296</v>
      </c>
      <c r="B21" s="1117">
        <v>1.88</v>
      </c>
      <c r="C21" s="1117">
        <v>1.88</v>
      </c>
      <c r="D21" s="1117">
        <v>0.0</v>
      </c>
      <c r="E21" s="1117">
        <v>0.0</v>
      </c>
      <c r="F21" s="1117">
        <v>0.0</v>
      </c>
      <c r="G21" s="1117">
        <v>0.0</v>
      </c>
      <c r="H21" s="1429"/>
      <c r="I21" s="1430"/>
    </row>
    <row r="22">
      <c r="A22" s="1150"/>
      <c r="B22" s="1422"/>
      <c r="C22" s="1422"/>
      <c r="D22" s="1422"/>
      <c r="E22" s="1422"/>
      <c r="F22" s="1422"/>
      <c r="G22" s="1422"/>
      <c r="H22" s="1429"/>
      <c r="I22" s="1430"/>
    </row>
    <row r="23">
      <c r="A23" s="1422" t="s">
        <v>1297</v>
      </c>
      <c r="B23" s="1439">
        <v>0.35</v>
      </c>
      <c r="C23" s="1439">
        <v>0.35</v>
      </c>
      <c r="D23" s="1439">
        <v>0.35</v>
      </c>
      <c r="E23" s="1439">
        <v>0.3</v>
      </c>
      <c r="F23" s="1439">
        <v>0.3</v>
      </c>
      <c r="G23" s="1440">
        <v>0.3</v>
      </c>
      <c r="H23" s="1429"/>
      <c r="I23" s="1435"/>
    </row>
    <row r="24">
      <c r="A24" s="1" t="s">
        <v>1298</v>
      </c>
      <c r="B24" s="1439">
        <v>0.3</v>
      </c>
      <c r="C24" s="1439">
        <v>0.3</v>
      </c>
      <c r="D24" s="1439">
        <v>0.3</v>
      </c>
      <c r="E24" s="1440">
        <v>0.3</v>
      </c>
      <c r="F24" s="1440">
        <v>0.3</v>
      </c>
      <c r="G24" s="1440">
        <v>0.3</v>
      </c>
      <c r="H24" s="1429"/>
      <c r="I24" s="1430"/>
    </row>
    <row r="25">
      <c r="B25" s="1422"/>
      <c r="C25" s="1422"/>
      <c r="D25" s="1422"/>
      <c r="E25" s="1422"/>
      <c r="F25" s="1422"/>
      <c r="G25" s="1422"/>
      <c r="H25" s="1429"/>
      <c r="I25" s="1430"/>
    </row>
    <row r="26">
      <c r="A26" s="1427" t="s">
        <v>1299</v>
      </c>
      <c r="B26" s="1117">
        <f t="shared" ref="B26:G26" si="4">sum(B13:B17)*B32</f>
        <v>0</v>
      </c>
      <c r="C26" s="1117">
        <f t="shared" si="4"/>
        <v>0</v>
      </c>
      <c r="D26" s="1117">
        <f t="shared" si="4"/>
        <v>0.2495425</v>
      </c>
      <c r="E26" s="1117">
        <f t="shared" si="4"/>
        <v>0.167518</v>
      </c>
      <c r="F26" s="1117">
        <f t="shared" si="4"/>
        <v>0.036244</v>
      </c>
      <c r="G26" s="1117">
        <f t="shared" si="4"/>
        <v>0.20667036</v>
      </c>
      <c r="H26" s="17"/>
      <c r="I26" s="204"/>
    </row>
    <row r="27">
      <c r="A27" s="1427" t="s">
        <v>1300</v>
      </c>
      <c r="B27" s="1117">
        <f t="shared" ref="B27:G27" si="5">sum(B13:B17)*B33</f>
        <v>5.289976125</v>
      </c>
      <c r="C27" s="1117">
        <f t="shared" si="5"/>
        <v>6.005813625</v>
      </c>
      <c r="D27" s="1117">
        <f t="shared" si="5"/>
        <v>2.495425</v>
      </c>
      <c r="E27" s="1117">
        <f t="shared" si="5"/>
        <v>0.369525</v>
      </c>
      <c r="F27" s="1117">
        <f t="shared" si="5"/>
        <v>0.07995</v>
      </c>
      <c r="G27" s="1117">
        <f t="shared" si="5"/>
        <v>0.4558905</v>
      </c>
      <c r="H27" s="1429"/>
      <c r="I27" s="1441"/>
    </row>
    <row r="28">
      <c r="A28" s="1427" t="s">
        <v>643</v>
      </c>
      <c r="B28" s="1117">
        <f t="shared" ref="B28:G28" si="6">SUM($B$13:$B$17)*B34</f>
        <v>0.08816626875</v>
      </c>
      <c r="C28" s="1117">
        <f t="shared" si="6"/>
        <v>0.08816626875</v>
      </c>
      <c r="D28" s="1117">
        <f t="shared" si="6"/>
        <v>0.08816626875</v>
      </c>
      <c r="E28" s="1117">
        <f t="shared" si="6"/>
        <v>0.08816626875</v>
      </c>
      <c r="F28" s="1117">
        <f t="shared" si="6"/>
        <v>0.08816626875</v>
      </c>
      <c r="G28" s="1117">
        <f t="shared" si="6"/>
        <v>0.08816626875</v>
      </c>
    </row>
    <row r="29">
      <c r="A29" s="1427" t="s">
        <v>647</v>
      </c>
      <c r="B29" s="1117">
        <f t="shared" ref="B29:G29" si="7">SUM($B$13:$B$17)*B35</f>
        <v>0.244326364</v>
      </c>
      <c r="C29" s="1117">
        <f t="shared" si="7"/>
        <v>0.244326364</v>
      </c>
      <c r="D29" s="1117">
        <f t="shared" si="7"/>
        <v>0.244326364</v>
      </c>
      <c r="E29" s="1117">
        <f t="shared" si="7"/>
        <v>0.244326364</v>
      </c>
      <c r="F29" s="1117">
        <f t="shared" si="7"/>
        <v>0.244326364</v>
      </c>
      <c r="G29" s="1117">
        <f t="shared" si="7"/>
        <v>0.244326364</v>
      </c>
    </row>
    <row r="30">
      <c r="A30" s="1436" t="s">
        <v>1303</v>
      </c>
      <c r="B30" s="1437">
        <f t="shared" ref="B30:G30" si="8">SUM(B26:B29)</f>
        <v>5.622468758</v>
      </c>
      <c r="C30" s="1437">
        <f t="shared" si="8"/>
        <v>6.338306258</v>
      </c>
      <c r="D30" s="1437">
        <f t="shared" si="8"/>
        <v>3.077460133</v>
      </c>
      <c r="E30" s="1437">
        <f t="shared" si="8"/>
        <v>0.8695356327</v>
      </c>
      <c r="F30" s="1437">
        <f t="shared" si="8"/>
        <v>0.4486866327</v>
      </c>
      <c r="G30" s="1437">
        <f t="shared" si="8"/>
        <v>0.9950534927</v>
      </c>
    </row>
    <row r="31">
      <c r="B31" s="1422"/>
      <c r="C31" s="1422"/>
      <c r="D31" s="1422"/>
      <c r="E31" s="1422"/>
      <c r="F31" s="1422"/>
      <c r="G31" s="1422"/>
    </row>
    <row r="32">
      <c r="A32" s="1445" t="s">
        <v>1304</v>
      </c>
      <c r="B32" s="1439">
        <v>0.0</v>
      </c>
      <c r="C32" s="1439">
        <v>0.0</v>
      </c>
      <c r="D32" s="1439">
        <v>0.025</v>
      </c>
      <c r="E32" s="1439">
        <v>0.034</v>
      </c>
      <c r="F32" s="1439">
        <v>0.034</v>
      </c>
      <c r="G32" s="1439">
        <v>0.034</v>
      </c>
    </row>
    <row r="33">
      <c r="A33" s="1445" t="s">
        <v>1305</v>
      </c>
      <c r="B33" s="1439">
        <v>0.075</v>
      </c>
      <c r="C33" s="1439">
        <v>0.075</v>
      </c>
      <c r="D33" s="1439">
        <v>0.25</v>
      </c>
      <c r="E33" s="1439">
        <v>0.075</v>
      </c>
      <c r="F33" s="1439">
        <v>0.075</v>
      </c>
      <c r="G33" s="1439">
        <v>0.075</v>
      </c>
    </row>
    <row r="34">
      <c r="A34" s="1" t="s">
        <v>1307</v>
      </c>
      <c r="B34" s="1446">
        <v>0.00125</v>
      </c>
      <c r="C34" s="1446">
        <v>0.00125</v>
      </c>
      <c r="D34" s="1446">
        <v>0.00125</v>
      </c>
      <c r="E34" s="1446">
        <v>0.00125</v>
      </c>
      <c r="F34" s="1446">
        <v>0.00125</v>
      </c>
      <c r="G34" s="1446">
        <v>0.00125</v>
      </c>
    </row>
    <row r="35">
      <c r="A35" s="1" t="s">
        <v>1309</v>
      </c>
      <c r="B35" s="1447">
        <v>0.003464</v>
      </c>
      <c r="C35" s="1447">
        <v>0.003464</v>
      </c>
      <c r="D35" s="1447">
        <v>0.003464</v>
      </c>
      <c r="E35" s="1447">
        <v>0.003464</v>
      </c>
      <c r="F35" s="1447">
        <v>0.003464</v>
      </c>
      <c r="G35" s="1447">
        <v>0.003464</v>
      </c>
    </row>
    <row r="36">
      <c r="B36" s="1422"/>
      <c r="C36" s="1422"/>
      <c r="D36" s="1422"/>
      <c r="E36" s="1422"/>
      <c r="F36" s="1422"/>
      <c r="G36" s="1422"/>
    </row>
    <row r="37">
      <c r="A37" s="1448" t="s">
        <v>567</v>
      </c>
      <c r="B37" s="1449">
        <f t="shared" ref="B37:G37" si="9">B18+B20+B21+B30</f>
        <v>88.03548376</v>
      </c>
      <c r="C37" s="1449">
        <f t="shared" si="9"/>
        <v>98.29582126</v>
      </c>
      <c r="D37" s="1449">
        <f t="shared" si="9"/>
        <v>13.05916013</v>
      </c>
      <c r="E37" s="1449">
        <f t="shared" si="9"/>
        <v>5.796535633</v>
      </c>
      <c r="F37" s="1449">
        <f t="shared" si="9"/>
        <v>1.514686633</v>
      </c>
      <c r="G37" s="1449">
        <f t="shared" si="9"/>
        <v>7.073593493</v>
      </c>
    </row>
    <row r="40">
      <c r="C40" s="1258"/>
      <c r="F40" s="1450"/>
    </row>
    <row r="41">
      <c r="A41" s="1114" t="s">
        <v>631</v>
      </c>
    </row>
    <row r="42">
      <c r="A42" s="1421" t="s">
        <v>614</v>
      </c>
    </row>
    <row r="43">
      <c r="A43" s="1208" t="s">
        <v>1279</v>
      </c>
      <c r="B43" s="1422" t="s">
        <v>1311</v>
      </c>
      <c r="C43" s="1422" t="s">
        <v>1311</v>
      </c>
      <c r="D43" s="1422" t="s">
        <v>1311</v>
      </c>
      <c r="E43" s="1422" t="s">
        <v>1311</v>
      </c>
      <c r="F43" s="1422" t="s">
        <v>1311</v>
      </c>
      <c r="G43" s="1422" t="s">
        <v>1311</v>
      </c>
    </row>
    <row r="44">
      <c r="A44" s="1208" t="s">
        <v>1281</v>
      </c>
      <c r="B44" s="1422" t="s">
        <v>1282</v>
      </c>
      <c r="C44" s="1422" t="s">
        <v>1282</v>
      </c>
      <c r="D44" s="1422" t="s">
        <v>1282</v>
      </c>
      <c r="E44" s="1422" t="s">
        <v>1282</v>
      </c>
      <c r="F44" s="1422" t="s">
        <v>1282</v>
      </c>
      <c r="G44" s="1422" t="s">
        <v>1282</v>
      </c>
    </row>
    <row r="45">
      <c r="A45" s="1208" t="s">
        <v>1283</v>
      </c>
      <c r="B45" s="1422" t="s">
        <v>1284</v>
      </c>
      <c r="C45" s="1422" t="s">
        <v>1284</v>
      </c>
      <c r="D45" s="1422" t="s">
        <v>1284</v>
      </c>
      <c r="E45" s="1422" t="s">
        <v>1284</v>
      </c>
      <c r="F45" s="1422" t="s">
        <v>1284</v>
      </c>
      <c r="G45" s="1422" t="s">
        <v>1284</v>
      </c>
    </row>
    <row r="46">
      <c r="A46" s="1208" t="s">
        <v>1285</v>
      </c>
      <c r="B46" s="1425"/>
      <c r="C46" s="1425"/>
      <c r="D46" s="1425"/>
      <c r="E46" s="1425"/>
      <c r="F46" s="1425"/>
      <c r="G46" s="1425"/>
    </row>
    <row r="47">
      <c r="A47" s="1208" t="s">
        <v>1286</v>
      </c>
      <c r="B47" s="1425"/>
      <c r="C47" s="1425"/>
      <c r="D47" s="1425"/>
      <c r="E47" s="1425"/>
      <c r="F47" s="1425"/>
      <c r="G47" s="1425"/>
    </row>
    <row r="49">
      <c r="A49" s="1427" t="s">
        <v>1313</v>
      </c>
      <c r="B49" s="1167">
        <v>22.88</v>
      </c>
      <c r="C49" s="1167">
        <v>22.88</v>
      </c>
      <c r="D49" s="1167">
        <v>3.06</v>
      </c>
      <c r="E49" s="1167">
        <v>4.88</v>
      </c>
      <c r="F49" s="1167">
        <v>0.75</v>
      </c>
      <c r="G49" s="1167">
        <v>2.55</v>
      </c>
    </row>
    <row r="50">
      <c r="A50" s="1427" t="s">
        <v>1314</v>
      </c>
      <c r="B50" s="1167">
        <v>10.56</v>
      </c>
      <c r="C50" s="1167">
        <v>10.56</v>
      </c>
      <c r="D50" s="1167">
        <v>1.31</v>
      </c>
      <c r="E50" s="1451">
        <v>2.09</v>
      </c>
      <c r="F50" s="1451">
        <v>0.32</v>
      </c>
      <c r="G50" s="1451">
        <v>0.97</v>
      </c>
    </row>
    <row r="51">
      <c r="A51" s="1427" t="s">
        <v>1315</v>
      </c>
      <c r="B51" s="1167">
        <v>2.65</v>
      </c>
      <c r="C51" s="1167">
        <v>2.65</v>
      </c>
      <c r="D51" s="1167">
        <v>0.39</v>
      </c>
      <c r="E51" s="1167">
        <v>0.58</v>
      </c>
      <c r="F51" s="1167">
        <v>0.1</v>
      </c>
      <c r="G51" s="1167">
        <v>0.35</v>
      </c>
    </row>
    <row r="52">
      <c r="A52" s="1436" t="s">
        <v>1316</v>
      </c>
      <c r="B52" s="1437">
        <f t="shared" ref="B52:G52" si="10">(B49*B54)+(B50*B55)+(B56*B51)</f>
        <v>11.442</v>
      </c>
      <c r="C52" s="1437">
        <f t="shared" si="10"/>
        <v>11.442</v>
      </c>
      <c r="D52" s="1437">
        <f t="shared" si="10"/>
        <v>1.476</v>
      </c>
      <c r="E52" s="1437">
        <f t="shared" si="10"/>
        <v>2.346</v>
      </c>
      <c r="F52" s="1437">
        <f t="shared" si="10"/>
        <v>0.362</v>
      </c>
      <c r="G52" s="1437">
        <f t="shared" si="10"/>
        <v>1.162</v>
      </c>
    </row>
    <row r="53">
      <c r="A53" s="1150"/>
      <c r="B53" s="1422"/>
      <c r="C53" s="1422"/>
      <c r="D53" s="1422"/>
      <c r="E53" s="1422"/>
      <c r="F53" s="1422"/>
      <c r="G53" s="1422"/>
    </row>
    <row r="54">
      <c r="A54" s="1422" t="s">
        <v>1317</v>
      </c>
      <c r="B54" s="1440">
        <v>0.2</v>
      </c>
      <c r="C54" s="1440">
        <v>0.2</v>
      </c>
      <c r="D54" s="1440">
        <v>0.2</v>
      </c>
      <c r="E54" s="1440">
        <v>0.2</v>
      </c>
      <c r="F54" s="1440">
        <v>0.2</v>
      </c>
      <c r="G54" s="1440">
        <v>0.2</v>
      </c>
    </row>
    <row r="55">
      <c r="A55" s="1" t="s">
        <v>1318</v>
      </c>
      <c r="B55" s="1440">
        <v>0.6</v>
      </c>
      <c r="C55" s="1440">
        <v>0.6</v>
      </c>
      <c r="D55" s="1440">
        <v>0.6</v>
      </c>
      <c r="E55" s="1440">
        <v>0.6</v>
      </c>
      <c r="F55" s="1440">
        <v>0.6</v>
      </c>
      <c r="G55" s="1440">
        <v>0.6</v>
      </c>
    </row>
    <row r="56">
      <c r="A56" s="1452" t="s">
        <v>1319</v>
      </c>
      <c r="B56" s="1453">
        <v>0.2</v>
      </c>
      <c r="C56" s="1453">
        <v>0.2</v>
      </c>
      <c r="D56" s="1453">
        <v>0.2</v>
      </c>
      <c r="E56" s="1453">
        <v>0.2</v>
      </c>
      <c r="F56" s="1453">
        <v>0.2</v>
      </c>
      <c r="G56" s="1453">
        <v>0.2</v>
      </c>
    </row>
    <row r="57">
      <c r="B57" s="1263">
        <f t="shared" ref="B57:G57" si="11">SUM(B54:B56)</f>
        <v>1</v>
      </c>
      <c r="C57" s="1263">
        <f t="shared" si="11"/>
        <v>1</v>
      </c>
      <c r="D57" s="1263">
        <f t="shared" si="11"/>
        <v>1</v>
      </c>
      <c r="E57" s="1263">
        <f t="shared" si="11"/>
        <v>1</v>
      </c>
      <c r="F57" s="1263">
        <f t="shared" si="11"/>
        <v>1</v>
      </c>
      <c r="G57" s="1263">
        <f t="shared" si="11"/>
        <v>1</v>
      </c>
    </row>
    <row r="59">
      <c r="A59" s="1448" t="s">
        <v>567</v>
      </c>
      <c r="B59" s="1449">
        <f t="shared" ref="B59:G59" si="12">B37+B52</f>
        <v>99.47748376</v>
      </c>
      <c r="C59" s="1449">
        <f t="shared" si="12"/>
        <v>109.7378213</v>
      </c>
      <c r="D59" s="1449">
        <f t="shared" si="12"/>
        <v>14.53516013</v>
      </c>
      <c r="E59" s="1449">
        <f t="shared" si="12"/>
        <v>8.142535633</v>
      </c>
      <c r="F59" s="1449">
        <f t="shared" si="12"/>
        <v>1.876686633</v>
      </c>
      <c r="G59" s="1449">
        <f t="shared" si="12"/>
        <v>8.235593493</v>
      </c>
    </row>
    <row r="63">
      <c r="A63" s="1114" t="s">
        <v>637</v>
      </c>
    </row>
    <row r="64">
      <c r="A64" s="1421" t="s">
        <v>614</v>
      </c>
    </row>
    <row r="65">
      <c r="A65" s="1208" t="s">
        <v>1279</v>
      </c>
      <c r="B65" s="1422" t="s">
        <v>1321</v>
      </c>
      <c r="C65" s="1422" t="s">
        <v>1321</v>
      </c>
      <c r="D65" s="1422" t="s">
        <v>1321</v>
      </c>
      <c r="E65" s="1422" t="s">
        <v>1321</v>
      </c>
      <c r="F65" s="1422" t="s">
        <v>1321</v>
      </c>
      <c r="G65" s="1422" t="s">
        <v>1321</v>
      </c>
    </row>
    <row r="66">
      <c r="A66" s="1208" t="s">
        <v>1281</v>
      </c>
      <c r="B66" s="1422" t="s">
        <v>1282</v>
      </c>
      <c r="C66" s="1422" t="s">
        <v>1282</v>
      </c>
      <c r="D66" s="1422" t="s">
        <v>1282</v>
      </c>
      <c r="E66" s="1422" t="s">
        <v>1282</v>
      </c>
      <c r="F66" s="1422" t="s">
        <v>1282</v>
      </c>
      <c r="G66" s="1422" t="s">
        <v>1282</v>
      </c>
    </row>
    <row r="67">
      <c r="A67" s="1208" t="s">
        <v>1283</v>
      </c>
      <c r="B67" s="1422" t="s">
        <v>1284</v>
      </c>
      <c r="C67" s="1422" t="s">
        <v>1284</v>
      </c>
      <c r="D67" s="1422" t="s">
        <v>1284</v>
      </c>
      <c r="E67" s="1422" t="s">
        <v>1284</v>
      </c>
      <c r="F67" s="1422" t="s">
        <v>1284</v>
      </c>
      <c r="G67" s="1422" t="s">
        <v>1284</v>
      </c>
    </row>
    <row r="68">
      <c r="A68" s="1208" t="s">
        <v>1285</v>
      </c>
      <c r="B68" s="1425"/>
      <c r="C68" s="1425"/>
      <c r="D68" s="1425"/>
      <c r="E68" s="1425"/>
      <c r="F68" s="1425"/>
      <c r="G68" s="1425"/>
    </row>
    <row r="69">
      <c r="A69" s="1208" t="s">
        <v>1286</v>
      </c>
      <c r="B69" s="1425"/>
      <c r="C69" s="1425"/>
      <c r="D69" s="1425"/>
      <c r="E69" s="1425"/>
      <c r="F69" s="1425"/>
      <c r="G69" s="1425"/>
    </row>
    <row r="71">
      <c r="A71" s="1427" t="s">
        <v>637</v>
      </c>
      <c r="B71" s="1117">
        <v>11.94</v>
      </c>
      <c r="C71" s="1117">
        <v>11.94</v>
      </c>
      <c r="D71" s="1117">
        <v>6.28</v>
      </c>
      <c r="E71" s="1117">
        <v>6.28</v>
      </c>
      <c r="F71" s="1117">
        <v>5.78</v>
      </c>
      <c r="G71" s="1117">
        <v>6.28</v>
      </c>
    </row>
    <row r="72">
      <c r="A72" s="1427" t="s">
        <v>1322</v>
      </c>
      <c r="B72" s="1427"/>
      <c r="C72" s="1427"/>
      <c r="D72" s="1427"/>
      <c r="E72" s="1427"/>
      <c r="F72" s="1427"/>
      <c r="G72" s="1427"/>
    </row>
    <row r="73">
      <c r="A73" s="1427" t="s">
        <v>1323</v>
      </c>
      <c r="B73" s="1428">
        <v>1.01</v>
      </c>
      <c r="C73" s="1428">
        <v>1.01</v>
      </c>
      <c r="D73" s="1428">
        <v>0.6</v>
      </c>
      <c r="E73" s="1428">
        <v>0.6</v>
      </c>
      <c r="F73" s="1428">
        <v>0.6</v>
      </c>
      <c r="G73" s="1428">
        <v>0.6</v>
      </c>
    </row>
    <row r="74">
      <c r="A74" s="1427" t="s">
        <v>1324</v>
      </c>
      <c r="B74" s="1428">
        <v>0.3</v>
      </c>
      <c r="C74" s="1428">
        <v>0.3</v>
      </c>
      <c r="D74" s="1428">
        <v>0.3</v>
      </c>
      <c r="E74" s="1428">
        <v>0.3</v>
      </c>
      <c r="F74" s="1428">
        <v>0.3</v>
      </c>
      <c r="G74" s="1428">
        <v>0.3</v>
      </c>
    </row>
    <row r="75">
      <c r="A75" s="1427" t="s">
        <v>1325</v>
      </c>
      <c r="B75" s="1255">
        <f t="shared" ref="B75:C75" si="13">25/80</f>
        <v>0.3125</v>
      </c>
      <c r="C75" s="1255">
        <f t="shared" si="13"/>
        <v>0.3125</v>
      </c>
      <c r="D75" s="1255">
        <f>25/720</f>
        <v>0.03472222222</v>
      </c>
      <c r="E75" s="1255">
        <f>25/450</f>
        <v>0.05555555556</v>
      </c>
      <c r="F75" s="1255">
        <f>25/2940</f>
        <v>0.008503401361</v>
      </c>
      <c r="G75" s="1255">
        <f>25/640</f>
        <v>0.0390625</v>
      </c>
      <c r="H75" s="1456"/>
      <c r="I75" s="1456"/>
      <c r="J75" s="1456"/>
      <c r="K75" s="1456"/>
      <c r="L75" s="1456"/>
      <c r="M75" s="1456"/>
      <c r="N75" s="1456"/>
      <c r="O75" s="1456"/>
      <c r="P75" s="1456"/>
      <c r="Q75" s="1456"/>
      <c r="R75" s="1456"/>
      <c r="S75" s="1456"/>
      <c r="T75" s="1456"/>
      <c r="U75" s="1456"/>
    </row>
    <row r="76">
      <c r="A76" s="1427" t="s">
        <v>1326</v>
      </c>
      <c r="B76" s="1230">
        <v>0.0</v>
      </c>
      <c r="C76" s="1230">
        <v>0.0</v>
      </c>
      <c r="D76" s="1230">
        <v>1.2</v>
      </c>
      <c r="E76" s="1230">
        <v>1.2</v>
      </c>
      <c r="F76" s="1230">
        <v>1.2</v>
      </c>
      <c r="G76" s="1230">
        <v>1.2</v>
      </c>
    </row>
    <row r="77">
      <c r="A77" s="1427" t="s">
        <v>1327</v>
      </c>
      <c r="B77" s="1230">
        <v>1.3</v>
      </c>
      <c r="C77" s="1230">
        <v>1.3</v>
      </c>
      <c r="D77" s="1230">
        <v>0.0</v>
      </c>
      <c r="E77" s="1230">
        <v>0.0</v>
      </c>
      <c r="F77" s="1230">
        <v>0.0</v>
      </c>
      <c r="G77" s="1230">
        <v>0.0</v>
      </c>
    </row>
    <row r="78">
      <c r="A78" s="1427" t="s">
        <v>1328</v>
      </c>
      <c r="B78" s="1427"/>
      <c r="C78" s="1427"/>
      <c r="D78" s="1427"/>
      <c r="E78" s="1427"/>
      <c r="F78" s="1427"/>
      <c r="G78" s="1427"/>
    </row>
    <row r="79">
      <c r="A79" s="1427" t="s">
        <v>695</v>
      </c>
      <c r="B79" s="1428">
        <v>0.3</v>
      </c>
      <c r="C79" s="1428">
        <v>0.3</v>
      </c>
      <c r="D79" s="1230">
        <v>0.0</v>
      </c>
      <c r="E79" s="1230">
        <v>0.0</v>
      </c>
      <c r="F79" s="1230">
        <v>0.0</v>
      </c>
      <c r="G79" s="1230">
        <v>0.0</v>
      </c>
    </row>
    <row r="80">
      <c r="A80" s="1427" t="s">
        <v>1329</v>
      </c>
      <c r="B80" s="1143">
        <v>0.31</v>
      </c>
      <c r="C80" s="1143">
        <v>0.31</v>
      </c>
      <c r="D80" s="1143">
        <v>0.31</v>
      </c>
      <c r="E80" s="1143">
        <v>0.31</v>
      </c>
      <c r="F80" s="1143">
        <v>0.31</v>
      </c>
      <c r="G80" s="1143">
        <v>0.31</v>
      </c>
    </row>
    <row r="81">
      <c r="A81" s="1436" t="s">
        <v>1330</v>
      </c>
      <c r="B81" s="1437">
        <f t="shared" ref="B81:G81" si="14">SUM(B71:B80)</f>
        <v>15.4725</v>
      </c>
      <c r="C81" s="1437">
        <f t="shared" si="14"/>
        <v>15.4725</v>
      </c>
      <c r="D81" s="1437">
        <f t="shared" si="14"/>
        <v>8.724722222</v>
      </c>
      <c r="E81" s="1437">
        <f t="shared" si="14"/>
        <v>8.745555556</v>
      </c>
      <c r="F81" s="1437">
        <f t="shared" si="14"/>
        <v>8.198503401</v>
      </c>
      <c r="G81" s="1437">
        <f t="shared" si="14"/>
        <v>8.7290625</v>
      </c>
    </row>
    <row r="83">
      <c r="A83" s="1448" t="s">
        <v>567</v>
      </c>
      <c r="B83" s="1449">
        <f t="shared" ref="B83:G83" si="15">B59+B81</f>
        <v>114.9499838</v>
      </c>
      <c r="C83" s="1449">
        <f t="shared" si="15"/>
        <v>125.2103213</v>
      </c>
      <c r="D83" s="1449">
        <f t="shared" si="15"/>
        <v>23.25988235</v>
      </c>
      <c r="E83" s="1449">
        <f t="shared" si="15"/>
        <v>16.88809119</v>
      </c>
      <c r="F83" s="1449">
        <f t="shared" si="15"/>
        <v>10.07519003</v>
      </c>
      <c r="G83" s="1449">
        <f t="shared" si="15"/>
        <v>16.96465599</v>
      </c>
    </row>
    <row r="86">
      <c r="B86" s="1" t="s">
        <v>1332</v>
      </c>
      <c r="D86" s="1" t="s">
        <v>1333</v>
      </c>
      <c r="E86" s="1" t="s">
        <v>1334</v>
      </c>
      <c r="F86" s="1" t="s">
        <v>1335</v>
      </c>
      <c r="G86" s="1" t="s">
        <v>1336</v>
      </c>
    </row>
    <row r="87">
      <c r="A87" s="1150"/>
      <c r="B87" s="1422"/>
      <c r="C87" s="1422"/>
      <c r="D87" s="1422"/>
      <c r="E87" s="1422"/>
      <c r="F87" s="1422"/>
      <c r="G87" s="1422"/>
    </row>
    <row r="88">
      <c r="B88" s="1255"/>
      <c r="D88" s="1255"/>
      <c r="E88" s="1255"/>
      <c r="F88" s="1255"/>
      <c r="G88" s="1255"/>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25.38"/>
    <col customWidth="1" min="2" max="9" width="23.13"/>
  </cols>
  <sheetData>
    <row r="1">
      <c r="A1" s="1417" t="s">
        <v>1338</v>
      </c>
    </row>
    <row r="2">
      <c r="A2" s="1418" t="s">
        <v>1273</v>
      </c>
      <c r="B2" s="1418" t="s">
        <v>622</v>
      </c>
      <c r="C2" s="1418" t="s">
        <v>630</v>
      </c>
      <c r="D2" s="1418" t="s">
        <v>623</v>
      </c>
      <c r="E2" s="1418" t="s">
        <v>147</v>
      </c>
      <c r="F2" s="1418" t="s">
        <v>150</v>
      </c>
      <c r="G2" s="1418" t="s">
        <v>653</v>
      </c>
      <c r="H2" s="1" t="s">
        <v>1274</v>
      </c>
      <c r="I2" s="1" t="s">
        <v>657</v>
      </c>
      <c r="J2" s="1" t="s">
        <v>1275</v>
      </c>
    </row>
    <row r="3">
      <c r="A3" s="1419" t="s">
        <v>1276</v>
      </c>
      <c r="B3" s="1419" t="s">
        <v>1277</v>
      </c>
      <c r="C3" s="1419" t="s">
        <v>1277</v>
      </c>
      <c r="D3" s="1419" t="s">
        <v>1278</v>
      </c>
      <c r="E3" s="1419" t="s">
        <v>1278</v>
      </c>
      <c r="F3" s="1419" t="s">
        <v>1278</v>
      </c>
      <c r="G3" s="1419" t="s">
        <v>1278</v>
      </c>
    </row>
    <row r="5">
      <c r="A5" s="1114" t="s">
        <v>615</v>
      </c>
    </row>
    <row r="6">
      <c r="A6" s="1421" t="s">
        <v>614</v>
      </c>
    </row>
    <row r="7">
      <c r="A7" s="1208" t="s">
        <v>1279</v>
      </c>
      <c r="B7" s="1422" t="s">
        <v>1280</v>
      </c>
      <c r="C7" s="1422" t="s">
        <v>1280</v>
      </c>
      <c r="D7" s="1422" t="s">
        <v>1280</v>
      </c>
      <c r="E7" s="1422" t="s">
        <v>1280</v>
      </c>
      <c r="F7" s="1422" t="s">
        <v>1280</v>
      </c>
      <c r="G7" s="1422" t="s">
        <v>1280</v>
      </c>
    </row>
    <row r="8">
      <c r="A8" s="1208" t="s">
        <v>1281</v>
      </c>
      <c r="B8" s="1422" t="s">
        <v>1282</v>
      </c>
      <c r="C8" s="1422" t="s">
        <v>1282</v>
      </c>
      <c r="D8" s="1422" t="s">
        <v>1282</v>
      </c>
      <c r="E8" s="1422" t="s">
        <v>1282</v>
      </c>
      <c r="F8" s="1422" t="s">
        <v>1282</v>
      </c>
      <c r="G8" s="1422" t="s">
        <v>1282</v>
      </c>
    </row>
    <row r="9">
      <c r="A9" s="1208" t="s">
        <v>1283</v>
      </c>
      <c r="B9" s="1422" t="s">
        <v>1284</v>
      </c>
      <c r="C9" s="1422" t="s">
        <v>1284</v>
      </c>
      <c r="D9" s="1422" t="s">
        <v>1284</v>
      </c>
      <c r="E9" s="1422" t="s">
        <v>1284</v>
      </c>
      <c r="F9" s="1422" t="s">
        <v>1284</v>
      </c>
      <c r="G9" s="1422" t="s">
        <v>1284</v>
      </c>
    </row>
    <row r="10">
      <c r="A10" s="1208" t="s">
        <v>1285</v>
      </c>
      <c r="B10" s="1424">
        <v>150000.0</v>
      </c>
      <c r="C10" s="1424">
        <v>150000.0</v>
      </c>
      <c r="D10" s="1425"/>
      <c r="E10" s="1425"/>
      <c r="F10" s="1425"/>
      <c r="G10" s="1425"/>
    </row>
    <row r="11">
      <c r="A11" s="1208" t="s">
        <v>1286</v>
      </c>
      <c r="B11" s="1422" t="s">
        <v>1287</v>
      </c>
      <c r="C11" s="1422" t="s">
        <v>1287</v>
      </c>
      <c r="D11" s="1425"/>
      <c r="E11" s="1425"/>
      <c r="F11" s="1425"/>
      <c r="G11" s="1425"/>
    </row>
    <row r="12">
      <c r="B12" s="1422"/>
      <c r="C12" s="1422"/>
      <c r="D12" s="1422"/>
      <c r="E12" s="1422"/>
      <c r="F12" s="1422"/>
      <c r="G12" s="1422"/>
    </row>
    <row r="13">
      <c r="A13" s="1427" t="s">
        <v>1288</v>
      </c>
      <c r="B13" s="1117">
        <v>6.1433</v>
      </c>
      <c r="C13" s="1117">
        <v>6.1433</v>
      </c>
      <c r="D13" s="1428">
        <v>0.0</v>
      </c>
      <c r="E13" s="1428">
        <v>0.0</v>
      </c>
      <c r="F13" s="1428">
        <v>0.0</v>
      </c>
      <c r="G13" s="1428">
        <v>0.0</v>
      </c>
      <c r="H13" s="1429"/>
      <c r="I13" s="1430"/>
    </row>
    <row r="14">
      <c r="A14" s="1427" t="s">
        <v>1289</v>
      </c>
      <c r="B14" s="1117">
        <v>38.23</v>
      </c>
      <c r="C14" s="1117">
        <v>45.3</v>
      </c>
      <c r="D14" s="1431">
        <v>6.87</v>
      </c>
      <c r="E14" s="1431">
        <v>3.79</v>
      </c>
      <c r="F14" s="1431">
        <v>0.82</v>
      </c>
      <c r="G14" s="1432">
        <v>3.8336</v>
      </c>
      <c r="H14" s="1429"/>
      <c r="I14" s="1430"/>
    </row>
    <row r="15">
      <c r="A15" s="1427" t="s">
        <v>1290</v>
      </c>
      <c r="B15" s="1117">
        <f t="shared" ref="B15:G15" si="1">(B13+B14)*B23</f>
        <v>15.530655</v>
      </c>
      <c r="C15" s="1117">
        <f t="shared" si="1"/>
        <v>18.005155</v>
      </c>
      <c r="D15" s="1117">
        <f t="shared" si="1"/>
        <v>2.4045</v>
      </c>
      <c r="E15" s="1117">
        <f t="shared" si="1"/>
        <v>1.137</v>
      </c>
      <c r="F15" s="1117">
        <f t="shared" si="1"/>
        <v>0.246</v>
      </c>
      <c r="G15" s="1117">
        <f t="shared" si="1"/>
        <v>1.15008</v>
      </c>
      <c r="H15" s="1429"/>
      <c r="I15" s="1430"/>
    </row>
    <row r="16">
      <c r="A16" s="1427" t="s">
        <v>1291</v>
      </c>
      <c r="B16" s="1117">
        <v>8.1762</v>
      </c>
      <c r="C16" s="1117">
        <v>8.1762</v>
      </c>
      <c r="D16" s="1433">
        <v>0.544</v>
      </c>
      <c r="E16" s="1434">
        <v>0.0</v>
      </c>
      <c r="F16" s="1434">
        <v>0.0</v>
      </c>
      <c r="G16" s="1434">
        <v>0.8422</v>
      </c>
      <c r="H16" s="1429"/>
      <c r="I16" s="1435"/>
    </row>
    <row r="17">
      <c r="A17" s="1427" t="s">
        <v>1292</v>
      </c>
      <c r="B17" s="1117">
        <f t="shared" ref="B17:G17" si="2">B16*B24</f>
        <v>2.45286</v>
      </c>
      <c r="C17" s="1117">
        <f t="shared" si="2"/>
        <v>2.45286</v>
      </c>
      <c r="D17" s="1117">
        <f t="shared" si="2"/>
        <v>0.1632</v>
      </c>
      <c r="E17" s="1117">
        <f t="shared" si="2"/>
        <v>0</v>
      </c>
      <c r="F17" s="1117">
        <f t="shared" si="2"/>
        <v>0</v>
      </c>
      <c r="G17" s="1117">
        <f t="shared" si="2"/>
        <v>0.25266</v>
      </c>
      <c r="H17" s="1429"/>
      <c r="I17" s="1430"/>
    </row>
    <row r="18">
      <c r="A18" s="1436" t="s">
        <v>1294</v>
      </c>
      <c r="B18" s="1437">
        <f t="shared" ref="B18:G18" si="3">SUM(B13:B17)</f>
        <v>70.533015</v>
      </c>
      <c r="C18" s="1437">
        <f t="shared" si="3"/>
        <v>80.077515</v>
      </c>
      <c r="D18" s="1437">
        <f t="shared" si="3"/>
        <v>9.9817</v>
      </c>
      <c r="E18" s="1437">
        <f t="shared" si="3"/>
        <v>4.927</v>
      </c>
      <c r="F18" s="1437">
        <f t="shared" si="3"/>
        <v>1.066</v>
      </c>
      <c r="G18" s="1437">
        <f t="shared" si="3"/>
        <v>6.07854</v>
      </c>
      <c r="H18" s="17"/>
      <c r="I18" s="204"/>
    </row>
    <row r="19">
      <c r="A19" s="1150"/>
      <c r="B19" s="1422"/>
      <c r="C19" s="1422"/>
      <c r="D19" s="1422"/>
      <c r="E19" s="1422"/>
      <c r="F19" s="1422"/>
      <c r="G19" s="1422"/>
      <c r="H19" s="1429"/>
      <c r="I19" s="1430"/>
    </row>
    <row r="20">
      <c r="A20" s="1422" t="s">
        <v>1295</v>
      </c>
      <c r="B20" s="1117">
        <v>10.0</v>
      </c>
      <c r="C20" s="1117">
        <v>10.0</v>
      </c>
      <c r="D20" s="1117">
        <v>0.0</v>
      </c>
      <c r="E20" s="1117">
        <v>0.0</v>
      </c>
      <c r="F20" s="1117">
        <v>0.0</v>
      </c>
      <c r="G20" s="1117">
        <v>0.0</v>
      </c>
      <c r="H20" s="1429"/>
      <c r="I20" s="1430"/>
    </row>
    <row r="21">
      <c r="A21" s="1422" t="s">
        <v>1296</v>
      </c>
      <c r="B21" s="1117">
        <v>1.88</v>
      </c>
      <c r="C21" s="1117">
        <v>1.88</v>
      </c>
      <c r="D21" s="1117">
        <v>0.0</v>
      </c>
      <c r="E21" s="1117">
        <v>0.0</v>
      </c>
      <c r="F21" s="1117">
        <v>0.0</v>
      </c>
      <c r="G21" s="1117">
        <v>0.0</v>
      </c>
      <c r="H21" s="1429"/>
      <c r="I21" s="1430"/>
    </row>
    <row r="22">
      <c r="A22" s="1150"/>
      <c r="B22" s="1422"/>
      <c r="C22" s="1422"/>
      <c r="D22" s="1422"/>
      <c r="E22" s="1422"/>
      <c r="F22" s="1422"/>
      <c r="G22" s="1422"/>
      <c r="H22" s="1429"/>
      <c r="I22" s="1430"/>
    </row>
    <row r="23">
      <c r="A23" s="1422" t="s">
        <v>1297</v>
      </c>
      <c r="B23" s="1439">
        <v>0.35</v>
      </c>
      <c r="C23" s="1439">
        <v>0.35</v>
      </c>
      <c r="D23" s="1439">
        <v>0.35</v>
      </c>
      <c r="E23" s="1439">
        <v>0.3</v>
      </c>
      <c r="F23" s="1439">
        <v>0.3</v>
      </c>
      <c r="G23" s="1440">
        <v>0.3</v>
      </c>
      <c r="H23" s="1429"/>
      <c r="I23" s="1435"/>
    </row>
    <row r="24">
      <c r="A24" s="1" t="s">
        <v>1298</v>
      </c>
      <c r="B24" s="1439">
        <v>0.3</v>
      </c>
      <c r="C24" s="1439">
        <v>0.3</v>
      </c>
      <c r="D24" s="1439">
        <v>0.3</v>
      </c>
      <c r="E24" s="1440">
        <v>0.3</v>
      </c>
      <c r="F24" s="1440">
        <v>0.3</v>
      </c>
      <c r="G24" s="1440">
        <v>0.3</v>
      </c>
      <c r="H24" s="1429"/>
      <c r="I24" s="1430"/>
    </row>
    <row r="25">
      <c r="B25" s="1422"/>
      <c r="C25" s="1422"/>
      <c r="D25" s="1422"/>
      <c r="E25" s="1422"/>
      <c r="F25" s="1422"/>
      <c r="G25" s="1422"/>
      <c r="H25" s="1429"/>
      <c r="I25" s="1430"/>
    </row>
    <row r="26">
      <c r="A26" s="1427" t="s">
        <v>1299</v>
      </c>
      <c r="B26" s="1117">
        <f t="shared" ref="B26:G26" si="4">sum(B13:B17)*B32</f>
        <v>0</v>
      </c>
      <c r="C26" s="1117">
        <f t="shared" si="4"/>
        <v>0</v>
      </c>
      <c r="D26" s="1117">
        <f t="shared" si="4"/>
        <v>0.2495425</v>
      </c>
      <c r="E26" s="1117">
        <f t="shared" si="4"/>
        <v>0.167518</v>
      </c>
      <c r="F26" s="1117">
        <f t="shared" si="4"/>
        <v>0.036244</v>
      </c>
      <c r="G26" s="1117">
        <f t="shared" si="4"/>
        <v>0.20667036</v>
      </c>
      <c r="H26" s="17"/>
      <c r="I26" s="204"/>
    </row>
    <row r="27">
      <c r="A27" s="1427" t="s">
        <v>1300</v>
      </c>
      <c r="B27" s="1117">
        <f t="shared" ref="B27:G27" si="5">sum(B13:B17)*B33</f>
        <v>5.289976125</v>
      </c>
      <c r="C27" s="1117">
        <f t="shared" si="5"/>
        <v>6.005813625</v>
      </c>
      <c r="D27" s="1117">
        <f t="shared" si="5"/>
        <v>2.495425</v>
      </c>
      <c r="E27" s="1117">
        <f t="shared" si="5"/>
        <v>0.369525</v>
      </c>
      <c r="F27" s="1117">
        <f t="shared" si="5"/>
        <v>0.07995</v>
      </c>
      <c r="G27" s="1117">
        <f t="shared" si="5"/>
        <v>0.4558905</v>
      </c>
      <c r="H27" s="1429"/>
      <c r="I27" s="1441"/>
    </row>
    <row r="28">
      <c r="A28" s="1427" t="s">
        <v>643</v>
      </c>
      <c r="B28" s="1117">
        <f t="shared" ref="B28:G28" si="6">SUM($B$13:$B$17)*B34</f>
        <v>0.08816626875</v>
      </c>
      <c r="C28" s="1117">
        <f t="shared" si="6"/>
        <v>0.08816626875</v>
      </c>
      <c r="D28" s="1117">
        <f t="shared" si="6"/>
        <v>0.08816626875</v>
      </c>
      <c r="E28" s="1117">
        <f t="shared" si="6"/>
        <v>0.08816626875</v>
      </c>
      <c r="F28" s="1117">
        <f t="shared" si="6"/>
        <v>0.08816626875</v>
      </c>
      <c r="G28" s="1117">
        <f t="shared" si="6"/>
        <v>0.08816626875</v>
      </c>
    </row>
    <row r="29">
      <c r="A29" s="1427" t="s">
        <v>647</v>
      </c>
      <c r="B29" s="1117">
        <f t="shared" ref="B29:G29" si="7">SUM($B$13:$B$17)*B35</f>
        <v>0.244326364</v>
      </c>
      <c r="C29" s="1117">
        <f t="shared" si="7"/>
        <v>0.244326364</v>
      </c>
      <c r="D29" s="1117">
        <f t="shared" si="7"/>
        <v>0.244326364</v>
      </c>
      <c r="E29" s="1117">
        <f t="shared" si="7"/>
        <v>0.244326364</v>
      </c>
      <c r="F29" s="1117">
        <f t="shared" si="7"/>
        <v>0.244326364</v>
      </c>
      <c r="G29" s="1117">
        <f t="shared" si="7"/>
        <v>0.244326364</v>
      </c>
    </row>
    <row r="30">
      <c r="A30" s="1436" t="s">
        <v>1303</v>
      </c>
      <c r="B30" s="1437">
        <f t="shared" ref="B30:G30" si="8">SUM(B26:B29)</f>
        <v>5.622468758</v>
      </c>
      <c r="C30" s="1437">
        <f t="shared" si="8"/>
        <v>6.338306258</v>
      </c>
      <c r="D30" s="1437">
        <f t="shared" si="8"/>
        <v>3.077460133</v>
      </c>
      <c r="E30" s="1437">
        <f t="shared" si="8"/>
        <v>0.8695356327</v>
      </c>
      <c r="F30" s="1437">
        <f t="shared" si="8"/>
        <v>0.4486866327</v>
      </c>
      <c r="G30" s="1437">
        <f t="shared" si="8"/>
        <v>0.9950534927</v>
      </c>
    </row>
    <row r="31">
      <c r="B31" s="1422"/>
      <c r="C31" s="1422"/>
      <c r="D31" s="1422"/>
      <c r="E31" s="1422"/>
      <c r="F31" s="1422"/>
      <c r="G31" s="1422"/>
    </row>
    <row r="32">
      <c r="A32" s="1445" t="s">
        <v>1304</v>
      </c>
      <c r="B32" s="1439">
        <v>0.0</v>
      </c>
      <c r="C32" s="1439">
        <v>0.0</v>
      </c>
      <c r="D32" s="1439">
        <v>0.025</v>
      </c>
      <c r="E32" s="1439">
        <v>0.034</v>
      </c>
      <c r="F32" s="1439">
        <v>0.034</v>
      </c>
      <c r="G32" s="1439">
        <v>0.034</v>
      </c>
    </row>
    <row r="33">
      <c r="A33" s="1445" t="s">
        <v>1305</v>
      </c>
      <c r="B33" s="1439">
        <v>0.075</v>
      </c>
      <c r="C33" s="1439">
        <v>0.075</v>
      </c>
      <c r="D33" s="1439">
        <v>0.25</v>
      </c>
      <c r="E33" s="1439">
        <v>0.075</v>
      </c>
      <c r="F33" s="1439">
        <v>0.075</v>
      </c>
      <c r="G33" s="1439">
        <v>0.075</v>
      </c>
    </row>
    <row r="34">
      <c r="A34" s="1" t="s">
        <v>1307</v>
      </c>
      <c r="B34" s="1446">
        <v>0.00125</v>
      </c>
      <c r="C34" s="1446">
        <v>0.00125</v>
      </c>
      <c r="D34" s="1446">
        <v>0.00125</v>
      </c>
      <c r="E34" s="1446">
        <v>0.00125</v>
      </c>
      <c r="F34" s="1446">
        <v>0.00125</v>
      </c>
      <c r="G34" s="1446">
        <v>0.00125</v>
      </c>
    </row>
    <row r="35">
      <c r="A35" s="1" t="s">
        <v>1309</v>
      </c>
      <c r="B35" s="1447">
        <v>0.003464</v>
      </c>
      <c r="C35" s="1447">
        <v>0.003464</v>
      </c>
      <c r="D35" s="1447">
        <v>0.003464</v>
      </c>
      <c r="E35" s="1447">
        <v>0.003464</v>
      </c>
      <c r="F35" s="1447">
        <v>0.003464</v>
      </c>
      <c r="G35" s="1447">
        <v>0.003464</v>
      </c>
    </row>
    <row r="36">
      <c r="B36" s="1422"/>
      <c r="C36" s="1422"/>
      <c r="D36" s="1422"/>
      <c r="E36" s="1422"/>
      <c r="F36" s="1422"/>
      <c r="G36" s="1422"/>
    </row>
    <row r="37">
      <c r="A37" s="1448" t="s">
        <v>567</v>
      </c>
      <c r="B37" s="1449">
        <f t="shared" ref="B37:G37" si="9">B18+B20+B21+B30</f>
        <v>88.03548376</v>
      </c>
      <c r="C37" s="1449">
        <f t="shared" si="9"/>
        <v>98.29582126</v>
      </c>
      <c r="D37" s="1449">
        <f t="shared" si="9"/>
        <v>13.05916013</v>
      </c>
      <c r="E37" s="1449">
        <f t="shared" si="9"/>
        <v>5.796535633</v>
      </c>
      <c r="F37" s="1449">
        <f t="shared" si="9"/>
        <v>1.514686633</v>
      </c>
      <c r="G37" s="1449">
        <f t="shared" si="9"/>
        <v>7.073593493</v>
      </c>
    </row>
    <row r="40">
      <c r="C40" s="1258"/>
      <c r="F40" s="1450"/>
    </row>
    <row r="41">
      <c r="A41" s="1114" t="s">
        <v>631</v>
      </c>
    </row>
    <row r="42">
      <c r="A42" s="1421" t="s">
        <v>614</v>
      </c>
    </row>
    <row r="43">
      <c r="A43" s="1208" t="s">
        <v>1279</v>
      </c>
      <c r="B43" s="1422" t="s">
        <v>1311</v>
      </c>
      <c r="C43" s="1422" t="s">
        <v>1311</v>
      </c>
      <c r="D43" s="1422" t="s">
        <v>1311</v>
      </c>
      <c r="E43" s="1422" t="s">
        <v>1311</v>
      </c>
      <c r="F43" s="1422" t="s">
        <v>1311</v>
      </c>
      <c r="G43" s="1422" t="s">
        <v>1311</v>
      </c>
    </row>
    <row r="44">
      <c r="A44" s="1208" t="s">
        <v>1281</v>
      </c>
      <c r="B44" s="1422" t="s">
        <v>1282</v>
      </c>
      <c r="C44" s="1422" t="s">
        <v>1282</v>
      </c>
      <c r="D44" s="1422" t="s">
        <v>1282</v>
      </c>
      <c r="E44" s="1422" t="s">
        <v>1282</v>
      </c>
      <c r="F44" s="1422" t="s">
        <v>1282</v>
      </c>
      <c r="G44" s="1422" t="s">
        <v>1282</v>
      </c>
    </row>
    <row r="45">
      <c r="A45" s="1208" t="s">
        <v>1283</v>
      </c>
      <c r="B45" s="1422" t="s">
        <v>1284</v>
      </c>
      <c r="C45" s="1422" t="s">
        <v>1284</v>
      </c>
      <c r="D45" s="1422" t="s">
        <v>1284</v>
      </c>
      <c r="E45" s="1422" t="s">
        <v>1284</v>
      </c>
      <c r="F45" s="1422" t="s">
        <v>1284</v>
      </c>
      <c r="G45" s="1422" t="s">
        <v>1284</v>
      </c>
    </row>
    <row r="46">
      <c r="A46" s="1208" t="s">
        <v>1285</v>
      </c>
      <c r="B46" s="1425"/>
      <c r="C46" s="1425"/>
      <c r="D46" s="1425"/>
      <c r="E46" s="1425"/>
      <c r="F46" s="1425"/>
      <c r="G46" s="1425"/>
    </row>
    <row r="47">
      <c r="A47" s="1208" t="s">
        <v>1286</v>
      </c>
      <c r="B47" s="1425"/>
      <c r="C47" s="1425"/>
      <c r="D47" s="1425"/>
      <c r="E47" s="1425"/>
      <c r="F47" s="1425"/>
      <c r="G47" s="1425"/>
    </row>
    <row r="49">
      <c r="A49" s="1427" t="s">
        <v>1313</v>
      </c>
      <c r="B49" s="1167">
        <v>22.88</v>
      </c>
      <c r="C49" s="1167">
        <v>22.88</v>
      </c>
      <c r="D49" s="1167">
        <v>3.06</v>
      </c>
      <c r="E49" s="1167">
        <v>4.88</v>
      </c>
      <c r="F49" s="1167">
        <v>0.75</v>
      </c>
      <c r="G49" s="1167">
        <v>2.55</v>
      </c>
    </row>
    <row r="50">
      <c r="A50" s="1427" t="s">
        <v>1314</v>
      </c>
      <c r="B50" s="1167">
        <v>10.56</v>
      </c>
      <c r="C50" s="1167">
        <v>10.56</v>
      </c>
      <c r="D50" s="1167">
        <v>1.31</v>
      </c>
      <c r="E50" s="1451">
        <v>2.09</v>
      </c>
      <c r="F50" s="1451">
        <v>0.32</v>
      </c>
      <c r="G50" s="1451">
        <v>0.97</v>
      </c>
    </row>
    <row r="51">
      <c r="A51" s="1427" t="s">
        <v>1315</v>
      </c>
      <c r="B51" s="1167">
        <v>2.65</v>
      </c>
      <c r="C51" s="1167">
        <v>2.65</v>
      </c>
      <c r="D51" s="1167">
        <v>0.39</v>
      </c>
      <c r="E51" s="1167">
        <v>0.58</v>
      </c>
      <c r="F51" s="1167">
        <v>0.1</v>
      </c>
      <c r="G51" s="1167">
        <v>0.35</v>
      </c>
    </row>
    <row r="52">
      <c r="A52" s="1436" t="s">
        <v>1316</v>
      </c>
      <c r="B52" s="1437">
        <f t="shared" ref="B52:G52" si="10">(B49*B54)+(B50*B55)+(B56*B51)</f>
        <v>11.442</v>
      </c>
      <c r="C52" s="1437">
        <f t="shared" si="10"/>
        <v>11.442</v>
      </c>
      <c r="D52" s="1437">
        <f t="shared" si="10"/>
        <v>1.476</v>
      </c>
      <c r="E52" s="1437">
        <f t="shared" si="10"/>
        <v>2.346</v>
      </c>
      <c r="F52" s="1437">
        <f t="shared" si="10"/>
        <v>0.362</v>
      </c>
      <c r="G52" s="1437">
        <f t="shared" si="10"/>
        <v>1.162</v>
      </c>
    </row>
    <row r="53">
      <c r="A53" s="1150"/>
      <c r="B53" s="1422"/>
      <c r="C53" s="1422"/>
      <c r="D53" s="1422"/>
      <c r="E53" s="1422"/>
      <c r="F53" s="1422"/>
      <c r="G53" s="1422"/>
    </row>
    <row r="54">
      <c r="A54" s="1422" t="s">
        <v>1317</v>
      </c>
      <c r="B54" s="1440">
        <v>0.2</v>
      </c>
      <c r="C54" s="1440">
        <v>0.2</v>
      </c>
      <c r="D54" s="1440">
        <v>0.2</v>
      </c>
      <c r="E54" s="1440">
        <v>0.2</v>
      </c>
      <c r="F54" s="1440">
        <v>0.2</v>
      </c>
      <c r="G54" s="1440">
        <v>0.2</v>
      </c>
    </row>
    <row r="55">
      <c r="A55" s="1" t="s">
        <v>1318</v>
      </c>
      <c r="B55" s="1440">
        <v>0.6</v>
      </c>
      <c r="C55" s="1440">
        <v>0.6</v>
      </c>
      <c r="D55" s="1440">
        <v>0.6</v>
      </c>
      <c r="E55" s="1440">
        <v>0.6</v>
      </c>
      <c r="F55" s="1440">
        <v>0.6</v>
      </c>
      <c r="G55" s="1440">
        <v>0.6</v>
      </c>
    </row>
    <row r="56">
      <c r="A56" s="1452" t="s">
        <v>1319</v>
      </c>
      <c r="B56" s="1453">
        <v>0.2</v>
      </c>
      <c r="C56" s="1453">
        <v>0.2</v>
      </c>
      <c r="D56" s="1453">
        <v>0.2</v>
      </c>
      <c r="E56" s="1453">
        <v>0.2</v>
      </c>
      <c r="F56" s="1453">
        <v>0.2</v>
      </c>
      <c r="G56" s="1453">
        <v>0.2</v>
      </c>
    </row>
    <row r="57">
      <c r="B57" s="1263">
        <f t="shared" ref="B57:G57" si="11">SUM(B54:B56)</f>
        <v>1</v>
      </c>
      <c r="C57" s="1263">
        <f t="shared" si="11"/>
        <v>1</v>
      </c>
      <c r="D57" s="1263">
        <f t="shared" si="11"/>
        <v>1</v>
      </c>
      <c r="E57" s="1263">
        <f t="shared" si="11"/>
        <v>1</v>
      </c>
      <c r="F57" s="1263">
        <f t="shared" si="11"/>
        <v>1</v>
      </c>
      <c r="G57" s="1263">
        <f t="shared" si="11"/>
        <v>1</v>
      </c>
    </row>
    <row r="59">
      <c r="A59" s="1448" t="s">
        <v>567</v>
      </c>
      <c r="B59" s="1449">
        <f t="shared" ref="B59:G59" si="12">B37+B52</f>
        <v>99.47748376</v>
      </c>
      <c r="C59" s="1449">
        <f t="shared" si="12"/>
        <v>109.7378213</v>
      </c>
      <c r="D59" s="1449">
        <f t="shared" si="12"/>
        <v>14.53516013</v>
      </c>
      <c r="E59" s="1449">
        <f t="shared" si="12"/>
        <v>8.142535633</v>
      </c>
      <c r="F59" s="1449">
        <f t="shared" si="12"/>
        <v>1.876686633</v>
      </c>
      <c r="G59" s="1449">
        <f t="shared" si="12"/>
        <v>8.235593493</v>
      </c>
    </row>
    <row r="63">
      <c r="A63" s="1114" t="s">
        <v>637</v>
      </c>
    </row>
    <row r="64">
      <c r="A64" s="1421" t="s">
        <v>614</v>
      </c>
    </row>
    <row r="65">
      <c r="A65" s="1208" t="s">
        <v>1279</v>
      </c>
      <c r="B65" s="1422" t="s">
        <v>1321</v>
      </c>
      <c r="C65" s="1422" t="s">
        <v>1321</v>
      </c>
      <c r="D65" s="1422" t="s">
        <v>1321</v>
      </c>
      <c r="E65" s="1422" t="s">
        <v>1321</v>
      </c>
      <c r="F65" s="1422" t="s">
        <v>1321</v>
      </c>
      <c r="G65" s="1422" t="s">
        <v>1321</v>
      </c>
    </row>
    <row r="66">
      <c r="A66" s="1208" t="s">
        <v>1281</v>
      </c>
      <c r="B66" s="1422" t="s">
        <v>1282</v>
      </c>
      <c r="C66" s="1422" t="s">
        <v>1282</v>
      </c>
      <c r="D66" s="1422" t="s">
        <v>1282</v>
      </c>
      <c r="E66" s="1422" t="s">
        <v>1282</v>
      </c>
      <c r="F66" s="1422" t="s">
        <v>1282</v>
      </c>
      <c r="G66" s="1422" t="s">
        <v>1282</v>
      </c>
    </row>
    <row r="67">
      <c r="A67" s="1208" t="s">
        <v>1283</v>
      </c>
      <c r="B67" s="1422" t="s">
        <v>1284</v>
      </c>
      <c r="C67" s="1422" t="s">
        <v>1284</v>
      </c>
      <c r="D67" s="1422" t="s">
        <v>1284</v>
      </c>
      <c r="E67" s="1422" t="s">
        <v>1284</v>
      </c>
      <c r="F67" s="1422" t="s">
        <v>1284</v>
      </c>
      <c r="G67" s="1422" t="s">
        <v>1284</v>
      </c>
    </row>
    <row r="68">
      <c r="A68" s="1208" t="s">
        <v>1285</v>
      </c>
      <c r="B68" s="1425"/>
      <c r="C68" s="1425"/>
      <c r="D68" s="1425"/>
      <c r="E68" s="1425"/>
      <c r="F68" s="1425"/>
      <c r="G68" s="1425"/>
    </row>
    <row r="69">
      <c r="A69" s="1208" t="s">
        <v>1286</v>
      </c>
      <c r="B69" s="1425"/>
      <c r="C69" s="1425"/>
      <c r="D69" s="1425"/>
      <c r="E69" s="1425"/>
      <c r="F69" s="1425"/>
      <c r="G69" s="1425"/>
    </row>
    <row r="71">
      <c r="A71" s="1427" t="s">
        <v>637</v>
      </c>
      <c r="B71" s="1117">
        <v>44.0</v>
      </c>
      <c r="C71" s="1117">
        <v>44.0</v>
      </c>
      <c r="D71" s="1117">
        <v>22.0</v>
      </c>
      <c r="E71" s="1117">
        <v>22.0</v>
      </c>
      <c r="F71" s="1117">
        <v>22.0</v>
      </c>
      <c r="G71" s="1117">
        <v>22.0</v>
      </c>
    </row>
    <row r="72">
      <c r="A72" s="1427" t="s">
        <v>1322</v>
      </c>
      <c r="B72" s="1427"/>
      <c r="C72" s="1427"/>
      <c r="D72" s="1427"/>
      <c r="E72" s="1427"/>
      <c r="F72" s="1427"/>
      <c r="G72" s="1427"/>
    </row>
    <row r="73">
      <c r="A73" s="1427" t="s">
        <v>1323</v>
      </c>
      <c r="B73" s="1428">
        <v>1.01</v>
      </c>
      <c r="C73" s="1428">
        <v>1.01</v>
      </c>
      <c r="D73" s="1428">
        <v>0.6</v>
      </c>
      <c r="E73" s="1428">
        <v>0.6</v>
      </c>
      <c r="F73" s="1428">
        <v>0.6</v>
      </c>
      <c r="G73" s="1428">
        <v>0.6</v>
      </c>
    </row>
    <row r="74">
      <c r="A74" s="1427" t="s">
        <v>1324</v>
      </c>
      <c r="B74" s="1428">
        <v>0.35</v>
      </c>
      <c r="C74" s="1428">
        <v>0.35</v>
      </c>
      <c r="D74" s="1428">
        <v>0.35</v>
      </c>
      <c r="E74" s="1428">
        <v>0.35</v>
      </c>
      <c r="F74" s="1428">
        <v>0.35</v>
      </c>
      <c r="G74" s="1428">
        <v>0.35</v>
      </c>
    </row>
    <row r="75">
      <c r="A75" s="1427" t="s">
        <v>1325</v>
      </c>
      <c r="B75" s="1434">
        <v>0.31</v>
      </c>
      <c r="C75" s="1434">
        <v>0.31</v>
      </c>
      <c r="D75" s="1434">
        <v>0.03</v>
      </c>
      <c r="E75" s="1434">
        <v>0.06</v>
      </c>
      <c r="F75" s="1434">
        <v>0.01</v>
      </c>
      <c r="G75" s="1434">
        <v>0.04</v>
      </c>
      <c r="H75" s="1456"/>
      <c r="I75" s="1456"/>
      <c r="J75" s="1456"/>
      <c r="K75" s="1456"/>
      <c r="L75" s="1456"/>
      <c r="M75" s="1456"/>
      <c r="N75" s="1456"/>
      <c r="O75" s="1456"/>
      <c r="P75" s="1456"/>
      <c r="Q75" s="1456"/>
      <c r="R75" s="1456"/>
      <c r="S75" s="1456"/>
      <c r="T75" s="1456"/>
      <c r="U75" s="1456"/>
    </row>
    <row r="76">
      <c r="A76" s="1427" t="s">
        <v>1326</v>
      </c>
      <c r="B76" s="1230">
        <v>0.0</v>
      </c>
      <c r="C76" s="1230">
        <v>0.0</v>
      </c>
      <c r="D76" s="1230">
        <v>1.2</v>
      </c>
      <c r="E76" s="1230">
        <v>1.2</v>
      </c>
      <c r="F76" s="1230">
        <v>1.2</v>
      </c>
      <c r="G76" s="1230">
        <v>1.2</v>
      </c>
    </row>
    <row r="77">
      <c r="A77" s="1427" t="s">
        <v>1327</v>
      </c>
      <c r="B77" s="1230">
        <v>1.3</v>
      </c>
      <c r="C77" s="1230">
        <v>1.3</v>
      </c>
      <c r="D77" s="1230">
        <v>0.0</v>
      </c>
      <c r="E77" s="1230">
        <v>0.0</v>
      </c>
      <c r="F77" s="1230">
        <v>0.0</v>
      </c>
      <c r="G77" s="1230">
        <v>0.0</v>
      </c>
    </row>
    <row r="78">
      <c r="A78" s="1427" t="s">
        <v>1328</v>
      </c>
      <c r="B78" s="1427"/>
      <c r="C78" s="1427"/>
      <c r="D78" s="1427"/>
      <c r="E78" s="1427"/>
      <c r="F78" s="1427"/>
      <c r="G78" s="1427"/>
    </row>
    <row r="79">
      <c r="A79" s="1427" t="s">
        <v>695</v>
      </c>
      <c r="B79" s="1428">
        <v>0.3</v>
      </c>
      <c r="C79" s="1428">
        <v>0.3</v>
      </c>
      <c r="D79" s="1230">
        <v>0.0</v>
      </c>
      <c r="E79" s="1230">
        <v>0.0</v>
      </c>
      <c r="F79" s="1230">
        <v>0.0</v>
      </c>
      <c r="G79" s="1230">
        <v>0.0</v>
      </c>
    </row>
    <row r="80">
      <c r="A80" s="1427" t="s">
        <v>1329</v>
      </c>
      <c r="B80" s="1143">
        <v>0.31</v>
      </c>
      <c r="C80" s="1143">
        <v>0.31</v>
      </c>
      <c r="D80" s="1143">
        <v>0.31</v>
      </c>
      <c r="E80" s="1143">
        <v>0.31</v>
      </c>
      <c r="F80" s="1143">
        <v>0.31</v>
      </c>
      <c r="G80" s="1143">
        <v>0.31</v>
      </c>
    </row>
    <row r="81">
      <c r="A81" s="1436" t="s">
        <v>1330</v>
      </c>
      <c r="B81" s="1437">
        <f t="shared" ref="B81:G81" si="13">SUM(B71:B80)</f>
        <v>47.58</v>
      </c>
      <c r="C81" s="1437">
        <f t="shared" si="13"/>
        <v>47.58</v>
      </c>
      <c r="D81" s="1437">
        <f t="shared" si="13"/>
        <v>24.49</v>
      </c>
      <c r="E81" s="1437">
        <f t="shared" si="13"/>
        <v>24.52</v>
      </c>
      <c r="F81" s="1437">
        <f t="shared" si="13"/>
        <v>24.47</v>
      </c>
      <c r="G81" s="1437">
        <f t="shared" si="13"/>
        <v>24.5</v>
      </c>
    </row>
    <row r="83">
      <c r="A83" s="1448" t="s">
        <v>567</v>
      </c>
      <c r="B83" s="1449">
        <f t="shared" ref="B83:G83" si="14">B59+B81</f>
        <v>147.0574838</v>
      </c>
      <c r="C83" s="1449">
        <f t="shared" si="14"/>
        <v>157.3178213</v>
      </c>
      <c r="D83" s="1449">
        <f t="shared" si="14"/>
        <v>39.02516013</v>
      </c>
      <c r="E83" s="1449">
        <f t="shared" si="14"/>
        <v>32.66253563</v>
      </c>
      <c r="F83" s="1449">
        <f t="shared" si="14"/>
        <v>26.34668663</v>
      </c>
      <c r="G83" s="1449">
        <f t="shared" si="14"/>
        <v>32.73559349</v>
      </c>
    </row>
    <row r="87">
      <c r="A87" s="1150"/>
      <c r="B87" s="1422"/>
      <c r="C87" s="1422" t="s">
        <v>1344</v>
      </c>
      <c r="D87" s="1422">
        <v>70.0</v>
      </c>
      <c r="E87" s="1422">
        <v>24.0</v>
      </c>
      <c r="F87" s="1422">
        <v>14.0</v>
      </c>
      <c r="G87" s="1422">
        <v>29.0</v>
      </c>
    </row>
    <row r="88">
      <c r="C88" s="1" t="s">
        <v>1345</v>
      </c>
      <c r="D88" s="1450">
        <v>10.0</v>
      </c>
      <c r="E88" s="1450">
        <v>10.0</v>
      </c>
      <c r="F88" s="1450">
        <v>10.0</v>
      </c>
      <c r="G88" s="1450">
        <v>10.0</v>
      </c>
    </row>
    <row r="89">
      <c r="D89" s="1255">
        <f t="shared" ref="D89:G89" si="15">(D87-D83)+D88</f>
        <v>40.97483987</v>
      </c>
      <c r="E89" s="1255">
        <f t="shared" si="15"/>
        <v>1.337464367</v>
      </c>
      <c r="F89" s="1255">
        <f t="shared" si="15"/>
        <v>-2.346686633</v>
      </c>
      <c r="G89" s="1255">
        <f t="shared" si="15"/>
        <v>6.264406507</v>
      </c>
    </row>
    <row r="91">
      <c r="C91" s="1" t="s">
        <v>1346</v>
      </c>
      <c r="D91" s="1228">
        <f t="shared" ref="D91:G91" si="16">D87*0.13</f>
        <v>9.1</v>
      </c>
      <c r="E91" s="1228">
        <f t="shared" si="16"/>
        <v>3.12</v>
      </c>
      <c r="F91" s="1228">
        <f t="shared" si="16"/>
        <v>1.82</v>
      </c>
      <c r="G91" s="1228">
        <f t="shared" si="16"/>
        <v>3.77</v>
      </c>
    </row>
    <row r="93">
      <c r="C93" s="1462" t="s">
        <v>1347</v>
      </c>
      <c r="D93" s="1255">
        <f t="shared" ref="D93:G93" si="17">D89-D91</f>
        <v>31.87483987</v>
      </c>
      <c r="E93" s="1255">
        <f t="shared" si="17"/>
        <v>-1.782535633</v>
      </c>
      <c r="F93" s="1255">
        <f t="shared" si="17"/>
        <v>-4.166686633</v>
      </c>
      <c r="G93" s="1255">
        <f t="shared" si="17"/>
        <v>2.494406507</v>
      </c>
    </row>
    <row r="97">
      <c r="F97" s="1463"/>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8.38"/>
    <col customWidth="1" min="3" max="3" width="14.38"/>
    <col customWidth="1" min="4" max="4" width="14.75"/>
    <col customWidth="1" min="5" max="5" width="16.38"/>
    <col customWidth="1" min="6" max="6" width="13.63"/>
    <col customWidth="1" min="7" max="7" width="15.0"/>
    <col customWidth="1" min="8" max="8" width="17.38"/>
    <col customWidth="1" min="9" max="9" width="17.25"/>
    <col customWidth="1" min="10" max="10" width="15.88"/>
    <col customWidth="1" min="11" max="11" width="18.38"/>
    <col customWidth="1" min="12" max="12" width="16.88"/>
    <col customWidth="1" min="13" max="13" width="7.75"/>
  </cols>
  <sheetData>
    <row r="1">
      <c r="A1" s="1464" t="s">
        <v>1348</v>
      </c>
      <c r="B1" s="1465" t="s">
        <v>1349</v>
      </c>
      <c r="C1" s="708"/>
      <c r="D1" s="1466" t="s">
        <v>1350</v>
      </c>
      <c r="E1" s="708"/>
      <c r="F1" s="1466" t="s">
        <v>1351</v>
      </c>
      <c r="G1" s="708"/>
      <c r="H1" s="1466" t="s">
        <v>1352</v>
      </c>
      <c r="I1" s="708"/>
      <c r="J1" s="1466" t="s">
        <v>1353</v>
      </c>
      <c r="K1" s="708"/>
      <c r="L1" s="1467"/>
      <c r="M1" s="1258"/>
      <c r="N1" s="1468"/>
    </row>
    <row r="2">
      <c r="A2" s="708"/>
      <c r="B2" s="1469" t="s">
        <v>1354</v>
      </c>
      <c r="C2" s="708"/>
      <c r="D2" s="1466" t="s">
        <v>1355</v>
      </c>
      <c r="E2" s="708"/>
      <c r="F2" s="1466" t="s">
        <v>1355</v>
      </c>
      <c r="G2" s="708"/>
      <c r="H2" s="1466" t="s">
        <v>1355</v>
      </c>
      <c r="I2" s="708"/>
      <c r="J2" s="1470" t="s">
        <v>1356</v>
      </c>
      <c r="K2" s="1470" t="s">
        <v>1357</v>
      </c>
      <c r="L2" s="1467"/>
      <c r="M2" s="1258"/>
      <c r="N2" s="1468"/>
    </row>
    <row r="3">
      <c r="A3" s="1471" t="s">
        <v>1358</v>
      </c>
      <c r="B3" s="1472" t="s">
        <v>1359</v>
      </c>
      <c r="C3" s="1473" t="s">
        <v>1360</v>
      </c>
      <c r="D3" s="1472" t="s">
        <v>1359</v>
      </c>
      <c r="E3" s="1473" t="s">
        <v>1360</v>
      </c>
      <c r="F3" s="1472" t="s">
        <v>1359</v>
      </c>
      <c r="G3" s="1473" t="s">
        <v>1360</v>
      </c>
      <c r="H3" s="1472" t="s">
        <v>1361</v>
      </c>
      <c r="I3" s="1473" t="s">
        <v>1362</v>
      </c>
      <c r="J3" s="708"/>
      <c r="K3" s="708"/>
    </row>
    <row r="4">
      <c r="A4" s="1474" t="s">
        <v>1363</v>
      </c>
      <c r="B4" s="1475">
        <v>135385.92</v>
      </c>
      <c r="C4" s="1476">
        <f t="shared" ref="C4:C5" si="1">IFERROR(B4/$B$4,"")</f>
        <v>1</v>
      </c>
      <c r="D4" s="1477">
        <f>'OLD Sales'!$B$76</f>
        <v>1050842.27</v>
      </c>
      <c r="E4" s="1476">
        <f t="shared" ref="E4:E5" si="2">IFERROR(D4/$D$4,"")</f>
        <v>1</v>
      </c>
      <c r="F4" s="1477">
        <f>'Forecast projection'!H13</f>
        <v>1450000</v>
      </c>
      <c r="G4" s="1476">
        <f t="shared" ref="G4:G6" si="3">IFERROR(F4/$F$4,"")</f>
        <v>1</v>
      </c>
      <c r="H4" s="1478">
        <f t="shared" ref="H4:H28" si="4">IFERROR(D4/F4,"")</f>
        <v>0.7247188069</v>
      </c>
      <c r="I4" s="1479">
        <f t="shared" ref="I4:I28" si="5">D4-F4</f>
        <v>-399157.73</v>
      </c>
      <c r="J4" s="1478">
        <f t="shared" ref="J4:J28" si="6">IFERROR(D4/B4-1,"")</f>
        <v>6.761828335</v>
      </c>
      <c r="K4" s="1480">
        <f t="shared" ref="K4:K28" si="7">IFERROR(F4/B4-1,"")</f>
        <v>9.710124066</v>
      </c>
    </row>
    <row r="5">
      <c r="A5" s="1481" t="s">
        <v>1364</v>
      </c>
      <c r="B5" s="1482">
        <f>B4-B14</f>
        <v>37446.04</v>
      </c>
      <c r="C5" s="1476">
        <f t="shared" si="1"/>
        <v>0.2765874029</v>
      </c>
      <c r="D5" s="1483">
        <f>D4-D14</f>
        <v>980378.652</v>
      </c>
      <c r="E5" s="1476">
        <f t="shared" si="2"/>
        <v>0.9329455809</v>
      </c>
      <c r="F5" s="1477">
        <f>F4-F14</f>
        <v>1395000</v>
      </c>
      <c r="G5" s="1476">
        <f t="shared" si="3"/>
        <v>0.9620689655</v>
      </c>
      <c r="H5" s="1478">
        <f t="shared" si="4"/>
        <v>0.7027803957</v>
      </c>
      <c r="I5" s="1479">
        <f t="shared" si="5"/>
        <v>-414621.348</v>
      </c>
      <c r="J5" s="1478">
        <f t="shared" si="6"/>
        <v>25.18110358</v>
      </c>
      <c r="K5" s="1480">
        <f t="shared" si="7"/>
        <v>36.25360545</v>
      </c>
    </row>
    <row r="6">
      <c r="A6" s="1484" t="s">
        <v>1365</v>
      </c>
      <c r="B6" s="1482">
        <f>B5-B12</f>
        <v>28999.8</v>
      </c>
      <c r="C6" s="1485">
        <f t="shared" ref="C6:C7" si="8">IFERROR(B6/$B$5,"")</f>
        <v>0.7744423709</v>
      </c>
      <c r="D6" s="1483">
        <f>D5-D12</f>
        <v>805262.2333</v>
      </c>
      <c r="E6" s="1485">
        <f t="shared" ref="E6:E7" si="9">IFERROR(D6/$D$5,"")</f>
        <v>0.8213787925</v>
      </c>
      <c r="F6" s="1477">
        <f>F5-F12</f>
        <v>695000</v>
      </c>
      <c r="G6" s="1480">
        <f t="shared" si="3"/>
        <v>0.4793103448</v>
      </c>
      <c r="H6" s="1478">
        <f t="shared" si="4"/>
        <v>1.158650695</v>
      </c>
      <c r="I6" s="1479">
        <f t="shared" si="5"/>
        <v>110262.2333</v>
      </c>
      <c r="J6" s="1478">
        <f t="shared" si="6"/>
        <v>26.76785472</v>
      </c>
      <c r="K6" s="1480">
        <f t="shared" si="7"/>
        <v>22.96568252</v>
      </c>
    </row>
    <row r="7">
      <c r="A7" s="1486" t="s">
        <v>1366</v>
      </c>
      <c r="B7" s="1487">
        <f>B5-B12-B9</f>
        <v>-12757.12</v>
      </c>
      <c r="C7" s="1488">
        <f t="shared" si="8"/>
        <v>-0.3406800826</v>
      </c>
      <c r="D7" s="1489">
        <f>D5-D12-D9</f>
        <v>500137.1833</v>
      </c>
      <c r="E7" s="1488">
        <f t="shared" si="9"/>
        <v>0.5101469542</v>
      </c>
      <c r="F7" s="1489">
        <f>F5-F12-F9</f>
        <v>135000</v>
      </c>
      <c r="G7" s="1488">
        <f>IFERROR(F7/$F$5,"")</f>
        <v>0.09677419355</v>
      </c>
      <c r="H7" s="1490">
        <f t="shared" si="4"/>
        <v>3.704719877</v>
      </c>
      <c r="I7" s="1491">
        <f t="shared" si="5"/>
        <v>365137.1833</v>
      </c>
      <c r="J7" s="1490">
        <f t="shared" si="6"/>
        <v>-40.2045527</v>
      </c>
      <c r="K7" s="1488">
        <f t="shared" si="7"/>
        <v>-11.58232579</v>
      </c>
      <c r="M7" s="1204"/>
    </row>
    <row r="8" collapsed="1">
      <c r="A8" s="1492" t="s">
        <v>1367</v>
      </c>
      <c r="B8" s="1475">
        <f>161681.9-B14</f>
        <v>63742.02</v>
      </c>
      <c r="C8" s="1480">
        <f t="shared" ref="C8:C11" si="10">IFERROR(B8/$B$4,"")</f>
        <v>0.4708172017</v>
      </c>
      <c r="D8" s="1477">
        <f>sum(D9:D13)</f>
        <v>580151.3513</v>
      </c>
      <c r="E8" s="1480">
        <f t="shared" ref="E8:E11" si="11">IFERROR(D8/$D$4,"")</f>
        <v>0.5520822371</v>
      </c>
      <c r="F8" s="1477">
        <f>sum(F9:F13)</f>
        <v>1610000</v>
      </c>
      <c r="G8" s="1480">
        <f t="shared" ref="G8:G19" si="12">IFERROR(F8/$F$4,"")</f>
        <v>1.110344828</v>
      </c>
      <c r="H8" s="1478">
        <f t="shared" si="4"/>
        <v>0.3603424542</v>
      </c>
      <c r="I8" s="1479">
        <f t="shared" si="5"/>
        <v>-1029848.649</v>
      </c>
      <c r="J8" s="1478">
        <f t="shared" si="6"/>
        <v>8.101552653</v>
      </c>
      <c r="K8" s="1480">
        <f t="shared" si="7"/>
        <v>24.25806368</v>
      </c>
      <c r="M8" s="1204"/>
    </row>
    <row r="9" hidden="1" outlineLevel="1">
      <c r="A9" s="1493" t="s">
        <v>1368</v>
      </c>
      <c r="B9" s="1475">
        <v>41756.92</v>
      </c>
      <c r="C9" s="1480">
        <f t="shared" si="10"/>
        <v>0.3084288233</v>
      </c>
      <c r="D9" s="1477">
        <f>sum('OLD Detailed Report'!AF535:AF536)</f>
        <v>305125.05</v>
      </c>
      <c r="E9" s="1480">
        <f t="shared" si="11"/>
        <v>0.2903623681</v>
      </c>
      <c r="F9" s="1477">
        <f>'Forecast projection'!H15</f>
        <v>560000</v>
      </c>
      <c r="G9" s="1480">
        <f t="shared" si="12"/>
        <v>0.3862068966</v>
      </c>
      <c r="H9" s="1478">
        <f t="shared" si="4"/>
        <v>0.5448661607</v>
      </c>
      <c r="I9" s="1479">
        <f t="shared" si="5"/>
        <v>-254874.95</v>
      </c>
      <c r="J9" s="1478">
        <f t="shared" si="6"/>
        <v>6.307173278</v>
      </c>
      <c r="K9" s="1480">
        <f t="shared" si="7"/>
        <v>12.41095081</v>
      </c>
      <c r="M9" s="1204"/>
    </row>
    <row r="10" hidden="1" outlineLevel="1">
      <c r="A10" s="1493" t="s">
        <v>1370</v>
      </c>
      <c r="B10" s="1475">
        <v>5295.1</v>
      </c>
      <c r="C10" s="1480">
        <f t="shared" si="10"/>
        <v>0.0391111572</v>
      </c>
      <c r="D10" s="1477">
        <f>sum('OLD Detailed Report'!AF560:AF563)</f>
        <v>34772.365</v>
      </c>
      <c r="E10" s="1480">
        <f t="shared" si="11"/>
        <v>0.03308999456</v>
      </c>
      <c r="F10" s="1475">
        <v>180000.0</v>
      </c>
      <c r="G10" s="1480">
        <f t="shared" si="12"/>
        <v>0.124137931</v>
      </c>
      <c r="H10" s="1478">
        <f t="shared" si="4"/>
        <v>0.1931798056</v>
      </c>
      <c r="I10" s="1479">
        <f t="shared" si="5"/>
        <v>-145227.635</v>
      </c>
      <c r="J10" s="1478">
        <f t="shared" si="6"/>
        <v>5.566894865</v>
      </c>
      <c r="K10" s="1480">
        <f t="shared" si="7"/>
        <v>32.99369228</v>
      </c>
      <c r="M10" s="1204"/>
    </row>
    <row r="11" hidden="1" outlineLevel="1">
      <c r="A11" s="1493" t="s">
        <v>1371</v>
      </c>
      <c r="B11" s="1475">
        <v>4060.06</v>
      </c>
      <c r="C11" s="1480">
        <f t="shared" si="10"/>
        <v>0.02998879056</v>
      </c>
      <c r="D11" s="1477">
        <f>sum('OLD Detailed Report'!AF558:AF559)</f>
        <v>20356.76739</v>
      </c>
      <c r="E11" s="1480">
        <f t="shared" si="11"/>
        <v>0.01937185815</v>
      </c>
      <c r="F11" s="1475">
        <v>50000.0</v>
      </c>
      <c r="G11" s="1480">
        <f t="shared" si="12"/>
        <v>0.03448275862</v>
      </c>
      <c r="H11" s="1478">
        <f t="shared" si="4"/>
        <v>0.4071353478</v>
      </c>
      <c r="I11" s="1479">
        <f t="shared" si="5"/>
        <v>-29643.23261</v>
      </c>
      <c r="J11" s="1478">
        <f t="shared" si="6"/>
        <v>4.013908019</v>
      </c>
      <c r="K11" s="1480">
        <f t="shared" si="7"/>
        <v>11.31508894</v>
      </c>
      <c r="M11" s="1204"/>
    </row>
    <row r="12" hidden="1" outlineLevel="1">
      <c r="A12" s="1493" t="s">
        <v>615</v>
      </c>
      <c r="B12" s="1475">
        <v>8446.24</v>
      </c>
      <c r="C12" s="1480">
        <f>IFERROR(B12/$B$5,"")</f>
        <v>0.2255576291</v>
      </c>
      <c r="D12" s="1495">
        <f>sum('OLD Detailed Report'!AF537:AF557)</f>
        <v>175116.4187</v>
      </c>
      <c r="E12" s="1485">
        <f>IFERROR(D12/$D$5,"")</f>
        <v>0.1786212075</v>
      </c>
      <c r="F12" s="1475">
        <v>700000.0</v>
      </c>
      <c r="G12" s="1480">
        <f t="shared" si="12"/>
        <v>0.4827586207</v>
      </c>
      <c r="H12" s="1478">
        <f t="shared" si="4"/>
        <v>0.2501663124</v>
      </c>
      <c r="I12" s="1479">
        <f t="shared" si="5"/>
        <v>-524883.5813</v>
      </c>
      <c r="J12" s="1478">
        <f t="shared" si="6"/>
        <v>19.73306213</v>
      </c>
      <c r="K12" s="1480">
        <f t="shared" si="7"/>
        <v>81.87711455</v>
      </c>
    </row>
    <row r="13" hidden="1" outlineLevel="1">
      <c r="A13" s="1493" t="s">
        <v>1374</v>
      </c>
      <c r="B13" s="1475">
        <v>4183.7</v>
      </c>
      <c r="C13" s="1480">
        <f t="shared" ref="C13:C19" si="13">IFERROR(B13/$B$4,"")</f>
        <v>0.03090203176</v>
      </c>
      <c r="D13" s="1477">
        <f>sum('OLD Detailed Report'!AF564:AF566)</f>
        <v>44780.7502</v>
      </c>
      <c r="E13" s="1480">
        <f t="shared" ref="E13:E19" si="14">IFERROR(D13/$D$4,"")</f>
        <v>0.04261415008</v>
      </c>
      <c r="F13" s="1475">
        <v>120000.0</v>
      </c>
      <c r="G13" s="1480">
        <f t="shared" si="12"/>
        <v>0.08275862069</v>
      </c>
      <c r="H13" s="1478">
        <f t="shared" si="4"/>
        <v>0.3731729183</v>
      </c>
      <c r="I13" s="1479">
        <f t="shared" si="5"/>
        <v>-75219.2498</v>
      </c>
      <c r="J13" s="1478">
        <f t="shared" si="6"/>
        <v>9.703623635</v>
      </c>
      <c r="K13" s="1480">
        <f t="shared" si="7"/>
        <v>27.68274494</v>
      </c>
    </row>
    <row r="14" collapsed="1">
      <c r="A14" s="1496" t="s">
        <v>1375</v>
      </c>
      <c r="B14" s="1475">
        <v>97939.88</v>
      </c>
      <c r="C14" s="1480">
        <f t="shared" si="13"/>
        <v>0.7234125971</v>
      </c>
      <c r="D14" s="1477">
        <f>sum(D15:D18)</f>
        <v>70463.618</v>
      </c>
      <c r="E14" s="1480">
        <f t="shared" si="14"/>
        <v>0.06705441912</v>
      </c>
      <c r="F14" s="1477">
        <f>sum(F15:F18)</f>
        <v>55000</v>
      </c>
      <c r="G14" s="1480">
        <f t="shared" si="12"/>
        <v>0.03793103448</v>
      </c>
      <c r="H14" s="1478">
        <f t="shared" si="4"/>
        <v>1.281156691</v>
      </c>
      <c r="I14" s="1479">
        <f t="shared" si="5"/>
        <v>15463.618</v>
      </c>
      <c r="J14" s="1478">
        <f t="shared" si="6"/>
        <v>-0.2805421244</v>
      </c>
      <c r="K14" s="1480">
        <f t="shared" si="7"/>
        <v>-0.4384310048</v>
      </c>
      <c r="M14" s="1204"/>
    </row>
    <row r="15" hidden="1" outlineLevel="1">
      <c r="A15" s="1497" t="s">
        <v>811</v>
      </c>
      <c r="B15" s="1475"/>
      <c r="C15" s="1480">
        <f t="shared" si="13"/>
        <v>0</v>
      </c>
      <c r="D15" s="1477">
        <f>'OLD Detailed Report'!AF568</f>
        <v>7039.54</v>
      </c>
      <c r="E15" s="1480">
        <f t="shared" si="14"/>
        <v>0.006698950167</v>
      </c>
      <c r="F15" s="1475">
        <v>30000.0</v>
      </c>
      <c r="G15" s="1480">
        <f t="shared" si="12"/>
        <v>0.02068965517</v>
      </c>
      <c r="H15" s="1478">
        <f t="shared" si="4"/>
        <v>0.2346513333</v>
      </c>
      <c r="I15" s="1479">
        <f t="shared" si="5"/>
        <v>-22960.46</v>
      </c>
      <c r="J15" s="1478" t="str">
        <f t="shared" si="6"/>
        <v/>
      </c>
      <c r="K15" s="1480" t="str">
        <f t="shared" si="7"/>
        <v/>
      </c>
      <c r="M15" s="1204"/>
    </row>
    <row r="16" hidden="1" outlineLevel="1">
      <c r="A16" s="1497" t="s">
        <v>1376</v>
      </c>
      <c r="B16" s="1475"/>
      <c r="C16" s="1480">
        <f t="shared" si="13"/>
        <v>0</v>
      </c>
      <c r="D16" s="1477">
        <f>sum('OLD Detailed Report'!AF569:AF570)</f>
        <v>63194.158</v>
      </c>
      <c r="E16" s="1480">
        <f t="shared" si="14"/>
        <v>0.06013667303</v>
      </c>
      <c r="F16" s="1475">
        <v>15000.0</v>
      </c>
      <c r="G16" s="1480">
        <f t="shared" si="12"/>
        <v>0.01034482759</v>
      </c>
      <c r="H16" s="1478">
        <f t="shared" si="4"/>
        <v>4.212943867</v>
      </c>
      <c r="I16" s="1479">
        <f t="shared" si="5"/>
        <v>48194.158</v>
      </c>
      <c r="J16" s="1478" t="str">
        <f t="shared" si="6"/>
        <v/>
      </c>
      <c r="K16" s="1480" t="str">
        <f t="shared" si="7"/>
        <v/>
      </c>
      <c r="M16" s="1204"/>
    </row>
    <row r="17" hidden="1" outlineLevel="1">
      <c r="A17" s="1497" t="s">
        <v>369</v>
      </c>
      <c r="B17" s="1475"/>
      <c r="C17" s="1480">
        <f t="shared" si="13"/>
        <v>0</v>
      </c>
      <c r="D17" s="1477">
        <f>'OLD Detailed Report'!AF571</f>
        <v>229.92</v>
      </c>
      <c r="E17" s="1480">
        <f t="shared" si="14"/>
        <v>0.0002187959188</v>
      </c>
      <c r="F17" s="1475">
        <v>5000.0</v>
      </c>
      <c r="G17" s="1480">
        <f t="shared" si="12"/>
        <v>0.003448275862</v>
      </c>
      <c r="H17" s="1478">
        <f t="shared" si="4"/>
        <v>0.045984</v>
      </c>
      <c r="I17" s="1479">
        <f t="shared" si="5"/>
        <v>-4770.08</v>
      </c>
      <c r="J17" s="1478" t="str">
        <f t="shared" si="6"/>
        <v/>
      </c>
      <c r="K17" s="1480" t="str">
        <f t="shared" si="7"/>
        <v/>
      </c>
    </row>
    <row r="18" hidden="1" outlineLevel="1">
      <c r="A18" s="1497" t="s">
        <v>1379</v>
      </c>
      <c r="B18" s="1475"/>
      <c r="C18" s="1480">
        <f t="shared" si="13"/>
        <v>0</v>
      </c>
      <c r="D18" s="1477">
        <f>'OLD Detailed Report'!AF626</f>
        <v>0</v>
      </c>
      <c r="E18" s="1480">
        <f t="shared" si="14"/>
        <v>0</v>
      </c>
      <c r="F18" s="1475">
        <v>5000.0</v>
      </c>
      <c r="G18" s="1480">
        <f t="shared" si="12"/>
        <v>0.003448275862</v>
      </c>
      <c r="H18" s="1478">
        <f t="shared" si="4"/>
        <v>0</v>
      </c>
      <c r="I18" s="1479">
        <f t="shared" si="5"/>
        <v>-5000</v>
      </c>
      <c r="J18" s="1478" t="str">
        <f t="shared" si="6"/>
        <v/>
      </c>
      <c r="K18" s="1480" t="str">
        <f t="shared" si="7"/>
        <v/>
      </c>
    </row>
    <row r="19">
      <c r="A19" s="1499" t="s">
        <v>1381</v>
      </c>
      <c r="B19" s="1500">
        <f>B4-B8-B14</f>
        <v>-26295.98</v>
      </c>
      <c r="C19" s="1501">
        <f t="shared" si="13"/>
        <v>-0.1942297988</v>
      </c>
      <c r="D19" s="1500">
        <f>D4-D8-D14</f>
        <v>400227.3007</v>
      </c>
      <c r="E19" s="1501">
        <f t="shared" si="14"/>
        <v>0.3808633438</v>
      </c>
      <c r="F19" s="1500">
        <f>F4-F8-F14</f>
        <v>-215000</v>
      </c>
      <c r="G19" s="1501">
        <f t="shared" si="12"/>
        <v>-0.1482758621</v>
      </c>
      <c r="H19" s="1502">
        <f t="shared" si="4"/>
        <v>-1.861522329</v>
      </c>
      <c r="I19" s="1503">
        <f t="shared" si="5"/>
        <v>615227.3007</v>
      </c>
      <c r="J19" s="1502">
        <f t="shared" si="6"/>
        <v>-16.22009451</v>
      </c>
      <c r="K19" s="1501">
        <f t="shared" si="7"/>
        <v>7.176154682</v>
      </c>
      <c r="M19" s="1263"/>
    </row>
    <row r="20">
      <c r="A20" s="1504" t="s">
        <v>1384</v>
      </c>
      <c r="B20" s="1505">
        <v>54892.0</v>
      </c>
      <c r="C20" s="1506"/>
      <c r="D20" s="1507">
        <f>'Forecast projection'!C114</f>
        <v>256551</v>
      </c>
      <c r="E20" s="1506"/>
      <c r="F20" s="1507">
        <f>'Forecast projection'!H20</f>
        <v>432000</v>
      </c>
      <c r="G20" s="1506"/>
      <c r="H20" s="1478">
        <f t="shared" si="4"/>
        <v>0.5938680556</v>
      </c>
      <c r="I20" s="1479">
        <f t="shared" si="5"/>
        <v>-175449</v>
      </c>
      <c r="J20" s="1478">
        <f t="shared" si="6"/>
        <v>3.673741164</v>
      </c>
      <c r="K20" s="1480">
        <f t="shared" si="7"/>
        <v>6.869999271</v>
      </c>
    </row>
    <row r="21">
      <c r="A21" s="1508" t="s">
        <v>69</v>
      </c>
      <c r="B21" s="1505">
        <v>418.0</v>
      </c>
      <c r="C21" s="1506"/>
      <c r="D21" s="1507">
        <f>'OLD Sales'!B84</f>
        <v>10714</v>
      </c>
      <c r="E21" s="1506"/>
      <c r="F21" s="1507">
        <f>'Forecast projection'!H14</f>
        <v>5400</v>
      </c>
      <c r="G21" s="1506"/>
      <c r="H21" s="1478">
        <f t="shared" si="4"/>
        <v>1.984074074</v>
      </c>
      <c r="I21" s="1479">
        <f t="shared" si="5"/>
        <v>5314</v>
      </c>
      <c r="J21" s="1478">
        <f t="shared" si="6"/>
        <v>24.63157895</v>
      </c>
      <c r="K21" s="1480">
        <f t="shared" si="7"/>
        <v>11.91866029</v>
      </c>
    </row>
    <row r="22">
      <c r="A22" s="1508" t="s">
        <v>1386</v>
      </c>
      <c r="B22" s="1505">
        <v>216.0</v>
      </c>
      <c r="C22" s="1506"/>
      <c r="D22" s="1509">
        <f>'OLD Sales'!B85</f>
        <v>2958</v>
      </c>
      <c r="E22" s="1506"/>
      <c r="F22" s="1505">
        <v>5000.0</v>
      </c>
      <c r="G22" s="1506"/>
      <c r="H22" s="1478">
        <f t="shared" si="4"/>
        <v>0.5916</v>
      </c>
      <c r="I22" s="1510">
        <f t="shared" si="5"/>
        <v>-2042</v>
      </c>
      <c r="J22" s="1478">
        <f t="shared" si="6"/>
        <v>12.69444444</v>
      </c>
      <c r="K22" s="1480">
        <f t="shared" si="7"/>
        <v>22.14814815</v>
      </c>
    </row>
    <row r="23">
      <c r="A23" s="1508" t="s">
        <v>335</v>
      </c>
      <c r="B23" s="1478">
        <f>B21/B20</f>
        <v>0.007614952999</v>
      </c>
      <c r="C23" s="1506"/>
      <c r="D23" s="1478">
        <f>D21/D20</f>
        <v>0.04176167702</v>
      </c>
      <c r="E23" s="1506"/>
      <c r="F23" s="1478">
        <f>F21/F20</f>
        <v>0.0125</v>
      </c>
      <c r="G23" s="1506"/>
      <c r="H23" s="1478">
        <f t="shared" si="4"/>
        <v>3.340934161</v>
      </c>
      <c r="I23" s="1479">
        <f t="shared" si="5"/>
        <v>0.02926167702</v>
      </c>
      <c r="J23" s="1478">
        <f t="shared" si="6"/>
        <v>4.484167404</v>
      </c>
      <c r="K23" s="1480">
        <f t="shared" si="7"/>
        <v>0.641507177</v>
      </c>
    </row>
    <row r="24">
      <c r="A24" s="1511" t="s">
        <v>1387</v>
      </c>
      <c r="B24" s="1512">
        <f>B9/B21</f>
        <v>99.8969378</v>
      </c>
      <c r="C24" s="1506"/>
      <c r="D24" s="1512">
        <f>D9/D21</f>
        <v>28.47909744</v>
      </c>
      <c r="E24" s="1506"/>
      <c r="F24" s="1512">
        <f>F9/F21</f>
        <v>103.7037037</v>
      </c>
      <c r="G24" s="1506"/>
      <c r="H24" s="1478">
        <f t="shared" si="4"/>
        <v>0.2746198682</v>
      </c>
      <c r="I24" s="1479">
        <f t="shared" si="5"/>
        <v>-75.22460626</v>
      </c>
      <c r="J24" s="1478">
        <f t="shared" si="6"/>
        <v>-0.7149152109</v>
      </c>
      <c r="K24" s="1480">
        <f t="shared" si="7"/>
        <v>0.03810693289</v>
      </c>
    </row>
    <row r="25">
      <c r="A25" s="1508" t="s">
        <v>1389</v>
      </c>
      <c r="B25" s="1483">
        <f>B9/B22</f>
        <v>193.3190741</v>
      </c>
      <c r="C25" s="1506"/>
      <c r="D25" s="1483">
        <f>D9/D22</f>
        <v>103.1524848</v>
      </c>
      <c r="E25" s="1506"/>
      <c r="F25" s="1483">
        <f>F9/F22</f>
        <v>112</v>
      </c>
      <c r="G25" s="1506"/>
      <c r="H25" s="1478">
        <f t="shared" si="4"/>
        <v>0.9210043285</v>
      </c>
      <c r="I25" s="1479">
        <f t="shared" si="5"/>
        <v>-8.847515213</v>
      </c>
      <c r="J25" s="1478">
        <f t="shared" si="6"/>
        <v>-0.4664133103</v>
      </c>
      <c r="K25" s="1480">
        <f t="shared" si="7"/>
        <v>-0.4206469251</v>
      </c>
    </row>
    <row r="26">
      <c r="A26" s="1508" t="s">
        <v>337</v>
      </c>
      <c r="B26" s="1483">
        <f>B4/B21</f>
        <v>323.8897608</v>
      </c>
      <c r="C26" s="1506"/>
      <c r="D26" s="1483">
        <f>D4/D21</f>
        <v>98.08122737</v>
      </c>
      <c r="E26" s="1506"/>
      <c r="F26" s="1514">
        <f>F4/F21</f>
        <v>268.5185185</v>
      </c>
      <c r="G26" s="1506"/>
      <c r="H26" s="1478">
        <f t="shared" si="4"/>
        <v>0.3652680192</v>
      </c>
      <c r="I26" s="1479">
        <f t="shared" si="5"/>
        <v>-170.4372912</v>
      </c>
      <c r="J26" s="1478">
        <f t="shared" si="6"/>
        <v>-0.6971771286</v>
      </c>
      <c r="K26" s="1480">
        <f t="shared" si="7"/>
        <v>-0.170957063</v>
      </c>
    </row>
    <row r="27">
      <c r="A27" s="1515" t="s">
        <v>1392</v>
      </c>
      <c r="B27" s="1483">
        <f>B4/B20</f>
        <v>2.466405305</v>
      </c>
      <c r="C27" s="1506"/>
      <c r="D27" s="1483">
        <f>D4/D20</f>
        <v>4.096036539</v>
      </c>
      <c r="E27" s="1506"/>
      <c r="F27" s="1514">
        <f>F4/F20</f>
        <v>3.356481481</v>
      </c>
      <c r="G27" s="1506"/>
      <c r="H27" s="1478">
        <f t="shared" si="4"/>
        <v>1.220336403</v>
      </c>
      <c r="I27" s="1479">
        <f t="shared" si="5"/>
        <v>0.7395550571</v>
      </c>
      <c r="J27" s="1478">
        <f t="shared" si="6"/>
        <v>0.6607313203</v>
      </c>
      <c r="K27" s="1480">
        <f t="shared" si="7"/>
        <v>0.3608799311</v>
      </c>
    </row>
    <row r="28">
      <c r="A28" s="1516" t="s">
        <v>1393</v>
      </c>
      <c r="B28" s="1517">
        <f>B9/B20</f>
        <v>0.760710486</v>
      </c>
      <c r="C28" s="708"/>
      <c r="D28" s="1517">
        <f>D9/D20</f>
        <v>1.189334869</v>
      </c>
      <c r="E28" s="708"/>
      <c r="F28" s="1518">
        <f>F9/F20</f>
        <v>1.296296296</v>
      </c>
      <c r="G28" s="708"/>
      <c r="H28" s="1490">
        <f t="shared" si="4"/>
        <v>0.917486899</v>
      </c>
      <c r="I28" s="1491">
        <f t="shared" si="5"/>
        <v>-0.1069614272</v>
      </c>
      <c r="J28" s="1490">
        <f t="shared" si="6"/>
        <v>0.5634527076</v>
      </c>
      <c r="K28" s="1488">
        <f t="shared" si="7"/>
        <v>0.7040599809</v>
      </c>
    </row>
  </sheetData>
  <mergeCells count="39">
    <mergeCell ref="A1:A2"/>
    <mergeCell ref="B1:C1"/>
    <mergeCell ref="D1:E1"/>
    <mergeCell ref="F1:G1"/>
    <mergeCell ref="H1:I1"/>
    <mergeCell ref="J1:K1"/>
    <mergeCell ref="B2:C2"/>
    <mergeCell ref="H2:I2"/>
    <mergeCell ref="D2:E2"/>
    <mergeCell ref="F2:G2"/>
    <mergeCell ref="J2:J3"/>
    <mergeCell ref="K2:K3"/>
    <mergeCell ref="B20:C20"/>
    <mergeCell ref="D20:E20"/>
    <mergeCell ref="F20:G20"/>
    <mergeCell ref="D23:E23"/>
    <mergeCell ref="F23:G23"/>
    <mergeCell ref="B21:C21"/>
    <mergeCell ref="D21:E21"/>
    <mergeCell ref="F21:G21"/>
    <mergeCell ref="B22:C22"/>
    <mergeCell ref="D22:E22"/>
    <mergeCell ref="F22:G22"/>
    <mergeCell ref="B23:C23"/>
    <mergeCell ref="D26:E26"/>
    <mergeCell ref="F26:G26"/>
    <mergeCell ref="B27:C27"/>
    <mergeCell ref="D27:E27"/>
    <mergeCell ref="F27:G27"/>
    <mergeCell ref="B28:C28"/>
    <mergeCell ref="D28:E28"/>
    <mergeCell ref="F28:G28"/>
    <mergeCell ref="B24:C24"/>
    <mergeCell ref="D24:E24"/>
    <mergeCell ref="F24:G24"/>
    <mergeCell ref="B25:C25"/>
    <mergeCell ref="D25:E25"/>
    <mergeCell ref="F25:G25"/>
    <mergeCell ref="B26:C26"/>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523" t="s">
        <v>1398</v>
      </c>
      <c r="H1" s="1524"/>
      <c r="I1" s="1524"/>
      <c r="J1" s="1524"/>
      <c r="K1" s="1524"/>
      <c r="L1" s="1524"/>
      <c r="M1" s="1524"/>
      <c r="N1" s="1524"/>
      <c r="O1" s="1524"/>
      <c r="P1" s="1524"/>
      <c r="Q1" s="1524"/>
      <c r="R1" s="1524"/>
      <c r="S1" s="1524"/>
      <c r="T1" s="1524"/>
      <c r="U1" s="1524"/>
      <c r="V1" s="1524"/>
      <c r="W1" s="1524"/>
      <c r="X1" s="1524"/>
      <c r="Y1" s="1524"/>
      <c r="Z1" s="1524"/>
      <c r="AA1" s="1524"/>
      <c r="AB1" s="1524"/>
      <c r="AC1" s="1524"/>
      <c r="AD1" s="1524"/>
      <c r="AE1" s="1524"/>
      <c r="AF1" s="1524"/>
      <c r="AG1" s="1524"/>
      <c r="AH1" s="1524"/>
      <c r="AI1" s="1524"/>
      <c r="AJ1" s="1524"/>
      <c r="AK1" s="1524"/>
      <c r="AL1" s="1153"/>
      <c r="AM1" s="1153"/>
      <c r="AN1" s="1153"/>
      <c r="AO1" s="27"/>
      <c r="AP1" s="1"/>
      <c r="AQ1" s="1"/>
      <c r="AR1" s="1"/>
      <c r="AS1" s="1"/>
      <c r="AT1" s="1"/>
      <c r="AU1" s="1"/>
      <c r="AV1" s="1"/>
      <c r="AW1" s="1"/>
      <c r="AX1" s="1"/>
      <c r="AY1" s="1"/>
      <c r="AZ1" s="1"/>
      <c r="BA1" s="1"/>
      <c r="BB1" s="1"/>
      <c r="BC1" s="1"/>
    </row>
    <row r="2">
      <c r="A2" s="1523" t="s">
        <v>1399</v>
      </c>
      <c r="H2" s="1524"/>
      <c r="I2" s="1524"/>
      <c r="J2" s="1524"/>
      <c r="K2" s="1524"/>
      <c r="L2" s="1524"/>
      <c r="M2" s="1524"/>
      <c r="N2" s="1524"/>
      <c r="O2" s="1524"/>
      <c r="P2" s="1524"/>
      <c r="Q2" s="1524"/>
      <c r="R2" s="1524"/>
      <c r="S2" s="1524"/>
      <c r="T2" s="1524"/>
      <c r="U2" s="1524"/>
      <c r="V2" s="1524"/>
      <c r="W2" s="1524"/>
      <c r="X2" s="1524"/>
      <c r="Y2" s="1524"/>
      <c r="Z2" s="1524"/>
      <c r="AA2" s="1524"/>
      <c r="AB2" s="1524"/>
      <c r="AC2" s="1524"/>
      <c r="AD2" s="1524"/>
      <c r="AE2" s="1524"/>
      <c r="AF2" s="1524"/>
      <c r="AG2" s="1524"/>
      <c r="AH2" s="1524"/>
      <c r="AI2" s="1524"/>
      <c r="AJ2" s="1524"/>
      <c r="AK2" s="1524"/>
      <c r="AL2" s="1153"/>
      <c r="AM2" s="1153"/>
      <c r="AN2" s="1153"/>
      <c r="AO2" s="27"/>
      <c r="AP2" s="1"/>
      <c r="AQ2" s="1"/>
      <c r="AR2" s="1"/>
      <c r="AS2" s="1"/>
      <c r="AT2" s="1"/>
      <c r="AU2" s="1"/>
      <c r="AV2" s="1"/>
      <c r="AW2" s="1"/>
      <c r="AX2" s="1"/>
      <c r="AY2" s="1"/>
      <c r="AZ2" s="1"/>
      <c r="BA2" s="1"/>
      <c r="BB2" s="1"/>
      <c r="BC2" s="1"/>
    </row>
    <row r="3">
      <c r="A3" s="1523" t="s">
        <v>1400</v>
      </c>
      <c r="H3" s="1524"/>
      <c r="I3" s="1524"/>
      <c r="J3" s="1524"/>
      <c r="K3" s="1524"/>
      <c r="L3" s="1524"/>
      <c r="M3" s="1524"/>
      <c r="N3" s="1524"/>
      <c r="O3" s="1524"/>
      <c r="P3" s="1524"/>
      <c r="Q3" s="1524"/>
      <c r="R3" s="1524"/>
      <c r="S3" s="1524"/>
      <c r="T3" s="1524"/>
      <c r="U3" s="1524"/>
      <c r="V3" s="1524"/>
      <c r="W3" s="1524"/>
      <c r="X3" s="1524"/>
      <c r="Y3" s="1524"/>
      <c r="Z3" s="1524"/>
      <c r="AA3" s="1524"/>
      <c r="AB3" s="1524"/>
      <c r="AC3" s="1524"/>
      <c r="AD3" s="1524"/>
      <c r="AE3" s="1524"/>
      <c r="AF3" s="1524"/>
      <c r="AG3" s="1524"/>
      <c r="AH3" s="1524"/>
      <c r="AI3" s="1524"/>
      <c r="AJ3" s="1524"/>
      <c r="AK3" s="1524"/>
      <c r="AL3" s="1153"/>
      <c r="AM3" s="1153"/>
      <c r="AN3" s="1153"/>
      <c r="AO3" s="27"/>
      <c r="AP3" s="1"/>
      <c r="AQ3" s="1"/>
      <c r="AR3" s="1"/>
      <c r="AS3" s="1"/>
      <c r="AT3" s="1"/>
      <c r="AU3" s="1"/>
      <c r="AV3" s="1"/>
      <c r="AW3" s="1"/>
      <c r="AX3" s="1"/>
      <c r="AY3" s="1"/>
      <c r="AZ3" s="1"/>
      <c r="BA3" s="1"/>
      <c r="BB3" s="1"/>
      <c r="BC3" s="1"/>
    </row>
    <row r="4">
      <c r="A4" s="1523" t="s">
        <v>1401</v>
      </c>
      <c r="H4" s="1524"/>
      <c r="I4" s="1524"/>
      <c r="J4" s="1524"/>
      <c r="K4" s="1524"/>
      <c r="L4" s="1524"/>
      <c r="M4" s="1524"/>
      <c r="N4" s="1524"/>
      <c r="O4" s="1524"/>
      <c r="P4" s="1524"/>
      <c r="Q4" s="1524"/>
      <c r="R4" s="1524"/>
      <c r="S4" s="1524"/>
      <c r="T4" s="1524"/>
      <c r="U4" s="1524"/>
      <c r="V4" s="1524"/>
      <c r="W4" s="1524"/>
      <c r="X4" s="1524"/>
      <c r="Y4" s="1524"/>
      <c r="Z4" s="1524"/>
      <c r="AA4" s="1524"/>
      <c r="AB4" s="1524"/>
      <c r="AC4" s="1524"/>
      <c r="AD4" s="1524"/>
      <c r="AE4" s="1524"/>
      <c r="AF4" s="1524"/>
      <c r="AG4" s="1524"/>
      <c r="AH4" s="1524"/>
      <c r="AI4" s="1524"/>
      <c r="AJ4" s="1524"/>
      <c r="AK4" s="1524"/>
      <c r="AL4" s="1153"/>
      <c r="AM4" s="1527"/>
      <c r="AN4" s="1153"/>
      <c r="AO4" s="27"/>
      <c r="AP4" s="1"/>
      <c r="AQ4" s="1"/>
      <c r="AR4" s="1"/>
      <c r="AS4" s="1"/>
      <c r="AT4" s="1"/>
      <c r="AU4" s="1"/>
      <c r="AV4" s="1"/>
      <c r="AW4" s="1"/>
      <c r="AX4" s="1"/>
      <c r="AY4" s="1"/>
      <c r="AZ4" s="1"/>
      <c r="BA4" s="1"/>
      <c r="BB4" s="1"/>
      <c r="BC4" s="1"/>
    </row>
    <row r="5">
      <c r="A5" s="1523" t="s">
        <v>1402</v>
      </c>
      <c r="AL5" s="1153"/>
      <c r="AM5" s="1153"/>
      <c r="AN5" s="1153"/>
      <c r="AO5" s="27"/>
      <c r="AP5" s="1"/>
      <c r="AQ5" s="1"/>
      <c r="AR5" s="1"/>
      <c r="AS5" s="1"/>
      <c r="AT5" s="1"/>
      <c r="AU5" s="1"/>
      <c r="AV5" s="1"/>
      <c r="AW5" s="1"/>
      <c r="AX5" s="1"/>
      <c r="AY5" s="1"/>
      <c r="AZ5" s="1"/>
      <c r="BA5" s="1"/>
      <c r="BB5" s="1"/>
      <c r="BC5" s="1"/>
    </row>
    <row r="6">
      <c r="A6" s="1523" t="s">
        <v>1403</v>
      </c>
      <c r="AO6" s="27"/>
      <c r="AP6" s="1"/>
      <c r="AQ6" s="1"/>
      <c r="AR6" s="1"/>
      <c r="AS6" s="1"/>
      <c r="AT6" s="1"/>
      <c r="AU6" s="1"/>
      <c r="AV6" s="1"/>
      <c r="AW6" s="1"/>
      <c r="AX6" s="1"/>
      <c r="AY6" s="1"/>
      <c r="AZ6" s="1"/>
      <c r="BA6" s="1"/>
      <c r="BB6" s="1"/>
      <c r="BC6" s="1"/>
    </row>
    <row r="7">
      <c r="A7" s="1523" t="s">
        <v>1404</v>
      </c>
      <c r="AN7" s="1153"/>
      <c r="AO7" s="27"/>
      <c r="AP7" s="1"/>
      <c r="AQ7" s="1"/>
      <c r="AR7" s="1"/>
      <c r="AS7" s="1"/>
      <c r="AT7" s="1"/>
      <c r="AU7" s="1"/>
      <c r="AV7" s="1"/>
      <c r="AW7" s="1"/>
      <c r="AX7" s="1"/>
      <c r="AY7" s="1"/>
      <c r="AZ7" s="1"/>
      <c r="BA7" s="1"/>
      <c r="BB7" s="1"/>
      <c r="BC7" s="1"/>
    </row>
    <row r="8">
      <c r="A8" s="1523" t="s">
        <v>1405</v>
      </c>
      <c r="H8" s="1524"/>
      <c r="I8" s="1524"/>
      <c r="J8" s="1524"/>
      <c r="K8" s="1524"/>
      <c r="L8" s="1524"/>
      <c r="M8" s="1524"/>
      <c r="N8" s="1524"/>
      <c r="O8" s="1524"/>
      <c r="P8" s="1524"/>
      <c r="Q8" s="1524"/>
      <c r="R8" s="1524"/>
      <c r="S8" s="1524"/>
      <c r="T8" s="1524"/>
      <c r="U8" s="1524"/>
      <c r="V8" s="1524"/>
      <c r="W8" s="1524"/>
      <c r="X8" s="1524"/>
      <c r="Y8" s="1524"/>
      <c r="Z8" s="1524"/>
      <c r="AA8" s="1524"/>
      <c r="AB8" s="1524"/>
      <c r="AC8" s="1524"/>
      <c r="AD8" s="1524"/>
      <c r="AE8" s="1524"/>
      <c r="AF8" s="1524"/>
      <c r="AG8" s="1524"/>
      <c r="AH8" s="1524"/>
      <c r="AI8" s="1524"/>
      <c r="AJ8" s="1524"/>
      <c r="AK8" s="1524"/>
      <c r="AL8" s="1153"/>
      <c r="AM8" s="1153"/>
      <c r="AN8" s="1153"/>
      <c r="AO8" s="27"/>
      <c r="AP8" s="1"/>
      <c r="AQ8" s="1"/>
      <c r="AR8" s="1"/>
      <c r="AS8" s="1"/>
      <c r="AT8" s="1"/>
      <c r="AU8" s="1"/>
      <c r="AV8" s="1"/>
      <c r="AW8" s="1"/>
      <c r="AX8" s="1"/>
      <c r="AY8" s="1"/>
      <c r="AZ8" s="1"/>
      <c r="BA8" s="1"/>
      <c r="BB8" s="1"/>
      <c r="BC8" s="1"/>
    </row>
    <row r="9">
      <c r="A9" s="1528"/>
      <c r="B9" s="1528"/>
      <c r="C9" s="1"/>
      <c r="D9" s="1"/>
      <c r="E9" s="1"/>
      <c r="F9" s="1"/>
      <c r="G9" s="1529"/>
      <c r="H9" s="1529"/>
      <c r="I9" s="1529"/>
      <c r="J9" s="1529"/>
      <c r="K9" s="1529"/>
      <c r="L9" s="1529"/>
      <c r="M9" s="1529"/>
      <c r="N9" s="1529"/>
      <c r="O9" s="1529"/>
      <c r="P9" s="1529"/>
      <c r="Q9" s="1529"/>
      <c r="R9" s="1529"/>
      <c r="S9" s="1529"/>
      <c r="T9" s="1529"/>
      <c r="U9" s="1529"/>
      <c r="V9" s="1529"/>
      <c r="W9" s="1529"/>
      <c r="X9" s="1529"/>
      <c r="Y9" s="1529"/>
      <c r="Z9" s="1529"/>
      <c r="AA9" s="1529"/>
      <c r="AB9" s="1529"/>
      <c r="AC9" s="1529"/>
      <c r="AD9" s="1529"/>
      <c r="AE9" s="1529"/>
      <c r="AF9" s="1529"/>
      <c r="AG9" s="1529"/>
      <c r="AH9" s="1529"/>
      <c r="AI9" s="1529"/>
      <c r="AJ9" s="1529"/>
      <c r="AK9" s="1529"/>
      <c r="AL9" s="27"/>
      <c r="AM9" s="27"/>
      <c r="AN9" s="27"/>
      <c r="AO9" s="27"/>
      <c r="AP9" s="1"/>
      <c r="AQ9" s="1"/>
      <c r="AR9" s="1"/>
      <c r="AS9" s="1"/>
      <c r="AT9" s="1"/>
      <c r="AU9" s="1"/>
      <c r="AV9" s="1"/>
      <c r="AW9" s="1"/>
      <c r="AX9" s="1"/>
      <c r="AY9" s="1"/>
      <c r="AZ9" s="1"/>
      <c r="BA9" s="1"/>
      <c r="BB9" s="1"/>
      <c r="BC9" s="1"/>
    </row>
    <row r="10">
      <c r="A10" s="1530" t="s">
        <v>1406</v>
      </c>
      <c r="B10" s="1289"/>
      <c r="C10" s="1531" t="s">
        <v>1407</v>
      </c>
      <c r="D10" s="1531" t="s">
        <v>1408</v>
      </c>
      <c r="E10" s="1531" t="s">
        <v>1409</v>
      </c>
      <c r="F10" s="1531" t="s">
        <v>1410</v>
      </c>
      <c r="G10" s="1532" t="s">
        <v>1411</v>
      </c>
      <c r="H10" s="1532" t="s">
        <v>1412</v>
      </c>
      <c r="I10" s="1532" t="s">
        <v>1413</v>
      </c>
      <c r="J10" s="1532" t="s">
        <v>1414</v>
      </c>
      <c r="K10" s="1532" t="s">
        <v>1415</v>
      </c>
      <c r="L10" s="1532" t="s">
        <v>1416</v>
      </c>
      <c r="M10" s="1532" t="s">
        <v>1417</v>
      </c>
      <c r="N10" s="1532" t="s">
        <v>1418</v>
      </c>
      <c r="O10" s="1532" t="s">
        <v>1419</v>
      </c>
      <c r="P10" s="1532" t="s">
        <v>1420</v>
      </c>
      <c r="Q10" s="1532" t="s">
        <v>1421</v>
      </c>
      <c r="R10" s="1532" t="s">
        <v>1422</v>
      </c>
      <c r="S10" s="1532" t="s">
        <v>1423</v>
      </c>
      <c r="T10" s="1532" t="s">
        <v>1424</v>
      </c>
      <c r="U10" s="1532" t="s">
        <v>1425</v>
      </c>
      <c r="V10" s="1532" t="s">
        <v>1426</v>
      </c>
      <c r="W10" s="1532" t="s">
        <v>1427</v>
      </c>
      <c r="X10" s="1532" t="s">
        <v>1428</v>
      </c>
      <c r="Y10" s="1532" t="s">
        <v>1429</v>
      </c>
      <c r="Z10" s="1532" t="s">
        <v>1430</v>
      </c>
      <c r="AA10" s="1532" t="s">
        <v>1431</v>
      </c>
      <c r="AB10" s="1532" t="s">
        <v>1432</v>
      </c>
      <c r="AC10" s="1532" t="s">
        <v>1433</v>
      </c>
      <c r="AD10" s="1532" t="s">
        <v>1434</v>
      </c>
      <c r="AE10" s="1532" t="s">
        <v>1435</v>
      </c>
      <c r="AF10" s="1532" t="s">
        <v>1436</v>
      </c>
      <c r="AG10" s="1532" t="s">
        <v>1437</v>
      </c>
      <c r="AH10" s="1532" t="s">
        <v>1438</v>
      </c>
      <c r="AI10" s="1532" t="s">
        <v>1439</v>
      </c>
      <c r="AJ10" s="1532" t="s">
        <v>1440</v>
      </c>
      <c r="AK10" s="1532" t="s">
        <v>1441</v>
      </c>
      <c r="AL10" s="27" t="s">
        <v>1442</v>
      </c>
      <c r="AM10" s="27" t="s">
        <v>1443</v>
      </c>
      <c r="AN10" s="27" t="s">
        <v>1444</v>
      </c>
      <c r="AO10" s="27" t="s">
        <v>1445</v>
      </c>
      <c r="AP10" s="1"/>
      <c r="AQ10" s="1"/>
      <c r="AR10" s="1"/>
      <c r="AS10" s="1"/>
      <c r="AT10" s="1"/>
      <c r="AU10" s="1"/>
      <c r="AV10" s="1"/>
      <c r="AW10" s="1"/>
      <c r="AX10" s="1"/>
      <c r="AY10" s="1"/>
      <c r="AZ10" s="1"/>
      <c r="BA10" s="1"/>
      <c r="BB10" s="1"/>
      <c r="BC10" s="1"/>
    </row>
    <row r="11">
      <c r="A11" s="1533" t="s">
        <v>1446</v>
      </c>
      <c r="B11" s="1534" t="s">
        <v>1447</v>
      </c>
      <c r="G11" s="1106"/>
      <c r="H11" s="1106"/>
      <c r="I11" s="1106"/>
      <c r="J11" s="1106"/>
      <c r="K11" s="1106"/>
      <c r="L11" s="1106"/>
      <c r="M11" s="1106"/>
      <c r="N11" s="1106"/>
      <c r="O11" s="1106"/>
      <c r="P11" s="1106"/>
      <c r="Q11" s="1106"/>
      <c r="R11" s="1106"/>
      <c r="S11" s="1106"/>
      <c r="T11" s="1106"/>
      <c r="U11" s="1106"/>
      <c r="V11" s="1106"/>
      <c r="W11" s="1106"/>
      <c r="X11" s="1106"/>
      <c r="Y11" s="1106"/>
      <c r="Z11" s="1106"/>
      <c r="AA11" s="1106"/>
      <c r="AB11" s="1106"/>
      <c r="AC11" s="1106"/>
      <c r="AD11" s="1106"/>
      <c r="AE11" s="1106"/>
      <c r="AF11" s="1106"/>
      <c r="AG11" s="1106"/>
      <c r="AH11" s="1106"/>
      <c r="AI11" s="1106"/>
      <c r="AJ11" s="1106"/>
      <c r="AK11" s="1106"/>
      <c r="AL11" s="1106"/>
      <c r="AM11" s="1106"/>
      <c r="AN11" s="1106"/>
      <c r="AO11" s="1106"/>
    </row>
    <row r="12">
      <c r="B12" s="1535" t="s">
        <v>1448</v>
      </c>
      <c r="G12" s="1106"/>
      <c r="H12" s="1106"/>
      <c r="I12" s="1106"/>
      <c r="J12" s="1106"/>
      <c r="K12" s="1106"/>
      <c r="L12" s="1106"/>
      <c r="M12" s="1106"/>
      <c r="N12" s="1106"/>
      <c r="O12" s="1106"/>
      <c r="P12" s="1106"/>
      <c r="Q12" s="1106"/>
      <c r="R12" s="1106"/>
      <c r="S12" s="1106"/>
      <c r="T12" s="1106"/>
      <c r="U12" s="1106"/>
      <c r="V12" s="1106"/>
      <c r="W12" s="1106"/>
      <c r="X12" s="1106"/>
      <c r="Y12" s="1106"/>
      <c r="Z12" s="1106"/>
      <c r="AA12" s="1106"/>
      <c r="AB12" s="1106"/>
      <c r="AC12" s="1106"/>
      <c r="AD12" s="1106"/>
      <c r="AE12" s="1106"/>
      <c r="AF12" s="1106"/>
      <c r="AG12" s="1106"/>
      <c r="AH12" s="1106"/>
      <c r="AI12" s="1106"/>
      <c r="AJ12" s="1106"/>
      <c r="AK12" s="1106"/>
      <c r="AL12" s="1106"/>
      <c r="AM12" s="1106"/>
      <c r="AN12" s="1106"/>
      <c r="AO12" s="1106"/>
    </row>
    <row r="13">
      <c r="B13" s="1535" t="s">
        <v>1449</v>
      </c>
      <c r="G13" s="1163">
        <v>0.3098949992935971</v>
      </c>
      <c r="H13" s="1106"/>
      <c r="I13" s="1106"/>
      <c r="J13" s="1106"/>
      <c r="K13" s="1106"/>
      <c r="L13" s="1163">
        <v>0.31192169759475546</v>
      </c>
      <c r="M13" s="1106"/>
      <c r="N13" s="1106"/>
      <c r="O13" s="1106"/>
      <c r="P13" s="1106"/>
      <c r="Q13" s="1163">
        <v>0.29415803897988385</v>
      </c>
      <c r="R13" s="1106"/>
      <c r="S13" s="1106"/>
      <c r="T13" s="1106"/>
      <c r="U13" s="1106"/>
      <c r="V13" s="1163">
        <v>0.3086533518418032</v>
      </c>
      <c r="W13" s="1106"/>
      <c r="X13" s="1106"/>
      <c r="Y13" s="1106"/>
      <c r="Z13" s="1106"/>
      <c r="AA13" s="1163">
        <v>0.31000241750316254</v>
      </c>
      <c r="AB13" s="1106"/>
      <c r="AC13" s="1106"/>
      <c r="AD13" s="1106"/>
      <c r="AE13" s="1106"/>
      <c r="AF13" s="1163">
        <v>0.2798240892753884</v>
      </c>
      <c r="AG13" s="1164">
        <v>0.2785</v>
      </c>
      <c r="AH13" s="1164">
        <v>0.2856</v>
      </c>
      <c r="AI13" s="1164">
        <v>0.3275</v>
      </c>
      <c r="AJ13" s="1164">
        <v>0.18</v>
      </c>
      <c r="AK13" s="1106"/>
      <c r="AL13" s="1106"/>
      <c r="AM13" s="1106"/>
      <c r="AN13" s="1106"/>
      <c r="AO13" s="1106"/>
    </row>
    <row r="14">
      <c r="B14" s="1535" t="s">
        <v>1450</v>
      </c>
      <c r="G14" s="1163">
        <v>0.250980812076589</v>
      </c>
      <c r="H14" s="1106"/>
      <c r="I14" s="1106"/>
      <c r="J14" s="1106"/>
      <c r="K14" s="1106"/>
      <c r="L14" s="1163">
        <v>0.16544529700030713</v>
      </c>
      <c r="M14" s="1106"/>
      <c r="N14" s="1106"/>
      <c r="O14" s="1106"/>
      <c r="P14" s="1106"/>
      <c r="Q14" s="1163">
        <v>0.16328349033786654</v>
      </c>
      <c r="R14" s="1106"/>
      <c r="S14" s="1106"/>
      <c r="T14" s="1106"/>
      <c r="U14" s="1106"/>
      <c r="V14" s="1163">
        <v>0.23704978506865568</v>
      </c>
      <c r="W14" s="1106"/>
      <c r="X14" s="1106"/>
      <c r="Y14" s="1106"/>
      <c r="Z14" s="1106"/>
      <c r="AA14" s="1163">
        <v>0.2729430944338703</v>
      </c>
      <c r="AB14" s="1106"/>
      <c r="AC14" s="1106"/>
      <c r="AD14" s="1106"/>
      <c r="AE14" s="1106"/>
      <c r="AF14" s="1163">
        <v>0.2523527452422593</v>
      </c>
      <c r="AG14" s="1164">
        <v>0.2384</v>
      </c>
      <c r="AH14" s="1164">
        <v>0.2648</v>
      </c>
      <c r="AI14" s="1164">
        <v>0.2539</v>
      </c>
      <c r="AJ14" s="1164">
        <v>0.2468</v>
      </c>
      <c r="AK14" s="1106"/>
      <c r="AL14" s="1106"/>
      <c r="AM14" s="1106"/>
      <c r="AN14" s="1106"/>
      <c r="AO14" s="1106"/>
    </row>
    <row r="15">
      <c r="B15" s="1536" t="s">
        <v>1451</v>
      </c>
      <c r="H15" s="1106"/>
      <c r="I15" s="1106"/>
      <c r="J15" s="1106"/>
      <c r="K15" s="1106"/>
      <c r="L15" s="1106"/>
      <c r="M15" s="1106"/>
      <c r="N15" s="1106"/>
      <c r="O15" s="1106"/>
      <c r="P15" s="1106"/>
      <c r="Q15" s="1106"/>
      <c r="R15" s="1106"/>
      <c r="S15" s="1106"/>
      <c r="T15" s="1106"/>
      <c r="U15" s="1106"/>
      <c r="V15" s="1106"/>
      <c r="W15" s="1106"/>
      <c r="X15" s="1106"/>
      <c r="Y15" s="1106"/>
      <c r="Z15" s="1106"/>
      <c r="AA15" s="1106"/>
      <c r="AB15" s="1106"/>
      <c r="AC15" s="1106"/>
      <c r="AD15" s="1106"/>
      <c r="AE15" s="1106"/>
      <c r="AF15" s="1106"/>
      <c r="AG15" s="1106"/>
      <c r="AH15" s="1106"/>
      <c r="AI15" s="1106"/>
      <c r="AJ15" s="1106"/>
      <c r="AK15" s="1106"/>
      <c r="AL15" s="1106"/>
      <c r="AM15" s="1106"/>
      <c r="AN15" s="1106"/>
      <c r="AO15" s="1106"/>
    </row>
    <row r="16">
      <c r="B16" s="1536" t="s">
        <v>1452</v>
      </c>
      <c r="G16" s="1106"/>
      <c r="H16" s="1106"/>
      <c r="I16" s="1106"/>
      <c r="J16" s="1106"/>
      <c r="K16" s="1106"/>
      <c r="L16" s="1106"/>
      <c r="M16" s="1106"/>
      <c r="N16" s="1106"/>
      <c r="O16" s="1106"/>
      <c r="P16" s="1106"/>
      <c r="Q16" s="1106"/>
      <c r="R16" s="1106"/>
      <c r="S16" s="1106"/>
      <c r="T16" s="1106"/>
      <c r="U16" s="1106"/>
      <c r="V16" s="1106"/>
      <c r="W16" s="1106"/>
      <c r="X16" s="1106"/>
      <c r="Y16" s="1106"/>
      <c r="Z16" s="1106"/>
      <c r="AA16" s="1106"/>
      <c r="AB16" s="1106"/>
      <c r="AC16" s="1106"/>
      <c r="AD16" s="1106"/>
      <c r="AE16" s="1106"/>
      <c r="AF16" s="1106"/>
      <c r="AG16" s="1106"/>
      <c r="AH16" s="1106"/>
      <c r="AI16" s="1106"/>
      <c r="AJ16" s="1106"/>
      <c r="AK16" s="1106"/>
      <c r="AL16" s="1106"/>
      <c r="AM16" s="1106"/>
      <c r="AN16" s="1106"/>
      <c r="AO16" s="1106"/>
    </row>
    <row r="17">
      <c r="B17" s="1535" t="s">
        <v>1453</v>
      </c>
      <c r="G17" s="1106"/>
      <c r="H17" s="1106"/>
      <c r="I17" s="1106"/>
      <c r="J17" s="1106"/>
      <c r="K17" s="1106"/>
      <c r="L17" s="1106"/>
      <c r="M17" s="1106"/>
      <c r="N17" s="1106"/>
      <c r="O17" s="1106"/>
      <c r="P17" s="1106"/>
      <c r="Q17" s="1106"/>
      <c r="R17" s="1106"/>
      <c r="S17" s="1106"/>
      <c r="T17" s="1106"/>
      <c r="U17" s="1106"/>
      <c r="V17" s="1106"/>
      <c r="W17" s="1106"/>
      <c r="X17" s="1106"/>
      <c r="Y17" s="1106"/>
      <c r="Z17" s="1106"/>
      <c r="AA17" s="1106"/>
      <c r="AB17" s="1106"/>
      <c r="AC17" s="1106"/>
      <c r="AD17" s="1106"/>
      <c r="AE17" s="1106"/>
      <c r="AF17" s="1106"/>
      <c r="AG17" s="1106"/>
      <c r="AH17" s="1106"/>
      <c r="AI17" s="1106"/>
      <c r="AJ17" s="1106"/>
      <c r="AK17" s="1106"/>
      <c r="AL17" s="1106"/>
      <c r="AM17" s="1106"/>
      <c r="AN17" s="1106"/>
      <c r="AO17" s="1106"/>
    </row>
    <row r="18">
      <c r="B18" s="1535" t="s">
        <v>1454</v>
      </c>
      <c r="G18" s="1538">
        <v>321134.03</v>
      </c>
      <c r="H18" s="1106"/>
      <c r="I18" s="1106"/>
      <c r="J18" s="1106"/>
      <c r="K18" s="1106"/>
      <c r="L18" s="1154">
        <v>230184.5</v>
      </c>
      <c r="M18" s="1106"/>
      <c r="N18" s="1106"/>
      <c r="O18" s="1106"/>
      <c r="P18" s="1106"/>
      <c r="Q18" s="1538">
        <v>286763.81</v>
      </c>
      <c r="R18" s="1106"/>
      <c r="S18" s="1106"/>
      <c r="T18" s="1106"/>
      <c r="U18" s="1106"/>
      <c r="V18" s="1538">
        <v>504547.38</v>
      </c>
      <c r="W18" s="1106"/>
      <c r="X18" s="1106"/>
      <c r="Y18" s="1106"/>
      <c r="Z18" s="1106"/>
      <c r="AA18" s="1538">
        <v>682315.55</v>
      </c>
      <c r="AB18" s="1106"/>
      <c r="AC18" s="1106"/>
      <c r="AD18" s="1106"/>
      <c r="AE18" s="1106"/>
      <c r="AF18" s="1538">
        <v>314811.96</v>
      </c>
      <c r="AG18" s="1154">
        <v>67360.26</v>
      </c>
      <c r="AH18" s="1154">
        <v>95833.95</v>
      </c>
      <c r="AI18" s="1154">
        <v>99499.82</v>
      </c>
      <c r="AJ18" s="1154">
        <v>52117.93</v>
      </c>
      <c r="AK18" s="1106"/>
      <c r="AL18" s="1106"/>
      <c r="AM18" s="1106"/>
      <c r="AN18" s="1106"/>
      <c r="AO18" s="1106"/>
    </row>
    <row r="19">
      <c r="B19" s="1535" t="s">
        <v>1455</v>
      </c>
      <c r="G19" s="1539" t="s">
        <v>1456</v>
      </c>
      <c r="H19" s="1540"/>
      <c r="I19" s="1540"/>
      <c r="J19" s="1540"/>
      <c r="K19" s="1540"/>
      <c r="L19" s="1539" t="s">
        <v>1456</v>
      </c>
      <c r="M19" s="1540"/>
      <c r="N19" s="1540"/>
      <c r="O19" s="1540"/>
      <c r="P19" s="1540"/>
      <c r="Q19" s="1539" t="s">
        <v>1456</v>
      </c>
      <c r="R19" s="1540"/>
      <c r="S19" s="1540"/>
      <c r="T19" s="1540"/>
      <c r="U19" s="1540"/>
      <c r="V19" s="1539" t="s">
        <v>1456</v>
      </c>
      <c r="W19" s="1540"/>
      <c r="X19" s="1540"/>
      <c r="Y19" s="1540"/>
      <c r="Z19" s="1540"/>
      <c r="AA19" s="1539" t="s">
        <v>1456</v>
      </c>
      <c r="AB19" s="1540"/>
      <c r="AC19" s="1540"/>
      <c r="AD19" s="1540"/>
      <c r="AE19" s="1540"/>
      <c r="AF19" s="1539" t="s">
        <v>1456</v>
      </c>
      <c r="AG19" s="1540"/>
      <c r="AH19" s="1540"/>
      <c r="AI19" s="1540"/>
      <c r="AJ19" s="1540"/>
      <c r="AK19" s="1540"/>
      <c r="AL19" s="1106"/>
      <c r="AM19" s="1106"/>
      <c r="AN19" s="1106"/>
      <c r="AO19" s="1106"/>
    </row>
    <row r="20">
      <c r="A20" s="1533" t="s">
        <v>1457</v>
      </c>
      <c r="B20" s="1534" t="s">
        <v>1447</v>
      </c>
      <c r="G20" s="1106"/>
      <c r="H20" s="1106"/>
      <c r="I20" s="1106"/>
      <c r="J20" s="1106"/>
      <c r="K20" s="1106"/>
      <c r="L20" s="1106"/>
      <c r="M20" s="1106"/>
      <c r="N20" s="1106"/>
      <c r="O20" s="1106"/>
      <c r="P20" s="1106"/>
      <c r="Q20" s="1106"/>
      <c r="R20" s="1106"/>
      <c r="S20" s="1106"/>
      <c r="T20" s="1106"/>
      <c r="U20" s="1106"/>
      <c r="V20" s="1106"/>
      <c r="W20" s="1106"/>
      <c r="X20" s="1106"/>
      <c r="Y20" s="1106"/>
      <c r="Z20" s="1106"/>
      <c r="AA20" s="1106"/>
      <c r="AB20" s="1106"/>
      <c r="AC20" s="1106"/>
      <c r="AD20" s="1106"/>
      <c r="AE20" s="1106"/>
      <c r="AF20" s="1106"/>
      <c r="AG20" s="1106"/>
      <c r="AH20" s="1106"/>
      <c r="AI20" s="1106"/>
      <c r="AJ20" s="1106"/>
      <c r="AK20" s="1106"/>
      <c r="AL20" s="1106"/>
      <c r="AM20" s="1106"/>
      <c r="AN20" s="1106"/>
      <c r="AO20" s="1106"/>
    </row>
    <row r="21">
      <c r="B21" s="1535" t="s">
        <v>1448</v>
      </c>
      <c r="G21" s="1106"/>
      <c r="H21" s="1106"/>
      <c r="I21" s="1106"/>
      <c r="J21" s="1106"/>
      <c r="K21" s="1106"/>
      <c r="L21" s="1106"/>
      <c r="M21" s="1106"/>
      <c r="N21" s="1106"/>
      <c r="O21" s="1106"/>
      <c r="P21" s="1106"/>
      <c r="Q21" s="1106"/>
      <c r="R21" s="1106"/>
      <c r="S21" s="1106"/>
      <c r="T21" s="1106"/>
      <c r="U21" s="1106"/>
      <c r="V21" s="1106"/>
      <c r="W21" s="1106"/>
      <c r="X21" s="1106"/>
      <c r="Y21" s="1106"/>
      <c r="Z21" s="1106"/>
      <c r="AA21" s="1106"/>
      <c r="AB21" s="1106"/>
      <c r="AC21" s="1106"/>
      <c r="AD21" s="1106"/>
      <c r="AE21" s="1106"/>
      <c r="AF21" s="1106"/>
      <c r="AG21" s="1106"/>
      <c r="AH21" s="1106"/>
      <c r="AI21" s="1106"/>
      <c r="AJ21" s="1106"/>
      <c r="AK21" s="1106"/>
      <c r="AL21" s="1106"/>
      <c r="AM21" s="1106"/>
      <c r="AN21" s="1106"/>
      <c r="AO21" s="1106"/>
    </row>
    <row r="22">
      <c r="B22" s="1535" t="s">
        <v>1449</v>
      </c>
      <c r="G22" s="1163">
        <v>0.281197586693855</v>
      </c>
      <c r="H22" s="1106"/>
      <c r="I22" s="1106"/>
      <c r="J22" s="1106"/>
      <c r="K22" s="1106"/>
      <c r="L22" s="1163">
        <v>0.3004094299375702</v>
      </c>
      <c r="M22" s="1106"/>
      <c r="N22" s="1106"/>
      <c r="O22" s="1106"/>
      <c r="P22" s="1106"/>
      <c r="Q22" s="1163">
        <v>0.2985524909055659</v>
      </c>
      <c r="R22" s="1106"/>
      <c r="S22" s="1106"/>
      <c r="T22" s="1106"/>
      <c r="U22" s="1106"/>
      <c r="V22" s="1163">
        <v>0.29444208467489486</v>
      </c>
      <c r="W22" s="1106"/>
      <c r="X22" s="1106"/>
      <c r="Y22" s="1106"/>
      <c r="Z22" s="1106"/>
      <c r="AA22" s="1163">
        <v>0.3023120156778905</v>
      </c>
      <c r="AB22" s="1106"/>
      <c r="AC22" s="1106"/>
      <c r="AD22" s="1106"/>
      <c r="AE22" s="1106"/>
      <c r="AF22" s="1163">
        <v>0.28239229548198597</v>
      </c>
      <c r="AG22" s="1164">
        <v>0.2712</v>
      </c>
      <c r="AH22" s="1164">
        <v>0.2781</v>
      </c>
      <c r="AI22" s="1164">
        <v>0.3018</v>
      </c>
      <c r="AJ22" s="1164">
        <v>0.2709</v>
      </c>
      <c r="AK22" s="1106"/>
      <c r="AL22" s="1106"/>
      <c r="AM22" s="1106"/>
      <c r="AN22" s="1106"/>
      <c r="AO22" s="1106"/>
    </row>
    <row r="23">
      <c r="B23" s="1535" t="s">
        <v>1450</v>
      </c>
      <c r="G23" s="1163">
        <v>0.4609425127586889</v>
      </c>
      <c r="H23" s="1106"/>
      <c r="I23" s="1106"/>
      <c r="J23" s="1106"/>
      <c r="K23" s="1106"/>
      <c r="L23" s="1163">
        <v>0.6050635333673633</v>
      </c>
      <c r="M23" s="1106"/>
      <c r="N23" s="1106"/>
      <c r="O23" s="1106"/>
      <c r="P23" s="1106"/>
      <c r="Q23" s="1163">
        <v>0.6405451172749753</v>
      </c>
      <c r="R23" s="1106"/>
      <c r="S23" s="1106"/>
      <c r="T23" s="1106"/>
      <c r="U23" s="1106"/>
      <c r="V23" s="1163">
        <v>0.5955810815276068</v>
      </c>
      <c r="W23" s="1106"/>
      <c r="X23" s="1106"/>
      <c r="Y23" s="1106"/>
      <c r="Z23" s="1106"/>
      <c r="AA23" s="1163">
        <v>0.5708243266431704</v>
      </c>
      <c r="AB23" s="1106"/>
      <c r="AC23" s="1106"/>
      <c r="AD23" s="1106"/>
      <c r="AE23" s="1106"/>
      <c r="AF23" s="1163">
        <v>0.5773800154174615</v>
      </c>
      <c r="AG23" s="1164">
        <v>0.6018</v>
      </c>
      <c r="AH23" s="1164">
        <v>0.5506</v>
      </c>
      <c r="AI23" s="1164">
        <v>0.56</v>
      </c>
      <c r="AJ23" s="1164">
        <v>0.6229</v>
      </c>
      <c r="AK23" s="1106"/>
      <c r="AL23" s="1106"/>
      <c r="AM23" s="1106"/>
      <c r="AN23" s="1106"/>
      <c r="AO23" s="1106"/>
    </row>
    <row r="24">
      <c r="B24" s="1536" t="s">
        <v>1451</v>
      </c>
      <c r="G24" s="1106"/>
      <c r="H24" s="1106"/>
      <c r="I24" s="1106"/>
      <c r="J24" s="1106"/>
      <c r="K24" s="1106"/>
      <c r="L24" s="1106"/>
      <c r="M24" s="1106"/>
      <c r="N24" s="1106"/>
      <c r="O24" s="1106"/>
      <c r="P24" s="1106"/>
      <c r="Q24" s="1106"/>
      <c r="R24" s="1106"/>
      <c r="S24" s="1106"/>
      <c r="T24" s="1106"/>
      <c r="U24" s="1106"/>
      <c r="V24" s="1106"/>
      <c r="W24" s="1106"/>
      <c r="X24" s="1106"/>
      <c r="Y24" s="1106"/>
      <c r="Z24" s="1106"/>
      <c r="AA24" s="1106"/>
      <c r="AB24" s="1106"/>
      <c r="AC24" s="1106"/>
      <c r="AD24" s="1106"/>
      <c r="AE24" s="1106"/>
      <c r="AF24" s="1106"/>
      <c r="AG24" s="1106"/>
      <c r="AH24" s="1106"/>
      <c r="AI24" s="1106"/>
      <c r="AJ24" s="1106"/>
      <c r="AK24" s="1106"/>
      <c r="AL24" s="1106"/>
      <c r="AM24" s="1106"/>
      <c r="AN24" s="1106"/>
      <c r="AO24" s="1106"/>
    </row>
    <row r="25">
      <c r="B25" s="1536" t="s">
        <v>1452</v>
      </c>
      <c r="G25" s="1106"/>
      <c r="H25" s="1106"/>
      <c r="I25" s="1106"/>
      <c r="J25" s="1106"/>
      <c r="K25" s="1106"/>
      <c r="L25" s="1106"/>
      <c r="M25" s="1106"/>
      <c r="N25" s="1106"/>
      <c r="O25" s="1106"/>
      <c r="P25" s="1106"/>
      <c r="Q25" s="1106"/>
      <c r="R25" s="1106"/>
      <c r="S25" s="1106"/>
      <c r="T25" s="1106"/>
      <c r="U25" s="1106"/>
      <c r="V25" s="1106"/>
      <c r="W25" s="1106"/>
      <c r="X25" s="1106"/>
      <c r="Y25" s="1106"/>
      <c r="Z25" s="1106"/>
      <c r="AA25" s="1106"/>
      <c r="AB25" s="1106"/>
      <c r="AC25" s="1106"/>
      <c r="AD25" s="1106"/>
      <c r="AE25" s="1106"/>
      <c r="AF25" s="1106"/>
      <c r="AG25" s="1106"/>
      <c r="AH25" s="1106"/>
      <c r="AI25" s="1106"/>
      <c r="AJ25" s="1106"/>
      <c r="AK25" s="1106"/>
      <c r="AL25" s="1106"/>
      <c r="AM25" s="1106"/>
      <c r="AN25" s="1106"/>
      <c r="AO25" s="1106"/>
    </row>
    <row r="26">
      <c r="B26" s="1535" t="s">
        <v>1453</v>
      </c>
      <c r="G26" s="1106"/>
      <c r="H26" s="1106"/>
      <c r="I26" s="1106"/>
      <c r="J26" s="1106"/>
      <c r="K26" s="1106"/>
      <c r="L26" s="1106"/>
      <c r="M26" s="1106"/>
      <c r="N26" s="1106"/>
      <c r="O26" s="1106"/>
      <c r="P26" s="1106"/>
      <c r="Q26" s="1106"/>
      <c r="R26" s="1106"/>
      <c r="S26" s="1106"/>
      <c r="T26" s="1106"/>
      <c r="U26" s="1106"/>
      <c r="V26" s="1106"/>
      <c r="W26" s="1106"/>
      <c r="X26" s="1106"/>
      <c r="Y26" s="1106"/>
      <c r="Z26" s="1106"/>
      <c r="AA26" s="1106"/>
      <c r="AB26" s="1106"/>
      <c r="AC26" s="1106"/>
      <c r="AD26" s="1106"/>
      <c r="AE26" s="1106"/>
      <c r="AF26" s="1106"/>
      <c r="AG26" s="1106"/>
      <c r="AH26" s="1106"/>
      <c r="AI26" s="1106"/>
      <c r="AJ26" s="1106"/>
      <c r="AK26" s="1106"/>
      <c r="AL26" s="1106"/>
      <c r="AM26" s="1106"/>
      <c r="AN26" s="1106"/>
      <c r="AO26" s="1106"/>
    </row>
    <row r="27">
      <c r="B27" s="1535" t="s">
        <v>1454</v>
      </c>
      <c r="G27" s="1538">
        <v>589783.44</v>
      </c>
      <c r="H27" s="1106"/>
      <c r="I27" s="1106"/>
      <c r="J27" s="1106"/>
      <c r="K27" s="1106"/>
      <c r="L27" s="1154">
        <v>841826.57</v>
      </c>
      <c r="M27" s="1106"/>
      <c r="N27" s="1106"/>
      <c r="O27" s="1106"/>
      <c r="P27" s="1106"/>
      <c r="Q27" s="1538">
        <v>1124946.3</v>
      </c>
      <c r="R27" s="1106"/>
      <c r="S27" s="1106"/>
      <c r="T27" s="1106"/>
      <c r="U27" s="1106"/>
      <c r="V27" s="1538">
        <v>1267661.45</v>
      </c>
      <c r="W27" s="1106"/>
      <c r="X27" s="1106"/>
      <c r="Y27" s="1106"/>
      <c r="Z27" s="1106"/>
      <c r="AA27" s="1538">
        <v>1426972.59</v>
      </c>
      <c r="AB27" s="1106"/>
      <c r="AC27" s="1106"/>
      <c r="AD27" s="1106"/>
      <c r="AE27" s="1106"/>
      <c r="AF27" s="1538">
        <v>720285.94</v>
      </c>
      <c r="AG27" s="1154">
        <v>170067.38</v>
      </c>
      <c r="AH27" s="1154">
        <v>199232.97</v>
      </c>
      <c r="AI27" s="1154">
        <v>219454.83</v>
      </c>
      <c r="AJ27" s="1154">
        <v>131530.76</v>
      </c>
      <c r="AK27" s="1106"/>
      <c r="AL27" s="1106"/>
      <c r="AM27" s="1106"/>
      <c r="AN27" s="1106"/>
      <c r="AO27" s="1106"/>
    </row>
    <row r="28">
      <c r="B28" s="1535" t="s">
        <v>1455</v>
      </c>
      <c r="G28" s="1539" t="s">
        <v>1456</v>
      </c>
      <c r="H28" s="1540"/>
      <c r="I28" s="1540"/>
      <c r="J28" s="1540"/>
      <c r="K28" s="1540"/>
      <c r="L28" s="1539" t="s">
        <v>1456</v>
      </c>
      <c r="M28" s="1540"/>
      <c r="N28" s="1540"/>
      <c r="O28" s="1540"/>
      <c r="P28" s="1540"/>
      <c r="Q28" s="1539" t="s">
        <v>1456</v>
      </c>
      <c r="R28" s="1540"/>
      <c r="S28" s="1540"/>
      <c r="T28" s="1540"/>
      <c r="U28" s="1540"/>
      <c r="V28" s="1539" t="s">
        <v>1456</v>
      </c>
      <c r="W28" s="1540"/>
      <c r="X28" s="1540"/>
      <c r="Y28" s="1540"/>
      <c r="Z28" s="1540"/>
      <c r="AA28" s="1539" t="s">
        <v>1456</v>
      </c>
      <c r="AB28" s="1540"/>
      <c r="AC28" s="1540"/>
      <c r="AD28" s="1540"/>
      <c r="AE28" s="1540"/>
      <c r="AF28" s="1539" t="s">
        <v>1456</v>
      </c>
      <c r="AG28" s="1540"/>
      <c r="AH28" s="1540"/>
      <c r="AI28" s="1540"/>
      <c r="AJ28" s="1540"/>
      <c r="AK28" s="1540"/>
      <c r="AL28" s="1106"/>
      <c r="AM28" s="1106"/>
      <c r="AN28" s="1106"/>
      <c r="AO28" s="1106"/>
    </row>
    <row r="29">
      <c r="A29" s="1533" t="s">
        <v>1458</v>
      </c>
      <c r="B29" s="1534" t="s">
        <v>1447</v>
      </c>
      <c r="G29" s="1106"/>
      <c r="H29" s="1106"/>
      <c r="I29" s="1106"/>
      <c r="J29" s="1106"/>
      <c r="K29" s="1106"/>
      <c r="L29" s="1106"/>
      <c r="M29" s="1106"/>
      <c r="N29" s="1106"/>
      <c r="O29" s="1106"/>
      <c r="P29" s="1106"/>
      <c r="Q29" s="1106"/>
      <c r="R29" s="1106"/>
      <c r="S29" s="1106"/>
      <c r="T29" s="1106"/>
      <c r="U29" s="1106"/>
      <c r="V29" s="1106"/>
      <c r="W29" s="1106"/>
      <c r="X29" s="1106"/>
      <c r="Y29" s="1106"/>
      <c r="Z29" s="1106"/>
      <c r="AA29" s="1106"/>
      <c r="AB29" s="1106"/>
      <c r="AC29" s="1106"/>
      <c r="AD29" s="1106"/>
      <c r="AE29" s="1106"/>
      <c r="AF29" s="1106"/>
      <c r="AG29" s="1106"/>
      <c r="AH29" s="1106"/>
      <c r="AI29" s="1106"/>
      <c r="AJ29" s="1106"/>
      <c r="AK29" s="1106"/>
      <c r="AL29" s="1106"/>
      <c r="AM29" s="1106"/>
      <c r="AN29" s="1106"/>
      <c r="AO29" s="1106"/>
    </row>
    <row r="30">
      <c r="B30" s="1535" t="s">
        <v>1448</v>
      </c>
      <c r="G30" s="1106"/>
      <c r="H30" s="1106"/>
      <c r="I30" s="1106"/>
      <c r="J30" s="1106"/>
      <c r="K30" s="1106"/>
      <c r="L30" s="1106"/>
      <c r="M30" s="1106"/>
      <c r="N30" s="1106"/>
      <c r="O30" s="1106"/>
      <c r="P30" s="1106"/>
      <c r="Q30" s="1106"/>
      <c r="R30" s="1106"/>
      <c r="S30" s="1106"/>
      <c r="T30" s="1106"/>
      <c r="U30" s="1106"/>
      <c r="V30" s="1106"/>
      <c r="W30" s="1106"/>
      <c r="X30" s="1106"/>
      <c r="Y30" s="1106"/>
      <c r="Z30" s="1106"/>
      <c r="AA30" s="1106"/>
      <c r="AB30" s="1106"/>
      <c r="AC30" s="1106"/>
      <c r="AD30" s="1106"/>
      <c r="AE30" s="1106"/>
      <c r="AF30" s="1106"/>
      <c r="AG30" s="1106"/>
      <c r="AH30" s="1106"/>
      <c r="AI30" s="1106"/>
      <c r="AJ30" s="1106"/>
      <c r="AK30" s="1106"/>
      <c r="AL30" s="1106"/>
      <c r="AM30" s="1106"/>
      <c r="AN30" s="1106"/>
      <c r="AO30" s="1106"/>
    </row>
    <row r="31">
      <c r="B31" s="1535" t="s">
        <v>1449</v>
      </c>
      <c r="G31" s="1163">
        <v>0.13876090927890722</v>
      </c>
      <c r="H31" s="1106"/>
      <c r="I31" s="1106"/>
      <c r="J31" s="1106"/>
      <c r="K31" s="1106"/>
      <c r="L31" s="1163">
        <v>0.13102871003538327</v>
      </c>
      <c r="M31" s="1106"/>
      <c r="N31" s="1106"/>
      <c r="O31" s="1106"/>
      <c r="P31" s="1106"/>
      <c r="Q31" s="1163">
        <v>0.13358531776556035</v>
      </c>
      <c r="R31" s="1106"/>
      <c r="S31" s="1106"/>
      <c r="T31" s="1106"/>
      <c r="U31" s="1106"/>
      <c r="V31" s="1163">
        <v>0.1425910408679177</v>
      </c>
      <c r="W31" s="1106"/>
      <c r="X31" s="1106"/>
      <c r="Y31" s="1106"/>
      <c r="Z31" s="1106"/>
      <c r="AA31" s="1163">
        <v>0.13550836386199203</v>
      </c>
      <c r="AB31" s="1106"/>
      <c r="AC31" s="1106"/>
      <c r="AD31" s="1106"/>
      <c r="AE31" s="1106"/>
      <c r="AF31" s="1163">
        <v>0.14426752029141737</v>
      </c>
      <c r="AG31" s="1164">
        <v>0.1701</v>
      </c>
      <c r="AH31" s="1164">
        <v>0.1362</v>
      </c>
      <c r="AI31" s="1164">
        <v>0.1424</v>
      </c>
      <c r="AJ31" s="1164">
        <v>0.129</v>
      </c>
      <c r="AK31" s="1106"/>
      <c r="AL31" s="1106"/>
      <c r="AM31" s="1106"/>
      <c r="AN31" s="1106"/>
      <c r="AO31" s="1106"/>
    </row>
    <row r="32">
      <c r="B32" s="1535" t="s">
        <v>1450</v>
      </c>
      <c r="G32" s="1163">
        <v>0.09100483021606931</v>
      </c>
      <c r="H32" s="1106"/>
      <c r="I32" s="1106"/>
      <c r="J32" s="1106"/>
      <c r="K32" s="1106"/>
      <c r="L32" s="1163">
        <v>0.028576756157827527</v>
      </c>
      <c r="M32" s="1106"/>
      <c r="N32" s="1106"/>
      <c r="O32" s="1106"/>
      <c r="P32" s="1106"/>
      <c r="Q32" s="1163">
        <v>0.022503259007136258</v>
      </c>
      <c r="R32" s="1106"/>
      <c r="S32" s="1106"/>
      <c r="T32" s="1106"/>
      <c r="U32" s="1106"/>
      <c r="V32" s="1163">
        <v>0.02916752188812941</v>
      </c>
      <c r="W32" s="1106"/>
      <c r="X32" s="1106"/>
      <c r="Y32" s="1106"/>
      <c r="Z32" s="1106"/>
      <c r="AA32" s="1163">
        <v>0.019856887632220974</v>
      </c>
      <c r="AB32" s="1106"/>
      <c r="AC32" s="1106"/>
      <c r="AD32" s="1106"/>
      <c r="AE32" s="1106"/>
      <c r="AF32" s="1163">
        <v>0.02922330964292265</v>
      </c>
      <c r="AG32" s="1164">
        <v>0.0295</v>
      </c>
      <c r="AH32" s="1164">
        <v>0.0306</v>
      </c>
      <c r="AI32" s="1164">
        <v>0.0256</v>
      </c>
      <c r="AJ32" s="1164">
        <v>0.0333</v>
      </c>
      <c r="AK32" s="1106"/>
      <c r="AL32" s="1106"/>
      <c r="AM32" s="1106"/>
      <c r="AN32" s="1106"/>
      <c r="AO32" s="1106"/>
    </row>
    <row r="33">
      <c r="B33" s="1536" t="s">
        <v>1451</v>
      </c>
      <c r="G33" s="1106"/>
      <c r="H33" s="1106"/>
      <c r="I33" s="1106"/>
      <c r="J33" s="1106"/>
      <c r="K33" s="1106"/>
      <c r="L33" s="1106"/>
      <c r="M33" s="1106"/>
      <c r="N33" s="1106"/>
      <c r="O33" s="1106"/>
      <c r="P33" s="1106"/>
      <c r="Q33" s="1106"/>
      <c r="R33" s="1106"/>
      <c r="S33" s="1106"/>
      <c r="T33" s="1106"/>
      <c r="U33" s="1106"/>
      <c r="V33" s="1106"/>
      <c r="W33" s="1106"/>
      <c r="X33" s="1106"/>
      <c r="Y33" s="1106"/>
      <c r="Z33" s="1106"/>
      <c r="AA33" s="1106"/>
      <c r="AB33" s="1106"/>
      <c r="AC33" s="1106"/>
      <c r="AD33" s="1106"/>
      <c r="AE33" s="1106"/>
      <c r="AF33" s="1106"/>
      <c r="AG33" s="1106"/>
      <c r="AH33" s="1106"/>
      <c r="AI33" s="1106"/>
      <c r="AJ33" s="1106"/>
      <c r="AK33" s="1106"/>
      <c r="AL33" s="1106"/>
      <c r="AM33" s="1106"/>
      <c r="AN33" s="1106"/>
      <c r="AO33" s="1106"/>
    </row>
    <row r="34">
      <c r="B34" s="1536" t="s">
        <v>1452</v>
      </c>
      <c r="G34" s="1106"/>
      <c r="H34" s="1106"/>
      <c r="I34" s="1106"/>
      <c r="J34" s="1106"/>
      <c r="K34" s="1106"/>
      <c r="L34" s="1106"/>
      <c r="M34" s="1106"/>
      <c r="N34" s="1106"/>
      <c r="O34" s="1106"/>
      <c r="P34" s="1106"/>
      <c r="Q34" s="1106"/>
      <c r="R34" s="1106"/>
      <c r="S34" s="1106"/>
      <c r="T34" s="1106"/>
      <c r="U34" s="1106"/>
      <c r="V34" s="1106"/>
      <c r="W34" s="1106"/>
      <c r="X34" s="1106"/>
      <c r="Y34" s="1106"/>
      <c r="Z34" s="1106"/>
      <c r="AA34" s="1106"/>
      <c r="AB34" s="1106"/>
      <c r="AC34" s="1106"/>
      <c r="AD34" s="1106"/>
      <c r="AE34" s="1106"/>
      <c r="AF34" s="1106"/>
      <c r="AG34" s="1106"/>
      <c r="AH34" s="1106"/>
      <c r="AI34" s="1106"/>
      <c r="AJ34" s="1106"/>
      <c r="AK34" s="1106"/>
      <c r="AL34" s="1106"/>
      <c r="AM34" s="1106"/>
      <c r="AN34" s="1106"/>
      <c r="AO34" s="1106"/>
    </row>
    <row r="35">
      <c r="B35" s="1535" t="s">
        <v>1453</v>
      </c>
      <c r="G35" s="1106"/>
      <c r="H35" s="1106"/>
      <c r="I35" s="1106"/>
      <c r="J35" s="1106"/>
      <c r="K35" s="1106"/>
      <c r="L35" s="1106"/>
      <c r="M35" s="1106"/>
      <c r="N35" s="1106"/>
      <c r="O35" s="1106"/>
      <c r="P35" s="1106"/>
      <c r="Q35" s="1106"/>
      <c r="R35" s="1106"/>
      <c r="S35" s="1106"/>
      <c r="T35" s="1106"/>
      <c r="U35" s="1106"/>
      <c r="V35" s="1106"/>
      <c r="W35" s="1106"/>
      <c r="X35" s="1106"/>
      <c r="Y35" s="1106"/>
      <c r="Z35" s="1106"/>
      <c r="AA35" s="1106"/>
      <c r="AB35" s="1106"/>
      <c r="AC35" s="1106"/>
      <c r="AD35" s="1106"/>
      <c r="AE35" s="1106"/>
      <c r="AF35" s="1106"/>
      <c r="AG35" s="1106"/>
      <c r="AH35" s="1106"/>
      <c r="AI35" s="1106"/>
      <c r="AJ35" s="1106"/>
      <c r="AK35" s="1106"/>
      <c r="AL35" s="1106"/>
      <c r="AM35" s="1106"/>
      <c r="AN35" s="1106"/>
      <c r="AO35" s="1106"/>
    </row>
    <row r="36">
      <c r="B36" s="1535" t="s">
        <v>1454</v>
      </c>
      <c r="G36" s="1541">
        <v>116442.16</v>
      </c>
      <c r="H36" s="1106"/>
      <c r="I36" s="1106"/>
      <c r="J36" s="1106"/>
      <c r="K36" s="1106"/>
      <c r="L36" s="1541">
        <v>39758.92</v>
      </c>
      <c r="M36" s="1106"/>
      <c r="N36" s="1106"/>
      <c r="O36" s="1106"/>
      <c r="P36" s="1106"/>
      <c r="Q36" s="1541">
        <v>39520.96</v>
      </c>
      <c r="R36" s="1106"/>
      <c r="S36" s="1106"/>
      <c r="T36" s="1106"/>
      <c r="U36" s="1106"/>
      <c r="V36" s="1541">
        <v>62081.46000000001</v>
      </c>
      <c r="W36" s="1106"/>
      <c r="X36" s="1106"/>
      <c r="Y36" s="1106"/>
      <c r="Z36" s="1106"/>
      <c r="AA36" s="1541">
        <v>49639.149999999994</v>
      </c>
      <c r="AB36" s="1106"/>
      <c r="AC36" s="1106"/>
      <c r="AD36" s="1106"/>
      <c r="AE36" s="1106"/>
      <c r="AF36" s="1541">
        <v>36456.3</v>
      </c>
      <c r="AG36" s="1154">
        <v>8333.11</v>
      </c>
      <c r="AH36" s="1154">
        <v>11062.28</v>
      </c>
      <c r="AI36" s="1154">
        <v>10023.0</v>
      </c>
      <c r="AJ36" s="1154">
        <v>7037.91</v>
      </c>
      <c r="AK36" s="1106"/>
      <c r="AL36" s="1106"/>
      <c r="AM36" s="1106"/>
      <c r="AN36" s="1106"/>
      <c r="AO36" s="1106"/>
    </row>
    <row r="37">
      <c r="B37" s="1535" t="s">
        <v>1455</v>
      </c>
      <c r="C37" s="1542"/>
      <c r="D37" s="1542"/>
      <c r="E37" s="1542"/>
      <c r="F37" s="1542"/>
      <c r="G37" s="1539" t="s">
        <v>1456</v>
      </c>
      <c r="H37" s="1540"/>
      <c r="I37" s="1540"/>
      <c r="J37" s="1540"/>
      <c r="K37" s="1540"/>
      <c r="L37" s="1539" t="s">
        <v>1456</v>
      </c>
      <c r="M37" s="1540"/>
      <c r="N37" s="1540"/>
      <c r="O37" s="1540"/>
      <c r="P37" s="1540"/>
      <c r="Q37" s="1539" t="s">
        <v>1456</v>
      </c>
      <c r="R37" s="1540"/>
      <c r="S37" s="1540"/>
      <c r="T37" s="1540"/>
      <c r="U37" s="1540"/>
      <c r="V37" s="1539" t="s">
        <v>1456</v>
      </c>
      <c r="W37" s="1540"/>
      <c r="X37" s="1540"/>
      <c r="Y37" s="1540"/>
      <c r="Z37" s="1540"/>
      <c r="AA37" s="1539" t="s">
        <v>1456</v>
      </c>
      <c r="AB37" s="1540"/>
      <c r="AC37" s="1540"/>
      <c r="AD37" s="1540"/>
      <c r="AE37" s="1540"/>
      <c r="AF37" s="1539" t="s">
        <v>1456</v>
      </c>
      <c r="AG37" s="1540"/>
      <c r="AH37" s="1540"/>
      <c r="AI37" s="1540"/>
      <c r="AJ37" s="1540"/>
      <c r="AK37" s="1540"/>
      <c r="AL37" s="1106"/>
      <c r="AM37" s="1106"/>
      <c r="AN37" s="1106"/>
      <c r="AO37" s="1106"/>
    </row>
    <row r="38">
      <c r="A38" s="1528" t="s">
        <v>1459</v>
      </c>
      <c r="G38" s="1106"/>
      <c r="H38" s="1106"/>
      <c r="I38" s="1106"/>
      <c r="J38" s="1106"/>
      <c r="K38" s="1106"/>
      <c r="L38" s="1106"/>
      <c r="M38" s="1106"/>
      <c r="N38" s="1106"/>
      <c r="O38" s="1106"/>
      <c r="P38" s="1106"/>
      <c r="Q38" s="1106"/>
      <c r="R38" s="1106"/>
      <c r="S38" s="1106"/>
      <c r="T38" s="1106"/>
      <c r="U38" s="1106"/>
      <c r="V38" s="1106"/>
      <c r="W38" s="1106"/>
      <c r="X38" s="1106"/>
      <c r="Y38" s="1106"/>
      <c r="Z38" s="1106"/>
      <c r="AA38" s="1106"/>
      <c r="AB38" s="1106"/>
      <c r="AC38" s="1106"/>
      <c r="AD38" s="1106"/>
      <c r="AE38" s="1106"/>
      <c r="AF38" s="1106"/>
      <c r="AG38" s="1106"/>
      <c r="AH38" s="1106"/>
      <c r="AI38" s="1106"/>
      <c r="AJ38" s="1106"/>
      <c r="AK38" s="1106"/>
      <c r="AL38" s="1106"/>
      <c r="AM38" s="1106"/>
      <c r="AN38" s="1106"/>
      <c r="AO38" s="1106"/>
    </row>
    <row r="39">
      <c r="A39" s="1543" t="s">
        <v>1460</v>
      </c>
      <c r="B39" s="1534" t="s">
        <v>1447</v>
      </c>
      <c r="G39" s="1106"/>
      <c r="H39" s="1106"/>
      <c r="I39" s="1106"/>
      <c r="J39" s="1106"/>
      <c r="K39" s="1106"/>
      <c r="L39" s="1106"/>
      <c r="M39" s="1106"/>
      <c r="N39" s="1106"/>
      <c r="O39" s="1106"/>
      <c r="P39" s="1106"/>
      <c r="Q39" s="1106"/>
      <c r="R39" s="1106"/>
      <c r="S39" s="1106"/>
      <c r="T39" s="1106"/>
      <c r="U39" s="1106"/>
      <c r="V39" s="1106"/>
      <c r="W39" s="1106"/>
      <c r="X39" s="1106"/>
      <c r="Y39" s="1106"/>
      <c r="Z39" s="1106"/>
      <c r="AA39" s="1106"/>
      <c r="AB39" s="1106"/>
      <c r="AC39" s="1106"/>
      <c r="AD39" s="1106"/>
      <c r="AE39" s="1106"/>
      <c r="AF39" s="1106"/>
      <c r="AG39" s="1106"/>
      <c r="AH39" s="1106"/>
      <c r="AI39" s="1106"/>
      <c r="AJ39" s="1106"/>
      <c r="AK39" s="1106"/>
      <c r="AL39" s="1106"/>
      <c r="AM39" s="1106"/>
      <c r="AN39" s="1106"/>
      <c r="AO39" s="1106"/>
    </row>
    <row r="40">
      <c r="B40" s="1535" t="s">
        <v>1448</v>
      </c>
      <c r="G40" s="1106"/>
      <c r="H40" s="1106"/>
      <c r="I40" s="1106"/>
      <c r="J40" s="1106"/>
      <c r="K40" s="1106"/>
      <c r="L40" s="1106"/>
      <c r="M40" s="1106"/>
      <c r="N40" s="1106"/>
      <c r="O40" s="1106"/>
      <c r="P40" s="1106"/>
      <c r="Q40" s="1106"/>
      <c r="R40" s="1106"/>
      <c r="S40" s="1106"/>
      <c r="T40" s="1106"/>
      <c r="U40" s="1106"/>
      <c r="V40" s="1106"/>
      <c r="W40" s="1106"/>
      <c r="X40" s="1106"/>
      <c r="Y40" s="1106"/>
      <c r="Z40" s="1106"/>
      <c r="AA40" s="1106"/>
      <c r="AB40" s="1106"/>
      <c r="AC40" s="1106"/>
      <c r="AD40" s="1106"/>
      <c r="AE40" s="1106"/>
      <c r="AF40" s="1106"/>
      <c r="AG40" s="1106"/>
      <c r="AH40" s="1106"/>
      <c r="AI40" s="1106"/>
      <c r="AJ40" s="1106"/>
      <c r="AK40" s="1106"/>
      <c r="AL40" s="1106"/>
      <c r="AM40" s="1106"/>
      <c r="AN40" s="1106"/>
      <c r="AO40" s="1106"/>
    </row>
    <row r="41">
      <c r="B41" s="1535" t="s">
        <v>1449</v>
      </c>
      <c r="G41" s="1106"/>
      <c r="H41" s="1106"/>
      <c r="I41" s="1106"/>
      <c r="J41" s="1106"/>
      <c r="K41" s="1106"/>
      <c r="L41" s="1106"/>
      <c r="M41" s="1106"/>
      <c r="N41" s="1106"/>
      <c r="O41" s="1106"/>
      <c r="P41" s="1106"/>
      <c r="Q41" s="1106"/>
      <c r="R41" s="1106"/>
      <c r="S41" s="1106"/>
      <c r="T41" s="1106"/>
      <c r="U41" s="1106"/>
      <c r="V41" s="1106"/>
      <c r="W41" s="1106"/>
      <c r="X41" s="1106"/>
      <c r="Y41" s="1106"/>
      <c r="Z41" s="1106"/>
      <c r="AA41" s="1106"/>
      <c r="AB41" s="1106"/>
      <c r="AC41" s="1106"/>
      <c r="AD41" s="1106"/>
      <c r="AE41" s="1106"/>
      <c r="AF41" s="1106"/>
      <c r="AG41" s="1106"/>
      <c r="AH41" s="1106"/>
      <c r="AI41" s="1106"/>
      <c r="AJ41" s="1106"/>
      <c r="AK41" s="1106"/>
      <c r="AL41" s="1106"/>
      <c r="AM41" s="1106"/>
      <c r="AN41" s="1106"/>
      <c r="AO41" s="1106"/>
    </row>
    <row r="42">
      <c r="B42" s="1535" t="s">
        <v>1450</v>
      </c>
      <c r="G42" s="1106"/>
      <c r="H42" s="1106"/>
      <c r="I42" s="1106"/>
      <c r="J42" s="1106"/>
      <c r="K42" s="1106"/>
      <c r="L42" s="1106"/>
      <c r="M42" s="1106"/>
      <c r="N42" s="1106"/>
      <c r="O42" s="1106"/>
      <c r="P42" s="1106"/>
      <c r="Q42" s="1106"/>
      <c r="R42" s="1106"/>
      <c r="S42" s="1106"/>
      <c r="T42" s="1106"/>
      <c r="U42" s="1106"/>
      <c r="V42" s="1106"/>
      <c r="W42" s="1106"/>
      <c r="X42" s="1106"/>
      <c r="Y42" s="1106"/>
      <c r="Z42" s="1106"/>
      <c r="AA42" s="1106"/>
      <c r="AB42" s="1106"/>
      <c r="AC42" s="1106"/>
      <c r="AD42" s="1106"/>
      <c r="AE42" s="1106"/>
      <c r="AF42" s="1106"/>
      <c r="AG42" s="1106"/>
      <c r="AH42" s="1106"/>
      <c r="AI42" s="1106"/>
      <c r="AJ42" s="1106"/>
      <c r="AK42" s="1106"/>
      <c r="AL42" s="1106"/>
      <c r="AM42" s="1106"/>
      <c r="AN42" s="1106"/>
      <c r="AO42" s="1106"/>
    </row>
    <row r="43">
      <c r="B43" s="1536" t="s">
        <v>1451</v>
      </c>
      <c r="G43" s="1106"/>
      <c r="H43" s="1106"/>
      <c r="I43" s="1106"/>
      <c r="J43" s="1106"/>
      <c r="K43" s="1106"/>
      <c r="L43" s="1106"/>
      <c r="M43" s="1106"/>
      <c r="N43" s="1106"/>
      <c r="O43" s="1106"/>
      <c r="P43" s="1106"/>
      <c r="Q43" s="1106"/>
      <c r="R43" s="1106"/>
      <c r="S43" s="1106"/>
      <c r="T43" s="1106"/>
      <c r="U43" s="1106"/>
      <c r="V43" s="1106"/>
      <c r="W43" s="1106"/>
      <c r="X43" s="1106"/>
      <c r="Y43" s="1106"/>
      <c r="Z43" s="1106"/>
      <c r="AA43" s="1106"/>
      <c r="AB43" s="1106"/>
      <c r="AC43" s="1106"/>
      <c r="AD43" s="1106"/>
      <c r="AE43" s="1106"/>
      <c r="AF43" s="1106"/>
      <c r="AG43" s="1106"/>
      <c r="AH43" s="1106"/>
      <c r="AI43" s="1106"/>
      <c r="AJ43" s="1106"/>
      <c r="AK43" s="1106"/>
      <c r="AL43" s="1106"/>
      <c r="AM43" s="1106"/>
      <c r="AN43" s="1106"/>
      <c r="AO43" s="1106"/>
    </row>
    <row r="44">
      <c r="B44" s="1536" t="s">
        <v>1452</v>
      </c>
      <c r="G44" s="1106"/>
      <c r="H44" s="1106"/>
      <c r="I44" s="1106"/>
      <c r="J44" s="1106"/>
      <c r="K44" s="1106"/>
      <c r="L44" s="1106"/>
      <c r="M44" s="1106"/>
      <c r="N44" s="1106"/>
      <c r="O44" s="1106"/>
      <c r="P44" s="1106"/>
      <c r="Q44" s="1106"/>
      <c r="R44" s="1106"/>
      <c r="S44" s="1106"/>
      <c r="T44" s="1106"/>
      <c r="U44" s="1106"/>
      <c r="V44" s="1106"/>
      <c r="W44" s="1106"/>
      <c r="X44" s="1106"/>
      <c r="Y44" s="1106"/>
      <c r="Z44" s="1106"/>
      <c r="AA44" s="1106"/>
      <c r="AB44" s="1106"/>
      <c r="AC44" s="1106"/>
      <c r="AD44" s="1106"/>
      <c r="AE44" s="1106"/>
      <c r="AF44" s="1106"/>
      <c r="AG44" s="1106"/>
      <c r="AH44" s="1106"/>
      <c r="AI44" s="1106"/>
      <c r="AJ44" s="1106"/>
      <c r="AK44" s="1106"/>
      <c r="AL44" s="1106"/>
      <c r="AM44" s="1106"/>
      <c r="AN44" s="1106"/>
      <c r="AO44" s="1106"/>
    </row>
    <row r="45">
      <c r="B45" s="1535" t="s">
        <v>1453</v>
      </c>
      <c r="G45" s="1106"/>
      <c r="H45" s="1106"/>
      <c r="I45" s="1106"/>
      <c r="J45" s="1106"/>
      <c r="K45" s="1106"/>
      <c r="L45" s="1106"/>
      <c r="M45" s="1106"/>
      <c r="N45" s="1106"/>
      <c r="O45" s="1106"/>
      <c r="P45" s="1106"/>
      <c r="Q45" s="1106"/>
      <c r="R45" s="1106"/>
      <c r="S45" s="1106"/>
      <c r="T45" s="1106"/>
      <c r="U45" s="1106"/>
      <c r="V45" s="1106"/>
      <c r="W45" s="1106"/>
      <c r="X45" s="1106"/>
      <c r="Y45" s="1106"/>
      <c r="Z45" s="1106"/>
      <c r="AA45" s="1106"/>
      <c r="AB45" s="1106"/>
      <c r="AC45" s="1106"/>
      <c r="AD45" s="1106"/>
      <c r="AE45" s="1106"/>
      <c r="AF45" s="1106"/>
      <c r="AG45" s="1106"/>
      <c r="AH45" s="1106"/>
      <c r="AI45" s="1106"/>
      <c r="AJ45" s="1106"/>
      <c r="AK45" s="1106"/>
      <c r="AL45" s="1106"/>
      <c r="AM45" s="1106"/>
      <c r="AN45" s="1106"/>
      <c r="AO45" s="1106"/>
    </row>
    <row r="46">
      <c r="B46" s="1535" t="s">
        <v>1454</v>
      </c>
      <c r="G46" s="1106"/>
      <c r="H46" s="1106"/>
      <c r="I46" s="1106"/>
      <c r="J46" s="1106"/>
      <c r="K46" s="1106"/>
      <c r="L46" s="1106"/>
      <c r="M46" s="1106"/>
      <c r="N46" s="1106"/>
      <c r="O46" s="1106"/>
      <c r="P46" s="1106"/>
      <c r="Q46" s="1106"/>
      <c r="R46" s="1106"/>
      <c r="S46" s="1106"/>
      <c r="T46" s="1106"/>
      <c r="U46" s="1106"/>
      <c r="V46" s="1106"/>
      <c r="W46" s="1106"/>
      <c r="X46" s="1106"/>
      <c r="Y46" s="1106"/>
      <c r="Z46" s="1106"/>
      <c r="AA46" s="1106"/>
      <c r="AB46" s="1106"/>
      <c r="AC46" s="1106"/>
      <c r="AD46" s="1106"/>
      <c r="AE46" s="1106"/>
      <c r="AF46" s="1106"/>
      <c r="AG46" s="1106"/>
      <c r="AH46" s="1106"/>
      <c r="AI46" s="1106"/>
      <c r="AJ46" s="1106"/>
      <c r="AK46" s="1106"/>
      <c r="AL46" s="1106"/>
      <c r="AM46" s="1106"/>
      <c r="AN46" s="1106"/>
      <c r="AO46" s="1106"/>
    </row>
    <row r="47">
      <c r="B47" s="1535" t="s">
        <v>1455</v>
      </c>
      <c r="G47" s="1106"/>
      <c r="H47" s="1106"/>
      <c r="I47" s="1106"/>
      <c r="J47" s="1106"/>
      <c r="K47" s="1106"/>
      <c r="L47" s="1106"/>
      <c r="M47" s="1106"/>
      <c r="N47" s="1106"/>
      <c r="O47" s="1106"/>
      <c r="P47" s="1106"/>
      <c r="Q47" s="1106"/>
      <c r="R47" s="1106"/>
      <c r="S47" s="1106"/>
      <c r="T47" s="1106"/>
      <c r="U47" s="1106"/>
      <c r="V47" s="1106"/>
      <c r="W47" s="1106"/>
      <c r="X47" s="1106"/>
      <c r="Y47" s="1106"/>
      <c r="Z47" s="1106"/>
      <c r="AA47" s="1106"/>
      <c r="AB47" s="1106"/>
      <c r="AC47" s="1106"/>
      <c r="AD47" s="1106"/>
      <c r="AE47" s="1106"/>
      <c r="AF47" s="1106"/>
      <c r="AG47" s="1106"/>
      <c r="AH47" s="1106"/>
      <c r="AI47" s="1106"/>
      <c r="AJ47" s="1106"/>
      <c r="AK47" s="1106"/>
      <c r="AL47" s="1106"/>
      <c r="AM47" s="1106"/>
      <c r="AN47" s="1106"/>
      <c r="AO47" s="1106"/>
    </row>
    <row r="48">
      <c r="A48" s="1533" t="s">
        <v>1461</v>
      </c>
      <c r="B48" s="1534" t="s">
        <v>1447</v>
      </c>
      <c r="G48" s="1106"/>
      <c r="H48" s="1106"/>
      <c r="I48" s="1106"/>
      <c r="J48" s="1106"/>
      <c r="K48" s="1106"/>
      <c r="L48" s="1106"/>
      <c r="M48" s="1106"/>
      <c r="N48" s="1106"/>
      <c r="O48" s="1106"/>
      <c r="P48" s="1106"/>
      <c r="Q48" s="1106"/>
      <c r="R48" s="1106"/>
      <c r="S48" s="1106"/>
      <c r="T48" s="1106"/>
      <c r="U48" s="1106"/>
      <c r="V48" s="1106"/>
      <c r="W48" s="1106"/>
      <c r="X48" s="1106"/>
      <c r="Y48" s="1106"/>
      <c r="Z48" s="1106"/>
      <c r="AA48" s="1106"/>
      <c r="AB48" s="1106"/>
      <c r="AC48" s="1106"/>
      <c r="AD48" s="1106"/>
      <c r="AE48" s="1106"/>
      <c r="AF48" s="1106"/>
      <c r="AG48" s="1106"/>
      <c r="AH48" s="1106"/>
      <c r="AI48" s="1106"/>
      <c r="AJ48" s="1106"/>
      <c r="AK48" s="1106"/>
      <c r="AL48" s="1106"/>
      <c r="AM48" s="1106"/>
      <c r="AN48" s="1106"/>
      <c r="AO48" s="1106"/>
    </row>
    <row r="49">
      <c r="B49" s="1535" t="s">
        <v>1448</v>
      </c>
      <c r="G49" s="1106"/>
      <c r="H49" s="1106"/>
      <c r="I49" s="1106"/>
      <c r="J49" s="1106"/>
      <c r="K49" s="1106"/>
      <c r="L49" s="1106"/>
      <c r="M49" s="1106"/>
      <c r="N49" s="1106"/>
      <c r="O49" s="1106"/>
      <c r="P49" s="1106"/>
      <c r="Q49" s="1106"/>
      <c r="R49" s="1106"/>
      <c r="S49" s="1106"/>
      <c r="T49" s="1106"/>
      <c r="U49" s="1106"/>
      <c r="V49" s="1106"/>
      <c r="W49" s="1106"/>
      <c r="X49" s="1106"/>
      <c r="Y49" s="1106"/>
      <c r="Z49" s="1106"/>
      <c r="AA49" s="1106"/>
      <c r="AB49" s="1106"/>
      <c r="AC49" s="1106"/>
      <c r="AD49" s="1106"/>
      <c r="AE49" s="1106"/>
      <c r="AF49" s="1106"/>
      <c r="AG49" s="1106"/>
      <c r="AH49" s="1106"/>
      <c r="AI49" s="1106"/>
      <c r="AJ49" s="1106"/>
      <c r="AK49" s="1106"/>
      <c r="AL49" s="1106"/>
      <c r="AM49" s="1106"/>
      <c r="AN49" s="1106"/>
      <c r="AO49" s="1106"/>
    </row>
    <row r="50">
      <c r="B50" s="1535" t="s">
        <v>1449</v>
      </c>
      <c r="G50" s="1106"/>
      <c r="H50" s="1106"/>
      <c r="I50" s="1106"/>
      <c r="J50" s="1106"/>
      <c r="K50" s="1106"/>
      <c r="L50" s="1106"/>
      <c r="M50" s="1106"/>
      <c r="N50" s="1106"/>
      <c r="O50" s="1106"/>
      <c r="P50" s="1106"/>
      <c r="Q50" s="1106"/>
      <c r="R50" s="1106"/>
      <c r="S50" s="1106"/>
      <c r="T50" s="1106"/>
      <c r="U50" s="1106"/>
      <c r="V50" s="1106"/>
      <c r="W50" s="1106"/>
      <c r="X50" s="1106"/>
      <c r="Y50" s="1106"/>
      <c r="Z50" s="1106"/>
      <c r="AA50" s="1106"/>
      <c r="AB50" s="1106"/>
      <c r="AC50" s="1106"/>
      <c r="AD50" s="1106"/>
      <c r="AE50" s="1106"/>
      <c r="AF50" s="1106"/>
      <c r="AG50" s="1106"/>
      <c r="AH50" s="1106"/>
      <c r="AI50" s="1106"/>
      <c r="AJ50" s="1106"/>
      <c r="AK50" s="1106"/>
      <c r="AL50" s="1106"/>
      <c r="AM50" s="1106"/>
      <c r="AN50" s="1106"/>
      <c r="AO50" s="1106"/>
    </row>
    <row r="51">
      <c r="B51" s="1535" t="s">
        <v>1450</v>
      </c>
      <c r="G51" s="1106"/>
      <c r="H51" s="1106"/>
      <c r="I51" s="1106"/>
      <c r="J51" s="1106"/>
      <c r="K51" s="1106"/>
      <c r="L51" s="1106"/>
      <c r="M51" s="1106"/>
      <c r="N51" s="1106"/>
      <c r="O51" s="1106"/>
      <c r="P51" s="1106"/>
      <c r="Q51" s="1106"/>
      <c r="R51" s="1106"/>
      <c r="S51" s="1106"/>
      <c r="T51" s="1106"/>
      <c r="U51" s="1106"/>
      <c r="V51" s="1106"/>
      <c r="W51" s="1106"/>
      <c r="X51" s="1106"/>
      <c r="Y51" s="1106"/>
      <c r="Z51" s="1106"/>
      <c r="AA51" s="1106"/>
      <c r="AB51" s="1106"/>
      <c r="AC51" s="1106"/>
      <c r="AD51" s="1106"/>
      <c r="AE51" s="1106"/>
      <c r="AF51" s="1106"/>
      <c r="AG51" s="1106"/>
      <c r="AH51" s="1106"/>
      <c r="AI51" s="1106"/>
      <c r="AJ51" s="1106"/>
      <c r="AK51" s="1106"/>
      <c r="AL51" s="1106"/>
      <c r="AM51" s="1106"/>
      <c r="AN51" s="1106"/>
      <c r="AO51" s="1106"/>
    </row>
    <row r="52">
      <c r="B52" s="1536" t="s">
        <v>1451</v>
      </c>
      <c r="G52" s="1106"/>
      <c r="H52" s="1106"/>
      <c r="I52" s="1106"/>
      <c r="J52" s="1106"/>
      <c r="K52" s="1106"/>
      <c r="L52" s="1106"/>
      <c r="M52" s="1106"/>
      <c r="N52" s="1106"/>
      <c r="O52" s="1106"/>
      <c r="P52" s="1106"/>
      <c r="Q52" s="1106"/>
      <c r="R52" s="1106"/>
      <c r="S52" s="1106"/>
      <c r="T52" s="1106"/>
      <c r="U52" s="1106"/>
      <c r="V52" s="1106"/>
      <c r="W52" s="1106"/>
      <c r="X52" s="1106"/>
      <c r="Y52" s="1106"/>
      <c r="Z52" s="1106"/>
      <c r="AA52" s="1106"/>
      <c r="AB52" s="1106"/>
      <c r="AC52" s="1106"/>
      <c r="AD52" s="1106"/>
      <c r="AE52" s="1106"/>
      <c r="AF52" s="1106"/>
      <c r="AG52" s="1106"/>
      <c r="AH52" s="1106"/>
      <c r="AI52" s="1106"/>
      <c r="AJ52" s="1106"/>
      <c r="AK52" s="1106"/>
      <c r="AL52" s="1106"/>
      <c r="AM52" s="1106"/>
      <c r="AN52" s="1106"/>
      <c r="AO52" s="1106"/>
    </row>
    <row r="53">
      <c r="B53" s="1536" t="s">
        <v>1452</v>
      </c>
      <c r="G53" s="1106"/>
      <c r="H53" s="1106"/>
      <c r="I53" s="1106"/>
      <c r="J53" s="1106"/>
      <c r="K53" s="1106"/>
      <c r="L53" s="1106"/>
      <c r="M53" s="1106"/>
      <c r="N53" s="1106"/>
      <c r="O53" s="1106"/>
      <c r="P53" s="1106"/>
      <c r="Q53" s="1106"/>
      <c r="R53" s="1106"/>
      <c r="S53" s="1106"/>
      <c r="T53" s="1106"/>
      <c r="U53" s="1106"/>
      <c r="V53" s="1106"/>
      <c r="W53" s="1106"/>
      <c r="X53" s="1106"/>
      <c r="Y53" s="1106"/>
      <c r="Z53" s="1106"/>
      <c r="AA53" s="1106"/>
      <c r="AB53" s="1106"/>
      <c r="AC53" s="1106"/>
      <c r="AD53" s="1106"/>
      <c r="AE53" s="1106"/>
      <c r="AF53" s="1106"/>
      <c r="AG53" s="1106"/>
      <c r="AH53" s="1106"/>
      <c r="AI53" s="1106"/>
      <c r="AJ53" s="1106"/>
      <c r="AK53" s="1106"/>
      <c r="AL53" s="1106"/>
      <c r="AM53" s="1106"/>
      <c r="AN53" s="1106"/>
      <c r="AO53" s="1106"/>
    </row>
    <row r="54">
      <c r="B54" s="1535" t="s">
        <v>1453</v>
      </c>
      <c r="G54" s="1106"/>
      <c r="H54" s="1106"/>
      <c r="I54" s="1106"/>
      <c r="J54" s="1106"/>
      <c r="K54" s="1106"/>
      <c r="L54" s="1106"/>
      <c r="M54" s="1106"/>
      <c r="N54" s="1106"/>
      <c r="O54" s="1106"/>
      <c r="P54" s="1106"/>
      <c r="Q54" s="1106"/>
      <c r="R54" s="1106"/>
      <c r="S54" s="1106"/>
      <c r="T54" s="1106"/>
      <c r="U54" s="1106"/>
      <c r="V54" s="1106"/>
      <c r="W54" s="1106"/>
      <c r="X54" s="1106"/>
      <c r="Y54" s="1106"/>
      <c r="Z54" s="1106"/>
      <c r="AA54" s="1106"/>
      <c r="AB54" s="1106"/>
      <c r="AC54" s="1106"/>
      <c r="AD54" s="1106"/>
      <c r="AE54" s="1106"/>
      <c r="AF54" s="1106"/>
      <c r="AG54" s="1106"/>
      <c r="AH54" s="1106"/>
      <c r="AI54" s="1106"/>
      <c r="AJ54" s="1106"/>
      <c r="AK54" s="1106"/>
      <c r="AL54" s="1106"/>
      <c r="AM54" s="1106"/>
      <c r="AN54" s="1106"/>
      <c r="AO54" s="1106"/>
    </row>
    <row r="55">
      <c r="B55" s="1535" t="s">
        <v>1454</v>
      </c>
      <c r="G55" s="1106"/>
      <c r="H55" s="1106"/>
      <c r="I55" s="1106"/>
      <c r="J55" s="1106"/>
      <c r="K55" s="1106"/>
      <c r="L55" s="1106"/>
      <c r="M55" s="1106"/>
      <c r="N55" s="1106"/>
      <c r="O55" s="1106"/>
      <c r="P55" s="1106"/>
      <c r="Q55" s="1106"/>
      <c r="R55" s="1106"/>
      <c r="S55" s="1106"/>
      <c r="T55" s="1106"/>
      <c r="U55" s="1106"/>
      <c r="V55" s="1106"/>
      <c r="W55" s="1106"/>
      <c r="X55" s="1106"/>
      <c r="Y55" s="1106"/>
      <c r="Z55" s="1106"/>
      <c r="AA55" s="1106"/>
      <c r="AB55" s="1106"/>
      <c r="AC55" s="1106"/>
      <c r="AD55" s="1106"/>
      <c r="AE55" s="1106"/>
      <c r="AF55" s="1106"/>
      <c r="AG55" s="1106"/>
      <c r="AH55" s="1106"/>
      <c r="AI55" s="1106"/>
      <c r="AJ55" s="1106"/>
      <c r="AK55" s="1106"/>
      <c r="AL55" s="1106"/>
      <c r="AM55" s="1106"/>
      <c r="AN55" s="1106"/>
      <c r="AO55" s="1106"/>
    </row>
    <row r="56">
      <c r="B56" s="1535" t="s">
        <v>1455</v>
      </c>
      <c r="G56" s="1106"/>
      <c r="H56" s="1106"/>
      <c r="I56" s="1106"/>
      <c r="J56" s="1106"/>
      <c r="K56" s="1106"/>
      <c r="L56" s="1106"/>
      <c r="M56" s="1106"/>
      <c r="N56" s="1106"/>
      <c r="O56" s="1106"/>
      <c r="P56" s="1106"/>
      <c r="Q56" s="1106"/>
      <c r="R56" s="1106"/>
      <c r="S56" s="1106"/>
      <c r="T56" s="1106"/>
      <c r="U56" s="1106"/>
      <c r="V56" s="1106"/>
      <c r="W56" s="1106"/>
      <c r="X56" s="1106"/>
      <c r="Y56" s="1106"/>
      <c r="Z56" s="1106"/>
      <c r="AA56" s="1106"/>
      <c r="AB56" s="1106"/>
      <c r="AC56" s="1106"/>
      <c r="AD56" s="1106"/>
      <c r="AE56" s="1106"/>
      <c r="AF56" s="1106"/>
      <c r="AG56" s="1106"/>
      <c r="AH56" s="1106"/>
      <c r="AI56" s="1106"/>
      <c r="AJ56" s="1106"/>
      <c r="AK56" s="1106"/>
      <c r="AL56" s="1106"/>
      <c r="AM56" s="1106"/>
      <c r="AN56" s="1106"/>
      <c r="AO56" s="1106"/>
    </row>
    <row r="57">
      <c r="A57" s="1533" t="s">
        <v>1462</v>
      </c>
      <c r="B57" s="1534" t="s">
        <v>1447</v>
      </c>
      <c r="G57" s="1106"/>
      <c r="H57" s="1106"/>
      <c r="I57" s="1106"/>
      <c r="J57" s="1106"/>
      <c r="K57" s="1106"/>
      <c r="L57" s="1106"/>
      <c r="M57" s="1106"/>
      <c r="N57" s="1106"/>
      <c r="O57" s="1106"/>
      <c r="P57" s="1106"/>
      <c r="Q57" s="1106"/>
      <c r="R57" s="1106"/>
      <c r="S57" s="1106"/>
      <c r="T57" s="1106"/>
      <c r="U57" s="1106"/>
      <c r="V57" s="1106"/>
      <c r="W57" s="1106"/>
      <c r="X57" s="1106"/>
      <c r="Y57" s="1106"/>
      <c r="Z57" s="1106"/>
      <c r="AA57" s="1106"/>
      <c r="AB57" s="1106"/>
      <c r="AC57" s="1106"/>
      <c r="AD57" s="1106"/>
      <c r="AE57" s="1106"/>
      <c r="AF57" s="1106"/>
      <c r="AG57" s="1106"/>
      <c r="AH57" s="1106"/>
      <c r="AI57" s="1106"/>
      <c r="AJ57" s="1106"/>
      <c r="AK57" s="1106"/>
      <c r="AL57" s="1106"/>
      <c r="AM57" s="1106"/>
      <c r="AN57" s="1106"/>
      <c r="AO57" s="1106"/>
    </row>
    <row r="58">
      <c r="B58" s="1535" t="s">
        <v>1448</v>
      </c>
      <c r="G58" s="1106"/>
      <c r="H58" s="1106"/>
      <c r="I58" s="1106"/>
      <c r="J58" s="1106"/>
      <c r="K58" s="1106"/>
      <c r="L58" s="1106"/>
      <c r="M58" s="1106"/>
      <c r="N58" s="1106"/>
      <c r="O58" s="1106"/>
      <c r="P58" s="1106"/>
      <c r="Q58" s="1106"/>
      <c r="R58" s="1106"/>
      <c r="S58" s="1106"/>
      <c r="T58" s="1106"/>
      <c r="U58" s="1106"/>
      <c r="V58" s="1106"/>
      <c r="W58" s="1106"/>
      <c r="X58" s="1106"/>
      <c r="Y58" s="1106"/>
      <c r="Z58" s="1106"/>
      <c r="AA58" s="1106"/>
      <c r="AB58" s="1106"/>
      <c r="AC58" s="1106"/>
      <c r="AD58" s="1106"/>
      <c r="AE58" s="1106"/>
      <c r="AF58" s="1106"/>
      <c r="AG58" s="1106"/>
      <c r="AH58" s="1106"/>
      <c r="AI58" s="1106"/>
      <c r="AJ58" s="1106"/>
      <c r="AK58" s="1106"/>
      <c r="AL58" s="1106"/>
      <c r="AM58" s="1106"/>
      <c r="AN58" s="1106"/>
      <c r="AO58" s="1106"/>
    </row>
    <row r="59">
      <c r="B59" s="1535" t="s">
        <v>1449</v>
      </c>
      <c r="G59" s="1106"/>
      <c r="H59" s="1106"/>
      <c r="I59" s="1106"/>
      <c r="J59" s="1106"/>
      <c r="K59" s="1106"/>
      <c r="L59" s="1106"/>
      <c r="M59" s="1106"/>
      <c r="N59" s="1106"/>
      <c r="O59" s="1106"/>
      <c r="P59" s="1106"/>
      <c r="Q59" s="1106"/>
      <c r="R59" s="1106"/>
      <c r="S59" s="1106"/>
      <c r="T59" s="1106"/>
      <c r="U59" s="1106"/>
      <c r="V59" s="1106"/>
      <c r="W59" s="1106"/>
      <c r="X59" s="1106"/>
      <c r="Y59" s="1106"/>
      <c r="Z59" s="1106"/>
      <c r="AA59" s="1106"/>
      <c r="AB59" s="1106"/>
      <c r="AC59" s="1106"/>
      <c r="AD59" s="1106"/>
      <c r="AE59" s="1106"/>
      <c r="AF59" s="1106"/>
      <c r="AG59" s="1106"/>
      <c r="AH59" s="1106"/>
      <c r="AI59" s="1106"/>
      <c r="AJ59" s="1106"/>
      <c r="AK59" s="1106"/>
      <c r="AL59" s="1106"/>
      <c r="AM59" s="1106"/>
      <c r="AN59" s="1106"/>
      <c r="AO59" s="1106"/>
    </row>
    <row r="60">
      <c r="B60" s="1535" t="s">
        <v>1450</v>
      </c>
      <c r="G60" s="1106"/>
      <c r="H60" s="1106"/>
      <c r="I60" s="1106"/>
      <c r="J60" s="1106"/>
      <c r="K60" s="1106"/>
      <c r="L60" s="1106"/>
      <c r="M60" s="1106"/>
      <c r="N60" s="1106"/>
      <c r="O60" s="1106"/>
      <c r="P60" s="1106"/>
      <c r="Q60" s="1106"/>
      <c r="R60" s="1106"/>
      <c r="S60" s="1106"/>
      <c r="T60" s="1106"/>
      <c r="U60" s="1106"/>
      <c r="V60" s="1106"/>
      <c r="W60" s="1106"/>
      <c r="X60" s="1106"/>
      <c r="Y60" s="1106"/>
      <c r="Z60" s="1106"/>
      <c r="AA60" s="1106"/>
      <c r="AB60" s="1106"/>
      <c r="AC60" s="1106"/>
      <c r="AD60" s="1106"/>
      <c r="AE60" s="1106"/>
      <c r="AF60" s="1106"/>
      <c r="AG60" s="1106"/>
      <c r="AH60" s="1106"/>
      <c r="AI60" s="1106"/>
      <c r="AJ60" s="1106"/>
      <c r="AK60" s="1106"/>
      <c r="AL60" s="1106"/>
      <c r="AM60" s="1106"/>
      <c r="AN60" s="1106"/>
      <c r="AO60" s="1106"/>
    </row>
    <row r="61">
      <c r="B61" s="1536" t="s">
        <v>1451</v>
      </c>
      <c r="G61" s="1106"/>
      <c r="H61" s="1106"/>
      <c r="I61" s="1106"/>
      <c r="J61" s="1106"/>
      <c r="K61" s="1106"/>
      <c r="L61" s="1106"/>
      <c r="M61" s="1106"/>
      <c r="N61" s="1106"/>
      <c r="O61" s="1106"/>
      <c r="P61" s="1106"/>
      <c r="Q61" s="1106"/>
      <c r="R61" s="1106"/>
      <c r="S61" s="1106"/>
      <c r="T61" s="1106"/>
      <c r="U61" s="1106"/>
      <c r="V61" s="1106"/>
      <c r="W61" s="1106"/>
      <c r="X61" s="1106"/>
      <c r="Y61" s="1106"/>
      <c r="Z61" s="1106"/>
      <c r="AA61" s="1106"/>
      <c r="AB61" s="1106"/>
      <c r="AC61" s="1106"/>
      <c r="AD61" s="1106"/>
      <c r="AE61" s="1106"/>
      <c r="AF61" s="1106"/>
      <c r="AG61" s="1106"/>
      <c r="AH61" s="1106"/>
      <c r="AI61" s="1106"/>
      <c r="AJ61" s="1106"/>
      <c r="AK61" s="1106"/>
      <c r="AL61" s="1106"/>
      <c r="AM61" s="1106"/>
      <c r="AN61" s="1106"/>
      <c r="AO61" s="1106"/>
    </row>
    <row r="62">
      <c r="B62" s="1536" t="s">
        <v>1452</v>
      </c>
      <c r="G62" s="1106"/>
      <c r="H62" s="1106"/>
      <c r="I62" s="1106"/>
      <c r="J62" s="1106"/>
      <c r="K62" s="1106"/>
      <c r="L62" s="1106"/>
      <c r="M62" s="1106"/>
      <c r="N62" s="1106"/>
      <c r="O62" s="1106"/>
      <c r="P62" s="1106"/>
      <c r="Q62" s="1106"/>
      <c r="R62" s="1106"/>
      <c r="S62" s="1106"/>
      <c r="T62" s="1106"/>
      <c r="U62" s="1106"/>
      <c r="V62" s="1106"/>
      <c r="W62" s="1106"/>
      <c r="X62" s="1106"/>
      <c r="Y62" s="1106"/>
      <c r="Z62" s="1106"/>
      <c r="AA62" s="1106"/>
      <c r="AB62" s="1106"/>
      <c r="AC62" s="1106"/>
      <c r="AD62" s="1106"/>
      <c r="AE62" s="1106"/>
      <c r="AF62" s="1106"/>
      <c r="AG62" s="1106"/>
      <c r="AH62" s="1106"/>
      <c r="AI62" s="1106"/>
      <c r="AJ62" s="1106"/>
      <c r="AK62" s="1106"/>
      <c r="AL62" s="1106"/>
      <c r="AM62" s="1106"/>
      <c r="AN62" s="1106"/>
      <c r="AO62" s="1106"/>
    </row>
    <row r="63">
      <c r="B63" s="1535" t="s">
        <v>1453</v>
      </c>
      <c r="G63" s="1106"/>
      <c r="H63" s="1106"/>
      <c r="I63" s="1106"/>
      <c r="J63" s="1106"/>
      <c r="K63" s="1106"/>
      <c r="L63" s="1106"/>
      <c r="M63" s="1106"/>
      <c r="N63" s="1106"/>
      <c r="O63" s="1106"/>
      <c r="P63" s="1106"/>
      <c r="Q63" s="1106"/>
      <c r="R63" s="1106"/>
      <c r="S63" s="1106"/>
      <c r="T63" s="1106"/>
      <c r="U63" s="1106"/>
      <c r="V63" s="1106"/>
      <c r="W63" s="1106"/>
      <c r="X63" s="1106"/>
      <c r="Y63" s="1106"/>
      <c r="Z63" s="1106"/>
      <c r="AA63" s="1106"/>
      <c r="AB63" s="1106"/>
      <c r="AC63" s="1106"/>
      <c r="AD63" s="1106"/>
      <c r="AE63" s="1106"/>
      <c r="AF63" s="1106"/>
      <c r="AG63" s="1106"/>
      <c r="AH63" s="1106"/>
      <c r="AI63" s="1106"/>
      <c r="AJ63" s="1106"/>
      <c r="AK63" s="1106"/>
      <c r="AL63" s="1106"/>
      <c r="AM63" s="1106"/>
      <c r="AN63" s="1106"/>
      <c r="AO63" s="1106"/>
    </row>
    <row r="64">
      <c r="B64" s="1535" t="s">
        <v>1454</v>
      </c>
      <c r="G64" s="1106"/>
      <c r="H64" s="1106"/>
      <c r="I64" s="1106"/>
      <c r="J64" s="1106"/>
      <c r="K64" s="1106"/>
      <c r="L64" s="1106"/>
      <c r="M64" s="1106"/>
      <c r="N64" s="1106"/>
      <c r="O64" s="1106"/>
      <c r="P64" s="1106"/>
      <c r="Q64" s="1106"/>
      <c r="R64" s="1106"/>
      <c r="S64" s="1106"/>
      <c r="T64" s="1106"/>
      <c r="U64" s="1106"/>
      <c r="V64" s="1106"/>
      <c r="W64" s="1106"/>
      <c r="X64" s="1106"/>
      <c r="Y64" s="1106"/>
      <c r="Z64" s="1106"/>
      <c r="AA64" s="1106"/>
      <c r="AB64" s="1106"/>
      <c r="AC64" s="1106"/>
      <c r="AD64" s="1106"/>
      <c r="AE64" s="1106"/>
      <c r="AF64" s="1106"/>
      <c r="AG64" s="1106"/>
      <c r="AH64" s="1106"/>
      <c r="AI64" s="1106"/>
      <c r="AJ64" s="1106"/>
      <c r="AK64" s="1106"/>
      <c r="AL64" s="1106"/>
      <c r="AM64" s="1106"/>
      <c r="AN64" s="1106"/>
      <c r="AO64" s="1106"/>
    </row>
    <row r="65">
      <c r="B65" s="1535" t="s">
        <v>1455</v>
      </c>
      <c r="G65" s="1106"/>
      <c r="H65" s="1106"/>
      <c r="I65" s="1106"/>
      <c r="J65" s="1106"/>
      <c r="K65" s="1106"/>
      <c r="L65" s="1106"/>
      <c r="M65" s="1106"/>
      <c r="N65" s="1106"/>
      <c r="O65" s="1106"/>
      <c r="P65" s="1106"/>
      <c r="Q65" s="1106"/>
      <c r="R65" s="1106"/>
      <c r="S65" s="1106"/>
      <c r="T65" s="1106"/>
      <c r="U65" s="1106"/>
      <c r="V65" s="1106"/>
      <c r="W65" s="1106"/>
      <c r="X65" s="1106"/>
      <c r="Y65" s="1106"/>
      <c r="Z65" s="1106"/>
      <c r="AA65" s="1106"/>
      <c r="AB65" s="1106"/>
      <c r="AC65" s="1106"/>
      <c r="AD65" s="1106"/>
      <c r="AE65" s="1106"/>
      <c r="AF65" s="1106"/>
      <c r="AG65" s="1106"/>
      <c r="AH65" s="1106"/>
      <c r="AI65" s="1106"/>
      <c r="AJ65" s="1106"/>
      <c r="AK65" s="1106"/>
      <c r="AL65" s="1106"/>
      <c r="AM65" s="1106"/>
      <c r="AN65" s="1106"/>
      <c r="AO65" s="1106"/>
    </row>
    <row r="66">
      <c r="A66" s="1533" t="s">
        <v>1463</v>
      </c>
      <c r="B66" s="1534" t="s">
        <v>1447</v>
      </c>
      <c r="G66" s="1106"/>
      <c r="H66" s="1106"/>
      <c r="I66" s="1106"/>
      <c r="J66" s="1106"/>
      <c r="K66" s="1106"/>
      <c r="L66" s="1106"/>
      <c r="M66" s="1106"/>
      <c r="N66" s="1106"/>
      <c r="O66" s="1106"/>
      <c r="P66" s="1106"/>
      <c r="Q66" s="1106"/>
      <c r="R66" s="1106"/>
      <c r="S66" s="1106"/>
      <c r="T66" s="1106"/>
      <c r="U66" s="1106"/>
      <c r="V66" s="1106"/>
      <c r="W66" s="1106"/>
      <c r="X66" s="1106"/>
      <c r="Y66" s="1106"/>
      <c r="Z66" s="1106"/>
      <c r="AA66" s="1106"/>
      <c r="AB66" s="1106"/>
      <c r="AC66" s="1106"/>
      <c r="AD66" s="1106"/>
      <c r="AE66" s="1106"/>
      <c r="AF66" s="1106"/>
      <c r="AG66" s="1106"/>
      <c r="AH66" s="1106"/>
      <c r="AI66" s="1106"/>
      <c r="AJ66" s="1106"/>
      <c r="AK66" s="1106"/>
      <c r="AL66" s="1106"/>
      <c r="AM66" s="1106"/>
      <c r="AN66" s="1106"/>
      <c r="AO66" s="1106"/>
    </row>
    <row r="67">
      <c r="B67" s="1535" t="s">
        <v>1448</v>
      </c>
      <c r="G67" s="1106"/>
      <c r="H67" s="1106"/>
      <c r="I67" s="1106"/>
      <c r="J67" s="1106"/>
      <c r="K67" s="1106"/>
      <c r="L67" s="1106"/>
      <c r="M67" s="1106"/>
      <c r="N67" s="1106"/>
      <c r="O67" s="1106"/>
      <c r="P67" s="1106"/>
      <c r="Q67" s="1106"/>
      <c r="R67" s="1106"/>
      <c r="S67" s="1106"/>
      <c r="T67" s="1106"/>
      <c r="U67" s="1106"/>
      <c r="V67" s="1106"/>
      <c r="W67" s="1106"/>
      <c r="X67" s="1106"/>
      <c r="Y67" s="1106"/>
      <c r="Z67" s="1106"/>
      <c r="AA67" s="1106"/>
      <c r="AB67" s="1106"/>
      <c r="AC67" s="1106"/>
      <c r="AD67" s="1106"/>
      <c r="AE67" s="1106"/>
      <c r="AF67" s="1106"/>
      <c r="AG67" s="1106"/>
      <c r="AH67" s="1106"/>
      <c r="AI67" s="1106"/>
      <c r="AJ67" s="1106"/>
      <c r="AK67" s="1106"/>
      <c r="AL67" s="1106"/>
      <c r="AM67" s="1106"/>
      <c r="AN67" s="1106"/>
      <c r="AO67" s="1106"/>
    </row>
    <row r="68">
      <c r="B68" s="1535" t="s">
        <v>1449</v>
      </c>
      <c r="G68" s="1106"/>
      <c r="H68" s="1106"/>
      <c r="I68" s="1106"/>
      <c r="J68" s="1106"/>
      <c r="K68" s="1106"/>
      <c r="L68" s="1106"/>
      <c r="M68" s="1106"/>
      <c r="N68" s="1106"/>
      <c r="O68" s="1106"/>
      <c r="P68" s="1106"/>
      <c r="Q68" s="1106"/>
      <c r="R68" s="1106"/>
      <c r="S68" s="1106"/>
      <c r="T68" s="1106"/>
      <c r="U68" s="1106"/>
      <c r="V68" s="1106"/>
      <c r="W68" s="1106"/>
      <c r="X68" s="1106"/>
      <c r="Y68" s="1106"/>
      <c r="Z68" s="1106"/>
      <c r="AA68" s="1106"/>
      <c r="AB68" s="1106"/>
      <c r="AC68" s="1106"/>
      <c r="AD68" s="1106"/>
      <c r="AE68" s="1106"/>
      <c r="AF68" s="1106"/>
      <c r="AG68" s="1106"/>
      <c r="AH68" s="1106"/>
      <c r="AI68" s="1106"/>
      <c r="AJ68" s="1106"/>
      <c r="AK68" s="1106"/>
      <c r="AL68" s="1106"/>
      <c r="AM68" s="1106"/>
      <c r="AN68" s="1106"/>
      <c r="AO68" s="1106"/>
    </row>
    <row r="69">
      <c r="B69" s="1535" t="s">
        <v>1450</v>
      </c>
      <c r="G69" s="1106"/>
      <c r="H69" s="1106"/>
      <c r="I69" s="1106"/>
      <c r="J69" s="1106"/>
      <c r="K69" s="1106"/>
      <c r="L69" s="1106"/>
      <c r="M69" s="1106"/>
      <c r="N69" s="1106"/>
      <c r="O69" s="1106"/>
      <c r="P69" s="1106"/>
      <c r="Q69" s="1106"/>
      <c r="R69" s="1106"/>
      <c r="S69" s="1106"/>
      <c r="T69" s="1106"/>
      <c r="U69" s="1106"/>
      <c r="V69" s="1106"/>
      <c r="W69" s="1106"/>
      <c r="X69" s="1106"/>
      <c r="Y69" s="1106"/>
      <c r="Z69" s="1106"/>
      <c r="AA69" s="1106"/>
      <c r="AB69" s="1106"/>
      <c r="AC69" s="1106"/>
      <c r="AD69" s="1106"/>
      <c r="AE69" s="1106"/>
      <c r="AF69" s="1106"/>
      <c r="AG69" s="1106"/>
      <c r="AH69" s="1106"/>
      <c r="AI69" s="1106"/>
      <c r="AJ69" s="1106"/>
      <c r="AK69" s="1106"/>
      <c r="AL69" s="1106"/>
      <c r="AM69" s="1106"/>
      <c r="AN69" s="1106"/>
      <c r="AO69" s="1106"/>
    </row>
    <row r="70">
      <c r="B70" s="1536" t="s">
        <v>1451</v>
      </c>
      <c r="G70" s="1106"/>
      <c r="H70" s="1106"/>
      <c r="I70" s="1106"/>
      <c r="J70" s="1106"/>
      <c r="K70" s="1106"/>
      <c r="L70" s="1106"/>
      <c r="M70" s="1106"/>
      <c r="N70" s="1106"/>
      <c r="O70" s="1106"/>
      <c r="P70" s="1106"/>
      <c r="Q70" s="1106"/>
      <c r="R70" s="1106"/>
      <c r="S70" s="1106"/>
      <c r="T70" s="1106"/>
      <c r="U70" s="1106"/>
      <c r="V70" s="1106"/>
      <c r="W70" s="1106"/>
      <c r="X70" s="1106"/>
      <c r="Y70" s="1106"/>
      <c r="Z70" s="1106"/>
      <c r="AA70" s="1106"/>
      <c r="AB70" s="1106"/>
      <c r="AC70" s="1106"/>
      <c r="AD70" s="1106"/>
      <c r="AE70" s="1106"/>
      <c r="AF70" s="1106"/>
      <c r="AG70" s="1106"/>
      <c r="AH70" s="1106"/>
      <c r="AI70" s="1106"/>
      <c r="AJ70" s="1106"/>
      <c r="AK70" s="1106"/>
      <c r="AL70" s="1106"/>
      <c r="AM70" s="1106"/>
      <c r="AN70" s="1106"/>
      <c r="AO70" s="1106"/>
    </row>
    <row r="71">
      <c r="B71" s="1536" t="s">
        <v>1452</v>
      </c>
      <c r="G71" s="1106"/>
      <c r="H71" s="1106"/>
      <c r="I71" s="1106"/>
      <c r="J71" s="1106"/>
      <c r="K71" s="1106"/>
      <c r="L71" s="1106"/>
      <c r="M71" s="1106"/>
      <c r="N71" s="1106"/>
      <c r="O71" s="1106"/>
      <c r="P71" s="1106"/>
      <c r="Q71" s="1106"/>
      <c r="R71" s="1106"/>
      <c r="S71" s="1106"/>
      <c r="T71" s="1106"/>
      <c r="U71" s="1106"/>
      <c r="V71" s="1106"/>
      <c r="W71" s="1106"/>
      <c r="X71" s="1106"/>
      <c r="Y71" s="1106"/>
      <c r="Z71" s="1106"/>
      <c r="AA71" s="1106"/>
      <c r="AB71" s="1106"/>
      <c r="AC71" s="1106"/>
      <c r="AD71" s="1106"/>
      <c r="AE71" s="1106"/>
      <c r="AF71" s="1106"/>
      <c r="AG71" s="1106"/>
      <c r="AH71" s="1106"/>
      <c r="AI71" s="1106"/>
      <c r="AJ71" s="1106"/>
      <c r="AK71" s="1106"/>
      <c r="AL71" s="1106"/>
      <c r="AM71" s="1106"/>
      <c r="AN71" s="1106"/>
      <c r="AO71" s="1106"/>
    </row>
    <row r="72">
      <c r="B72" s="1535" t="s">
        <v>1453</v>
      </c>
      <c r="G72" s="1106"/>
      <c r="H72" s="1106"/>
      <c r="I72" s="1106"/>
      <c r="J72" s="1106"/>
      <c r="K72" s="1106"/>
      <c r="L72" s="1106"/>
      <c r="M72" s="1106"/>
      <c r="N72" s="1106"/>
      <c r="O72" s="1106"/>
      <c r="P72" s="1106"/>
      <c r="Q72" s="1106"/>
      <c r="R72" s="1106"/>
      <c r="S72" s="1106"/>
      <c r="T72" s="1106"/>
      <c r="U72" s="1106"/>
      <c r="V72" s="1106"/>
      <c r="W72" s="1106"/>
      <c r="X72" s="1106"/>
      <c r="Y72" s="1106"/>
      <c r="Z72" s="1106"/>
      <c r="AA72" s="1106"/>
      <c r="AB72" s="1106"/>
      <c r="AC72" s="1106"/>
      <c r="AD72" s="1106"/>
      <c r="AE72" s="1106"/>
      <c r="AF72" s="1106"/>
      <c r="AG72" s="1106"/>
      <c r="AH72" s="1106"/>
      <c r="AI72" s="1106"/>
      <c r="AJ72" s="1106"/>
      <c r="AK72" s="1106"/>
      <c r="AL72" s="1106"/>
      <c r="AM72" s="1106"/>
      <c r="AN72" s="1106"/>
      <c r="AO72" s="1106"/>
    </row>
    <row r="73">
      <c r="B73" s="1535" t="s">
        <v>1454</v>
      </c>
      <c r="G73" s="1106"/>
      <c r="H73" s="1106"/>
      <c r="I73" s="1106"/>
      <c r="J73" s="1106"/>
      <c r="K73" s="1106"/>
      <c r="L73" s="1106"/>
      <c r="M73" s="1106"/>
      <c r="N73" s="1106"/>
      <c r="O73" s="1106"/>
      <c r="P73" s="1106"/>
      <c r="Q73" s="1106"/>
      <c r="R73" s="1106"/>
      <c r="S73" s="1106"/>
      <c r="T73" s="1106"/>
      <c r="U73" s="1106"/>
      <c r="V73" s="1106"/>
      <c r="W73" s="1106"/>
      <c r="X73" s="1106"/>
      <c r="Y73" s="1106"/>
      <c r="Z73" s="1106"/>
      <c r="AA73" s="1106"/>
      <c r="AB73" s="1106"/>
      <c r="AC73" s="1106"/>
      <c r="AD73" s="1106"/>
      <c r="AE73" s="1106"/>
      <c r="AF73" s="1106"/>
      <c r="AG73" s="1106"/>
      <c r="AH73" s="1106"/>
      <c r="AI73" s="1106"/>
      <c r="AJ73" s="1106"/>
      <c r="AK73" s="1106"/>
      <c r="AL73" s="1106"/>
      <c r="AM73" s="1106"/>
      <c r="AN73" s="1106"/>
      <c r="AO73" s="1106"/>
    </row>
    <row r="74">
      <c r="B74" s="1535" t="s">
        <v>1455</v>
      </c>
      <c r="G74" s="1106"/>
      <c r="H74" s="1106"/>
      <c r="I74" s="1106"/>
      <c r="J74" s="1106"/>
      <c r="K74" s="1106"/>
      <c r="L74" s="1106"/>
      <c r="M74" s="1106"/>
      <c r="N74" s="1106"/>
      <c r="O74" s="1106"/>
      <c r="P74" s="1106"/>
      <c r="Q74" s="1106"/>
      <c r="R74" s="1106"/>
      <c r="S74" s="1106"/>
      <c r="T74" s="1106"/>
      <c r="U74" s="1106"/>
      <c r="V74" s="1106"/>
      <c r="W74" s="1106"/>
      <c r="X74" s="1106"/>
      <c r="Y74" s="1106"/>
      <c r="Z74" s="1106"/>
      <c r="AA74" s="1106"/>
      <c r="AB74" s="1106"/>
      <c r="AC74" s="1106"/>
      <c r="AD74" s="1106"/>
      <c r="AE74" s="1106"/>
      <c r="AF74" s="1106"/>
      <c r="AG74" s="1106"/>
      <c r="AH74" s="1106"/>
      <c r="AI74" s="1106"/>
      <c r="AJ74" s="1106"/>
      <c r="AK74" s="1106"/>
      <c r="AL74" s="1106"/>
      <c r="AM74" s="1106"/>
      <c r="AN74" s="1106"/>
      <c r="AO74" s="1106"/>
    </row>
    <row r="75">
      <c r="A75" s="1533" t="s">
        <v>1464</v>
      </c>
      <c r="B75" s="1534" t="s">
        <v>1447</v>
      </c>
      <c r="G75" s="1106"/>
      <c r="H75" s="1106"/>
      <c r="I75" s="1106"/>
      <c r="J75" s="1106"/>
      <c r="K75" s="1106"/>
      <c r="L75" s="1106"/>
      <c r="M75" s="1106"/>
      <c r="N75" s="1106"/>
      <c r="O75" s="1106"/>
      <c r="P75" s="1106"/>
      <c r="Q75" s="1106"/>
      <c r="R75" s="1106"/>
      <c r="S75" s="1106"/>
      <c r="T75" s="1106"/>
      <c r="U75" s="1106"/>
      <c r="V75" s="1106"/>
      <c r="W75" s="1106"/>
      <c r="X75" s="1106"/>
      <c r="Y75" s="1106"/>
      <c r="Z75" s="1106"/>
      <c r="AA75" s="1106"/>
      <c r="AB75" s="1106"/>
      <c r="AC75" s="1106"/>
      <c r="AD75" s="1106"/>
      <c r="AE75" s="1106"/>
      <c r="AF75" s="1106"/>
      <c r="AG75" s="1106"/>
      <c r="AH75" s="1106"/>
      <c r="AI75" s="1106"/>
      <c r="AJ75" s="1106"/>
      <c r="AK75" s="1106"/>
      <c r="AL75" s="1106"/>
      <c r="AM75" s="1106"/>
      <c r="AN75" s="1106"/>
      <c r="AO75" s="1106"/>
    </row>
    <row r="76">
      <c r="B76" s="1535" t="s">
        <v>1448</v>
      </c>
      <c r="G76" s="1106"/>
      <c r="H76" s="1106"/>
      <c r="I76" s="1106"/>
      <c r="J76" s="1106"/>
      <c r="K76" s="1106"/>
      <c r="L76" s="1106"/>
      <c r="M76" s="1106"/>
      <c r="N76" s="1106"/>
      <c r="O76" s="1106"/>
      <c r="P76" s="1106"/>
      <c r="Q76" s="1106"/>
      <c r="R76" s="1106"/>
      <c r="S76" s="1106"/>
      <c r="T76" s="1106"/>
      <c r="U76" s="1106"/>
      <c r="V76" s="1106"/>
      <c r="W76" s="1106"/>
      <c r="X76" s="1106"/>
      <c r="Y76" s="1106"/>
      <c r="Z76" s="1106"/>
      <c r="AA76" s="1106"/>
      <c r="AB76" s="1106"/>
      <c r="AC76" s="1106"/>
      <c r="AD76" s="1106"/>
      <c r="AE76" s="1106"/>
      <c r="AF76" s="1106"/>
      <c r="AG76" s="1106"/>
      <c r="AH76" s="1106"/>
      <c r="AI76" s="1106"/>
      <c r="AJ76" s="1106"/>
      <c r="AK76" s="1106"/>
      <c r="AL76" s="1106"/>
      <c r="AM76" s="1106"/>
      <c r="AN76" s="1106"/>
      <c r="AO76" s="1106"/>
    </row>
    <row r="77">
      <c r="B77" s="1535" t="s">
        <v>1449</v>
      </c>
      <c r="G77" s="1106"/>
      <c r="H77" s="1106"/>
      <c r="I77" s="1106"/>
      <c r="J77" s="1106"/>
      <c r="K77" s="1106"/>
      <c r="L77" s="1106"/>
      <c r="M77" s="1106"/>
      <c r="N77" s="1106"/>
      <c r="O77" s="1106"/>
      <c r="P77" s="1106"/>
      <c r="Q77" s="1106"/>
      <c r="R77" s="1106"/>
      <c r="S77" s="1106"/>
      <c r="T77" s="1106"/>
      <c r="U77" s="1106"/>
      <c r="V77" s="1106"/>
      <c r="W77" s="1106"/>
      <c r="X77" s="1106"/>
      <c r="Y77" s="1106"/>
      <c r="Z77" s="1106"/>
      <c r="AA77" s="1106"/>
      <c r="AB77" s="1106"/>
      <c r="AC77" s="1106"/>
      <c r="AD77" s="1106"/>
      <c r="AE77" s="1106"/>
      <c r="AF77" s="1106"/>
      <c r="AG77" s="1106"/>
      <c r="AH77" s="1106"/>
      <c r="AI77" s="1106"/>
      <c r="AJ77" s="1106"/>
      <c r="AK77" s="1106"/>
      <c r="AL77" s="1106"/>
      <c r="AM77" s="1106"/>
      <c r="AN77" s="1106"/>
      <c r="AO77" s="1106"/>
    </row>
    <row r="78">
      <c r="B78" s="1535" t="s">
        <v>1450</v>
      </c>
      <c r="G78" s="1106"/>
      <c r="H78" s="1106"/>
      <c r="I78" s="1106"/>
      <c r="J78" s="1106"/>
      <c r="K78" s="1106"/>
      <c r="L78" s="1106"/>
      <c r="M78" s="1106"/>
      <c r="N78" s="1106"/>
      <c r="O78" s="1106"/>
      <c r="P78" s="1106"/>
      <c r="Q78" s="1106"/>
      <c r="R78" s="1106"/>
      <c r="S78" s="1106"/>
      <c r="T78" s="1106"/>
      <c r="U78" s="1106"/>
      <c r="V78" s="1106"/>
      <c r="W78" s="1106"/>
      <c r="X78" s="1106"/>
      <c r="Y78" s="1106"/>
      <c r="Z78" s="1106"/>
      <c r="AA78" s="1106"/>
      <c r="AB78" s="1106"/>
      <c r="AC78" s="1106"/>
      <c r="AD78" s="1106"/>
      <c r="AE78" s="1106"/>
      <c r="AF78" s="1106"/>
      <c r="AG78" s="1106"/>
      <c r="AH78" s="1106"/>
      <c r="AI78" s="1106"/>
      <c r="AJ78" s="1106"/>
      <c r="AK78" s="1106"/>
      <c r="AL78" s="1106"/>
      <c r="AM78" s="1106"/>
      <c r="AN78" s="1106"/>
      <c r="AO78" s="1106"/>
    </row>
    <row r="79">
      <c r="B79" s="1536" t="s">
        <v>1451</v>
      </c>
      <c r="G79" s="1106"/>
      <c r="H79" s="1106"/>
      <c r="I79" s="1106"/>
      <c r="J79" s="1106"/>
      <c r="K79" s="1106"/>
      <c r="L79" s="1106"/>
      <c r="M79" s="1106"/>
      <c r="N79" s="1106"/>
      <c r="O79" s="1106"/>
      <c r="P79" s="1106"/>
      <c r="Q79" s="1106"/>
      <c r="R79" s="1106"/>
      <c r="S79" s="1106"/>
      <c r="T79" s="1106"/>
      <c r="U79" s="1106"/>
      <c r="V79" s="1106"/>
      <c r="W79" s="1106"/>
      <c r="X79" s="1106"/>
      <c r="Y79" s="1106"/>
      <c r="Z79" s="1106"/>
      <c r="AA79" s="1106"/>
      <c r="AB79" s="1106"/>
      <c r="AC79" s="1106"/>
      <c r="AD79" s="1106"/>
      <c r="AE79" s="1106"/>
      <c r="AF79" s="1106"/>
      <c r="AG79" s="1106"/>
      <c r="AH79" s="1106"/>
      <c r="AI79" s="1106"/>
      <c r="AJ79" s="1106"/>
      <c r="AK79" s="1106"/>
      <c r="AL79" s="1106"/>
      <c r="AM79" s="1106"/>
      <c r="AN79" s="1106"/>
      <c r="AO79" s="1106"/>
    </row>
    <row r="80">
      <c r="B80" s="1536" t="s">
        <v>1452</v>
      </c>
      <c r="G80" s="1106"/>
      <c r="H80" s="1106"/>
      <c r="I80" s="1106"/>
      <c r="J80" s="1106"/>
      <c r="K80" s="1106"/>
      <c r="L80" s="1106"/>
      <c r="M80" s="1106"/>
      <c r="N80" s="1106"/>
      <c r="O80" s="1106"/>
      <c r="P80" s="1106"/>
      <c r="Q80" s="1106"/>
      <c r="R80" s="1106"/>
      <c r="S80" s="1106"/>
      <c r="T80" s="1106"/>
      <c r="U80" s="1106"/>
      <c r="V80" s="1106"/>
      <c r="W80" s="1106"/>
      <c r="X80" s="1106"/>
      <c r="Y80" s="1106"/>
      <c r="Z80" s="1106"/>
      <c r="AA80" s="1106"/>
      <c r="AB80" s="1106"/>
      <c r="AC80" s="1106"/>
      <c r="AD80" s="1106"/>
      <c r="AE80" s="1106"/>
      <c r="AF80" s="1106"/>
      <c r="AG80" s="1106"/>
      <c r="AH80" s="1106"/>
      <c r="AI80" s="1106"/>
      <c r="AJ80" s="1106"/>
      <c r="AK80" s="1106"/>
      <c r="AL80" s="1106"/>
      <c r="AM80" s="1106"/>
      <c r="AN80" s="1106"/>
      <c r="AO80" s="1106"/>
    </row>
    <row r="81">
      <c r="B81" s="1535" t="s">
        <v>1453</v>
      </c>
      <c r="G81" s="1106"/>
      <c r="H81" s="1106"/>
      <c r="I81" s="1106"/>
      <c r="J81" s="1106"/>
      <c r="K81" s="1106"/>
      <c r="L81" s="1106"/>
      <c r="M81" s="1106"/>
      <c r="N81" s="1106"/>
      <c r="O81" s="1106"/>
      <c r="P81" s="1106"/>
      <c r="Q81" s="1106"/>
      <c r="R81" s="1106"/>
      <c r="S81" s="1106"/>
      <c r="T81" s="1106"/>
      <c r="U81" s="1106"/>
      <c r="V81" s="1106"/>
      <c r="W81" s="1106"/>
      <c r="X81" s="1106"/>
      <c r="Y81" s="1106"/>
      <c r="Z81" s="1106"/>
      <c r="AA81" s="1106"/>
      <c r="AB81" s="1106"/>
      <c r="AC81" s="1106"/>
      <c r="AD81" s="1106"/>
      <c r="AE81" s="1106"/>
      <c r="AF81" s="1106"/>
      <c r="AG81" s="1106"/>
      <c r="AH81" s="1106"/>
      <c r="AI81" s="1106"/>
      <c r="AJ81" s="1106"/>
      <c r="AK81" s="1106"/>
      <c r="AL81" s="1106"/>
      <c r="AM81" s="1106"/>
      <c r="AN81" s="1106"/>
      <c r="AO81" s="1106"/>
    </row>
    <row r="82">
      <c r="B82" s="1535" t="s">
        <v>1454</v>
      </c>
      <c r="G82" s="1106"/>
      <c r="H82" s="1106"/>
      <c r="I82" s="1106"/>
      <c r="J82" s="1106"/>
      <c r="K82" s="1106"/>
      <c r="L82" s="1106"/>
      <c r="M82" s="1106"/>
      <c r="N82" s="1106"/>
      <c r="O82" s="1106"/>
      <c r="P82" s="1106"/>
      <c r="Q82" s="1106"/>
      <c r="R82" s="1106"/>
      <c r="S82" s="1106"/>
      <c r="T82" s="1106"/>
      <c r="U82" s="1106"/>
      <c r="V82" s="1106"/>
      <c r="W82" s="1106"/>
      <c r="X82" s="1106"/>
      <c r="Y82" s="1106"/>
      <c r="Z82" s="1106"/>
      <c r="AA82" s="1106"/>
      <c r="AB82" s="1106"/>
      <c r="AC82" s="1106"/>
      <c r="AD82" s="1106"/>
      <c r="AE82" s="1106"/>
      <c r="AF82" s="1106"/>
      <c r="AG82" s="1106"/>
      <c r="AH82" s="1106"/>
      <c r="AI82" s="1106"/>
      <c r="AJ82" s="1106"/>
      <c r="AK82" s="1106"/>
      <c r="AL82" s="1106"/>
      <c r="AM82" s="1106"/>
      <c r="AN82" s="1106"/>
      <c r="AO82" s="1106"/>
    </row>
    <row r="83">
      <c r="B83" s="1535" t="s">
        <v>1455</v>
      </c>
      <c r="G83" s="1106"/>
      <c r="H83" s="1106"/>
      <c r="I83" s="1106"/>
      <c r="J83" s="1106"/>
      <c r="K83" s="1106"/>
      <c r="L83" s="1106"/>
      <c r="M83" s="1106"/>
      <c r="N83" s="1106"/>
      <c r="O83" s="1106"/>
      <c r="P83" s="1106"/>
      <c r="Q83" s="1106"/>
      <c r="R83" s="1106"/>
      <c r="S83" s="1106"/>
      <c r="T83" s="1106"/>
      <c r="U83" s="1106"/>
      <c r="V83" s="1106"/>
      <c r="W83" s="1106"/>
      <c r="X83" s="1106"/>
      <c r="Y83" s="1106"/>
      <c r="Z83" s="1106"/>
      <c r="AA83" s="1106"/>
      <c r="AB83" s="1106"/>
      <c r="AC83" s="1106"/>
      <c r="AD83" s="1106"/>
      <c r="AE83" s="1106"/>
      <c r="AF83" s="1106"/>
      <c r="AG83" s="1106"/>
      <c r="AH83" s="1106"/>
      <c r="AI83" s="1106"/>
      <c r="AJ83" s="1106"/>
      <c r="AK83" s="1106"/>
      <c r="AL83" s="1106"/>
      <c r="AM83" s="1106"/>
      <c r="AN83" s="1106"/>
      <c r="AO83" s="1106"/>
    </row>
    <row r="84">
      <c r="A84" s="1533" t="s">
        <v>1465</v>
      </c>
      <c r="B84" s="1534" t="s">
        <v>1447</v>
      </c>
      <c r="G84" s="1106"/>
      <c r="H84" s="1106"/>
      <c r="I84" s="1106"/>
      <c r="J84" s="1106"/>
      <c r="K84" s="1106"/>
      <c r="L84" s="1106"/>
      <c r="M84" s="1106"/>
      <c r="N84" s="1106"/>
      <c r="O84" s="1106"/>
      <c r="P84" s="1106"/>
      <c r="Q84" s="1106"/>
      <c r="R84" s="1106"/>
      <c r="S84" s="1106"/>
      <c r="T84" s="1106"/>
      <c r="U84" s="1106"/>
      <c r="V84" s="1106"/>
      <c r="W84" s="1106"/>
      <c r="X84" s="1106"/>
      <c r="Y84" s="1106"/>
      <c r="Z84" s="1106"/>
      <c r="AA84" s="1106"/>
      <c r="AB84" s="1106"/>
      <c r="AC84" s="1106"/>
      <c r="AD84" s="1106"/>
      <c r="AE84" s="1106"/>
      <c r="AF84" s="1106"/>
      <c r="AG84" s="1106"/>
      <c r="AH84" s="1106"/>
      <c r="AI84" s="1106"/>
      <c r="AJ84" s="1106"/>
      <c r="AK84" s="1106"/>
      <c r="AL84" s="1106"/>
      <c r="AM84" s="1106"/>
      <c r="AN84" s="1106"/>
      <c r="AO84" s="1106"/>
    </row>
    <row r="85">
      <c r="B85" s="1535" t="s">
        <v>1448</v>
      </c>
      <c r="G85" s="1106"/>
      <c r="H85" s="1106"/>
      <c r="I85" s="1106"/>
      <c r="J85" s="1106"/>
      <c r="K85" s="1106"/>
      <c r="L85" s="1106"/>
      <c r="M85" s="1106"/>
      <c r="N85" s="1106"/>
      <c r="O85" s="1106"/>
      <c r="P85" s="1106"/>
      <c r="Q85" s="1106"/>
      <c r="R85" s="1106"/>
      <c r="S85" s="1106"/>
      <c r="T85" s="1106"/>
      <c r="U85" s="1106"/>
      <c r="V85" s="1106"/>
      <c r="W85" s="1106"/>
      <c r="X85" s="1106"/>
      <c r="Y85" s="1106"/>
      <c r="Z85" s="1106"/>
      <c r="AA85" s="1106"/>
      <c r="AB85" s="1106"/>
      <c r="AC85" s="1106"/>
      <c r="AD85" s="1106"/>
      <c r="AE85" s="1106"/>
      <c r="AF85" s="1106"/>
      <c r="AG85" s="1106"/>
      <c r="AH85" s="1106"/>
      <c r="AI85" s="1106"/>
      <c r="AJ85" s="1106"/>
      <c r="AK85" s="1106"/>
      <c r="AL85" s="1106"/>
      <c r="AM85" s="1106"/>
      <c r="AN85" s="1106"/>
      <c r="AO85" s="1106"/>
    </row>
    <row r="86">
      <c r="B86" s="1535" t="s">
        <v>1449</v>
      </c>
      <c r="G86" s="1106"/>
      <c r="H86" s="1106"/>
      <c r="I86" s="1106"/>
      <c r="J86" s="1106"/>
      <c r="K86" s="1106"/>
      <c r="L86" s="1106"/>
      <c r="M86" s="1106"/>
      <c r="N86" s="1106"/>
      <c r="O86" s="1106"/>
      <c r="P86" s="1106"/>
      <c r="Q86" s="1106"/>
      <c r="R86" s="1106"/>
      <c r="S86" s="1106"/>
      <c r="T86" s="1106"/>
      <c r="U86" s="1106"/>
      <c r="V86" s="1106"/>
      <c r="W86" s="1106"/>
      <c r="X86" s="1106"/>
      <c r="Y86" s="1106"/>
      <c r="Z86" s="1106"/>
      <c r="AA86" s="1106"/>
      <c r="AB86" s="1106"/>
      <c r="AC86" s="1106"/>
      <c r="AD86" s="1106"/>
      <c r="AE86" s="1106"/>
      <c r="AF86" s="1106"/>
      <c r="AG86" s="1106"/>
      <c r="AH86" s="1106"/>
      <c r="AI86" s="1106"/>
      <c r="AJ86" s="1106"/>
      <c r="AK86" s="1106"/>
      <c r="AL86" s="1106"/>
      <c r="AM86" s="1106"/>
      <c r="AN86" s="1106"/>
      <c r="AO86" s="1106"/>
    </row>
    <row r="87">
      <c r="B87" s="1535" t="s">
        <v>1450</v>
      </c>
      <c r="G87" s="1106"/>
      <c r="H87" s="1106"/>
      <c r="I87" s="1106"/>
      <c r="J87" s="1106"/>
      <c r="K87" s="1106"/>
      <c r="L87" s="1106"/>
      <c r="M87" s="1106"/>
      <c r="N87" s="1106"/>
      <c r="O87" s="1106"/>
      <c r="P87" s="1106"/>
      <c r="Q87" s="1106"/>
      <c r="R87" s="1106"/>
      <c r="S87" s="1106"/>
      <c r="T87" s="1106"/>
      <c r="U87" s="1106"/>
      <c r="V87" s="1106"/>
      <c r="W87" s="1106"/>
      <c r="X87" s="1106"/>
      <c r="Y87" s="1106"/>
      <c r="Z87" s="1106"/>
      <c r="AA87" s="1106"/>
      <c r="AB87" s="1106"/>
      <c r="AC87" s="1106"/>
      <c r="AD87" s="1106"/>
      <c r="AE87" s="1106"/>
      <c r="AF87" s="1106"/>
      <c r="AG87" s="1106"/>
      <c r="AH87" s="1106"/>
      <c r="AI87" s="1106"/>
      <c r="AJ87" s="1106"/>
      <c r="AK87" s="1106"/>
      <c r="AL87" s="1106"/>
      <c r="AM87" s="1106"/>
      <c r="AN87" s="1106"/>
      <c r="AO87" s="1106"/>
    </row>
    <row r="88">
      <c r="B88" s="1536" t="s">
        <v>1451</v>
      </c>
      <c r="G88" s="1106"/>
      <c r="H88" s="1106"/>
      <c r="I88" s="1106"/>
      <c r="J88" s="1106"/>
      <c r="K88" s="1106"/>
      <c r="L88" s="1106"/>
      <c r="M88" s="1106"/>
      <c r="N88" s="1106"/>
      <c r="O88" s="1106"/>
      <c r="P88" s="1106"/>
      <c r="Q88" s="1106"/>
      <c r="R88" s="1106"/>
      <c r="S88" s="1106"/>
      <c r="T88" s="1106"/>
      <c r="U88" s="1106"/>
      <c r="V88" s="1106"/>
      <c r="W88" s="1106"/>
      <c r="X88" s="1106"/>
      <c r="Y88" s="1106"/>
      <c r="Z88" s="1106"/>
      <c r="AA88" s="1106"/>
      <c r="AB88" s="1106"/>
      <c r="AC88" s="1106"/>
      <c r="AD88" s="1106"/>
      <c r="AE88" s="1106"/>
      <c r="AF88" s="1106"/>
      <c r="AG88" s="1106"/>
      <c r="AH88" s="1106"/>
      <c r="AI88" s="1106"/>
      <c r="AJ88" s="1106"/>
      <c r="AK88" s="1106"/>
      <c r="AL88" s="1106"/>
      <c r="AM88" s="1106"/>
      <c r="AN88" s="1106"/>
      <c r="AO88" s="1106"/>
    </row>
    <row r="89">
      <c r="B89" s="1536" t="s">
        <v>1452</v>
      </c>
      <c r="G89" s="1106"/>
      <c r="H89" s="1106"/>
      <c r="I89" s="1106"/>
      <c r="J89" s="1106"/>
      <c r="K89" s="1106"/>
      <c r="L89" s="1106"/>
      <c r="M89" s="1106"/>
      <c r="N89" s="1106"/>
      <c r="O89" s="1106"/>
      <c r="P89" s="1106"/>
      <c r="Q89" s="1106"/>
      <c r="R89" s="1106"/>
      <c r="S89" s="1106"/>
      <c r="T89" s="1106"/>
      <c r="U89" s="1106"/>
      <c r="V89" s="1106"/>
      <c r="W89" s="1106"/>
      <c r="X89" s="1106"/>
      <c r="Y89" s="1106"/>
      <c r="Z89" s="1106"/>
      <c r="AA89" s="1106"/>
      <c r="AB89" s="1106"/>
      <c r="AC89" s="1106"/>
      <c r="AD89" s="1106"/>
      <c r="AE89" s="1106"/>
      <c r="AF89" s="1106"/>
      <c r="AG89" s="1106"/>
      <c r="AH89" s="1106"/>
      <c r="AI89" s="1106"/>
      <c r="AJ89" s="1106"/>
      <c r="AK89" s="1106"/>
      <c r="AL89" s="1106"/>
      <c r="AM89" s="1106"/>
      <c r="AN89" s="1106"/>
      <c r="AO89" s="1106"/>
    </row>
    <row r="90">
      <c r="B90" s="1535" t="s">
        <v>1453</v>
      </c>
      <c r="G90" s="1106"/>
      <c r="H90" s="1106"/>
      <c r="I90" s="1106"/>
      <c r="J90" s="1106"/>
      <c r="K90" s="1106"/>
      <c r="L90" s="1106"/>
      <c r="M90" s="1106"/>
      <c r="N90" s="1106"/>
      <c r="O90" s="1106"/>
      <c r="P90" s="1106"/>
      <c r="Q90" s="1106"/>
      <c r="R90" s="1106"/>
      <c r="S90" s="1106"/>
      <c r="T90" s="1106"/>
      <c r="U90" s="1106"/>
      <c r="V90" s="1106"/>
      <c r="W90" s="1106"/>
      <c r="X90" s="1106"/>
      <c r="Y90" s="1106"/>
      <c r="Z90" s="1106"/>
      <c r="AA90" s="1106"/>
      <c r="AB90" s="1106"/>
      <c r="AC90" s="1106"/>
      <c r="AD90" s="1106"/>
      <c r="AE90" s="1106"/>
      <c r="AF90" s="1106"/>
      <c r="AG90" s="1106"/>
      <c r="AH90" s="1106"/>
      <c r="AI90" s="1106"/>
      <c r="AJ90" s="1106"/>
      <c r="AK90" s="1106"/>
      <c r="AL90" s="1106"/>
      <c r="AM90" s="1106"/>
      <c r="AN90" s="1106"/>
      <c r="AO90" s="1106"/>
    </row>
    <row r="91">
      <c r="B91" s="1535" t="s">
        <v>1454</v>
      </c>
      <c r="G91" s="1106"/>
      <c r="H91" s="1106"/>
      <c r="I91" s="1106"/>
      <c r="J91" s="1106"/>
      <c r="K91" s="1106"/>
      <c r="L91" s="1106"/>
      <c r="M91" s="1106"/>
      <c r="N91" s="1106"/>
      <c r="O91" s="1106"/>
      <c r="P91" s="1106"/>
      <c r="Q91" s="1106"/>
      <c r="R91" s="1106"/>
      <c r="S91" s="1106"/>
      <c r="T91" s="1106"/>
      <c r="U91" s="1106"/>
      <c r="V91" s="1106"/>
      <c r="W91" s="1106"/>
      <c r="X91" s="1106"/>
      <c r="Y91" s="1106"/>
      <c r="Z91" s="1106"/>
      <c r="AA91" s="1106"/>
      <c r="AB91" s="1106"/>
      <c r="AC91" s="1106"/>
      <c r="AD91" s="1106"/>
      <c r="AE91" s="1106"/>
      <c r="AF91" s="1106"/>
      <c r="AG91" s="1106"/>
      <c r="AH91" s="1106"/>
      <c r="AI91" s="1106"/>
      <c r="AJ91" s="1106"/>
      <c r="AK91" s="1106"/>
      <c r="AL91" s="1106"/>
      <c r="AM91" s="1106"/>
      <c r="AN91" s="1106"/>
      <c r="AO91" s="1106"/>
    </row>
    <row r="92">
      <c r="B92" s="1535" t="s">
        <v>1455</v>
      </c>
      <c r="G92" s="1106"/>
      <c r="H92" s="1106"/>
      <c r="I92" s="1106"/>
      <c r="J92" s="1106"/>
      <c r="K92" s="1106"/>
      <c r="L92" s="1106"/>
      <c r="M92" s="1106"/>
      <c r="N92" s="1106"/>
      <c r="O92" s="1106"/>
      <c r="P92" s="1106"/>
      <c r="Q92" s="1106"/>
      <c r="R92" s="1106"/>
      <c r="S92" s="1106"/>
      <c r="T92" s="1106"/>
      <c r="U92" s="1106"/>
      <c r="V92" s="1106"/>
      <c r="W92" s="1106"/>
      <c r="X92" s="1106"/>
      <c r="Y92" s="1106"/>
      <c r="Z92" s="1106"/>
      <c r="AA92" s="1106"/>
      <c r="AB92" s="1106"/>
      <c r="AC92" s="1106"/>
      <c r="AD92" s="1106"/>
      <c r="AE92" s="1106"/>
      <c r="AF92" s="1106"/>
      <c r="AG92" s="1106"/>
      <c r="AH92" s="1106"/>
      <c r="AI92" s="1106"/>
      <c r="AJ92" s="1106"/>
      <c r="AK92" s="1106"/>
      <c r="AL92" s="1106"/>
      <c r="AM92" s="1106"/>
      <c r="AN92" s="1106"/>
      <c r="AO92" s="1106"/>
    </row>
    <row r="93">
      <c r="A93" s="1533" t="s">
        <v>1466</v>
      </c>
      <c r="B93" s="1534" t="s">
        <v>1447</v>
      </c>
      <c r="G93" s="1106"/>
      <c r="H93" s="1106"/>
      <c r="I93" s="1106"/>
      <c r="J93" s="1106"/>
      <c r="K93" s="1106"/>
      <c r="L93" s="1106"/>
      <c r="M93" s="1106"/>
      <c r="N93" s="1106"/>
      <c r="O93" s="1106"/>
      <c r="P93" s="1106"/>
      <c r="Q93" s="1106"/>
      <c r="R93" s="1106"/>
      <c r="S93" s="1106"/>
      <c r="T93" s="1106"/>
      <c r="U93" s="1106"/>
      <c r="V93" s="1106"/>
      <c r="W93" s="1106"/>
      <c r="X93" s="1106"/>
      <c r="Y93" s="1106"/>
      <c r="Z93" s="1106"/>
      <c r="AA93" s="1106"/>
      <c r="AB93" s="1106"/>
      <c r="AC93" s="1106"/>
      <c r="AD93" s="1106"/>
      <c r="AE93" s="1106"/>
      <c r="AF93" s="1106"/>
      <c r="AG93" s="1106"/>
      <c r="AH93" s="1106"/>
      <c r="AI93" s="1106"/>
      <c r="AJ93" s="1106"/>
      <c r="AK93" s="1106"/>
      <c r="AL93" s="1106"/>
      <c r="AM93" s="1106"/>
      <c r="AN93" s="1106"/>
      <c r="AO93" s="1106"/>
    </row>
    <row r="94">
      <c r="B94" s="1535" t="s">
        <v>1448</v>
      </c>
      <c r="G94" s="1106"/>
      <c r="H94" s="1106"/>
      <c r="I94" s="1106"/>
      <c r="J94" s="1106"/>
      <c r="K94" s="1106"/>
      <c r="L94" s="1106"/>
      <c r="M94" s="1106"/>
      <c r="N94" s="1106"/>
      <c r="O94" s="1106"/>
      <c r="P94" s="1106"/>
      <c r="Q94" s="1106"/>
      <c r="R94" s="1106"/>
      <c r="S94" s="1106"/>
      <c r="T94" s="1106"/>
      <c r="U94" s="1106"/>
      <c r="V94" s="1106"/>
      <c r="W94" s="1106"/>
      <c r="X94" s="1106"/>
      <c r="Y94" s="1106"/>
      <c r="Z94" s="1106"/>
      <c r="AA94" s="1106"/>
      <c r="AB94" s="1106"/>
      <c r="AC94" s="1106"/>
      <c r="AD94" s="1106"/>
      <c r="AE94" s="1106"/>
      <c r="AF94" s="1106"/>
      <c r="AG94" s="1106"/>
      <c r="AH94" s="1106"/>
      <c r="AI94" s="1106"/>
      <c r="AJ94" s="1106"/>
      <c r="AK94" s="1106"/>
      <c r="AL94" s="1106"/>
      <c r="AM94" s="1106"/>
      <c r="AN94" s="1106"/>
      <c r="AO94" s="1106"/>
    </row>
    <row r="95">
      <c r="B95" s="1535" t="s">
        <v>1449</v>
      </c>
      <c r="G95" s="1106"/>
      <c r="H95" s="1106"/>
      <c r="I95" s="1106"/>
      <c r="J95" s="1106"/>
      <c r="K95" s="1106"/>
      <c r="L95" s="1106"/>
      <c r="M95" s="1106"/>
      <c r="N95" s="1106"/>
      <c r="O95" s="1106"/>
      <c r="P95" s="1106"/>
      <c r="Q95" s="1106"/>
      <c r="R95" s="1106"/>
      <c r="S95" s="1106"/>
      <c r="T95" s="1106"/>
      <c r="U95" s="1106"/>
      <c r="V95" s="1106"/>
      <c r="W95" s="1106"/>
      <c r="X95" s="1106"/>
      <c r="Y95" s="1106"/>
      <c r="Z95" s="1106"/>
      <c r="AA95" s="1106"/>
      <c r="AB95" s="1106"/>
      <c r="AC95" s="1106"/>
      <c r="AD95" s="1106"/>
      <c r="AE95" s="1106"/>
      <c r="AF95" s="1106"/>
      <c r="AG95" s="1106"/>
      <c r="AH95" s="1106"/>
      <c r="AI95" s="1106"/>
      <c r="AJ95" s="1106"/>
      <c r="AK95" s="1106"/>
      <c r="AL95" s="1106"/>
      <c r="AM95" s="1106"/>
      <c r="AN95" s="1106"/>
      <c r="AO95" s="1106"/>
    </row>
    <row r="96">
      <c r="B96" s="1535" t="s">
        <v>1450</v>
      </c>
      <c r="G96" s="1106"/>
      <c r="H96" s="1106"/>
      <c r="I96" s="1106"/>
      <c r="J96" s="1106"/>
      <c r="K96" s="1106"/>
      <c r="L96" s="1106"/>
      <c r="M96" s="1106"/>
      <c r="N96" s="1106"/>
      <c r="O96" s="1106"/>
      <c r="P96" s="1106"/>
      <c r="Q96" s="1106"/>
      <c r="R96" s="1106"/>
      <c r="S96" s="1106"/>
      <c r="T96" s="1106"/>
      <c r="U96" s="1106"/>
      <c r="V96" s="1106"/>
      <c r="W96" s="1106"/>
      <c r="X96" s="1106"/>
      <c r="Y96" s="1106"/>
      <c r="Z96" s="1106"/>
      <c r="AA96" s="1106"/>
      <c r="AB96" s="1106"/>
      <c r="AC96" s="1106"/>
      <c r="AD96" s="1106"/>
      <c r="AE96" s="1106"/>
      <c r="AF96" s="1106"/>
      <c r="AG96" s="1106"/>
      <c r="AH96" s="1106"/>
      <c r="AI96" s="1106"/>
      <c r="AJ96" s="1106"/>
      <c r="AK96" s="1106"/>
      <c r="AL96" s="1106"/>
      <c r="AM96" s="1106"/>
      <c r="AN96" s="1106"/>
      <c r="AO96" s="1106"/>
    </row>
    <row r="97">
      <c r="B97" s="1536" t="s">
        <v>1451</v>
      </c>
      <c r="G97" s="1106"/>
      <c r="H97" s="1106"/>
      <c r="I97" s="1106"/>
      <c r="J97" s="1106"/>
      <c r="K97" s="1106"/>
      <c r="L97" s="1106"/>
      <c r="M97" s="1106"/>
      <c r="N97" s="1106"/>
      <c r="O97" s="1106"/>
      <c r="P97" s="1106"/>
      <c r="Q97" s="1106"/>
      <c r="R97" s="1106"/>
      <c r="S97" s="1106"/>
      <c r="T97" s="1106"/>
      <c r="U97" s="1106"/>
      <c r="V97" s="1106"/>
      <c r="W97" s="1106"/>
      <c r="X97" s="1106"/>
      <c r="Y97" s="1106"/>
      <c r="Z97" s="1106"/>
      <c r="AA97" s="1106"/>
      <c r="AB97" s="1106"/>
      <c r="AC97" s="1106"/>
      <c r="AD97" s="1106"/>
      <c r="AE97" s="1106"/>
      <c r="AF97" s="1106"/>
      <c r="AG97" s="1106"/>
      <c r="AH97" s="1106"/>
      <c r="AI97" s="1106"/>
      <c r="AJ97" s="1106"/>
      <c r="AK97" s="1106"/>
      <c r="AL97" s="1106"/>
      <c r="AM97" s="1106"/>
      <c r="AN97" s="1106"/>
      <c r="AO97" s="1106"/>
    </row>
    <row r="98">
      <c r="B98" s="1536" t="s">
        <v>1452</v>
      </c>
      <c r="G98" s="1106"/>
      <c r="H98" s="1106"/>
      <c r="I98" s="1106"/>
      <c r="J98" s="1106"/>
      <c r="K98" s="1106"/>
      <c r="L98" s="1106"/>
      <c r="M98" s="1106"/>
      <c r="N98" s="1106"/>
      <c r="O98" s="1106"/>
      <c r="P98" s="1106"/>
      <c r="Q98" s="1106"/>
      <c r="R98" s="1106"/>
      <c r="S98" s="1106"/>
      <c r="T98" s="1106"/>
      <c r="U98" s="1106"/>
      <c r="V98" s="1106"/>
      <c r="W98" s="1106"/>
      <c r="X98" s="1106"/>
      <c r="Y98" s="1106"/>
      <c r="Z98" s="1106"/>
      <c r="AA98" s="1106"/>
      <c r="AB98" s="1106"/>
      <c r="AC98" s="1106"/>
      <c r="AD98" s="1106"/>
      <c r="AE98" s="1106"/>
      <c r="AF98" s="1106"/>
      <c r="AG98" s="1106"/>
      <c r="AH98" s="1106"/>
      <c r="AI98" s="1106"/>
      <c r="AJ98" s="1106"/>
      <c r="AK98" s="1106"/>
      <c r="AL98" s="1106"/>
      <c r="AM98" s="1106"/>
      <c r="AN98" s="1106"/>
      <c r="AO98" s="1106"/>
    </row>
    <row r="99">
      <c r="B99" s="1535" t="s">
        <v>1453</v>
      </c>
      <c r="G99" s="1106"/>
      <c r="H99" s="1106"/>
      <c r="I99" s="1106"/>
      <c r="J99" s="1106"/>
      <c r="K99" s="1106"/>
      <c r="L99" s="1106"/>
      <c r="M99" s="1106"/>
      <c r="N99" s="1106"/>
      <c r="O99" s="1106"/>
      <c r="P99" s="1106"/>
      <c r="Q99" s="1106"/>
      <c r="R99" s="1106"/>
      <c r="S99" s="1106"/>
      <c r="T99" s="1106"/>
      <c r="U99" s="1106"/>
      <c r="V99" s="1106"/>
      <c r="W99" s="1106"/>
      <c r="X99" s="1106"/>
      <c r="Y99" s="1106"/>
      <c r="Z99" s="1106"/>
      <c r="AA99" s="1106"/>
      <c r="AB99" s="1106"/>
      <c r="AC99" s="1106"/>
      <c r="AD99" s="1106"/>
      <c r="AE99" s="1106"/>
      <c r="AF99" s="1106"/>
      <c r="AG99" s="1106"/>
      <c r="AH99" s="1106"/>
      <c r="AI99" s="1106"/>
      <c r="AJ99" s="1106"/>
      <c r="AK99" s="1106"/>
      <c r="AL99" s="1106"/>
      <c r="AM99" s="1106"/>
      <c r="AN99" s="1106"/>
      <c r="AO99" s="1106"/>
    </row>
    <row r="100">
      <c r="B100" s="1535" t="s">
        <v>1454</v>
      </c>
      <c r="G100" s="1106"/>
      <c r="H100" s="1106"/>
      <c r="I100" s="1106"/>
      <c r="J100" s="1106"/>
      <c r="K100" s="1106"/>
      <c r="L100" s="1106"/>
      <c r="M100" s="1106"/>
      <c r="N100" s="1106"/>
      <c r="O100" s="1106"/>
      <c r="P100" s="1106"/>
      <c r="Q100" s="1106"/>
      <c r="R100" s="1106"/>
      <c r="S100" s="1106"/>
      <c r="T100" s="1106"/>
      <c r="U100" s="1106"/>
      <c r="V100" s="1106"/>
      <c r="W100" s="1106"/>
      <c r="X100" s="1106"/>
      <c r="Y100" s="1106"/>
      <c r="Z100" s="1106"/>
      <c r="AA100" s="1106"/>
      <c r="AB100" s="1106"/>
      <c r="AC100" s="1106"/>
      <c r="AD100" s="1106"/>
      <c r="AE100" s="1106"/>
      <c r="AF100" s="1106"/>
      <c r="AG100" s="1106"/>
      <c r="AH100" s="1106"/>
      <c r="AI100" s="1106"/>
      <c r="AJ100" s="1106"/>
      <c r="AK100" s="1106"/>
      <c r="AL100" s="1106"/>
      <c r="AM100" s="1106"/>
      <c r="AN100" s="1106"/>
      <c r="AO100" s="1106"/>
    </row>
    <row r="101">
      <c r="B101" s="1535" t="s">
        <v>1455</v>
      </c>
      <c r="G101" s="1106"/>
      <c r="H101" s="1106"/>
      <c r="I101" s="1106"/>
      <c r="J101" s="1106"/>
      <c r="K101" s="1106"/>
      <c r="L101" s="1106"/>
      <c r="M101" s="1106"/>
      <c r="N101" s="1106"/>
      <c r="O101" s="1106"/>
      <c r="P101" s="1106"/>
      <c r="Q101" s="1106"/>
      <c r="R101" s="1106"/>
      <c r="S101" s="1106"/>
      <c r="T101" s="1106"/>
      <c r="U101" s="1106"/>
      <c r="V101" s="1106"/>
      <c r="W101" s="1106"/>
      <c r="X101" s="1106"/>
      <c r="Y101" s="1106"/>
      <c r="Z101" s="1106"/>
      <c r="AA101" s="1106"/>
      <c r="AB101" s="1106"/>
      <c r="AC101" s="1106"/>
      <c r="AD101" s="1106"/>
      <c r="AE101" s="1106"/>
      <c r="AF101" s="1106"/>
      <c r="AG101" s="1106"/>
      <c r="AH101" s="1106"/>
      <c r="AI101" s="1106"/>
      <c r="AJ101" s="1106"/>
      <c r="AK101" s="1106"/>
      <c r="AL101" s="1106"/>
      <c r="AM101" s="1106"/>
      <c r="AN101" s="1106"/>
      <c r="AO101" s="1106"/>
    </row>
    <row r="102">
      <c r="A102" s="1533" t="s">
        <v>1467</v>
      </c>
      <c r="B102" s="1534" t="s">
        <v>1447</v>
      </c>
      <c r="G102" s="1106"/>
      <c r="H102" s="1106"/>
      <c r="I102" s="1106"/>
      <c r="J102" s="1106"/>
      <c r="K102" s="1106"/>
      <c r="L102" s="1106"/>
      <c r="M102" s="1106"/>
      <c r="N102" s="1106"/>
      <c r="O102" s="1106"/>
      <c r="P102" s="1106"/>
      <c r="Q102" s="1106"/>
      <c r="R102" s="1106"/>
      <c r="S102" s="1106"/>
      <c r="T102" s="1106"/>
      <c r="U102" s="1106"/>
      <c r="V102" s="1106"/>
      <c r="W102" s="1106"/>
      <c r="X102" s="1106"/>
      <c r="Y102" s="1106"/>
      <c r="Z102" s="1106"/>
      <c r="AA102" s="1106"/>
      <c r="AB102" s="1106"/>
      <c r="AC102" s="1106"/>
      <c r="AD102" s="1106"/>
      <c r="AE102" s="1106"/>
      <c r="AF102" s="1106"/>
      <c r="AG102" s="1106"/>
      <c r="AH102" s="1106"/>
      <c r="AI102" s="1106"/>
      <c r="AJ102" s="1106"/>
      <c r="AK102" s="1106"/>
      <c r="AL102" s="1106"/>
      <c r="AM102" s="1106"/>
      <c r="AN102" s="1106"/>
      <c r="AO102" s="1106"/>
    </row>
    <row r="103">
      <c r="B103" s="1535" t="s">
        <v>1448</v>
      </c>
      <c r="G103" s="1106"/>
      <c r="H103" s="1106"/>
      <c r="I103" s="1106"/>
      <c r="J103" s="1106"/>
      <c r="K103" s="1106"/>
      <c r="L103" s="1106"/>
      <c r="M103" s="1106"/>
      <c r="N103" s="1106"/>
      <c r="O103" s="1106"/>
      <c r="P103" s="1106"/>
      <c r="Q103" s="1106"/>
      <c r="R103" s="1106"/>
      <c r="S103" s="1106"/>
      <c r="T103" s="1106"/>
      <c r="U103" s="1106"/>
      <c r="V103" s="1106"/>
      <c r="W103" s="1106"/>
      <c r="X103" s="1106"/>
      <c r="Y103" s="1106"/>
      <c r="Z103" s="1106"/>
      <c r="AA103" s="1106"/>
      <c r="AB103" s="1106"/>
      <c r="AC103" s="1106"/>
      <c r="AD103" s="1106"/>
      <c r="AE103" s="1106"/>
      <c r="AF103" s="1106"/>
      <c r="AG103" s="1106"/>
      <c r="AH103" s="1106"/>
      <c r="AI103" s="1106"/>
      <c r="AJ103" s="1106"/>
      <c r="AK103" s="1106"/>
      <c r="AL103" s="1106"/>
      <c r="AM103" s="1106"/>
      <c r="AN103" s="1106"/>
      <c r="AO103" s="1106"/>
    </row>
    <row r="104">
      <c r="B104" s="1535" t="s">
        <v>1449</v>
      </c>
      <c r="G104" s="1106"/>
      <c r="H104" s="1106"/>
      <c r="I104" s="1106"/>
      <c r="J104" s="1106"/>
      <c r="K104" s="1106"/>
      <c r="L104" s="1106"/>
      <c r="M104" s="1106"/>
      <c r="N104" s="1106"/>
      <c r="O104" s="1106"/>
      <c r="P104" s="1106"/>
      <c r="Q104" s="1106"/>
      <c r="R104" s="1106"/>
      <c r="S104" s="1106"/>
      <c r="T104" s="1106"/>
      <c r="U104" s="1106"/>
      <c r="V104" s="1106"/>
      <c r="W104" s="1106"/>
      <c r="X104" s="1106"/>
      <c r="Y104" s="1106"/>
      <c r="Z104" s="1106"/>
      <c r="AA104" s="1106"/>
      <c r="AB104" s="1106"/>
      <c r="AC104" s="1106"/>
      <c r="AD104" s="1106"/>
      <c r="AE104" s="1106"/>
      <c r="AF104" s="1106"/>
      <c r="AG104" s="1106"/>
      <c r="AH104" s="1106"/>
      <c r="AI104" s="1106"/>
      <c r="AJ104" s="1106"/>
      <c r="AK104" s="1106"/>
      <c r="AL104" s="1106"/>
      <c r="AM104" s="1106"/>
      <c r="AN104" s="1106"/>
      <c r="AO104" s="1106"/>
    </row>
    <row r="105">
      <c r="B105" s="1535" t="s">
        <v>1450</v>
      </c>
      <c r="G105" s="1106"/>
      <c r="H105" s="1106"/>
      <c r="I105" s="1106"/>
      <c r="J105" s="1106"/>
      <c r="K105" s="1106"/>
      <c r="L105" s="1106"/>
      <c r="M105" s="1106"/>
      <c r="N105" s="1106"/>
      <c r="O105" s="1106"/>
      <c r="P105" s="1106"/>
      <c r="Q105" s="1106"/>
      <c r="R105" s="1106"/>
      <c r="S105" s="1106"/>
      <c r="T105" s="1106"/>
      <c r="U105" s="1106"/>
      <c r="V105" s="1106"/>
      <c r="W105" s="1106"/>
      <c r="X105" s="1106"/>
      <c r="Y105" s="1106"/>
      <c r="Z105" s="1106"/>
      <c r="AA105" s="1106"/>
      <c r="AB105" s="1106"/>
      <c r="AC105" s="1106"/>
      <c r="AD105" s="1106"/>
      <c r="AE105" s="1106"/>
      <c r="AF105" s="1106"/>
      <c r="AG105" s="1106"/>
      <c r="AH105" s="1106"/>
      <c r="AI105" s="1106"/>
      <c r="AJ105" s="1106"/>
      <c r="AK105" s="1106"/>
      <c r="AL105" s="1106"/>
      <c r="AM105" s="1106"/>
      <c r="AN105" s="1106"/>
      <c r="AO105" s="1106"/>
    </row>
    <row r="106">
      <c r="B106" s="1536" t="s">
        <v>1451</v>
      </c>
      <c r="G106" s="1106"/>
      <c r="H106" s="1106"/>
      <c r="I106" s="1106"/>
      <c r="J106" s="1106"/>
      <c r="K106" s="1106"/>
      <c r="L106" s="1106"/>
      <c r="M106" s="1106"/>
      <c r="N106" s="1106"/>
      <c r="O106" s="1106"/>
      <c r="P106" s="1106"/>
      <c r="Q106" s="1106"/>
      <c r="R106" s="1106"/>
      <c r="S106" s="1106"/>
      <c r="T106" s="1106"/>
      <c r="U106" s="1106"/>
      <c r="V106" s="1106"/>
      <c r="W106" s="1106"/>
      <c r="X106" s="1106"/>
      <c r="Y106" s="1106"/>
      <c r="Z106" s="1106"/>
      <c r="AA106" s="1106"/>
      <c r="AB106" s="1106"/>
      <c r="AC106" s="1106"/>
      <c r="AD106" s="1106"/>
      <c r="AE106" s="1106"/>
      <c r="AF106" s="1106"/>
      <c r="AG106" s="1106"/>
      <c r="AH106" s="1106"/>
      <c r="AI106" s="1106"/>
      <c r="AJ106" s="1106"/>
      <c r="AK106" s="1106"/>
      <c r="AL106" s="1106"/>
      <c r="AM106" s="1106"/>
      <c r="AN106" s="1106"/>
      <c r="AO106" s="1106"/>
    </row>
    <row r="107">
      <c r="B107" s="1536" t="s">
        <v>1452</v>
      </c>
      <c r="G107" s="1106"/>
      <c r="H107" s="1106"/>
      <c r="I107" s="1106"/>
      <c r="J107" s="1106"/>
      <c r="K107" s="1106"/>
      <c r="L107" s="1106"/>
      <c r="M107" s="1106"/>
      <c r="N107" s="1106"/>
      <c r="O107" s="1106"/>
      <c r="P107" s="1106"/>
      <c r="Q107" s="1106"/>
      <c r="R107" s="1106"/>
      <c r="S107" s="1106"/>
      <c r="T107" s="1106"/>
      <c r="U107" s="1106"/>
      <c r="V107" s="1106"/>
      <c r="W107" s="1106"/>
      <c r="X107" s="1106"/>
      <c r="Y107" s="1106"/>
      <c r="Z107" s="1106"/>
      <c r="AA107" s="1106"/>
      <c r="AB107" s="1106"/>
      <c r="AC107" s="1106"/>
      <c r="AD107" s="1106"/>
      <c r="AE107" s="1106"/>
      <c r="AF107" s="1106"/>
      <c r="AG107" s="1106"/>
      <c r="AH107" s="1106"/>
      <c r="AI107" s="1106"/>
      <c r="AJ107" s="1106"/>
      <c r="AK107" s="1106"/>
      <c r="AL107" s="1106"/>
      <c r="AM107" s="1106"/>
      <c r="AN107" s="1106"/>
      <c r="AO107" s="1106"/>
    </row>
    <row r="108">
      <c r="B108" s="1535" t="s">
        <v>1453</v>
      </c>
      <c r="G108" s="1106"/>
      <c r="H108" s="1106"/>
      <c r="I108" s="1106"/>
      <c r="J108" s="1106"/>
      <c r="K108" s="1106"/>
      <c r="L108" s="1106"/>
      <c r="M108" s="1106"/>
      <c r="N108" s="1106"/>
      <c r="O108" s="1106"/>
      <c r="P108" s="1106"/>
      <c r="Q108" s="1106"/>
      <c r="R108" s="1106"/>
      <c r="S108" s="1106"/>
      <c r="T108" s="1106"/>
      <c r="U108" s="1106"/>
      <c r="V108" s="1106"/>
      <c r="W108" s="1106"/>
      <c r="X108" s="1106"/>
      <c r="Y108" s="1106"/>
      <c r="Z108" s="1106"/>
      <c r="AA108" s="1106"/>
      <c r="AB108" s="1106"/>
      <c r="AC108" s="1106"/>
      <c r="AD108" s="1106"/>
      <c r="AE108" s="1106"/>
      <c r="AF108" s="1106"/>
      <c r="AG108" s="1106"/>
      <c r="AH108" s="1106"/>
      <c r="AI108" s="1106"/>
      <c r="AJ108" s="1106"/>
      <c r="AK108" s="1106"/>
      <c r="AL108" s="1106"/>
      <c r="AM108" s="1106"/>
      <c r="AN108" s="1106"/>
      <c r="AO108" s="1106"/>
    </row>
    <row r="109">
      <c r="B109" s="1535" t="s">
        <v>1454</v>
      </c>
      <c r="G109" s="1106"/>
      <c r="H109" s="1106"/>
      <c r="I109" s="1106"/>
      <c r="J109" s="1106"/>
      <c r="K109" s="1106"/>
      <c r="L109" s="1106"/>
      <c r="M109" s="1106"/>
      <c r="N109" s="1106"/>
      <c r="O109" s="1106"/>
      <c r="P109" s="1106"/>
      <c r="Q109" s="1106"/>
      <c r="R109" s="1106"/>
      <c r="S109" s="1106"/>
      <c r="T109" s="1106"/>
      <c r="U109" s="1106"/>
      <c r="V109" s="1106"/>
      <c r="W109" s="1106"/>
      <c r="X109" s="1106"/>
      <c r="Y109" s="1106"/>
      <c r="Z109" s="1106"/>
      <c r="AA109" s="1106"/>
      <c r="AB109" s="1106"/>
      <c r="AC109" s="1106"/>
      <c r="AD109" s="1106"/>
      <c r="AE109" s="1106"/>
      <c r="AF109" s="1106"/>
      <c r="AG109" s="1106"/>
      <c r="AH109" s="1106"/>
      <c r="AI109" s="1106"/>
      <c r="AJ109" s="1106"/>
      <c r="AK109" s="1106"/>
      <c r="AL109" s="1106"/>
      <c r="AM109" s="1106"/>
      <c r="AN109" s="1106"/>
      <c r="AO109" s="1106"/>
    </row>
    <row r="110">
      <c r="B110" s="1535" t="s">
        <v>1455</v>
      </c>
      <c r="G110" s="1106"/>
      <c r="H110" s="1106"/>
      <c r="I110" s="1106"/>
      <c r="J110" s="1106"/>
      <c r="K110" s="1106"/>
      <c r="L110" s="1106"/>
      <c r="M110" s="1106"/>
      <c r="N110" s="1106"/>
      <c r="O110" s="1106"/>
      <c r="P110" s="1106"/>
      <c r="Q110" s="1106"/>
      <c r="R110" s="1106"/>
      <c r="S110" s="1106"/>
      <c r="T110" s="1106"/>
      <c r="U110" s="1106"/>
      <c r="V110" s="1106"/>
      <c r="W110" s="1106"/>
      <c r="X110" s="1106"/>
      <c r="Y110" s="1106"/>
      <c r="Z110" s="1106"/>
      <c r="AA110" s="1106"/>
      <c r="AB110" s="1106"/>
      <c r="AC110" s="1106"/>
      <c r="AD110" s="1106"/>
      <c r="AE110" s="1106"/>
      <c r="AF110" s="1106"/>
      <c r="AG110" s="1106"/>
      <c r="AH110" s="1106"/>
      <c r="AI110" s="1106"/>
      <c r="AJ110" s="1106"/>
      <c r="AK110" s="1106"/>
      <c r="AL110" s="1106"/>
      <c r="AM110" s="1106"/>
      <c r="AN110" s="1106"/>
      <c r="AO110" s="1106"/>
    </row>
    <row r="111">
      <c r="A111" s="1533" t="s">
        <v>1468</v>
      </c>
      <c r="B111" s="1534" t="s">
        <v>1447</v>
      </c>
      <c r="G111" s="1106"/>
      <c r="H111" s="1106"/>
      <c r="I111" s="1106"/>
      <c r="J111" s="1106"/>
      <c r="K111" s="1106"/>
      <c r="L111" s="1106"/>
      <c r="M111" s="1106"/>
      <c r="N111" s="1106"/>
      <c r="O111" s="1106"/>
      <c r="P111" s="1106"/>
      <c r="Q111" s="1106"/>
      <c r="R111" s="1106"/>
      <c r="S111" s="1106"/>
      <c r="T111" s="1106"/>
      <c r="U111" s="1106"/>
      <c r="V111" s="1106"/>
      <c r="W111" s="1106"/>
      <c r="X111" s="1106"/>
      <c r="Y111" s="1106"/>
      <c r="Z111" s="1106"/>
      <c r="AA111" s="1106"/>
      <c r="AB111" s="1106"/>
      <c r="AC111" s="1106"/>
      <c r="AD111" s="1106"/>
      <c r="AE111" s="1106"/>
      <c r="AF111" s="1106"/>
      <c r="AG111" s="1106"/>
      <c r="AH111" s="1106"/>
      <c r="AI111" s="1106"/>
      <c r="AJ111" s="1106"/>
      <c r="AK111" s="1106"/>
      <c r="AL111" s="1106"/>
      <c r="AM111" s="1106"/>
      <c r="AN111" s="1106"/>
      <c r="AO111" s="1106"/>
    </row>
    <row r="112">
      <c r="B112" s="1535" t="s">
        <v>1448</v>
      </c>
      <c r="G112" s="1106"/>
      <c r="H112" s="1106"/>
      <c r="I112" s="1106"/>
      <c r="J112" s="1106"/>
      <c r="K112" s="1106"/>
      <c r="L112" s="1106"/>
      <c r="M112" s="1106"/>
      <c r="N112" s="1106"/>
      <c r="O112" s="1106"/>
      <c r="P112" s="1106"/>
      <c r="Q112" s="1106"/>
      <c r="R112" s="1106"/>
      <c r="S112" s="1106"/>
      <c r="T112" s="1106"/>
      <c r="U112" s="1106"/>
      <c r="V112" s="1106"/>
      <c r="W112" s="1106"/>
      <c r="X112" s="1106"/>
      <c r="Y112" s="1106"/>
      <c r="Z112" s="1106"/>
      <c r="AA112" s="1106"/>
      <c r="AB112" s="1106"/>
      <c r="AC112" s="1106"/>
      <c r="AD112" s="1106"/>
      <c r="AE112" s="1106"/>
      <c r="AF112" s="1106"/>
      <c r="AG112" s="1106"/>
      <c r="AH112" s="1106"/>
      <c r="AI112" s="1106"/>
      <c r="AJ112" s="1106"/>
      <c r="AK112" s="1106"/>
      <c r="AL112" s="1106"/>
      <c r="AM112" s="1106"/>
      <c r="AN112" s="1106"/>
      <c r="AO112" s="1106"/>
    </row>
    <row r="113">
      <c r="B113" s="1535" t="s">
        <v>1449</v>
      </c>
      <c r="G113" s="1106"/>
      <c r="H113" s="1106"/>
      <c r="I113" s="1106"/>
      <c r="J113" s="1106"/>
      <c r="K113" s="1106"/>
      <c r="L113" s="1106"/>
      <c r="M113" s="1106"/>
      <c r="N113" s="1106"/>
      <c r="O113" s="1106"/>
      <c r="P113" s="1106"/>
      <c r="Q113" s="1106"/>
      <c r="R113" s="1106"/>
      <c r="S113" s="1106"/>
      <c r="T113" s="1106"/>
      <c r="U113" s="1106"/>
      <c r="V113" s="1106"/>
      <c r="W113" s="1106"/>
      <c r="X113" s="1106"/>
      <c r="Y113" s="1106"/>
      <c r="Z113" s="1106"/>
      <c r="AA113" s="1106"/>
      <c r="AB113" s="1106"/>
      <c r="AC113" s="1106"/>
      <c r="AD113" s="1106"/>
      <c r="AE113" s="1106"/>
      <c r="AF113" s="1106"/>
      <c r="AG113" s="1106"/>
      <c r="AH113" s="1106"/>
      <c r="AI113" s="1106"/>
      <c r="AJ113" s="1106"/>
      <c r="AK113" s="1106"/>
      <c r="AL113" s="1106"/>
      <c r="AM113" s="1106"/>
      <c r="AN113" s="1106"/>
      <c r="AO113" s="1106"/>
    </row>
    <row r="114">
      <c r="B114" s="1535" t="s">
        <v>1450</v>
      </c>
      <c r="G114" s="1106"/>
      <c r="H114" s="1106"/>
      <c r="I114" s="1106"/>
      <c r="J114" s="1106"/>
      <c r="K114" s="1106"/>
      <c r="L114" s="1106"/>
      <c r="M114" s="1106"/>
      <c r="N114" s="1106"/>
      <c r="O114" s="1106"/>
      <c r="P114" s="1106"/>
      <c r="Q114" s="1106"/>
      <c r="R114" s="1106"/>
      <c r="S114" s="1106"/>
      <c r="T114" s="1106"/>
      <c r="U114" s="1106"/>
      <c r="V114" s="1106"/>
      <c r="W114" s="1106"/>
      <c r="X114" s="1106"/>
      <c r="Y114" s="1106"/>
      <c r="Z114" s="1106"/>
      <c r="AA114" s="1106"/>
      <c r="AB114" s="1106"/>
      <c r="AC114" s="1106"/>
      <c r="AD114" s="1106"/>
      <c r="AE114" s="1106"/>
      <c r="AF114" s="1106"/>
      <c r="AG114" s="1106"/>
      <c r="AH114" s="1106"/>
      <c r="AI114" s="1106"/>
      <c r="AJ114" s="1106"/>
      <c r="AK114" s="1106"/>
      <c r="AL114" s="1106"/>
      <c r="AM114" s="1106"/>
      <c r="AN114" s="1106"/>
      <c r="AO114" s="1106"/>
    </row>
    <row r="115">
      <c r="B115" s="1536" t="s">
        <v>1451</v>
      </c>
      <c r="G115" s="1106"/>
      <c r="H115" s="1106"/>
      <c r="I115" s="1106"/>
      <c r="J115" s="1106"/>
      <c r="K115" s="1106"/>
      <c r="L115" s="1106"/>
      <c r="M115" s="1106"/>
      <c r="N115" s="1106"/>
      <c r="O115" s="1106"/>
      <c r="P115" s="1106"/>
      <c r="Q115" s="1106"/>
      <c r="R115" s="1106"/>
      <c r="S115" s="1106"/>
      <c r="T115" s="1106"/>
      <c r="U115" s="1106"/>
      <c r="V115" s="1106"/>
      <c r="W115" s="1106"/>
      <c r="X115" s="1106"/>
      <c r="Y115" s="1106"/>
      <c r="Z115" s="1106"/>
      <c r="AA115" s="1106"/>
      <c r="AB115" s="1106"/>
      <c r="AC115" s="1106"/>
      <c r="AD115" s="1106"/>
      <c r="AE115" s="1106"/>
      <c r="AF115" s="1106"/>
      <c r="AG115" s="1106"/>
      <c r="AH115" s="1106"/>
      <c r="AI115" s="1106"/>
      <c r="AJ115" s="1106"/>
      <c r="AK115" s="1106"/>
      <c r="AL115" s="1106"/>
      <c r="AM115" s="1106"/>
      <c r="AN115" s="1106"/>
      <c r="AO115" s="1106"/>
    </row>
    <row r="116">
      <c r="B116" s="1536" t="s">
        <v>1452</v>
      </c>
      <c r="G116" s="1106"/>
      <c r="H116" s="1106"/>
      <c r="I116" s="1106"/>
      <c r="J116" s="1106"/>
      <c r="K116" s="1106"/>
      <c r="L116" s="1106"/>
      <c r="M116" s="1106"/>
      <c r="N116" s="1106"/>
      <c r="O116" s="1106"/>
      <c r="P116" s="1106"/>
      <c r="Q116" s="1106"/>
      <c r="R116" s="1106"/>
      <c r="S116" s="1106"/>
      <c r="T116" s="1106"/>
      <c r="U116" s="1106"/>
      <c r="V116" s="1106"/>
      <c r="W116" s="1106"/>
      <c r="X116" s="1106"/>
      <c r="Y116" s="1106"/>
      <c r="Z116" s="1106"/>
      <c r="AA116" s="1106"/>
      <c r="AB116" s="1106"/>
      <c r="AC116" s="1106"/>
      <c r="AD116" s="1106"/>
      <c r="AE116" s="1106"/>
      <c r="AF116" s="1106"/>
      <c r="AG116" s="1106"/>
      <c r="AH116" s="1106"/>
      <c r="AI116" s="1106"/>
      <c r="AJ116" s="1106"/>
      <c r="AK116" s="1106"/>
      <c r="AL116" s="1106"/>
      <c r="AM116" s="1106"/>
      <c r="AN116" s="1106"/>
      <c r="AO116" s="1106"/>
    </row>
    <row r="117">
      <c r="B117" s="1535" t="s">
        <v>1453</v>
      </c>
      <c r="G117" s="1106"/>
      <c r="H117" s="1106"/>
      <c r="I117" s="1106"/>
      <c r="J117" s="1106"/>
      <c r="K117" s="1106"/>
      <c r="L117" s="1106"/>
      <c r="M117" s="1106"/>
      <c r="N117" s="1106"/>
      <c r="O117" s="1106"/>
      <c r="P117" s="1106"/>
      <c r="Q117" s="1106"/>
      <c r="R117" s="1106"/>
      <c r="S117" s="1106"/>
      <c r="T117" s="1106"/>
      <c r="U117" s="1106"/>
      <c r="V117" s="1106"/>
      <c r="W117" s="1106"/>
      <c r="X117" s="1106"/>
      <c r="Y117" s="1106"/>
      <c r="Z117" s="1106"/>
      <c r="AA117" s="1106"/>
      <c r="AB117" s="1106"/>
      <c r="AC117" s="1106"/>
      <c r="AD117" s="1106"/>
      <c r="AE117" s="1106"/>
      <c r="AF117" s="1106"/>
      <c r="AG117" s="1106"/>
      <c r="AH117" s="1106"/>
      <c r="AI117" s="1106"/>
      <c r="AJ117" s="1106"/>
      <c r="AK117" s="1106"/>
      <c r="AL117" s="1106"/>
      <c r="AM117" s="1106"/>
      <c r="AN117" s="1106"/>
      <c r="AO117" s="1106"/>
    </row>
    <row r="118">
      <c r="B118" s="1535" t="s">
        <v>1454</v>
      </c>
      <c r="G118" s="1106"/>
      <c r="H118" s="1106"/>
      <c r="I118" s="1106"/>
      <c r="J118" s="1106"/>
      <c r="K118" s="1106"/>
      <c r="L118" s="1106"/>
      <c r="M118" s="1106"/>
      <c r="N118" s="1106"/>
      <c r="O118" s="1106"/>
      <c r="P118" s="1106"/>
      <c r="Q118" s="1106"/>
      <c r="R118" s="1106"/>
      <c r="S118" s="1106"/>
      <c r="T118" s="1106"/>
      <c r="U118" s="1106"/>
      <c r="V118" s="1106"/>
      <c r="W118" s="1106"/>
      <c r="X118" s="1106"/>
      <c r="Y118" s="1106"/>
      <c r="Z118" s="1106"/>
      <c r="AA118" s="1106"/>
      <c r="AB118" s="1106"/>
      <c r="AC118" s="1106"/>
      <c r="AD118" s="1106"/>
      <c r="AE118" s="1106"/>
      <c r="AF118" s="1106"/>
      <c r="AG118" s="1106"/>
      <c r="AH118" s="1106"/>
      <c r="AI118" s="1106"/>
      <c r="AJ118" s="1106"/>
      <c r="AK118" s="1106"/>
      <c r="AL118" s="1106"/>
      <c r="AM118" s="1106"/>
      <c r="AN118" s="1106"/>
      <c r="AO118" s="1106"/>
    </row>
    <row r="119">
      <c r="B119" s="1535" t="s">
        <v>1455</v>
      </c>
      <c r="G119" s="1106"/>
      <c r="H119" s="1106"/>
      <c r="I119" s="1106"/>
      <c r="J119" s="1106"/>
      <c r="K119" s="1106"/>
      <c r="L119" s="1106"/>
      <c r="M119" s="1106"/>
      <c r="N119" s="1106"/>
      <c r="O119" s="1106"/>
      <c r="P119" s="1106"/>
      <c r="Q119" s="1106"/>
      <c r="R119" s="1106"/>
      <c r="S119" s="1106"/>
      <c r="T119" s="1106"/>
      <c r="U119" s="1106"/>
      <c r="V119" s="1106"/>
      <c r="W119" s="1106"/>
      <c r="X119" s="1106"/>
      <c r="Y119" s="1106"/>
      <c r="Z119" s="1106"/>
      <c r="AA119" s="1106"/>
      <c r="AB119" s="1106"/>
      <c r="AC119" s="1106"/>
      <c r="AD119" s="1106"/>
      <c r="AE119" s="1106"/>
      <c r="AF119" s="1106"/>
      <c r="AG119" s="1106"/>
      <c r="AH119" s="1106"/>
      <c r="AI119" s="1106"/>
      <c r="AJ119" s="1106"/>
      <c r="AK119" s="1106"/>
      <c r="AL119" s="1106"/>
      <c r="AM119" s="1106"/>
      <c r="AN119" s="1106"/>
      <c r="AO119" s="1106"/>
    </row>
    <row r="120">
      <c r="A120" s="1533" t="s">
        <v>1469</v>
      </c>
      <c r="B120" s="1534" t="s">
        <v>1447</v>
      </c>
      <c r="G120" s="1106"/>
      <c r="H120" s="1106"/>
      <c r="I120" s="1106"/>
      <c r="J120" s="1106"/>
      <c r="K120" s="1106"/>
      <c r="L120" s="1106"/>
      <c r="M120" s="1106"/>
      <c r="N120" s="1106"/>
      <c r="O120" s="1106"/>
      <c r="P120" s="1106"/>
      <c r="Q120" s="1106"/>
      <c r="R120" s="1106"/>
      <c r="S120" s="1106"/>
      <c r="T120" s="1106"/>
      <c r="U120" s="1106"/>
      <c r="V120" s="1106"/>
      <c r="W120" s="1106"/>
      <c r="X120" s="1106"/>
      <c r="Y120" s="1106"/>
      <c r="Z120" s="1106"/>
      <c r="AA120" s="1106"/>
      <c r="AB120" s="1106"/>
      <c r="AC120" s="1106"/>
      <c r="AD120" s="1106"/>
      <c r="AE120" s="1106"/>
      <c r="AF120" s="1106"/>
      <c r="AG120" s="1106"/>
      <c r="AH120" s="1106"/>
      <c r="AI120" s="1106"/>
      <c r="AJ120" s="1106"/>
      <c r="AK120" s="1106"/>
      <c r="AL120" s="1106"/>
      <c r="AM120" s="1106"/>
      <c r="AN120" s="1106"/>
      <c r="AO120" s="1106"/>
    </row>
    <row r="121">
      <c r="B121" s="1535" t="s">
        <v>1448</v>
      </c>
      <c r="G121" s="1106"/>
      <c r="H121" s="1106"/>
      <c r="I121" s="1106"/>
      <c r="J121" s="1106"/>
      <c r="K121" s="1106"/>
      <c r="L121" s="1106"/>
      <c r="M121" s="1106"/>
      <c r="N121" s="1106"/>
      <c r="O121" s="1106"/>
      <c r="P121" s="1106"/>
      <c r="Q121" s="1106"/>
      <c r="R121" s="1106"/>
      <c r="S121" s="1106"/>
      <c r="T121" s="1106"/>
      <c r="U121" s="1106"/>
      <c r="V121" s="1106"/>
      <c r="W121" s="1106"/>
      <c r="X121" s="1106"/>
      <c r="Y121" s="1106"/>
      <c r="Z121" s="1106"/>
      <c r="AA121" s="1106"/>
      <c r="AB121" s="1106"/>
      <c r="AC121" s="1106"/>
      <c r="AD121" s="1106"/>
      <c r="AE121" s="1106"/>
      <c r="AF121" s="1106"/>
      <c r="AG121" s="1106"/>
      <c r="AH121" s="1106"/>
      <c r="AI121" s="1106"/>
      <c r="AJ121" s="1106"/>
      <c r="AK121" s="1106"/>
      <c r="AL121" s="1106"/>
      <c r="AM121" s="1106"/>
      <c r="AN121" s="1106"/>
      <c r="AO121" s="1106"/>
    </row>
    <row r="122">
      <c r="B122" s="1535" t="s">
        <v>1449</v>
      </c>
      <c r="G122" s="1106"/>
      <c r="H122" s="1106"/>
      <c r="I122" s="1106"/>
      <c r="J122" s="1106"/>
      <c r="K122" s="1106"/>
      <c r="L122" s="1106"/>
      <c r="M122" s="1106"/>
      <c r="N122" s="1106"/>
      <c r="O122" s="1106"/>
      <c r="P122" s="1106"/>
      <c r="Q122" s="1106"/>
      <c r="R122" s="1106"/>
      <c r="S122" s="1106"/>
      <c r="T122" s="1106"/>
      <c r="U122" s="1106"/>
      <c r="V122" s="1106"/>
      <c r="W122" s="1106"/>
      <c r="X122" s="1106"/>
      <c r="Y122" s="1106"/>
      <c r="Z122" s="1106"/>
      <c r="AA122" s="1106"/>
      <c r="AB122" s="1106"/>
      <c r="AC122" s="1106"/>
      <c r="AD122" s="1106"/>
      <c r="AE122" s="1106"/>
      <c r="AF122" s="1106"/>
      <c r="AG122" s="1106"/>
      <c r="AH122" s="1106"/>
      <c r="AI122" s="1106"/>
      <c r="AJ122" s="1106"/>
      <c r="AK122" s="1106"/>
      <c r="AL122" s="1106"/>
      <c r="AM122" s="1106"/>
      <c r="AN122" s="1106"/>
      <c r="AO122" s="1106"/>
    </row>
    <row r="123">
      <c r="B123" s="1535" t="s">
        <v>1450</v>
      </c>
      <c r="G123" s="1106"/>
      <c r="H123" s="1106"/>
      <c r="I123" s="1106"/>
      <c r="J123" s="1106"/>
      <c r="K123" s="1106"/>
      <c r="L123" s="1106"/>
      <c r="M123" s="1106"/>
      <c r="N123" s="1106"/>
      <c r="O123" s="1106"/>
      <c r="P123" s="1106"/>
      <c r="Q123" s="1106"/>
      <c r="R123" s="1106"/>
      <c r="S123" s="1106"/>
      <c r="T123" s="1106"/>
      <c r="U123" s="1106"/>
      <c r="V123" s="1106"/>
      <c r="W123" s="1106"/>
      <c r="X123" s="1106"/>
      <c r="Y123" s="1106"/>
      <c r="Z123" s="1106"/>
      <c r="AA123" s="1106"/>
      <c r="AB123" s="1106"/>
      <c r="AC123" s="1106"/>
      <c r="AD123" s="1106"/>
      <c r="AE123" s="1106"/>
      <c r="AF123" s="1106"/>
      <c r="AG123" s="1106"/>
      <c r="AH123" s="1106"/>
      <c r="AI123" s="1106"/>
      <c r="AJ123" s="1106"/>
      <c r="AK123" s="1106"/>
      <c r="AL123" s="1106"/>
      <c r="AM123" s="1106"/>
      <c r="AN123" s="1106"/>
      <c r="AO123" s="1106"/>
    </row>
    <row r="124">
      <c r="B124" s="1536" t="s">
        <v>1451</v>
      </c>
      <c r="G124" s="1106"/>
      <c r="H124" s="1106"/>
      <c r="I124" s="1106"/>
      <c r="J124" s="1106"/>
      <c r="K124" s="1106"/>
      <c r="L124" s="1106"/>
      <c r="M124" s="1106"/>
      <c r="N124" s="1106"/>
      <c r="O124" s="1106"/>
      <c r="P124" s="1106"/>
      <c r="Q124" s="1106"/>
      <c r="R124" s="1106"/>
      <c r="S124" s="1106"/>
      <c r="T124" s="1106"/>
      <c r="U124" s="1106"/>
      <c r="V124" s="1106"/>
      <c r="W124" s="1106"/>
      <c r="X124" s="1106"/>
      <c r="Y124" s="1106"/>
      <c r="Z124" s="1106"/>
      <c r="AA124" s="1106"/>
      <c r="AB124" s="1106"/>
      <c r="AC124" s="1106"/>
      <c r="AD124" s="1106"/>
      <c r="AE124" s="1106"/>
      <c r="AF124" s="1106"/>
      <c r="AG124" s="1106"/>
      <c r="AH124" s="1106"/>
      <c r="AI124" s="1106"/>
      <c r="AJ124" s="1106"/>
      <c r="AK124" s="1106"/>
      <c r="AL124" s="1106"/>
      <c r="AM124" s="1106"/>
      <c r="AN124" s="1106"/>
      <c r="AO124" s="1106"/>
    </row>
    <row r="125">
      <c r="B125" s="1536" t="s">
        <v>1452</v>
      </c>
      <c r="G125" s="1106"/>
      <c r="H125" s="1106"/>
      <c r="I125" s="1106"/>
      <c r="J125" s="1106"/>
      <c r="K125" s="1106"/>
      <c r="L125" s="1106"/>
      <c r="M125" s="1106"/>
      <c r="N125" s="1106"/>
      <c r="O125" s="1106"/>
      <c r="P125" s="1106"/>
      <c r="Q125" s="1106"/>
      <c r="R125" s="1106"/>
      <c r="S125" s="1106"/>
      <c r="T125" s="1106"/>
      <c r="U125" s="1106"/>
      <c r="V125" s="1106"/>
      <c r="W125" s="1106"/>
      <c r="X125" s="1106"/>
      <c r="Y125" s="1106"/>
      <c r="Z125" s="1106"/>
      <c r="AA125" s="1106"/>
      <c r="AB125" s="1106"/>
      <c r="AC125" s="1106"/>
      <c r="AD125" s="1106"/>
      <c r="AE125" s="1106"/>
      <c r="AF125" s="1106"/>
      <c r="AG125" s="1106"/>
      <c r="AH125" s="1106"/>
      <c r="AI125" s="1106"/>
      <c r="AJ125" s="1106"/>
      <c r="AK125" s="1106"/>
      <c r="AL125" s="1106"/>
      <c r="AM125" s="1106"/>
      <c r="AN125" s="1106"/>
      <c r="AO125" s="1106"/>
    </row>
    <row r="126">
      <c r="B126" s="1535" t="s">
        <v>1453</v>
      </c>
      <c r="G126" s="1106"/>
      <c r="H126" s="1106"/>
      <c r="I126" s="1106"/>
      <c r="J126" s="1106"/>
      <c r="K126" s="1106"/>
      <c r="L126" s="1106"/>
      <c r="M126" s="1106"/>
      <c r="N126" s="1106"/>
      <c r="O126" s="1106"/>
      <c r="P126" s="1106"/>
      <c r="Q126" s="1106"/>
      <c r="R126" s="1106"/>
      <c r="S126" s="1106"/>
      <c r="T126" s="1106"/>
      <c r="U126" s="1106"/>
      <c r="V126" s="1106"/>
      <c r="W126" s="1106"/>
      <c r="X126" s="1106"/>
      <c r="Y126" s="1106"/>
      <c r="Z126" s="1106"/>
      <c r="AA126" s="1106"/>
      <c r="AB126" s="1106"/>
      <c r="AC126" s="1106"/>
      <c r="AD126" s="1106"/>
      <c r="AE126" s="1106"/>
      <c r="AF126" s="1106"/>
      <c r="AG126" s="1106"/>
      <c r="AH126" s="1106"/>
      <c r="AI126" s="1106"/>
      <c r="AJ126" s="1106"/>
      <c r="AK126" s="1106"/>
      <c r="AL126" s="1106"/>
      <c r="AM126" s="1106"/>
      <c r="AN126" s="1106"/>
      <c r="AO126" s="1106"/>
    </row>
    <row r="127">
      <c r="B127" s="1535" t="s">
        <v>1454</v>
      </c>
      <c r="G127" s="1106"/>
      <c r="H127" s="1106"/>
      <c r="I127" s="1106"/>
      <c r="J127" s="1106"/>
      <c r="K127" s="1106"/>
      <c r="L127" s="1106"/>
      <c r="M127" s="1106"/>
      <c r="N127" s="1106"/>
      <c r="O127" s="1106"/>
      <c r="P127" s="1106"/>
      <c r="Q127" s="1106"/>
      <c r="R127" s="1106"/>
      <c r="S127" s="1106"/>
      <c r="T127" s="1106"/>
      <c r="U127" s="1106"/>
      <c r="V127" s="1106"/>
      <c r="W127" s="1106"/>
      <c r="X127" s="1106"/>
      <c r="Y127" s="1106"/>
      <c r="Z127" s="1106"/>
      <c r="AA127" s="1106"/>
      <c r="AB127" s="1106"/>
      <c r="AC127" s="1106"/>
      <c r="AD127" s="1106"/>
      <c r="AE127" s="1106"/>
      <c r="AF127" s="1106"/>
      <c r="AG127" s="1106"/>
      <c r="AH127" s="1106"/>
      <c r="AI127" s="1106"/>
      <c r="AJ127" s="1106"/>
      <c r="AK127" s="1106"/>
      <c r="AL127" s="1106"/>
      <c r="AM127" s="1106"/>
      <c r="AN127" s="1106"/>
      <c r="AO127" s="1106"/>
    </row>
    <row r="128">
      <c r="B128" s="1535" t="s">
        <v>1455</v>
      </c>
      <c r="G128" s="1106"/>
      <c r="H128" s="1106"/>
      <c r="I128" s="1106"/>
      <c r="J128" s="1106"/>
      <c r="K128" s="1106"/>
      <c r="L128" s="1106"/>
      <c r="M128" s="1106"/>
      <c r="N128" s="1106"/>
      <c r="O128" s="1106"/>
      <c r="P128" s="1106"/>
      <c r="Q128" s="1106"/>
      <c r="R128" s="1106"/>
      <c r="S128" s="1106"/>
      <c r="T128" s="1106"/>
      <c r="U128" s="1106"/>
      <c r="V128" s="1106"/>
      <c r="W128" s="1106"/>
      <c r="X128" s="1106"/>
      <c r="Y128" s="1106"/>
      <c r="Z128" s="1106"/>
      <c r="AA128" s="1106"/>
      <c r="AB128" s="1106"/>
      <c r="AC128" s="1106"/>
      <c r="AD128" s="1106"/>
      <c r="AE128" s="1106"/>
      <c r="AF128" s="1106"/>
      <c r="AG128" s="1106"/>
      <c r="AH128" s="1106"/>
      <c r="AI128" s="1106"/>
      <c r="AJ128" s="1106"/>
      <c r="AK128" s="1106"/>
      <c r="AL128" s="1106"/>
      <c r="AM128" s="1106"/>
      <c r="AN128" s="1106"/>
      <c r="AO128" s="1106"/>
    </row>
    <row r="129">
      <c r="A129" s="1533" t="s">
        <v>1470</v>
      </c>
      <c r="B129" s="1534" t="s">
        <v>1447</v>
      </c>
      <c r="G129" s="1106"/>
      <c r="H129" s="1106"/>
      <c r="I129" s="1106"/>
      <c r="J129" s="1106"/>
      <c r="K129" s="1106"/>
      <c r="L129" s="1106"/>
      <c r="M129" s="1106"/>
      <c r="N129" s="1106"/>
      <c r="O129" s="1106"/>
      <c r="P129" s="1106"/>
      <c r="Q129" s="1106"/>
      <c r="R129" s="1106"/>
      <c r="S129" s="1106"/>
      <c r="T129" s="1106"/>
      <c r="U129" s="1106"/>
      <c r="V129" s="1106"/>
      <c r="W129" s="1106"/>
      <c r="X129" s="1106"/>
      <c r="Y129" s="1106"/>
      <c r="Z129" s="1106"/>
      <c r="AA129" s="1106"/>
      <c r="AB129" s="1106"/>
      <c r="AC129" s="1106"/>
      <c r="AD129" s="1106"/>
      <c r="AE129" s="1106"/>
      <c r="AF129" s="1106"/>
      <c r="AG129" s="1106"/>
      <c r="AH129" s="1106"/>
      <c r="AI129" s="1106"/>
      <c r="AJ129" s="1106"/>
      <c r="AK129" s="1106"/>
      <c r="AL129" s="1106"/>
      <c r="AM129" s="1106"/>
      <c r="AN129" s="1106"/>
      <c r="AO129" s="1106"/>
    </row>
    <row r="130">
      <c r="B130" s="1535" t="s">
        <v>1448</v>
      </c>
      <c r="G130" s="1106"/>
      <c r="H130" s="1106"/>
      <c r="I130" s="1106"/>
      <c r="J130" s="1106"/>
      <c r="K130" s="1106"/>
      <c r="L130" s="1106"/>
      <c r="M130" s="1106"/>
      <c r="N130" s="1106"/>
      <c r="O130" s="1106"/>
      <c r="P130" s="1106"/>
      <c r="Q130" s="1106"/>
      <c r="R130" s="1106"/>
      <c r="S130" s="1106"/>
      <c r="T130" s="1106"/>
      <c r="U130" s="1106"/>
      <c r="V130" s="1106"/>
      <c r="W130" s="1106"/>
      <c r="X130" s="1106"/>
      <c r="Y130" s="1106"/>
      <c r="Z130" s="1106"/>
      <c r="AA130" s="1106"/>
      <c r="AB130" s="1106"/>
      <c r="AC130" s="1106"/>
      <c r="AD130" s="1106"/>
      <c r="AE130" s="1106"/>
      <c r="AF130" s="1106"/>
      <c r="AG130" s="1106"/>
      <c r="AH130" s="1106"/>
      <c r="AI130" s="1106"/>
      <c r="AJ130" s="1106"/>
      <c r="AK130" s="1106"/>
      <c r="AL130" s="1106"/>
      <c r="AM130" s="1106"/>
      <c r="AN130" s="1106"/>
      <c r="AO130" s="1106"/>
    </row>
    <row r="131">
      <c r="B131" s="1535" t="s">
        <v>1449</v>
      </c>
      <c r="G131" s="1106"/>
      <c r="H131" s="1106"/>
      <c r="I131" s="1106"/>
      <c r="J131" s="1106"/>
      <c r="K131" s="1106"/>
      <c r="L131" s="1106"/>
      <c r="M131" s="1106"/>
      <c r="N131" s="1106"/>
      <c r="O131" s="1106"/>
      <c r="P131" s="1106"/>
      <c r="Q131" s="1106"/>
      <c r="R131" s="1106"/>
      <c r="S131" s="1106"/>
      <c r="T131" s="1106"/>
      <c r="U131" s="1106"/>
      <c r="V131" s="1106"/>
      <c r="W131" s="1106"/>
      <c r="X131" s="1106"/>
      <c r="Y131" s="1106"/>
      <c r="Z131" s="1106"/>
      <c r="AA131" s="1106"/>
      <c r="AB131" s="1106"/>
      <c r="AC131" s="1106"/>
      <c r="AD131" s="1106"/>
      <c r="AE131" s="1106"/>
      <c r="AF131" s="1106"/>
      <c r="AG131" s="1106"/>
      <c r="AH131" s="1106"/>
      <c r="AI131" s="1106"/>
      <c r="AJ131" s="1106"/>
      <c r="AK131" s="1106"/>
      <c r="AL131" s="1106"/>
      <c r="AM131" s="1106"/>
      <c r="AN131" s="1106"/>
      <c r="AO131" s="1106"/>
    </row>
    <row r="132">
      <c r="B132" s="1535" t="s">
        <v>1450</v>
      </c>
      <c r="G132" s="1106"/>
      <c r="H132" s="1106"/>
      <c r="I132" s="1106"/>
      <c r="J132" s="1106"/>
      <c r="K132" s="1106"/>
      <c r="L132" s="1106"/>
      <c r="M132" s="1106"/>
      <c r="N132" s="1106"/>
      <c r="O132" s="1106"/>
      <c r="P132" s="1106"/>
      <c r="Q132" s="1106"/>
      <c r="R132" s="1106"/>
      <c r="S132" s="1106"/>
      <c r="T132" s="1106"/>
      <c r="U132" s="1106"/>
      <c r="V132" s="1106"/>
      <c r="W132" s="1106"/>
      <c r="X132" s="1106"/>
      <c r="Y132" s="1106"/>
      <c r="Z132" s="1106"/>
      <c r="AA132" s="1106"/>
      <c r="AB132" s="1106"/>
      <c r="AC132" s="1106"/>
      <c r="AD132" s="1106"/>
      <c r="AE132" s="1106"/>
      <c r="AF132" s="1106"/>
      <c r="AG132" s="1106"/>
      <c r="AH132" s="1106"/>
      <c r="AI132" s="1106"/>
      <c r="AJ132" s="1106"/>
      <c r="AK132" s="1106"/>
      <c r="AL132" s="1106"/>
      <c r="AM132" s="1106"/>
      <c r="AN132" s="1106"/>
      <c r="AO132" s="1106"/>
    </row>
    <row r="133">
      <c r="B133" s="1536" t="s">
        <v>1451</v>
      </c>
      <c r="G133" s="1106"/>
      <c r="H133" s="1106"/>
      <c r="I133" s="1106"/>
      <c r="J133" s="1106"/>
      <c r="K133" s="1106"/>
      <c r="L133" s="1106"/>
      <c r="M133" s="1106"/>
      <c r="N133" s="1106"/>
      <c r="O133" s="1106"/>
      <c r="P133" s="1106"/>
      <c r="Q133" s="1106"/>
      <c r="R133" s="1106"/>
      <c r="S133" s="1106"/>
      <c r="T133" s="1106"/>
      <c r="U133" s="1106"/>
      <c r="V133" s="1106"/>
      <c r="W133" s="1106"/>
      <c r="X133" s="1106"/>
      <c r="Y133" s="1106"/>
      <c r="Z133" s="1106"/>
      <c r="AA133" s="1106"/>
      <c r="AB133" s="1106"/>
      <c r="AC133" s="1106"/>
      <c r="AD133" s="1106"/>
      <c r="AE133" s="1106"/>
      <c r="AF133" s="1106"/>
      <c r="AG133" s="1106"/>
      <c r="AH133" s="1106"/>
      <c r="AI133" s="1106"/>
      <c r="AJ133" s="1106"/>
      <c r="AK133" s="1106"/>
      <c r="AL133" s="1106"/>
      <c r="AM133" s="1106"/>
      <c r="AN133" s="1106"/>
      <c r="AO133" s="1106"/>
    </row>
    <row r="134">
      <c r="B134" s="1536" t="s">
        <v>1452</v>
      </c>
      <c r="G134" s="1106"/>
      <c r="H134" s="1106"/>
      <c r="I134" s="1106"/>
      <c r="J134" s="1106"/>
      <c r="K134" s="1106"/>
      <c r="L134" s="1106"/>
      <c r="M134" s="1106"/>
      <c r="N134" s="1106"/>
      <c r="O134" s="1106"/>
      <c r="P134" s="1106"/>
      <c r="Q134" s="1106"/>
      <c r="R134" s="1106"/>
      <c r="S134" s="1106"/>
      <c r="T134" s="1106"/>
      <c r="U134" s="1106"/>
      <c r="V134" s="1106"/>
      <c r="W134" s="1106"/>
      <c r="X134" s="1106"/>
      <c r="Y134" s="1106"/>
      <c r="Z134" s="1106"/>
      <c r="AA134" s="1106"/>
      <c r="AB134" s="1106"/>
      <c r="AC134" s="1106"/>
      <c r="AD134" s="1106"/>
      <c r="AE134" s="1106"/>
      <c r="AF134" s="1106"/>
      <c r="AG134" s="1106"/>
      <c r="AH134" s="1106"/>
      <c r="AI134" s="1106"/>
      <c r="AJ134" s="1106"/>
      <c r="AK134" s="1106"/>
      <c r="AL134" s="1106"/>
      <c r="AM134" s="1106"/>
      <c r="AN134" s="1106"/>
      <c r="AO134" s="1106"/>
    </row>
    <row r="135">
      <c r="B135" s="1535" t="s">
        <v>1453</v>
      </c>
      <c r="G135" s="1106"/>
      <c r="H135" s="1106"/>
      <c r="I135" s="1106"/>
      <c r="J135" s="1106"/>
      <c r="K135" s="1106"/>
      <c r="L135" s="1106"/>
      <c r="M135" s="1106"/>
      <c r="N135" s="1106"/>
      <c r="O135" s="1106"/>
      <c r="P135" s="1106"/>
      <c r="Q135" s="1106"/>
      <c r="R135" s="1106"/>
      <c r="S135" s="1106"/>
      <c r="T135" s="1106"/>
      <c r="U135" s="1106"/>
      <c r="V135" s="1106"/>
      <c r="W135" s="1106"/>
      <c r="X135" s="1106"/>
      <c r="Y135" s="1106"/>
      <c r="Z135" s="1106"/>
      <c r="AA135" s="1106"/>
      <c r="AB135" s="1106"/>
      <c r="AC135" s="1106"/>
      <c r="AD135" s="1106"/>
      <c r="AE135" s="1106"/>
      <c r="AF135" s="1106"/>
      <c r="AG135" s="1106"/>
      <c r="AH135" s="1106"/>
      <c r="AI135" s="1106"/>
      <c r="AJ135" s="1106"/>
      <c r="AK135" s="1106"/>
      <c r="AL135" s="1106"/>
      <c r="AM135" s="1106"/>
      <c r="AN135" s="1106"/>
      <c r="AO135" s="1106"/>
    </row>
    <row r="136">
      <c r="B136" s="1535" t="s">
        <v>1454</v>
      </c>
      <c r="G136" s="1106"/>
      <c r="H136" s="1106"/>
      <c r="I136" s="1106"/>
      <c r="J136" s="1106"/>
      <c r="K136" s="1106"/>
      <c r="L136" s="1106"/>
      <c r="M136" s="1106"/>
      <c r="N136" s="1106"/>
      <c r="O136" s="1106"/>
      <c r="P136" s="1106"/>
      <c r="Q136" s="1106"/>
      <c r="R136" s="1106"/>
      <c r="S136" s="1106"/>
      <c r="T136" s="1106"/>
      <c r="U136" s="1106"/>
      <c r="V136" s="1106"/>
      <c r="W136" s="1106"/>
      <c r="X136" s="1106"/>
      <c r="Y136" s="1106"/>
      <c r="Z136" s="1106"/>
      <c r="AA136" s="1106"/>
      <c r="AB136" s="1106"/>
      <c r="AC136" s="1106"/>
      <c r="AD136" s="1106"/>
      <c r="AE136" s="1106"/>
      <c r="AF136" s="1106"/>
      <c r="AG136" s="1106"/>
      <c r="AH136" s="1106"/>
      <c r="AI136" s="1106"/>
      <c r="AJ136" s="1106"/>
      <c r="AK136" s="1106"/>
      <c r="AL136" s="1106"/>
      <c r="AM136" s="1106"/>
      <c r="AN136" s="1106"/>
      <c r="AO136" s="1106"/>
    </row>
    <row r="137">
      <c r="B137" s="1535" t="s">
        <v>1455</v>
      </c>
      <c r="G137" s="1106"/>
      <c r="H137" s="1106"/>
      <c r="I137" s="1106"/>
      <c r="J137" s="1106"/>
      <c r="K137" s="1106"/>
      <c r="L137" s="1106"/>
      <c r="M137" s="1106"/>
      <c r="N137" s="1106"/>
      <c r="O137" s="1106"/>
      <c r="P137" s="1106"/>
      <c r="Q137" s="1106"/>
      <c r="R137" s="1106"/>
      <c r="S137" s="1106"/>
      <c r="T137" s="1106"/>
      <c r="U137" s="1106"/>
      <c r="V137" s="1106"/>
      <c r="W137" s="1106"/>
      <c r="X137" s="1106"/>
      <c r="Y137" s="1106"/>
      <c r="Z137" s="1106"/>
      <c r="AA137" s="1106"/>
      <c r="AB137" s="1106"/>
      <c r="AC137" s="1106"/>
      <c r="AD137" s="1106"/>
      <c r="AE137" s="1106"/>
      <c r="AF137" s="1106"/>
      <c r="AG137" s="1106"/>
      <c r="AH137" s="1106"/>
      <c r="AI137" s="1106"/>
      <c r="AJ137" s="1106"/>
      <c r="AK137" s="1106"/>
      <c r="AL137" s="1106"/>
      <c r="AM137" s="1106"/>
      <c r="AN137" s="1106"/>
      <c r="AO137" s="1106"/>
    </row>
    <row r="138">
      <c r="A138" s="1528" t="s">
        <v>1471</v>
      </c>
      <c r="G138" s="1106"/>
      <c r="H138" s="1106"/>
      <c r="I138" s="1106"/>
      <c r="J138" s="1106"/>
      <c r="K138" s="1106"/>
      <c r="L138" s="1106"/>
      <c r="M138" s="1106"/>
      <c r="N138" s="1106"/>
      <c r="O138" s="1106"/>
      <c r="P138" s="1106"/>
      <c r="Q138" s="1106"/>
      <c r="R138" s="1106"/>
      <c r="S138" s="1106"/>
      <c r="T138" s="1106"/>
      <c r="U138" s="1106"/>
      <c r="V138" s="1106"/>
      <c r="W138" s="1106"/>
      <c r="X138" s="1106"/>
      <c r="Y138" s="1106"/>
      <c r="Z138" s="1106"/>
      <c r="AA138" s="1106"/>
      <c r="AB138" s="1106"/>
      <c r="AC138" s="1106"/>
      <c r="AD138" s="1106"/>
      <c r="AE138" s="1106"/>
      <c r="AF138" s="1106"/>
      <c r="AG138" s="1106"/>
      <c r="AH138" s="1106"/>
      <c r="AI138" s="1106"/>
      <c r="AJ138" s="1106"/>
      <c r="AK138" s="1106"/>
      <c r="AL138" s="1106"/>
      <c r="AM138" s="1106"/>
      <c r="AN138" s="1106"/>
      <c r="AO138" s="1106"/>
    </row>
    <row r="139">
      <c r="A139" s="1543" t="s">
        <v>1460</v>
      </c>
      <c r="B139" s="1534" t="s">
        <v>1447</v>
      </c>
      <c r="G139" s="1106"/>
      <c r="H139" s="1106"/>
      <c r="I139" s="1106"/>
      <c r="J139" s="1106"/>
      <c r="K139" s="1106"/>
      <c r="L139" s="1106"/>
      <c r="M139" s="1106"/>
      <c r="N139" s="1106"/>
      <c r="O139" s="1106"/>
      <c r="P139" s="1106"/>
      <c r="Q139" s="1106"/>
      <c r="R139" s="1106"/>
      <c r="S139" s="1106"/>
      <c r="T139" s="1106"/>
      <c r="U139" s="1106"/>
      <c r="V139" s="1106"/>
      <c r="W139" s="1106"/>
      <c r="X139" s="1106"/>
      <c r="Y139" s="1106"/>
      <c r="Z139" s="1106"/>
      <c r="AA139" s="1106"/>
      <c r="AB139" s="1106"/>
      <c r="AC139" s="1106"/>
      <c r="AD139" s="1106"/>
      <c r="AE139" s="1106"/>
      <c r="AF139" s="1106"/>
      <c r="AG139" s="1106"/>
      <c r="AH139" s="1106"/>
      <c r="AI139" s="1106"/>
      <c r="AJ139" s="1106"/>
      <c r="AK139" s="1106"/>
      <c r="AL139" s="1106"/>
      <c r="AM139" s="1106"/>
      <c r="AN139" s="1106"/>
      <c r="AO139" s="1106"/>
    </row>
    <row r="140">
      <c r="B140" s="1535" t="s">
        <v>1448</v>
      </c>
      <c r="G140" s="1106"/>
      <c r="H140" s="1106"/>
      <c r="I140" s="1106"/>
      <c r="J140" s="1106"/>
      <c r="K140" s="1106"/>
      <c r="L140" s="1106"/>
      <c r="M140" s="1106"/>
      <c r="N140" s="1106"/>
      <c r="O140" s="1106"/>
      <c r="P140" s="1106"/>
      <c r="Q140" s="1106"/>
      <c r="R140" s="1106"/>
      <c r="S140" s="1106"/>
      <c r="T140" s="1106"/>
      <c r="U140" s="1106"/>
      <c r="V140" s="1106"/>
      <c r="W140" s="1106"/>
      <c r="X140" s="1106"/>
      <c r="Y140" s="1106"/>
      <c r="Z140" s="1106"/>
      <c r="AA140" s="1106"/>
      <c r="AB140" s="1106"/>
      <c r="AC140" s="1106"/>
      <c r="AD140" s="1106"/>
      <c r="AE140" s="1106"/>
      <c r="AF140" s="1106"/>
      <c r="AG140" s="1106"/>
      <c r="AH140" s="1106"/>
      <c r="AI140" s="1106"/>
      <c r="AJ140" s="1106"/>
      <c r="AK140" s="1106"/>
      <c r="AL140" s="1106"/>
      <c r="AM140" s="1106"/>
      <c r="AN140" s="1106"/>
      <c r="AO140" s="1106"/>
    </row>
    <row r="141">
      <c r="B141" s="1535" t="s">
        <v>1449</v>
      </c>
      <c r="G141" s="1106"/>
      <c r="H141" s="1106"/>
      <c r="I141" s="1106"/>
      <c r="J141" s="1106"/>
      <c r="K141" s="1106"/>
      <c r="L141" s="1106"/>
      <c r="M141" s="1106"/>
      <c r="N141" s="1106"/>
      <c r="O141" s="1106"/>
      <c r="P141" s="1106"/>
      <c r="Q141" s="1106"/>
      <c r="R141" s="1106"/>
      <c r="S141" s="1106"/>
      <c r="T141" s="1106"/>
      <c r="U141" s="1106"/>
      <c r="V141" s="1106"/>
      <c r="W141" s="1106"/>
      <c r="X141" s="1106"/>
      <c r="Y141" s="1106"/>
      <c r="Z141" s="1106"/>
      <c r="AA141" s="1106"/>
      <c r="AB141" s="1106"/>
      <c r="AC141" s="1106"/>
      <c r="AD141" s="1106"/>
      <c r="AE141" s="1106"/>
      <c r="AF141" s="1106"/>
      <c r="AG141" s="1106"/>
      <c r="AH141" s="1106"/>
      <c r="AI141" s="1106"/>
      <c r="AJ141" s="1106"/>
      <c r="AK141" s="1106"/>
      <c r="AL141" s="1106"/>
      <c r="AM141" s="1106"/>
      <c r="AN141" s="1106"/>
      <c r="AO141" s="1106"/>
    </row>
    <row r="142">
      <c r="B142" s="1535" t="s">
        <v>1450</v>
      </c>
      <c r="G142" s="1106"/>
      <c r="H142" s="1106"/>
      <c r="I142" s="1106"/>
      <c r="J142" s="1106"/>
      <c r="K142" s="1106"/>
      <c r="L142" s="1106"/>
      <c r="M142" s="1106"/>
      <c r="N142" s="1106"/>
      <c r="O142" s="1106"/>
      <c r="P142" s="1106"/>
      <c r="Q142" s="1106"/>
      <c r="R142" s="1106"/>
      <c r="S142" s="1106"/>
      <c r="T142" s="1106"/>
      <c r="U142" s="1106"/>
      <c r="V142" s="1106"/>
      <c r="W142" s="1106"/>
      <c r="X142" s="1106"/>
      <c r="Y142" s="1106"/>
      <c r="Z142" s="1106"/>
      <c r="AA142" s="1106"/>
      <c r="AB142" s="1106"/>
      <c r="AC142" s="1106"/>
      <c r="AD142" s="1106"/>
      <c r="AE142" s="1106"/>
      <c r="AF142" s="1106"/>
      <c r="AG142" s="1106"/>
      <c r="AH142" s="1106"/>
      <c r="AI142" s="1106"/>
      <c r="AJ142" s="1106"/>
      <c r="AK142" s="1106"/>
      <c r="AL142" s="1106"/>
      <c r="AM142" s="1106"/>
      <c r="AN142" s="1106"/>
      <c r="AO142" s="1106"/>
    </row>
    <row r="143">
      <c r="B143" s="1536" t="s">
        <v>1451</v>
      </c>
      <c r="G143" s="1106"/>
      <c r="H143" s="1106"/>
      <c r="I143" s="1106"/>
      <c r="J143" s="1106"/>
      <c r="K143" s="1106"/>
      <c r="L143" s="1106"/>
      <c r="M143" s="1106"/>
      <c r="N143" s="1106"/>
      <c r="O143" s="1106"/>
      <c r="P143" s="1106"/>
      <c r="Q143" s="1106"/>
      <c r="R143" s="1106"/>
      <c r="S143" s="1106"/>
      <c r="T143" s="1106"/>
      <c r="U143" s="1106"/>
      <c r="V143" s="1106"/>
      <c r="W143" s="1106"/>
      <c r="X143" s="1106"/>
      <c r="Y143" s="1106"/>
      <c r="Z143" s="1106"/>
      <c r="AA143" s="1106"/>
      <c r="AB143" s="1106"/>
      <c r="AC143" s="1106"/>
      <c r="AD143" s="1106"/>
      <c r="AE143" s="1106"/>
      <c r="AF143" s="1106"/>
      <c r="AG143" s="1106"/>
      <c r="AH143" s="1106"/>
      <c r="AI143" s="1106"/>
      <c r="AJ143" s="1106"/>
      <c r="AK143" s="1106"/>
      <c r="AL143" s="1106"/>
      <c r="AM143" s="1106"/>
      <c r="AN143" s="1106"/>
      <c r="AO143" s="1106"/>
    </row>
    <row r="144">
      <c r="B144" s="1536" t="s">
        <v>1452</v>
      </c>
      <c r="G144" s="1106"/>
      <c r="H144" s="1106"/>
      <c r="I144" s="1106"/>
      <c r="J144" s="1106"/>
      <c r="K144" s="1106"/>
      <c r="L144" s="1106"/>
      <c r="M144" s="1106"/>
      <c r="N144" s="1106"/>
      <c r="O144" s="1106"/>
      <c r="P144" s="1106"/>
      <c r="Q144" s="1106"/>
      <c r="R144" s="1106"/>
      <c r="S144" s="1106"/>
      <c r="T144" s="1106"/>
      <c r="U144" s="1106"/>
      <c r="V144" s="1106"/>
      <c r="W144" s="1106"/>
      <c r="X144" s="1106"/>
      <c r="Y144" s="1106"/>
      <c r="Z144" s="1106"/>
      <c r="AA144" s="1106"/>
      <c r="AB144" s="1106"/>
      <c r="AC144" s="1106"/>
      <c r="AD144" s="1106"/>
      <c r="AE144" s="1106"/>
      <c r="AF144" s="1106"/>
      <c r="AG144" s="1106"/>
      <c r="AH144" s="1106"/>
      <c r="AI144" s="1106"/>
      <c r="AJ144" s="1106"/>
      <c r="AK144" s="1106"/>
      <c r="AL144" s="1106"/>
      <c r="AM144" s="1106"/>
      <c r="AN144" s="1106"/>
      <c r="AO144" s="1106"/>
    </row>
    <row r="145">
      <c r="B145" s="1535" t="s">
        <v>1453</v>
      </c>
      <c r="G145" s="1106"/>
      <c r="H145" s="1106"/>
      <c r="I145" s="1106"/>
      <c r="J145" s="1106"/>
      <c r="K145" s="1106"/>
      <c r="L145" s="1106"/>
      <c r="M145" s="1106"/>
      <c r="N145" s="1106"/>
      <c r="O145" s="1106"/>
      <c r="P145" s="1106"/>
      <c r="Q145" s="1106"/>
      <c r="R145" s="1106"/>
      <c r="S145" s="1106"/>
      <c r="T145" s="1106"/>
      <c r="U145" s="1106"/>
      <c r="V145" s="1106"/>
      <c r="W145" s="1106"/>
      <c r="X145" s="1106"/>
      <c r="Y145" s="1106"/>
      <c r="Z145" s="1106"/>
      <c r="AA145" s="1106"/>
      <c r="AB145" s="1106"/>
      <c r="AC145" s="1106"/>
      <c r="AD145" s="1106"/>
      <c r="AE145" s="1106"/>
      <c r="AF145" s="1106"/>
      <c r="AG145" s="1106"/>
      <c r="AH145" s="1106"/>
      <c r="AI145" s="1106"/>
      <c r="AJ145" s="1106"/>
      <c r="AK145" s="1106"/>
      <c r="AL145" s="1106"/>
      <c r="AM145" s="1106"/>
      <c r="AN145" s="1106"/>
      <c r="AO145" s="1106"/>
    </row>
    <row r="146">
      <c r="B146" s="1535" t="s">
        <v>1454</v>
      </c>
      <c r="G146" s="1106"/>
      <c r="H146" s="1106"/>
      <c r="I146" s="1106"/>
      <c r="J146" s="1106"/>
      <c r="K146" s="1106"/>
      <c r="L146" s="1106"/>
      <c r="M146" s="1106"/>
      <c r="N146" s="1106"/>
      <c r="O146" s="1106"/>
      <c r="P146" s="1106"/>
      <c r="Q146" s="1106"/>
      <c r="R146" s="1106"/>
      <c r="S146" s="1106"/>
      <c r="T146" s="1106"/>
      <c r="U146" s="1106"/>
      <c r="V146" s="1106"/>
      <c r="W146" s="1106"/>
      <c r="X146" s="1106"/>
      <c r="Y146" s="1106"/>
      <c r="Z146" s="1106"/>
      <c r="AA146" s="1106"/>
      <c r="AB146" s="1106"/>
      <c r="AC146" s="1106"/>
      <c r="AD146" s="1106"/>
      <c r="AE146" s="1106"/>
      <c r="AF146" s="1106"/>
      <c r="AG146" s="1106"/>
      <c r="AH146" s="1106"/>
      <c r="AI146" s="1106"/>
      <c r="AJ146" s="1106"/>
      <c r="AK146" s="1106"/>
      <c r="AL146" s="1106"/>
      <c r="AM146" s="1106"/>
      <c r="AN146" s="1106"/>
      <c r="AO146" s="1106"/>
    </row>
    <row r="147">
      <c r="B147" s="1535" t="s">
        <v>1455</v>
      </c>
      <c r="G147" s="1106"/>
      <c r="H147" s="1106"/>
      <c r="I147" s="1106"/>
      <c r="J147" s="1106"/>
      <c r="K147" s="1106"/>
      <c r="L147" s="1106"/>
      <c r="M147" s="1106"/>
      <c r="N147" s="1106"/>
      <c r="O147" s="1106"/>
      <c r="P147" s="1106"/>
      <c r="Q147" s="1106"/>
      <c r="R147" s="1106"/>
      <c r="S147" s="1106"/>
      <c r="T147" s="1106"/>
      <c r="U147" s="1106"/>
      <c r="V147" s="1106"/>
      <c r="W147" s="1106"/>
      <c r="X147" s="1106"/>
      <c r="Y147" s="1106"/>
      <c r="Z147" s="1106"/>
      <c r="AA147" s="1106"/>
      <c r="AB147" s="1106"/>
      <c r="AC147" s="1106"/>
      <c r="AD147" s="1106"/>
      <c r="AE147" s="1106"/>
      <c r="AF147" s="1106"/>
      <c r="AG147" s="1106"/>
      <c r="AH147" s="1106"/>
      <c r="AI147" s="1106"/>
      <c r="AJ147" s="1106"/>
      <c r="AK147" s="1106"/>
      <c r="AL147" s="1106"/>
      <c r="AM147" s="1106"/>
      <c r="AN147" s="1106"/>
      <c r="AO147" s="1106"/>
    </row>
    <row r="148">
      <c r="A148" s="1533" t="s">
        <v>1461</v>
      </c>
      <c r="B148" s="1534" t="s">
        <v>1447</v>
      </c>
      <c r="G148" s="1106"/>
      <c r="H148" s="1106"/>
      <c r="I148" s="1106"/>
      <c r="J148" s="1106"/>
      <c r="K148" s="1106"/>
      <c r="L148" s="1106"/>
      <c r="M148" s="1106"/>
      <c r="N148" s="1106"/>
      <c r="O148" s="1106"/>
      <c r="P148" s="1106"/>
      <c r="Q148" s="1106"/>
      <c r="R148" s="1106"/>
      <c r="S148" s="1106"/>
      <c r="T148" s="1106"/>
      <c r="U148" s="1106"/>
      <c r="V148" s="1106"/>
      <c r="W148" s="1106"/>
      <c r="X148" s="1106"/>
      <c r="Y148" s="1106"/>
      <c r="Z148" s="1106"/>
      <c r="AA148" s="1106"/>
      <c r="AB148" s="1106"/>
      <c r="AC148" s="1106"/>
      <c r="AD148" s="1106"/>
      <c r="AE148" s="1106"/>
      <c r="AF148" s="1106"/>
      <c r="AG148" s="1106"/>
      <c r="AH148" s="1106"/>
      <c r="AI148" s="1106"/>
      <c r="AJ148" s="1106"/>
      <c r="AK148" s="1106"/>
      <c r="AL148" s="1106"/>
      <c r="AM148" s="1106"/>
      <c r="AN148" s="1106"/>
      <c r="AO148" s="1106"/>
    </row>
    <row r="149">
      <c r="B149" s="1535" t="s">
        <v>1448</v>
      </c>
      <c r="G149" s="1106"/>
      <c r="H149" s="1106"/>
      <c r="I149" s="1106"/>
      <c r="J149" s="1106"/>
      <c r="K149" s="1106"/>
      <c r="L149" s="1106"/>
      <c r="M149" s="1106"/>
      <c r="N149" s="1106"/>
      <c r="O149" s="1106"/>
      <c r="P149" s="1106"/>
      <c r="Q149" s="1106"/>
      <c r="R149" s="1106"/>
      <c r="S149" s="1106"/>
      <c r="T149" s="1106"/>
      <c r="U149" s="1106"/>
      <c r="V149" s="1106"/>
      <c r="W149" s="1106"/>
      <c r="X149" s="1106"/>
      <c r="Y149" s="1106"/>
      <c r="Z149" s="1106"/>
      <c r="AA149" s="1106"/>
      <c r="AB149" s="1106"/>
      <c r="AC149" s="1106"/>
      <c r="AD149" s="1106"/>
      <c r="AE149" s="1106"/>
      <c r="AF149" s="1106"/>
      <c r="AG149" s="1106"/>
      <c r="AH149" s="1106"/>
      <c r="AI149" s="1106"/>
      <c r="AJ149" s="1106"/>
      <c r="AK149" s="1106"/>
      <c r="AL149" s="1106"/>
      <c r="AM149" s="1106"/>
      <c r="AN149" s="1106"/>
      <c r="AO149" s="1106"/>
    </row>
    <row r="150">
      <c r="B150" s="1535" t="s">
        <v>1449</v>
      </c>
      <c r="G150" s="1106"/>
      <c r="H150" s="1106"/>
      <c r="I150" s="1106"/>
      <c r="J150" s="1106"/>
      <c r="K150" s="1106"/>
      <c r="L150" s="1106"/>
      <c r="M150" s="1106"/>
      <c r="N150" s="1106"/>
      <c r="O150" s="1106"/>
      <c r="P150" s="1106"/>
      <c r="Q150" s="1106"/>
      <c r="R150" s="1106"/>
      <c r="S150" s="1106"/>
      <c r="T150" s="1106"/>
      <c r="U150" s="1106"/>
      <c r="V150" s="1106"/>
      <c r="W150" s="1106"/>
      <c r="X150" s="1106"/>
      <c r="Y150" s="1106"/>
      <c r="Z150" s="1106"/>
      <c r="AA150" s="1106"/>
      <c r="AB150" s="1106"/>
      <c r="AC150" s="1106"/>
      <c r="AD150" s="1106"/>
      <c r="AE150" s="1106"/>
      <c r="AF150" s="1106"/>
      <c r="AG150" s="1106"/>
      <c r="AH150" s="1106"/>
      <c r="AI150" s="1106"/>
      <c r="AJ150" s="1106"/>
      <c r="AK150" s="1106"/>
      <c r="AL150" s="1106"/>
      <c r="AM150" s="1106"/>
      <c r="AN150" s="1106"/>
      <c r="AO150" s="1106"/>
    </row>
    <row r="151">
      <c r="B151" s="1535" t="s">
        <v>1450</v>
      </c>
      <c r="G151" s="1106"/>
      <c r="H151" s="1106"/>
      <c r="I151" s="1106"/>
      <c r="J151" s="1106"/>
      <c r="K151" s="1106"/>
      <c r="L151" s="1106"/>
      <c r="M151" s="1106"/>
      <c r="N151" s="1106"/>
      <c r="O151" s="1106"/>
      <c r="P151" s="1106"/>
      <c r="Q151" s="1106"/>
      <c r="R151" s="1106"/>
      <c r="S151" s="1106"/>
      <c r="T151" s="1106"/>
      <c r="U151" s="1106"/>
      <c r="V151" s="1106"/>
      <c r="W151" s="1106"/>
      <c r="X151" s="1106"/>
      <c r="Y151" s="1106"/>
      <c r="Z151" s="1106"/>
      <c r="AA151" s="1106"/>
      <c r="AB151" s="1106"/>
      <c r="AC151" s="1106"/>
      <c r="AD151" s="1106"/>
      <c r="AE151" s="1106"/>
      <c r="AF151" s="1106"/>
      <c r="AG151" s="1106"/>
      <c r="AH151" s="1106"/>
      <c r="AI151" s="1106"/>
      <c r="AJ151" s="1106"/>
      <c r="AK151" s="1106"/>
      <c r="AL151" s="1106"/>
      <c r="AM151" s="1106"/>
      <c r="AN151" s="1106"/>
      <c r="AO151" s="1106"/>
    </row>
    <row r="152">
      <c r="B152" s="1536" t="s">
        <v>1451</v>
      </c>
      <c r="G152" s="1106"/>
      <c r="H152" s="1106"/>
      <c r="I152" s="1106"/>
      <c r="J152" s="1106"/>
      <c r="K152" s="1106"/>
      <c r="L152" s="1106"/>
      <c r="M152" s="1106"/>
      <c r="N152" s="1106"/>
      <c r="O152" s="1106"/>
      <c r="P152" s="1106"/>
      <c r="Q152" s="1106"/>
      <c r="R152" s="1106"/>
      <c r="S152" s="1106"/>
      <c r="T152" s="1106"/>
      <c r="U152" s="1106"/>
      <c r="V152" s="1106"/>
      <c r="W152" s="1106"/>
      <c r="X152" s="1106"/>
      <c r="Y152" s="1106"/>
      <c r="Z152" s="1106"/>
      <c r="AA152" s="1106"/>
      <c r="AB152" s="1106"/>
      <c r="AC152" s="1106"/>
      <c r="AD152" s="1106"/>
      <c r="AE152" s="1106"/>
      <c r="AF152" s="1106"/>
      <c r="AG152" s="1106"/>
      <c r="AH152" s="1106"/>
      <c r="AI152" s="1106"/>
      <c r="AJ152" s="1106"/>
      <c r="AK152" s="1106"/>
      <c r="AL152" s="1106"/>
      <c r="AM152" s="1106"/>
      <c r="AN152" s="1106"/>
      <c r="AO152" s="1106"/>
    </row>
    <row r="153">
      <c r="B153" s="1536" t="s">
        <v>1452</v>
      </c>
      <c r="G153" s="1106"/>
      <c r="H153" s="1106"/>
      <c r="I153" s="1106"/>
      <c r="J153" s="1106"/>
      <c r="K153" s="1106"/>
      <c r="L153" s="1106"/>
      <c r="M153" s="1106"/>
      <c r="N153" s="1106"/>
      <c r="O153" s="1106"/>
      <c r="P153" s="1106"/>
      <c r="Q153" s="1106"/>
      <c r="R153" s="1106"/>
      <c r="S153" s="1106"/>
      <c r="T153" s="1106"/>
      <c r="U153" s="1106"/>
      <c r="V153" s="1106"/>
      <c r="W153" s="1106"/>
      <c r="X153" s="1106"/>
      <c r="Y153" s="1106"/>
      <c r="Z153" s="1106"/>
      <c r="AA153" s="1106"/>
      <c r="AB153" s="1106"/>
      <c r="AC153" s="1106"/>
      <c r="AD153" s="1106"/>
      <c r="AE153" s="1106"/>
      <c r="AF153" s="1106"/>
      <c r="AG153" s="1106"/>
      <c r="AH153" s="1106"/>
      <c r="AI153" s="1106"/>
      <c r="AJ153" s="1106"/>
      <c r="AK153" s="1106"/>
      <c r="AL153" s="1106"/>
      <c r="AM153" s="1106"/>
      <c r="AN153" s="1106"/>
      <c r="AO153" s="1106"/>
    </row>
    <row r="154">
      <c r="B154" s="1535" t="s">
        <v>1453</v>
      </c>
      <c r="G154" s="1106"/>
      <c r="H154" s="1106"/>
      <c r="I154" s="1106"/>
      <c r="J154" s="1106"/>
      <c r="K154" s="1106"/>
      <c r="L154" s="1106"/>
      <c r="M154" s="1106"/>
      <c r="N154" s="1106"/>
      <c r="O154" s="1106"/>
      <c r="P154" s="1106"/>
      <c r="Q154" s="1106"/>
      <c r="R154" s="1106"/>
      <c r="S154" s="1106"/>
      <c r="T154" s="1106"/>
      <c r="U154" s="1106"/>
      <c r="V154" s="1106"/>
      <c r="W154" s="1106"/>
      <c r="X154" s="1106"/>
      <c r="Y154" s="1106"/>
      <c r="Z154" s="1106"/>
      <c r="AA154" s="1106"/>
      <c r="AB154" s="1106"/>
      <c r="AC154" s="1106"/>
      <c r="AD154" s="1106"/>
      <c r="AE154" s="1106"/>
      <c r="AF154" s="1106"/>
      <c r="AG154" s="1106"/>
      <c r="AH154" s="1106"/>
      <c r="AI154" s="1106"/>
      <c r="AJ154" s="1106"/>
      <c r="AK154" s="1106"/>
      <c r="AL154" s="1106"/>
      <c r="AM154" s="1106"/>
      <c r="AN154" s="1106"/>
      <c r="AO154" s="1106"/>
    </row>
    <row r="155">
      <c r="B155" s="1535" t="s">
        <v>1454</v>
      </c>
      <c r="G155" s="1106"/>
      <c r="H155" s="1106"/>
      <c r="I155" s="1106"/>
      <c r="J155" s="1106"/>
      <c r="K155" s="1106"/>
      <c r="L155" s="1106"/>
      <c r="M155" s="1106"/>
      <c r="N155" s="1106"/>
      <c r="O155" s="1106"/>
      <c r="P155" s="1106"/>
      <c r="Q155" s="1106"/>
      <c r="R155" s="1106"/>
      <c r="S155" s="1106"/>
      <c r="T155" s="1106"/>
      <c r="U155" s="1106"/>
      <c r="V155" s="1106"/>
      <c r="W155" s="1106"/>
      <c r="X155" s="1106"/>
      <c r="Y155" s="1106"/>
      <c r="Z155" s="1106"/>
      <c r="AA155" s="1106"/>
      <c r="AB155" s="1106"/>
      <c r="AC155" s="1106"/>
      <c r="AD155" s="1106"/>
      <c r="AE155" s="1106"/>
      <c r="AF155" s="1106"/>
      <c r="AG155" s="1106"/>
      <c r="AH155" s="1106"/>
      <c r="AI155" s="1106"/>
      <c r="AJ155" s="1106"/>
      <c r="AK155" s="1106"/>
      <c r="AL155" s="1106"/>
      <c r="AM155" s="1106"/>
      <c r="AN155" s="1106"/>
      <c r="AO155" s="1106"/>
    </row>
    <row r="156">
      <c r="B156" s="1535" t="s">
        <v>1455</v>
      </c>
      <c r="G156" s="1106"/>
      <c r="H156" s="1106"/>
      <c r="I156" s="1106"/>
      <c r="J156" s="1106"/>
      <c r="K156" s="1106"/>
      <c r="L156" s="1106"/>
      <c r="M156" s="1106"/>
      <c r="N156" s="1106"/>
      <c r="O156" s="1106"/>
      <c r="P156" s="1106"/>
      <c r="Q156" s="1106"/>
      <c r="R156" s="1106"/>
      <c r="S156" s="1106"/>
      <c r="T156" s="1106"/>
      <c r="U156" s="1106"/>
      <c r="V156" s="1106"/>
      <c r="W156" s="1106"/>
      <c r="X156" s="1106"/>
      <c r="Y156" s="1106"/>
      <c r="Z156" s="1106"/>
      <c r="AA156" s="1106"/>
      <c r="AB156" s="1106"/>
      <c r="AC156" s="1106"/>
      <c r="AD156" s="1106"/>
      <c r="AE156" s="1106"/>
      <c r="AF156" s="1106"/>
      <c r="AG156" s="1106"/>
      <c r="AH156" s="1106"/>
      <c r="AI156" s="1106"/>
      <c r="AJ156" s="1106"/>
      <c r="AK156" s="1106"/>
      <c r="AL156" s="1106"/>
      <c r="AM156" s="1106"/>
      <c r="AN156" s="1106"/>
      <c r="AO156" s="1106"/>
    </row>
    <row r="157">
      <c r="A157" s="1533" t="s">
        <v>1462</v>
      </c>
      <c r="B157" s="1534" t="s">
        <v>1447</v>
      </c>
      <c r="G157" s="1106"/>
      <c r="H157" s="1106"/>
      <c r="I157" s="1106"/>
      <c r="J157" s="1106"/>
      <c r="K157" s="1106"/>
      <c r="L157" s="1106"/>
      <c r="M157" s="1106"/>
      <c r="N157" s="1106"/>
      <c r="O157" s="1106"/>
      <c r="P157" s="1106"/>
      <c r="Q157" s="1106"/>
      <c r="R157" s="1106"/>
      <c r="S157" s="1106"/>
      <c r="T157" s="1106"/>
      <c r="U157" s="1106"/>
      <c r="V157" s="1106"/>
      <c r="W157" s="1106"/>
      <c r="X157" s="1106"/>
      <c r="Y157" s="1106"/>
      <c r="Z157" s="1106"/>
      <c r="AA157" s="1106"/>
      <c r="AB157" s="1106"/>
      <c r="AC157" s="1106"/>
      <c r="AD157" s="1106"/>
      <c r="AE157" s="1106"/>
      <c r="AF157" s="1106"/>
      <c r="AG157" s="1106"/>
      <c r="AH157" s="1106"/>
      <c r="AI157" s="1106"/>
      <c r="AJ157" s="1106"/>
      <c r="AK157" s="1106"/>
      <c r="AL157" s="1106"/>
      <c r="AM157" s="1106"/>
      <c r="AN157" s="1106"/>
      <c r="AO157" s="1106"/>
    </row>
    <row r="158">
      <c r="B158" s="1535" t="s">
        <v>1448</v>
      </c>
      <c r="G158" s="1106"/>
      <c r="H158" s="1106"/>
      <c r="I158" s="1106"/>
      <c r="J158" s="1106"/>
      <c r="K158" s="1106"/>
      <c r="L158" s="1106"/>
      <c r="M158" s="1106"/>
      <c r="N158" s="1106"/>
      <c r="O158" s="1106"/>
      <c r="P158" s="1106"/>
      <c r="Q158" s="1106"/>
      <c r="R158" s="1106"/>
      <c r="S158" s="1106"/>
      <c r="T158" s="1106"/>
      <c r="U158" s="1106"/>
      <c r="V158" s="1106"/>
      <c r="W158" s="1106"/>
      <c r="X158" s="1106"/>
      <c r="Y158" s="1106"/>
      <c r="Z158" s="1106"/>
      <c r="AA158" s="1106"/>
      <c r="AB158" s="1106"/>
      <c r="AC158" s="1106"/>
      <c r="AD158" s="1106"/>
      <c r="AE158" s="1106"/>
      <c r="AF158" s="1106"/>
      <c r="AG158" s="1106"/>
      <c r="AH158" s="1106"/>
      <c r="AI158" s="1106"/>
      <c r="AJ158" s="1106"/>
      <c r="AK158" s="1106"/>
      <c r="AL158" s="1106"/>
      <c r="AM158" s="1106"/>
      <c r="AN158" s="1106"/>
      <c r="AO158" s="1106"/>
    </row>
    <row r="159">
      <c r="B159" s="1535" t="s">
        <v>1449</v>
      </c>
      <c r="G159" s="1106"/>
      <c r="H159" s="1106"/>
      <c r="I159" s="1106"/>
      <c r="J159" s="1106"/>
      <c r="K159" s="1106"/>
      <c r="L159" s="1106"/>
      <c r="M159" s="1106"/>
      <c r="N159" s="1106"/>
      <c r="O159" s="1106"/>
      <c r="P159" s="1106"/>
      <c r="Q159" s="1106"/>
      <c r="R159" s="1106"/>
      <c r="S159" s="1106"/>
      <c r="T159" s="1106"/>
      <c r="U159" s="1106"/>
      <c r="V159" s="1106"/>
      <c r="W159" s="1106"/>
      <c r="X159" s="1106"/>
      <c r="Y159" s="1106"/>
      <c r="Z159" s="1106"/>
      <c r="AA159" s="1106"/>
      <c r="AB159" s="1106"/>
      <c r="AC159" s="1106"/>
      <c r="AD159" s="1106"/>
      <c r="AE159" s="1106"/>
      <c r="AF159" s="1106"/>
      <c r="AG159" s="1106"/>
      <c r="AH159" s="1106"/>
      <c r="AI159" s="1106"/>
      <c r="AJ159" s="1106"/>
      <c r="AK159" s="1106"/>
      <c r="AL159" s="1106"/>
      <c r="AM159" s="1106"/>
      <c r="AN159" s="1106"/>
      <c r="AO159" s="1106"/>
    </row>
    <row r="160">
      <c r="B160" s="1535" t="s">
        <v>1450</v>
      </c>
      <c r="G160" s="1106"/>
      <c r="H160" s="1106"/>
      <c r="I160" s="1106"/>
      <c r="J160" s="1106"/>
      <c r="K160" s="1106"/>
      <c r="L160" s="1106"/>
      <c r="M160" s="1106"/>
      <c r="N160" s="1106"/>
      <c r="O160" s="1106"/>
      <c r="P160" s="1106"/>
      <c r="Q160" s="1106"/>
      <c r="R160" s="1106"/>
      <c r="S160" s="1106"/>
      <c r="T160" s="1106"/>
      <c r="U160" s="1106"/>
      <c r="V160" s="1106"/>
      <c r="W160" s="1106"/>
      <c r="X160" s="1106"/>
      <c r="Y160" s="1106"/>
      <c r="Z160" s="1106"/>
      <c r="AA160" s="1106"/>
      <c r="AB160" s="1106"/>
      <c r="AC160" s="1106"/>
      <c r="AD160" s="1106"/>
      <c r="AE160" s="1106"/>
      <c r="AF160" s="1106"/>
      <c r="AG160" s="1106"/>
      <c r="AH160" s="1106"/>
      <c r="AI160" s="1106"/>
      <c r="AJ160" s="1106"/>
      <c r="AK160" s="1106"/>
      <c r="AL160" s="1106"/>
      <c r="AM160" s="1106"/>
      <c r="AN160" s="1106"/>
      <c r="AO160" s="1106"/>
    </row>
    <row r="161">
      <c r="B161" s="1536" t="s">
        <v>1451</v>
      </c>
      <c r="G161" s="1106"/>
      <c r="H161" s="1106"/>
      <c r="I161" s="1106"/>
      <c r="J161" s="1106"/>
      <c r="K161" s="1106"/>
      <c r="L161" s="1106"/>
      <c r="M161" s="1106"/>
      <c r="N161" s="1106"/>
      <c r="O161" s="1106"/>
      <c r="P161" s="1106"/>
      <c r="Q161" s="1106"/>
      <c r="R161" s="1106"/>
      <c r="S161" s="1106"/>
      <c r="T161" s="1106"/>
      <c r="U161" s="1106"/>
      <c r="V161" s="1106"/>
      <c r="W161" s="1106"/>
      <c r="X161" s="1106"/>
      <c r="Y161" s="1106"/>
      <c r="Z161" s="1106"/>
      <c r="AA161" s="1106"/>
      <c r="AB161" s="1106"/>
      <c r="AC161" s="1106"/>
      <c r="AD161" s="1106"/>
      <c r="AE161" s="1106"/>
      <c r="AF161" s="1106"/>
      <c r="AG161" s="1106"/>
      <c r="AH161" s="1106"/>
      <c r="AI161" s="1106"/>
      <c r="AJ161" s="1106"/>
      <c r="AK161" s="1106"/>
      <c r="AL161" s="1106"/>
      <c r="AM161" s="1106"/>
      <c r="AN161" s="1106"/>
      <c r="AO161" s="1106"/>
    </row>
    <row r="162">
      <c r="B162" s="1536" t="s">
        <v>1452</v>
      </c>
      <c r="G162" s="1106"/>
      <c r="H162" s="1106"/>
      <c r="I162" s="1106"/>
      <c r="J162" s="1106"/>
      <c r="K162" s="1106"/>
      <c r="L162" s="1106"/>
      <c r="M162" s="1106"/>
      <c r="N162" s="1106"/>
      <c r="O162" s="1106"/>
      <c r="P162" s="1106"/>
      <c r="Q162" s="1106"/>
      <c r="R162" s="1106"/>
      <c r="S162" s="1106"/>
      <c r="T162" s="1106"/>
      <c r="U162" s="1106"/>
      <c r="V162" s="1106"/>
      <c r="W162" s="1106"/>
      <c r="X162" s="1106"/>
      <c r="Y162" s="1106"/>
      <c r="Z162" s="1106"/>
      <c r="AA162" s="1106"/>
      <c r="AB162" s="1106"/>
      <c r="AC162" s="1106"/>
      <c r="AD162" s="1106"/>
      <c r="AE162" s="1106"/>
      <c r="AF162" s="1106"/>
      <c r="AG162" s="1106"/>
      <c r="AH162" s="1106"/>
      <c r="AI162" s="1106"/>
      <c r="AJ162" s="1106"/>
      <c r="AK162" s="1106"/>
      <c r="AL162" s="1106"/>
      <c r="AM162" s="1106"/>
      <c r="AN162" s="1106"/>
      <c r="AO162" s="1106"/>
    </row>
    <row r="163">
      <c r="B163" s="1535" t="s">
        <v>1453</v>
      </c>
      <c r="G163" s="1106"/>
      <c r="H163" s="1106"/>
      <c r="I163" s="1106"/>
      <c r="J163" s="1106"/>
      <c r="K163" s="1106"/>
      <c r="L163" s="1106"/>
      <c r="M163" s="1106"/>
      <c r="N163" s="1106"/>
      <c r="O163" s="1106"/>
      <c r="P163" s="1106"/>
      <c r="Q163" s="1106"/>
      <c r="R163" s="1106"/>
      <c r="S163" s="1106"/>
      <c r="T163" s="1106"/>
      <c r="U163" s="1106"/>
      <c r="V163" s="1106"/>
      <c r="W163" s="1106"/>
      <c r="X163" s="1106"/>
      <c r="Y163" s="1106"/>
      <c r="Z163" s="1106"/>
      <c r="AA163" s="1106"/>
      <c r="AB163" s="1106"/>
      <c r="AC163" s="1106"/>
      <c r="AD163" s="1106"/>
      <c r="AE163" s="1106"/>
      <c r="AF163" s="1106"/>
      <c r="AG163" s="1106"/>
      <c r="AH163" s="1106"/>
      <c r="AI163" s="1106"/>
      <c r="AJ163" s="1106"/>
      <c r="AK163" s="1106"/>
      <c r="AL163" s="1106"/>
      <c r="AM163" s="1106"/>
      <c r="AN163" s="1106"/>
      <c r="AO163" s="1106"/>
    </row>
    <row r="164">
      <c r="B164" s="1535" t="s">
        <v>1454</v>
      </c>
      <c r="G164" s="1106"/>
      <c r="H164" s="1106"/>
      <c r="I164" s="1106"/>
      <c r="J164" s="1106"/>
      <c r="K164" s="1106"/>
      <c r="L164" s="1106"/>
      <c r="M164" s="1106"/>
      <c r="N164" s="1106"/>
      <c r="O164" s="1106"/>
      <c r="P164" s="1106"/>
      <c r="Q164" s="1106"/>
      <c r="R164" s="1106"/>
      <c r="S164" s="1106"/>
      <c r="T164" s="1106"/>
      <c r="U164" s="1106"/>
      <c r="V164" s="1106"/>
      <c r="W164" s="1106"/>
      <c r="X164" s="1106"/>
      <c r="Y164" s="1106"/>
      <c r="Z164" s="1106"/>
      <c r="AA164" s="1106"/>
      <c r="AB164" s="1106"/>
      <c r="AC164" s="1106"/>
      <c r="AD164" s="1106"/>
      <c r="AE164" s="1106"/>
      <c r="AF164" s="1106"/>
      <c r="AG164" s="1106"/>
      <c r="AH164" s="1106"/>
      <c r="AI164" s="1106"/>
      <c r="AJ164" s="1106"/>
      <c r="AK164" s="1106"/>
      <c r="AL164" s="1106"/>
      <c r="AM164" s="1106"/>
      <c r="AN164" s="1106"/>
      <c r="AO164" s="1106"/>
    </row>
    <row r="165">
      <c r="B165" s="1535" t="s">
        <v>1455</v>
      </c>
      <c r="G165" s="1106"/>
      <c r="H165" s="1106"/>
      <c r="I165" s="1106"/>
      <c r="J165" s="1106"/>
      <c r="K165" s="1106"/>
      <c r="L165" s="1106"/>
      <c r="M165" s="1106"/>
      <c r="N165" s="1106"/>
      <c r="O165" s="1106"/>
      <c r="P165" s="1106"/>
      <c r="Q165" s="1106"/>
      <c r="R165" s="1106"/>
      <c r="S165" s="1106"/>
      <c r="T165" s="1106"/>
      <c r="U165" s="1106"/>
      <c r="V165" s="1106"/>
      <c r="W165" s="1106"/>
      <c r="X165" s="1106"/>
      <c r="Y165" s="1106"/>
      <c r="Z165" s="1106"/>
      <c r="AA165" s="1106"/>
      <c r="AB165" s="1106"/>
      <c r="AC165" s="1106"/>
      <c r="AD165" s="1106"/>
      <c r="AE165" s="1106"/>
      <c r="AF165" s="1106"/>
      <c r="AG165" s="1106"/>
      <c r="AH165" s="1106"/>
      <c r="AI165" s="1106"/>
      <c r="AJ165" s="1106"/>
      <c r="AK165" s="1106"/>
      <c r="AL165" s="1106"/>
      <c r="AM165" s="1106"/>
      <c r="AN165" s="1106"/>
      <c r="AO165" s="1106"/>
    </row>
    <row r="166">
      <c r="A166" s="1533" t="s">
        <v>1463</v>
      </c>
      <c r="B166" s="1534" t="s">
        <v>1447</v>
      </c>
      <c r="G166" s="1106"/>
      <c r="H166" s="1106"/>
      <c r="I166" s="1106"/>
      <c r="J166" s="1106"/>
      <c r="K166" s="1106"/>
      <c r="L166" s="1106"/>
      <c r="M166" s="1106"/>
      <c r="N166" s="1106"/>
      <c r="O166" s="1106"/>
      <c r="P166" s="1106"/>
      <c r="Q166" s="1106"/>
      <c r="R166" s="1106"/>
      <c r="S166" s="1106"/>
      <c r="T166" s="1106"/>
      <c r="U166" s="1106"/>
      <c r="V166" s="1106"/>
      <c r="W166" s="1106"/>
      <c r="X166" s="1106"/>
      <c r="Y166" s="1106"/>
      <c r="Z166" s="1106"/>
      <c r="AA166" s="1106"/>
      <c r="AB166" s="1106"/>
      <c r="AC166" s="1106"/>
      <c r="AD166" s="1106"/>
      <c r="AE166" s="1106"/>
      <c r="AF166" s="1106"/>
      <c r="AG166" s="1106"/>
      <c r="AH166" s="1106"/>
      <c r="AI166" s="1106"/>
      <c r="AJ166" s="1106"/>
      <c r="AK166" s="1106"/>
      <c r="AL166" s="1106"/>
      <c r="AM166" s="1106"/>
      <c r="AN166" s="1106"/>
      <c r="AO166" s="1106"/>
    </row>
    <row r="167">
      <c r="B167" s="1535" t="s">
        <v>1448</v>
      </c>
      <c r="G167" s="1106"/>
      <c r="H167" s="1106"/>
      <c r="I167" s="1106"/>
      <c r="J167" s="1106"/>
      <c r="K167" s="1106"/>
      <c r="L167" s="1106"/>
      <c r="M167" s="1106"/>
      <c r="N167" s="1106"/>
      <c r="O167" s="1106"/>
      <c r="P167" s="1106"/>
      <c r="Q167" s="1106"/>
      <c r="R167" s="1106"/>
      <c r="S167" s="1106"/>
      <c r="T167" s="1106"/>
      <c r="U167" s="1106"/>
      <c r="V167" s="1106"/>
      <c r="W167" s="1106"/>
      <c r="X167" s="1106"/>
      <c r="Y167" s="1106"/>
      <c r="Z167" s="1106"/>
      <c r="AA167" s="1106"/>
      <c r="AB167" s="1106"/>
      <c r="AC167" s="1106"/>
      <c r="AD167" s="1106"/>
      <c r="AE167" s="1106"/>
      <c r="AF167" s="1106"/>
      <c r="AG167" s="1106"/>
      <c r="AH167" s="1106"/>
      <c r="AI167" s="1106"/>
      <c r="AJ167" s="1106"/>
      <c r="AK167" s="1106"/>
      <c r="AL167" s="1106"/>
      <c r="AM167" s="1106"/>
      <c r="AN167" s="1106"/>
      <c r="AO167" s="1106"/>
    </row>
    <row r="168">
      <c r="B168" s="1535" t="s">
        <v>1449</v>
      </c>
      <c r="G168" s="1106"/>
      <c r="H168" s="1106"/>
      <c r="I168" s="1106"/>
      <c r="J168" s="1106"/>
      <c r="K168" s="1106"/>
      <c r="L168" s="1106"/>
      <c r="M168" s="1106"/>
      <c r="N168" s="1106"/>
      <c r="O168" s="1106"/>
      <c r="P168" s="1106"/>
      <c r="Q168" s="1106"/>
      <c r="R168" s="1106"/>
      <c r="S168" s="1106"/>
      <c r="T168" s="1106"/>
      <c r="U168" s="1106"/>
      <c r="V168" s="1106"/>
      <c r="W168" s="1106"/>
      <c r="X168" s="1106"/>
      <c r="Y168" s="1106"/>
      <c r="Z168" s="1106"/>
      <c r="AA168" s="1106"/>
      <c r="AB168" s="1106"/>
      <c r="AC168" s="1106"/>
      <c r="AD168" s="1106"/>
      <c r="AE168" s="1106"/>
      <c r="AF168" s="1106"/>
      <c r="AG168" s="1106"/>
      <c r="AH168" s="1106"/>
      <c r="AI168" s="1106"/>
      <c r="AJ168" s="1106"/>
      <c r="AK168" s="1106"/>
      <c r="AL168" s="1106"/>
      <c r="AM168" s="1106"/>
      <c r="AN168" s="1106"/>
      <c r="AO168" s="1106"/>
    </row>
    <row r="169">
      <c r="B169" s="1535" t="s">
        <v>1450</v>
      </c>
      <c r="G169" s="1106"/>
      <c r="H169" s="1106"/>
      <c r="I169" s="1106"/>
      <c r="J169" s="1106"/>
      <c r="K169" s="1106"/>
      <c r="L169" s="1106"/>
      <c r="M169" s="1106"/>
      <c r="N169" s="1106"/>
      <c r="O169" s="1106"/>
      <c r="P169" s="1106"/>
      <c r="Q169" s="1106"/>
      <c r="R169" s="1106"/>
      <c r="S169" s="1106"/>
      <c r="T169" s="1106"/>
      <c r="U169" s="1106"/>
      <c r="V169" s="1106"/>
      <c r="W169" s="1106"/>
      <c r="X169" s="1106"/>
      <c r="Y169" s="1106"/>
      <c r="Z169" s="1106"/>
      <c r="AA169" s="1106"/>
      <c r="AB169" s="1106"/>
      <c r="AC169" s="1106"/>
      <c r="AD169" s="1106"/>
      <c r="AE169" s="1106"/>
      <c r="AF169" s="1106"/>
      <c r="AG169" s="1106"/>
      <c r="AH169" s="1106"/>
      <c r="AI169" s="1106"/>
      <c r="AJ169" s="1106"/>
      <c r="AK169" s="1106"/>
      <c r="AL169" s="1106"/>
      <c r="AM169" s="1106"/>
      <c r="AN169" s="1106"/>
      <c r="AO169" s="1106"/>
    </row>
    <row r="170">
      <c r="B170" s="1536" t="s">
        <v>1451</v>
      </c>
      <c r="G170" s="1106"/>
      <c r="H170" s="1106"/>
      <c r="I170" s="1106"/>
      <c r="J170" s="1106"/>
      <c r="K170" s="1106"/>
      <c r="L170" s="1106"/>
      <c r="M170" s="1106"/>
      <c r="N170" s="1106"/>
      <c r="O170" s="1106"/>
      <c r="P170" s="1106"/>
      <c r="Q170" s="1106"/>
      <c r="R170" s="1106"/>
      <c r="S170" s="1106"/>
      <c r="T170" s="1106"/>
      <c r="U170" s="1106"/>
      <c r="V170" s="1106"/>
      <c r="W170" s="1106"/>
      <c r="X170" s="1106"/>
      <c r="Y170" s="1106"/>
      <c r="Z170" s="1106"/>
      <c r="AA170" s="1106"/>
      <c r="AB170" s="1106"/>
      <c r="AC170" s="1106"/>
      <c r="AD170" s="1106"/>
      <c r="AE170" s="1106"/>
      <c r="AF170" s="1106"/>
      <c r="AG170" s="1106"/>
      <c r="AH170" s="1106"/>
      <c r="AI170" s="1106"/>
      <c r="AJ170" s="1106"/>
      <c r="AK170" s="1106"/>
      <c r="AL170" s="1106"/>
      <c r="AM170" s="1106"/>
      <c r="AN170" s="1106"/>
      <c r="AO170" s="1106"/>
    </row>
    <row r="171">
      <c r="B171" s="1536" t="s">
        <v>1452</v>
      </c>
      <c r="G171" s="1106"/>
      <c r="H171" s="1106"/>
      <c r="I171" s="1106"/>
      <c r="J171" s="1106"/>
      <c r="K171" s="1106"/>
      <c r="L171" s="1106"/>
      <c r="M171" s="1106"/>
      <c r="N171" s="1106"/>
      <c r="O171" s="1106"/>
      <c r="P171" s="1106"/>
      <c r="Q171" s="1106"/>
      <c r="R171" s="1106"/>
      <c r="S171" s="1106"/>
      <c r="T171" s="1106"/>
      <c r="U171" s="1106"/>
      <c r="V171" s="1106"/>
      <c r="W171" s="1106"/>
      <c r="X171" s="1106"/>
      <c r="Y171" s="1106"/>
      <c r="Z171" s="1106"/>
      <c r="AA171" s="1106"/>
      <c r="AB171" s="1106"/>
      <c r="AC171" s="1106"/>
      <c r="AD171" s="1106"/>
      <c r="AE171" s="1106"/>
      <c r="AF171" s="1106"/>
      <c r="AG171" s="1106"/>
      <c r="AH171" s="1106"/>
      <c r="AI171" s="1106"/>
      <c r="AJ171" s="1106"/>
      <c r="AK171" s="1106"/>
      <c r="AL171" s="1106"/>
      <c r="AM171" s="1106"/>
      <c r="AN171" s="1106"/>
      <c r="AO171" s="1106"/>
    </row>
    <row r="172">
      <c r="B172" s="1535" t="s">
        <v>1453</v>
      </c>
      <c r="G172" s="1106"/>
      <c r="H172" s="1106"/>
      <c r="I172" s="1106"/>
      <c r="J172" s="1106"/>
      <c r="K172" s="1106"/>
      <c r="L172" s="1106"/>
      <c r="M172" s="1106"/>
      <c r="N172" s="1106"/>
      <c r="O172" s="1106"/>
      <c r="P172" s="1106"/>
      <c r="Q172" s="1106"/>
      <c r="R172" s="1106"/>
      <c r="S172" s="1106"/>
      <c r="T172" s="1106"/>
      <c r="U172" s="1106"/>
      <c r="V172" s="1106"/>
      <c r="W172" s="1106"/>
      <c r="X172" s="1106"/>
      <c r="Y172" s="1106"/>
      <c r="Z172" s="1106"/>
      <c r="AA172" s="1106"/>
      <c r="AB172" s="1106"/>
      <c r="AC172" s="1106"/>
      <c r="AD172" s="1106"/>
      <c r="AE172" s="1106"/>
      <c r="AF172" s="1106"/>
      <c r="AG172" s="1106"/>
      <c r="AH172" s="1106"/>
      <c r="AI172" s="1106"/>
      <c r="AJ172" s="1106"/>
      <c r="AK172" s="1106"/>
      <c r="AL172" s="1106"/>
      <c r="AM172" s="1106"/>
      <c r="AN172" s="1106"/>
      <c r="AO172" s="1106"/>
    </row>
    <row r="173">
      <c r="B173" s="1535" t="s">
        <v>1454</v>
      </c>
      <c r="G173" s="1106"/>
      <c r="H173" s="1106"/>
      <c r="I173" s="1106"/>
      <c r="J173" s="1106"/>
      <c r="K173" s="1106"/>
      <c r="L173" s="1106"/>
      <c r="M173" s="1106"/>
      <c r="N173" s="1106"/>
      <c r="O173" s="1106"/>
      <c r="P173" s="1106"/>
      <c r="Q173" s="1106"/>
      <c r="R173" s="1106"/>
      <c r="S173" s="1106"/>
      <c r="T173" s="1106"/>
      <c r="U173" s="1106"/>
      <c r="V173" s="1106"/>
      <c r="W173" s="1106"/>
      <c r="X173" s="1106"/>
      <c r="Y173" s="1106"/>
      <c r="Z173" s="1106"/>
      <c r="AA173" s="1106"/>
      <c r="AB173" s="1106"/>
      <c r="AC173" s="1106"/>
      <c r="AD173" s="1106"/>
      <c r="AE173" s="1106"/>
      <c r="AF173" s="1106"/>
      <c r="AG173" s="1106"/>
      <c r="AH173" s="1106"/>
      <c r="AI173" s="1106"/>
      <c r="AJ173" s="1106"/>
      <c r="AK173" s="1106"/>
      <c r="AL173" s="1106"/>
      <c r="AM173" s="1106"/>
      <c r="AN173" s="1106"/>
      <c r="AO173" s="1106"/>
    </row>
    <row r="174">
      <c r="B174" s="1535" t="s">
        <v>1455</v>
      </c>
      <c r="G174" s="1106"/>
      <c r="H174" s="1106"/>
      <c r="I174" s="1106"/>
      <c r="J174" s="1106"/>
      <c r="K174" s="1106"/>
      <c r="L174" s="1106"/>
      <c r="M174" s="1106"/>
      <c r="N174" s="1106"/>
      <c r="O174" s="1106"/>
      <c r="P174" s="1106"/>
      <c r="Q174" s="1106"/>
      <c r="R174" s="1106"/>
      <c r="S174" s="1106"/>
      <c r="T174" s="1106"/>
      <c r="U174" s="1106"/>
      <c r="V174" s="1106"/>
      <c r="W174" s="1106"/>
      <c r="X174" s="1106"/>
      <c r="Y174" s="1106"/>
      <c r="Z174" s="1106"/>
      <c r="AA174" s="1106"/>
      <c r="AB174" s="1106"/>
      <c r="AC174" s="1106"/>
      <c r="AD174" s="1106"/>
      <c r="AE174" s="1106"/>
      <c r="AF174" s="1106"/>
      <c r="AG174" s="1106"/>
      <c r="AH174" s="1106"/>
      <c r="AI174" s="1106"/>
      <c r="AJ174" s="1106"/>
      <c r="AK174" s="1106"/>
      <c r="AL174" s="1106"/>
      <c r="AM174" s="1106"/>
      <c r="AN174" s="1106"/>
      <c r="AO174" s="1106"/>
    </row>
    <row r="175">
      <c r="A175" s="1533" t="s">
        <v>1464</v>
      </c>
      <c r="B175" s="1534" t="s">
        <v>1447</v>
      </c>
      <c r="G175" s="1106"/>
      <c r="H175" s="1106"/>
      <c r="I175" s="1106"/>
      <c r="J175" s="1106"/>
      <c r="K175" s="1106"/>
      <c r="L175" s="1106"/>
      <c r="M175" s="1106"/>
      <c r="N175" s="1106"/>
      <c r="O175" s="1106"/>
      <c r="P175" s="1106"/>
      <c r="Q175" s="1106"/>
      <c r="R175" s="1106"/>
      <c r="S175" s="1106"/>
      <c r="T175" s="1106"/>
      <c r="U175" s="1106"/>
      <c r="V175" s="1106"/>
      <c r="W175" s="1106"/>
      <c r="X175" s="1106"/>
      <c r="Y175" s="1106"/>
      <c r="Z175" s="1106"/>
      <c r="AA175" s="1106"/>
      <c r="AB175" s="1106"/>
      <c r="AC175" s="1106"/>
      <c r="AD175" s="1106"/>
      <c r="AE175" s="1106"/>
      <c r="AF175" s="1106"/>
      <c r="AG175" s="1106"/>
      <c r="AH175" s="1106"/>
      <c r="AI175" s="1106"/>
      <c r="AJ175" s="1106"/>
      <c r="AK175" s="1106"/>
      <c r="AL175" s="1106"/>
      <c r="AM175" s="1106"/>
      <c r="AN175" s="1106"/>
      <c r="AO175" s="1106"/>
    </row>
    <row r="176">
      <c r="B176" s="1535" t="s">
        <v>1448</v>
      </c>
      <c r="G176" s="1106"/>
      <c r="H176" s="1106"/>
      <c r="I176" s="1106"/>
      <c r="J176" s="1106"/>
      <c r="K176" s="1106"/>
      <c r="L176" s="1106"/>
      <c r="M176" s="1106"/>
      <c r="N176" s="1106"/>
      <c r="O176" s="1106"/>
      <c r="P176" s="1106"/>
      <c r="Q176" s="1106"/>
      <c r="R176" s="1106"/>
      <c r="S176" s="1106"/>
      <c r="T176" s="1106"/>
      <c r="U176" s="1106"/>
      <c r="V176" s="1106"/>
      <c r="W176" s="1106"/>
      <c r="X176" s="1106"/>
      <c r="Y176" s="1106"/>
      <c r="Z176" s="1106"/>
      <c r="AA176" s="1106"/>
      <c r="AB176" s="1106"/>
      <c r="AC176" s="1106"/>
      <c r="AD176" s="1106"/>
      <c r="AE176" s="1106"/>
      <c r="AF176" s="1106"/>
      <c r="AG176" s="1106"/>
      <c r="AH176" s="1106"/>
      <c r="AI176" s="1106"/>
      <c r="AJ176" s="1106"/>
      <c r="AK176" s="1106"/>
      <c r="AL176" s="1106"/>
      <c r="AM176" s="1106"/>
      <c r="AN176" s="1106"/>
      <c r="AO176" s="1106"/>
    </row>
    <row r="177">
      <c r="B177" s="1535" t="s">
        <v>1449</v>
      </c>
      <c r="G177" s="1106"/>
      <c r="H177" s="1106"/>
      <c r="I177" s="1106"/>
      <c r="J177" s="1106"/>
      <c r="K177" s="1106"/>
      <c r="L177" s="1106"/>
      <c r="M177" s="1106"/>
      <c r="N177" s="1106"/>
      <c r="O177" s="1106"/>
      <c r="P177" s="1106"/>
      <c r="Q177" s="1106"/>
      <c r="R177" s="1106"/>
      <c r="S177" s="1106"/>
      <c r="T177" s="1106"/>
      <c r="U177" s="1106"/>
      <c r="V177" s="1106"/>
      <c r="W177" s="1106"/>
      <c r="X177" s="1106"/>
      <c r="Y177" s="1106"/>
      <c r="Z177" s="1106"/>
      <c r="AA177" s="1106"/>
      <c r="AB177" s="1106"/>
      <c r="AC177" s="1106"/>
      <c r="AD177" s="1106"/>
      <c r="AE177" s="1106"/>
      <c r="AF177" s="1106"/>
      <c r="AG177" s="1106"/>
      <c r="AH177" s="1106"/>
      <c r="AI177" s="1106"/>
      <c r="AJ177" s="1106"/>
      <c r="AK177" s="1106"/>
      <c r="AL177" s="1106"/>
      <c r="AM177" s="1106"/>
      <c r="AN177" s="1106"/>
      <c r="AO177" s="1106"/>
    </row>
    <row r="178">
      <c r="B178" s="1535" t="s">
        <v>1450</v>
      </c>
      <c r="G178" s="1106"/>
      <c r="H178" s="1106"/>
      <c r="I178" s="1106"/>
      <c r="J178" s="1106"/>
      <c r="K178" s="1106"/>
      <c r="L178" s="1106"/>
      <c r="M178" s="1106"/>
      <c r="N178" s="1106"/>
      <c r="O178" s="1106"/>
      <c r="P178" s="1106"/>
      <c r="Q178" s="1106"/>
      <c r="R178" s="1106"/>
      <c r="S178" s="1106"/>
      <c r="T178" s="1106"/>
      <c r="U178" s="1106"/>
      <c r="V178" s="1106"/>
      <c r="W178" s="1106"/>
      <c r="X178" s="1106"/>
      <c r="Y178" s="1106"/>
      <c r="Z178" s="1106"/>
      <c r="AA178" s="1106"/>
      <c r="AB178" s="1106"/>
      <c r="AC178" s="1106"/>
      <c r="AD178" s="1106"/>
      <c r="AE178" s="1106"/>
      <c r="AF178" s="1106"/>
      <c r="AG178" s="1106"/>
      <c r="AH178" s="1106"/>
      <c r="AI178" s="1106"/>
      <c r="AJ178" s="1106"/>
      <c r="AK178" s="1106"/>
      <c r="AL178" s="1106"/>
      <c r="AM178" s="1106"/>
      <c r="AN178" s="1106"/>
      <c r="AO178" s="1106"/>
    </row>
    <row r="179">
      <c r="B179" s="1536" t="s">
        <v>1451</v>
      </c>
      <c r="G179" s="1106"/>
      <c r="H179" s="1106"/>
      <c r="I179" s="1106"/>
      <c r="J179" s="1106"/>
      <c r="K179" s="1106"/>
      <c r="L179" s="1106"/>
      <c r="M179" s="1106"/>
      <c r="N179" s="1106"/>
      <c r="O179" s="1106"/>
      <c r="P179" s="1106"/>
      <c r="Q179" s="1106"/>
      <c r="R179" s="1106"/>
      <c r="S179" s="1106"/>
      <c r="T179" s="1106"/>
      <c r="U179" s="1106"/>
      <c r="V179" s="1106"/>
      <c r="W179" s="1106"/>
      <c r="X179" s="1106"/>
      <c r="Y179" s="1106"/>
      <c r="Z179" s="1106"/>
      <c r="AA179" s="1106"/>
      <c r="AB179" s="1106"/>
      <c r="AC179" s="1106"/>
      <c r="AD179" s="1106"/>
      <c r="AE179" s="1106"/>
      <c r="AF179" s="1106"/>
      <c r="AG179" s="1106"/>
      <c r="AH179" s="1106"/>
      <c r="AI179" s="1106"/>
      <c r="AJ179" s="1106"/>
      <c r="AK179" s="1106"/>
      <c r="AL179" s="1106"/>
      <c r="AM179" s="1106"/>
      <c r="AN179" s="1106"/>
      <c r="AO179" s="1106"/>
    </row>
    <row r="180">
      <c r="B180" s="1536" t="s">
        <v>1452</v>
      </c>
      <c r="G180" s="1106"/>
      <c r="H180" s="1106"/>
      <c r="I180" s="1106"/>
      <c r="J180" s="1106"/>
      <c r="K180" s="1106"/>
      <c r="L180" s="1106"/>
      <c r="M180" s="1106"/>
      <c r="N180" s="1106"/>
      <c r="O180" s="1106"/>
      <c r="P180" s="1106"/>
      <c r="Q180" s="1106"/>
      <c r="R180" s="1106"/>
      <c r="S180" s="1106"/>
      <c r="T180" s="1106"/>
      <c r="U180" s="1106"/>
      <c r="V180" s="1106"/>
      <c r="W180" s="1106"/>
      <c r="X180" s="1106"/>
      <c r="Y180" s="1106"/>
      <c r="Z180" s="1106"/>
      <c r="AA180" s="1106"/>
      <c r="AB180" s="1106"/>
      <c r="AC180" s="1106"/>
      <c r="AD180" s="1106"/>
      <c r="AE180" s="1106"/>
      <c r="AF180" s="1106"/>
      <c r="AG180" s="1106"/>
      <c r="AH180" s="1106"/>
      <c r="AI180" s="1106"/>
      <c r="AJ180" s="1106"/>
      <c r="AK180" s="1106"/>
      <c r="AL180" s="1106"/>
      <c r="AM180" s="1106"/>
      <c r="AN180" s="1106"/>
      <c r="AO180" s="1106"/>
    </row>
    <row r="181">
      <c r="B181" s="1535" t="s">
        <v>1453</v>
      </c>
      <c r="G181" s="1106"/>
      <c r="H181" s="1106"/>
      <c r="I181" s="1106"/>
      <c r="J181" s="1106"/>
      <c r="K181" s="1106"/>
      <c r="L181" s="1106"/>
      <c r="M181" s="1106"/>
      <c r="N181" s="1106"/>
      <c r="O181" s="1106"/>
      <c r="P181" s="1106"/>
      <c r="Q181" s="1106"/>
      <c r="R181" s="1106"/>
      <c r="S181" s="1106"/>
      <c r="T181" s="1106"/>
      <c r="U181" s="1106"/>
      <c r="V181" s="1106"/>
      <c r="W181" s="1106"/>
      <c r="X181" s="1106"/>
      <c r="Y181" s="1106"/>
      <c r="Z181" s="1106"/>
      <c r="AA181" s="1106"/>
      <c r="AB181" s="1106"/>
      <c r="AC181" s="1106"/>
      <c r="AD181" s="1106"/>
      <c r="AE181" s="1106"/>
      <c r="AF181" s="1106"/>
      <c r="AG181" s="1106"/>
      <c r="AH181" s="1106"/>
      <c r="AI181" s="1106"/>
      <c r="AJ181" s="1106"/>
      <c r="AK181" s="1106"/>
      <c r="AL181" s="1106"/>
      <c r="AM181" s="1106"/>
      <c r="AN181" s="1106"/>
      <c r="AO181" s="1106"/>
    </row>
    <row r="182">
      <c r="B182" s="1535" t="s">
        <v>1454</v>
      </c>
      <c r="G182" s="1106"/>
      <c r="H182" s="1106"/>
      <c r="I182" s="1106"/>
      <c r="J182" s="1106"/>
      <c r="K182" s="1106"/>
      <c r="L182" s="1106"/>
      <c r="M182" s="1106"/>
      <c r="N182" s="1106"/>
      <c r="O182" s="1106"/>
      <c r="P182" s="1106"/>
      <c r="Q182" s="1106"/>
      <c r="R182" s="1106"/>
      <c r="S182" s="1106"/>
      <c r="T182" s="1106"/>
      <c r="U182" s="1106"/>
      <c r="V182" s="1106"/>
      <c r="W182" s="1106"/>
      <c r="X182" s="1106"/>
      <c r="Y182" s="1106"/>
      <c r="Z182" s="1106"/>
      <c r="AA182" s="1106"/>
      <c r="AB182" s="1106"/>
      <c r="AC182" s="1106"/>
      <c r="AD182" s="1106"/>
      <c r="AE182" s="1106"/>
      <c r="AF182" s="1106"/>
      <c r="AG182" s="1106"/>
      <c r="AH182" s="1106"/>
      <c r="AI182" s="1106"/>
      <c r="AJ182" s="1106"/>
      <c r="AK182" s="1106"/>
      <c r="AL182" s="1106"/>
      <c r="AM182" s="1106"/>
      <c r="AN182" s="1106"/>
      <c r="AO182" s="1106"/>
    </row>
    <row r="183">
      <c r="B183" s="1535" t="s">
        <v>1455</v>
      </c>
      <c r="G183" s="1106"/>
      <c r="H183" s="1106"/>
      <c r="I183" s="1106"/>
      <c r="J183" s="1106"/>
      <c r="K183" s="1106"/>
      <c r="L183" s="1106"/>
      <c r="M183" s="1106"/>
      <c r="N183" s="1106"/>
      <c r="O183" s="1106"/>
      <c r="P183" s="1106"/>
      <c r="Q183" s="1106"/>
      <c r="R183" s="1106"/>
      <c r="S183" s="1106"/>
      <c r="T183" s="1106"/>
      <c r="U183" s="1106"/>
      <c r="V183" s="1106"/>
      <c r="W183" s="1106"/>
      <c r="X183" s="1106"/>
      <c r="Y183" s="1106"/>
      <c r="Z183" s="1106"/>
      <c r="AA183" s="1106"/>
      <c r="AB183" s="1106"/>
      <c r="AC183" s="1106"/>
      <c r="AD183" s="1106"/>
      <c r="AE183" s="1106"/>
      <c r="AF183" s="1106"/>
      <c r="AG183" s="1106"/>
      <c r="AH183" s="1106"/>
      <c r="AI183" s="1106"/>
      <c r="AJ183" s="1106"/>
      <c r="AK183" s="1106"/>
      <c r="AL183" s="1106"/>
      <c r="AM183" s="1106"/>
      <c r="AN183" s="1106"/>
      <c r="AO183" s="1106"/>
    </row>
    <row r="184">
      <c r="A184" s="1533" t="s">
        <v>1465</v>
      </c>
      <c r="B184" s="1534" t="s">
        <v>1447</v>
      </c>
      <c r="G184" s="1106"/>
      <c r="H184" s="1106"/>
      <c r="I184" s="1106"/>
      <c r="J184" s="1106"/>
      <c r="K184" s="1106"/>
      <c r="L184" s="1106"/>
      <c r="M184" s="1106"/>
      <c r="N184" s="1106"/>
      <c r="O184" s="1106"/>
      <c r="P184" s="1106"/>
      <c r="Q184" s="1106"/>
      <c r="R184" s="1106"/>
      <c r="S184" s="1106"/>
      <c r="T184" s="1106"/>
      <c r="U184" s="1106"/>
      <c r="V184" s="1106"/>
      <c r="W184" s="1106"/>
      <c r="X184" s="1106"/>
      <c r="Y184" s="1106"/>
      <c r="Z184" s="1106"/>
      <c r="AA184" s="1106"/>
      <c r="AB184" s="1106"/>
      <c r="AC184" s="1106"/>
      <c r="AD184" s="1106"/>
      <c r="AE184" s="1106"/>
      <c r="AF184" s="1106"/>
      <c r="AG184" s="1106"/>
      <c r="AH184" s="1106"/>
      <c r="AI184" s="1106"/>
      <c r="AJ184" s="1106"/>
      <c r="AK184" s="1106"/>
      <c r="AL184" s="1106"/>
      <c r="AM184" s="1106"/>
      <c r="AN184" s="1106"/>
      <c r="AO184" s="1106"/>
    </row>
    <row r="185">
      <c r="B185" s="1535" t="s">
        <v>1448</v>
      </c>
      <c r="G185" s="1106"/>
      <c r="H185" s="1106"/>
      <c r="I185" s="1106"/>
      <c r="J185" s="1106"/>
      <c r="K185" s="1106"/>
      <c r="L185" s="1106"/>
      <c r="M185" s="1106"/>
      <c r="N185" s="1106"/>
      <c r="O185" s="1106"/>
      <c r="P185" s="1106"/>
      <c r="Q185" s="1106"/>
      <c r="R185" s="1106"/>
      <c r="S185" s="1106"/>
      <c r="T185" s="1106"/>
      <c r="U185" s="1106"/>
      <c r="V185" s="1106"/>
      <c r="W185" s="1106"/>
      <c r="X185" s="1106"/>
      <c r="Y185" s="1106"/>
      <c r="Z185" s="1106"/>
      <c r="AA185" s="1106"/>
      <c r="AB185" s="1106"/>
      <c r="AC185" s="1106"/>
      <c r="AD185" s="1106"/>
      <c r="AE185" s="1106"/>
      <c r="AF185" s="1106"/>
      <c r="AG185" s="1106"/>
      <c r="AH185" s="1106"/>
      <c r="AI185" s="1106"/>
      <c r="AJ185" s="1106"/>
      <c r="AK185" s="1106"/>
      <c r="AL185" s="1106"/>
      <c r="AM185" s="1106"/>
      <c r="AN185" s="1106"/>
      <c r="AO185" s="1106"/>
    </row>
    <row r="186">
      <c r="B186" s="1535" t="s">
        <v>1449</v>
      </c>
      <c r="G186" s="1106"/>
      <c r="H186" s="1106"/>
      <c r="I186" s="1106"/>
      <c r="J186" s="1106"/>
      <c r="K186" s="1106"/>
      <c r="L186" s="1106"/>
      <c r="M186" s="1106"/>
      <c r="N186" s="1106"/>
      <c r="O186" s="1106"/>
      <c r="P186" s="1106"/>
      <c r="Q186" s="1106"/>
      <c r="R186" s="1106"/>
      <c r="S186" s="1106"/>
      <c r="T186" s="1106"/>
      <c r="U186" s="1106"/>
      <c r="V186" s="1106"/>
      <c r="W186" s="1106"/>
      <c r="X186" s="1106"/>
      <c r="Y186" s="1106"/>
      <c r="Z186" s="1106"/>
      <c r="AA186" s="1106"/>
      <c r="AB186" s="1106"/>
      <c r="AC186" s="1106"/>
      <c r="AD186" s="1106"/>
      <c r="AE186" s="1106"/>
      <c r="AF186" s="1106"/>
      <c r="AG186" s="1106"/>
      <c r="AH186" s="1106"/>
      <c r="AI186" s="1106"/>
      <c r="AJ186" s="1106"/>
      <c r="AK186" s="1106"/>
      <c r="AL186" s="1106"/>
      <c r="AM186" s="1106"/>
      <c r="AN186" s="1106"/>
      <c r="AO186" s="1106"/>
    </row>
    <row r="187">
      <c r="B187" s="1535" t="s">
        <v>1450</v>
      </c>
      <c r="G187" s="1106"/>
      <c r="H187" s="1106"/>
      <c r="I187" s="1106"/>
      <c r="J187" s="1106"/>
      <c r="K187" s="1106"/>
      <c r="L187" s="1106"/>
      <c r="M187" s="1106"/>
      <c r="N187" s="1106"/>
      <c r="O187" s="1106"/>
      <c r="P187" s="1106"/>
      <c r="Q187" s="1106"/>
      <c r="R187" s="1106"/>
      <c r="S187" s="1106"/>
      <c r="T187" s="1106"/>
      <c r="U187" s="1106"/>
      <c r="V187" s="1106"/>
      <c r="W187" s="1106"/>
      <c r="X187" s="1106"/>
      <c r="Y187" s="1106"/>
      <c r="Z187" s="1106"/>
      <c r="AA187" s="1106"/>
      <c r="AB187" s="1106"/>
      <c r="AC187" s="1106"/>
      <c r="AD187" s="1106"/>
      <c r="AE187" s="1106"/>
      <c r="AF187" s="1106"/>
      <c r="AG187" s="1106"/>
      <c r="AH187" s="1106"/>
      <c r="AI187" s="1106"/>
      <c r="AJ187" s="1106"/>
      <c r="AK187" s="1106"/>
      <c r="AL187" s="1106"/>
      <c r="AM187" s="1106"/>
      <c r="AN187" s="1106"/>
      <c r="AO187" s="1106"/>
    </row>
    <row r="188">
      <c r="B188" s="1536" t="s">
        <v>1451</v>
      </c>
      <c r="G188" s="1106"/>
      <c r="H188" s="1106"/>
      <c r="I188" s="1106"/>
      <c r="J188" s="1106"/>
      <c r="K188" s="1106"/>
      <c r="L188" s="1106"/>
      <c r="M188" s="1106"/>
      <c r="N188" s="1106"/>
      <c r="O188" s="1106"/>
      <c r="P188" s="1106"/>
      <c r="Q188" s="1106"/>
      <c r="R188" s="1106"/>
      <c r="S188" s="1106"/>
      <c r="T188" s="1106"/>
      <c r="U188" s="1106"/>
      <c r="V188" s="1106"/>
      <c r="W188" s="1106"/>
      <c r="X188" s="1106"/>
      <c r="Y188" s="1106"/>
      <c r="Z188" s="1106"/>
      <c r="AA188" s="1106"/>
      <c r="AB188" s="1106"/>
      <c r="AC188" s="1106"/>
      <c r="AD188" s="1106"/>
      <c r="AE188" s="1106"/>
      <c r="AF188" s="1106"/>
      <c r="AG188" s="1106"/>
      <c r="AH188" s="1106"/>
      <c r="AI188" s="1106"/>
      <c r="AJ188" s="1106"/>
      <c r="AK188" s="1106"/>
      <c r="AL188" s="1106"/>
      <c r="AM188" s="1106"/>
      <c r="AN188" s="1106"/>
      <c r="AO188" s="1106"/>
    </row>
    <row r="189">
      <c r="B189" s="1536" t="s">
        <v>1452</v>
      </c>
      <c r="G189" s="1106"/>
      <c r="H189" s="1106"/>
      <c r="I189" s="1106"/>
      <c r="J189" s="1106"/>
      <c r="K189" s="1106"/>
      <c r="L189" s="1106"/>
      <c r="M189" s="1106"/>
      <c r="N189" s="1106"/>
      <c r="O189" s="1106"/>
      <c r="P189" s="1106"/>
      <c r="Q189" s="1106"/>
      <c r="R189" s="1106"/>
      <c r="S189" s="1106"/>
      <c r="T189" s="1106"/>
      <c r="U189" s="1106"/>
      <c r="V189" s="1106"/>
      <c r="W189" s="1106"/>
      <c r="X189" s="1106"/>
      <c r="Y189" s="1106"/>
      <c r="Z189" s="1106"/>
      <c r="AA189" s="1106"/>
      <c r="AB189" s="1106"/>
      <c r="AC189" s="1106"/>
      <c r="AD189" s="1106"/>
      <c r="AE189" s="1106"/>
      <c r="AF189" s="1106"/>
      <c r="AG189" s="1106"/>
      <c r="AH189" s="1106"/>
      <c r="AI189" s="1106"/>
      <c r="AJ189" s="1106"/>
      <c r="AK189" s="1106"/>
      <c r="AL189" s="1106"/>
      <c r="AM189" s="1106"/>
      <c r="AN189" s="1106"/>
      <c r="AO189" s="1106"/>
    </row>
    <row r="190">
      <c r="B190" s="1535" t="s">
        <v>1453</v>
      </c>
      <c r="G190" s="1106"/>
      <c r="H190" s="1106"/>
      <c r="I190" s="1106"/>
      <c r="J190" s="1106"/>
      <c r="K190" s="1106"/>
      <c r="L190" s="1106"/>
      <c r="M190" s="1106"/>
      <c r="N190" s="1106"/>
      <c r="O190" s="1106"/>
      <c r="P190" s="1106"/>
      <c r="Q190" s="1106"/>
      <c r="R190" s="1106"/>
      <c r="S190" s="1106"/>
      <c r="T190" s="1106"/>
      <c r="U190" s="1106"/>
      <c r="V190" s="1106"/>
      <c r="W190" s="1106"/>
      <c r="X190" s="1106"/>
      <c r="Y190" s="1106"/>
      <c r="Z190" s="1106"/>
      <c r="AA190" s="1106"/>
      <c r="AB190" s="1106"/>
      <c r="AC190" s="1106"/>
      <c r="AD190" s="1106"/>
      <c r="AE190" s="1106"/>
      <c r="AF190" s="1106"/>
      <c r="AG190" s="1106"/>
      <c r="AH190" s="1106"/>
      <c r="AI190" s="1106"/>
      <c r="AJ190" s="1106"/>
      <c r="AK190" s="1106"/>
      <c r="AL190" s="1106"/>
      <c r="AM190" s="1106"/>
      <c r="AN190" s="1106"/>
      <c r="AO190" s="1106"/>
    </row>
    <row r="191">
      <c r="B191" s="1535" t="s">
        <v>1454</v>
      </c>
      <c r="G191" s="1106"/>
      <c r="H191" s="1106"/>
      <c r="I191" s="1106"/>
      <c r="J191" s="1106"/>
      <c r="K191" s="1106"/>
      <c r="L191" s="1106"/>
      <c r="M191" s="1106"/>
      <c r="N191" s="1106"/>
      <c r="O191" s="1106"/>
      <c r="P191" s="1106"/>
      <c r="Q191" s="1106"/>
      <c r="R191" s="1106"/>
      <c r="S191" s="1106"/>
      <c r="T191" s="1106"/>
      <c r="U191" s="1106"/>
      <c r="V191" s="1106"/>
      <c r="W191" s="1106"/>
      <c r="X191" s="1106"/>
      <c r="Y191" s="1106"/>
      <c r="Z191" s="1106"/>
      <c r="AA191" s="1106"/>
      <c r="AB191" s="1106"/>
      <c r="AC191" s="1106"/>
      <c r="AD191" s="1106"/>
      <c r="AE191" s="1106"/>
      <c r="AF191" s="1106"/>
      <c r="AG191" s="1106"/>
      <c r="AH191" s="1106"/>
      <c r="AI191" s="1106"/>
      <c r="AJ191" s="1106"/>
      <c r="AK191" s="1106"/>
      <c r="AL191" s="1106"/>
      <c r="AM191" s="1106"/>
      <c r="AN191" s="1106"/>
      <c r="AO191" s="1106"/>
    </row>
    <row r="192">
      <c r="B192" s="1535" t="s">
        <v>1455</v>
      </c>
      <c r="G192" s="1106"/>
      <c r="H192" s="1106"/>
      <c r="I192" s="1106"/>
      <c r="J192" s="1106"/>
      <c r="K192" s="1106"/>
      <c r="L192" s="1106"/>
      <c r="M192" s="1106"/>
      <c r="N192" s="1106"/>
      <c r="O192" s="1106"/>
      <c r="P192" s="1106"/>
      <c r="Q192" s="1106"/>
      <c r="R192" s="1106"/>
      <c r="S192" s="1106"/>
      <c r="T192" s="1106"/>
      <c r="U192" s="1106"/>
      <c r="V192" s="1106"/>
      <c r="W192" s="1106"/>
      <c r="X192" s="1106"/>
      <c r="Y192" s="1106"/>
      <c r="Z192" s="1106"/>
      <c r="AA192" s="1106"/>
      <c r="AB192" s="1106"/>
      <c r="AC192" s="1106"/>
      <c r="AD192" s="1106"/>
      <c r="AE192" s="1106"/>
      <c r="AF192" s="1106"/>
      <c r="AG192" s="1106"/>
      <c r="AH192" s="1106"/>
      <c r="AI192" s="1106"/>
      <c r="AJ192" s="1106"/>
      <c r="AK192" s="1106"/>
      <c r="AL192" s="1106"/>
      <c r="AM192" s="1106"/>
      <c r="AN192" s="1106"/>
      <c r="AO192" s="1106"/>
    </row>
    <row r="193">
      <c r="A193" s="1533" t="s">
        <v>1466</v>
      </c>
      <c r="B193" s="1534" t="s">
        <v>1447</v>
      </c>
      <c r="G193" s="1106"/>
      <c r="H193" s="1106"/>
      <c r="I193" s="1106"/>
      <c r="J193" s="1106"/>
      <c r="K193" s="1106"/>
      <c r="L193" s="1106"/>
      <c r="M193" s="1106"/>
      <c r="N193" s="1106"/>
      <c r="O193" s="1106"/>
      <c r="P193" s="1106"/>
      <c r="Q193" s="1106"/>
      <c r="R193" s="1106"/>
      <c r="S193" s="1106"/>
      <c r="T193" s="1106"/>
      <c r="U193" s="1106"/>
      <c r="V193" s="1106"/>
      <c r="W193" s="1106"/>
      <c r="X193" s="1106"/>
      <c r="Y193" s="1106"/>
      <c r="Z193" s="1106"/>
      <c r="AA193" s="1106"/>
      <c r="AB193" s="1106"/>
      <c r="AC193" s="1106"/>
      <c r="AD193" s="1106"/>
      <c r="AE193" s="1106"/>
      <c r="AF193" s="1106"/>
      <c r="AG193" s="1106"/>
      <c r="AH193" s="1106"/>
      <c r="AI193" s="1106"/>
      <c r="AJ193" s="1106"/>
      <c r="AK193" s="1106"/>
      <c r="AL193" s="1106"/>
      <c r="AM193" s="1106"/>
      <c r="AN193" s="1106"/>
      <c r="AO193" s="1106"/>
    </row>
    <row r="194">
      <c r="B194" s="1535" t="s">
        <v>1448</v>
      </c>
      <c r="G194" s="1106"/>
      <c r="H194" s="1106"/>
      <c r="I194" s="1106"/>
      <c r="J194" s="1106"/>
      <c r="K194" s="1106"/>
      <c r="L194" s="1106"/>
      <c r="M194" s="1106"/>
      <c r="N194" s="1106"/>
      <c r="O194" s="1106"/>
      <c r="P194" s="1106"/>
      <c r="Q194" s="1106"/>
      <c r="R194" s="1106"/>
      <c r="S194" s="1106"/>
      <c r="T194" s="1106"/>
      <c r="U194" s="1106"/>
      <c r="V194" s="1106"/>
      <c r="W194" s="1106"/>
      <c r="X194" s="1106"/>
      <c r="Y194" s="1106"/>
      <c r="Z194" s="1106"/>
      <c r="AA194" s="1106"/>
      <c r="AB194" s="1106"/>
      <c r="AC194" s="1106"/>
      <c r="AD194" s="1106"/>
      <c r="AE194" s="1106"/>
      <c r="AF194" s="1106"/>
      <c r="AG194" s="1106"/>
      <c r="AH194" s="1106"/>
      <c r="AI194" s="1106"/>
      <c r="AJ194" s="1106"/>
      <c r="AK194" s="1106"/>
      <c r="AL194" s="1106"/>
      <c r="AM194" s="1106"/>
      <c r="AN194" s="1106"/>
      <c r="AO194" s="1106"/>
    </row>
    <row r="195">
      <c r="B195" s="1535" t="s">
        <v>1449</v>
      </c>
      <c r="G195" s="1106"/>
      <c r="H195" s="1106"/>
      <c r="I195" s="1106"/>
      <c r="J195" s="1106"/>
      <c r="K195" s="1106"/>
      <c r="L195" s="1106"/>
      <c r="M195" s="1106"/>
      <c r="N195" s="1106"/>
      <c r="O195" s="1106"/>
      <c r="P195" s="1106"/>
      <c r="Q195" s="1106"/>
      <c r="R195" s="1106"/>
      <c r="S195" s="1106"/>
      <c r="T195" s="1106"/>
      <c r="U195" s="1106"/>
      <c r="V195" s="1106"/>
      <c r="W195" s="1106"/>
      <c r="X195" s="1106"/>
      <c r="Y195" s="1106"/>
      <c r="Z195" s="1106"/>
      <c r="AA195" s="1106"/>
      <c r="AB195" s="1106"/>
      <c r="AC195" s="1106"/>
      <c r="AD195" s="1106"/>
      <c r="AE195" s="1106"/>
      <c r="AF195" s="1106"/>
      <c r="AG195" s="1106"/>
      <c r="AH195" s="1106"/>
      <c r="AI195" s="1106"/>
      <c r="AJ195" s="1106"/>
      <c r="AK195" s="1106"/>
      <c r="AL195" s="1106"/>
      <c r="AM195" s="1106"/>
      <c r="AN195" s="1106"/>
      <c r="AO195" s="1106"/>
    </row>
    <row r="196">
      <c r="B196" s="1535" t="s">
        <v>1450</v>
      </c>
      <c r="G196" s="1106"/>
      <c r="H196" s="1106"/>
      <c r="I196" s="1106"/>
      <c r="J196" s="1106"/>
      <c r="K196" s="1106"/>
      <c r="L196" s="1106"/>
      <c r="M196" s="1106"/>
      <c r="N196" s="1106"/>
      <c r="O196" s="1106"/>
      <c r="P196" s="1106"/>
      <c r="Q196" s="1106"/>
      <c r="R196" s="1106"/>
      <c r="S196" s="1106"/>
      <c r="T196" s="1106"/>
      <c r="U196" s="1106"/>
      <c r="V196" s="1106"/>
      <c r="W196" s="1106"/>
      <c r="X196" s="1106"/>
      <c r="Y196" s="1106"/>
      <c r="Z196" s="1106"/>
      <c r="AA196" s="1106"/>
      <c r="AB196" s="1106"/>
      <c r="AC196" s="1106"/>
      <c r="AD196" s="1106"/>
      <c r="AE196" s="1106"/>
      <c r="AF196" s="1106"/>
      <c r="AG196" s="1106"/>
      <c r="AH196" s="1106"/>
      <c r="AI196" s="1106"/>
      <c r="AJ196" s="1106"/>
      <c r="AK196" s="1106"/>
      <c r="AL196" s="1106"/>
      <c r="AM196" s="1106"/>
      <c r="AN196" s="1106"/>
      <c r="AO196" s="1106"/>
    </row>
    <row r="197">
      <c r="B197" s="1536" t="s">
        <v>1451</v>
      </c>
      <c r="G197" s="1106"/>
      <c r="H197" s="1106"/>
      <c r="I197" s="1106"/>
      <c r="J197" s="1106"/>
      <c r="K197" s="1106"/>
      <c r="L197" s="1106"/>
      <c r="M197" s="1106"/>
      <c r="N197" s="1106"/>
      <c r="O197" s="1106"/>
      <c r="P197" s="1106"/>
      <c r="Q197" s="1106"/>
      <c r="R197" s="1106"/>
      <c r="S197" s="1106"/>
      <c r="T197" s="1106"/>
      <c r="U197" s="1106"/>
      <c r="V197" s="1106"/>
      <c r="W197" s="1106"/>
      <c r="X197" s="1106"/>
      <c r="Y197" s="1106"/>
      <c r="Z197" s="1106"/>
      <c r="AA197" s="1106"/>
      <c r="AB197" s="1106"/>
      <c r="AC197" s="1106"/>
      <c r="AD197" s="1106"/>
      <c r="AE197" s="1106"/>
      <c r="AF197" s="1106"/>
      <c r="AG197" s="1106"/>
      <c r="AH197" s="1106"/>
      <c r="AI197" s="1106"/>
      <c r="AJ197" s="1106"/>
      <c r="AK197" s="1106"/>
      <c r="AL197" s="1106"/>
      <c r="AM197" s="1106"/>
      <c r="AN197" s="1106"/>
      <c r="AO197" s="1106"/>
    </row>
    <row r="198">
      <c r="B198" s="1536" t="s">
        <v>1452</v>
      </c>
      <c r="G198" s="1106"/>
      <c r="H198" s="1106"/>
      <c r="I198" s="1106"/>
      <c r="J198" s="1106"/>
      <c r="K198" s="1106"/>
      <c r="L198" s="1106"/>
      <c r="M198" s="1106"/>
      <c r="N198" s="1106"/>
      <c r="O198" s="1106"/>
      <c r="P198" s="1106"/>
      <c r="Q198" s="1106"/>
      <c r="R198" s="1106"/>
      <c r="S198" s="1106"/>
      <c r="T198" s="1106"/>
      <c r="U198" s="1106"/>
      <c r="V198" s="1106"/>
      <c r="W198" s="1106"/>
      <c r="X198" s="1106"/>
      <c r="Y198" s="1106"/>
      <c r="Z198" s="1106"/>
      <c r="AA198" s="1106"/>
      <c r="AB198" s="1106"/>
      <c r="AC198" s="1106"/>
      <c r="AD198" s="1106"/>
      <c r="AE198" s="1106"/>
      <c r="AF198" s="1106"/>
      <c r="AG198" s="1106"/>
      <c r="AH198" s="1106"/>
      <c r="AI198" s="1106"/>
      <c r="AJ198" s="1106"/>
      <c r="AK198" s="1106"/>
      <c r="AL198" s="1106"/>
      <c r="AM198" s="1106"/>
      <c r="AN198" s="1106"/>
      <c r="AO198" s="1106"/>
    </row>
    <row r="199">
      <c r="B199" s="1535" t="s">
        <v>1453</v>
      </c>
      <c r="G199" s="1106"/>
      <c r="H199" s="1106"/>
      <c r="I199" s="1106"/>
      <c r="J199" s="1106"/>
      <c r="K199" s="1106"/>
      <c r="L199" s="1106"/>
      <c r="M199" s="1106"/>
      <c r="N199" s="1106"/>
      <c r="O199" s="1106"/>
      <c r="P199" s="1106"/>
      <c r="Q199" s="1106"/>
      <c r="R199" s="1106"/>
      <c r="S199" s="1106"/>
      <c r="T199" s="1106"/>
      <c r="U199" s="1106"/>
      <c r="V199" s="1106"/>
      <c r="W199" s="1106"/>
      <c r="X199" s="1106"/>
      <c r="Y199" s="1106"/>
      <c r="Z199" s="1106"/>
      <c r="AA199" s="1106"/>
      <c r="AB199" s="1106"/>
      <c r="AC199" s="1106"/>
      <c r="AD199" s="1106"/>
      <c r="AE199" s="1106"/>
      <c r="AF199" s="1106"/>
      <c r="AG199" s="1106"/>
      <c r="AH199" s="1106"/>
      <c r="AI199" s="1106"/>
      <c r="AJ199" s="1106"/>
      <c r="AK199" s="1106"/>
      <c r="AL199" s="1106"/>
      <c r="AM199" s="1106"/>
      <c r="AN199" s="1106"/>
      <c r="AO199" s="1106"/>
    </row>
    <row r="200">
      <c r="B200" s="1535" t="s">
        <v>1454</v>
      </c>
      <c r="G200" s="1106"/>
      <c r="H200" s="1106"/>
      <c r="I200" s="1106"/>
      <c r="J200" s="1106"/>
      <c r="K200" s="1106"/>
      <c r="L200" s="1106"/>
      <c r="M200" s="1106"/>
      <c r="N200" s="1106"/>
      <c r="O200" s="1106"/>
      <c r="P200" s="1106"/>
      <c r="Q200" s="1106"/>
      <c r="R200" s="1106"/>
      <c r="S200" s="1106"/>
      <c r="T200" s="1106"/>
      <c r="U200" s="1106"/>
      <c r="V200" s="1106"/>
      <c r="W200" s="1106"/>
      <c r="X200" s="1106"/>
      <c r="Y200" s="1106"/>
      <c r="Z200" s="1106"/>
      <c r="AA200" s="1106"/>
      <c r="AB200" s="1106"/>
      <c r="AC200" s="1106"/>
      <c r="AD200" s="1106"/>
      <c r="AE200" s="1106"/>
      <c r="AF200" s="1106"/>
      <c r="AG200" s="1106"/>
      <c r="AH200" s="1106"/>
      <c r="AI200" s="1106"/>
      <c r="AJ200" s="1106"/>
      <c r="AK200" s="1106"/>
      <c r="AL200" s="1106"/>
      <c r="AM200" s="1106"/>
      <c r="AN200" s="1106"/>
      <c r="AO200" s="1106"/>
    </row>
    <row r="201">
      <c r="B201" s="1535" t="s">
        <v>1455</v>
      </c>
      <c r="G201" s="1106"/>
      <c r="H201" s="1106"/>
      <c r="I201" s="1106"/>
      <c r="J201" s="1106"/>
      <c r="K201" s="1106"/>
      <c r="L201" s="1106"/>
      <c r="M201" s="1106"/>
      <c r="N201" s="1106"/>
      <c r="O201" s="1106"/>
      <c r="P201" s="1106"/>
      <c r="Q201" s="1106"/>
      <c r="R201" s="1106"/>
      <c r="S201" s="1106"/>
      <c r="T201" s="1106"/>
      <c r="U201" s="1106"/>
      <c r="V201" s="1106"/>
      <c r="W201" s="1106"/>
      <c r="X201" s="1106"/>
      <c r="Y201" s="1106"/>
      <c r="Z201" s="1106"/>
      <c r="AA201" s="1106"/>
      <c r="AB201" s="1106"/>
      <c r="AC201" s="1106"/>
      <c r="AD201" s="1106"/>
      <c r="AE201" s="1106"/>
      <c r="AF201" s="1106"/>
      <c r="AG201" s="1106"/>
      <c r="AH201" s="1106"/>
      <c r="AI201" s="1106"/>
      <c r="AJ201" s="1106"/>
      <c r="AK201" s="1106"/>
      <c r="AL201" s="1106"/>
      <c r="AM201" s="1106"/>
      <c r="AN201" s="1106"/>
      <c r="AO201" s="1106"/>
    </row>
    <row r="202">
      <c r="A202" s="1533" t="s">
        <v>1467</v>
      </c>
      <c r="B202" s="1534" t="s">
        <v>1447</v>
      </c>
      <c r="G202" s="1106"/>
      <c r="H202" s="1106"/>
      <c r="I202" s="1106"/>
      <c r="J202" s="1106"/>
      <c r="K202" s="1106"/>
      <c r="L202" s="1106"/>
      <c r="M202" s="1106"/>
      <c r="N202" s="1106"/>
      <c r="O202" s="1106"/>
      <c r="P202" s="1106"/>
      <c r="Q202" s="1106"/>
      <c r="R202" s="1106"/>
      <c r="S202" s="1106"/>
      <c r="T202" s="1106"/>
      <c r="U202" s="1106"/>
      <c r="V202" s="1106"/>
      <c r="W202" s="1106"/>
      <c r="X202" s="1106"/>
      <c r="Y202" s="1106"/>
      <c r="Z202" s="1106"/>
      <c r="AA202" s="1106"/>
      <c r="AB202" s="1106"/>
      <c r="AC202" s="1106"/>
      <c r="AD202" s="1106"/>
      <c r="AE202" s="1106"/>
      <c r="AF202" s="1106"/>
      <c r="AG202" s="1106"/>
      <c r="AH202" s="1106"/>
      <c r="AI202" s="1106"/>
      <c r="AJ202" s="1106"/>
      <c r="AK202" s="1106"/>
      <c r="AL202" s="1106"/>
      <c r="AM202" s="1106"/>
      <c r="AN202" s="1106"/>
      <c r="AO202" s="1106"/>
    </row>
    <row r="203">
      <c r="B203" s="1535" t="s">
        <v>1448</v>
      </c>
      <c r="G203" s="1106"/>
      <c r="H203" s="1106"/>
      <c r="I203" s="1106"/>
      <c r="J203" s="1106"/>
      <c r="K203" s="1106"/>
      <c r="L203" s="1106"/>
      <c r="M203" s="1106"/>
      <c r="N203" s="1106"/>
      <c r="O203" s="1106"/>
      <c r="P203" s="1106"/>
      <c r="Q203" s="1106"/>
      <c r="R203" s="1106"/>
      <c r="S203" s="1106"/>
      <c r="T203" s="1106"/>
      <c r="U203" s="1106"/>
      <c r="V203" s="1106"/>
      <c r="W203" s="1106"/>
      <c r="X203" s="1106"/>
      <c r="Y203" s="1106"/>
      <c r="Z203" s="1106"/>
      <c r="AA203" s="1106"/>
      <c r="AB203" s="1106"/>
      <c r="AC203" s="1106"/>
      <c r="AD203" s="1106"/>
      <c r="AE203" s="1106"/>
      <c r="AF203" s="1106"/>
      <c r="AG203" s="1106"/>
      <c r="AH203" s="1106"/>
      <c r="AI203" s="1106"/>
      <c r="AJ203" s="1106"/>
      <c r="AK203" s="1106"/>
      <c r="AL203" s="1106"/>
      <c r="AM203" s="1106"/>
      <c r="AN203" s="1106"/>
      <c r="AO203" s="1106"/>
    </row>
    <row r="204">
      <c r="B204" s="1535" t="s">
        <v>1449</v>
      </c>
      <c r="G204" s="1106"/>
      <c r="H204" s="1106"/>
      <c r="I204" s="1106"/>
      <c r="J204" s="1106"/>
      <c r="K204" s="1106"/>
      <c r="L204" s="1106"/>
      <c r="M204" s="1106"/>
      <c r="N204" s="1106"/>
      <c r="O204" s="1106"/>
      <c r="P204" s="1106"/>
      <c r="Q204" s="1106"/>
      <c r="R204" s="1106"/>
      <c r="S204" s="1106"/>
      <c r="T204" s="1106"/>
      <c r="U204" s="1106"/>
      <c r="V204" s="1106"/>
      <c r="W204" s="1106"/>
      <c r="X204" s="1106"/>
      <c r="Y204" s="1106"/>
      <c r="Z204" s="1106"/>
      <c r="AA204" s="1106"/>
      <c r="AB204" s="1106"/>
      <c r="AC204" s="1106"/>
      <c r="AD204" s="1106"/>
      <c r="AE204" s="1106"/>
      <c r="AF204" s="1106"/>
      <c r="AG204" s="1106"/>
      <c r="AH204" s="1106"/>
      <c r="AI204" s="1106"/>
      <c r="AJ204" s="1106"/>
      <c r="AK204" s="1106"/>
      <c r="AL204" s="1106"/>
      <c r="AM204" s="1106"/>
      <c r="AN204" s="1106"/>
      <c r="AO204" s="1106"/>
    </row>
    <row r="205">
      <c r="B205" s="1535" t="s">
        <v>1450</v>
      </c>
      <c r="G205" s="1106"/>
      <c r="H205" s="1106"/>
      <c r="I205" s="1106"/>
      <c r="J205" s="1106"/>
      <c r="K205" s="1106"/>
      <c r="L205" s="1106"/>
      <c r="M205" s="1106"/>
      <c r="N205" s="1106"/>
      <c r="O205" s="1106"/>
      <c r="P205" s="1106"/>
      <c r="Q205" s="1106"/>
      <c r="R205" s="1106"/>
      <c r="S205" s="1106"/>
      <c r="T205" s="1106"/>
      <c r="U205" s="1106"/>
      <c r="V205" s="1106"/>
      <c r="W205" s="1106"/>
      <c r="X205" s="1106"/>
      <c r="Y205" s="1106"/>
      <c r="Z205" s="1106"/>
      <c r="AA205" s="1106"/>
      <c r="AB205" s="1106"/>
      <c r="AC205" s="1106"/>
      <c r="AD205" s="1106"/>
      <c r="AE205" s="1106"/>
      <c r="AF205" s="1106"/>
      <c r="AG205" s="1106"/>
      <c r="AH205" s="1106"/>
      <c r="AI205" s="1106"/>
      <c r="AJ205" s="1106"/>
      <c r="AK205" s="1106"/>
      <c r="AL205" s="1106"/>
      <c r="AM205" s="1106"/>
      <c r="AN205" s="1106"/>
      <c r="AO205" s="1106"/>
    </row>
    <row r="206">
      <c r="B206" s="1536" t="s">
        <v>1451</v>
      </c>
      <c r="G206" s="1106"/>
      <c r="H206" s="1106"/>
      <c r="I206" s="1106"/>
      <c r="J206" s="1106"/>
      <c r="K206" s="1106"/>
      <c r="L206" s="1106"/>
      <c r="M206" s="1106"/>
      <c r="N206" s="1106"/>
      <c r="O206" s="1106"/>
      <c r="P206" s="1106"/>
      <c r="Q206" s="1106"/>
      <c r="R206" s="1106"/>
      <c r="S206" s="1106"/>
      <c r="T206" s="1106"/>
      <c r="U206" s="1106"/>
      <c r="V206" s="1106"/>
      <c r="W206" s="1106"/>
      <c r="X206" s="1106"/>
      <c r="Y206" s="1106"/>
      <c r="Z206" s="1106"/>
      <c r="AA206" s="1106"/>
      <c r="AB206" s="1106"/>
      <c r="AC206" s="1106"/>
      <c r="AD206" s="1106"/>
      <c r="AE206" s="1106"/>
      <c r="AF206" s="1106"/>
      <c r="AG206" s="1106"/>
      <c r="AH206" s="1106"/>
      <c r="AI206" s="1106"/>
      <c r="AJ206" s="1106"/>
      <c r="AK206" s="1106"/>
      <c r="AL206" s="1106"/>
      <c r="AM206" s="1106"/>
      <c r="AN206" s="1106"/>
      <c r="AO206" s="1106"/>
    </row>
    <row r="207">
      <c r="B207" s="1536" t="s">
        <v>1452</v>
      </c>
      <c r="G207" s="1106"/>
      <c r="H207" s="1106"/>
      <c r="I207" s="1106"/>
      <c r="J207" s="1106"/>
      <c r="K207" s="1106"/>
      <c r="L207" s="1106"/>
      <c r="M207" s="1106"/>
      <c r="N207" s="1106"/>
      <c r="O207" s="1106"/>
      <c r="P207" s="1106"/>
      <c r="Q207" s="1106"/>
      <c r="R207" s="1106"/>
      <c r="S207" s="1106"/>
      <c r="T207" s="1106"/>
      <c r="U207" s="1106"/>
      <c r="V207" s="1106"/>
      <c r="W207" s="1106"/>
      <c r="X207" s="1106"/>
      <c r="Y207" s="1106"/>
      <c r="Z207" s="1106"/>
      <c r="AA207" s="1106"/>
      <c r="AB207" s="1106"/>
      <c r="AC207" s="1106"/>
      <c r="AD207" s="1106"/>
      <c r="AE207" s="1106"/>
      <c r="AF207" s="1106"/>
      <c r="AG207" s="1106"/>
      <c r="AH207" s="1106"/>
      <c r="AI207" s="1106"/>
      <c r="AJ207" s="1106"/>
      <c r="AK207" s="1106"/>
      <c r="AL207" s="1106"/>
      <c r="AM207" s="1106"/>
      <c r="AN207" s="1106"/>
      <c r="AO207" s="1106"/>
    </row>
    <row r="208">
      <c r="B208" s="1535" t="s">
        <v>1453</v>
      </c>
      <c r="G208" s="1106"/>
      <c r="H208" s="1106"/>
      <c r="I208" s="1106"/>
      <c r="J208" s="1106"/>
      <c r="K208" s="1106"/>
      <c r="L208" s="1106"/>
      <c r="M208" s="1106"/>
      <c r="N208" s="1106"/>
      <c r="O208" s="1106"/>
      <c r="P208" s="1106"/>
      <c r="Q208" s="1106"/>
      <c r="R208" s="1106"/>
      <c r="S208" s="1106"/>
      <c r="T208" s="1106"/>
      <c r="U208" s="1106"/>
      <c r="V208" s="1106"/>
      <c r="W208" s="1106"/>
      <c r="X208" s="1106"/>
      <c r="Y208" s="1106"/>
      <c r="Z208" s="1106"/>
      <c r="AA208" s="1106"/>
      <c r="AB208" s="1106"/>
      <c r="AC208" s="1106"/>
      <c r="AD208" s="1106"/>
      <c r="AE208" s="1106"/>
      <c r="AF208" s="1106"/>
      <c r="AG208" s="1106"/>
      <c r="AH208" s="1106"/>
      <c r="AI208" s="1106"/>
      <c r="AJ208" s="1106"/>
      <c r="AK208" s="1106"/>
      <c r="AL208" s="1106"/>
      <c r="AM208" s="1106"/>
      <c r="AN208" s="1106"/>
      <c r="AO208" s="1106"/>
    </row>
    <row r="209">
      <c r="B209" s="1535" t="s">
        <v>1454</v>
      </c>
      <c r="G209" s="1106"/>
      <c r="H209" s="1106"/>
      <c r="I209" s="1106"/>
      <c r="J209" s="1106"/>
      <c r="K209" s="1106"/>
      <c r="L209" s="1106"/>
      <c r="M209" s="1106"/>
      <c r="N209" s="1106"/>
      <c r="O209" s="1106"/>
      <c r="P209" s="1106"/>
      <c r="Q209" s="1106"/>
      <c r="R209" s="1106"/>
      <c r="S209" s="1106"/>
      <c r="T209" s="1106"/>
      <c r="U209" s="1106"/>
      <c r="V209" s="1106"/>
      <c r="W209" s="1106"/>
      <c r="X209" s="1106"/>
      <c r="Y209" s="1106"/>
      <c r="Z209" s="1106"/>
      <c r="AA209" s="1106"/>
      <c r="AB209" s="1106"/>
      <c r="AC209" s="1106"/>
      <c r="AD209" s="1106"/>
      <c r="AE209" s="1106"/>
      <c r="AF209" s="1106"/>
      <c r="AG209" s="1106"/>
      <c r="AH209" s="1106"/>
      <c r="AI209" s="1106"/>
      <c r="AJ209" s="1106"/>
      <c r="AK209" s="1106"/>
      <c r="AL209" s="1106"/>
      <c r="AM209" s="1106"/>
      <c r="AN209" s="1106"/>
      <c r="AO209" s="1106"/>
    </row>
    <row r="210">
      <c r="B210" s="1535" t="s">
        <v>1455</v>
      </c>
      <c r="G210" s="1106"/>
      <c r="H210" s="1106"/>
      <c r="I210" s="1106"/>
      <c r="J210" s="1106"/>
      <c r="K210" s="1106"/>
      <c r="L210" s="1106"/>
      <c r="M210" s="1106"/>
      <c r="N210" s="1106"/>
      <c r="O210" s="1106"/>
      <c r="P210" s="1106"/>
      <c r="Q210" s="1106"/>
      <c r="R210" s="1106"/>
      <c r="S210" s="1106"/>
      <c r="T210" s="1106"/>
      <c r="U210" s="1106"/>
      <c r="V210" s="1106"/>
      <c r="W210" s="1106"/>
      <c r="X210" s="1106"/>
      <c r="Y210" s="1106"/>
      <c r="Z210" s="1106"/>
      <c r="AA210" s="1106"/>
      <c r="AB210" s="1106"/>
      <c r="AC210" s="1106"/>
      <c r="AD210" s="1106"/>
      <c r="AE210" s="1106"/>
      <c r="AF210" s="1106"/>
      <c r="AG210" s="1106"/>
      <c r="AH210" s="1106"/>
      <c r="AI210" s="1106"/>
      <c r="AJ210" s="1106"/>
      <c r="AK210" s="1106"/>
      <c r="AL210" s="1106"/>
      <c r="AM210" s="1106"/>
      <c r="AN210" s="1106"/>
      <c r="AO210" s="1106"/>
    </row>
    <row r="211">
      <c r="A211" s="1533" t="s">
        <v>1468</v>
      </c>
      <c r="B211" s="1534" t="s">
        <v>1447</v>
      </c>
      <c r="G211" s="1106"/>
      <c r="H211" s="1106"/>
      <c r="I211" s="1106"/>
      <c r="J211" s="1106"/>
      <c r="K211" s="1106"/>
      <c r="L211" s="1106"/>
      <c r="M211" s="1106"/>
      <c r="N211" s="1106"/>
      <c r="O211" s="1106"/>
      <c r="P211" s="1106"/>
      <c r="Q211" s="1106"/>
      <c r="R211" s="1106"/>
      <c r="S211" s="1106"/>
      <c r="T211" s="1106"/>
      <c r="U211" s="1106"/>
      <c r="V211" s="1106"/>
      <c r="W211" s="1106"/>
      <c r="X211" s="1106"/>
      <c r="Y211" s="1106"/>
      <c r="Z211" s="1106"/>
      <c r="AA211" s="1106"/>
      <c r="AB211" s="1106"/>
      <c r="AC211" s="1106"/>
      <c r="AD211" s="1106"/>
      <c r="AE211" s="1106"/>
      <c r="AF211" s="1106"/>
      <c r="AG211" s="1106"/>
      <c r="AH211" s="1106"/>
      <c r="AI211" s="1106"/>
      <c r="AJ211" s="1106"/>
      <c r="AK211" s="1106"/>
      <c r="AL211" s="1106"/>
      <c r="AM211" s="1106"/>
      <c r="AN211" s="1106"/>
      <c r="AO211" s="1106"/>
    </row>
    <row r="212">
      <c r="B212" s="1535" t="s">
        <v>1448</v>
      </c>
      <c r="G212" s="1106"/>
      <c r="H212" s="1106"/>
      <c r="I212" s="1106"/>
      <c r="J212" s="1106"/>
      <c r="K212" s="1106"/>
      <c r="L212" s="1106"/>
      <c r="M212" s="1106"/>
      <c r="N212" s="1106"/>
      <c r="O212" s="1106"/>
      <c r="P212" s="1106"/>
      <c r="Q212" s="1106"/>
      <c r="R212" s="1106"/>
      <c r="S212" s="1106"/>
      <c r="T212" s="1106"/>
      <c r="U212" s="1106"/>
      <c r="V212" s="1106"/>
      <c r="W212" s="1106"/>
      <c r="X212" s="1106"/>
      <c r="Y212" s="1106"/>
      <c r="Z212" s="1106"/>
      <c r="AA212" s="1106"/>
      <c r="AB212" s="1106"/>
      <c r="AC212" s="1106"/>
      <c r="AD212" s="1106"/>
      <c r="AE212" s="1106"/>
      <c r="AF212" s="1106"/>
      <c r="AG212" s="1106"/>
      <c r="AH212" s="1106"/>
      <c r="AI212" s="1106"/>
      <c r="AJ212" s="1106"/>
      <c r="AK212" s="1106"/>
      <c r="AL212" s="1106"/>
      <c r="AM212" s="1106"/>
      <c r="AN212" s="1106"/>
      <c r="AO212" s="1106"/>
    </row>
    <row r="213">
      <c r="B213" s="1535" t="s">
        <v>1449</v>
      </c>
      <c r="G213" s="1106"/>
      <c r="H213" s="1106"/>
      <c r="I213" s="1106"/>
      <c r="J213" s="1106"/>
      <c r="K213" s="1106"/>
      <c r="L213" s="1106"/>
      <c r="M213" s="1106"/>
      <c r="N213" s="1106"/>
      <c r="O213" s="1106"/>
      <c r="P213" s="1106"/>
      <c r="Q213" s="1106"/>
      <c r="R213" s="1106"/>
      <c r="S213" s="1106"/>
      <c r="T213" s="1106"/>
      <c r="U213" s="1106"/>
      <c r="V213" s="1106"/>
      <c r="W213" s="1106"/>
      <c r="X213" s="1106"/>
      <c r="Y213" s="1106"/>
      <c r="Z213" s="1106"/>
      <c r="AA213" s="1106"/>
      <c r="AB213" s="1106"/>
      <c r="AC213" s="1106"/>
      <c r="AD213" s="1106"/>
      <c r="AE213" s="1106"/>
      <c r="AF213" s="1106"/>
      <c r="AG213" s="1106"/>
      <c r="AH213" s="1106"/>
      <c r="AI213" s="1106"/>
      <c r="AJ213" s="1106"/>
      <c r="AK213" s="1106"/>
      <c r="AL213" s="1106"/>
      <c r="AM213" s="1106"/>
      <c r="AN213" s="1106"/>
      <c r="AO213" s="1106"/>
    </row>
    <row r="214">
      <c r="B214" s="1535" t="s">
        <v>1450</v>
      </c>
      <c r="G214" s="1106"/>
      <c r="H214" s="1106"/>
      <c r="I214" s="1106"/>
      <c r="J214" s="1106"/>
      <c r="K214" s="1106"/>
      <c r="L214" s="1106"/>
      <c r="M214" s="1106"/>
      <c r="N214" s="1106"/>
      <c r="O214" s="1106"/>
      <c r="P214" s="1106"/>
      <c r="Q214" s="1106"/>
      <c r="R214" s="1106"/>
      <c r="S214" s="1106"/>
      <c r="T214" s="1106"/>
      <c r="U214" s="1106"/>
      <c r="V214" s="1106"/>
      <c r="W214" s="1106"/>
      <c r="X214" s="1106"/>
      <c r="Y214" s="1106"/>
      <c r="Z214" s="1106"/>
      <c r="AA214" s="1106"/>
      <c r="AB214" s="1106"/>
      <c r="AC214" s="1106"/>
      <c r="AD214" s="1106"/>
      <c r="AE214" s="1106"/>
      <c r="AF214" s="1106"/>
      <c r="AG214" s="1106"/>
      <c r="AH214" s="1106"/>
      <c r="AI214" s="1106"/>
      <c r="AJ214" s="1106"/>
      <c r="AK214" s="1106"/>
      <c r="AL214" s="1106"/>
      <c r="AM214" s="1106"/>
      <c r="AN214" s="1106"/>
      <c r="AO214" s="1106"/>
    </row>
    <row r="215">
      <c r="B215" s="1536" t="s">
        <v>1451</v>
      </c>
      <c r="G215" s="1106"/>
      <c r="H215" s="1106"/>
      <c r="I215" s="1106"/>
      <c r="J215" s="1106"/>
      <c r="K215" s="1106"/>
      <c r="L215" s="1106"/>
      <c r="M215" s="1106"/>
      <c r="N215" s="1106"/>
      <c r="O215" s="1106"/>
      <c r="P215" s="1106"/>
      <c r="Q215" s="1106"/>
      <c r="R215" s="1106"/>
      <c r="S215" s="1106"/>
      <c r="T215" s="1106"/>
      <c r="U215" s="1106"/>
      <c r="V215" s="1106"/>
      <c r="W215" s="1106"/>
      <c r="X215" s="1106"/>
      <c r="Y215" s="1106"/>
      <c r="Z215" s="1106"/>
      <c r="AA215" s="1106"/>
      <c r="AB215" s="1106"/>
      <c r="AC215" s="1106"/>
      <c r="AD215" s="1106"/>
      <c r="AE215" s="1106"/>
      <c r="AF215" s="1106"/>
      <c r="AG215" s="1106"/>
      <c r="AH215" s="1106"/>
      <c r="AI215" s="1106"/>
      <c r="AJ215" s="1106"/>
      <c r="AK215" s="1106"/>
      <c r="AL215" s="1106"/>
      <c r="AM215" s="1106"/>
      <c r="AN215" s="1106"/>
      <c r="AO215" s="1106"/>
    </row>
    <row r="216">
      <c r="B216" s="1536" t="s">
        <v>1452</v>
      </c>
      <c r="G216" s="1106"/>
      <c r="H216" s="1106"/>
      <c r="I216" s="1106"/>
      <c r="J216" s="1106"/>
      <c r="K216" s="1106"/>
      <c r="L216" s="1106"/>
      <c r="M216" s="1106"/>
      <c r="N216" s="1106"/>
      <c r="O216" s="1106"/>
      <c r="P216" s="1106"/>
      <c r="Q216" s="1106"/>
      <c r="R216" s="1106"/>
      <c r="S216" s="1106"/>
      <c r="T216" s="1106"/>
      <c r="U216" s="1106"/>
      <c r="V216" s="1106"/>
      <c r="W216" s="1106"/>
      <c r="X216" s="1106"/>
      <c r="Y216" s="1106"/>
      <c r="Z216" s="1106"/>
      <c r="AA216" s="1106"/>
      <c r="AB216" s="1106"/>
      <c r="AC216" s="1106"/>
      <c r="AD216" s="1106"/>
      <c r="AE216" s="1106"/>
      <c r="AF216" s="1106"/>
      <c r="AG216" s="1106"/>
      <c r="AH216" s="1106"/>
      <c r="AI216" s="1106"/>
      <c r="AJ216" s="1106"/>
      <c r="AK216" s="1106"/>
      <c r="AL216" s="1106"/>
      <c r="AM216" s="1106"/>
      <c r="AN216" s="1106"/>
      <c r="AO216" s="1106"/>
    </row>
    <row r="217">
      <c r="B217" s="1535" t="s">
        <v>1453</v>
      </c>
      <c r="G217" s="1106"/>
      <c r="H217" s="1106"/>
      <c r="I217" s="1106"/>
      <c r="J217" s="1106"/>
      <c r="K217" s="1106"/>
      <c r="L217" s="1106"/>
      <c r="M217" s="1106"/>
      <c r="N217" s="1106"/>
      <c r="O217" s="1106"/>
      <c r="P217" s="1106"/>
      <c r="Q217" s="1106"/>
      <c r="R217" s="1106"/>
      <c r="S217" s="1106"/>
      <c r="T217" s="1106"/>
      <c r="U217" s="1106"/>
      <c r="V217" s="1106"/>
      <c r="W217" s="1106"/>
      <c r="X217" s="1106"/>
      <c r="Y217" s="1106"/>
      <c r="Z217" s="1106"/>
      <c r="AA217" s="1106"/>
      <c r="AB217" s="1106"/>
      <c r="AC217" s="1106"/>
      <c r="AD217" s="1106"/>
      <c r="AE217" s="1106"/>
      <c r="AF217" s="1106"/>
      <c r="AG217" s="1106"/>
      <c r="AH217" s="1106"/>
      <c r="AI217" s="1106"/>
      <c r="AJ217" s="1106"/>
      <c r="AK217" s="1106"/>
      <c r="AL217" s="1106"/>
      <c r="AM217" s="1106"/>
      <c r="AN217" s="1106"/>
      <c r="AO217" s="1106"/>
    </row>
    <row r="218">
      <c r="B218" s="1535" t="s">
        <v>1454</v>
      </c>
      <c r="G218" s="1106"/>
      <c r="H218" s="1106"/>
      <c r="I218" s="1106"/>
      <c r="J218" s="1106"/>
      <c r="K218" s="1106"/>
      <c r="L218" s="1106"/>
      <c r="M218" s="1106"/>
      <c r="N218" s="1106"/>
      <c r="O218" s="1106"/>
      <c r="P218" s="1106"/>
      <c r="Q218" s="1106"/>
      <c r="R218" s="1106"/>
      <c r="S218" s="1106"/>
      <c r="T218" s="1106"/>
      <c r="U218" s="1106"/>
      <c r="V218" s="1106"/>
      <c r="W218" s="1106"/>
      <c r="X218" s="1106"/>
      <c r="Y218" s="1106"/>
      <c r="Z218" s="1106"/>
      <c r="AA218" s="1106"/>
      <c r="AB218" s="1106"/>
      <c r="AC218" s="1106"/>
      <c r="AD218" s="1106"/>
      <c r="AE218" s="1106"/>
      <c r="AF218" s="1106"/>
      <c r="AG218" s="1106"/>
      <c r="AH218" s="1106"/>
      <c r="AI218" s="1106"/>
      <c r="AJ218" s="1106"/>
      <c r="AK218" s="1106"/>
      <c r="AL218" s="1106"/>
      <c r="AM218" s="1106"/>
      <c r="AN218" s="1106"/>
      <c r="AO218" s="1106"/>
    </row>
    <row r="219">
      <c r="B219" s="1535" t="s">
        <v>1455</v>
      </c>
      <c r="G219" s="1106"/>
      <c r="H219" s="1106"/>
      <c r="I219" s="1106"/>
      <c r="J219" s="1106"/>
      <c r="K219" s="1106"/>
      <c r="L219" s="1106"/>
      <c r="M219" s="1106"/>
      <c r="N219" s="1106"/>
      <c r="O219" s="1106"/>
      <c r="P219" s="1106"/>
      <c r="Q219" s="1106"/>
      <c r="R219" s="1106"/>
      <c r="S219" s="1106"/>
      <c r="T219" s="1106"/>
      <c r="U219" s="1106"/>
      <c r="V219" s="1106"/>
      <c r="W219" s="1106"/>
      <c r="X219" s="1106"/>
      <c r="Y219" s="1106"/>
      <c r="Z219" s="1106"/>
      <c r="AA219" s="1106"/>
      <c r="AB219" s="1106"/>
      <c r="AC219" s="1106"/>
      <c r="AD219" s="1106"/>
      <c r="AE219" s="1106"/>
      <c r="AF219" s="1106"/>
      <c r="AG219" s="1106"/>
      <c r="AH219" s="1106"/>
      <c r="AI219" s="1106"/>
      <c r="AJ219" s="1106"/>
      <c r="AK219" s="1106"/>
      <c r="AL219" s="1106"/>
      <c r="AM219" s="1106"/>
      <c r="AN219" s="1106"/>
      <c r="AO219" s="1106"/>
    </row>
    <row r="220">
      <c r="A220" s="1533" t="s">
        <v>1469</v>
      </c>
      <c r="B220" s="1534" t="s">
        <v>1447</v>
      </c>
      <c r="G220" s="1106"/>
      <c r="H220" s="1106"/>
      <c r="I220" s="1106"/>
      <c r="J220" s="1106"/>
      <c r="K220" s="1106"/>
      <c r="L220" s="1106"/>
      <c r="M220" s="1106"/>
      <c r="N220" s="1106"/>
      <c r="O220" s="1106"/>
      <c r="P220" s="1106"/>
      <c r="Q220" s="1106"/>
      <c r="R220" s="1106"/>
      <c r="S220" s="1106"/>
      <c r="T220" s="1106"/>
      <c r="U220" s="1106"/>
      <c r="V220" s="1106"/>
      <c r="W220" s="1106"/>
      <c r="X220" s="1106"/>
      <c r="Y220" s="1106"/>
      <c r="Z220" s="1106"/>
      <c r="AA220" s="1106"/>
      <c r="AB220" s="1106"/>
      <c r="AC220" s="1106"/>
      <c r="AD220" s="1106"/>
      <c r="AE220" s="1106"/>
      <c r="AF220" s="1106"/>
      <c r="AG220" s="1106"/>
      <c r="AH220" s="1106"/>
      <c r="AI220" s="1106"/>
      <c r="AJ220" s="1106"/>
      <c r="AK220" s="1106"/>
      <c r="AL220" s="1106"/>
      <c r="AM220" s="1106"/>
      <c r="AN220" s="1106"/>
      <c r="AO220" s="1106"/>
    </row>
    <row r="221">
      <c r="B221" s="1535" t="s">
        <v>1448</v>
      </c>
      <c r="G221" s="1106"/>
      <c r="H221" s="1106"/>
      <c r="I221" s="1106"/>
      <c r="J221" s="1106"/>
      <c r="K221" s="1106"/>
      <c r="L221" s="1106"/>
      <c r="M221" s="1106"/>
      <c r="N221" s="1106"/>
      <c r="O221" s="1106"/>
      <c r="P221" s="1106"/>
      <c r="Q221" s="1106"/>
      <c r="R221" s="1106"/>
      <c r="S221" s="1106"/>
      <c r="T221" s="1106"/>
      <c r="U221" s="1106"/>
      <c r="V221" s="1106"/>
      <c r="W221" s="1106"/>
      <c r="X221" s="1106"/>
      <c r="Y221" s="1106"/>
      <c r="Z221" s="1106"/>
      <c r="AA221" s="1106"/>
      <c r="AB221" s="1106"/>
      <c r="AC221" s="1106"/>
      <c r="AD221" s="1106"/>
      <c r="AE221" s="1106"/>
      <c r="AF221" s="1106"/>
      <c r="AG221" s="1106"/>
      <c r="AH221" s="1106"/>
      <c r="AI221" s="1106"/>
      <c r="AJ221" s="1106"/>
      <c r="AK221" s="1106"/>
      <c r="AL221" s="1106"/>
      <c r="AM221" s="1106"/>
      <c r="AN221" s="1106"/>
      <c r="AO221" s="1106"/>
    </row>
    <row r="222">
      <c r="B222" s="1535" t="s">
        <v>1449</v>
      </c>
      <c r="G222" s="1106"/>
      <c r="H222" s="1106"/>
      <c r="I222" s="1106"/>
      <c r="J222" s="1106"/>
      <c r="K222" s="1106"/>
      <c r="L222" s="1106"/>
      <c r="M222" s="1106"/>
      <c r="N222" s="1106"/>
      <c r="O222" s="1106"/>
      <c r="P222" s="1106"/>
      <c r="Q222" s="1106"/>
      <c r="R222" s="1106"/>
      <c r="S222" s="1106"/>
      <c r="T222" s="1106"/>
      <c r="U222" s="1106"/>
      <c r="V222" s="1106"/>
      <c r="W222" s="1106"/>
      <c r="X222" s="1106"/>
      <c r="Y222" s="1106"/>
      <c r="Z222" s="1106"/>
      <c r="AA222" s="1106"/>
      <c r="AB222" s="1106"/>
      <c r="AC222" s="1106"/>
      <c r="AD222" s="1106"/>
      <c r="AE222" s="1106"/>
      <c r="AF222" s="1106"/>
      <c r="AG222" s="1106"/>
      <c r="AH222" s="1106"/>
      <c r="AI222" s="1106"/>
      <c r="AJ222" s="1106"/>
      <c r="AK222" s="1106"/>
      <c r="AL222" s="1106"/>
      <c r="AM222" s="1106"/>
      <c r="AN222" s="1106"/>
      <c r="AO222" s="1106"/>
    </row>
    <row r="223">
      <c r="B223" s="1535" t="s">
        <v>1450</v>
      </c>
      <c r="G223" s="1106"/>
      <c r="H223" s="1106"/>
      <c r="I223" s="1106"/>
      <c r="J223" s="1106"/>
      <c r="K223" s="1106"/>
      <c r="L223" s="1106"/>
      <c r="M223" s="1106"/>
      <c r="N223" s="1106"/>
      <c r="O223" s="1106"/>
      <c r="P223" s="1106"/>
      <c r="Q223" s="1106"/>
      <c r="R223" s="1106"/>
      <c r="S223" s="1106"/>
      <c r="T223" s="1106"/>
      <c r="U223" s="1106"/>
      <c r="V223" s="1106"/>
      <c r="W223" s="1106"/>
      <c r="X223" s="1106"/>
      <c r="Y223" s="1106"/>
      <c r="Z223" s="1106"/>
      <c r="AA223" s="1106"/>
      <c r="AB223" s="1106"/>
      <c r="AC223" s="1106"/>
      <c r="AD223" s="1106"/>
      <c r="AE223" s="1106"/>
      <c r="AF223" s="1106"/>
      <c r="AG223" s="1106"/>
      <c r="AH223" s="1106"/>
      <c r="AI223" s="1106"/>
      <c r="AJ223" s="1106"/>
      <c r="AK223" s="1106"/>
      <c r="AL223" s="1106"/>
      <c r="AM223" s="1106"/>
      <c r="AN223" s="1106"/>
      <c r="AO223" s="1106"/>
    </row>
    <row r="224">
      <c r="B224" s="1536" t="s">
        <v>1451</v>
      </c>
      <c r="G224" s="1106"/>
      <c r="H224" s="1106"/>
      <c r="I224" s="1106"/>
      <c r="J224" s="1106"/>
      <c r="K224" s="1106"/>
      <c r="L224" s="1106"/>
      <c r="M224" s="1106"/>
      <c r="N224" s="1106"/>
      <c r="O224" s="1106"/>
      <c r="P224" s="1106"/>
      <c r="Q224" s="1106"/>
      <c r="R224" s="1106"/>
      <c r="S224" s="1106"/>
      <c r="T224" s="1106"/>
      <c r="U224" s="1106"/>
      <c r="V224" s="1106"/>
      <c r="W224" s="1106"/>
      <c r="X224" s="1106"/>
      <c r="Y224" s="1106"/>
      <c r="Z224" s="1106"/>
      <c r="AA224" s="1106"/>
      <c r="AB224" s="1106"/>
      <c r="AC224" s="1106"/>
      <c r="AD224" s="1106"/>
      <c r="AE224" s="1106"/>
      <c r="AF224" s="1106"/>
      <c r="AG224" s="1106"/>
      <c r="AH224" s="1106"/>
      <c r="AI224" s="1106"/>
      <c r="AJ224" s="1106"/>
      <c r="AK224" s="1106"/>
      <c r="AL224" s="1106"/>
      <c r="AM224" s="1106"/>
      <c r="AN224" s="1106"/>
      <c r="AO224" s="1106"/>
    </row>
    <row r="225">
      <c r="B225" s="1536" t="s">
        <v>1452</v>
      </c>
      <c r="G225" s="1106"/>
      <c r="H225" s="1106"/>
      <c r="I225" s="1106"/>
      <c r="J225" s="1106"/>
      <c r="K225" s="1106"/>
      <c r="L225" s="1106"/>
      <c r="M225" s="1106"/>
      <c r="N225" s="1106"/>
      <c r="O225" s="1106"/>
      <c r="P225" s="1106"/>
      <c r="Q225" s="1106"/>
      <c r="R225" s="1106"/>
      <c r="S225" s="1106"/>
      <c r="T225" s="1106"/>
      <c r="U225" s="1106"/>
      <c r="V225" s="1106"/>
      <c r="W225" s="1106"/>
      <c r="X225" s="1106"/>
      <c r="Y225" s="1106"/>
      <c r="Z225" s="1106"/>
      <c r="AA225" s="1106"/>
      <c r="AB225" s="1106"/>
      <c r="AC225" s="1106"/>
      <c r="AD225" s="1106"/>
      <c r="AE225" s="1106"/>
      <c r="AF225" s="1106"/>
      <c r="AG225" s="1106"/>
      <c r="AH225" s="1106"/>
      <c r="AI225" s="1106"/>
      <c r="AJ225" s="1106"/>
      <c r="AK225" s="1106"/>
      <c r="AL225" s="1106"/>
      <c r="AM225" s="1106"/>
      <c r="AN225" s="1106"/>
      <c r="AO225" s="1106"/>
    </row>
    <row r="226">
      <c r="B226" s="1535" t="s">
        <v>1453</v>
      </c>
      <c r="G226" s="1106"/>
      <c r="H226" s="1106"/>
      <c r="I226" s="1106"/>
      <c r="J226" s="1106"/>
      <c r="K226" s="1106"/>
      <c r="L226" s="1106"/>
      <c r="M226" s="1106"/>
      <c r="N226" s="1106"/>
      <c r="O226" s="1106"/>
      <c r="P226" s="1106"/>
      <c r="Q226" s="1106"/>
      <c r="R226" s="1106"/>
      <c r="S226" s="1106"/>
      <c r="T226" s="1106"/>
      <c r="U226" s="1106"/>
      <c r="V226" s="1106"/>
      <c r="W226" s="1106"/>
      <c r="X226" s="1106"/>
      <c r="Y226" s="1106"/>
      <c r="Z226" s="1106"/>
      <c r="AA226" s="1106"/>
      <c r="AB226" s="1106"/>
      <c r="AC226" s="1106"/>
      <c r="AD226" s="1106"/>
      <c r="AE226" s="1106"/>
      <c r="AF226" s="1106"/>
      <c r="AG226" s="1106"/>
      <c r="AH226" s="1106"/>
      <c r="AI226" s="1106"/>
      <c r="AJ226" s="1106"/>
      <c r="AK226" s="1106"/>
      <c r="AL226" s="1106"/>
      <c r="AM226" s="1106"/>
      <c r="AN226" s="1106"/>
      <c r="AO226" s="1106"/>
    </row>
    <row r="227">
      <c r="B227" s="1535" t="s">
        <v>1454</v>
      </c>
      <c r="G227" s="1106"/>
      <c r="H227" s="1106"/>
      <c r="I227" s="1106"/>
      <c r="J227" s="1106"/>
      <c r="K227" s="1106"/>
      <c r="L227" s="1106"/>
      <c r="M227" s="1106"/>
      <c r="N227" s="1106"/>
      <c r="O227" s="1106"/>
      <c r="P227" s="1106"/>
      <c r="Q227" s="1106"/>
      <c r="R227" s="1106"/>
      <c r="S227" s="1106"/>
      <c r="T227" s="1106"/>
      <c r="U227" s="1106"/>
      <c r="V227" s="1106"/>
      <c r="W227" s="1106"/>
      <c r="X227" s="1106"/>
      <c r="Y227" s="1106"/>
      <c r="Z227" s="1106"/>
      <c r="AA227" s="1106"/>
      <c r="AB227" s="1106"/>
      <c r="AC227" s="1106"/>
      <c r="AD227" s="1106"/>
      <c r="AE227" s="1106"/>
      <c r="AF227" s="1106"/>
      <c r="AG227" s="1106"/>
      <c r="AH227" s="1106"/>
      <c r="AI227" s="1106"/>
      <c r="AJ227" s="1106"/>
      <c r="AK227" s="1106"/>
      <c r="AL227" s="1106"/>
      <c r="AM227" s="1106"/>
      <c r="AN227" s="1106"/>
      <c r="AO227" s="1106"/>
    </row>
    <row r="228">
      <c r="B228" s="1535" t="s">
        <v>1455</v>
      </c>
      <c r="G228" s="1106"/>
      <c r="H228" s="1106"/>
      <c r="I228" s="1106"/>
      <c r="J228" s="1106"/>
      <c r="K228" s="1106"/>
      <c r="L228" s="1106"/>
      <c r="M228" s="1106"/>
      <c r="N228" s="1106"/>
      <c r="O228" s="1106"/>
      <c r="P228" s="1106"/>
      <c r="Q228" s="1106"/>
      <c r="R228" s="1106"/>
      <c r="S228" s="1106"/>
      <c r="T228" s="1106"/>
      <c r="U228" s="1106"/>
      <c r="V228" s="1106"/>
      <c r="W228" s="1106"/>
      <c r="X228" s="1106"/>
      <c r="Y228" s="1106"/>
      <c r="Z228" s="1106"/>
      <c r="AA228" s="1106"/>
      <c r="AB228" s="1106"/>
      <c r="AC228" s="1106"/>
      <c r="AD228" s="1106"/>
      <c r="AE228" s="1106"/>
      <c r="AF228" s="1106"/>
      <c r="AG228" s="1106"/>
      <c r="AH228" s="1106"/>
      <c r="AI228" s="1106"/>
      <c r="AJ228" s="1106"/>
      <c r="AK228" s="1106"/>
      <c r="AL228" s="1106"/>
      <c r="AM228" s="1106"/>
      <c r="AN228" s="1106"/>
      <c r="AO228" s="1106"/>
    </row>
    <row r="229">
      <c r="A229" s="1533" t="s">
        <v>1470</v>
      </c>
      <c r="B229" s="1534" t="s">
        <v>1447</v>
      </c>
      <c r="G229" s="1106"/>
      <c r="H229" s="1106"/>
      <c r="I229" s="1106"/>
      <c r="J229" s="1106"/>
      <c r="K229" s="1106"/>
      <c r="L229" s="1106"/>
      <c r="M229" s="1106"/>
      <c r="N229" s="1106"/>
      <c r="O229" s="1106"/>
      <c r="P229" s="1106"/>
      <c r="Q229" s="1106"/>
      <c r="R229" s="1106"/>
      <c r="S229" s="1106"/>
      <c r="T229" s="1106"/>
      <c r="U229" s="1106"/>
      <c r="V229" s="1106"/>
      <c r="W229" s="1106"/>
      <c r="X229" s="1106"/>
      <c r="Y229" s="1106"/>
      <c r="Z229" s="1106"/>
      <c r="AA229" s="1106"/>
      <c r="AB229" s="1106"/>
      <c r="AC229" s="1106"/>
      <c r="AD229" s="1106"/>
      <c r="AE229" s="1106"/>
      <c r="AF229" s="1106"/>
      <c r="AG229" s="1106"/>
      <c r="AH229" s="1106"/>
      <c r="AI229" s="1106"/>
      <c r="AJ229" s="1106"/>
      <c r="AK229" s="1106"/>
      <c r="AL229" s="1106"/>
      <c r="AM229" s="1106"/>
      <c r="AN229" s="1106"/>
      <c r="AO229" s="1106"/>
    </row>
    <row r="230">
      <c r="B230" s="1535" t="s">
        <v>1448</v>
      </c>
      <c r="G230" s="1106"/>
      <c r="H230" s="1106"/>
      <c r="I230" s="1106"/>
      <c r="J230" s="1106"/>
      <c r="K230" s="1106"/>
      <c r="L230" s="1106"/>
      <c r="M230" s="1106"/>
      <c r="N230" s="1106"/>
      <c r="O230" s="1106"/>
      <c r="P230" s="1106"/>
      <c r="Q230" s="1106"/>
      <c r="R230" s="1106"/>
      <c r="S230" s="1106"/>
      <c r="T230" s="1106"/>
      <c r="U230" s="1106"/>
      <c r="V230" s="1106"/>
      <c r="W230" s="1106"/>
      <c r="X230" s="1106"/>
      <c r="Y230" s="1106"/>
      <c r="Z230" s="1106"/>
      <c r="AA230" s="1106"/>
      <c r="AB230" s="1106"/>
      <c r="AC230" s="1106"/>
      <c r="AD230" s="1106"/>
      <c r="AE230" s="1106"/>
      <c r="AF230" s="1106"/>
      <c r="AG230" s="1106"/>
      <c r="AH230" s="1106"/>
      <c r="AI230" s="1106"/>
      <c r="AJ230" s="1106"/>
      <c r="AK230" s="1106"/>
      <c r="AL230" s="1106"/>
      <c r="AM230" s="1106"/>
      <c r="AN230" s="1106"/>
      <c r="AO230" s="1106"/>
    </row>
    <row r="231">
      <c r="B231" s="1535" t="s">
        <v>1449</v>
      </c>
      <c r="G231" s="1106"/>
      <c r="H231" s="1106"/>
      <c r="I231" s="1106"/>
      <c r="J231" s="1106"/>
      <c r="K231" s="1106"/>
      <c r="L231" s="1106"/>
      <c r="M231" s="1106"/>
      <c r="N231" s="1106"/>
      <c r="O231" s="1106"/>
      <c r="P231" s="1106"/>
      <c r="Q231" s="1106"/>
      <c r="R231" s="1106"/>
      <c r="S231" s="1106"/>
      <c r="T231" s="1106"/>
      <c r="U231" s="1106"/>
      <c r="V231" s="1106"/>
      <c r="W231" s="1106"/>
      <c r="X231" s="1106"/>
      <c r="Y231" s="1106"/>
      <c r="Z231" s="1106"/>
      <c r="AA231" s="1106"/>
      <c r="AB231" s="1106"/>
      <c r="AC231" s="1106"/>
      <c r="AD231" s="1106"/>
      <c r="AE231" s="1106"/>
      <c r="AF231" s="1106"/>
      <c r="AG231" s="1106"/>
      <c r="AH231" s="1106"/>
      <c r="AI231" s="1106"/>
      <c r="AJ231" s="1106"/>
      <c r="AK231" s="1106"/>
      <c r="AL231" s="1106"/>
      <c r="AM231" s="1106"/>
      <c r="AN231" s="1106"/>
      <c r="AO231" s="1106"/>
    </row>
    <row r="232">
      <c r="B232" s="1535" t="s">
        <v>1450</v>
      </c>
      <c r="G232" s="1106"/>
      <c r="H232" s="1106"/>
      <c r="I232" s="1106"/>
      <c r="J232" s="1106"/>
      <c r="K232" s="1106"/>
      <c r="L232" s="1106"/>
      <c r="M232" s="1106"/>
      <c r="N232" s="1106"/>
      <c r="O232" s="1106"/>
      <c r="P232" s="1106"/>
      <c r="Q232" s="1106"/>
      <c r="R232" s="1106"/>
      <c r="S232" s="1106"/>
      <c r="T232" s="1106"/>
      <c r="U232" s="1106"/>
      <c r="V232" s="1106"/>
      <c r="W232" s="1106"/>
      <c r="X232" s="1106"/>
      <c r="Y232" s="1106"/>
      <c r="Z232" s="1106"/>
      <c r="AA232" s="1106"/>
      <c r="AB232" s="1106"/>
      <c r="AC232" s="1106"/>
      <c r="AD232" s="1106"/>
      <c r="AE232" s="1106"/>
      <c r="AF232" s="1106"/>
      <c r="AG232" s="1106"/>
      <c r="AH232" s="1106"/>
      <c r="AI232" s="1106"/>
      <c r="AJ232" s="1106"/>
      <c r="AK232" s="1106"/>
      <c r="AL232" s="1106"/>
      <c r="AM232" s="1106"/>
      <c r="AN232" s="1106"/>
      <c r="AO232" s="1106"/>
    </row>
    <row r="233">
      <c r="B233" s="1536" t="s">
        <v>1451</v>
      </c>
      <c r="G233" s="1106"/>
      <c r="H233" s="1106"/>
      <c r="I233" s="1106"/>
      <c r="J233" s="1106"/>
      <c r="K233" s="1106"/>
      <c r="L233" s="1106"/>
      <c r="M233" s="1106"/>
      <c r="N233" s="1106"/>
      <c r="O233" s="1106"/>
      <c r="P233" s="1106"/>
      <c r="Q233" s="1106"/>
      <c r="R233" s="1106"/>
      <c r="S233" s="1106"/>
      <c r="T233" s="1106"/>
      <c r="U233" s="1106"/>
      <c r="V233" s="1106"/>
      <c r="W233" s="1106"/>
      <c r="X233" s="1106"/>
      <c r="Y233" s="1106"/>
      <c r="Z233" s="1106"/>
      <c r="AA233" s="1106"/>
      <c r="AB233" s="1106"/>
      <c r="AC233" s="1106"/>
      <c r="AD233" s="1106"/>
      <c r="AE233" s="1106"/>
      <c r="AF233" s="1106"/>
      <c r="AG233" s="1106"/>
      <c r="AH233" s="1106"/>
      <c r="AI233" s="1106"/>
      <c r="AJ233" s="1106"/>
      <c r="AK233" s="1106"/>
      <c r="AL233" s="1106"/>
      <c r="AM233" s="1106"/>
      <c r="AN233" s="1106"/>
      <c r="AO233" s="1106"/>
    </row>
    <row r="234">
      <c r="B234" s="1536" t="s">
        <v>1452</v>
      </c>
      <c r="G234" s="1106"/>
      <c r="H234" s="1106"/>
      <c r="I234" s="1106"/>
      <c r="J234" s="1106"/>
      <c r="K234" s="1106"/>
      <c r="L234" s="1106"/>
      <c r="M234" s="1106"/>
      <c r="N234" s="1106"/>
      <c r="O234" s="1106"/>
      <c r="P234" s="1106"/>
      <c r="Q234" s="1106"/>
      <c r="R234" s="1106"/>
      <c r="S234" s="1106"/>
      <c r="T234" s="1106"/>
      <c r="U234" s="1106"/>
      <c r="V234" s="1106"/>
      <c r="W234" s="1106"/>
      <c r="X234" s="1106"/>
      <c r="Y234" s="1106"/>
      <c r="Z234" s="1106"/>
      <c r="AA234" s="1106"/>
      <c r="AB234" s="1106"/>
      <c r="AC234" s="1106"/>
      <c r="AD234" s="1106"/>
      <c r="AE234" s="1106"/>
      <c r="AF234" s="1106"/>
      <c r="AG234" s="1106"/>
      <c r="AH234" s="1106"/>
      <c r="AI234" s="1106"/>
      <c r="AJ234" s="1106"/>
      <c r="AK234" s="1106"/>
      <c r="AL234" s="1106"/>
      <c r="AM234" s="1106"/>
      <c r="AN234" s="1106"/>
      <c r="AO234" s="1106"/>
    </row>
    <row r="235">
      <c r="B235" s="1535" t="s">
        <v>1453</v>
      </c>
      <c r="G235" s="1106"/>
      <c r="H235" s="1106"/>
      <c r="I235" s="1106"/>
      <c r="J235" s="1106"/>
      <c r="K235" s="1106"/>
      <c r="L235" s="1106"/>
      <c r="M235" s="1106"/>
      <c r="N235" s="1106"/>
      <c r="O235" s="1106"/>
      <c r="P235" s="1106"/>
      <c r="Q235" s="1106"/>
      <c r="R235" s="1106"/>
      <c r="S235" s="1106"/>
      <c r="T235" s="1106"/>
      <c r="U235" s="1106"/>
      <c r="V235" s="1106"/>
      <c r="W235" s="1106"/>
      <c r="X235" s="1106"/>
      <c r="Y235" s="1106"/>
      <c r="Z235" s="1106"/>
      <c r="AA235" s="1106"/>
      <c r="AB235" s="1106"/>
      <c r="AC235" s="1106"/>
      <c r="AD235" s="1106"/>
      <c r="AE235" s="1106"/>
      <c r="AF235" s="1106"/>
      <c r="AG235" s="1106"/>
      <c r="AH235" s="1106"/>
      <c r="AI235" s="1106"/>
      <c r="AJ235" s="1106"/>
      <c r="AK235" s="1106"/>
      <c r="AL235" s="1106"/>
      <c r="AM235" s="1106"/>
      <c r="AN235" s="1106"/>
      <c r="AO235" s="1106"/>
    </row>
    <row r="236">
      <c r="B236" s="1535" t="s">
        <v>1454</v>
      </c>
      <c r="G236" s="1106"/>
      <c r="H236" s="1106"/>
      <c r="I236" s="1106"/>
      <c r="J236" s="1106"/>
      <c r="K236" s="1106"/>
      <c r="L236" s="1106"/>
      <c r="M236" s="1106"/>
      <c r="N236" s="1106"/>
      <c r="O236" s="1106"/>
      <c r="P236" s="1106"/>
      <c r="Q236" s="1106"/>
      <c r="R236" s="1106"/>
      <c r="S236" s="1106"/>
      <c r="T236" s="1106"/>
      <c r="U236" s="1106"/>
      <c r="V236" s="1106"/>
      <c r="W236" s="1106"/>
      <c r="X236" s="1106"/>
      <c r="Y236" s="1106"/>
      <c r="Z236" s="1106"/>
      <c r="AA236" s="1106"/>
      <c r="AB236" s="1106"/>
      <c r="AC236" s="1106"/>
      <c r="AD236" s="1106"/>
      <c r="AE236" s="1106"/>
      <c r="AF236" s="1106"/>
      <c r="AG236" s="1106"/>
      <c r="AH236" s="1106"/>
      <c r="AI236" s="1106"/>
      <c r="AJ236" s="1106"/>
      <c r="AK236" s="1106"/>
      <c r="AL236" s="1106"/>
      <c r="AM236" s="1106"/>
      <c r="AN236" s="1106"/>
      <c r="AO236" s="1106"/>
    </row>
    <row r="237">
      <c r="B237" s="1535" t="s">
        <v>1455</v>
      </c>
      <c r="G237" s="1106"/>
      <c r="H237" s="1106"/>
      <c r="I237" s="1106"/>
      <c r="J237" s="1106"/>
      <c r="K237" s="1106"/>
      <c r="L237" s="1106"/>
      <c r="M237" s="1106"/>
      <c r="N237" s="1106"/>
      <c r="O237" s="1106"/>
      <c r="P237" s="1106"/>
      <c r="Q237" s="1106"/>
      <c r="R237" s="1106"/>
      <c r="S237" s="1106"/>
      <c r="T237" s="1106"/>
      <c r="U237" s="1106"/>
      <c r="V237" s="1106"/>
      <c r="W237" s="1106"/>
      <c r="X237" s="1106"/>
      <c r="Y237" s="1106"/>
      <c r="Z237" s="1106"/>
      <c r="AA237" s="1106"/>
      <c r="AB237" s="1106"/>
      <c r="AC237" s="1106"/>
      <c r="AD237" s="1106"/>
      <c r="AE237" s="1106"/>
      <c r="AF237" s="1106"/>
      <c r="AG237" s="1106"/>
      <c r="AH237" s="1106"/>
      <c r="AI237" s="1106"/>
      <c r="AJ237" s="1106"/>
      <c r="AK237" s="1106"/>
      <c r="AL237" s="1106"/>
      <c r="AM237" s="1106"/>
      <c r="AN237" s="1106"/>
      <c r="AO237" s="1106"/>
    </row>
    <row r="238">
      <c r="A238" s="1528" t="s">
        <v>1475</v>
      </c>
      <c r="G238" s="1106"/>
      <c r="H238" s="1106"/>
      <c r="I238" s="1106"/>
      <c r="J238" s="1106"/>
      <c r="K238" s="1106"/>
      <c r="L238" s="1106"/>
      <c r="M238" s="1106"/>
      <c r="N238" s="1106"/>
      <c r="O238" s="1106"/>
      <c r="P238" s="1106"/>
      <c r="Q238" s="1106"/>
      <c r="R238" s="1106"/>
      <c r="S238" s="1106"/>
      <c r="T238" s="1106"/>
      <c r="U238" s="1106"/>
      <c r="V238" s="1106"/>
      <c r="W238" s="1106"/>
      <c r="X238" s="1106"/>
      <c r="Y238" s="1106"/>
      <c r="Z238" s="1106"/>
      <c r="AA238" s="1106"/>
      <c r="AB238" s="1106"/>
      <c r="AC238" s="1106"/>
      <c r="AD238" s="1106"/>
      <c r="AE238" s="1106"/>
      <c r="AF238" s="1106"/>
      <c r="AG238" s="1106"/>
      <c r="AH238" s="1106"/>
      <c r="AI238" s="1106"/>
      <c r="AJ238" s="1106"/>
      <c r="AK238" s="1106"/>
      <c r="AL238" s="1106"/>
      <c r="AM238" s="1106"/>
      <c r="AN238" s="1106"/>
      <c r="AO238" s="1106"/>
    </row>
    <row r="239">
      <c r="A239" s="1543" t="s">
        <v>1460</v>
      </c>
      <c r="B239" s="1534" t="s">
        <v>1447</v>
      </c>
      <c r="G239" s="1106"/>
      <c r="H239" s="1106"/>
      <c r="I239" s="1106"/>
      <c r="J239" s="1106"/>
      <c r="K239" s="1106"/>
      <c r="L239" s="1106"/>
      <c r="M239" s="1106"/>
      <c r="N239" s="1106"/>
      <c r="O239" s="1106"/>
      <c r="P239" s="1106"/>
      <c r="Q239" s="1106"/>
      <c r="R239" s="1106"/>
      <c r="S239" s="1106"/>
      <c r="T239" s="1106"/>
      <c r="U239" s="1106"/>
      <c r="V239" s="1106"/>
      <c r="W239" s="1106"/>
      <c r="X239" s="1106"/>
      <c r="Y239" s="1106"/>
      <c r="Z239" s="1106"/>
      <c r="AA239" s="1106"/>
      <c r="AB239" s="1106"/>
      <c r="AC239" s="1106"/>
      <c r="AD239" s="1106"/>
      <c r="AE239" s="1106"/>
      <c r="AF239" s="1106"/>
      <c r="AG239" s="1106"/>
      <c r="AH239" s="1106"/>
      <c r="AI239" s="1106"/>
      <c r="AJ239" s="1106"/>
      <c r="AK239" s="1106"/>
      <c r="AL239" s="1106"/>
      <c r="AM239" s="1106"/>
      <c r="AN239" s="1106"/>
      <c r="AO239" s="1106"/>
    </row>
    <row r="240">
      <c r="B240" s="1535" t="s">
        <v>1448</v>
      </c>
      <c r="G240" s="1106"/>
      <c r="H240" s="1106"/>
      <c r="I240" s="1106"/>
      <c r="J240" s="1106"/>
      <c r="K240" s="1106"/>
      <c r="L240" s="1106"/>
      <c r="M240" s="1106"/>
      <c r="N240" s="1106"/>
      <c r="O240" s="1106"/>
      <c r="P240" s="1106"/>
      <c r="Q240" s="1106"/>
      <c r="R240" s="1106"/>
      <c r="S240" s="1106"/>
      <c r="T240" s="1106"/>
      <c r="U240" s="1106"/>
      <c r="V240" s="1106"/>
      <c r="W240" s="1106"/>
      <c r="X240" s="1106"/>
      <c r="Y240" s="1106"/>
      <c r="Z240" s="1106"/>
      <c r="AA240" s="1106"/>
      <c r="AB240" s="1106"/>
      <c r="AC240" s="1106"/>
      <c r="AD240" s="1106"/>
      <c r="AE240" s="1106"/>
      <c r="AF240" s="1106"/>
      <c r="AG240" s="1106"/>
      <c r="AH240" s="1106"/>
      <c r="AI240" s="1106"/>
      <c r="AJ240" s="1106"/>
      <c r="AK240" s="1106"/>
      <c r="AL240" s="1106"/>
      <c r="AM240" s="1106"/>
      <c r="AN240" s="1106"/>
      <c r="AO240" s="1106"/>
    </row>
    <row r="241">
      <c r="B241" s="1535" t="s">
        <v>1449</v>
      </c>
      <c r="G241" s="1106"/>
      <c r="H241" s="1106"/>
      <c r="I241" s="1106"/>
      <c r="J241" s="1106"/>
      <c r="K241" s="1106"/>
      <c r="L241" s="1106"/>
      <c r="M241" s="1106"/>
      <c r="N241" s="1106"/>
      <c r="O241" s="1106"/>
      <c r="P241" s="1106"/>
      <c r="Q241" s="1106"/>
      <c r="R241" s="1106"/>
      <c r="S241" s="1106"/>
      <c r="T241" s="1106"/>
      <c r="U241" s="1106"/>
      <c r="V241" s="1106"/>
      <c r="W241" s="1106"/>
      <c r="X241" s="1106"/>
      <c r="Y241" s="1106"/>
      <c r="Z241" s="1106"/>
      <c r="AA241" s="1106"/>
      <c r="AB241" s="1106"/>
      <c r="AC241" s="1106"/>
      <c r="AD241" s="1106"/>
      <c r="AE241" s="1106"/>
      <c r="AF241" s="1106"/>
      <c r="AG241" s="1106"/>
      <c r="AH241" s="1106"/>
      <c r="AI241" s="1106"/>
      <c r="AJ241" s="1106"/>
      <c r="AK241" s="1106"/>
      <c r="AL241" s="1106"/>
      <c r="AM241" s="1106"/>
      <c r="AN241" s="1106"/>
      <c r="AO241" s="1106"/>
    </row>
    <row r="242">
      <c r="B242" s="1535" t="s">
        <v>1450</v>
      </c>
      <c r="G242" s="1106"/>
      <c r="H242" s="1106"/>
      <c r="I242" s="1106"/>
      <c r="J242" s="1106"/>
      <c r="K242" s="1106"/>
      <c r="L242" s="1106"/>
      <c r="M242" s="1106"/>
      <c r="N242" s="1106"/>
      <c r="O242" s="1106"/>
      <c r="P242" s="1106"/>
      <c r="Q242" s="1106"/>
      <c r="R242" s="1106"/>
      <c r="S242" s="1106"/>
      <c r="T242" s="1106"/>
      <c r="U242" s="1106"/>
      <c r="V242" s="1106"/>
      <c r="W242" s="1106"/>
      <c r="X242" s="1106"/>
      <c r="Y242" s="1106"/>
      <c r="Z242" s="1106"/>
      <c r="AA242" s="1106"/>
      <c r="AB242" s="1106"/>
      <c r="AC242" s="1106"/>
      <c r="AD242" s="1106"/>
      <c r="AE242" s="1106"/>
      <c r="AF242" s="1106"/>
      <c r="AG242" s="1106"/>
      <c r="AH242" s="1106"/>
      <c r="AI242" s="1106"/>
      <c r="AJ242" s="1106"/>
      <c r="AK242" s="1106"/>
      <c r="AL242" s="1106"/>
      <c r="AM242" s="1106"/>
      <c r="AN242" s="1106"/>
      <c r="AO242" s="1106"/>
    </row>
    <row r="243">
      <c r="B243" s="1536" t="s">
        <v>1451</v>
      </c>
      <c r="G243" s="1106"/>
      <c r="H243" s="1106"/>
      <c r="I243" s="1106"/>
      <c r="J243" s="1106"/>
      <c r="K243" s="1106"/>
      <c r="L243" s="1106"/>
      <c r="M243" s="1106"/>
      <c r="N243" s="1106"/>
      <c r="O243" s="1106"/>
      <c r="P243" s="1106"/>
      <c r="Q243" s="1106"/>
      <c r="R243" s="1106"/>
      <c r="S243" s="1106"/>
      <c r="T243" s="1106"/>
      <c r="U243" s="1106"/>
      <c r="V243" s="1106"/>
      <c r="W243" s="1106"/>
      <c r="X243" s="1106"/>
      <c r="Y243" s="1106"/>
      <c r="Z243" s="1106"/>
      <c r="AA243" s="1106"/>
      <c r="AB243" s="1106"/>
      <c r="AC243" s="1106"/>
      <c r="AD243" s="1106"/>
      <c r="AE243" s="1106"/>
      <c r="AF243" s="1106"/>
      <c r="AG243" s="1106"/>
      <c r="AH243" s="1106"/>
      <c r="AI243" s="1106"/>
      <c r="AJ243" s="1106"/>
      <c r="AK243" s="1106"/>
      <c r="AL243" s="1106"/>
      <c r="AM243" s="1106"/>
      <c r="AN243" s="1106"/>
      <c r="AO243" s="1106"/>
    </row>
    <row r="244">
      <c r="B244" s="1536" t="s">
        <v>1452</v>
      </c>
      <c r="G244" s="1106"/>
      <c r="H244" s="1106"/>
      <c r="I244" s="1106"/>
      <c r="J244" s="1106"/>
      <c r="K244" s="1106"/>
      <c r="L244" s="1106"/>
      <c r="M244" s="1106"/>
      <c r="N244" s="1106"/>
      <c r="O244" s="1106"/>
      <c r="P244" s="1106"/>
      <c r="Q244" s="1106"/>
      <c r="R244" s="1106"/>
      <c r="S244" s="1106"/>
      <c r="T244" s="1106"/>
      <c r="U244" s="1106"/>
      <c r="V244" s="1106"/>
      <c r="W244" s="1106"/>
      <c r="X244" s="1106"/>
      <c r="Y244" s="1106"/>
      <c r="Z244" s="1106"/>
      <c r="AA244" s="1106"/>
      <c r="AB244" s="1106"/>
      <c r="AC244" s="1106"/>
      <c r="AD244" s="1106"/>
      <c r="AE244" s="1106"/>
      <c r="AF244" s="1106"/>
      <c r="AG244" s="1106"/>
      <c r="AH244" s="1106"/>
      <c r="AI244" s="1106"/>
      <c r="AJ244" s="1106"/>
      <c r="AK244" s="1106"/>
      <c r="AL244" s="1106"/>
      <c r="AM244" s="1106"/>
      <c r="AN244" s="1106"/>
      <c r="AO244" s="1106"/>
    </row>
    <row r="245">
      <c r="B245" s="1535" t="s">
        <v>1453</v>
      </c>
      <c r="G245" s="1106"/>
      <c r="H245" s="1106"/>
      <c r="I245" s="1106"/>
      <c r="J245" s="1106"/>
      <c r="K245" s="1106"/>
      <c r="L245" s="1106"/>
      <c r="M245" s="1106"/>
      <c r="N245" s="1106"/>
      <c r="O245" s="1106"/>
      <c r="P245" s="1106"/>
      <c r="Q245" s="1106"/>
      <c r="R245" s="1106"/>
      <c r="S245" s="1106"/>
      <c r="T245" s="1106"/>
      <c r="U245" s="1106"/>
      <c r="V245" s="1106"/>
      <c r="W245" s="1106"/>
      <c r="X245" s="1106"/>
      <c r="Y245" s="1106"/>
      <c r="Z245" s="1106"/>
      <c r="AA245" s="1106"/>
      <c r="AB245" s="1106"/>
      <c r="AC245" s="1106"/>
      <c r="AD245" s="1106"/>
      <c r="AE245" s="1106"/>
      <c r="AF245" s="1106"/>
      <c r="AG245" s="1106"/>
      <c r="AH245" s="1106"/>
      <c r="AI245" s="1106"/>
      <c r="AJ245" s="1106"/>
      <c r="AK245" s="1106"/>
      <c r="AL245" s="1106"/>
      <c r="AM245" s="1106"/>
      <c r="AN245" s="1106"/>
      <c r="AO245" s="1106"/>
    </row>
    <row r="246">
      <c r="B246" s="1535" t="s">
        <v>1454</v>
      </c>
      <c r="G246" s="1106"/>
      <c r="H246" s="1106"/>
      <c r="I246" s="1106"/>
      <c r="J246" s="1106"/>
      <c r="K246" s="1106"/>
      <c r="L246" s="1106"/>
      <c r="M246" s="1106"/>
      <c r="N246" s="1106"/>
      <c r="O246" s="1106"/>
      <c r="P246" s="1106"/>
      <c r="Q246" s="1106"/>
      <c r="R246" s="1106"/>
      <c r="S246" s="1106"/>
      <c r="T246" s="1106"/>
      <c r="U246" s="1106"/>
      <c r="V246" s="1106"/>
      <c r="W246" s="1106"/>
      <c r="X246" s="1106"/>
      <c r="Y246" s="1106"/>
      <c r="Z246" s="1106"/>
      <c r="AA246" s="1106"/>
      <c r="AB246" s="1106"/>
      <c r="AC246" s="1106"/>
      <c r="AD246" s="1106"/>
      <c r="AE246" s="1106"/>
      <c r="AF246" s="1106"/>
      <c r="AG246" s="1106"/>
      <c r="AH246" s="1106"/>
      <c r="AI246" s="1106"/>
      <c r="AJ246" s="1106"/>
      <c r="AK246" s="1106"/>
      <c r="AL246" s="1106"/>
      <c r="AM246" s="1106"/>
      <c r="AN246" s="1106"/>
      <c r="AO246" s="1106"/>
    </row>
    <row r="247">
      <c r="B247" s="1535" t="s">
        <v>1455</v>
      </c>
      <c r="G247" s="1106"/>
      <c r="H247" s="1106"/>
      <c r="I247" s="1106"/>
      <c r="J247" s="1106"/>
      <c r="K247" s="1106"/>
      <c r="L247" s="1106"/>
      <c r="M247" s="1106"/>
      <c r="N247" s="1106"/>
      <c r="O247" s="1106"/>
      <c r="P247" s="1106"/>
      <c r="Q247" s="1106"/>
      <c r="R247" s="1106"/>
      <c r="S247" s="1106"/>
      <c r="T247" s="1106"/>
      <c r="U247" s="1106"/>
      <c r="V247" s="1106"/>
      <c r="W247" s="1106"/>
      <c r="X247" s="1106"/>
      <c r="Y247" s="1106"/>
      <c r="Z247" s="1106"/>
      <c r="AA247" s="1106"/>
      <c r="AB247" s="1106"/>
      <c r="AC247" s="1106"/>
      <c r="AD247" s="1106"/>
      <c r="AE247" s="1106"/>
      <c r="AF247" s="1106"/>
      <c r="AG247" s="1106"/>
      <c r="AH247" s="1106"/>
      <c r="AI247" s="1106"/>
      <c r="AJ247" s="1106"/>
      <c r="AK247" s="1106"/>
      <c r="AL247" s="1106"/>
      <c r="AM247" s="1106"/>
      <c r="AN247" s="1106"/>
      <c r="AO247" s="1106"/>
    </row>
    <row r="248">
      <c r="A248" s="1533" t="s">
        <v>1461</v>
      </c>
      <c r="B248" s="1534" t="s">
        <v>1447</v>
      </c>
      <c r="G248" s="1106"/>
      <c r="H248" s="1106"/>
      <c r="I248" s="1106"/>
      <c r="J248" s="1106"/>
      <c r="K248" s="1106"/>
      <c r="L248" s="1106"/>
      <c r="M248" s="1106"/>
      <c r="N248" s="1106"/>
      <c r="O248" s="1106"/>
      <c r="P248" s="1106"/>
      <c r="Q248" s="1106"/>
      <c r="R248" s="1106"/>
      <c r="S248" s="1106"/>
      <c r="T248" s="1106"/>
      <c r="U248" s="1106"/>
      <c r="V248" s="1106"/>
      <c r="W248" s="1106"/>
      <c r="X248" s="1106"/>
      <c r="Y248" s="1106"/>
      <c r="Z248" s="1106"/>
      <c r="AA248" s="1106"/>
      <c r="AB248" s="1106"/>
      <c r="AC248" s="1106"/>
      <c r="AD248" s="1106"/>
      <c r="AE248" s="1106"/>
      <c r="AF248" s="1106"/>
      <c r="AG248" s="1106"/>
      <c r="AH248" s="1106"/>
      <c r="AI248" s="1106"/>
      <c r="AJ248" s="1106"/>
      <c r="AK248" s="1106"/>
      <c r="AL248" s="1106"/>
      <c r="AM248" s="1106"/>
      <c r="AN248" s="1106"/>
      <c r="AO248" s="1106"/>
    </row>
    <row r="249">
      <c r="B249" s="1535" t="s">
        <v>1448</v>
      </c>
      <c r="G249" s="1106"/>
      <c r="H249" s="1106"/>
      <c r="I249" s="1106"/>
      <c r="J249" s="1106"/>
      <c r="K249" s="1106"/>
      <c r="L249" s="1106"/>
      <c r="M249" s="1106"/>
      <c r="N249" s="1106"/>
      <c r="O249" s="1106"/>
      <c r="P249" s="1106"/>
      <c r="Q249" s="1106"/>
      <c r="R249" s="1106"/>
      <c r="S249" s="1106"/>
      <c r="T249" s="1106"/>
      <c r="U249" s="1106"/>
      <c r="V249" s="1106"/>
      <c r="W249" s="1106"/>
      <c r="X249" s="1106"/>
      <c r="Y249" s="1106"/>
      <c r="Z249" s="1106"/>
      <c r="AA249" s="1106"/>
      <c r="AB249" s="1106"/>
      <c r="AC249" s="1106"/>
      <c r="AD249" s="1106"/>
      <c r="AE249" s="1106"/>
      <c r="AF249" s="1106"/>
      <c r="AG249" s="1106"/>
      <c r="AH249" s="1106"/>
      <c r="AI249" s="1106"/>
      <c r="AJ249" s="1106"/>
      <c r="AK249" s="1106"/>
      <c r="AL249" s="1106"/>
      <c r="AM249" s="1106"/>
      <c r="AN249" s="1106"/>
      <c r="AO249" s="1106"/>
    </row>
    <row r="250">
      <c r="B250" s="1535" t="s">
        <v>1449</v>
      </c>
      <c r="G250" s="1106"/>
      <c r="H250" s="1106"/>
      <c r="I250" s="1106"/>
      <c r="J250" s="1106"/>
      <c r="K250" s="1106"/>
      <c r="L250" s="1106"/>
      <c r="M250" s="1106"/>
      <c r="N250" s="1106"/>
      <c r="O250" s="1106"/>
      <c r="P250" s="1106"/>
      <c r="Q250" s="1106"/>
      <c r="R250" s="1106"/>
      <c r="S250" s="1106"/>
      <c r="T250" s="1106"/>
      <c r="U250" s="1106"/>
      <c r="V250" s="1106"/>
      <c r="W250" s="1106"/>
      <c r="X250" s="1106"/>
      <c r="Y250" s="1106"/>
      <c r="Z250" s="1106"/>
      <c r="AA250" s="1106"/>
      <c r="AB250" s="1106"/>
      <c r="AC250" s="1106"/>
      <c r="AD250" s="1106"/>
      <c r="AE250" s="1106"/>
      <c r="AF250" s="1106"/>
      <c r="AG250" s="1106"/>
      <c r="AH250" s="1106"/>
      <c r="AI250" s="1106"/>
      <c r="AJ250" s="1106"/>
      <c r="AK250" s="1106"/>
      <c r="AL250" s="1106"/>
      <c r="AM250" s="1106"/>
      <c r="AN250" s="1106"/>
      <c r="AO250" s="1106"/>
    </row>
    <row r="251">
      <c r="B251" s="1535" t="s">
        <v>1450</v>
      </c>
      <c r="G251" s="1106"/>
      <c r="H251" s="1106"/>
      <c r="I251" s="1106"/>
      <c r="J251" s="1106"/>
      <c r="K251" s="1106"/>
      <c r="L251" s="1106"/>
      <c r="M251" s="1106"/>
      <c r="N251" s="1106"/>
      <c r="O251" s="1106"/>
      <c r="P251" s="1106"/>
      <c r="Q251" s="1106"/>
      <c r="R251" s="1106"/>
      <c r="S251" s="1106"/>
      <c r="T251" s="1106"/>
      <c r="U251" s="1106"/>
      <c r="V251" s="1106"/>
      <c r="W251" s="1106"/>
      <c r="X251" s="1106"/>
      <c r="Y251" s="1106"/>
      <c r="Z251" s="1106"/>
      <c r="AA251" s="1106"/>
      <c r="AB251" s="1106"/>
      <c r="AC251" s="1106"/>
      <c r="AD251" s="1106"/>
      <c r="AE251" s="1106"/>
      <c r="AF251" s="1106"/>
      <c r="AG251" s="1106"/>
      <c r="AH251" s="1106"/>
      <c r="AI251" s="1106"/>
      <c r="AJ251" s="1106"/>
      <c r="AK251" s="1106"/>
      <c r="AL251" s="1106"/>
      <c r="AM251" s="1106"/>
      <c r="AN251" s="1106"/>
      <c r="AO251" s="1106"/>
    </row>
    <row r="252">
      <c r="B252" s="1536" t="s">
        <v>1451</v>
      </c>
      <c r="G252" s="1106"/>
      <c r="H252" s="1106"/>
      <c r="I252" s="1106"/>
      <c r="J252" s="1106"/>
      <c r="K252" s="1106"/>
      <c r="L252" s="1106"/>
      <c r="M252" s="1106"/>
      <c r="N252" s="1106"/>
      <c r="O252" s="1106"/>
      <c r="P252" s="1106"/>
      <c r="Q252" s="1106"/>
      <c r="R252" s="1106"/>
      <c r="S252" s="1106"/>
      <c r="T252" s="1106"/>
      <c r="U252" s="1106"/>
      <c r="V252" s="1106"/>
      <c r="W252" s="1106"/>
      <c r="X252" s="1106"/>
      <c r="Y252" s="1106"/>
      <c r="Z252" s="1106"/>
      <c r="AA252" s="1106"/>
      <c r="AB252" s="1106"/>
      <c r="AC252" s="1106"/>
      <c r="AD252" s="1106"/>
      <c r="AE252" s="1106"/>
      <c r="AF252" s="1106"/>
      <c r="AG252" s="1106"/>
      <c r="AH252" s="1106"/>
      <c r="AI252" s="1106"/>
      <c r="AJ252" s="1106"/>
      <c r="AK252" s="1106"/>
      <c r="AL252" s="1106"/>
      <c r="AM252" s="1106"/>
      <c r="AN252" s="1106"/>
      <c r="AO252" s="1106"/>
    </row>
    <row r="253">
      <c r="B253" s="1536" t="s">
        <v>1452</v>
      </c>
      <c r="G253" s="1106"/>
      <c r="H253" s="1106"/>
      <c r="I253" s="1106"/>
      <c r="J253" s="1106"/>
      <c r="K253" s="1106"/>
      <c r="L253" s="1106"/>
      <c r="M253" s="1106"/>
      <c r="N253" s="1106"/>
      <c r="O253" s="1106"/>
      <c r="P253" s="1106"/>
      <c r="Q253" s="1106"/>
      <c r="R253" s="1106"/>
      <c r="S253" s="1106"/>
      <c r="T253" s="1106"/>
      <c r="U253" s="1106"/>
      <c r="V253" s="1106"/>
      <c r="W253" s="1106"/>
      <c r="X253" s="1106"/>
      <c r="Y253" s="1106"/>
      <c r="Z253" s="1106"/>
      <c r="AA253" s="1106"/>
      <c r="AB253" s="1106"/>
      <c r="AC253" s="1106"/>
      <c r="AD253" s="1106"/>
      <c r="AE253" s="1106"/>
      <c r="AF253" s="1106"/>
      <c r="AG253" s="1106"/>
      <c r="AH253" s="1106"/>
      <c r="AI253" s="1106"/>
      <c r="AJ253" s="1106"/>
      <c r="AK253" s="1106"/>
      <c r="AL253" s="1106"/>
      <c r="AM253" s="1106"/>
      <c r="AN253" s="1106"/>
      <c r="AO253" s="1106"/>
    </row>
    <row r="254">
      <c r="B254" s="1535" t="s">
        <v>1453</v>
      </c>
      <c r="G254" s="1106"/>
      <c r="H254" s="1106"/>
      <c r="I254" s="1106"/>
      <c r="J254" s="1106"/>
      <c r="K254" s="1106"/>
      <c r="L254" s="1106"/>
      <c r="M254" s="1106"/>
      <c r="N254" s="1106"/>
      <c r="O254" s="1106"/>
      <c r="P254" s="1106"/>
      <c r="Q254" s="1106"/>
      <c r="R254" s="1106"/>
      <c r="S254" s="1106"/>
      <c r="T254" s="1106"/>
      <c r="U254" s="1106"/>
      <c r="V254" s="1106"/>
      <c r="W254" s="1106"/>
      <c r="X254" s="1106"/>
      <c r="Y254" s="1106"/>
      <c r="Z254" s="1106"/>
      <c r="AA254" s="1106"/>
      <c r="AB254" s="1106"/>
      <c r="AC254" s="1106"/>
      <c r="AD254" s="1106"/>
      <c r="AE254" s="1106"/>
      <c r="AF254" s="1106"/>
      <c r="AG254" s="1106"/>
      <c r="AH254" s="1106"/>
      <c r="AI254" s="1106"/>
      <c r="AJ254" s="1106"/>
      <c r="AK254" s="1106"/>
      <c r="AL254" s="1106"/>
      <c r="AM254" s="1106"/>
      <c r="AN254" s="1106"/>
      <c r="AO254" s="1106"/>
    </row>
    <row r="255">
      <c r="B255" s="1535" t="s">
        <v>1454</v>
      </c>
      <c r="G255" s="1106"/>
      <c r="H255" s="1106"/>
      <c r="I255" s="1106"/>
      <c r="J255" s="1106"/>
      <c r="K255" s="1106"/>
      <c r="L255" s="1106"/>
      <c r="M255" s="1106"/>
      <c r="N255" s="1106"/>
      <c r="O255" s="1106"/>
      <c r="P255" s="1106"/>
      <c r="Q255" s="1106"/>
      <c r="R255" s="1106"/>
      <c r="S255" s="1106"/>
      <c r="T255" s="1106"/>
      <c r="U255" s="1106"/>
      <c r="V255" s="1106"/>
      <c r="W255" s="1106"/>
      <c r="X255" s="1106"/>
      <c r="Y255" s="1106"/>
      <c r="Z255" s="1106"/>
      <c r="AA255" s="1106"/>
      <c r="AB255" s="1106"/>
      <c r="AC255" s="1106"/>
      <c r="AD255" s="1106"/>
      <c r="AE255" s="1106"/>
      <c r="AF255" s="1106"/>
      <c r="AG255" s="1106"/>
      <c r="AH255" s="1106"/>
      <c r="AI255" s="1106"/>
      <c r="AJ255" s="1106"/>
      <c r="AK255" s="1106"/>
      <c r="AL255" s="1106"/>
      <c r="AM255" s="1106"/>
      <c r="AN255" s="1106"/>
      <c r="AO255" s="1106"/>
    </row>
    <row r="256">
      <c r="B256" s="1535" t="s">
        <v>1455</v>
      </c>
      <c r="G256" s="1106"/>
      <c r="H256" s="1106"/>
      <c r="I256" s="1106"/>
      <c r="J256" s="1106"/>
      <c r="K256" s="1106"/>
      <c r="L256" s="1106"/>
      <c r="M256" s="1106"/>
      <c r="N256" s="1106"/>
      <c r="O256" s="1106"/>
      <c r="P256" s="1106"/>
      <c r="Q256" s="1106"/>
      <c r="R256" s="1106"/>
      <c r="S256" s="1106"/>
      <c r="T256" s="1106"/>
      <c r="U256" s="1106"/>
      <c r="V256" s="1106"/>
      <c r="W256" s="1106"/>
      <c r="X256" s="1106"/>
      <c r="Y256" s="1106"/>
      <c r="Z256" s="1106"/>
      <c r="AA256" s="1106"/>
      <c r="AB256" s="1106"/>
      <c r="AC256" s="1106"/>
      <c r="AD256" s="1106"/>
      <c r="AE256" s="1106"/>
      <c r="AF256" s="1106"/>
      <c r="AG256" s="1106"/>
      <c r="AH256" s="1106"/>
      <c r="AI256" s="1106"/>
      <c r="AJ256" s="1106"/>
      <c r="AK256" s="1106"/>
      <c r="AL256" s="1106"/>
      <c r="AM256" s="1106"/>
      <c r="AN256" s="1106"/>
      <c r="AO256" s="1106"/>
    </row>
    <row r="257">
      <c r="A257" s="1533" t="s">
        <v>1462</v>
      </c>
      <c r="B257" s="1534" t="s">
        <v>1447</v>
      </c>
      <c r="G257" s="1106"/>
      <c r="H257" s="1106"/>
      <c r="I257" s="1106"/>
      <c r="J257" s="1106"/>
      <c r="K257" s="1106"/>
      <c r="L257" s="1106"/>
      <c r="M257" s="1106"/>
      <c r="N257" s="1106"/>
      <c r="O257" s="1106"/>
      <c r="P257" s="1106"/>
      <c r="Q257" s="1106"/>
      <c r="R257" s="1106"/>
      <c r="S257" s="1106"/>
      <c r="T257" s="1106"/>
      <c r="U257" s="1106"/>
      <c r="V257" s="1106"/>
      <c r="W257" s="1106"/>
      <c r="X257" s="1106"/>
      <c r="Y257" s="1106"/>
      <c r="Z257" s="1106"/>
      <c r="AA257" s="1106"/>
      <c r="AB257" s="1106"/>
      <c r="AC257" s="1106"/>
      <c r="AD257" s="1106"/>
      <c r="AE257" s="1106"/>
      <c r="AF257" s="1106"/>
      <c r="AG257" s="1106"/>
      <c r="AH257" s="1106"/>
      <c r="AI257" s="1106"/>
      <c r="AJ257" s="1106"/>
      <c r="AK257" s="1106"/>
      <c r="AL257" s="1106"/>
      <c r="AM257" s="1106"/>
      <c r="AN257" s="1106"/>
      <c r="AO257" s="1106"/>
    </row>
    <row r="258">
      <c r="B258" s="1535" t="s">
        <v>1448</v>
      </c>
      <c r="G258" s="1106"/>
      <c r="H258" s="1106"/>
      <c r="I258" s="1106"/>
      <c r="J258" s="1106"/>
      <c r="K258" s="1106"/>
      <c r="L258" s="1106"/>
      <c r="M258" s="1106"/>
      <c r="N258" s="1106"/>
      <c r="O258" s="1106"/>
      <c r="P258" s="1106"/>
      <c r="Q258" s="1106"/>
      <c r="R258" s="1106"/>
      <c r="S258" s="1106"/>
      <c r="T258" s="1106"/>
      <c r="U258" s="1106"/>
      <c r="V258" s="1106"/>
      <c r="W258" s="1106"/>
      <c r="X258" s="1106"/>
      <c r="Y258" s="1106"/>
      <c r="Z258" s="1106"/>
      <c r="AA258" s="1106"/>
      <c r="AB258" s="1106"/>
      <c r="AC258" s="1106"/>
      <c r="AD258" s="1106"/>
      <c r="AE258" s="1106"/>
      <c r="AF258" s="1106"/>
      <c r="AG258" s="1106"/>
      <c r="AH258" s="1106"/>
      <c r="AI258" s="1106"/>
      <c r="AJ258" s="1106"/>
      <c r="AK258" s="1106"/>
      <c r="AL258" s="1106"/>
      <c r="AM258" s="1106"/>
      <c r="AN258" s="1106"/>
      <c r="AO258" s="1106"/>
    </row>
    <row r="259">
      <c r="B259" s="1535" t="s">
        <v>1449</v>
      </c>
      <c r="G259" s="1106"/>
      <c r="H259" s="1106"/>
      <c r="I259" s="1106"/>
      <c r="J259" s="1106"/>
      <c r="K259" s="1106"/>
      <c r="L259" s="1106"/>
      <c r="M259" s="1106"/>
      <c r="N259" s="1106"/>
      <c r="O259" s="1106"/>
      <c r="P259" s="1106"/>
      <c r="Q259" s="1106"/>
      <c r="R259" s="1106"/>
      <c r="S259" s="1106"/>
      <c r="T259" s="1106"/>
      <c r="U259" s="1106"/>
      <c r="V259" s="1106"/>
      <c r="W259" s="1106"/>
      <c r="X259" s="1106"/>
      <c r="Y259" s="1106"/>
      <c r="Z259" s="1106"/>
      <c r="AA259" s="1106"/>
      <c r="AB259" s="1106"/>
      <c r="AC259" s="1106"/>
      <c r="AD259" s="1106"/>
      <c r="AE259" s="1106"/>
      <c r="AF259" s="1106"/>
      <c r="AG259" s="1106"/>
      <c r="AH259" s="1106"/>
      <c r="AI259" s="1106"/>
      <c r="AJ259" s="1106"/>
      <c r="AK259" s="1106"/>
      <c r="AL259" s="1106"/>
      <c r="AM259" s="1106"/>
      <c r="AN259" s="1106"/>
      <c r="AO259" s="1106"/>
    </row>
    <row r="260">
      <c r="B260" s="1535" t="s">
        <v>1450</v>
      </c>
      <c r="G260" s="1106"/>
      <c r="H260" s="1106"/>
      <c r="I260" s="1106"/>
      <c r="J260" s="1106"/>
      <c r="K260" s="1106"/>
      <c r="L260" s="1106"/>
      <c r="M260" s="1106"/>
      <c r="N260" s="1106"/>
      <c r="O260" s="1106"/>
      <c r="P260" s="1106"/>
      <c r="Q260" s="1106"/>
      <c r="R260" s="1106"/>
      <c r="S260" s="1106"/>
      <c r="T260" s="1106"/>
      <c r="U260" s="1106"/>
      <c r="V260" s="1106"/>
      <c r="W260" s="1106"/>
      <c r="X260" s="1106"/>
      <c r="Y260" s="1106"/>
      <c r="Z260" s="1106"/>
      <c r="AA260" s="1106"/>
      <c r="AB260" s="1106"/>
      <c r="AC260" s="1106"/>
      <c r="AD260" s="1106"/>
      <c r="AE260" s="1106"/>
      <c r="AF260" s="1106"/>
      <c r="AG260" s="1106"/>
      <c r="AH260" s="1106"/>
      <c r="AI260" s="1106"/>
      <c r="AJ260" s="1106"/>
      <c r="AK260" s="1106"/>
      <c r="AL260" s="1106"/>
      <c r="AM260" s="1106"/>
      <c r="AN260" s="1106"/>
      <c r="AO260" s="1106"/>
    </row>
    <row r="261">
      <c r="B261" s="1536" t="s">
        <v>1451</v>
      </c>
      <c r="G261" s="1106"/>
      <c r="H261" s="1106"/>
      <c r="I261" s="1106"/>
      <c r="J261" s="1106"/>
      <c r="K261" s="1106"/>
      <c r="L261" s="1106"/>
      <c r="M261" s="1106"/>
      <c r="N261" s="1106"/>
      <c r="O261" s="1106"/>
      <c r="P261" s="1106"/>
      <c r="Q261" s="1106"/>
      <c r="R261" s="1106"/>
      <c r="S261" s="1106"/>
      <c r="T261" s="1106"/>
      <c r="U261" s="1106"/>
      <c r="V261" s="1106"/>
      <c r="W261" s="1106"/>
      <c r="X261" s="1106"/>
      <c r="Y261" s="1106"/>
      <c r="Z261" s="1106"/>
      <c r="AA261" s="1106"/>
      <c r="AB261" s="1106"/>
      <c r="AC261" s="1106"/>
      <c r="AD261" s="1106"/>
      <c r="AE261" s="1106"/>
      <c r="AF261" s="1106"/>
      <c r="AG261" s="1106"/>
      <c r="AH261" s="1106"/>
      <c r="AI261" s="1106"/>
      <c r="AJ261" s="1106"/>
      <c r="AK261" s="1106"/>
      <c r="AL261" s="1106"/>
      <c r="AM261" s="1106"/>
      <c r="AN261" s="1106"/>
      <c r="AO261" s="1106"/>
    </row>
    <row r="262">
      <c r="B262" s="1536" t="s">
        <v>1452</v>
      </c>
      <c r="G262" s="1106"/>
      <c r="H262" s="1106"/>
      <c r="I262" s="1106"/>
      <c r="J262" s="1106"/>
      <c r="K262" s="1106"/>
      <c r="L262" s="1106"/>
      <c r="M262" s="1106"/>
      <c r="N262" s="1106"/>
      <c r="O262" s="1106"/>
      <c r="P262" s="1106"/>
      <c r="Q262" s="1106"/>
      <c r="R262" s="1106"/>
      <c r="S262" s="1106"/>
      <c r="T262" s="1106"/>
      <c r="U262" s="1106"/>
      <c r="V262" s="1106"/>
      <c r="W262" s="1106"/>
      <c r="X262" s="1106"/>
      <c r="Y262" s="1106"/>
      <c r="Z262" s="1106"/>
      <c r="AA262" s="1106"/>
      <c r="AB262" s="1106"/>
      <c r="AC262" s="1106"/>
      <c r="AD262" s="1106"/>
      <c r="AE262" s="1106"/>
      <c r="AF262" s="1106"/>
      <c r="AG262" s="1106"/>
      <c r="AH262" s="1106"/>
      <c r="AI262" s="1106"/>
      <c r="AJ262" s="1106"/>
      <c r="AK262" s="1106"/>
      <c r="AL262" s="1106"/>
      <c r="AM262" s="1106"/>
      <c r="AN262" s="1106"/>
      <c r="AO262" s="1106"/>
    </row>
    <row r="263">
      <c r="B263" s="1535" t="s">
        <v>1453</v>
      </c>
      <c r="G263" s="1106"/>
      <c r="H263" s="1106"/>
      <c r="I263" s="1106"/>
      <c r="J263" s="1106"/>
      <c r="K263" s="1106"/>
      <c r="L263" s="1106"/>
      <c r="M263" s="1106"/>
      <c r="N263" s="1106"/>
      <c r="O263" s="1106"/>
      <c r="P263" s="1106"/>
      <c r="Q263" s="1106"/>
      <c r="R263" s="1106"/>
      <c r="S263" s="1106"/>
      <c r="T263" s="1106"/>
      <c r="U263" s="1106"/>
      <c r="V263" s="1106"/>
      <c r="W263" s="1106"/>
      <c r="X263" s="1106"/>
      <c r="Y263" s="1106"/>
      <c r="Z263" s="1106"/>
      <c r="AA263" s="1106"/>
      <c r="AB263" s="1106"/>
      <c r="AC263" s="1106"/>
      <c r="AD263" s="1106"/>
      <c r="AE263" s="1106"/>
      <c r="AF263" s="1106"/>
      <c r="AG263" s="1106"/>
      <c r="AH263" s="1106"/>
      <c r="AI263" s="1106"/>
      <c r="AJ263" s="1106"/>
      <c r="AK263" s="1106"/>
      <c r="AL263" s="1106"/>
      <c r="AM263" s="1106"/>
      <c r="AN263" s="1106"/>
      <c r="AO263" s="1106"/>
    </row>
    <row r="264">
      <c r="B264" s="1535" t="s">
        <v>1454</v>
      </c>
      <c r="G264" s="1106"/>
      <c r="H264" s="1106"/>
      <c r="I264" s="1106"/>
      <c r="J264" s="1106"/>
      <c r="K264" s="1106"/>
      <c r="L264" s="1106"/>
      <c r="M264" s="1106"/>
      <c r="N264" s="1106"/>
      <c r="O264" s="1106"/>
      <c r="P264" s="1106"/>
      <c r="Q264" s="1106"/>
      <c r="R264" s="1106"/>
      <c r="S264" s="1106"/>
      <c r="T264" s="1106"/>
      <c r="U264" s="1106"/>
      <c r="V264" s="1106"/>
      <c r="W264" s="1106"/>
      <c r="X264" s="1106"/>
      <c r="Y264" s="1106"/>
      <c r="Z264" s="1106"/>
      <c r="AA264" s="1106"/>
      <c r="AB264" s="1106"/>
      <c r="AC264" s="1106"/>
      <c r="AD264" s="1106"/>
      <c r="AE264" s="1106"/>
      <c r="AF264" s="1106"/>
      <c r="AG264" s="1106"/>
      <c r="AH264" s="1106"/>
      <c r="AI264" s="1106"/>
      <c r="AJ264" s="1106"/>
      <c r="AK264" s="1106"/>
      <c r="AL264" s="1106"/>
      <c r="AM264" s="1106"/>
      <c r="AN264" s="1106"/>
      <c r="AO264" s="1106"/>
    </row>
    <row r="265">
      <c r="B265" s="1535" t="s">
        <v>1455</v>
      </c>
      <c r="G265" s="1106"/>
      <c r="H265" s="1106"/>
      <c r="I265" s="1106"/>
      <c r="J265" s="1106"/>
      <c r="K265" s="1106"/>
      <c r="L265" s="1106"/>
      <c r="M265" s="1106"/>
      <c r="N265" s="1106"/>
      <c r="O265" s="1106"/>
      <c r="P265" s="1106"/>
      <c r="Q265" s="1106"/>
      <c r="R265" s="1106"/>
      <c r="S265" s="1106"/>
      <c r="T265" s="1106"/>
      <c r="U265" s="1106"/>
      <c r="V265" s="1106"/>
      <c r="W265" s="1106"/>
      <c r="X265" s="1106"/>
      <c r="Y265" s="1106"/>
      <c r="Z265" s="1106"/>
      <c r="AA265" s="1106"/>
      <c r="AB265" s="1106"/>
      <c r="AC265" s="1106"/>
      <c r="AD265" s="1106"/>
      <c r="AE265" s="1106"/>
      <c r="AF265" s="1106"/>
      <c r="AG265" s="1106"/>
      <c r="AH265" s="1106"/>
      <c r="AI265" s="1106"/>
      <c r="AJ265" s="1106"/>
      <c r="AK265" s="1106"/>
      <c r="AL265" s="1106"/>
      <c r="AM265" s="1106"/>
      <c r="AN265" s="1106"/>
      <c r="AO265" s="1106"/>
    </row>
    <row r="266">
      <c r="A266" s="1533" t="s">
        <v>1463</v>
      </c>
      <c r="B266" s="1534" t="s">
        <v>1447</v>
      </c>
      <c r="G266" s="1106"/>
      <c r="H266" s="1106"/>
      <c r="I266" s="1106"/>
      <c r="J266" s="1106"/>
      <c r="K266" s="1106"/>
      <c r="L266" s="1106"/>
      <c r="M266" s="1106"/>
      <c r="N266" s="1106"/>
      <c r="O266" s="1106"/>
      <c r="P266" s="1106"/>
      <c r="Q266" s="1106"/>
      <c r="R266" s="1106"/>
      <c r="S266" s="1106"/>
      <c r="T266" s="1106"/>
      <c r="U266" s="1106"/>
      <c r="V266" s="1106"/>
      <c r="W266" s="1106"/>
      <c r="X266" s="1106"/>
      <c r="Y266" s="1106"/>
      <c r="Z266" s="1106"/>
      <c r="AA266" s="1106"/>
      <c r="AB266" s="1106"/>
      <c r="AC266" s="1106"/>
      <c r="AD266" s="1106"/>
      <c r="AE266" s="1106"/>
      <c r="AF266" s="1106"/>
      <c r="AG266" s="1106"/>
      <c r="AH266" s="1106"/>
      <c r="AI266" s="1106"/>
      <c r="AJ266" s="1106"/>
      <c r="AK266" s="1106"/>
      <c r="AL266" s="1106"/>
      <c r="AM266" s="1106"/>
      <c r="AN266" s="1106"/>
      <c r="AO266" s="1106"/>
    </row>
    <row r="267">
      <c r="B267" s="1535" t="s">
        <v>1448</v>
      </c>
      <c r="G267" s="1106"/>
      <c r="H267" s="1106"/>
      <c r="I267" s="1106"/>
      <c r="J267" s="1106"/>
      <c r="K267" s="1106"/>
      <c r="L267" s="1106"/>
      <c r="M267" s="1106"/>
      <c r="N267" s="1106"/>
      <c r="O267" s="1106"/>
      <c r="P267" s="1106"/>
      <c r="Q267" s="1106"/>
      <c r="R267" s="1106"/>
      <c r="S267" s="1106"/>
      <c r="T267" s="1106"/>
      <c r="U267" s="1106"/>
      <c r="V267" s="1106"/>
      <c r="W267" s="1106"/>
      <c r="X267" s="1106"/>
      <c r="Y267" s="1106"/>
      <c r="Z267" s="1106"/>
      <c r="AA267" s="1106"/>
      <c r="AB267" s="1106"/>
      <c r="AC267" s="1106"/>
      <c r="AD267" s="1106"/>
      <c r="AE267" s="1106"/>
      <c r="AF267" s="1106"/>
      <c r="AG267" s="1106"/>
      <c r="AH267" s="1106"/>
      <c r="AI267" s="1106"/>
      <c r="AJ267" s="1106"/>
      <c r="AK267" s="1106"/>
      <c r="AL267" s="1106"/>
      <c r="AM267" s="1106"/>
      <c r="AN267" s="1106"/>
      <c r="AO267" s="1106"/>
    </row>
    <row r="268">
      <c r="B268" s="1535" t="s">
        <v>1449</v>
      </c>
      <c r="G268" s="1106"/>
      <c r="H268" s="1106"/>
      <c r="I268" s="1106"/>
      <c r="J268" s="1106"/>
      <c r="K268" s="1106"/>
      <c r="L268" s="1106"/>
      <c r="M268" s="1106"/>
      <c r="N268" s="1106"/>
      <c r="O268" s="1106"/>
      <c r="P268" s="1106"/>
      <c r="Q268" s="1106"/>
      <c r="R268" s="1106"/>
      <c r="S268" s="1106"/>
      <c r="T268" s="1106"/>
      <c r="U268" s="1106"/>
      <c r="V268" s="1106"/>
      <c r="W268" s="1106"/>
      <c r="X268" s="1106"/>
      <c r="Y268" s="1106"/>
      <c r="Z268" s="1106"/>
      <c r="AA268" s="1106"/>
      <c r="AB268" s="1106"/>
      <c r="AC268" s="1106"/>
      <c r="AD268" s="1106"/>
      <c r="AE268" s="1106"/>
      <c r="AF268" s="1106"/>
      <c r="AG268" s="1106"/>
      <c r="AH268" s="1106"/>
      <c r="AI268" s="1106"/>
      <c r="AJ268" s="1106"/>
      <c r="AK268" s="1106"/>
      <c r="AL268" s="1106"/>
      <c r="AM268" s="1106"/>
      <c r="AN268" s="1106"/>
      <c r="AO268" s="1106"/>
    </row>
    <row r="269">
      <c r="B269" s="1535" t="s">
        <v>1450</v>
      </c>
      <c r="G269" s="1106"/>
      <c r="H269" s="1106"/>
      <c r="I269" s="1106"/>
      <c r="J269" s="1106"/>
      <c r="K269" s="1106"/>
      <c r="L269" s="1106"/>
      <c r="M269" s="1106"/>
      <c r="N269" s="1106"/>
      <c r="O269" s="1106"/>
      <c r="P269" s="1106"/>
      <c r="Q269" s="1106"/>
      <c r="R269" s="1106"/>
      <c r="S269" s="1106"/>
      <c r="T269" s="1106"/>
      <c r="U269" s="1106"/>
      <c r="V269" s="1106"/>
      <c r="W269" s="1106"/>
      <c r="X269" s="1106"/>
      <c r="Y269" s="1106"/>
      <c r="Z269" s="1106"/>
      <c r="AA269" s="1106"/>
      <c r="AB269" s="1106"/>
      <c r="AC269" s="1106"/>
      <c r="AD269" s="1106"/>
      <c r="AE269" s="1106"/>
      <c r="AF269" s="1106"/>
      <c r="AG269" s="1106"/>
      <c r="AH269" s="1106"/>
      <c r="AI269" s="1106"/>
      <c r="AJ269" s="1106"/>
      <c r="AK269" s="1106"/>
      <c r="AL269" s="1106"/>
      <c r="AM269" s="1106"/>
      <c r="AN269" s="1106"/>
      <c r="AO269" s="1106"/>
    </row>
    <row r="270">
      <c r="B270" s="1536" t="s">
        <v>1451</v>
      </c>
      <c r="G270" s="1106"/>
      <c r="H270" s="1106"/>
      <c r="I270" s="1106"/>
      <c r="J270" s="1106"/>
      <c r="K270" s="1106"/>
      <c r="L270" s="1106"/>
      <c r="M270" s="1106"/>
      <c r="N270" s="1106"/>
      <c r="O270" s="1106"/>
      <c r="P270" s="1106"/>
      <c r="Q270" s="1106"/>
      <c r="R270" s="1106"/>
      <c r="S270" s="1106"/>
      <c r="T270" s="1106"/>
      <c r="U270" s="1106"/>
      <c r="V270" s="1106"/>
      <c r="W270" s="1106"/>
      <c r="X270" s="1106"/>
      <c r="Y270" s="1106"/>
      <c r="Z270" s="1106"/>
      <c r="AA270" s="1106"/>
      <c r="AB270" s="1106"/>
      <c r="AC270" s="1106"/>
      <c r="AD270" s="1106"/>
      <c r="AE270" s="1106"/>
      <c r="AF270" s="1106"/>
      <c r="AG270" s="1106"/>
      <c r="AH270" s="1106"/>
      <c r="AI270" s="1106"/>
      <c r="AJ270" s="1106"/>
      <c r="AK270" s="1106"/>
      <c r="AL270" s="1106"/>
      <c r="AM270" s="1106"/>
      <c r="AN270" s="1106"/>
      <c r="AO270" s="1106"/>
    </row>
    <row r="271">
      <c r="B271" s="1536" t="s">
        <v>1452</v>
      </c>
      <c r="G271" s="1106"/>
      <c r="H271" s="1106"/>
      <c r="I271" s="1106"/>
      <c r="J271" s="1106"/>
      <c r="K271" s="1106"/>
      <c r="L271" s="1106"/>
      <c r="M271" s="1106"/>
      <c r="N271" s="1106"/>
      <c r="O271" s="1106"/>
      <c r="P271" s="1106"/>
      <c r="Q271" s="1106"/>
      <c r="R271" s="1106"/>
      <c r="S271" s="1106"/>
      <c r="T271" s="1106"/>
      <c r="U271" s="1106"/>
      <c r="V271" s="1106"/>
      <c r="W271" s="1106"/>
      <c r="X271" s="1106"/>
      <c r="Y271" s="1106"/>
      <c r="Z271" s="1106"/>
      <c r="AA271" s="1106"/>
      <c r="AB271" s="1106"/>
      <c r="AC271" s="1106"/>
      <c r="AD271" s="1106"/>
      <c r="AE271" s="1106"/>
      <c r="AF271" s="1106"/>
      <c r="AG271" s="1106"/>
      <c r="AH271" s="1106"/>
      <c r="AI271" s="1106"/>
      <c r="AJ271" s="1106"/>
      <c r="AK271" s="1106"/>
      <c r="AL271" s="1106"/>
      <c r="AM271" s="1106"/>
      <c r="AN271" s="1106"/>
      <c r="AO271" s="1106"/>
    </row>
    <row r="272">
      <c r="B272" s="1535" t="s">
        <v>1453</v>
      </c>
      <c r="G272" s="1106"/>
      <c r="H272" s="1106"/>
      <c r="I272" s="1106"/>
      <c r="J272" s="1106"/>
      <c r="K272" s="1106"/>
      <c r="L272" s="1106"/>
      <c r="M272" s="1106"/>
      <c r="N272" s="1106"/>
      <c r="O272" s="1106"/>
      <c r="P272" s="1106"/>
      <c r="Q272" s="1106"/>
      <c r="R272" s="1106"/>
      <c r="S272" s="1106"/>
      <c r="T272" s="1106"/>
      <c r="U272" s="1106"/>
      <c r="V272" s="1106"/>
      <c r="W272" s="1106"/>
      <c r="X272" s="1106"/>
      <c r="Y272" s="1106"/>
      <c r="Z272" s="1106"/>
      <c r="AA272" s="1106"/>
      <c r="AB272" s="1106"/>
      <c r="AC272" s="1106"/>
      <c r="AD272" s="1106"/>
      <c r="AE272" s="1106"/>
      <c r="AF272" s="1106"/>
      <c r="AG272" s="1106"/>
      <c r="AH272" s="1106"/>
      <c r="AI272" s="1106"/>
      <c r="AJ272" s="1106"/>
      <c r="AK272" s="1106"/>
      <c r="AL272" s="1106"/>
      <c r="AM272" s="1106"/>
      <c r="AN272" s="1106"/>
      <c r="AO272" s="1106"/>
    </row>
    <row r="273">
      <c r="B273" s="1535" t="s">
        <v>1454</v>
      </c>
      <c r="G273" s="1106"/>
      <c r="H273" s="1106"/>
      <c r="I273" s="1106"/>
      <c r="J273" s="1106"/>
      <c r="K273" s="1106"/>
      <c r="L273" s="1106"/>
      <c r="M273" s="1106"/>
      <c r="N273" s="1106"/>
      <c r="O273" s="1106"/>
      <c r="P273" s="1106"/>
      <c r="Q273" s="1106"/>
      <c r="R273" s="1106"/>
      <c r="S273" s="1106"/>
      <c r="T273" s="1106"/>
      <c r="U273" s="1106"/>
      <c r="V273" s="1106"/>
      <c r="W273" s="1106"/>
      <c r="X273" s="1106"/>
      <c r="Y273" s="1106"/>
      <c r="Z273" s="1106"/>
      <c r="AA273" s="1106"/>
      <c r="AB273" s="1106"/>
      <c r="AC273" s="1106"/>
      <c r="AD273" s="1106"/>
      <c r="AE273" s="1106"/>
      <c r="AF273" s="1106"/>
      <c r="AG273" s="1106"/>
      <c r="AH273" s="1106"/>
      <c r="AI273" s="1106"/>
      <c r="AJ273" s="1106"/>
      <c r="AK273" s="1106"/>
      <c r="AL273" s="1106"/>
      <c r="AM273" s="1106"/>
      <c r="AN273" s="1106"/>
      <c r="AO273" s="1106"/>
    </row>
    <row r="274">
      <c r="B274" s="1535" t="s">
        <v>1455</v>
      </c>
      <c r="G274" s="1106"/>
      <c r="H274" s="1106"/>
      <c r="I274" s="1106"/>
      <c r="J274" s="1106"/>
      <c r="K274" s="1106"/>
      <c r="L274" s="1106"/>
      <c r="M274" s="1106"/>
      <c r="N274" s="1106"/>
      <c r="O274" s="1106"/>
      <c r="P274" s="1106"/>
      <c r="Q274" s="1106"/>
      <c r="R274" s="1106"/>
      <c r="S274" s="1106"/>
      <c r="T274" s="1106"/>
      <c r="U274" s="1106"/>
      <c r="V274" s="1106"/>
      <c r="W274" s="1106"/>
      <c r="X274" s="1106"/>
      <c r="Y274" s="1106"/>
      <c r="Z274" s="1106"/>
      <c r="AA274" s="1106"/>
      <c r="AB274" s="1106"/>
      <c r="AC274" s="1106"/>
      <c r="AD274" s="1106"/>
      <c r="AE274" s="1106"/>
      <c r="AF274" s="1106"/>
      <c r="AG274" s="1106"/>
      <c r="AH274" s="1106"/>
      <c r="AI274" s="1106"/>
      <c r="AJ274" s="1106"/>
      <c r="AK274" s="1106"/>
      <c r="AL274" s="1106"/>
      <c r="AM274" s="1106"/>
      <c r="AN274" s="1106"/>
      <c r="AO274" s="1106"/>
    </row>
    <row r="275">
      <c r="A275" s="1533" t="s">
        <v>1464</v>
      </c>
      <c r="B275" s="1534" t="s">
        <v>1447</v>
      </c>
      <c r="G275" s="1106"/>
      <c r="H275" s="1106"/>
      <c r="I275" s="1106"/>
      <c r="J275" s="1106"/>
      <c r="K275" s="1106"/>
      <c r="L275" s="1106"/>
      <c r="M275" s="1106"/>
      <c r="N275" s="1106"/>
      <c r="O275" s="1106"/>
      <c r="P275" s="1106"/>
      <c r="Q275" s="1106"/>
      <c r="R275" s="1106"/>
      <c r="S275" s="1106"/>
      <c r="T275" s="1106"/>
      <c r="U275" s="1106"/>
      <c r="V275" s="1106"/>
      <c r="W275" s="1106"/>
      <c r="X275" s="1106"/>
      <c r="Y275" s="1106"/>
      <c r="Z275" s="1106"/>
      <c r="AA275" s="1106"/>
      <c r="AB275" s="1106"/>
      <c r="AC275" s="1106"/>
      <c r="AD275" s="1106"/>
      <c r="AE275" s="1106"/>
      <c r="AF275" s="1106"/>
      <c r="AG275" s="1106"/>
      <c r="AH275" s="1106"/>
      <c r="AI275" s="1106"/>
      <c r="AJ275" s="1106"/>
      <c r="AK275" s="1106"/>
      <c r="AL275" s="1106"/>
      <c r="AM275" s="1106"/>
      <c r="AN275" s="1106"/>
      <c r="AO275" s="1106"/>
    </row>
    <row r="276">
      <c r="B276" s="1535" t="s">
        <v>1448</v>
      </c>
      <c r="G276" s="1106"/>
      <c r="H276" s="1106"/>
      <c r="I276" s="1106"/>
      <c r="J276" s="1106"/>
      <c r="K276" s="1106"/>
      <c r="L276" s="1106"/>
      <c r="M276" s="1106"/>
      <c r="N276" s="1106"/>
      <c r="O276" s="1106"/>
      <c r="P276" s="1106"/>
      <c r="Q276" s="1106"/>
      <c r="R276" s="1106"/>
      <c r="S276" s="1106"/>
      <c r="T276" s="1106"/>
      <c r="U276" s="1106"/>
      <c r="V276" s="1106"/>
      <c r="W276" s="1106"/>
      <c r="X276" s="1106"/>
      <c r="Y276" s="1106"/>
      <c r="Z276" s="1106"/>
      <c r="AA276" s="1106"/>
      <c r="AB276" s="1106"/>
      <c r="AC276" s="1106"/>
      <c r="AD276" s="1106"/>
      <c r="AE276" s="1106"/>
      <c r="AF276" s="1106"/>
      <c r="AG276" s="1106"/>
      <c r="AH276" s="1106"/>
      <c r="AI276" s="1106"/>
      <c r="AJ276" s="1106"/>
      <c r="AK276" s="1106"/>
      <c r="AL276" s="1106"/>
      <c r="AM276" s="1106"/>
      <c r="AN276" s="1106"/>
      <c r="AO276" s="1106"/>
    </row>
    <row r="277">
      <c r="B277" s="1535" t="s">
        <v>1449</v>
      </c>
      <c r="G277" s="1106"/>
      <c r="H277" s="1106"/>
      <c r="I277" s="1106"/>
      <c r="J277" s="1106"/>
      <c r="K277" s="1106"/>
      <c r="L277" s="1106"/>
      <c r="M277" s="1106"/>
      <c r="N277" s="1106"/>
      <c r="O277" s="1106"/>
      <c r="P277" s="1106"/>
      <c r="Q277" s="1106"/>
      <c r="R277" s="1106"/>
      <c r="S277" s="1106"/>
      <c r="T277" s="1106"/>
      <c r="U277" s="1106"/>
      <c r="V277" s="1106"/>
      <c r="W277" s="1106"/>
      <c r="X277" s="1106"/>
      <c r="Y277" s="1106"/>
      <c r="Z277" s="1106"/>
      <c r="AA277" s="1106"/>
      <c r="AB277" s="1106"/>
      <c r="AC277" s="1106"/>
      <c r="AD277" s="1106"/>
      <c r="AE277" s="1106"/>
      <c r="AF277" s="1106"/>
      <c r="AG277" s="1106"/>
      <c r="AH277" s="1106"/>
      <c r="AI277" s="1106"/>
      <c r="AJ277" s="1106"/>
      <c r="AK277" s="1106"/>
      <c r="AL277" s="1106"/>
      <c r="AM277" s="1106"/>
      <c r="AN277" s="1106"/>
      <c r="AO277" s="1106"/>
    </row>
    <row r="278">
      <c r="B278" s="1535" t="s">
        <v>1450</v>
      </c>
      <c r="G278" s="1106"/>
      <c r="H278" s="1106"/>
      <c r="I278" s="1106"/>
      <c r="J278" s="1106"/>
      <c r="K278" s="1106"/>
      <c r="L278" s="1106"/>
      <c r="M278" s="1106"/>
      <c r="N278" s="1106"/>
      <c r="O278" s="1106"/>
      <c r="P278" s="1106"/>
      <c r="Q278" s="1106"/>
      <c r="R278" s="1106"/>
      <c r="S278" s="1106"/>
      <c r="T278" s="1106"/>
      <c r="U278" s="1106"/>
      <c r="V278" s="1106"/>
      <c r="W278" s="1106"/>
      <c r="X278" s="1106"/>
      <c r="Y278" s="1106"/>
      <c r="Z278" s="1106"/>
      <c r="AA278" s="1106"/>
      <c r="AB278" s="1106"/>
      <c r="AC278" s="1106"/>
      <c r="AD278" s="1106"/>
      <c r="AE278" s="1106"/>
      <c r="AF278" s="1106"/>
      <c r="AG278" s="1106"/>
      <c r="AH278" s="1106"/>
      <c r="AI278" s="1106"/>
      <c r="AJ278" s="1106"/>
      <c r="AK278" s="1106"/>
      <c r="AL278" s="1106"/>
      <c r="AM278" s="1106"/>
      <c r="AN278" s="1106"/>
      <c r="AO278" s="1106"/>
    </row>
    <row r="279">
      <c r="B279" s="1536" t="s">
        <v>1451</v>
      </c>
      <c r="G279" s="1106"/>
      <c r="H279" s="1106"/>
      <c r="I279" s="1106"/>
      <c r="J279" s="1106"/>
      <c r="K279" s="1106"/>
      <c r="L279" s="1106"/>
      <c r="M279" s="1106"/>
      <c r="N279" s="1106"/>
      <c r="O279" s="1106"/>
      <c r="P279" s="1106"/>
      <c r="Q279" s="1106"/>
      <c r="R279" s="1106"/>
      <c r="S279" s="1106"/>
      <c r="T279" s="1106"/>
      <c r="U279" s="1106"/>
      <c r="V279" s="1106"/>
      <c r="W279" s="1106"/>
      <c r="X279" s="1106"/>
      <c r="Y279" s="1106"/>
      <c r="Z279" s="1106"/>
      <c r="AA279" s="1106"/>
      <c r="AB279" s="1106"/>
      <c r="AC279" s="1106"/>
      <c r="AD279" s="1106"/>
      <c r="AE279" s="1106"/>
      <c r="AF279" s="1106"/>
      <c r="AG279" s="1106"/>
      <c r="AH279" s="1106"/>
      <c r="AI279" s="1106"/>
      <c r="AJ279" s="1106"/>
      <c r="AK279" s="1106"/>
      <c r="AL279" s="1106"/>
      <c r="AM279" s="1106"/>
      <c r="AN279" s="1106"/>
      <c r="AO279" s="1106"/>
    </row>
    <row r="280">
      <c r="B280" s="1536" t="s">
        <v>1452</v>
      </c>
      <c r="G280" s="1106"/>
      <c r="H280" s="1106"/>
      <c r="I280" s="1106"/>
      <c r="J280" s="1106"/>
      <c r="K280" s="1106"/>
      <c r="L280" s="1106"/>
      <c r="M280" s="1106"/>
      <c r="N280" s="1106"/>
      <c r="O280" s="1106"/>
      <c r="P280" s="1106"/>
      <c r="Q280" s="1106"/>
      <c r="R280" s="1106"/>
      <c r="S280" s="1106"/>
      <c r="T280" s="1106"/>
      <c r="U280" s="1106"/>
      <c r="V280" s="1106"/>
      <c r="W280" s="1106"/>
      <c r="X280" s="1106"/>
      <c r="Y280" s="1106"/>
      <c r="Z280" s="1106"/>
      <c r="AA280" s="1106"/>
      <c r="AB280" s="1106"/>
      <c r="AC280" s="1106"/>
      <c r="AD280" s="1106"/>
      <c r="AE280" s="1106"/>
      <c r="AF280" s="1106"/>
      <c r="AG280" s="1106"/>
      <c r="AH280" s="1106"/>
      <c r="AI280" s="1106"/>
      <c r="AJ280" s="1106"/>
      <c r="AK280" s="1106"/>
      <c r="AL280" s="1106"/>
      <c r="AM280" s="1106"/>
      <c r="AN280" s="1106"/>
      <c r="AO280" s="1106"/>
    </row>
    <row r="281">
      <c r="B281" s="1535" t="s">
        <v>1453</v>
      </c>
      <c r="G281" s="1106"/>
      <c r="H281" s="1106"/>
      <c r="I281" s="1106"/>
      <c r="J281" s="1106"/>
      <c r="K281" s="1106"/>
      <c r="L281" s="1106"/>
      <c r="M281" s="1106"/>
      <c r="N281" s="1106"/>
      <c r="O281" s="1106"/>
      <c r="P281" s="1106"/>
      <c r="Q281" s="1106"/>
      <c r="R281" s="1106"/>
      <c r="S281" s="1106"/>
      <c r="T281" s="1106"/>
      <c r="U281" s="1106"/>
      <c r="V281" s="1106"/>
      <c r="W281" s="1106"/>
      <c r="X281" s="1106"/>
      <c r="Y281" s="1106"/>
      <c r="Z281" s="1106"/>
      <c r="AA281" s="1106"/>
      <c r="AB281" s="1106"/>
      <c r="AC281" s="1106"/>
      <c r="AD281" s="1106"/>
      <c r="AE281" s="1106"/>
      <c r="AF281" s="1106"/>
      <c r="AG281" s="1106"/>
      <c r="AH281" s="1106"/>
      <c r="AI281" s="1106"/>
      <c r="AJ281" s="1106"/>
      <c r="AK281" s="1106"/>
      <c r="AL281" s="1106"/>
      <c r="AM281" s="1106"/>
      <c r="AN281" s="1106"/>
      <c r="AO281" s="1106"/>
    </row>
    <row r="282">
      <c r="B282" s="1535" t="s">
        <v>1454</v>
      </c>
      <c r="G282" s="1106"/>
      <c r="H282" s="1106"/>
      <c r="I282" s="1106"/>
      <c r="J282" s="1106"/>
      <c r="K282" s="1106"/>
      <c r="L282" s="1106"/>
      <c r="M282" s="1106"/>
      <c r="N282" s="1106"/>
      <c r="O282" s="1106"/>
      <c r="P282" s="1106"/>
      <c r="Q282" s="1106"/>
      <c r="R282" s="1106"/>
      <c r="S282" s="1106"/>
      <c r="T282" s="1106"/>
      <c r="U282" s="1106"/>
      <c r="V282" s="1106"/>
      <c r="W282" s="1106"/>
      <c r="X282" s="1106"/>
      <c r="Y282" s="1106"/>
      <c r="Z282" s="1106"/>
      <c r="AA282" s="1106"/>
      <c r="AB282" s="1106"/>
      <c r="AC282" s="1106"/>
      <c r="AD282" s="1106"/>
      <c r="AE282" s="1106"/>
      <c r="AF282" s="1106"/>
      <c r="AG282" s="1106"/>
      <c r="AH282" s="1106"/>
      <c r="AI282" s="1106"/>
      <c r="AJ282" s="1106"/>
      <c r="AK282" s="1106"/>
      <c r="AL282" s="1106"/>
      <c r="AM282" s="1106"/>
      <c r="AN282" s="1106"/>
      <c r="AO282" s="1106"/>
    </row>
    <row r="283">
      <c r="B283" s="1535" t="s">
        <v>1455</v>
      </c>
      <c r="G283" s="1106"/>
      <c r="H283" s="1106"/>
      <c r="I283" s="1106"/>
      <c r="J283" s="1106"/>
      <c r="K283" s="1106"/>
      <c r="L283" s="1106"/>
      <c r="M283" s="1106"/>
      <c r="N283" s="1106"/>
      <c r="O283" s="1106"/>
      <c r="P283" s="1106"/>
      <c r="Q283" s="1106"/>
      <c r="R283" s="1106"/>
      <c r="S283" s="1106"/>
      <c r="T283" s="1106"/>
      <c r="U283" s="1106"/>
      <c r="V283" s="1106"/>
      <c r="W283" s="1106"/>
      <c r="X283" s="1106"/>
      <c r="Y283" s="1106"/>
      <c r="Z283" s="1106"/>
      <c r="AA283" s="1106"/>
      <c r="AB283" s="1106"/>
      <c r="AC283" s="1106"/>
      <c r="AD283" s="1106"/>
      <c r="AE283" s="1106"/>
      <c r="AF283" s="1106"/>
      <c r="AG283" s="1106"/>
      <c r="AH283" s="1106"/>
      <c r="AI283" s="1106"/>
      <c r="AJ283" s="1106"/>
      <c r="AK283" s="1106"/>
      <c r="AL283" s="1106"/>
      <c r="AM283" s="1106"/>
      <c r="AN283" s="1106"/>
      <c r="AO283" s="1106"/>
    </row>
    <row r="284">
      <c r="A284" s="1533" t="s">
        <v>1465</v>
      </c>
      <c r="B284" s="1534" t="s">
        <v>1447</v>
      </c>
      <c r="G284" s="1106"/>
      <c r="H284" s="1106"/>
      <c r="I284" s="1106"/>
      <c r="J284" s="1106"/>
      <c r="K284" s="1106"/>
      <c r="L284" s="1106"/>
      <c r="M284" s="1106"/>
      <c r="N284" s="1106"/>
      <c r="O284" s="1106"/>
      <c r="P284" s="1106"/>
      <c r="Q284" s="1106"/>
      <c r="R284" s="1106"/>
      <c r="S284" s="1106"/>
      <c r="T284" s="1106"/>
      <c r="U284" s="1106"/>
      <c r="V284" s="1106"/>
      <c r="W284" s="1106"/>
      <c r="X284" s="1106"/>
      <c r="Y284" s="1106"/>
      <c r="Z284" s="1106"/>
      <c r="AA284" s="1106"/>
      <c r="AB284" s="1106"/>
      <c r="AC284" s="1106"/>
      <c r="AD284" s="1106"/>
      <c r="AE284" s="1106"/>
      <c r="AF284" s="1106"/>
      <c r="AG284" s="1106"/>
      <c r="AH284" s="1106"/>
      <c r="AI284" s="1106"/>
      <c r="AJ284" s="1106"/>
      <c r="AK284" s="1106"/>
      <c r="AL284" s="1106"/>
      <c r="AM284" s="1106"/>
      <c r="AN284" s="1106"/>
      <c r="AO284" s="1106"/>
    </row>
    <row r="285">
      <c r="B285" s="1535" t="s">
        <v>1448</v>
      </c>
      <c r="G285" s="1106"/>
      <c r="H285" s="1106"/>
      <c r="I285" s="1106"/>
      <c r="J285" s="1106"/>
      <c r="K285" s="1106"/>
      <c r="L285" s="1106"/>
      <c r="M285" s="1106"/>
      <c r="N285" s="1106"/>
      <c r="O285" s="1106"/>
      <c r="P285" s="1106"/>
      <c r="Q285" s="1106"/>
      <c r="R285" s="1106"/>
      <c r="S285" s="1106"/>
      <c r="T285" s="1106"/>
      <c r="U285" s="1106"/>
      <c r="V285" s="1106"/>
      <c r="W285" s="1106"/>
      <c r="X285" s="1106"/>
      <c r="Y285" s="1106"/>
      <c r="Z285" s="1106"/>
      <c r="AA285" s="1106"/>
      <c r="AB285" s="1106"/>
      <c r="AC285" s="1106"/>
      <c r="AD285" s="1106"/>
      <c r="AE285" s="1106"/>
      <c r="AF285" s="1106"/>
      <c r="AG285" s="1106"/>
      <c r="AH285" s="1106"/>
      <c r="AI285" s="1106"/>
      <c r="AJ285" s="1106"/>
      <c r="AK285" s="1106"/>
      <c r="AL285" s="1106"/>
      <c r="AM285" s="1106"/>
      <c r="AN285" s="1106"/>
      <c r="AO285" s="1106"/>
    </row>
    <row r="286">
      <c r="B286" s="1535" t="s">
        <v>1449</v>
      </c>
      <c r="G286" s="1106"/>
      <c r="H286" s="1106"/>
      <c r="I286" s="1106"/>
      <c r="J286" s="1106"/>
      <c r="K286" s="1106"/>
      <c r="L286" s="1106"/>
      <c r="M286" s="1106"/>
      <c r="N286" s="1106"/>
      <c r="O286" s="1106"/>
      <c r="P286" s="1106"/>
      <c r="Q286" s="1106"/>
      <c r="R286" s="1106"/>
      <c r="S286" s="1106"/>
      <c r="T286" s="1106"/>
      <c r="U286" s="1106"/>
      <c r="V286" s="1106"/>
      <c r="W286" s="1106"/>
      <c r="X286" s="1106"/>
      <c r="Y286" s="1106"/>
      <c r="Z286" s="1106"/>
      <c r="AA286" s="1106"/>
      <c r="AB286" s="1106"/>
      <c r="AC286" s="1106"/>
      <c r="AD286" s="1106"/>
      <c r="AE286" s="1106"/>
      <c r="AF286" s="1106"/>
      <c r="AG286" s="1106"/>
      <c r="AH286" s="1106"/>
      <c r="AI286" s="1106"/>
      <c r="AJ286" s="1106"/>
      <c r="AK286" s="1106"/>
      <c r="AL286" s="1106"/>
      <c r="AM286" s="1106"/>
      <c r="AN286" s="1106"/>
      <c r="AO286" s="1106"/>
    </row>
    <row r="287">
      <c r="B287" s="1535" t="s">
        <v>1450</v>
      </c>
      <c r="G287" s="1106"/>
      <c r="H287" s="1106"/>
      <c r="I287" s="1106"/>
      <c r="J287" s="1106"/>
      <c r="K287" s="1106"/>
      <c r="L287" s="1106"/>
      <c r="M287" s="1106"/>
      <c r="N287" s="1106"/>
      <c r="O287" s="1106"/>
      <c r="P287" s="1106"/>
      <c r="Q287" s="1106"/>
      <c r="R287" s="1106"/>
      <c r="S287" s="1106"/>
      <c r="T287" s="1106"/>
      <c r="U287" s="1106"/>
      <c r="V287" s="1106"/>
      <c r="W287" s="1106"/>
      <c r="X287" s="1106"/>
      <c r="Y287" s="1106"/>
      <c r="Z287" s="1106"/>
      <c r="AA287" s="1106"/>
      <c r="AB287" s="1106"/>
      <c r="AC287" s="1106"/>
      <c r="AD287" s="1106"/>
      <c r="AE287" s="1106"/>
      <c r="AF287" s="1106"/>
      <c r="AG287" s="1106"/>
      <c r="AH287" s="1106"/>
      <c r="AI287" s="1106"/>
      <c r="AJ287" s="1106"/>
      <c r="AK287" s="1106"/>
      <c r="AL287" s="1106"/>
      <c r="AM287" s="1106"/>
      <c r="AN287" s="1106"/>
      <c r="AO287" s="1106"/>
    </row>
    <row r="288">
      <c r="B288" s="1536" t="s">
        <v>1451</v>
      </c>
      <c r="G288" s="1106"/>
      <c r="H288" s="1106"/>
      <c r="I288" s="1106"/>
      <c r="J288" s="1106"/>
      <c r="K288" s="1106"/>
      <c r="L288" s="1106"/>
      <c r="M288" s="1106"/>
      <c r="N288" s="1106"/>
      <c r="O288" s="1106"/>
      <c r="P288" s="1106"/>
      <c r="Q288" s="1106"/>
      <c r="R288" s="1106"/>
      <c r="S288" s="1106"/>
      <c r="T288" s="1106"/>
      <c r="U288" s="1106"/>
      <c r="V288" s="1106"/>
      <c r="W288" s="1106"/>
      <c r="X288" s="1106"/>
      <c r="Y288" s="1106"/>
      <c r="Z288" s="1106"/>
      <c r="AA288" s="1106"/>
      <c r="AB288" s="1106"/>
      <c r="AC288" s="1106"/>
      <c r="AD288" s="1106"/>
      <c r="AE288" s="1106"/>
      <c r="AF288" s="1106"/>
      <c r="AG288" s="1106"/>
      <c r="AH288" s="1106"/>
      <c r="AI288" s="1106"/>
      <c r="AJ288" s="1106"/>
      <c r="AK288" s="1106"/>
      <c r="AL288" s="1106"/>
      <c r="AM288" s="1106"/>
      <c r="AN288" s="1106"/>
      <c r="AO288" s="1106"/>
    </row>
    <row r="289">
      <c r="B289" s="1536" t="s">
        <v>1452</v>
      </c>
      <c r="G289" s="1106"/>
      <c r="H289" s="1106"/>
      <c r="I289" s="1106"/>
      <c r="J289" s="1106"/>
      <c r="K289" s="1106"/>
      <c r="L289" s="1106"/>
      <c r="M289" s="1106"/>
      <c r="N289" s="1106"/>
      <c r="O289" s="1106"/>
      <c r="P289" s="1106"/>
      <c r="Q289" s="1106"/>
      <c r="R289" s="1106"/>
      <c r="S289" s="1106"/>
      <c r="T289" s="1106"/>
      <c r="U289" s="1106"/>
      <c r="V289" s="1106"/>
      <c r="W289" s="1106"/>
      <c r="X289" s="1106"/>
      <c r="Y289" s="1106"/>
      <c r="Z289" s="1106"/>
      <c r="AA289" s="1106"/>
      <c r="AB289" s="1106"/>
      <c r="AC289" s="1106"/>
      <c r="AD289" s="1106"/>
      <c r="AE289" s="1106"/>
      <c r="AF289" s="1106"/>
      <c r="AG289" s="1106"/>
      <c r="AH289" s="1106"/>
      <c r="AI289" s="1106"/>
      <c r="AJ289" s="1106"/>
      <c r="AK289" s="1106"/>
      <c r="AL289" s="1106"/>
      <c r="AM289" s="1106"/>
      <c r="AN289" s="1106"/>
      <c r="AO289" s="1106"/>
    </row>
    <row r="290">
      <c r="B290" s="1535" t="s">
        <v>1453</v>
      </c>
      <c r="G290" s="1106"/>
      <c r="H290" s="1106"/>
      <c r="I290" s="1106"/>
      <c r="J290" s="1106"/>
      <c r="K290" s="1106"/>
      <c r="L290" s="1106"/>
      <c r="M290" s="1106"/>
      <c r="N290" s="1106"/>
      <c r="O290" s="1106"/>
      <c r="P290" s="1106"/>
      <c r="Q290" s="1106"/>
      <c r="R290" s="1106"/>
      <c r="S290" s="1106"/>
      <c r="T290" s="1106"/>
      <c r="U290" s="1106"/>
      <c r="V290" s="1106"/>
      <c r="W290" s="1106"/>
      <c r="X290" s="1106"/>
      <c r="Y290" s="1106"/>
      <c r="Z290" s="1106"/>
      <c r="AA290" s="1106"/>
      <c r="AB290" s="1106"/>
      <c r="AC290" s="1106"/>
      <c r="AD290" s="1106"/>
      <c r="AE290" s="1106"/>
      <c r="AF290" s="1106"/>
      <c r="AG290" s="1106"/>
      <c r="AH290" s="1106"/>
      <c r="AI290" s="1106"/>
      <c r="AJ290" s="1106"/>
      <c r="AK290" s="1106"/>
      <c r="AL290" s="1106"/>
      <c r="AM290" s="1106"/>
      <c r="AN290" s="1106"/>
      <c r="AO290" s="1106"/>
    </row>
    <row r="291">
      <c r="B291" s="1535" t="s">
        <v>1454</v>
      </c>
      <c r="G291" s="1106"/>
      <c r="H291" s="1106"/>
      <c r="I291" s="1106"/>
      <c r="J291" s="1106"/>
      <c r="K291" s="1106"/>
      <c r="L291" s="1106"/>
      <c r="M291" s="1106"/>
      <c r="N291" s="1106"/>
      <c r="O291" s="1106"/>
      <c r="P291" s="1106"/>
      <c r="Q291" s="1106"/>
      <c r="R291" s="1106"/>
      <c r="S291" s="1106"/>
      <c r="T291" s="1106"/>
      <c r="U291" s="1106"/>
      <c r="V291" s="1106"/>
      <c r="W291" s="1106"/>
      <c r="X291" s="1106"/>
      <c r="Y291" s="1106"/>
      <c r="Z291" s="1106"/>
      <c r="AA291" s="1106"/>
      <c r="AB291" s="1106"/>
      <c r="AC291" s="1106"/>
      <c r="AD291" s="1106"/>
      <c r="AE291" s="1106"/>
      <c r="AF291" s="1106"/>
      <c r="AG291" s="1106"/>
      <c r="AH291" s="1106"/>
      <c r="AI291" s="1106"/>
      <c r="AJ291" s="1106"/>
      <c r="AK291" s="1106"/>
      <c r="AL291" s="1106"/>
      <c r="AM291" s="1106"/>
      <c r="AN291" s="1106"/>
      <c r="AO291" s="1106"/>
    </row>
    <row r="292">
      <c r="B292" s="1535" t="s">
        <v>1455</v>
      </c>
      <c r="G292" s="1106"/>
      <c r="H292" s="1106"/>
      <c r="I292" s="1106"/>
      <c r="J292" s="1106"/>
      <c r="K292" s="1106"/>
      <c r="L292" s="1106"/>
      <c r="M292" s="1106"/>
      <c r="N292" s="1106"/>
      <c r="O292" s="1106"/>
      <c r="P292" s="1106"/>
      <c r="Q292" s="1106"/>
      <c r="R292" s="1106"/>
      <c r="S292" s="1106"/>
      <c r="T292" s="1106"/>
      <c r="U292" s="1106"/>
      <c r="V292" s="1106"/>
      <c r="W292" s="1106"/>
      <c r="X292" s="1106"/>
      <c r="Y292" s="1106"/>
      <c r="Z292" s="1106"/>
      <c r="AA292" s="1106"/>
      <c r="AB292" s="1106"/>
      <c r="AC292" s="1106"/>
      <c r="AD292" s="1106"/>
      <c r="AE292" s="1106"/>
      <c r="AF292" s="1106"/>
      <c r="AG292" s="1106"/>
      <c r="AH292" s="1106"/>
      <c r="AI292" s="1106"/>
      <c r="AJ292" s="1106"/>
      <c r="AK292" s="1106"/>
      <c r="AL292" s="1106"/>
      <c r="AM292" s="1106"/>
      <c r="AN292" s="1106"/>
      <c r="AO292" s="1106"/>
    </row>
    <row r="293">
      <c r="A293" s="1533" t="s">
        <v>1466</v>
      </c>
      <c r="B293" s="1534" t="s">
        <v>1447</v>
      </c>
      <c r="G293" s="1106"/>
      <c r="H293" s="1106"/>
      <c r="I293" s="1106"/>
      <c r="J293" s="1106"/>
      <c r="K293" s="1106"/>
      <c r="L293" s="1106"/>
      <c r="M293" s="1106"/>
      <c r="N293" s="1106"/>
      <c r="O293" s="1106"/>
      <c r="P293" s="1106"/>
      <c r="Q293" s="1106"/>
      <c r="R293" s="1106"/>
      <c r="S293" s="1106"/>
      <c r="T293" s="1106"/>
      <c r="U293" s="1106"/>
      <c r="V293" s="1106"/>
      <c r="W293" s="1106"/>
      <c r="X293" s="1106"/>
      <c r="Y293" s="1106"/>
      <c r="Z293" s="1106"/>
      <c r="AA293" s="1106"/>
      <c r="AB293" s="1106"/>
      <c r="AC293" s="1106"/>
      <c r="AD293" s="1106"/>
      <c r="AE293" s="1106"/>
      <c r="AF293" s="1106"/>
      <c r="AG293" s="1106"/>
      <c r="AH293" s="1106"/>
      <c r="AI293" s="1106"/>
      <c r="AJ293" s="1106"/>
      <c r="AK293" s="1106"/>
      <c r="AL293" s="1106"/>
      <c r="AM293" s="1106"/>
      <c r="AN293" s="1106"/>
      <c r="AO293" s="1106"/>
    </row>
    <row r="294">
      <c r="B294" s="1535" t="s">
        <v>1448</v>
      </c>
      <c r="G294" s="1106"/>
      <c r="H294" s="1106"/>
      <c r="I294" s="1106"/>
      <c r="J294" s="1106"/>
      <c r="K294" s="1106"/>
      <c r="L294" s="1106"/>
      <c r="M294" s="1106"/>
      <c r="N294" s="1106"/>
      <c r="O294" s="1106"/>
      <c r="P294" s="1106"/>
      <c r="Q294" s="1106"/>
      <c r="R294" s="1106"/>
      <c r="S294" s="1106"/>
      <c r="T294" s="1106"/>
      <c r="U294" s="1106"/>
      <c r="V294" s="1106"/>
      <c r="W294" s="1106"/>
      <c r="X294" s="1106"/>
      <c r="Y294" s="1106"/>
      <c r="Z294" s="1106"/>
      <c r="AA294" s="1106"/>
      <c r="AB294" s="1106"/>
      <c r="AC294" s="1106"/>
      <c r="AD294" s="1106"/>
      <c r="AE294" s="1106"/>
      <c r="AF294" s="1106"/>
      <c r="AG294" s="1106"/>
      <c r="AH294" s="1106"/>
      <c r="AI294" s="1106"/>
      <c r="AJ294" s="1106"/>
      <c r="AK294" s="1106"/>
      <c r="AL294" s="1106"/>
      <c r="AM294" s="1106"/>
      <c r="AN294" s="1106"/>
      <c r="AO294" s="1106"/>
    </row>
    <row r="295">
      <c r="B295" s="1535" t="s">
        <v>1449</v>
      </c>
      <c r="G295" s="1106"/>
      <c r="H295" s="1106"/>
      <c r="I295" s="1106"/>
      <c r="J295" s="1106"/>
      <c r="K295" s="1106"/>
      <c r="L295" s="1106"/>
      <c r="M295" s="1106"/>
      <c r="N295" s="1106"/>
      <c r="O295" s="1106"/>
      <c r="P295" s="1106"/>
      <c r="Q295" s="1106"/>
      <c r="R295" s="1106"/>
      <c r="S295" s="1106"/>
      <c r="T295" s="1106"/>
      <c r="U295" s="1106"/>
      <c r="V295" s="1106"/>
      <c r="W295" s="1106"/>
      <c r="X295" s="1106"/>
      <c r="Y295" s="1106"/>
      <c r="Z295" s="1106"/>
      <c r="AA295" s="1106"/>
      <c r="AB295" s="1106"/>
      <c r="AC295" s="1106"/>
      <c r="AD295" s="1106"/>
      <c r="AE295" s="1106"/>
      <c r="AF295" s="1106"/>
      <c r="AG295" s="1106"/>
      <c r="AH295" s="1106"/>
      <c r="AI295" s="1106"/>
      <c r="AJ295" s="1106"/>
      <c r="AK295" s="1106"/>
      <c r="AL295" s="1106"/>
      <c r="AM295" s="1106"/>
      <c r="AN295" s="1106"/>
      <c r="AO295" s="1106"/>
    </row>
    <row r="296">
      <c r="B296" s="1535" t="s">
        <v>1450</v>
      </c>
      <c r="G296" s="1106"/>
      <c r="H296" s="1106"/>
      <c r="I296" s="1106"/>
      <c r="J296" s="1106"/>
      <c r="K296" s="1106"/>
      <c r="L296" s="1106"/>
      <c r="M296" s="1106"/>
      <c r="N296" s="1106"/>
      <c r="O296" s="1106"/>
      <c r="P296" s="1106"/>
      <c r="Q296" s="1106"/>
      <c r="R296" s="1106"/>
      <c r="S296" s="1106"/>
      <c r="T296" s="1106"/>
      <c r="U296" s="1106"/>
      <c r="V296" s="1106"/>
      <c r="W296" s="1106"/>
      <c r="X296" s="1106"/>
      <c r="Y296" s="1106"/>
      <c r="Z296" s="1106"/>
      <c r="AA296" s="1106"/>
      <c r="AB296" s="1106"/>
      <c r="AC296" s="1106"/>
      <c r="AD296" s="1106"/>
      <c r="AE296" s="1106"/>
      <c r="AF296" s="1106"/>
      <c r="AG296" s="1106"/>
      <c r="AH296" s="1106"/>
      <c r="AI296" s="1106"/>
      <c r="AJ296" s="1106"/>
      <c r="AK296" s="1106"/>
      <c r="AL296" s="1106"/>
      <c r="AM296" s="1106"/>
      <c r="AN296" s="1106"/>
      <c r="AO296" s="1106"/>
    </row>
    <row r="297">
      <c r="B297" s="1536" t="s">
        <v>1451</v>
      </c>
      <c r="G297" s="1106"/>
      <c r="H297" s="1106"/>
      <c r="I297" s="1106"/>
      <c r="J297" s="1106"/>
      <c r="K297" s="1106"/>
      <c r="L297" s="1106"/>
      <c r="M297" s="1106"/>
      <c r="N297" s="1106"/>
      <c r="O297" s="1106"/>
      <c r="P297" s="1106"/>
      <c r="Q297" s="1106"/>
      <c r="R297" s="1106"/>
      <c r="S297" s="1106"/>
      <c r="T297" s="1106"/>
      <c r="U297" s="1106"/>
      <c r="V297" s="1106"/>
      <c r="W297" s="1106"/>
      <c r="X297" s="1106"/>
      <c r="Y297" s="1106"/>
      <c r="Z297" s="1106"/>
      <c r="AA297" s="1106"/>
      <c r="AB297" s="1106"/>
      <c r="AC297" s="1106"/>
      <c r="AD297" s="1106"/>
      <c r="AE297" s="1106"/>
      <c r="AF297" s="1106"/>
      <c r="AG297" s="1106"/>
      <c r="AH297" s="1106"/>
      <c r="AI297" s="1106"/>
      <c r="AJ297" s="1106"/>
      <c r="AK297" s="1106"/>
      <c r="AL297" s="1106"/>
      <c r="AM297" s="1106"/>
      <c r="AN297" s="1106"/>
      <c r="AO297" s="1106"/>
    </row>
    <row r="298">
      <c r="B298" s="1536" t="s">
        <v>1452</v>
      </c>
      <c r="G298" s="1106"/>
      <c r="H298" s="1106"/>
      <c r="I298" s="1106"/>
      <c r="J298" s="1106"/>
      <c r="K298" s="1106"/>
      <c r="L298" s="1106"/>
      <c r="M298" s="1106"/>
      <c r="N298" s="1106"/>
      <c r="O298" s="1106"/>
      <c r="P298" s="1106"/>
      <c r="Q298" s="1106"/>
      <c r="R298" s="1106"/>
      <c r="S298" s="1106"/>
      <c r="T298" s="1106"/>
      <c r="U298" s="1106"/>
      <c r="V298" s="1106"/>
      <c r="W298" s="1106"/>
      <c r="X298" s="1106"/>
      <c r="Y298" s="1106"/>
      <c r="Z298" s="1106"/>
      <c r="AA298" s="1106"/>
      <c r="AB298" s="1106"/>
      <c r="AC298" s="1106"/>
      <c r="AD298" s="1106"/>
      <c r="AE298" s="1106"/>
      <c r="AF298" s="1106"/>
      <c r="AG298" s="1106"/>
      <c r="AH298" s="1106"/>
      <c r="AI298" s="1106"/>
      <c r="AJ298" s="1106"/>
      <c r="AK298" s="1106"/>
      <c r="AL298" s="1106"/>
      <c r="AM298" s="1106"/>
      <c r="AN298" s="1106"/>
      <c r="AO298" s="1106"/>
    </row>
    <row r="299">
      <c r="B299" s="1535" t="s">
        <v>1453</v>
      </c>
      <c r="G299" s="1106"/>
      <c r="H299" s="1106"/>
      <c r="I299" s="1106"/>
      <c r="J299" s="1106"/>
      <c r="K299" s="1106"/>
      <c r="L299" s="1106"/>
      <c r="M299" s="1106"/>
      <c r="N299" s="1106"/>
      <c r="O299" s="1106"/>
      <c r="P299" s="1106"/>
      <c r="Q299" s="1106"/>
      <c r="R299" s="1106"/>
      <c r="S299" s="1106"/>
      <c r="T299" s="1106"/>
      <c r="U299" s="1106"/>
      <c r="V299" s="1106"/>
      <c r="W299" s="1106"/>
      <c r="X299" s="1106"/>
      <c r="Y299" s="1106"/>
      <c r="Z299" s="1106"/>
      <c r="AA299" s="1106"/>
      <c r="AB299" s="1106"/>
      <c r="AC299" s="1106"/>
      <c r="AD299" s="1106"/>
      <c r="AE299" s="1106"/>
      <c r="AF299" s="1106"/>
      <c r="AG299" s="1106"/>
      <c r="AH299" s="1106"/>
      <c r="AI299" s="1106"/>
      <c r="AJ299" s="1106"/>
      <c r="AK299" s="1106"/>
      <c r="AL299" s="1106"/>
      <c r="AM299" s="1106"/>
      <c r="AN299" s="1106"/>
      <c r="AO299" s="1106"/>
    </row>
    <row r="300">
      <c r="B300" s="1535" t="s">
        <v>1454</v>
      </c>
      <c r="G300" s="1106"/>
      <c r="H300" s="1106"/>
      <c r="I300" s="1106"/>
      <c r="J300" s="1106"/>
      <c r="K300" s="1106"/>
      <c r="L300" s="1106"/>
      <c r="M300" s="1106"/>
      <c r="N300" s="1106"/>
      <c r="O300" s="1106"/>
      <c r="P300" s="1106"/>
      <c r="Q300" s="1106"/>
      <c r="R300" s="1106"/>
      <c r="S300" s="1106"/>
      <c r="T300" s="1106"/>
      <c r="U300" s="1106"/>
      <c r="V300" s="1106"/>
      <c r="W300" s="1106"/>
      <c r="X300" s="1106"/>
      <c r="Y300" s="1106"/>
      <c r="Z300" s="1106"/>
      <c r="AA300" s="1106"/>
      <c r="AB300" s="1106"/>
      <c r="AC300" s="1106"/>
      <c r="AD300" s="1106"/>
      <c r="AE300" s="1106"/>
      <c r="AF300" s="1106"/>
      <c r="AG300" s="1106"/>
      <c r="AH300" s="1106"/>
      <c r="AI300" s="1106"/>
      <c r="AJ300" s="1106"/>
      <c r="AK300" s="1106"/>
      <c r="AL300" s="1106"/>
      <c r="AM300" s="1106"/>
      <c r="AN300" s="1106"/>
      <c r="AO300" s="1106"/>
    </row>
    <row r="301">
      <c r="B301" s="1535" t="s">
        <v>1455</v>
      </c>
      <c r="G301" s="1106"/>
      <c r="H301" s="1106"/>
      <c r="I301" s="1106"/>
      <c r="J301" s="1106"/>
      <c r="K301" s="1106"/>
      <c r="L301" s="1106"/>
      <c r="M301" s="1106"/>
      <c r="N301" s="1106"/>
      <c r="O301" s="1106"/>
      <c r="P301" s="1106"/>
      <c r="Q301" s="1106"/>
      <c r="R301" s="1106"/>
      <c r="S301" s="1106"/>
      <c r="T301" s="1106"/>
      <c r="U301" s="1106"/>
      <c r="V301" s="1106"/>
      <c r="W301" s="1106"/>
      <c r="X301" s="1106"/>
      <c r="Y301" s="1106"/>
      <c r="Z301" s="1106"/>
      <c r="AA301" s="1106"/>
      <c r="AB301" s="1106"/>
      <c r="AC301" s="1106"/>
      <c r="AD301" s="1106"/>
      <c r="AE301" s="1106"/>
      <c r="AF301" s="1106"/>
      <c r="AG301" s="1106"/>
      <c r="AH301" s="1106"/>
      <c r="AI301" s="1106"/>
      <c r="AJ301" s="1106"/>
      <c r="AK301" s="1106"/>
      <c r="AL301" s="1106"/>
      <c r="AM301" s="1106"/>
      <c r="AN301" s="1106"/>
      <c r="AO301" s="1106"/>
    </row>
    <row r="302">
      <c r="A302" s="1533" t="s">
        <v>1467</v>
      </c>
      <c r="B302" s="1534" t="s">
        <v>1447</v>
      </c>
      <c r="G302" s="1106"/>
      <c r="H302" s="1106"/>
      <c r="I302" s="1106"/>
      <c r="J302" s="1106"/>
      <c r="K302" s="1106"/>
      <c r="L302" s="1106"/>
      <c r="M302" s="1106"/>
      <c r="N302" s="1106"/>
      <c r="O302" s="1106"/>
      <c r="P302" s="1106"/>
      <c r="Q302" s="1106"/>
      <c r="R302" s="1106"/>
      <c r="S302" s="1106"/>
      <c r="T302" s="1106"/>
      <c r="U302" s="1106"/>
      <c r="V302" s="1106"/>
      <c r="W302" s="1106"/>
      <c r="X302" s="1106"/>
      <c r="Y302" s="1106"/>
      <c r="Z302" s="1106"/>
      <c r="AA302" s="1106"/>
      <c r="AB302" s="1106"/>
      <c r="AC302" s="1106"/>
      <c r="AD302" s="1106"/>
      <c r="AE302" s="1106"/>
      <c r="AF302" s="1106"/>
      <c r="AG302" s="1106"/>
      <c r="AH302" s="1106"/>
      <c r="AI302" s="1106"/>
      <c r="AJ302" s="1106"/>
      <c r="AK302" s="1106"/>
      <c r="AL302" s="1106"/>
      <c r="AM302" s="1106"/>
      <c r="AN302" s="1106"/>
      <c r="AO302" s="1106"/>
    </row>
    <row r="303">
      <c r="B303" s="1535" t="s">
        <v>1448</v>
      </c>
      <c r="G303" s="1106"/>
      <c r="H303" s="1106"/>
      <c r="I303" s="1106"/>
      <c r="J303" s="1106"/>
      <c r="K303" s="1106"/>
      <c r="L303" s="1106"/>
      <c r="M303" s="1106"/>
      <c r="N303" s="1106"/>
      <c r="O303" s="1106"/>
      <c r="P303" s="1106"/>
      <c r="Q303" s="1106"/>
      <c r="R303" s="1106"/>
      <c r="S303" s="1106"/>
      <c r="T303" s="1106"/>
      <c r="U303" s="1106"/>
      <c r="V303" s="1106"/>
      <c r="W303" s="1106"/>
      <c r="X303" s="1106"/>
      <c r="Y303" s="1106"/>
      <c r="Z303" s="1106"/>
      <c r="AA303" s="1106"/>
      <c r="AB303" s="1106"/>
      <c r="AC303" s="1106"/>
      <c r="AD303" s="1106"/>
      <c r="AE303" s="1106"/>
      <c r="AF303" s="1106"/>
      <c r="AG303" s="1106"/>
      <c r="AH303" s="1106"/>
      <c r="AI303" s="1106"/>
      <c r="AJ303" s="1106"/>
      <c r="AK303" s="1106"/>
      <c r="AL303" s="1106"/>
      <c r="AM303" s="1106"/>
      <c r="AN303" s="1106"/>
      <c r="AO303" s="1106"/>
    </row>
    <row r="304">
      <c r="B304" s="1535" t="s">
        <v>1449</v>
      </c>
      <c r="G304" s="1106"/>
      <c r="H304" s="1106"/>
      <c r="I304" s="1106"/>
      <c r="J304" s="1106"/>
      <c r="K304" s="1106"/>
      <c r="L304" s="1106"/>
      <c r="M304" s="1106"/>
      <c r="N304" s="1106"/>
      <c r="O304" s="1106"/>
      <c r="P304" s="1106"/>
      <c r="Q304" s="1106"/>
      <c r="R304" s="1106"/>
      <c r="S304" s="1106"/>
      <c r="T304" s="1106"/>
      <c r="U304" s="1106"/>
      <c r="V304" s="1106"/>
      <c r="W304" s="1106"/>
      <c r="X304" s="1106"/>
      <c r="Y304" s="1106"/>
      <c r="Z304" s="1106"/>
      <c r="AA304" s="1106"/>
      <c r="AB304" s="1106"/>
      <c r="AC304" s="1106"/>
      <c r="AD304" s="1106"/>
      <c r="AE304" s="1106"/>
      <c r="AF304" s="1106"/>
      <c r="AG304" s="1106"/>
      <c r="AH304" s="1106"/>
      <c r="AI304" s="1106"/>
      <c r="AJ304" s="1106"/>
      <c r="AK304" s="1106"/>
      <c r="AL304" s="1106"/>
      <c r="AM304" s="1106"/>
      <c r="AN304" s="1106"/>
      <c r="AO304" s="1106"/>
    </row>
    <row r="305">
      <c r="B305" s="1535" t="s">
        <v>1450</v>
      </c>
      <c r="G305" s="1106"/>
      <c r="H305" s="1106"/>
      <c r="I305" s="1106"/>
      <c r="J305" s="1106"/>
      <c r="K305" s="1106"/>
      <c r="L305" s="1106"/>
      <c r="M305" s="1106"/>
      <c r="N305" s="1106"/>
      <c r="O305" s="1106"/>
      <c r="P305" s="1106"/>
      <c r="Q305" s="1106"/>
      <c r="R305" s="1106"/>
      <c r="S305" s="1106"/>
      <c r="T305" s="1106"/>
      <c r="U305" s="1106"/>
      <c r="V305" s="1106"/>
      <c r="W305" s="1106"/>
      <c r="X305" s="1106"/>
      <c r="Y305" s="1106"/>
      <c r="Z305" s="1106"/>
      <c r="AA305" s="1106"/>
      <c r="AB305" s="1106"/>
      <c r="AC305" s="1106"/>
      <c r="AD305" s="1106"/>
      <c r="AE305" s="1106"/>
      <c r="AF305" s="1106"/>
      <c r="AG305" s="1106"/>
      <c r="AH305" s="1106"/>
      <c r="AI305" s="1106"/>
      <c r="AJ305" s="1106"/>
      <c r="AK305" s="1106"/>
      <c r="AL305" s="1106"/>
      <c r="AM305" s="1106"/>
      <c r="AN305" s="1106"/>
      <c r="AO305" s="1106"/>
    </row>
    <row r="306">
      <c r="B306" s="1536" t="s">
        <v>1451</v>
      </c>
      <c r="G306" s="1106"/>
      <c r="H306" s="1106"/>
      <c r="I306" s="1106"/>
      <c r="J306" s="1106"/>
      <c r="K306" s="1106"/>
      <c r="L306" s="1106"/>
      <c r="M306" s="1106"/>
      <c r="N306" s="1106"/>
      <c r="O306" s="1106"/>
      <c r="P306" s="1106"/>
      <c r="Q306" s="1106"/>
      <c r="R306" s="1106"/>
      <c r="S306" s="1106"/>
      <c r="T306" s="1106"/>
      <c r="U306" s="1106"/>
      <c r="V306" s="1106"/>
      <c r="W306" s="1106"/>
      <c r="X306" s="1106"/>
      <c r="Y306" s="1106"/>
      <c r="Z306" s="1106"/>
      <c r="AA306" s="1106"/>
      <c r="AB306" s="1106"/>
      <c r="AC306" s="1106"/>
      <c r="AD306" s="1106"/>
      <c r="AE306" s="1106"/>
      <c r="AF306" s="1106"/>
      <c r="AG306" s="1106"/>
      <c r="AH306" s="1106"/>
      <c r="AI306" s="1106"/>
      <c r="AJ306" s="1106"/>
      <c r="AK306" s="1106"/>
      <c r="AL306" s="1106"/>
      <c r="AM306" s="1106"/>
      <c r="AN306" s="1106"/>
      <c r="AO306" s="1106"/>
    </row>
    <row r="307">
      <c r="B307" s="1536" t="s">
        <v>1452</v>
      </c>
      <c r="G307" s="1106"/>
      <c r="H307" s="1106"/>
      <c r="I307" s="1106"/>
      <c r="J307" s="1106"/>
      <c r="K307" s="1106"/>
      <c r="L307" s="1106"/>
      <c r="M307" s="1106"/>
      <c r="N307" s="1106"/>
      <c r="O307" s="1106"/>
      <c r="P307" s="1106"/>
      <c r="Q307" s="1106"/>
      <c r="R307" s="1106"/>
      <c r="S307" s="1106"/>
      <c r="T307" s="1106"/>
      <c r="U307" s="1106"/>
      <c r="V307" s="1106"/>
      <c r="W307" s="1106"/>
      <c r="X307" s="1106"/>
      <c r="Y307" s="1106"/>
      <c r="Z307" s="1106"/>
      <c r="AA307" s="1106"/>
      <c r="AB307" s="1106"/>
      <c r="AC307" s="1106"/>
      <c r="AD307" s="1106"/>
      <c r="AE307" s="1106"/>
      <c r="AF307" s="1106"/>
      <c r="AG307" s="1106"/>
      <c r="AH307" s="1106"/>
      <c r="AI307" s="1106"/>
      <c r="AJ307" s="1106"/>
      <c r="AK307" s="1106"/>
      <c r="AL307" s="1106"/>
      <c r="AM307" s="1106"/>
      <c r="AN307" s="1106"/>
      <c r="AO307" s="1106"/>
    </row>
    <row r="308">
      <c r="B308" s="1535" t="s">
        <v>1453</v>
      </c>
      <c r="G308" s="1106"/>
      <c r="H308" s="1106"/>
      <c r="I308" s="1106"/>
      <c r="J308" s="1106"/>
      <c r="K308" s="1106"/>
      <c r="L308" s="1106"/>
      <c r="M308" s="1106"/>
      <c r="N308" s="1106"/>
      <c r="O308" s="1106"/>
      <c r="P308" s="1106"/>
      <c r="Q308" s="1106"/>
      <c r="R308" s="1106"/>
      <c r="S308" s="1106"/>
      <c r="T308" s="1106"/>
      <c r="U308" s="1106"/>
      <c r="V308" s="1106"/>
      <c r="W308" s="1106"/>
      <c r="X308" s="1106"/>
      <c r="Y308" s="1106"/>
      <c r="Z308" s="1106"/>
      <c r="AA308" s="1106"/>
      <c r="AB308" s="1106"/>
      <c r="AC308" s="1106"/>
      <c r="AD308" s="1106"/>
      <c r="AE308" s="1106"/>
      <c r="AF308" s="1106"/>
      <c r="AG308" s="1106"/>
      <c r="AH308" s="1106"/>
      <c r="AI308" s="1106"/>
      <c r="AJ308" s="1106"/>
      <c r="AK308" s="1106"/>
      <c r="AL308" s="1106"/>
      <c r="AM308" s="1106"/>
      <c r="AN308" s="1106"/>
      <c r="AO308" s="1106"/>
    </row>
    <row r="309">
      <c r="B309" s="1535" t="s">
        <v>1454</v>
      </c>
      <c r="G309" s="1106"/>
      <c r="H309" s="1106"/>
      <c r="I309" s="1106"/>
      <c r="J309" s="1106"/>
      <c r="K309" s="1106"/>
      <c r="L309" s="1106"/>
      <c r="M309" s="1106"/>
      <c r="N309" s="1106"/>
      <c r="O309" s="1106"/>
      <c r="P309" s="1106"/>
      <c r="Q309" s="1106"/>
      <c r="R309" s="1106"/>
      <c r="S309" s="1106"/>
      <c r="T309" s="1106"/>
      <c r="U309" s="1106"/>
      <c r="V309" s="1106"/>
      <c r="W309" s="1106"/>
      <c r="X309" s="1106"/>
      <c r="Y309" s="1106"/>
      <c r="Z309" s="1106"/>
      <c r="AA309" s="1106"/>
      <c r="AB309" s="1106"/>
      <c r="AC309" s="1106"/>
      <c r="AD309" s="1106"/>
      <c r="AE309" s="1106"/>
      <c r="AF309" s="1106"/>
      <c r="AG309" s="1106"/>
      <c r="AH309" s="1106"/>
      <c r="AI309" s="1106"/>
      <c r="AJ309" s="1106"/>
      <c r="AK309" s="1106"/>
      <c r="AL309" s="1106"/>
      <c r="AM309" s="1106"/>
      <c r="AN309" s="1106"/>
      <c r="AO309" s="1106"/>
    </row>
    <row r="310">
      <c r="B310" s="1535" t="s">
        <v>1455</v>
      </c>
      <c r="G310" s="1106"/>
      <c r="H310" s="1106"/>
      <c r="I310" s="1106"/>
      <c r="J310" s="1106"/>
      <c r="K310" s="1106"/>
      <c r="L310" s="1106"/>
      <c r="M310" s="1106"/>
      <c r="N310" s="1106"/>
      <c r="O310" s="1106"/>
      <c r="P310" s="1106"/>
      <c r="Q310" s="1106"/>
      <c r="R310" s="1106"/>
      <c r="S310" s="1106"/>
      <c r="T310" s="1106"/>
      <c r="U310" s="1106"/>
      <c r="V310" s="1106"/>
      <c r="W310" s="1106"/>
      <c r="X310" s="1106"/>
      <c r="Y310" s="1106"/>
      <c r="Z310" s="1106"/>
      <c r="AA310" s="1106"/>
      <c r="AB310" s="1106"/>
      <c r="AC310" s="1106"/>
      <c r="AD310" s="1106"/>
      <c r="AE310" s="1106"/>
      <c r="AF310" s="1106"/>
      <c r="AG310" s="1106"/>
      <c r="AH310" s="1106"/>
      <c r="AI310" s="1106"/>
      <c r="AJ310" s="1106"/>
      <c r="AK310" s="1106"/>
      <c r="AL310" s="1106"/>
      <c r="AM310" s="1106"/>
      <c r="AN310" s="1106"/>
      <c r="AO310" s="1106"/>
    </row>
    <row r="311">
      <c r="A311" s="1533" t="s">
        <v>1468</v>
      </c>
      <c r="B311" s="1534" t="s">
        <v>1447</v>
      </c>
      <c r="G311" s="1106"/>
      <c r="H311" s="1106"/>
      <c r="I311" s="1106"/>
      <c r="J311" s="1106"/>
      <c r="K311" s="1106"/>
      <c r="L311" s="1106"/>
      <c r="M311" s="1106"/>
      <c r="N311" s="1106"/>
      <c r="O311" s="1106"/>
      <c r="P311" s="1106"/>
      <c r="Q311" s="1106"/>
      <c r="R311" s="1106"/>
      <c r="S311" s="1106"/>
      <c r="T311" s="1106"/>
      <c r="U311" s="1106"/>
      <c r="V311" s="1106"/>
      <c r="W311" s="1106"/>
      <c r="X311" s="1106"/>
      <c r="Y311" s="1106"/>
      <c r="Z311" s="1106"/>
      <c r="AA311" s="1106"/>
      <c r="AB311" s="1106"/>
      <c r="AC311" s="1106"/>
      <c r="AD311" s="1106"/>
      <c r="AE311" s="1106"/>
      <c r="AF311" s="1106"/>
      <c r="AG311" s="1106"/>
      <c r="AH311" s="1106"/>
      <c r="AI311" s="1106"/>
      <c r="AJ311" s="1106"/>
      <c r="AK311" s="1106"/>
      <c r="AL311" s="1106"/>
      <c r="AM311" s="1106"/>
      <c r="AN311" s="1106"/>
      <c r="AO311" s="1106"/>
    </row>
    <row r="312">
      <c r="B312" s="1535" t="s">
        <v>1448</v>
      </c>
      <c r="G312" s="1106"/>
      <c r="H312" s="1106"/>
      <c r="I312" s="1106"/>
      <c r="J312" s="1106"/>
      <c r="K312" s="1106"/>
      <c r="L312" s="1106"/>
      <c r="M312" s="1106"/>
      <c r="N312" s="1106"/>
      <c r="O312" s="1106"/>
      <c r="P312" s="1106"/>
      <c r="Q312" s="1106"/>
      <c r="R312" s="1106"/>
      <c r="S312" s="1106"/>
      <c r="T312" s="1106"/>
      <c r="U312" s="1106"/>
      <c r="V312" s="1106"/>
      <c r="W312" s="1106"/>
      <c r="X312" s="1106"/>
      <c r="Y312" s="1106"/>
      <c r="Z312" s="1106"/>
      <c r="AA312" s="1106"/>
      <c r="AB312" s="1106"/>
      <c r="AC312" s="1106"/>
      <c r="AD312" s="1106"/>
      <c r="AE312" s="1106"/>
      <c r="AF312" s="1106"/>
      <c r="AG312" s="1106"/>
      <c r="AH312" s="1106"/>
      <c r="AI312" s="1106"/>
      <c r="AJ312" s="1106"/>
      <c r="AK312" s="1106"/>
      <c r="AL312" s="1106"/>
      <c r="AM312" s="1106"/>
      <c r="AN312" s="1106"/>
      <c r="AO312" s="1106"/>
    </row>
    <row r="313">
      <c r="B313" s="1535" t="s">
        <v>1449</v>
      </c>
      <c r="G313" s="1106"/>
      <c r="H313" s="1106"/>
      <c r="I313" s="1106"/>
      <c r="J313" s="1106"/>
      <c r="K313" s="1106"/>
      <c r="L313" s="1106"/>
      <c r="M313" s="1106"/>
      <c r="N313" s="1106"/>
      <c r="O313" s="1106"/>
      <c r="P313" s="1106"/>
      <c r="Q313" s="1106"/>
      <c r="R313" s="1106"/>
      <c r="S313" s="1106"/>
      <c r="T313" s="1106"/>
      <c r="U313" s="1106"/>
      <c r="V313" s="1106"/>
      <c r="W313" s="1106"/>
      <c r="X313" s="1106"/>
      <c r="Y313" s="1106"/>
      <c r="Z313" s="1106"/>
      <c r="AA313" s="1106"/>
      <c r="AB313" s="1106"/>
      <c r="AC313" s="1106"/>
      <c r="AD313" s="1106"/>
      <c r="AE313" s="1106"/>
      <c r="AF313" s="1106"/>
      <c r="AG313" s="1106"/>
      <c r="AH313" s="1106"/>
      <c r="AI313" s="1106"/>
      <c r="AJ313" s="1106"/>
      <c r="AK313" s="1106"/>
      <c r="AL313" s="1106"/>
      <c r="AM313" s="1106"/>
      <c r="AN313" s="1106"/>
      <c r="AO313" s="1106"/>
    </row>
    <row r="314">
      <c r="B314" s="1535" t="s">
        <v>1450</v>
      </c>
      <c r="G314" s="1106"/>
      <c r="H314" s="1106"/>
      <c r="I314" s="1106"/>
      <c r="J314" s="1106"/>
      <c r="K314" s="1106"/>
      <c r="L314" s="1106"/>
      <c r="M314" s="1106"/>
      <c r="N314" s="1106"/>
      <c r="O314" s="1106"/>
      <c r="P314" s="1106"/>
      <c r="Q314" s="1106"/>
      <c r="R314" s="1106"/>
      <c r="S314" s="1106"/>
      <c r="T314" s="1106"/>
      <c r="U314" s="1106"/>
      <c r="V314" s="1106"/>
      <c r="W314" s="1106"/>
      <c r="X314" s="1106"/>
      <c r="Y314" s="1106"/>
      <c r="Z314" s="1106"/>
      <c r="AA314" s="1106"/>
      <c r="AB314" s="1106"/>
      <c r="AC314" s="1106"/>
      <c r="AD314" s="1106"/>
      <c r="AE314" s="1106"/>
      <c r="AF314" s="1106"/>
      <c r="AG314" s="1106"/>
      <c r="AH314" s="1106"/>
      <c r="AI314" s="1106"/>
      <c r="AJ314" s="1106"/>
      <c r="AK314" s="1106"/>
      <c r="AL314" s="1106"/>
      <c r="AM314" s="1106"/>
      <c r="AN314" s="1106"/>
      <c r="AO314" s="1106"/>
    </row>
    <row r="315">
      <c r="B315" s="1536" t="s">
        <v>1451</v>
      </c>
      <c r="G315" s="1106"/>
      <c r="H315" s="1106"/>
      <c r="I315" s="1106"/>
      <c r="J315" s="1106"/>
      <c r="K315" s="1106"/>
      <c r="L315" s="1106"/>
      <c r="M315" s="1106"/>
      <c r="N315" s="1106"/>
      <c r="O315" s="1106"/>
      <c r="P315" s="1106"/>
      <c r="Q315" s="1106"/>
      <c r="R315" s="1106"/>
      <c r="S315" s="1106"/>
      <c r="T315" s="1106"/>
      <c r="U315" s="1106"/>
      <c r="V315" s="1106"/>
      <c r="W315" s="1106"/>
      <c r="X315" s="1106"/>
      <c r="Y315" s="1106"/>
      <c r="Z315" s="1106"/>
      <c r="AA315" s="1106"/>
      <c r="AB315" s="1106"/>
      <c r="AC315" s="1106"/>
      <c r="AD315" s="1106"/>
      <c r="AE315" s="1106"/>
      <c r="AF315" s="1106"/>
      <c r="AG315" s="1106"/>
      <c r="AH315" s="1106"/>
      <c r="AI315" s="1106"/>
      <c r="AJ315" s="1106"/>
      <c r="AK315" s="1106"/>
      <c r="AL315" s="1106"/>
      <c r="AM315" s="1106"/>
      <c r="AN315" s="1106"/>
      <c r="AO315" s="1106"/>
    </row>
    <row r="316">
      <c r="B316" s="1536" t="s">
        <v>1452</v>
      </c>
      <c r="G316" s="1106"/>
      <c r="H316" s="1106"/>
      <c r="I316" s="1106"/>
      <c r="J316" s="1106"/>
      <c r="K316" s="1106"/>
      <c r="L316" s="1106"/>
      <c r="M316" s="1106"/>
      <c r="N316" s="1106"/>
      <c r="O316" s="1106"/>
      <c r="P316" s="1106"/>
      <c r="Q316" s="1106"/>
      <c r="R316" s="1106"/>
      <c r="S316" s="1106"/>
      <c r="T316" s="1106"/>
      <c r="U316" s="1106"/>
      <c r="V316" s="1106"/>
      <c r="W316" s="1106"/>
      <c r="X316" s="1106"/>
      <c r="Y316" s="1106"/>
      <c r="Z316" s="1106"/>
      <c r="AA316" s="1106"/>
      <c r="AB316" s="1106"/>
      <c r="AC316" s="1106"/>
      <c r="AD316" s="1106"/>
      <c r="AE316" s="1106"/>
      <c r="AF316" s="1106"/>
      <c r="AG316" s="1106"/>
      <c r="AH316" s="1106"/>
      <c r="AI316" s="1106"/>
      <c r="AJ316" s="1106"/>
      <c r="AK316" s="1106"/>
      <c r="AL316" s="1106"/>
      <c r="AM316" s="1106"/>
      <c r="AN316" s="1106"/>
      <c r="AO316" s="1106"/>
    </row>
    <row r="317">
      <c r="B317" s="1535" t="s">
        <v>1453</v>
      </c>
      <c r="G317" s="1106"/>
      <c r="H317" s="1106"/>
      <c r="I317" s="1106"/>
      <c r="J317" s="1106"/>
      <c r="K317" s="1106"/>
      <c r="L317" s="1106"/>
      <c r="M317" s="1106"/>
      <c r="N317" s="1106"/>
      <c r="O317" s="1106"/>
      <c r="P317" s="1106"/>
      <c r="Q317" s="1106"/>
      <c r="R317" s="1106"/>
      <c r="S317" s="1106"/>
      <c r="T317" s="1106"/>
      <c r="U317" s="1106"/>
      <c r="V317" s="1106"/>
      <c r="W317" s="1106"/>
      <c r="X317" s="1106"/>
      <c r="Y317" s="1106"/>
      <c r="Z317" s="1106"/>
      <c r="AA317" s="1106"/>
      <c r="AB317" s="1106"/>
      <c r="AC317" s="1106"/>
      <c r="AD317" s="1106"/>
      <c r="AE317" s="1106"/>
      <c r="AF317" s="1106"/>
      <c r="AG317" s="1106"/>
      <c r="AH317" s="1106"/>
      <c r="AI317" s="1106"/>
      <c r="AJ317" s="1106"/>
      <c r="AK317" s="1106"/>
      <c r="AL317" s="1106"/>
      <c r="AM317" s="1106"/>
      <c r="AN317" s="1106"/>
      <c r="AO317" s="1106"/>
    </row>
    <row r="318">
      <c r="B318" s="1535" t="s">
        <v>1454</v>
      </c>
      <c r="G318" s="1106"/>
      <c r="H318" s="1106"/>
      <c r="I318" s="1106"/>
      <c r="J318" s="1106"/>
      <c r="K318" s="1106"/>
      <c r="L318" s="1106"/>
      <c r="M318" s="1106"/>
      <c r="N318" s="1106"/>
      <c r="O318" s="1106"/>
      <c r="P318" s="1106"/>
      <c r="Q318" s="1106"/>
      <c r="R318" s="1106"/>
      <c r="S318" s="1106"/>
      <c r="T318" s="1106"/>
      <c r="U318" s="1106"/>
      <c r="V318" s="1106"/>
      <c r="W318" s="1106"/>
      <c r="X318" s="1106"/>
      <c r="Y318" s="1106"/>
      <c r="Z318" s="1106"/>
      <c r="AA318" s="1106"/>
      <c r="AB318" s="1106"/>
      <c r="AC318" s="1106"/>
      <c r="AD318" s="1106"/>
      <c r="AE318" s="1106"/>
      <c r="AF318" s="1106"/>
      <c r="AG318" s="1106"/>
      <c r="AH318" s="1106"/>
      <c r="AI318" s="1106"/>
      <c r="AJ318" s="1106"/>
      <c r="AK318" s="1106"/>
      <c r="AL318" s="1106"/>
      <c r="AM318" s="1106"/>
      <c r="AN318" s="1106"/>
      <c r="AO318" s="1106"/>
    </row>
    <row r="319">
      <c r="B319" s="1535" t="s">
        <v>1455</v>
      </c>
      <c r="G319" s="1106"/>
      <c r="H319" s="1106"/>
      <c r="I319" s="1106"/>
      <c r="J319" s="1106"/>
      <c r="K319" s="1106"/>
      <c r="L319" s="1106"/>
      <c r="M319" s="1106"/>
      <c r="N319" s="1106"/>
      <c r="O319" s="1106"/>
      <c r="P319" s="1106"/>
      <c r="Q319" s="1106"/>
      <c r="R319" s="1106"/>
      <c r="S319" s="1106"/>
      <c r="T319" s="1106"/>
      <c r="U319" s="1106"/>
      <c r="V319" s="1106"/>
      <c r="W319" s="1106"/>
      <c r="X319" s="1106"/>
      <c r="Y319" s="1106"/>
      <c r="Z319" s="1106"/>
      <c r="AA319" s="1106"/>
      <c r="AB319" s="1106"/>
      <c r="AC319" s="1106"/>
      <c r="AD319" s="1106"/>
      <c r="AE319" s="1106"/>
      <c r="AF319" s="1106"/>
      <c r="AG319" s="1106"/>
      <c r="AH319" s="1106"/>
      <c r="AI319" s="1106"/>
      <c r="AJ319" s="1106"/>
      <c r="AK319" s="1106"/>
      <c r="AL319" s="1106"/>
      <c r="AM319" s="1106"/>
      <c r="AN319" s="1106"/>
      <c r="AO319" s="1106"/>
    </row>
    <row r="320">
      <c r="A320" s="1533" t="s">
        <v>1469</v>
      </c>
      <c r="B320" s="1534" t="s">
        <v>1447</v>
      </c>
      <c r="G320" s="1106"/>
      <c r="H320" s="1106"/>
      <c r="I320" s="1106"/>
      <c r="J320" s="1106"/>
      <c r="K320" s="1106"/>
      <c r="L320" s="1106"/>
      <c r="M320" s="1106"/>
      <c r="N320" s="1106"/>
      <c r="O320" s="1106"/>
      <c r="P320" s="1106"/>
      <c r="Q320" s="1106"/>
      <c r="R320" s="1106"/>
      <c r="S320" s="1106"/>
      <c r="T320" s="1106"/>
      <c r="U320" s="1106"/>
      <c r="V320" s="1106"/>
      <c r="W320" s="1106"/>
      <c r="X320" s="1106"/>
      <c r="Y320" s="1106"/>
      <c r="Z320" s="1106"/>
      <c r="AA320" s="1106"/>
      <c r="AB320" s="1106"/>
      <c r="AC320" s="1106"/>
      <c r="AD320" s="1106"/>
      <c r="AE320" s="1106"/>
      <c r="AF320" s="1106"/>
      <c r="AG320" s="1106"/>
      <c r="AH320" s="1106"/>
      <c r="AI320" s="1106"/>
      <c r="AJ320" s="1106"/>
      <c r="AK320" s="1106"/>
      <c r="AL320" s="1106"/>
      <c r="AM320" s="1106"/>
      <c r="AN320" s="1106"/>
      <c r="AO320" s="1106"/>
    </row>
    <row r="321">
      <c r="B321" s="1535" t="s">
        <v>1448</v>
      </c>
      <c r="G321" s="1106"/>
      <c r="H321" s="1106"/>
      <c r="I321" s="1106"/>
      <c r="J321" s="1106"/>
      <c r="K321" s="1106"/>
      <c r="L321" s="1106"/>
      <c r="M321" s="1106"/>
      <c r="N321" s="1106"/>
      <c r="O321" s="1106"/>
      <c r="P321" s="1106"/>
      <c r="Q321" s="1106"/>
      <c r="R321" s="1106"/>
      <c r="S321" s="1106"/>
      <c r="T321" s="1106"/>
      <c r="U321" s="1106"/>
      <c r="V321" s="1106"/>
      <c r="W321" s="1106"/>
      <c r="X321" s="1106"/>
      <c r="Y321" s="1106"/>
      <c r="Z321" s="1106"/>
      <c r="AA321" s="1106"/>
      <c r="AB321" s="1106"/>
      <c r="AC321" s="1106"/>
      <c r="AD321" s="1106"/>
      <c r="AE321" s="1106"/>
      <c r="AF321" s="1106"/>
      <c r="AG321" s="1106"/>
      <c r="AH321" s="1106"/>
      <c r="AI321" s="1106"/>
      <c r="AJ321" s="1106"/>
      <c r="AK321" s="1106"/>
      <c r="AL321" s="1106"/>
      <c r="AM321" s="1106"/>
      <c r="AN321" s="1106"/>
      <c r="AO321" s="1106"/>
    </row>
    <row r="322">
      <c r="B322" s="1535" t="s">
        <v>1449</v>
      </c>
      <c r="G322" s="1106"/>
      <c r="H322" s="1106"/>
      <c r="I322" s="1106"/>
      <c r="J322" s="1106"/>
      <c r="K322" s="1106"/>
      <c r="L322" s="1106"/>
      <c r="M322" s="1106"/>
      <c r="N322" s="1106"/>
      <c r="O322" s="1106"/>
      <c r="P322" s="1106"/>
      <c r="Q322" s="1106"/>
      <c r="R322" s="1106"/>
      <c r="S322" s="1106"/>
      <c r="T322" s="1106"/>
      <c r="U322" s="1106"/>
      <c r="V322" s="1106"/>
      <c r="W322" s="1106"/>
      <c r="X322" s="1106"/>
      <c r="Y322" s="1106"/>
      <c r="Z322" s="1106"/>
      <c r="AA322" s="1106"/>
      <c r="AB322" s="1106"/>
      <c r="AC322" s="1106"/>
      <c r="AD322" s="1106"/>
      <c r="AE322" s="1106"/>
      <c r="AF322" s="1106"/>
      <c r="AG322" s="1106"/>
      <c r="AH322" s="1106"/>
      <c r="AI322" s="1106"/>
      <c r="AJ322" s="1106"/>
      <c r="AK322" s="1106"/>
      <c r="AL322" s="1106"/>
      <c r="AM322" s="1106"/>
      <c r="AN322" s="1106"/>
      <c r="AO322" s="1106"/>
    </row>
    <row r="323">
      <c r="B323" s="1535" t="s">
        <v>1450</v>
      </c>
      <c r="G323" s="1106"/>
      <c r="H323" s="1106"/>
      <c r="I323" s="1106"/>
      <c r="J323" s="1106"/>
      <c r="K323" s="1106"/>
      <c r="L323" s="1106"/>
      <c r="M323" s="1106"/>
      <c r="N323" s="1106"/>
      <c r="O323" s="1106"/>
      <c r="P323" s="1106"/>
      <c r="Q323" s="1106"/>
      <c r="R323" s="1106"/>
      <c r="S323" s="1106"/>
      <c r="T323" s="1106"/>
      <c r="U323" s="1106"/>
      <c r="V323" s="1106"/>
      <c r="W323" s="1106"/>
      <c r="X323" s="1106"/>
      <c r="Y323" s="1106"/>
      <c r="Z323" s="1106"/>
      <c r="AA323" s="1106"/>
      <c r="AB323" s="1106"/>
      <c r="AC323" s="1106"/>
      <c r="AD323" s="1106"/>
      <c r="AE323" s="1106"/>
      <c r="AF323" s="1106"/>
      <c r="AG323" s="1106"/>
      <c r="AH323" s="1106"/>
      <c r="AI323" s="1106"/>
      <c r="AJ323" s="1106"/>
      <c r="AK323" s="1106"/>
      <c r="AL323" s="1106"/>
      <c r="AM323" s="1106"/>
      <c r="AN323" s="1106"/>
      <c r="AO323" s="1106"/>
    </row>
    <row r="324">
      <c r="B324" s="1536" t="s">
        <v>1451</v>
      </c>
      <c r="G324" s="1106"/>
      <c r="H324" s="1106"/>
      <c r="I324" s="1106"/>
      <c r="J324" s="1106"/>
      <c r="K324" s="1106"/>
      <c r="L324" s="1106"/>
      <c r="M324" s="1106"/>
      <c r="N324" s="1106"/>
      <c r="O324" s="1106"/>
      <c r="P324" s="1106"/>
      <c r="Q324" s="1106"/>
      <c r="R324" s="1106"/>
      <c r="S324" s="1106"/>
      <c r="T324" s="1106"/>
      <c r="U324" s="1106"/>
      <c r="V324" s="1106"/>
      <c r="W324" s="1106"/>
      <c r="X324" s="1106"/>
      <c r="Y324" s="1106"/>
      <c r="Z324" s="1106"/>
      <c r="AA324" s="1106"/>
      <c r="AB324" s="1106"/>
      <c r="AC324" s="1106"/>
      <c r="AD324" s="1106"/>
      <c r="AE324" s="1106"/>
      <c r="AF324" s="1106"/>
      <c r="AG324" s="1106"/>
      <c r="AH324" s="1106"/>
      <c r="AI324" s="1106"/>
      <c r="AJ324" s="1106"/>
      <c r="AK324" s="1106"/>
      <c r="AL324" s="1106"/>
      <c r="AM324" s="1106"/>
      <c r="AN324" s="1106"/>
      <c r="AO324" s="1106"/>
    </row>
    <row r="325">
      <c r="B325" s="1536" t="s">
        <v>1452</v>
      </c>
      <c r="G325" s="1106"/>
      <c r="H325" s="1106"/>
      <c r="I325" s="1106"/>
      <c r="J325" s="1106"/>
      <c r="K325" s="1106"/>
      <c r="L325" s="1106"/>
      <c r="M325" s="1106"/>
      <c r="N325" s="1106"/>
      <c r="O325" s="1106"/>
      <c r="P325" s="1106"/>
      <c r="Q325" s="1106"/>
      <c r="R325" s="1106"/>
      <c r="S325" s="1106"/>
      <c r="T325" s="1106"/>
      <c r="U325" s="1106"/>
      <c r="V325" s="1106"/>
      <c r="W325" s="1106"/>
      <c r="X325" s="1106"/>
      <c r="Y325" s="1106"/>
      <c r="Z325" s="1106"/>
      <c r="AA325" s="1106"/>
      <c r="AB325" s="1106"/>
      <c r="AC325" s="1106"/>
      <c r="AD325" s="1106"/>
      <c r="AE325" s="1106"/>
      <c r="AF325" s="1106"/>
      <c r="AG325" s="1106"/>
      <c r="AH325" s="1106"/>
      <c r="AI325" s="1106"/>
      <c r="AJ325" s="1106"/>
      <c r="AK325" s="1106"/>
      <c r="AL325" s="1106"/>
      <c r="AM325" s="1106"/>
      <c r="AN325" s="1106"/>
      <c r="AO325" s="1106"/>
    </row>
    <row r="326">
      <c r="B326" s="1535" t="s">
        <v>1453</v>
      </c>
      <c r="G326" s="1106"/>
      <c r="H326" s="1106"/>
      <c r="I326" s="1106"/>
      <c r="J326" s="1106"/>
      <c r="K326" s="1106"/>
      <c r="L326" s="1106"/>
      <c r="M326" s="1106"/>
      <c r="N326" s="1106"/>
      <c r="O326" s="1106"/>
      <c r="P326" s="1106"/>
      <c r="Q326" s="1106"/>
      <c r="R326" s="1106"/>
      <c r="S326" s="1106"/>
      <c r="T326" s="1106"/>
      <c r="U326" s="1106"/>
      <c r="V326" s="1106"/>
      <c r="W326" s="1106"/>
      <c r="X326" s="1106"/>
      <c r="Y326" s="1106"/>
      <c r="Z326" s="1106"/>
      <c r="AA326" s="1106"/>
      <c r="AB326" s="1106"/>
      <c r="AC326" s="1106"/>
      <c r="AD326" s="1106"/>
      <c r="AE326" s="1106"/>
      <c r="AF326" s="1106"/>
      <c r="AG326" s="1106"/>
      <c r="AH326" s="1106"/>
      <c r="AI326" s="1106"/>
      <c r="AJ326" s="1106"/>
      <c r="AK326" s="1106"/>
      <c r="AL326" s="1106"/>
      <c r="AM326" s="1106"/>
      <c r="AN326" s="1106"/>
      <c r="AO326" s="1106"/>
    </row>
    <row r="327">
      <c r="B327" s="1535" t="s">
        <v>1454</v>
      </c>
      <c r="G327" s="1106"/>
      <c r="H327" s="1106"/>
      <c r="I327" s="1106"/>
      <c r="J327" s="1106"/>
      <c r="K327" s="1106"/>
      <c r="L327" s="1106"/>
      <c r="M327" s="1106"/>
      <c r="N327" s="1106"/>
      <c r="O327" s="1106"/>
      <c r="P327" s="1106"/>
      <c r="Q327" s="1106"/>
      <c r="R327" s="1106"/>
      <c r="S327" s="1106"/>
      <c r="T327" s="1106"/>
      <c r="U327" s="1106"/>
      <c r="V327" s="1106"/>
      <c r="W327" s="1106"/>
      <c r="X327" s="1106"/>
      <c r="Y327" s="1106"/>
      <c r="Z327" s="1106"/>
      <c r="AA327" s="1106"/>
      <c r="AB327" s="1106"/>
      <c r="AC327" s="1106"/>
      <c r="AD327" s="1106"/>
      <c r="AE327" s="1106"/>
      <c r="AF327" s="1106"/>
      <c r="AG327" s="1106"/>
      <c r="AH327" s="1106"/>
      <c r="AI327" s="1106"/>
      <c r="AJ327" s="1106"/>
      <c r="AK327" s="1106"/>
      <c r="AL327" s="1106"/>
      <c r="AM327" s="1106"/>
      <c r="AN327" s="1106"/>
      <c r="AO327" s="1106"/>
    </row>
    <row r="328">
      <c r="B328" s="1535" t="s">
        <v>1455</v>
      </c>
      <c r="G328" s="1106"/>
      <c r="H328" s="1106"/>
      <c r="I328" s="1106"/>
      <c r="J328" s="1106"/>
      <c r="K328" s="1106"/>
      <c r="L328" s="1106"/>
      <c r="M328" s="1106"/>
      <c r="N328" s="1106"/>
      <c r="O328" s="1106"/>
      <c r="P328" s="1106"/>
      <c r="Q328" s="1106"/>
      <c r="R328" s="1106"/>
      <c r="S328" s="1106"/>
      <c r="T328" s="1106"/>
      <c r="U328" s="1106"/>
      <c r="V328" s="1106"/>
      <c r="W328" s="1106"/>
      <c r="X328" s="1106"/>
      <c r="Y328" s="1106"/>
      <c r="Z328" s="1106"/>
      <c r="AA328" s="1106"/>
      <c r="AB328" s="1106"/>
      <c r="AC328" s="1106"/>
      <c r="AD328" s="1106"/>
      <c r="AE328" s="1106"/>
      <c r="AF328" s="1106"/>
      <c r="AG328" s="1106"/>
      <c r="AH328" s="1106"/>
      <c r="AI328" s="1106"/>
      <c r="AJ328" s="1106"/>
      <c r="AK328" s="1106"/>
      <c r="AL328" s="1106"/>
      <c r="AM328" s="1106"/>
      <c r="AN328" s="1106"/>
      <c r="AO328" s="1106"/>
    </row>
    <row r="329">
      <c r="A329" s="1533" t="s">
        <v>1470</v>
      </c>
      <c r="B329" s="1534" t="s">
        <v>1447</v>
      </c>
      <c r="G329" s="1106"/>
      <c r="H329" s="1106"/>
      <c r="I329" s="1106"/>
      <c r="J329" s="1106"/>
      <c r="K329" s="1106"/>
      <c r="L329" s="1106"/>
      <c r="M329" s="1106"/>
      <c r="N329" s="1106"/>
      <c r="O329" s="1106"/>
      <c r="P329" s="1106"/>
      <c r="Q329" s="1106"/>
      <c r="R329" s="1106"/>
      <c r="S329" s="1106"/>
      <c r="T329" s="1106"/>
      <c r="U329" s="1106"/>
      <c r="V329" s="1106"/>
      <c r="W329" s="1106"/>
      <c r="X329" s="1106"/>
      <c r="Y329" s="1106"/>
      <c r="Z329" s="1106"/>
      <c r="AA329" s="1106"/>
      <c r="AB329" s="1106"/>
      <c r="AC329" s="1106"/>
      <c r="AD329" s="1106"/>
      <c r="AE329" s="1106"/>
      <c r="AF329" s="1106"/>
      <c r="AG329" s="1106"/>
      <c r="AH329" s="1106"/>
      <c r="AI329" s="1106"/>
      <c r="AJ329" s="1106"/>
      <c r="AK329" s="1106"/>
      <c r="AL329" s="1106"/>
      <c r="AM329" s="1106"/>
      <c r="AN329" s="1106"/>
      <c r="AO329" s="1106"/>
    </row>
    <row r="330">
      <c r="B330" s="1535" t="s">
        <v>1448</v>
      </c>
      <c r="G330" s="1106"/>
      <c r="H330" s="1106"/>
      <c r="I330" s="1106"/>
      <c r="J330" s="1106"/>
      <c r="K330" s="1106"/>
      <c r="L330" s="1106"/>
      <c r="M330" s="1106"/>
      <c r="N330" s="1106"/>
      <c r="O330" s="1106"/>
      <c r="P330" s="1106"/>
      <c r="Q330" s="1106"/>
      <c r="R330" s="1106"/>
      <c r="S330" s="1106"/>
      <c r="T330" s="1106"/>
      <c r="U330" s="1106"/>
      <c r="V330" s="1106"/>
      <c r="W330" s="1106"/>
      <c r="X330" s="1106"/>
      <c r="Y330" s="1106"/>
      <c r="Z330" s="1106"/>
      <c r="AA330" s="1106"/>
      <c r="AB330" s="1106"/>
      <c r="AC330" s="1106"/>
      <c r="AD330" s="1106"/>
      <c r="AE330" s="1106"/>
      <c r="AF330" s="1106"/>
      <c r="AG330" s="1106"/>
      <c r="AH330" s="1106"/>
      <c r="AI330" s="1106"/>
      <c r="AJ330" s="1106"/>
      <c r="AK330" s="1106"/>
      <c r="AL330" s="1106"/>
      <c r="AM330" s="1106"/>
      <c r="AN330" s="1106"/>
      <c r="AO330" s="1106"/>
    </row>
    <row r="331">
      <c r="B331" s="1535" t="s">
        <v>1449</v>
      </c>
      <c r="G331" s="1106"/>
      <c r="H331" s="1106"/>
      <c r="I331" s="1106"/>
      <c r="J331" s="1106"/>
      <c r="K331" s="1106"/>
      <c r="L331" s="1106"/>
      <c r="M331" s="1106"/>
      <c r="N331" s="1106"/>
      <c r="O331" s="1106"/>
      <c r="P331" s="1106"/>
      <c r="Q331" s="1106"/>
      <c r="R331" s="1106"/>
      <c r="S331" s="1106"/>
      <c r="T331" s="1106"/>
      <c r="U331" s="1106"/>
      <c r="V331" s="1106"/>
      <c r="W331" s="1106"/>
      <c r="X331" s="1106"/>
      <c r="Y331" s="1106"/>
      <c r="Z331" s="1106"/>
      <c r="AA331" s="1106"/>
      <c r="AB331" s="1106"/>
      <c r="AC331" s="1106"/>
      <c r="AD331" s="1106"/>
      <c r="AE331" s="1106"/>
      <c r="AF331" s="1106"/>
      <c r="AG331" s="1106"/>
      <c r="AH331" s="1106"/>
      <c r="AI331" s="1106"/>
      <c r="AJ331" s="1106"/>
      <c r="AK331" s="1106"/>
      <c r="AL331" s="1106"/>
      <c r="AM331" s="1106"/>
      <c r="AN331" s="1106"/>
      <c r="AO331" s="1106"/>
    </row>
    <row r="332">
      <c r="B332" s="1535" t="s">
        <v>1450</v>
      </c>
      <c r="G332" s="1106"/>
      <c r="H332" s="1106"/>
      <c r="I332" s="1106"/>
      <c r="J332" s="1106"/>
      <c r="K332" s="1106"/>
      <c r="L332" s="1106"/>
      <c r="M332" s="1106"/>
      <c r="N332" s="1106"/>
      <c r="O332" s="1106"/>
      <c r="P332" s="1106"/>
      <c r="Q332" s="1106"/>
      <c r="R332" s="1106"/>
      <c r="S332" s="1106"/>
      <c r="T332" s="1106"/>
      <c r="U332" s="1106"/>
      <c r="V332" s="1106"/>
      <c r="W332" s="1106"/>
      <c r="X332" s="1106"/>
      <c r="Y332" s="1106"/>
      <c r="Z332" s="1106"/>
      <c r="AA332" s="1106"/>
      <c r="AB332" s="1106"/>
      <c r="AC332" s="1106"/>
      <c r="AD332" s="1106"/>
      <c r="AE332" s="1106"/>
      <c r="AF332" s="1106"/>
      <c r="AG332" s="1106"/>
      <c r="AH332" s="1106"/>
      <c r="AI332" s="1106"/>
      <c r="AJ332" s="1106"/>
      <c r="AK332" s="1106"/>
      <c r="AL332" s="1106"/>
      <c r="AM332" s="1106"/>
      <c r="AN332" s="1106"/>
      <c r="AO332" s="1106"/>
    </row>
    <row r="333">
      <c r="B333" s="1536" t="s">
        <v>1451</v>
      </c>
      <c r="G333" s="1106"/>
      <c r="H333" s="1106"/>
      <c r="I333" s="1106"/>
      <c r="J333" s="1106"/>
      <c r="K333" s="1106"/>
      <c r="L333" s="1106"/>
      <c r="M333" s="1106"/>
      <c r="N333" s="1106"/>
      <c r="O333" s="1106"/>
      <c r="P333" s="1106"/>
      <c r="Q333" s="1106"/>
      <c r="R333" s="1106"/>
      <c r="S333" s="1106"/>
      <c r="T333" s="1106"/>
      <c r="U333" s="1106"/>
      <c r="V333" s="1106"/>
      <c r="W333" s="1106"/>
      <c r="X333" s="1106"/>
      <c r="Y333" s="1106"/>
      <c r="Z333" s="1106"/>
      <c r="AA333" s="1106"/>
      <c r="AB333" s="1106"/>
      <c r="AC333" s="1106"/>
      <c r="AD333" s="1106"/>
      <c r="AE333" s="1106"/>
      <c r="AF333" s="1106"/>
      <c r="AG333" s="1106"/>
      <c r="AH333" s="1106"/>
      <c r="AI333" s="1106"/>
      <c r="AJ333" s="1106"/>
      <c r="AK333" s="1106"/>
      <c r="AL333" s="1106"/>
      <c r="AM333" s="1106"/>
      <c r="AN333" s="1106"/>
      <c r="AO333" s="1106"/>
    </row>
    <row r="334">
      <c r="B334" s="1536" t="s">
        <v>1452</v>
      </c>
      <c r="G334" s="1106"/>
      <c r="H334" s="1106"/>
      <c r="I334" s="1106"/>
      <c r="J334" s="1106"/>
      <c r="K334" s="1106"/>
      <c r="L334" s="1106"/>
      <c r="M334" s="1106"/>
      <c r="N334" s="1106"/>
      <c r="O334" s="1106"/>
      <c r="P334" s="1106"/>
      <c r="Q334" s="1106"/>
      <c r="R334" s="1106"/>
      <c r="S334" s="1106"/>
      <c r="T334" s="1106"/>
      <c r="U334" s="1106"/>
      <c r="V334" s="1106"/>
      <c r="W334" s="1106"/>
      <c r="X334" s="1106"/>
      <c r="Y334" s="1106"/>
      <c r="Z334" s="1106"/>
      <c r="AA334" s="1106"/>
      <c r="AB334" s="1106"/>
      <c r="AC334" s="1106"/>
      <c r="AD334" s="1106"/>
      <c r="AE334" s="1106"/>
      <c r="AF334" s="1106"/>
      <c r="AG334" s="1106"/>
      <c r="AH334" s="1106"/>
      <c r="AI334" s="1106"/>
      <c r="AJ334" s="1106"/>
      <c r="AK334" s="1106"/>
      <c r="AL334" s="1106"/>
      <c r="AM334" s="1106"/>
      <c r="AN334" s="1106"/>
      <c r="AO334" s="1106"/>
    </row>
    <row r="335">
      <c r="B335" s="1535" t="s">
        <v>1453</v>
      </c>
      <c r="G335" s="1106"/>
      <c r="H335" s="1106"/>
      <c r="I335" s="1106"/>
      <c r="J335" s="1106"/>
      <c r="K335" s="1106"/>
      <c r="L335" s="1106"/>
      <c r="M335" s="1106"/>
      <c r="N335" s="1106"/>
      <c r="O335" s="1106"/>
      <c r="P335" s="1106"/>
      <c r="Q335" s="1106"/>
      <c r="R335" s="1106"/>
      <c r="S335" s="1106"/>
      <c r="T335" s="1106"/>
      <c r="U335" s="1106"/>
      <c r="V335" s="1106"/>
      <c r="W335" s="1106"/>
      <c r="X335" s="1106"/>
      <c r="Y335" s="1106"/>
      <c r="Z335" s="1106"/>
      <c r="AA335" s="1106"/>
      <c r="AB335" s="1106"/>
      <c r="AC335" s="1106"/>
      <c r="AD335" s="1106"/>
      <c r="AE335" s="1106"/>
      <c r="AF335" s="1106"/>
      <c r="AG335" s="1106"/>
      <c r="AH335" s="1106"/>
      <c r="AI335" s="1106"/>
      <c r="AJ335" s="1106"/>
      <c r="AK335" s="1106"/>
      <c r="AL335" s="1106"/>
      <c r="AM335" s="1106"/>
      <c r="AN335" s="1106"/>
      <c r="AO335" s="1106"/>
    </row>
    <row r="336">
      <c r="B336" s="1535" t="s">
        <v>1454</v>
      </c>
      <c r="G336" s="1106"/>
      <c r="H336" s="1106"/>
      <c r="I336" s="1106"/>
      <c r="J336" s="1106"/>
      <c r="K336" s="1106"/>
      <c r="L336" s="1106"/>
      <c r="M336" s="1106"/>
      <c r="N336" s="1106"/>
      <c r="O336" s="1106"/>
      <c r="P336" s="1106"/>
      <c r="Q336" s="1106"/>
      <c r="R336" s="1106"/>
      <c r="S336" s="1106"/>
      <c r="T336" s="1106"/>
      <c r="U336" s="1106"/>
      <c r="V336" s="1106"/>
      <c r="W336" s="1106"/>
      <c r="X336" s="1106"/>
      <c r="Y336" s="1106"/>
      <c r="Z336" s="1106"/>
      <c r="AA336" s="1106"/>
      <c r="AB336" s="1106"/>
      <c r="AC336" s="1106"/>
      <c r="AD336" s="1106"/>
      <c r="AE336" s="1106"/>
      <c r="AF336" s="1106"/>
      <c r="AG336" s="1106"/>
      <c r="AH336" s="1106"/>
      <c r="AI336" s="1106"/>
      <c r="AJ336" s="1106"/>
      <c r="AK336" s="1106"/>
      <c r="AL336" s="1106"/>
      <c r="AM336" s="1106"/>
      <c r="AN336" s="1106"/>
      <c r="AO336" s="1106"/>
    </row>
    <row r="337">
      <c r="B337" s="1535" t="s">
        <v>1455</v>
      </c>
      <c r="G337" s="1106"/>
      <c r="H337" s="1106"/>
      <c r="I337" s="1106"/>
      <c r="J337" s="1106"/>
      <c r="K337" s="1106"/>
      <c r="L337" s="1106"/>
      <c r="M337" s="1106"/>
      <c r="N337" s="1106"/>
      <c r="O337" s="1106"/>
      <c r="P337" s="1106"/>
      <c r="Q337" s="1106"/>
      <c r="R337" s="1106"/>
      <c r="S337" s="1106"/>
      <c r="T337" s="1106"/>
      <c r="U337" s="1106"/>
      <c r="V337" s="1106"/>
      <c r="W337" s="1106"/>
      <c r="X337" s="1106"/>
      <c r="Y337" s="1106"/>
      <c r="Z337" s="1106"/>
      <c r="AA337" s="1106"/>
      <c r="AB337" s="1106"/>
      <c r="AC337" s="1106"/>
      <c r="AD337" s="1106"/>
      <c r="AE337" s="1106"/>
      <c r="AF337" s="1106"/>
      <c r="AG337" s="1106"/>
      <c r="AH337" s="1106"/>
      <c r="AI337" s="1106"/>
      <c r="AJ337" s="1106"/>
      <c r="AK337" s="1106"/>
      <c r="AL337" s="1106"/>
      <c r="AM337" s="1106"/>
      <c r="AN337" s="1106"/>
      <c r="AO337" s="1106"/>
    </row>
    <row r="338">
      <c r="G338" s="1106"/>
      <c r="H338" s="1106"/>
      <c r="I338" s="1106"/>
      <c r="J338" s="1106"/>
      <c r="K338" s="1106"/>
      <c r="L338" s="1106"/>
      <c r="M338" s="1106"/>
      <c r="N338" s="1106"/>
      <c r="O338" s="1106"/>
      <c r="P338" s="1106"/>
      <c r="Q338" s="1106"/>
      <c r="R338" s="1106"/>
      <c r="S338" s="1106"/>
      <c r="T338" s="1106"/>
      <c r="U338" s="1106"/>
      <c r="V338" s="1106"/>
      <c r="W338" s="1106"/>
      <c r="X338" s="1106"/>
      <c r="Y338" s="1106"/>
      <c r="Z338" s="1106"/>
      <c r="AA338" s="1106"/>
      <c r="AB338" s="1106"/>
      <c r="AC338" s="1106"/>
      <c r="AD338" s="1106"/>
      <c r="AE338" s="1106"/>
      <c r="AF338" s="1106"/>
      <c r="AG338" s="1106"/>
      <c r="AH338" s="1106"/>
      <c r="AI338" s="1106"/>
      <c r="AJ338" s="1106"/>
      <c r="AK338" s="1106"/>
      <c r="AL338" s="1106"/>
      <c r="AM338" s="1106"/>
      <c r="AN338" s="1106"/>
      <c r="AO338" s="1106"/>
    </row>
    <row r="339">
      <c r="G339" s="1106"/>
      <c r="H339" s="1106"/>
      <c r="I339" s="1106"/>
      <c r="J339" s="1106"/>
      <c r="K339" s="1106"/>
      <c r="L339" s="1106"/>
      <c r="M339" s="1106"/>
      <c r="N339" s="1106"/>
      <c r="O339" s="1106"/>
      <c r="P339" s="1106"/>
      <c r="Q339" s="1106"/>
      <c r="R339" s="1106"/>
      <c r="S339" s="1106"/>
      <c r="T339" s="1106"/>
      <c r="U339" s="1106"/>
      <c r="V339" s="1106"/>
      <c r="W339" s="1106"/>
      <c r="X339" s="1106"/>
      <c r="Y339" s="1106"/>
      <c r="Z339" s="1106"/>
      <c r="AA339" s="1106"/>
      <c r="AB339" s="1106"/>
      <c r="AC339" s="1106"/>
      <c r="AD339" s="1106"/>
      <c r="AE339" s="1106"/>
      <c r="AF339" s="1106"/>
      <c r="AG339" s="1106"/>
      <c r="AH339" s="1106"/>
      <c r="AI339" s="1106"/>
      <c r="AJ339" s="1106"/>
      <c r="AK339" s="1106"/>
      <c r="AL339" s="1106"/>
      <c r="AM339" s="1106"/>
      <c r="AN339" s="1106"/>
      <c r="AO339" s="1106"/>
    </row>
    <row r="340">
      <c r="G340" s="1106"/>
      <c r="H340" s="1106"/>
      <c r="I340" s="1106"/>
      <c r="J340" s="1106"/>
      <c r="K340" s="1106"/>
      <c r="L340" s="1106"/>
      <c r="M340" s="1106"/>
      <c r="N340" s="1106"/>
      <c r="O340" s="1106"/>
      <c r="P340" s="1106"/>
      <c r="Q340" s="1106"/>
      <c r="R340" s="1106"/>
      <c r="S340" s="1106"/>
      <c r="T340" s="1106"/>
      <c r="U340" s="1106"/>
      <c r="V340" s="1106"/>
      <c r="W340" s="1106"/>
      <c r="X340" s="1106"/>
      <c r="Y340" s="1106"/>
      <c r="Z340" s="1106"/>
      <c r="AA340" s="1106"/>
      <c r="AB340" s="1106"/>
      <c r="AC340" s="1106"/>
      <c r="AD340" s="1106"/>
      <c r="AE340" s="1106"/>
      <c r="AF340" s="1106"/>
      <c r="AG340" s="1106"/>
      <c r="AH340" s="1106"/>
      <c r="AI340" s="1106"/>
      <c r="AJ340" s="1106"/>
      <c r="AK340" s="1106"/>
      <c r="AL340" s="1106"/>
      <c r="AM340" s="1106"/>
      <c r="AN340" s="1106"/>
      <c r="AO340" s="1106"/>
    </row>
    <row r="341">
      <c r="G341" s="1106"/>
      <c r="H341" s="1106"/>
      <c r="I341" s="1106"/>
      <c r="J341" s="1106"/>
      <c r="K341" s="1106"/>
      <c r="L341" s="1106"/>
      <c r="M341" s="1106"/>
      <c r="N341" s="1106"/>
      <c r="O341" s="1106"/>
      <c r="P341" s="1106"/>
      <c r="Q341" s="1106"/>
      <c r="R341" s="1106"/>
      <c r="S341" s="1106"/>
      <c r="T341" s="1106"/>
      <c r="U341" s="1106"/>
      <c r="V341" s="1106"/>
      <c r="W341" s="1106"/>
      <c r="X341" s="1106"/>
      <c r="Y341" s="1106"/>
      <c r="Z341" s="1106"/>
      <c r="AA341" s="1106"/>
      <c r="AB341" s="1106"/>
      <c r="AC341" s="1106"/>
      <c r="AD341" s="1106"/>
      <c r="AE341" s="1106"/>
      <c r="AF341" s="1106"/>
      <c r="AG341" s="1106"/>
      <c r="AH341" s="1106"/>
      <c r="AI341" s="1106"/>
      <c r="AJ341" s="1106"/>
      <c r="AK341" s="1106"/>
      <c r="AL341" s="1106"/>
      <c r="AM341" s="1106"/>
      <c r="AN341" s="1106"/>
      <c r="AO341" s="1106"/>
    </row>
    <row r="342">
      <c r="G342" s="1106"/>
      <c r="H342" s="1106"/>
      <c r="I342" s="1106"/>
      <c r="J342" s="1106"/>
      <c r="K342" s="1106"/>
      <c r="L342" s="1106"/>
      <c r="M342" s="1106"/>
      <c r="N342" s="1106"/>
      <c r="O342" s="1106"/>
      <c r="P342" s="1106"/>
      <c r="Q342" s="1106"/>
      <c r="R342" s="1106"/>
      <c r="S342" s="1106"/>
      <c r="T342" s="1106"/>
      <c r="U342" s="1106"/>
      <c r="V342" s="1106"/>
      <c r="W342" s="1106"/>
      <c r="X342" s="1106"/>
      <c r="Y342" s="1106"/>
      <c r="Z342" s="1106"/>
      <c r="AA342" s="1106"/>
      <c r="AB342" s="1106"/>
      <c r="AC342" s="1106"/>
      <c r="AD342" s="1106"/>
      <c r="AE342" s="1106"/>
      <c r="AF342" s="1106"/>
      <c r="AG342" s="1106"/>
      <c r="AH342" s="1106"/>
      <c r="AI342" s="1106"/>
      <c r="AJ342" s="1106"/>
      <c r="AK342" s="1106"/>
      <c r="AL342" s="1106"/>
      <c r="AM342" s="1106"/>
      <c r="AN342" s="1106"/>
      <c r="AO342" s="1106"/>
    </row>
    <row r="343">
      <c r="G343" s="1106"/>
      <c r="H343" s="1106"/>
      <c r="I343" s="1106"/>
      <c r="J343" s="1106"/>
      <c r="K343" s="1106"/>
      <c r="L343" s="1106"/>
      <c r="M343" s="1106"/>
      <c r="N343" s="1106"/>
      <c r="O343" s="1106"/>
      <c r="P343" s="1106"/>
      <c r="Q343" s="1106"/>
      <c r="R343" s="1106"/>
      <c r="S343" s="1106"/>
      <c r="T343" s="1106"/>
      <c r="U343" s="1106"/>
      <c r="V343" s="1106"/>
      <c r="W343" s="1106"/>
      <c r="X343" s="1106"/>
      <c r="Y343" s="1106"/>
      <c r="Z343" s="1106"/>
      <c r="AA343" s="1106"/>
      <c r="AB343" s="1106"/>
      <c r="AC343" s="1106"/>
      <c r="AD343" s="1106"/>
      <c r="AE343" s="1106"/>
      <c r="AF343" s="1106"/>
      <c r="AG343" s="1106"/>
      <c r="AH343" s="1106"/>
      <c r="AI343" s="1106"/>
      <c r="AJ343" s="1106"/>
      <c r="AK343" s="1106"/>
      <c r="AL343" s="1106"/>
      <c r="AM343" s="1106"/>
      <c r="AN343" s="1106"/>
      <c r="AO343" s="1106"/>
    </row>
    <row r="344">
      <c r="G344" s="1106"/>
      <c r="H344" s="1106"/>
      <c r="I344" s="1106"/>
      <c r="J344" s="1106"/>
      <c r="K344" s="1106"/>
      <c r="L344" s="1106"/>
      <c r="M344" s="1106"/>
      <c r="N344" s="1106"/>
      <c r="O344" s="1106"/>
      <c r="P344" s="1106"/>
      <c r="Q344" s="1106"/>
      <c r="R344" s="1106"/>
      <c r="S344" s="1106"/>
      <c r="T344" s="1106"/>
      <c r="U344" s="1106"/>
      <c r="V344" s="1106"/>
      <c r="W344" s="1106"/>
      <c r="X344" s="1106"/>
      <c r="Y344" s="1106"/>
      <c r="Z344" s="1106"/>
      <c r="AA344" s="1106"/>
      <c r="AB344" s="1106"/>
      <c r="AC344" s="1106"/>
      <c r="AD344" s="1106"/>
      <c r="AE344" s="1106"/>
      <c r="AF344" s="1106"/>
      <c r="AG344" s="1106"/>
      <c r="AH344" s="1106"/>
      <c r="AI344" s="1106"/>
      <c r="AJ344" s="1106"/>
      <c r="AK344" s="1106"/>
      <c r="AL344" s="1106"/>
      <c r="AM344" s="1106"/>
      <c r="AN344" s="1106"/>
      <c r="AO344" s="1106"/>
    </row>
    <row r="345">
      <c r="G345" s="1106"/>
      <c r="H345" s="1106"/>
      <c r="I345" s="1106"/>
      <c r="J345" s="1106"/>
      <c r="K345" s="1106"/>
      <c r="L345" s="1106"/>
      <c r="M345" s="1106"/>
      <c r="N345" s="1106"/>
      <c r="O345" s="1106"/>
      <c r="P345" s="1106"/>
      <c r="Q345" s="1106"/>
      <c r="R345" s="1106"/>
      <c r="S345" s="1106"/>
      <c r="T345" s="1106"/>
      <c r="U345" s="1106"/>
      <c r="V345" s="1106"/>
      <c r="W345" s="1106"/>
      <c r="X345" s="1106"/>
      <c r="Y345" s="1106"/>
      <c r="Z345" s="1106"/>
      <c r="AA345" s="1106"/>
      <c r="AB345" s="1106"/>
      <c r="AC345" s="1106"/>
      <c r="AD345" s="1106"/>
      <c r="AE345" s="1106"/>
      <c r="AF345" s="1106"/>
      <c r="AG345" s="1106"/>
      <c r="AH345" s="1106"/>
      <c r="AI345" s="1106"/>
      <c r="AJ345" s="1106"/>
      <c r="AK345" s="1106"/>
      <c r="AL345" s="1106"/>
      <c r="AM345" s="1106"/>
      <c r="AN345" s="1106"/>
      <c r="AO345" s="1106"/>
    </row>
    <row r="346">
      <c r="G346" s="1106"/>
      <c r="H346" s="1106"/>
      <c r="I346" s="1106"/>
      <c r="J346" s="1106"/>
      <c r="K346" s="1106"/>
      <c r="L346" s="1106"/>
      <c r="M346" s="1106"/>
      <c r="N346" s="1106"/>
      <c r="O346" s="1106"/>
      <c r="P346" s="1106"/>
      <c r="Q346" s="1106"/>
      <c r="R346" s="1106"/>
      <c r="S346" s="1106"/>
      <c r="T346" s="1106"/>
      <c r="U346" s="1106"/>
      <c r="V346" s="1106"/>
      <c r="W346" s="1106"/>
      <c r="X346" s="1106"/>
      <c r="Y346" s="1106"/>
      <c r="Z346" s="1106"/>
      <c r="AA346" s="1106"/>
      <c r="AB346" s="1106"/>
      <c r="AC346" s="1106"/>
      <c r="AD346" s="1106"/>
      <c r="AE346" s="1106"/>
      <c r="AF346" s="1106"/>
      <c r="AG346" s="1106"/>
      <c r="AH346" s="1106"/>
      <c r="AI346" s="1106"/>
      <c r="AJ346" s="1106"/>
      <c r="AK346" s="1106"/>
      <c r="AL346" s="1106"/>
      <c r="AM346" s="1106"/>
      <c r="AN346" s="1106"/>
      <c r="AO346" s="1106"/>
    </row>
    <row r="347">
      <c r="G347" s="1106"/>
      <c r="H347" s="1106"/>
      <c r="I347" s="1106"/>
      <c r="J347" s="1106"/>
      <c r="K347" s="1106"/>
      <c r="L347" s="1106"/>
      <c r="M347" s="1106"/>
      <c r="N347" s="1106"/>
      <c r="O347" s="1106"/>
      <c r="P347" s="1106"/>
      <c r="Q347" s="1106"/>
      <c r="R347" s="1106"/>
      <c r="S347" s="1106"/>
      <c r="T347" s="1106"/>
      <c r="U347" s="1106"/>
      <c r="V347" s="1106"/>
      <c r="W347" s="1106"/>
      <c r="X347" s="1106"/>
      <c r="Y347" s="1106"/>
      <c r="Z347" s="1106"/>
      <c r="AA347" s="1106"/>
      <c r="AB347" s="1106"/>
      <c r="AC347" s="1106"/>
      <c r="AD347" s="1106"/>
      <c r="AE347" s="1106"/>
      <c r="AF347" s="1106"/>
      <c r="AG347" s="1106"/>
      <c r="AH347" s="1106"/>
      <c r="AI347" s="1106"/>
      <c r="AJ347" s="1106"/>
      <c r="AK347" s="1106"/>
      <c r="AL347" s="1106"/>
      <c r="AM347" s="1106"/>
      <c r="AN347" s="1106"/>
      <c r="AO347" s="1106"/>
    </row>
    <row r="348">
      <c r="G348" s="1106"/>
      <c r="H348" s="1106"/>
      <c r="I348" s="1106"/>
      <c r="J348" s="1106"/>
      <c r="K348" s="1106"/>
      <c r="L348" s="1106"/>
      <c r="M348" s="1106"/>
      <c r="N348" s="1106"/>
      <c r="O348" s="1106"/>
      <c r="P348" s="1106"/>
      <c r="Q348" s="1106"/>
      <c r="R348" s="1106"/>
      <c r="S348" s="1106"/>
      <c r="T348" s="1106"/>
      <c r="U348" s="1106"/>
      <c r="V348" s="1106"/>
      <c r="W348" s="1106"/>
      <c r="X348" s="1106"/>
      <c r="Y348" s="1106"/>
      <c r="Z348" s="1106"/>
      <c r="AA348" s="1106"/>
      <c r="AB348" s="1106"/>
      <c r="AC348" s="1106"/>
      <c r="AD348" s="1106"/>
      <c r="AE348" s="1106"/>
      <c r="AF348" s="1106"/>
      <c r="AG348" s="1106"/>
      <c r="AH348" s="1106"/>
      <c r="AI348" s="1106"/>
      <c r="AJ348" s="1106"/>
      <c r="AK348" s="1106"/>
      <c r="AL348" s="1106"/>
      <c r="AM348" s="1106"/>
      <c r="AN348" s="1106"/>
      <c r="AO348" s="1106"/>
    </row>
    <row r="349">
      <c r="G349" s="1106"/>
      <c r="H349" s="1106"/>
      <c r="I349" s="1106"/>
      <c r="J349" s="1106"/>
      <c r="K349" s="1106"/>
      <c r="L349" s="1106"/>
      <c r="M349" s="1106"/>
      <c r="N349" s="1106"/>
      <c r="O349" s="1106"/>
      <c r="P349" s="1106"/>
      <c r="Q349" s="1106"/>
      <c r="R349" s="1106"/>
      <c r="S349" s="1106"/>
      <c r="T349" s="1106"/>
      <c r="U349" s="1106"/>
      <c r="V349" s="1106"/>
      <c r="W349" s="1106"/>
      <c r="X349" s="1106"/>
      <c r="Y349" s="1106"/>
      <c r="Z349" s="1106"/>
      <c r="AA349" s="1106"/>
      <c r="AB349" s="1106"/>
      <c r="AC349" s="1106"/>
      <c r="AD349" s="1106"/>
      <c r="AE349" s="1106"/>
      <c r="AF349" s="1106"/>
      <c r="AG349" s="1106"/>
      <c r="AH349" s="1106"/>
      <c r="AI349" s="1106"/>
      <c r="AJ349" s="1106"/>
      <c r="AK349" s="1106"/>
      <c r="AL349" s="1106"/>
      <c r="AM349" s="1106"/>
      <c r="AN349" s="1106"/>
      <c r="AO349" s="1106"/>
    </row>
    <row r="350">
      <c r="G350" s="1106"/>
      <c r="H350" s="1106"/>
      <c r="I350" s="1106"/>
      <c r="J350" s="1106"/>
      <c r="K350" s="1106"/>
      <c r="L350" s="1106"/>
      <c r="M350" s="1106"/>
      <c r="N350" s="1106"/>
      <c r="O350" s="1106"/>
      <c r="P350" s="1106"/>
      <c r="Q350" s="1106"/>
      <c r="R350" s="1106"/>
      <c r="S350" s="1106"/>
      <c r="T350" s="1106"/>
      <c r="U350" s="1106"/>
      <c r="V350" s="1106"/>
      <c r="W350" s="1106"/>
      <c r="X350" s="1106"/>
      <c r="Y350" s="1106"/>
      <c r="Z350" s="1106"/>
      <c r="AA350" s="1106"/>
      <c r="AB350" s="1106"/>
      <c r="AC350" s="1106"/>
      <c r="AD350" s="1106"/>
      <c r="AE350" s="1106"/>
      <c r="AF350" s="1106"/>
      <c r="AG350" s="1106"/>
      <c r="AH350" s="1106"/>
      <c r="AI350" s="1106"/>
      <c r="AJ350" s="1106"/>
      <c r="AK350" s="1106"/>
      <c r="AL350" s="1106"/>
      <c r="AM350" s="1106"/>
      <c r="AN350" s="1106"/>
      <c r="AO350" s="1106"/>
    </row>
    <row r="351">
      <c r="G351" s="1106"/>
      <c r="H351" s="1106"/>
      <c r="I351" s="1106"/>
      <c r="J351" s="1106"/>
      <c r="K351" s="1106"/>
      <c r="L351" s="1106"/>
      <c r="M351" s="1106"/>
      <c r="N351" s="1106"/>
      <c r="O351" s="1106"/>
      <c r="P351" s="1106"/>
      <c r="Q351" s="1106"/>
      <c r="R351" s="1106"/>
      <c r="S351" s="1106"/>
      <c r="T351" s="1106"/>
      <c r="U351" s="1106"/>
      <c r="V351" s="1106"/>
      <c r="W351" s="1106"/>
      <c r="X351" s="1106"/>
      <c r="Y351" s="1106"/>
      <c r="Z351" s="1106"/>
      <c r="AA351" s="1106"/>
      <c r="AB351" s="1106"/>
      <c r="AC351" s="1106"/>
      <c r="AD351" s="1106"/>
      <c r="AE351" s="1106"/>
      <c r="AF351" s="1106"/>
      <c r="AG351" s="1106"/>
      <c r="AH351" s="1106"/>
      <c r="AI351" s="1106"/>
      <c r="AJ351" s="1106"/>
      <c r="AK351" s="1106"/>
      <c r="AL351" s="1106"/>
      <c r="AM351" s="1106"/>
      <c r="AN351" s="1106"/>
      <c r="AO351" s="1106"/>
    </row>
    <row r="352">
      <c r="G352" s="1106"/>
      <c r="H352" s="1106"/>
      <c r="I352" s="1106"/>
      <c r="J352" s="1106"/>
      <c r="K352" s="1106"/>
      <c r="L352" s="1106"/>
      <c r="M352" s="1106"/>
      <c r="N352" s="1106"/>
      <c r="O352" s="1106"/>
      <c r="P352" s="1106"/>
      <c r="Q352" s="1106"/>
      <c r="R352" s="1106"/>
      <c r="S352" s="1106"/>
      <c r="T352" s="1106"/>
      <c r="U352" s="1106"/>
      <c r="V352" s="1106"/>
      <c r="W352" s="1106"/>
      <c r="X352" s="1106"/>
      <c r="Y352" s="1106"/>
      <c r="Z352" s="1106"/>
      <c r="AA352" s="1106"/>
      <c r="AB352" s="1106"/>
      <c r="AC352" s="1106"/>
      <c r="AD352" s="1106"/>
      <c r="AE352" s="1106"/>
      <c r="AF352" s="1106"/>
      <c r="AG352" s="1106"/>
      <c r="AH352" s="1106"/>
      <c r="AI352" s="1106"/>
      <c r="AJ352" s="1106"/>
      <c r="AK352" s="1106"/>
      <c r="AL352" s="1106"/>
      <c r="AM352" s="1106"/>
      <c r="AN352" s="1106"/>
      <c r="AO352" s="1106"/>
    </row>
    <row r="353">
      <c r="G353" s="1106"/>
      <c r="H353" s="1106"/>
      <c r="I353" s="1106"/>
      <c r="J353" s="1106"/>
      <c r="K353" s="1106"/>
      <c r="L353" s="1106"/>
      <c r="M353" s="1106"/>
      <c r="N353" s="1106"/>
      <c r="O353" s="1106"/>
      <c r="P353" s="1106"/>
      <c r="Q353" s="1106"/>
      <c r="R353" s="1106"/>
      <c r="S353" s="1106"/>
      <c r="T353" s="1106"/>
      <c r="U353" s="1106"/>
      <c r="V353" s="1106"/>
      <c r="W353" s="1106"/>
      <c r="X353" s="1106"/>
      <c r="Y353" s="1106"/>
      <c r="Z353" s="1106"/>
      <c r="AA353" s="1106"/>
      <c r="AB353" s="1106"/>
      <c r="AC353" s="1106"/>
      <c r="AD353" s="1106"/>
      <c r="AE353" s="1106"/>
      <c r="AF353" s="1106"/>
      <c r="AG353" s="1106"/>
      <c r="AH353" s="1106"/>
      <c r="AI353" s="1106"/>
      <c r="AJ353" s="1106"/>
      <c r="AK353" s="1106"/>
      <c r="AL353" s="1106"/>
      <c r="AM353" s="1106"/>
      <c r="AN353" s="1106"/>
      <c r="AO353" s="1106"/>
    </row>
    <row r="354">
      <c r="G354" s="1106"/>
      <c r="H354" s="1106"/>
      <c r="I354" s="1106"/>
      <c r="J354" s="1106"/>
      <c r="K354" s="1106"/>
      <c r="L354" s="1106"/>
      <c r="M354" s="1106"/>
      <c r="N354" s="1106"/>
      <c r="O354" s="1106"/>
      <c r="P354" s="1106"/>
      <c r="Q354" s="1106"/>
      <c r="R354" s="1106"/>
      <c r="S354" s="1106"/>
      <c r="T354" s="1106"/>
      <c r="U354" s="1106"/>
      <c r="V354" s="1106"/>
      <c r="W354" s="1106"/>
      <c r="X354" s="1106"/>
      <c r="Y354" s="1106"/>
      <c r="Z354" s="1106"/>
      <c r="AA354" s="1106"/>
      <c r="AB354" s="1106"/>
      <c r="AC354" s="1106"/>
      <c r="AD354" s="1106"/>
      <c r="AE354" s="1106"/>
      <c r="AF354" s="1106"/>
      <c r="AG354" s="1106"/>
      <c r="AH354" s="1106"/>
      <c r="AI354" s="1106"/>
      <c r="AJ354" s="1106"/>
      <c r="AK354" s="1106"/>
      <c r="AL354" s="1106"/>
      <c r="AM354" s="1106"/>
      <c r="AN354" s="1106"/>
      <c r="AO354" s="1106"/>
    </row>
    <row r="355">
      <c r="G355" s="1106"/>
      <c r="H355" s="1106"/>
      <c r="I355" s="1106"/>
      <c r="J355" s="1106"/>
      <c r="K355" s="1106"/>
      <c r="L355" s="1106"/>
      <c r="M355" s="1106"/>
      <c r="N355" s="1106"/>
      <c r="O355" s="1106"/>
      <c r="P355" s="1106"/>
      <c r="Q355" s="1106"/>
      <c r="R355" s="1106"/>
      <c r="S355" s="1106"/>
      <c r="T355" s="1106"/>
      <c r="U355" s="1106"/>
      <c r="V355" s="1106"/>
      <c r="W355" s="1106"/>
      <c r="X355" s="1106"/>
      <c r="Y355" s="1106"/>
      <c r="Z355" s="1106"/>
      <c r="AA355" s="1106"/>
      <c r="AB355" s="1106"/>
      <c r="AC355" s="1106"/>
      <c r="AD355" s="1106"/>
      <c r="AE355" s="1106"/>
      <c r="AF355" s="1106"/>
      <c r="AG355" s="1106"/>
      <c r="AH355" s="1106"/>
      <c r="AI355" s="1106"/>
      <c r="AJ355" s="1106"/>
      <c r="AK355" s="1106"/>
      <c r="AL355" s="1106"/>
      <c r="AM355" s="1106"/>
      <c r="AN355" s="1106"/>
      <c r="AO355" s="1106"/>
    </row>
    <row r="356">
      <c r="G356" s="1106"/>
      <c r="H356" s="1106"/>
      <c r="I356" s="1106"/>
      <c r="J356" s="1106"/>
      <c r="K356" s="1106"/>
      <c r="L356" s="1106"/>
      <c r="M356" s="1106"/>
      <c r="N356" s="1106"/>
      <c r="O356" s="1106"/>
      <c r="P356" s="1106"/>
      <c r="Q356" s="1106"/>
      <c r="R356" s="1106"/>
      <c r="S356" s="1106"/>
      <c r="T356" s="1106"/>
      <c r="U356" s="1106"/>
      <c r="V356" s="1106"/>
      <c r="W356" s="1106"/>
      <c r="X356" s="1106"/>
      <c r="Y356" s="1106"/>
      <c r="Z356" s="1106"/>
      <c r="AA356" s="1106"/>
      <c r="AB356" s="1106"/>
      <c r="AC356" s="1106"/>
      <c r="AD356" s="1106"/>
      <c r="AE356" s="1106"/>
      <c r="AF356" s="1106"/>
      <c r="AG356" s="1106"/>
      <c r="AH356" s="1106"/>
      <c r="AI356" s="1106"/>
      <c r="AJ356" s="1106"/>
      <c r="AK356" s="1106"/>
      <c r="AL356" s="1106"/>
      <c r="AM356" s="1106"/>
      <c r="AN356" s="1106"/>
      <c r="AO356" s="1106"/>
    </row>
    <row r="357">
      <c r="G357" s="1106"/>
      <c r="H357" s="1106"/>
      <c r="I357" s="1106"/>
      <c r="J357" s="1106"/>
      <c r="K357" s="1106"/>
      <c r="L357" s="1106"/>
      <c r="M357" s="1106"/>
      <c r="N357" s="1106"/>
      <c r="O357" s="1106"/>
      <c r="P357" s="1106"/>
      <c r="Q357" s="1106"/>
      <c r="R357" s="1106"/>
      <c r="S357" s="1106"/>
      <c r="T357" s="1106"/>
      <c r="U357" s="1106"/>
      <c r="V357" s="1106"/>
      <c r="W357" s="1106"/>
      <c r="X357" s="1106"/>
      <c r="Y357" s="1106"/>
      <c r="Z357" s="1106"/>
      <c r="AA357" s="1106"/>
      <c r="AB357" s="1106"/>
      <c r="AC357" s="1106"/>
      <c r="AD357" s="1106"/>
      <c r="AE357" s="1106"/>
      <c r="AF357" s="1106"/>
      <c r="AG357" s="1106"/>
      <c r="AH357" s="1106"/>
      <c r="AI357" s="1106"/>
      <c r="AJ357" s="1106"/>
      <c r="AK357" s="1106"/>
      <c r="AL357" s="1106"/>
      <c r="AM357" s="1106"/>
      <c r="AN357" s="1106"/>
      <c r="AO357" s="1106"/>
    </row>
    <row r="358">
      <c r="G358" s="1106"/>
      <c r="H358" s="1106"/>
      <c r="I358" s="1106"/>
      <c r="J358" s="1106"/>
      <c r="K358" s="1106"/>
      <c r="L358" s="1106"/>
      <c r="M358" s="1106"/>
      <c r="N358" s="1106"/>
      <c r="O358" s="1106"/>
      <c r="P358" s="1106"/>
      <c r="Q358" s="1106"/>
      <c r="R358" s="1106"/>
      <c r="S358" s="1106"/>
      <c r="T358" s="1106"/>
      <c r="U358" s="1106"/>
      <c r="V358" s="1106"/>
      <c r="W358" s="1106"/>
      <c r="X358" s="1106"/>
      <c r="Y358" s="1106"/>
      <c r="Z358" s="1106"/>
      <c r="AA358" s="1106"/>
      <c r="AB358" s="1106"/>
      <c r="AC358" s="1106"/>
      <c r="AD358" s="1106"/>
      <c r="AE358" s="1106"/>
      <c r="AF358" s="1106"/>
      <c r="AG358" s="1106"/>
      <c r="AH358" s="1106"/>
      <c r="AI358" s="1106"/>
      <c r="AJ358" s="1106"/>
      <c r="AK358" s="1106"/>
      <c r="AL358" s="1106"/>
      <c r="AM358" s="1106"/>
      <c r="AN358" s="1106"/>
      <c r="AO358" s="1106"/>
    </row>
    <row r="359">
      <c r="G359" s="1106"/>
      <c r="H359" s="1106"/>
      <c r="I359" s="1106"/>
      <c r="J359" s="1106"/>
      <c r="K359" s="1106"/>
      <c r="L359" s="1106"/>
      <c r="M359" s="1106"/>
      <c r="N359" s="1106"/>
      <c r="O359" s="1106"/>
      <c r="P359" s="1106"/>
      <c r="Q359" s="1106"/>
      <c r="R359" s="1106"/>
      <c r="S359" s="1106"/>
      <c r="T359" s="1106"/>
      <c r="U359" s="1106"/>
      <c r="V359" s="1106"/>
      <c r="W359" s="1106"/>
      <c r="X359" s="1106"/>
      <c r="Y359" s="1106"/>
      <c r="Z359" s="1106"/>
      <c r="AA359" s="1106"/>
      <c r="AB359" s="1106"/>
      <c r="AC359" s="1106"/>
      <c r="AD359" s="1106"/>
      <c r="AE359" s="1106"/>
      <c r="AF359" s="1106"/>
      <c r="AG359" s="1106"/>
      <c r="AH359" s="1106"/>
      <c r="AI359" s="1106"/>
      <c r="AJ359" s="1106"/>
      <c r="AK359" s="1106"/>
      <c r="AL359" s="1106"/>
      <c r="AM359" s="1106"/>
      <c r="AN359" s="1106"/>
      <c r="AO359" s="1106"/>
    </row>
    <row r="360">
      <c r="G360" s="1106"/>
      <c r="H360" s="1106"/>
      <c r="I360" s="1106"/>
      <c r="J360" s="1106"/>
      <c r="K360" s="1106"/>
      <c r="L360" s="1106"/>
      <c r="M360" s="1106"/>
      <c r="N360" s="1106"/>
      <c r="O360" s="1106"/>
      <c r="P360" s="1106"/>
      <c r="Q360" s="1106"/>
      <c r="R360" s="1106"/>
      <c r="S360" s="1106"/>
      <c r="T360" s="1106"/>
      <c r="U360" s="1106"/>
      <c r="V360" s="1106"/>
      <c r="W360" s="1106"/>
      <c r="X360" s="1106"/>
      <c r="Y360" s="1106"/>
      <c r="Z360" s="1106"/>
      <c r="AA360" s="1106"/>
      <c r="AB360" s="1106"/>
      <c r="AC360" s="1106"/>
      <c r="AD360" s="1106"/>
      <c r="AE360" s="1106"/>
      <c r="AF360" s="1106"/>
      <c r="AG360" s="1106"/>
      <c r="AH360" s="1106"/>
      <c r="AI360" s="1106"/>
      <c r="AJ360" s="1106"/>
      <c r="AK360" s="1106"/>
      <c r="AL360" s="1106"/>
      <c r="AM360" s="1106"/>
      <c r="AN360" s="1106"/>
      <c r="AO360" s="1106"/>
    </row>
    <row r="361">
      <c r="G361" s="1106"/>
      <c r="H361" s="1106"/>
      <c r="I361" s="1106"/>
      <c r="J361" s="1106"/>
      <c r="K361" s="1106"/>
      <c r="L361" s="1106"/>
      <c r="M361" s="1106"/>
      <c r="N361" s="1106"/>
      <c r="O361" s="1106"/>
      <c r="P361" s="1106"/>
      <c r="Q361" s="1106"/>
      <c r="R361" s="1106"/>
      <c r="S361" s="1106"/>
      <c r="T361" s="1106"/>
      <c r="U361" s="1106"/>
      <c r="V361" s="1106"/>
      <c r="W361" s="1106"/>
      <c r="X361" s="1106"/>
      <c r="Y361" s="1106"/>
      <c r="Z361" s="1106"/>
      <c r="AA361" s="1106"/>
      <c r="AB361" s="1106"/>
      <c r="AC361" s="1106"/>
      <c r="AD361" s="1106"/>
      <c r="AE361" s="1106"/>
      <c r="AF361" s="1106"/>
      <c r="AG361" s="1106"/>
      <c r="AH361" s="1106"/>
      <c r="AI361" s="1106"/>
      <c r="AJ361" s="1106"/>
      <c r="AK361" s="1106"/>
      <c r="AL361" s="1106"/>
      <c r="AM361" s="1106"/>
      <c r="AN361" s="1106"/>
      <c r="AO361" s="1106"/>
    </row>
    <row r="362">
      <c r="G362" s="1106"/>
      <c r="H362" s="1106"/>
      <c r="I362" s="1106"/>
      <c r="J362" s="1106"/>
      <c r="K362" s="1106"/>
      <c r="L362" s="1106"/>
      <c r="M362" s="1106"/>
      <c r="N362" s="1106"/>
      <c r="O362" s="1106"/>
      <c r="P362" s="1106"/>
      <c r="Q362" s="1106"/>
      <c r="R362" s="1106"/>
      <c r="S362" s="1106"/>
      <c r="T362" s="1106"/>
      <c r="U362" s="1106"/>
      <c r="V362" s="1106"/>
      <c r="W362" s="1106"/>
      <c r="X362" s="1106"/>
      <c r="Y362" s="1106"/>
      <c r="Z362" s="1106"/>
      <c r="AA362" s="1106"/>
      <c r="AB362" s="1106"/>
      <c r="AC362" s="1106"/>
      <c r="AD362" s="1106"/>
      <c r="AE362" s="1106"/>
      <c r="AF362" s="1106"/>
      <c r="AG362" s="1106"/>
      <c r="AH362" s="1106"/>
      <c r="AI362" s="1106"/>
      <c r="AJ362" s="1106"/>
      <c r="AK362" s="1106"/>
      <c r="AL362" s="1106"/>
      <c r="AM362" s="1106"/>
      <c r="AN362" s="1106"/>
      <c r="AO362" s="1106"/>
    </row>
    <row r="363">
      <c r="G363" s="1106"/>
      <c r="H363" s="1106"/>
      <c r="I363" s="1106"/>
      <c r="J363" s="1106"/>
      <c r="K363" s="1106"/>
      <c r="L363" s="1106"/>
      <c r="M363" s="1106"/>
      <c r="N363" s="1106"/>
      <c r="O363" s="1106"/>
      <c r="P363" s="1106"/>
      <c r="Q363" s="1106"/>
      <c r="R363" s="1106"/>
      <c r="S363" s="1106"/>
      <c r="T363" s="1106"/>
      <c r="U363" s="1106"/>
      <c r="V363" s="1106"/>
      <c r="W363" s="1106"/>
      <c r="X363" s="1106"/>
      <c r="Y363" s="1106"/>
      <c r="Z363" s="1106"/>
      <c r="AA363" s="1106"/>
      <c r="AB363" s="1106"/>
      <c r="AC363" s="1106"/>
      <c r="AD363" s="1106"/>
      <c r="AE363" s="1106"/>
      <c r="AF363" s="1106"/>
      <c r="AG363" s="1106"/>
      <c r="AH363" s="1106"/>
      <c r="AI363" s="1106"/>
      <c r="AJ363" s="1106"/>
      <c r="AK363" s="1106"/>
      <c r="AL363" s="1106"/>
      <c r="AM363" s="1106"/>
      <c r="AN363" s="1106"/>
      <c r="AO363" s="1106"/>
    </row>
    <row r="364">
      <c r="G364" s="1106"/>
      <c r="H364" s="1106"/>
      <c r="I364" s="1106"/>
      <c r="J364" s="1106"/>
      <c r="K364" s="1106"/>
      <c r="L364" s="1106"/>
      <c r="M364" s="1106"/>
      <c r="N364" s="1106"/>
      <c r="O364" s="1106"/>
      <c r="P364" s="1106"/>
      <c r="Q364" s="1106"/>
      <c r="R364" s="1106"/>
      <c r="S364" s="1106"/>
      <c r="T364" s="1106"/>
      <c r="U364" s="1106"/>
      <c r="V364" s="1106"/>
      <c r="W364" s="1106"/>
      <c r="X364" s="1106"/>
      <c r="Y364" s="1106"/>
      <c r="Z364" s="1106"/>
      <c r="AA364" s="1106"/>
      <c r="AB364" s="1106"/>
      <c r="AC364" s="1106"/>
      <c r="AD364" s="1106"/>
      <c r="AE364" s="1106"/>
      <c r="AF364" s="1106"/>
      <c r="AG364" s="1106"/>
      <c r="AH364" s="1106"/>
      <c r="AI364" s="1106"/>
      <c r="AJ364" s="1106"/>
      <c r="AK364" s="1106"/>
      <c r="AL364" s="1106"/>
      <c r="AM364" s="1106"/>
      <c r="AN364" s="1106"/>
      <c r="AO364" s="1106"/>
    </row>
    <row r="365">
      <c r="G365" s="1106"/>
      <c r="H365" s="1106"/>
      <c r="I365" s="1106"/>
      <c r="J365" s="1106"/>
      <c r="K365" s="1106"/>
      <c r="L365" s="1106"/>
      <c r="M365" s="1106"/>
      <c r="N365" s="1106"/>
      <c r="O365" s="1106"/>
      <c r="P365" s="1106"/>
      <c r="Q365" s="1106"/>
      <c r="R365" s="1106"/>
      <c r="S365" s="1106"/>
      <c r="T365" s="1106"/>
      <c r="U365" s="1106"/>
      <c r="V365" s="1106"/>
      <c r="W365" s="1106"/>
      <c r="X365" s="1106"/>
      <c r="Y365" s="1106"/>
      <c r="Z365" s="1106"/>
      <c r="AA365" s="1106"/>
      <c r="AB365" s="1106"/>
      <c r="AC365" s="1106"/>
      <c r="AD365" s="1106"/>
      <c r="AE365" s="1106"/>
      <c r="AF365" s="1106"/>
      <c r="AG365" s="1106"/>
      <c r="AH365" s="1106"/>
      <c r="AI365" s="1106"/>
      <c r="AJ365" s="1106"/>
      <c r="AK365" s="1106"/>
      <c r="AL365" s="1106"/>
      <c r="AM365" s="1106"/>
      <c r="AN365" s="1106"/>
      <c r="AO365" s="1106"/>
    </row>
    <row r="366">
      <c r="G366" s="1106"/>
      <c r="H366" s="1106"/>
      <c r="I366" s="1106"/>
      <c r="J366" s="1106"/>
      <c r="K366" s="1106"/>
      <c r="L366" s="1106"/>
      <c r="M366" s="1106"/>
      <c r="N366" s="1106"/>
      <c r="O366" s="1106"/>
      <c r="P366" s="1106"/>
      <c r="Q366" s="1106"/>
      <c r="R366" s="1106"/>
      <c r="S366" s="1106"/>
      <c r="T366" s="1106"/>
      <c r="U366" s="1106"/>
      <c r="V366" s="1106"/>
      <c r="W366" s="1106"/>
      <c r="X366" s="1106"/>
      <c r="Y366" s="1106"/>
      <c r="Z366" s="1106"/>
      <c r="AA366" s="1106"/>
      <c r="AB366" s="1106"/>
      <c r="AC366" s="1106"/>
      <c r="AD366" s="1106"/>
      <c r="AE366" s="1106"/>
      <c r="AF366" s="1106"/>
      <c r="AG366" s="1106"/>
      <c r="AH366" s="1106"/>
      <c r="AI366" s="1106"/>
      <c r="AJ366" s="1106"/>
      <c r="AK366" s="1106"/>
      <c r="AL366" s="1106"/>
      <c r="AM366" s="1106"/>
      <c r="AN366" s="1106"/>
      <c r="AO366" s="1106"/>
    </row>
    <row r="367">
      <c r="G367" s="1106"/>
      <c r="H367" s="1106"/>
      <c r="I367" s="1106"/>
      <c r="J367" s="1106"/>
      <c r="K367" s="1106"/>
      <c r="L367" s="1106"/>
      <c r="M367" s="1106"/>
      <c r="N367" s="1106"/>
      <c r="O367" s="1106"/>
      <c r="P367" s="1106"/>
      <c r="Q367" s="1106"/>
      <c r="R367" s="1106"/>
      <c r="S367" s="1106"/>
      <c r="T367" s="1106"/>
      <c r="U367" s="1106"/>
      <c r="V367" s="1106"/>
      <c r="W367" s="1106"/>
      <c r="X367" s="1106"/>
      <c r="Y367" s="1106"/>
      <c r="Z367" s="1106"/>
      <c r="AA367" s="1106"/>
      <c r="AB367" s="1106"/>
      <c r="AC367" s="1106"/>
      <c r="AD367" s="1106"/>
      <c r="AE367" s="1106"/>
      <c r="AF367" s="1106"/>
      <c r="AG367" s="1106"/>
      <c r="AH367" s="1106"/>
      <c r="AI367" s="1106"/>
      <c r="AJ367" s="1106"/>
      <c r="AK367" s="1106"/>
      <c r="AL367" s="1106"/>
      <c r="AM367" s="1106"/>
      <c r="AN367" s="1106"/>
      <c r="AO367" s="1106"/>
    </row>
    <row r="368">
      <c r="G368" s="1106"/>
      <c r="H368" s="1106"/>
      <c r="I368" s="1106"/>
      <c r="J368" s="1106"/>
      <c r="K368" s="1106"/>
      <c r="L368" s="1106"/>
      <c r="M368" s="1106"/>
      <c r="N368" s="1106"/>
      <c r="O368" s="1106"/>
      <c r="P368" s="1106"/>
      <c r="Q368" s="1106"/>
      <c r="R368" s="1106"/>
      <c r="S368" s="1106"/>
      <c r="T368" s="1106"/>
      <c r="U368" s="1106"/>
      <c r="V368" s="1106"/>
      <c r="W368" s="1106"/>
      <c r="X368" s="1106"/>
      <c r="Y368" s="1106"/>
      <c r="Z368" s="1106"/>
      <c r="AA368" s="1106"/>
      <c r="AB368" s="1106"/>
      <c r="AC368" s="1106"/>
      <c r="AD368" s="1106"/>
      <c r="AE368" s="1106"/>
      <c r="AF368" s="1106"/>
      <c r="AG368" s="1106"/>
      <c r="AH368" s="1106"/>
      <c r="AI368" s="1106"/>
      <c r="AJ368" s="1106"/>
      <c r="AK368" s="1106"/>
      <c r="AL368" s="1106"/>
      <c r="AM368" s="1106"/>
      <c r="AN368" s="1106"/>
      <c r="AO368" s="1106"/>
    </row>
    <row r="369">
      <c r="G369" s="1106"/>
      <c r="H369" s="1106"/>
      <c r="I369" s="1106"/>
      <c r="J369" s="1106"/>
      <c r="K369" s="1106"/>
      <c r="L369" s="1106"/>
      <c r="M369" s="1106"/>
      <c r="N369" s="1106"/>
      <c r="O369" s="1106"/>
      <c r="P369" s="1106"/>
      <c r="Q369" s="1106"/>
      <c r="R369" s="1106"/>
      <c r="S369" s="1106"/>
      <c r="T369" s="1106"/>
      <c r="U369" s="1106"/>
      <c r="V369" s="1106"/>
      <c r="W369" s="1106"/>
      <c r="X369" s="1106"/>
      <c r="Y369" s="1106"/>
      <c r="Z369" s="1106"/>
      <c r="AA369" s="1106"/>
      <c r="AB369" s="1106"/>
      <c r="AC369" s="1106"/>
      <c r="AD369" s="1106"/>
      <c r="AE369" s="1106"/>
      <c r="AF369" s="1106"/>
      <c r="AG369" s="1106"/>
      <c r="AH369" s="1106"/>
      <c r="AI369" s="1106"/>
      <c r="AJ369" s="1106"/>
      <c r="AK369" s="1106"/>
      <c r="AL369" s="1106"/>
      <c r="AM369" s="1106"/>
      <c r="AN369" s="1106"/>
      <c r="AO369" s="1106"/>
    </row>
    <row r="370">
      <c r="G370" s="1106"/>
      <c r="H370" s="1106"/>
      <c r="I370" s="1106"/>
      <c r="J370" s="1106"/>
      <c r="K370" s="1106"/>
      <c r="L370" s="1106"/>
      <c r="M370" s="1106"/>
      <c r="N370" s="1106"/>
      <c r="O370" s="1106"/>
      <c r="P370" s="1106"/>
      <c r="Q370" s="1106"/>
      <c r="R370" s="1106"/>
      <c r="S370" s="1106"/>
      <c r="T370" s="1106"/>
      <c r="U370" s="1106"/>
      <c r="V370" s="1106"/>
      <c r="W370" s="1106"/>
      <c r="X370" s="1106"/>
      <c r="Y370" s="1106"/>
      <c r="Z370" s="1106"/>
      <c r="AA370" s="1106"/>
      <c r="AB370" s="1106"/>
      <c r="AC370" s="1106"/>
      <c r="AD370" s="1106"/>
      <c r="AE370" s="1106"/>
      <c r="AF370" s="1106"/>
      <c r="AG370" s="1106"/>
      <c r="AH370" s="1106"/>
      <c r="AI370" s="1106"/>
      <c r="AJ370" s="1106"/>
      <c r="AK370" s="1106"/>
      <c r="AL370" s="1106"/>
      <c r="AM370" s="1106"/>
      <c r="AN370" s="1106"/>
      <c r="AO370" s="1106"/>
    </row>
    <row r="371">
      <c r="G371" s="1106"/>
      <c r="H371" s="1106"/>
      <c r="I371" s="1106"/>
      <c r="J371" s="1106"/>
      <c r="K371" s="1106"/>
      <c r="L371" s="1106"/>
      <c r="M371" s="1106"/>
      <c r="N371" s="1106"/>
      <c r="O371" s="1106"/>
      <c r="P371" s="1106"/>
      <c r="Q371" s="1106"/>
      <c r="R371" s="1106"/>
      <c r="S371" s="1106"/>
      <c r="T371" s="1106"/>
      <c r="U371" s="1106"/>
      <c r="V371" s="1106"/>
      <c r="W371" s="1106"/>
      <c r="X371" s="1106"/>
      <c r="Y371" s="1106"/>
      <c r="Z371" s="1106"/>
      <c r="AA371" s="1106"/>
      <c r="AB371" s="1106"/>
      <c r="AC371" s="1106"/>
      <c r="AD371" s="1106"/>
      <c r="AE371" s="1106"/>
      <c r="AF371" s="1106"/>
      <c r="AG371" s="1106"/>
      <c r="AH371" s="1106"/>
      <c r="AI371" s="1106"/>
      <c r="AJ371" s="1106"/>
      <c r="AK371" s="1106"/>
      <c r="AL371" s="1106"/>
      <c r="AM371" s="1106"/>
      <c r="AN371" s="1106"/>
      <c r="AO371" s="1106"/>
    </row>
    <row r="372">
      <c r="G372" s="1106"/>
      <c r="H372" s="1106"/>
      <c r="I372" s="1106"/>
      <c r="J372" s="1106"/>
      <c r="K372" s="1106"/>
      <c r="L372" s="1106"/>
      <c r="M372" s="1106"/>
      <c r="N372" s="1106"/>
      <c r="O372" s="1106"/>
      <c r="P372" s="1106"/>
      <c r="Q372" s="1106"/>
      <c r="R372" s="1106"/>
      <c r="S372" s="1106"/>
      <c r="T372" s="1106"/>
      <c r="U372" s="1106"/>
      <c r="V372" s="1106"/>
      <c r="W372" s="1106"/>
      <c r="X372" s="1106"/>
      <c r="Y372" s="1106"/>
      <c r="Z372" s="1106"/>
      <c r="AA372" s="1106"/>
      <c r="AB372" s="1106"/>
      <c r="AC372" s="1106"/>
      <c r="AD372" s="1106"/>
      <c r="AE372" s="1106"/>
      <c r="AF372" s="1106"/>
      <c r="AG372" s="1106"/>
      <c r="AH372" s="1106"/>
      <c r="AI372" s="1106"/>
      <c r="AJ372" s="1106"/>
      <c r="AK372" s="1106"/>
      <c r="AL372" s="1106"/>
      <c r="AM372" s="1106"/>
      <c r="AN372" s="1106"/>
      <c r="AO372" s="1106"/>
    </row>
    <row r="373">
      <c r="G373" s="1106"/>
      <c r="H373" s="1106"/>
      <c r="I373" s="1106"/>
      <c r="J373" s="1106"/>
      <c r="K373" s="1106"/>
      <c r="L373" s="1106"/>
      <c r="M373" s="1106"/>
      <c r="N373" s="1106"/>
      <c r="O373" s="1106"/>
      <c r="P373" s="1106"/>
      <c r="Q373" s="1106"/>
      <c r="R373" s="1106"/>
      <c r="S373" s="1106"/>
      <c r="T373" s="1106"/>
      <c r="U373" s="1106"/>
      <c r="V373" s="1106"/>
      <c r="W373" s="1106"/>
      <c r="X373" s="1106"/>
      <c r="Y373" s="1106"/>
      <c r="Z373" s="1106"/>
      <c r="AA373" s="1106"/>
      <c r="AB373" s="1106"/>
      <c r="AC373" s="1106"/>
      <c r="AD373" s="1106"/>
      <c r="AE373" s="1106"/>
      <c r="AF373" s="1106"/>
      <c r="AG373" s="1106"/>
      <c r="AH373" s="1106"/>
      <c r="AI373" s="1106"/>
      <c r="AJ373" s="1106"/>
      <c r="AK373" s="1106"/>
      <c r="AL373" s="1106"/>
      <c r="AM373" s="1106"/>
      <c r="AN373" s="1106"/>
      <c r="AO373" s="1106"/>
    </row>
    <row r="374">
      <c r="G374" s="1106"/>
      <c r="H374" s="1106"/>
      <c r="I374" s="1106"/>
      <c r="J374" s="1106"/>
      <c r="K374" s="1106"/>
      <c r="L374" s="1106"/>
      <c r="M374" s="1106"/>
      <c r="N374" s="1106"/>
      <c r="O374" s="1106"/>
      <c r="P374" s="1106"/>
      <c r="Q374" s="1106"/>
      <c r="R374" s="1106"/>
      <c r="S374" s="1106"/>
      <c r="T374" s="1106"/>
      <c r="U374" s="1106"/>
      <c r="V374" s="1106"/>
      <c r="W374" s="1106"/>
      <c r="X374" s="1106"/>
      <c r="Y374" s="1106"/>
      <c r="Z374" s="1106"/>
      <c r="AA374" s="1106"/>
      <c r="AB374" s="1106"/>
      <c r="AC374" s="1106"/>
      <c r="AD374" s="1106"/>
      <c r="AE374" s="1106"/>
      <c r="AF374" s="1106"/>
      <c r="AG374" s="1106"/>
      <c r="AH374" s="1106"/>
      <c r="AI374" s="1106"/>
      <c r="AJ374" s="1106"/>
      <c r="AK374" s="1106"/>
      <c r="AL374" s="1106"/>
      <c r="AM374" s="1106"/>
      <c r="AN374" s="1106"/>
      <c r="AO374" s="1106"/>
    </row>
    <row r="375">
      <c r="G375" s="1106"/>
      <c r="H375" s="1106"/>
      <c r="I375" s="1106"/>
      <c r="J375" s="1106"/>
      <c r="K375" s="1106"/>
      <c r="L375" s="1106"/>
      <c r="M375" s="1106"/>
      <c r="N375" s="1106"/>
      <c r="O375" s="1106"/>
      <c r="P375" s="1106"/>
      <c r="Q375" s="1106"/>
      <c r="R375" s="1106"/>
      <c r="S375" s="1106"/>
      <c r="T375" s="1106"/>
      <c r="U375" s="1106"/>
      <c r="V375" s="1106"/>
      <c r="W375" s="1106"/>
      <c r="X375" s="1106"/>
      <c r="Y375" s="1106"/>
      <c r="Z375" s="1106"/>
      <c r="AA375" s="1106"/>
      <c r="AB375" s="1106"/>
      <c r="AC375" s="1106"/>
      <c r="AD375" s="1106"/>
      <c r="AE375" s="1106"/>
      <c r="AF375" s="1106"/>
      <c r="AG375" s="1106"/>
      <c r="AH375" s="1106"/>
      <c r="AI375" s="1106"/>
      <c r="AJ375" s="1106"/>
      <c r="AK375" s="1106"/>
      <c r="AL375" s="1106"/>
      <c r="AM375" s="1106"/>
      <c r="AN375" s="1106"/>
      <c r="AO375" s="1106"/>
    </row>
    <row r="376">
      <c r="G376" s="1106"/>
      <c r="H376" s="1106"/>
      <c r="I376" s="1106"/>
      <c r="J376" s="1106"/>
      <c r="K376" s="1106"/>
      <c r="L376" s="1106"/>
      <c r="M376" s="1106"/>
      <c r="N376" s="1106"/>
      <c r="O376" s="1106"/>
      <c r="P376" s="1106"/>
      <c r="Q376" s="1106"/>
      <c r="R376" s="1106"/>
      <c r="S376" s="1106"/>
      <c r="T376" s="1106"/>
      <c r="U376" s="1106"/>
      <c r="V376" s="1106"/>
      <c r="W376" s="1106"/>
      <c r="X376" s="1106"/>
      <c r="Y376" s="1106"/>
      <c r="Z376" s="1106"/>
      <c r="AA376" s="1106"/>
      <c r="AB376" s="1106"/>
      <c r="AC376" s="1106"/>
      <c r="AD376" s="1106"/>
      <c r="AE376" s="1106"/>
      <c r="AF376" s="1106"/>
      <c r="AG376" s="1106"/>
      <c r="AH376" s="1106"/>
      <c r="AI376" s="1106"/>
      <c r="AJ376" s="1106"/>
      <c r="AK376" s="1106"/>
      <c r="AL376" s="1106"/>
      <c r="AM376" s="1106"/>
      <c r="AN376" s="1106"/>
      <c r="AO376" s="1106"/>
    </row>
    <row r="377">
      <c r="G377" s="1106"/>
      <c r="H377" s="1106"/>
      <c r="I377" s="1106"/>
      <c r="J377" s="1106"/>
      <c r="K377" s="1106"/>
      <c r="L377" s="1106"/>
      <c r="M377" s="1106"/>
      <c r="N377" s="1106"/>
      <c r="O377" s="1106"/>
      <c r="P377" s="1106"/>
      <c r="Q377" s="1106"/>
      <c r="R377" s="1106"/>
      <c r="S377" s="1106"/>
      <c r="T377" s="1106"/>
      <c r="U377" s="1106"/>
      <c r="V377" s="1106"/>
      <c r="W377" s="1106"/>
      <c r="X377" s="1106"/>
      <c r="Y377" s="1106"/>
      <c r="Z377" s="1106"/>
      <c r="AA377" s="1106"/>
      <c r="AB377" s="1106"/>
      <c r="AC377" s="1106"/>
      <c r="AD377" s="1106"/>
      <c r="AE377" s="1106"/>
      <c r="AF377" s="1106"/>
      <c r="AG377" s="1106"/>
      <c r="AH377" s="1106"/>
      <c r="AI377" s="1106"/>
      <c r="AJ377" s="1106"/>
      <c r="AK377" s="1106"/>
      <c r="AL377" s="1106"/>
      <c r="AM377" s="1106"/>
      <c r="AN377" s="1106"/>
      <c r="AO377" s="1106"/>
    </row>
    <row r="378">
      <c r="G378" s="1106"/>
      <c r="H378" s="1106"/>
      <c r="I378" s="1106"/>
      <c r="J378" s="1106"/>
      <c r="K378" s="1106"/>
      <c r="L378" s="1106"/>
      <c r="M378" s="1106"/>
      <c r="N378" s="1106"/>
      <c r="O378" s="1106"/>
      <c r="P378" s="1106"/>
      <c r="Q378" s="1106"/>
      <c r="R378" s="1106"/>
      <c r="S378" s="1106"/>
      <c r="T378" s="1106"/>
      <c r="U378" s="1106"/>
      <c r="V378" s="1106"/>
      <c r="W378" s="1106"/>
      <c r="X378" s="1106"/>
      <c r="Y378" s="1106"/>
      <c r="Z378" s="1106"/>
      <c r="AA378" s="1106"/>
      <c r="AB378" s="1106"/>
      <c r="AC378" s="1106"/>
      <c r="AD378" s="1106"/>
      <c r="AE378" s="1106"/>
      <c r="AF378" s="1106"/>
      <c r="AG378" s="1106"/>
      <c r="AH378" s="1106"/>
      <c r="AI378" s="1106"/>
      <c r="AJ378" s="1106"/>
      <c r="AK378" s="1106"/>
      <c r="AL378" s="1106"/>
      <c r="AM378" s="1106"/>
      <c r="AN378" s="1106"/>
      <c r="AO378" s="1106"/>
    </row>
    <row r="379">
      <c r="G379" s="1106"/>
      <c r="H379" s="1106"/>
      <c r="I379" s="1106"/>
      <c r="J379" s="1106"/>
      <c r="K379" s="1106"/>
      <c r="L379" s="1106"/>
      <c r="M379" s="1106"/>
      <c r="N379" s="1106"/>
      <c r="O379" s="1106"/>
      <c r="P379" s="1106"/>
      <c r="Q379" s="1106"/>
      <c r="R379" s="1106"/>
      <c r="S379" s="1106"/>
      <c r="T379" s="1106"/>
      <c r="U379" s="1106"/>
      <c r="V379" s="1106"/>
      <c r="W379" s="1106"/>
      <c r="X379" s="1106"/>
      <c r="Y379" s="1106"/>
      <c r="Z379" s="1106"/>
      <c r="AA379" s="1106"/>
      <c r="AB379" s="1106"/>
      <c r="AC379" s="1106"/>
      <c r="AD379" s="1106"/>
      <c r="AE379" s="1106"/>
      <c r="AF379" s="1106"/>
      <c r="AG379" s="1106"/>
      <c r="AH379" s="1106"/>
      <c r="AI379" s="1106"/>
      <c r="AJ379" s="1106"/>
      <c r="AK379" s="1106"/>
      <c r="AL379" s="1106"/>
      <c r="AM379" s="1106"/>
      <c r="AN379" s="1106"/>
      <c r="AO379" s="1106"/>
    </row>
    <row r="380">
      <c r="G380" s="1106"/>
      <c r="H380" s="1106"/>
      <c r="I380" s="1106"/>
      <c r="J380" s="1106"/>
      <c r="K380" s="1106"/>
      <c r="L380" s="1106"/>
      <c r="M380" s="1106"/>
      <c r="N380" s="1106"/>
      <c r="O380" s="1106"/>
      <c r="P380" s="1106"/>
      <c r="Q380" s="1106"/>
      <c r="R380" s="1106"/>
      <c r="S380" s="1106"/>
      <c r="T380" s="1106"/>
      <c r="U380" s="1106"/>
      <c r="V380" s="1106"/>
      <c r="W380" s="1106"/>
      <c r="X380" s="1106"/>
      <c r="Y380" s="1106"/>
      <c r="Z380" s="1106"/>
      <c r="AA380" s="1106"/>
      <c r="AB380" s="1106"/>
      <c r="AC380" s="1106"/>
      <c r="AD380" s="1106"/>
      <c r="AE380" s="1106"/>
      <c r="AF380" s="1106"/>
      <c r="AG380" s="1106"/>
      <c r="AH380" s="1106"/>
      <c r="AI380" s="1106"/>
      <c r="AJ380" s="1106"/>
      <c r="AK380" s="1106"/>
      <c r="AL380" s="1106"/>
      <c r="AM380" s="1106"/>
      <c r="AN380" s="1106"/>
      <c r="AO380" s="1106"/>
    </row>
    <row r="381">
      <c r="G381" s="1106"/>
      <c r="H381" s="1106"/>
      <c r="I381" s="1106"/>
      <c r="J381" s="1106"/>
      <c r="K381" s="1106"/>
      <c r="L381" s="1106"/>
      <c r="M381" s="1106"/>
      <c r="N381" s="1106"/>
      <c r="O381" s="1106"/>
      <c r="P381" s="1106"/>
      <c r="Q381" s="1106"/>
      <c r="R381" s="1106"/>
      <c r="S381" s="1106"/>
      <c r="T381" s="1106"/>
      <c r="U381" s="1106"/>
      <c r="V381" s="1106"/>
      <c r="W381" s="1106"/>
      <c r="X381" s="1106"/>
      <c r="Y381" s="1106"/>
      <c r="Z381" s="1106"/>
      <c r="AA381" s="1106"/>
      <c r="AB381" s="1106"/>
      <c r="AC381" s="1106"/>
      <c r="AD381" s="1106"/>
      <c r="AE381" s="1106"/>
      <c r="AF381" s="1106"/>
      <c r="AG381" s="1106"/>
      <c r="AH381" s="1106"/>
      <c r="AI381" s="1106"/>
      <c r="AJ381" s="1106"/>
      <c r="AK381" s="1106"/>
      <c r="AL381" s="1106"/>
      <c r="AM381" s="1106"/>
      <c r="AN381" s="1106"/>
      <c r="AO381" s="1106"/>
    </row>
    <row r="382">
      <c r="G382" s="1106"/>
      <c r="H382" s="1106"/>
      <c r="I382" s="1106"/>
      <c r="J382" s="1106"/>
      <c r="K382" s="1106"/>
      <c r="L382" s="1106"/>
      <c r="M382" s="1106"/>
      <c r="N382" s="1106"/>
      <c r="O382" s="1106"/>
      <c r="P382" s="1106"/>
      <c r="Q382" s="1106"/>
      <c r="R382" s="1106"/>
      <c r="S382" s="1106"/>
      <c r="T382" s="1106"/>
      <c r="U382" s="1106"/>
      <c r="V382" s="1106"/>
      <c r="W382" s="1106"/>
      <c r="X382" s="1106"/>
      <c r="Y382" s="1106"/>
      <c r="Z382" s="1106"/>
      <c r="AA382" s="1106"/>
      <c r="AB382" s="1106"/>
      <c r="AC382" s="1106"/>
      <c r="AD382" s="1106"/>
      <c r="AE382" s="1106"/>
      <c r="AF382" s="1106"/>
      <c r="AG382" s="1106"/>
      <c r="AH382" s="1106"/>
      <c r="AI382" s="1106"/>
      <c r="AJ382" s="1106"/>
      <c r="AK382" s="1106"/>
      <c r="AL382" s="1106"/>
      <c r="AM382" s="1106"/>
      <c r="AN382" s="1106"/>
      <c r="AO382" s="1106"/>
    </row>
    <row r="383">
      <c r="G383" s="1106"/>
      <c r="H383" s="1106"/>
      <c r="I383" s="1106"/>
      <c r="J383" s="1106"/>
      <c r="K383" s="1106"/>
      <c r="L383" s="1106"/>
      <c r="M383" s="1106"/>
      <c r="N383" s="1106"/>
      <c r="O383" s="1106"/>
      <c r="P383" s="1106"/>
      <c r="Q383" s="1106"/>
      <c r="R383" s="1106"/>
      <c r="S383" s="1106"/>
      <c r="T383" s="1106"/>
      <c r="U383" s="1106"/>
      <c r="V383" s="1106"/>
      <c r="W383" s="1106"/>
      <c r="X383" s="1106"/>
      <c r="Y383" s="1106"/>
      <c r="Z383" s="1106"/>
      <c r="AA383" s="1106"/>
      <c r="AB383" s="1106"/>
      <c r="AC383" s="1106"/>
      <c r="AD383" s="1106"/>
      <c r="AE383" s="1106"/>
      <c r="AF383" s="1106"/>
      <c r="AG383" s="1106"/>
      <c r="AH383" s="1106"/>
      <c r="AI383" s="1106"/>
      <c r="AJ383" s="1106"/>
      <c r="AK383" s="1106"/>
      <c r="AL383" s="1106"/>
      <c r="AM383" s="1106"/>
      <c r="AN383" s="1106"/>
      <c r="AO383" s="1106"/>
    </row>
    <row r="384">
      <c r="G384" s="1106"/>
      <c r="H384" s="1106"/>
      <c r="I384" s="1106"/>
      <c r="J384" s="1106"/>
      <c r="K384" s="1106"/>
      <c r="L384" s="1106"/>
      <c r="M384" s="1106"/>
      <c r="N384" s="1106"/>
      <c r="O384" s="1106"/>
      <c r="P384" s="1106"/>
      <c r="Q384" s="1106"/>
      <c r="R384" s="1106"/>
      <c r="S384" s="1106"/>
      <c r="T384" s="1106"/>
      <c r="U384" s="1106"/>
      <c r="V384" s="1106"/>
      <c r="W384" s="1106"/>
      <c r="X384" s="1106"/>
      <c r="Y384" s="1106"/>
      <c r="Z384" s="1106"/>
      <c r="AA384" s="1106"/>
      <c r="AB384" s="1106"/>
      <c r="AC384" s="1106"/>
      <c r="AD384" s="1106"/>
      <c r="AE384" s="1106"/>
      <c r="AF384" s="1106"/>
      <c r="AG384" s="1106"/>
      <c r="AH384" s="1106"/>
      <c r="AI384" s="1106"/>
      <c r="AJ384" s="1106"/>
      <c r="AK384" s="1106"/>
      <c r="AL384" s="1106"/>
      <c r="AM384" s="1106"/>
      <c r="AN384" s="1106"/>
      <c r="AO384" s="1106"/>
    </row>
    <row r="385">
      <c r="G385" s="1106"/>
      <c r="H385" s="1106"/>
      <c r="I385" s="1106"/>
      <c r="J385" s="1106"/>
      <c r="K385" s="1106"/>
      <c r="L385" s="1106"/>
      <c r="M385" s="1106"/>
      <c r="N385" s="1106"/>
      <c r="O385" s="1106"/>
      <c r="P385" s="1106"/>
      <c r="Q385" s="1106"/>
      <c r="R385" s="1106"/>
      <c r="S385" s="1106"/>
      <c r="T385" s="1106"/>
      <c r="U385" s="1106"/>
      <c r="V385" s="1106"/>
      <c r="W385" s="1106"/>
      <c r="X385" s="1106"/>
      <c r="Y385" s="1106"/>
      <c r="Z385" s="1106"/>
      <c r="AA385" s="1106"/>
      <c r="AB385" s="1106"/>
      <c r="AC385" s="1106"/>
      <c r="AD385" s="1106"/>
      <c r="AE385" s="1106"/>
      <c r="AF385" s="1106"/>
      <c r="AG385" s="1106"/>
      <c r="AH385" s="1106"/>
      <c r="AI385" s="1106"/>
      <c r="AJ385" s="1106"/>
      <c r="AK385" s="1106"/>
      <c r="AL385" s="1106"/>
      <c r="AM385" s="1106"/>
      <c r="AN385" s="1106"/>
      <c r="AO385" s="1106"/>
    </row>
    <row r="386">
      <c r="G386" s="1106"/>
      <c r="H386" s="1106"/>
      <c r="I386" s="1106"/>
      <c r="J386" s="1106"/>
      <c r="K386" s="1106"/>
      <c r="L386" s="1106"/>
      <c r="M386" s="1106"/>
      <c r="N386" s="1106"/>
      <c r="O386" s="1106"/>
      <c r="P386" s="1106"/>
      <c r="Q386" s="1106"/>
      <c r="R386" s="1106"/>
      <c r="S386" s="1106"/>
      <c r="T386" s="1106"/>
      <c r="U386" s="1106"/>
      <c r="V386" s="1106"/>
      <c r="W386" s="1106"/>
      <c r="X386" s="1106"/>
      <c r="Y386" s="1106"/>
      <c r="Z386" s="1106"/>
      <c r="AA386" s="1106"/>
      <c r="AB386" s="1106"/>
      <c r="AC386" s="1106"/>
      <c r="AD386" s="1106"/>
      <c r="AE386" s="1106"/>
      <c r="AF386" s="1106"/>
      <c r="AG386" s="1106"/>
      <c r="AH386" s="1106"/>
      <c r="AI386" s="1106"/>
      <c r="AJ386" s="1106"/>
      <c r="AK386" s="1106"/>
      <c r="AL386" s="1106"/>
      <c r="AM386" s="1106"/>
      <c r="AN386" s="1106"/>
      <c r="AO386" s="1106"/>
    </row>
    <row r="387">
      <c r="G387" s="1106"/>
      <c r="H387" s="1106"/>
      <c r="I387" s="1106"/>
      <c r="J387" s="1106"/>
      <c r="K387" s="1106"/>
      <c r="L387" s="1106"/>
      <c r="M387" s="1106"/>
      <c r="N387" s="1106"/>
      <c r="O387" s="1106"/>
      <c r="P387" s="1106"/>
      <c r="Q387" s="1106"/>
      <c r="R387" s="1106"/>
      <c r="S387" s="1106"/>
      <c r="T387" s="1106"/>
      <c r="U387" s="1106"/>
      <c r="V387" s="1106"/>
      <c r="W387" s="1106"/>
      <c r="X387" s="1106"/>
      <c r="Y387" s="1106"/>
      <c r="Z387" s="1106"/>
      <c r="AA387" s="1106"/>
      <c r="AB387" s="1106"/>
      <c r="AC387" s="1106"/>
      <c r="AD387" s="1106"/>
      <c r="AE387" s="1106"/>
      <c r="AF387" s="1106"/>
      <c r="AG387" s="1106"/>
      <c r="AH387" s="1106"/>
      <c r="AI387" s="1106"/>
      <c r="AJ387" s="1106"/>
      <c r="AK387" s="1106"/>
      <c r="AL387" s="1106"/>
      <c r="AM387" s="1106"/>
      <c r="AN387" s="1106"/>
      <c r="AO387" s="1106"/>
    </row>
    <row r="388">
      <c r="G388" s="1106"/>
      <c r="H388" s="1106"/>
      <c r="I388" s="1106"/>
      <c r="J388" s="1106"/>
      <c r="K388" s="1106"/>
      <c r="L388" s="1106"/>
      <c r="M388" s="1106"/>
      <c r="N388" s="1106"/>
      <c r="O388" s="1106"/>
      <c r="P388" s="1106"/>
      <c r="Q388" s="1106"/>
      <c r="R388" s="1106"/>
      <c r="S388" s="1106"/>
      <c r="T388" s="1106"/>
      <c r="U388" s="1106"/>
      <c r="V388" s="1106"/>
      <c r="W388" s="1106"/>
      <c r="X388" s="1106"/>
      <c r="Y388" s="1106"/>
      <c r="Z388" s="1106"/>
      <c r="AA388" s="1106"/>
      <c r="AB388" s="1106"/>
      <c r="AC388" s="1106"/>
      <c r="AD388" s="1106"/>
      <c r="AE388" s="1106"/>
      <c r="AF388" s="1106"/>
      <c r="AG388" s="1106"/>
      <c r="AH388" s="1106"/>
      <c r="AI388" s="1106"/>
      <c r="AJ388" s="1106"/>
      <c r="AK388" s="1106"/>
      <c r="AL388" s="1106"/>
      <c r="AM388" s="1106"/>
      <c r="AN388" s="1106"/>
      <c r="AO388" s="1106"/>
    </row>
    <row r="389">
      <c r="G389" s="1106"/>
      <c r="H389" s="1106"/>
      <c r="I389" s="1106"/>
      <c r="J389" s="1106"/>
      <c r="K389" s="1106"/>
      <c r="L389" s="1106"/>
      <c r="M389" s="1106"/>
      <c r="N389" s="1106"/>
      <c r="O389" s="1106"/>
      <c r="P389" s="1106"/>
      <c r="Q389" s="1106"/>
      <c r="R389" s="1106"/>
      <c r="S389" s="1106"/>
      <c r="T389" s="1106"/>
      <c r="U389" s="1106"/>
      <c r="V389" s="1106"/>
      <c r="W389" s="1106"/>
      <c r="X389" s="1106"/>
      <c r="Y389" s="1106"/>
      <c r="Z389" s="1106"/>
      <c r="AA389" s="1106"/>
      <c r="AB389" s="1106"/>
      <c r="AC389" s="1106"/>
      <c r="AD389" s="1106"/>
      <c r="AE389" s="1106"/>
      <c r="AF389" s="1106"/>
      <c r="AG389" s="1106"/>
      <c r="AH389" s="1106"/>
      <c r="AI389" s="1106"/>
      <c r="AJ389" s="1106"/>
      <c r="AK389" s="1106"/>
      <c r="AL389" s="1106"/>
      <c r="AM389" s="1106"/>
      <c r="AN389" s="1106"/>
      <c r="AO389" s="1106"/>
    </row>
    <row r="390">
      <c r="G390" s="1106"/>
      <c r="H390" s="1106"/>
      <c r="I390" s="1106"/>
      <c r="J390" s="1106"/>
      <c r="K390" s="1106"/>
      <c r="L390" s="1106"/>
      <c r="M390" s="1106"/>
      <c r="N390" s="1106"/>
      <c r="O390" s="1106"/>
      <c r="P390" s="1106"/>
      <c r="Q390" s="1106"/>
      <c r="R390" s="1106"/>
      <c r="S390" s="1106"/>
      <c r="T390" s="1106"/>
      <c r="U390" s="1106"/>
      <c r="V390" s="1106"/>
      <c r="W390" s="1106"/>
      <c r="X390" s="1106"/>
      <c r="Y390" s="1106"/>
      <c r="Z390" s="1106"/>
      <c r="AA390" s="1106"/>
      <c r="AB390" s="1106"/>
      <c r="AC390" s="1106"/>
      <c r="AD390" s="1106"/>
      <c r="AE390" s="1106"/>
      <c r="AF390" s="1106"/>
      <c r="AG390" s="1106"/>
      <c r="AH390" s="1106"/>
      <c r="AI390" s="1106"/>
      <c r="AJ390" s="1106"/>
      <c r="AK390" s="1106"/>
      <c r="AL390" s="1106"/>
      <c r="AM390" s="1106"/>
      <c r="AN390" s="1106"/>
      <c r="AO390" s="1106"/>
    </row>
    <row r="391">
      <c r="G391" s="1106"/>
      <c r="H391" s="1106"/>
      <c r="I391" s="1106"/>
      <c r="J391" s="1106"/>
      <c r="K391" s="1106"/>
      <c r="L391" s="1106"/>
      <c r="M391" s="1106"/>
      <c r="N391" s="1106"/>
      <c r="O391" s="1106"/>
      <c r="P391" s="1106"/>
      <c r="Q391" s="1106"/>
      <c r="R391" s="1106"/>
      <c r="S391" s="1106"/>
      <c r="T391" s="1106"/>
      <c r="U391" s="1106"/>
      <c r="V391" s="1106"/>
      <c r="W391" s="1106"/>
      <c r="X391" s="1106"/>
      <c r="Y391" s="1106"/>
      <c r="Z391" s="1106"/>
      <c r="AA391" s="1106"/>
      <c r="AB391" s="1106"/>
      <c r="AC391" s="1106"/>
      <c r="AD391" s="1106"/>
      <c r="AE391" s="1106"/>
      <c r="AF391" s="1106"/>
      <c r="AG391" s="1106"/>
      <c r="AH391" s="1106"/>
      <c r="AI391" s="1106"/>
      <c r="AJ391" s="1106"/>
      <c r="AK391" s="1106"/>
      <c r="AL391" s="1106"/>
      <c r="AM391" s="1106"/>
      <c r="AN391" s="1106"/>
      <c r="AO391" s="1106"/>
    </row>
    <row r="392">
      <c r="G392" s="1106"/>
      <c r="H392" s="1106"/>
      <c r="I392" s="1106"/>
      <c r="J392" s="1106"/>
      <c r="K392" s="1106"/>
      <c r="L392" s="1106"/>
      <c r="M392" s="1106"/>
      <c r="N392" s="1106"/>
      <c r="O392" s="1106"/>
      <c r="P392" s="1106"/>
      <c r="Q392" s="1106"/>
      <c r="R392" s="1106"/>
      <c r="S392" s="1106"/>
      <c r="T392" s="1106"/>
      <c r="U392" s="1106"/>
      <c r="V392" s="1106"/>
      <c r="W392" s="1106"/>
      <c r="X392" s="1106"/>
      <c r="Y392" s="1106"/>
      <c r="Z392" s="1106"/>
      <c r="AA392" s="1106"/>
      <c r="AB392" s="1106"/>
      <c r="AC392" s="1106"/>
      <c r="AD392" s="1106"/>
      <c r="AE392" s="1106"/>
      <c r="AF392" s="1106"/>
      <c r="AG392" s="1106"/>
      <c r="AH392" s="1106"/>
      <c r="AI392" s="1106"/>
      <c r="AJ392" s="1106"/>
      <c r="AK392" s="1106"/>
      <c r="AL392" s="1106"/>
      <c r="AM392" s="1106"/>
      <c r="AN392" s="1106"/>
      <c r="AO392" s="1106"/>
    </row>
    <row r="393">
      <c r="G393" s="1106"/>
      <c r="H393" s="1106"/>
      <c r="I393" s="1106"/>
      <c r="J393" s="1106"/>
      <c r="K393" s="1106"/>
      <c r="L393" s="1106"/>
      <c r="M393" s="1106"/>
      <c r="N393" s="1106"/>
      <c r="O393" s="1106"/>
      <c r="P393" s="1106"/>
      <c r="Q393" s="1106"/>
      <c r="R393" s="1106"/>
      <c r="S393" s="1106"/>
      <c r="T393" s="1106"/>
      <c r="U393" s="1106"/>
      <c r="V393" s="1106"/>
      <c r="W393" s="1106"/>
      <c r="X393" s="1106"/>
      <c r="Y393" s="1106"/>
      <c r="Z393" s="1106"/>
      <c r="AA393" s="1106"/>
      <c r="AB393" s="1106"/>
      <c r="AC393" s="1106"/>
      <c r="AD393" s="1106"/>
      <c r="AE393" s="1106"/>
      <c r="AF393" s="1106"/>
      <c r="AG393" s="1106"/>
      <c r="AH393" s="1106"/>
      <c r="AI393" s="1106"/>
      <c r="AJ393" s="1106"/>
      <c r="AK393" s="1106"/>
      <c r="AL393" s="1106"/>
      <c r="AM393" s="1106"/>
      <c r="AN393" s="1106"/>
      <c r="AO393" s="1106"/>
    </row>
    <row r="394">
      <c r="G394" s="1106"/>
      <c r="H394" s="1106"/>
      <c r="I394" s="1106"/>
      <c r="J394" s="1106"/>
      <c r="K394" s="1106"/>
      <c r="L394" s="1106"/>
      <c r="M394" s="1106"/>
      <c r="N394" s="1106"/>
      <c r="O394" s="1106"/>
      <c r="P394" s="1106"/>
      <c r="Q394" s="1106"/>
      <c r="R394" s="1106"/>
      <c r="S394" s="1106"/>
      <c r="T394" s="1106"/>
      <c r="U394" s="1106"/>
      <c r="V394" s="1106"/>
      <c r="W394" s="1106"/>
      <c r="X394" s="1106"/>
      <c r="Y394" s="1106"/>
      <c r="Z394" s="1106"/>
      <c r="AA394" s="1106"/>
      <c r="AB394" s="1106"/>
      <c r="AC394" s="1106"/>
      <c r="AD394" s="1106"/>
      <c r="AE394" s="1106"/>
      <c r="AF394" s="1106"/>
      <c r="AG394" s="1106"/>
      <c r="AH394" s="1106"/>
      <c r="AI394" s="1106"/>
      <c r="AJ394" s="1106"/>
      <c r="AK394" s="1106"/>
      <c r="AL394" s="1106"/>
      <c r="AM394" s="1106"/>
      <c r="AN394" s="1106"/>
      <c r="AO394" s="1106"/>
    </row>
    <row r="395">
      <c r="G395" s="1106"/>
      <c r="H395" s="1106"/>
      <c r="I395" s="1106"/>
      <c r="J395" s="1106"/>
      <c r="K395" s="1106"/>
      <c r="L395" s="1106"/>
      <c r="M395" s="1106"/>
      <c r="N395" s="1106"/>
      <c r="O395" s="1106"/>
      <c r="P395" s="1106"/>
      <c r="Q395" s="1106"/>
      <c r="R395" s="1106"/>
      <c r="S395" s="1106"/>
      <c r="T395" s="1106"/>
      <c r="U395" s="1106"/>
      <c r="V395" s="1106"/>
      <c r="W395" s="1106"/>
      <c r="X395" s="1106"/>
      <c r="Y395" s="1106"/>
      <c r="Z395" s="1106"/>
      <c r="AA395" s="1106"/>
      <c r="AB395" s="1106"/>
      <c r="AC395" s="1106"/>
      <c r="AD395" s="1106"/>
      <c r="AE395" s="1106"/>
      <c r="AF395" s="1106"/>
      <c r="AG395" s="1106"/>
      <c r="AH395" s="1106"/>
      <c r="AI395" s="1106"/>
      <c r="AJ395" s="1106"/>
      <c r="AK395" s="1106"/>
      <c r="AL395" s="1106"/>
      <c r="AM395" s="1106"/>
      <c r="AN395" s="1106"/>
      <c r="AO395" s="1106"/>
    </row>
    <row r="396">
      <c r="G396" s="1106"/>
      <c r="H396" s="1106"/>
      <c r="I396" s="1106"/>
      <c r="J396" s="1106"/>
      <c r="K396" s="1106"/>
      <c r="L396" s="1106"/>
      <c r="M396" s="1106"/>
      <c r="N396" s="1106"/>
      <c r="O396" s="1106"/>
      <c r="P396" s="1106"/>
      <c r="Q396" s="1106"/>
      <c r="R396" s="1106"/>
      <c r="S396" s="1106"/>
      <c r="T396" s="1106"/>
      <c r="U396" s="1106"/>
      <c r="V396" s="1106"/>
      <c r="W396" s="1106"/>
      <c r="X396" s="1106"/>
      <c r="Y396" s="1106"/>
      <c r="Z396" s="1106"/>
      <c r="AA396" s="1106"/>
      <c r="AB396" s="1106"/>
      <c r="AC396" s="1106"/>
      <c r="AD396" s="1106"/>
      <c r="AE396" s="1106"/>
      <c r="AF396" s="1106"/>
      <c r="AG396" s="1106"/>
      <c r="AH396" s="1106"/>
      <c r="AI396" s="1106"/>
      <c r="AJ396" s="1106"/>
      <c r="AK396" s="1106"/>
      <c r="AL396" s="1106"/>
      <c r="AM396" s="1106"/>
      <c r="AN396" s="1106"/>
      <c r="AO396" s="1106"/>
    </row>
    <row r="397">
      <c r="G397" s="1106"/>
      <c r="H397" s="1106"/>
      <c r="I397" s="1106"/>
      <c r="J397" s="1106"/>
      <c r="K397" s="1106"/>
      <c r="L397" s="1106"/>
      <c r="M397" s="1106"/>
      <c r="N397" s="1106"/>
      <c r="O397" s="1106"/>
      <c r="P397" s="1106"/>
      <c r="Q397" s="1106"/>
      <c r="R397" s="1106"/>
      <c r="S397" s="1106"/>
      <c r="T397" s="1106"/>
      <c r="U397" s="1106"/>
      <c r="V397" s="1106"/>
      <c r="W397" s="1106"/>
      <c r="X397" s="1106"/>
      <c r="Y397" s="1106"/>
      <c r="Z397" s="1106"/>
      <c r="AA397" s="1106"/>
      <c r="AB397" s="1106"/>
      <c r="AC397" s="1106"/>
      <c r="AD397" s="1106"/>
      <c r="AE397" s="1106"/>
      <c r="AF397" s="1106"/>
      <c r="AG397" s="1106"/>
      <c r="AH397" s="1106"/>
      <c r="AI397" s="1106"/>
      <c r="AJ397" s="1106"/>
      <c r="AK397" s="1106"/>
      <c r="AL397" s="1106"/>
      <c r="AM397" s="1106"/>
      <c r="AN397" s="1106"/>
      <c r="AO397" s="1106"/>
    </row>
    <row r="398">
      <c r="G398" s="1106"/>
      <c r="H398" s="1106"/>
      <c r="I398" s="1106"/>
      <c r="J398" s="1106"/>
      <c r="K398" s="1106"/>
      <c r="L398" s="1106"/>
      <c r="M398" s="1106"/>
      <c r="N398" s="1106"/>
      <c r="O398" s="1106"/>
      <c r="P398" s="1106"/>
      <c r="Q398" s="1106"/>
      <c r="R398" s="1106"/>
      <c r="S398" s="1106"/>
      <c r="T398" s="1106"/>
      <c r="U398" s="1106"/>
      <c r="V398" s="1106"/>
      <c r="W398" s="1106"/>
      <c r="X398" s="1106"/>
      <c r="Y398" s="1106"/>
      <c r="Z398" s="1106"/>
      <c r="AA398" s="1106"/>
      <c r="AB398" s="1106"/>
      <c r="AC398" s="1106"/>
      <c r="AD398" s="1106"/>
      <c r="AE398" s="1106"/>
      <c r="AF398" s="1106"/>
      <c r="AG398" s="1106"/>
      <c r="AH398" s="1106"/>
      <c r="AI398" s="1106"/>
      <c r="AJ398" s="1106"/>
      <c r="AK398" s="1106"/>
      <c r="AL398" s="1106"/>
      <c r="AM398" s="1106"/>
      <c r="AN398" s="1106"/>
      <c r="AO398" s="1106"/>
    </row>
    <row r="399">
      <c r="G399" s="1106"/>
      <c r="H399" s="1106"/>
      <c r="I399" s="1106"/>
      <c r="J399" s="1106"/>
      <c r="K399" s="1106"/>
      <c r="L399" s="1106"/>
      <c r="M399" s="1106"/>
      <c r="N399" s="1106"/>
      <c r="O399" s="1106"/>
      <c r="P399" s="1106"/>
      <c r="Q399" s="1106"/>
      <c r="R399" s="1106"/>
      <c r="S399" s="1106"/>
      <c r="T399" s="1106"/>
      <c r="U399" s="1106"/>
      <c r="V399" s="1106"/>
      <c r="W399" s="1106"/>
      <c r="X399" s="1106"/>
      <c r="Y399" s="1106"/>
      <c r="Z399" s="1106"/>
      <c r="AA399" s="1106"/>
      <c r="AB399" s="1106"/>
      <c r="AC399" s="1106"/>
      <c r="AD399" s="1106"/>
      <c r="AE399" s="1106"/>
      <c r="AF399" s="1106"/>
      <c r="AG399" s="1106"/>
      <c r="AH399" s="1106"/>
      <c r="AI399" s="1106"/>
      <c r="AJ399" s="1106"/>
      <c r="AK399" s="1106"/>
      <c r="AL399" s="1106"/>
      <c r="AM399" s="1106"/>
      <c r="AN399" s="1106"/>
      <c r="AO399" s="1106"/>
    </row>
    <row r="400">
      <c r="G400" s="1106"/>
      <c r="H400" s="1106"/>
      <c r="I400" s="1106"/>
      <c r="J400" s="1106"/>
      <c r="K400" s="1106"/>
      <c r="L400" s="1106"/>
      <c r="M400" s="1106"/>
      <c r="N400" s="1106"/>
      <c r="O400" s="1106"/>
      <c r="P400" s="1106"/>
      <c r="Q400" s="1106"/>
      <c r="R400" s="1106"/>
      <c r="S400" s="1106"/>
      <c r="T400" s="1106"/>
      <c r="U400" s="1106"/>
      <c r="V400" s="1106"/>
      <c r="W400" s="1106"/>
      <c r="X400" s="1106"/>
      <c r="Y400" s="1106"/>
      <c r="Z400" s="1106"/>
      <c r="AA400" s="1106"/>
      <c r="AB400" s="1106"/>
      <c r="AC400" s="1106"/>
      <c r="AD400" s="1106"/>
      <c r="AE400" s="1106"/>
      <c r="AF400" s="1106"/>
      <c r="AG400" s="1106"/>
      <c r="AH400" s="1106"/>
      <c r="AI400" s="1106"/>
      <c r="AJ400" s="1106"/>
      <c r="AK400" s="1106"/>
      <c r="AL400" s="1106"/>
      <c r="AM400" s="1106"/>
      <c r="AN400" s="1106"/>
      <c r="AO400" s="1106"/>
    </row>
    <row r="401">
      <c r="G401" s="1106"/>
      <c r="H401" s="1106"/>
      <c r="I401" s="1106"/>
      <c r="J401" s="1106"/>
      <c r="K401" s="1106"/>
      <c r="L401" s="1106"/>
      <c r="M401" s="1106"/>
      <c r="N401" s="1106"/>
      <c r="O401" s="1106"/>
      <c r="P401" s="1106"/>
      <c r="Q401" s="1106"/>
      <c r="R401" s="1106"/>
      <c r="S401" s="1106"/>
      <c r="T401" s="1106"/>
      <c r="U401" s="1106"/>
      <c r="V401" s="1106"/>
      <c r="W401" s="1106"/>
      <c r="X401" s="1106"/>
      <c r="Y401" s="1106"/>
      <c r="Z401" s="1106"/>
      <c r="AA401" s="1106"/>
      <c r="AB401" s="1106"/>
      <c r="AC401" s="1106"/>
      <c r="AD401" s="1106"/>
      <c r="AE401" s="1106"/>
      <c r="AF401" s="1106"/>
      <c r="AG401" s="1106"/>
      <c r="AH401" s="1106"/>
      <c r="AI401" s="1106"/>
      <c r="AJ401" s="1106"/>
      <c r="AK401" s="1106"/>
      <c r="AL401" s="1106"/>
      <c r="AM401" s="1106"/>
      <c r="AN401" s="1106"/>
      <c r="AO401" s="1106"/>
    </row>
    <row r="402">
      <c r="G402" s="1106"/>
      <c r="H402" s="1106"/>
      <c r="I402" s="1106"/>
      <c r="J402" s="1106"/>
      <c r="K402" s="1106"/>
      <c r="L402" s="1106"/>
      <c r="M402" s="1106"/>
      <c r="N402" s="1106"/>
      <c r="O402" s="1106"/>
      <c r="P402" s="1106"/>
      <c r="Q402" s="1106"/>
      <c r="R402" s="1106"/>
      <c r="S402" s="1106"/>
      <c r="T402" s="1106"/>
      <c r="U402" s="1106"/>
      <c r="V402" s="1106"/>
      <c r="W402" s="1106"/>
      <c r="X402" s="1106"/>
      <c r="Y402" s="1106"/>
      <c r="Z402" s="1106"/>
      <c r="AA402" s="1106"/>
      <c r="AB402" s="1106"/>
      <c r="AC402" s="1106"/>
      <c r="AD402" s="1106"/>
      <c r="AE402" s="1106"/>
      <c r="AF402" s="1106"/>
      <c r="AG402" s="1106"/>
      <c r="AH402" s="1106"/>
      <c r="AI402" s="1106"/>
      <c r="AJ402" s="1106"/>
      <c r="AK402" s="1106"/>
      <c r="AL402" s="1106"/>
      <c r="AM402" s="1106"/>
      <c r="AN402" s="1106"/>
      <c r="AO402" s="1106"/>
    </row>
    <row r="403">
      <c r="G403" s="1106"/>
      <c r="H403" s="1106"/>
      <c r="I403" s="1106"/>
      <c r="J403" s="1106"/>
      <c r="K403" s="1106"/>
      <c r="L403" s="1106"/>
      <c r="M403" s="1106"/>
      <c r="N403" s="1106"/>
      <c r="O403" s="1106"/>
      <c r="P403" s="1106"/>
      <c r="Q403" s="1106"/>
      <c r="R403" s="1106"/>
      <c r="S403" s="1106"/>
      <c r="T403" s="1106"/>
      <c r="U403" s="1106"/>
      <c r="V403" s="1106"/>
      <c r="W403" s="1106"/>
      <c r="X403" s="1106"/>
      <c r="Y403" s="1106"/>
      <c r="Z403" s="1106"/>
      <c r="AA403" s="1106"/>
      <c r="AB403" s="1106"/>
      <c r="AC403" s="1106"/>
      <c r="AD403" s="1106"/>
      <c r="AE403" s="1106"/>
      <c r="AF403" s="1106"/>
      <c r="AG403" s="1106"/>
      <c r="AH403" s="1106"/>
      <c r="AI403" s="1106"/>
      <c r="AJ403" s="1106"/>
      <c r="AK403" s="1106"/>
      <c r="AL403" s="1106"/>
      <c r="AM403" s="1106"/>
      <c r="AN403" s="1106"/>
      <c r="AO403" s="1106"/>
    </row>
    <row r="404">
      <c r="G404" s="1106"/>
      <c r="H404" s="1106"/>
      <c r="I404" s="1106"/>
      <c r="J404" s="1106"/>
      <c r="K404" s="1106"/>
      <c r="L404" s="1106"/>
      <c r="M404" s="1106"/>
      <c r="N404" s="1106"/>
      <c r="O404" s="1106"/>
      <c r="P404" s="1106"/>
      <c r="Q404" s="1106"/>
      <c r="R404" s="1106"/>
      <c r="S404" s="1106"/>
      <c r="T404" s="1106"/>
      <c r="U404" s="1106"/>
      <c r="V404" s="1106"/>
      <c r="W404" s="1106"/>
      <c r="X404" s="1106"/>
      <c r="Y404" s="1106"/>
      <c r="Z404" s="1106"/>
      <c r="AA404" s="1106"/>
      <c r="AB404" s="1106"/>
      <c r="AC404" s="1106"/>
      <c r="AD404" s="1106"/>
      <c r="AE404" s="1106"/>
      <c r="AF404" s="1106"/>
      <c r="AG404" s="1106"/>
      <c r="AH404" s="1106"/>
      <c r="AI404" s="1106"/>
      <c r="AJ404" s="1106"/>
      <c r="AK404" s="1106"/>
      <c r="AL404" s="1106"/>
      <c r="AM404" s="1106"/>
      <c r="AN404" s="1106"/>
      <c r="AO404" s="1106"/>
    </row>
    <row r="405">
      <c r="G405" s="1106"/>
      <c r="H405" s="1106"/>
      <c r="I405" s="1106"/>
      <c r="J405" s="1106"/>
      <c r="K405" s="1106"/>
      <c r="L405" s="1106"/>
      <c r="M405" s="1106"/>
      <c r="N405" s="1106"/>
      <c r="O405" s="1106"/>
      <c r="P405" s="1106"/>
      <c r="Q405" s="1106"/>
      <c r="R405" s="1106"/>
      <c r="S405" s="1106"/>
      <c r="T405" s="1106"/>
      <c r="U405" s="1106"/>
      <c r="V405" s="1106"/>
      <c r="W405" s="1106"/>
      <c r="X405" s="1106"/>
      <c r="Y405" s="1106"/>
      <c r="Z405" s="1106"/>
      <c r="AA405" s="1106"/>
      <c r="AB405" s="1106"/>
      <c r="AC405" s="1106"/>
      <c r="AD405" s="1106"/>
      <c r="AE405" s="1106"/>
      <c r="AF405" s="1106"/>
      <c r="AG405" s="1106"/>
      <c r="AH405" s="1106"/>
      <c r="AI405" s="1106"/>
      <c r="AJ405" s="1106"/>
      <c r="AK405" s="1106"/>
      <c r="AL405" s="1106"/>
      <c r="AM405" s="1106"/>
      <c r="AN405" s="1106"/>
      <c r="AO405" s="1106"/>
    </row>
    <row r="406">
      <c r="G406" s="1106"/>
      <c r="H406" s="1106"/>
      <c r="I406" s="1106"/>
      <c r="J406" s="1106"/>
      <c r="K406" s="1106"/>
      <c r="L406" s="1106"/>
      <c r="M406" s="1106"/>
      <c r="N406" s="1106"/>
      <c r="O406" s="1106"/>
      <c r="P406" s="1106"/>
      <c r="Q406" s="1106"/>
      <c r="R406" s="1106"/>
      <c r="S406" s="1106"/>
      <c r="T406" s="1106"/>
      <c r="U406" s="1106"/>
      <c r="V406" s="1106"/>
      <c r="W406" s="1106"/>
      <c r="X406" s="1106"/>
      <c r="Y406" s="1106"/>
      <c r="Z406" s="1106"/>
      <c r="AA406" s="1106"/>
      <c r="AB406" s="1106"/>
      <c r="AC406" s="1106"/>
      <c r="AD406" s="1106"/>
      <c r="AE406" s="1106"/>
      <c r="AF406" s="1106"/>
      <c r="AG406" s="1106"/>
      <c r="AH406" s="1106"/>
      <c r="AI406" s="1106"/>
      <c r="AJ406" s="1106"/>
      <c r="AK406" s="1106"/>
      <c r="AL406" s="1106"/>
      <c r="AM406" s="1106"/>
      <c r="AN406" s="1106"/>
      <c r="AO406" s="1106"/>
    </row>
    <row r="407">
      <c r="G407" s="1106"/>
      <c r="H407" s="1106"/>
      <c r="I407" s="1106"/>
      <c r="J407" s="1106"/>
      <c r="K407" s="1106"/>
      <c r="L407" s="1106"/>
      <c r="M407" s="1106"/>
      <c r="N407" s="1106"/>
      <c r="O407" s="1106"/>
      <c r="P407" s="1106"/>
      <c r="Q407" s="1106"/>
      <c r="R407" s="1106"/>
      <c r="S407" s="1106"/>
      <c r="T407" s="1106"/>
      <c r="U407" s="1106"/>
      <c r="V407" s="1106"/>
      <c r="W407" s="1106"/>
      <c r="X407" s="1106"/>
      <c r="Y407" s="1106"/>
      <c r="Z407" s="1106"/>
      <c r="AA407" s="1106"/>
      <c r="AB407" s="1106"/>
      <c r="AC407" s="1106"/>
      <c r="AD407" s="1106"/>
      <c r="AE407" s="1106"/>
      <c r="AF407" s="1106"/>
      <c r="AG407" s="1106"/>
      <c r="AH407" s="1106"/>
      <c r="AI407" s="1106"/>
      <c r="AJ407" s="1106"/>
      <c r="AK407" s="1106"/>
      <c r="AL407" s="1106"/>
      <c r="AM407" s="1106"/>
      <c r="AN407" s="1106"/>
      <c r="AO407" s="1106"/>
    </row>
    <row r="408">
      <c r="G408" s="1106"/>
      <c r="H408" s="1106"/>
      <c r="I408" s="1106"/>
      <c r="J408" s="1106"/>
      <c r="K408" s="1106"/>
      <c r="L408" s="1106"/>
      <c r="M408" s="1106"/>
      <c r="N408" s="1106"/>
      <c r="O408" s="1106"/>
      <c r="P408" s="1106"/>
      <c r="Q408" s="1106"/>
      <c r="R408" s="1106"/>
      <c r="S408" s="1106"/>
      <c r="T408" s="1106"/>
      <c r="U408" s="1106"/>
      <c r="V408" s="1106"/>
      <c r="W408" s="1106"/>
      <c r="X408" s="1106"/>
      <c r="Y408" s="1106"/>
      <c r="Z408" s="1106"/>
      <c r="AA408" s="1106"/>
      <c r="AB408" s="1106"/>
      <c r="AC408" s="1106"/>
      <c r="AD408" s="1106"/>
      <c r="AE408" s="1106"/>
      <c r="AF408" s="1106"/>
      <c r="AG408" s="1106"/>
      <c r="AH408" s="1106"/>
      <c r="AI408" s="1106"/>
      <c r="AJ408" s="1106"/>
      <c r="AK408" s="1106"/>
      <c r="AL408" s="1106"/>
      <c r="AM408" s="1106"/>
      <c r="AN408" s="1106"/>
      <c r="AO408" s="1106"/>
    </row>
    <row r="409">
      <c r="G409" s="1106"/>
      <c r="H409" s="1106"/>
      <c r="I409" s="1106"/>
      <c r="J409" s="1106"/>
      <c r="K409" s="1106"/>
      <c r="L409" s="1106"/>
      <c r="M409" s="1106"/>
      <c r="N409" s="1106"/>
      <c r="O409" s="1106"/>
      <c r="P409" s="1106"/>
      <c r="Q409" s="1106"/>
      <c r="R409" s="1106"/>
      <c r="S409" s="1106"/>
      <c r="T409" s="1106"/>
      <c r="U409" s="1106"/>
      <c r="V409" s="1106"/>
      <c r="W409" s="1106"/>
      <c r="X409" s="1106"/>
      <c r="Y409" s="1106"/>
      <c r="Z409" s="1106"/>
      <c r="AA409" s="1106"/>
      <c r="AB409" s="1106"/>
      <c r="AC409" s="1106"/>
      <c r="AD409" s="1106"/>
      <c r="AE409" s="1106"/>
      <c r="AF409" s="1106"/>
      <c r="AG409" s="1106"/>
      <c r="AH409" s="1106"/>
      <c r="AI409" s="1106"/>
      <c r="AJ409" s="1106"/>
      <c r="AK409" s="1106"/>
      <c r="AL409" s="1106"/>
      <c r="AM409" s="1106"/>
      <c r="AN409" s="1106"/>
      <c r="AO409" s="1106"/>
    </row>
    <row r="410">
      <c r="G410" s="1106"/>
      <c r="H410" s="1106"/>
      <c r="I410" s="1106"/>
      <c r="J410" s="1106"/>
      <c r="K410" s="1106"/>
      <c r="L410" s="1106"/>
      <c r="M410" s="1106"/>
      <c r="N410" s="1106"/>
      <c r="O410" s="1106"/>
      <c r="P410" s="1106"/>
      <c r="Q410" s="1106"/>
      <c r="R410" s="1106"/>
      <c r="S410" s="1106"/>
      <c r="T410" s="1106"/>
      <c r="U410" s="1106"/>
      <c r="V410" s="1106"/>
      <c r="W410" s="1106"/>
      <c r="X410" s="1106"/>
      <c r="Y410" s="1106"/>
      <c r="Z410" s="1106"/>
      <c r="AA410" s="1106"/>
      <c r="AB410" s="1106"/>
      <c r="AC410" s="1106"/>
      <c r="AD410" s="1106"/>
      <c r="AE410" s="1106"/>
      <c r="AF410" s="1106"/>
      <c r="AG410" s="1106"/>
      <c r="AH410" s="1106"/>
      <c r="AI410" s="1106"/>
      <c r="AJ410" s="1106"/>
      <c r="AK410" s="1106"/>
      <c r="AL410" s="1106"/>
      <c r="AM410" s="1106"/>
      <c r="AN410" s="1106"/>
      <c r="AO410" s="1106"/>
    </row>
    <row r="411">
      <c r="G411" s="1106"/>
      <c r="H411" s="1106"/>
      <c r="I411" s="1106"/>
      <c r="J411" s="1106"/>
      <c r="K411" s="1106"/>
      <c r="L411" s="1106"/>
      <c r="M411" s="1106"/>
      <c r="N411" s="1106"/>
      <c r="O411" s="1106"/>
      <c r="P411" s="1106"/>
      <c r="Q411" s="1106"/>
      <c r="R411" s="1106"/>
      <c r="S411" s="1106"/>
      <c r="T411" s="1106"/>
      <c r="U411" s="1106"/>
      <c r="V411" s="1106"/>
      <c r="W411" s="1106"/>
      <c r="X411" s="1106"/>
      <c r="Y411" s="1106"/>
      <c r="Z411" s="1106"/>
      <c r="AA411" s="1106"/>
      <c r="AB411" s="1106"/>
      <c r="AC411" s="1106"/>
      <c r="AD411" s="1106"/>
      <c r="AE411" s="1106"/>
      <c r="AF411" s="1106"/>
      <c r="AG411" s="1106"/>
      <c r="AH411" s="1106"/>
      <c r="AI411" s="1106"/>
      <c r="AJ411" s="1106"/>
      <c r="AK411" s="1106"/>
      <c r="AL411" s="1106"/>
      <c r="AM411" s="1106"/>
      <c r="AN411" s="1106"/>
      <c r="AO411" s="1106"/>
    </row>
    <row r="412">
      <c r="G412" s="1106"/>
      <c r="H412" s="1106"/>
      <c r="I412" s="1106"/>
      <c r="J412" s="1106"/>
      <c r="K412" s="1106"/>
      <c r="L412" s="1106"/>
      <c r="M412" s="1106"/>
      <c r="N412" s="1106"/>
      <c r="O412" s="1106"/>
      <c r="P412" s="1106"/>
      <c r="Q412" s="1106"/>
      <c r="R412" s="1106"/>
      <c r="S412" s="1106"/>
      <c r="T412" s="1106"/>
      <c r="U412" s="1106"/>
      <c r="V412" s="1106"/>
      <c r="W412" s="1106"/>
      <c r="X412" s="1106"/>
      <c r="Y412" s="1106"/>
      <c r="Z412" s="1106"/>
      <c r="AA412" s="1106"/>
      <c r="AB412" s="1106"/>
      <c r="AC412" s="1106"/>
      <c r="AD412" s="1106"/>
      <c r="AE412" s="1106"/>
      <c r="AF412" s="1106"/>
      <c r="AG412" s="1106"/>
      <c r="AH412" s="1106"/>
      <c r="AI412" s="1106"/>
      <c r="AJ412" s="1106"/>
      <c r="AK412" s="1106"/>
      <c r="AL412" s="1106"/>
      <c r="AM412" s="1106"/>
      <c r="AN412" s="1106"/>
      <c r="AO412" s="1106"/>
    </row>
    <row r="413">
      <c r="G413" s="1106"/>
      <c r="H413" s="1106"/>
      <c r="I413" s="1106"/>
      <c r="J413" s="1106"/>
      <c r="K413" s="1106"/>
      <c r="L413" s="1106"/>
      <c r="M413" s="1106"/>
      <c r="N413" s="1106"/>
      <c r="O413" s="1106"/>
      <c r="P413" s="1106"/>
      <c r="Q413" s="1106"/>
      <c r="R413" s="1106"/>
      <c r="S413" s="1106"/>
      <c r="T413" s="1106"/>
      <c r="U413" s="1106"/>
      <c r="V413" s="1106"/>
      <c r="W413" s="1106"/>
      <c r="X413" s="1106"/>
      <c r="Y413" s="1106"/>
      <c r="Z413" s="1106"/>
      <c r="AA413" s="1106"/>
      <c r="AB413" s="1106"/>
      <c r="AC413" s="1106"/>
      <c r="AD413" s="1106"/>
      <c r="AE413" s="1106"/>
      <c r="AF413" s="1106"/>
      <c r="AG413" s="1106"/>
      <c r="AH413" s="1106"/>
      <c r="AI413" s="1106"/>
      <c r="AJ413" s="1106"/>
      <c r="AK413" s="1106"/>
      <c r="AL413" s="1106"/>
      <c r="AM413" s="1106"/>
      <c r="AN413" s="1106"/>
      <c r="AO413" s="1106"/>
    </row>
    <row r="414">
      <c r="G414" s="1106"/>
      <c r="H414" s="1106"/>
      <c r="I414" s="1106"/>
      <c r="J414" s="1106"/>
      <c r="K414" s="1106"/>
      <c r="L414" s="1106"/>
      <c r="M414" s="1106"/>
      <c r="N414" s="1106"/>
      <c r="O414" s="1106"/>
      <c r="P414" s="1106"/>
      <c r="Q414" s="1106"/>
      <c r="R414" s="1106"/>
      <c r="S414" s="1106"/>
      <c r="T414" s="1106"/>
      <c r="U414" s="1106"/>
      <c r="V414" s="1106"/>
      <c r="W414" s="1106"/>
      <c r="X414" s="1106"/>
      <c r="Y414" s="1106"/>
      <c r="Z414" s="1106"/>
      <c r="AA414" s="1106"/>
      <c r="AB414" s="1106"/>
      <c r="AC414" s="1106"/>
      <c r="AD414" s="1106"/>
      <c r="AE414" s="1106"/>
      <c r="AF414" s="1106"/>
      <c r="AG414" s="1106"/>
      <c r="AH414" s="1106"/>
      <c r="AI414" s="1106"/>
      <c r="AJ414" s="1106"/>
      <c r="AK414" s="1106"/>
      <c r="AL414" s="1106"/>
      <c r="AM414" s="1106"/>
      <c r="AN414" s="1106"/>
      <c r="AO414" s="1106"/>
    </row>
    <row r="415">
      <c r="G415" s="1106"/>
      <c r="H415" s="1106"/>
      <c r="I415" s="1106"/>
      <c r="J415" s="1106"/>
      <c r="K415" s="1106"/>
      <c r="L415" s="1106"/>
      <c r="M415" s="1106"/>
      <c r="N415" s="1106"/>
      <c r="O415" s="1106"/>
      <c r="P415" s="1106"/>
      <c r="Q415" s="1106"/>
      <c r="R415" s="1106"/>
      <c r="S415" s="1106"/>
      <c r="T415" s="1106"/>
      <c r="U415" s="1106"/>
      <c r="V415" s="1106"/>
      <c r="W415" s="1106"/>
      <c r="X415" s="1106"/>
      <c r="Y415" s="1106"/>
      <c r="Z415" s="1106"/>
      <c r="AA415" s="1106"/>
      <c r="AB415" s="1106"/>
      <c r="AC415" s="1106"/>
      <c r="AD415" s="1106"/>
      <c r="AE415" s="1106"/>
      <c r="AF415" s="1106"/>
      <c r="AG415" s="1106"/>
      <c r="AH415" s="1106"/>
      <c r="AI415" s="1106"/>
      <c r="AJ415" s="1106"/>
      <c r="AK415" s="1106"/>
      <c r="AL415" s="1106"/>
      <c r="AM415" s="1106"/>
      <c r="AN415" s="1106"/>
      <c r="AO415" s="1106"/>
    </row>
    <row r="416">
      <c r="G416" s="1106"/>
      <c r="H416" s="1106"/>
      <c r="I416" s="1106"/>
      <c r="J416" s="1106"/>
      <c r="K416" s="1106"/>
      <c r="L416" s="1106"/>
      <c r="M416" s="1106"/>
      <c r="N416" s="1106"/>
      <c r="O416" s="1106"/>
      <c r="P416" s="1106"/>
      <c r="Q416" s="1106"/>
      <c r="R416" s="1106"/>
      <c r="S416" s="1106"/>
      <c r="T416" s="1106"/>
      <c r="U416" s="1106"/>
      <c r="V416" s="1106"/>
      <c r="W416" s="1106"/>
      <c r="X416" s="1106"/>
      <c r="Y416" s="1106"/>
      <c r="Z416" s="1106"/>
      <c r="AA416" s="1106"/>
      <c r="AB416" s="1106"/>
      <c r="AC416" s="1106"/>
      <c r="AD416" s="1106"/>
      <c r="AE416" s="1106"/>
      <c r="AF416" s="1106"/>
      <c r="AG416" s="1106"/>
      <c r="AH416" s="1106"/>
      <c r="AI416" s="1106"/>
      <c r="AJ416" s="1106"/>
      <c r="AK416" s="1106"/>
      <c r="AL416" s="1106"/>
      <c r="AM416" s="1106"/>
      <c r="AN416" s="1106"/>
      <c r="AO416" s="1106"/>
    </row>
    <row r="417">
      <c r="G417" s="1106"/>
      <c r="H417" s="1106"/>
      <c r="I417" s="1106"/>
      <c r="J417" s="1106"/>
      <c r="K417" s="1106"/>
      <c r="L417" s="1106"/>
      <c r="M417" s="1106"/>
      <c r="N417" s="1106"/>
      <c r="O417" s="1106"/>
      <c r="P417" s="1106"/>
      <c r="Q417" s="1106"/>
      <c r="R417" s="1106"/>
      <c r="S417" s="1106"/>
      <c r="T417" s="1106"/>
      <c r="U417" s="1106"/>
      <c r="V417" s="1106"/>
      <c r="W417" s="1106"/>
      <c r="X417" s="1106"/>
      <c r="Y417" s="1106"/>
      <c r="Z417" s="1106"/>
      <c r="AA417" s="1106"/>
      <c r="AB417" s="1106"/>
      <c r="AC417" s="1106"/>
      <c r="AD417" s="1106"/>
      <c r="AE417" s="1106"/>
      <c r="AF417" s="1106"/>
      <c r="AG417" s="1106"/>
      <c r="AH417" s="1106"/>
      <c r="AI417" s="1106"/>
      <c r="AJ417" s="1106"/>
      <c r="AK417" s="1106"/>
      <c r="AL417" s="1106"/>
      <c r="AM417" s="1106"/>
      <c r="AN417" s="1106"/>
      <c r="AO417" s="1106"/>
    </row>
    <row r="418">
      <c r="G418" s="1106"/>
      <c r="H418" s="1106"/>
      <c r="I418" s="1106"/>
      <c r="J418" s="1106"/>
      <c r="K418" s="1106"/>
      <c r="L418" s="1106"/>
      <c r="M418" s="1106"/>
      <c r="N418" s="1106"/>
      <c r="O418" s="1106"/>
      <c r="P418" s="1106"/>
      <c r="Q418" s="1106"/>
      <c r="R418" s="1106"/>
      <c r="S418" s="1106"/>
      <c r="T418" s="1106"/>
      <c r="U418" s="1106"/>
      <c r="V418" s="1106"/>
      <c r="W418" s="1106"/>
      <c r="X418" s="1106"/>
      <c r="Y418" s="1106"/>
      <c r="Z418" s="1106"/>
      <c r="AA418" s="1106"/>
      <c r="AB418" s="1106"/>
      <c r="AC418" s="1106"/>
      <c r="AD418" s="1106"/>
      <c r="AE418" s="1106"/>
      <c r="AF418" s="1106"/>
      <c r="AG418" s="1106"/>
      <c r="AH418" s="1106"/>
      <c r="AI418" s="1106"/>
      <c r="AJ418" s="1106"/>
      <c r="AK418" s="1106"/>
      <c r="AL418" s="1106"/>
      <c r="AM418" s="1106"/>
      <c r="AN418" s="1106"/>
      <c r="AO418" s="1106"/>
    </row>
    <row r="419">
      <c r="G419" s="1106"/>
      <c r="H419" s="1106"/>
      <c r="I419" s="1106"/>
      <c r="J419" s="1106"/>
      <c r="K419" s="1106"/>
      <c r="L419" s="1106"/>
      <c r="M419" s="1106"/>
      <c r="N419" s="1106"/>
      <c r="O419" s="1106"/>
      <c r="P419" s="1106"/>
      <c r="Q419" s="1106"/>
      <c r="R419" s="1106"/>
      <c r="S419" s="1106"/>
      <c r="T419" s="1106"/>
      <c r="U419" s="1106"/>
      <c r="V419" s="1106"/>
      <c r="W419" s="1106"/>
      <c r="X419" s="1106"/>
      <c r="Y419" s="1106"/>
      <c r="Z419" s="1106"/>
      <c r="AA419" s="1106"/>
      <c r="AB419" s="1106"/>
      <c r="AC419" s="1106"/>
      <c r="AD419" s="1106"/>
      <c r="AE419" s="1106"/>
      <c r="AF419" s="1106"/>
      <c r="AG419" s="1106"/>
      <c r="AH419" s="1106"/>
      <c r="AI419" s="1106"/>
      <c r="AJ419" s="1106"/>
      <c r="AK419" s="1106"/>
      <c r="AL419" s="1106"/>
      <c r="AM419" s="1106"/>
      <c r="AN419" s="1106"/>
      <c r="AO419" s="1106"/>
    </row>
    <row r="420">
      <c r="G420" s="1106"/>
      <c r="H420" s="1106"/>
      <c r="I420" s="1106"/>
      <c r="J420" s="1106"/>
      <c r="K420" s="1106"/>
      <c r="L420" s="1106"/>
      <c r="M420" s="1106"/>
      <c r="N420" s="1106"/>
      <c r="O420" s="1106"/>
      <c r="P420" s="1106"/>
      <c r="Q420" s="1106"/>
      <c r="R420" s="1106"/>
      <c r="S420" s="1106"/>
      <c r="T420" s="1106"/>
      <c r="U420" s="1106"/>
      <c r="V420" s="1106"/>
      <c r="W420" s="1106"/>
      <c r="X420" s="1106"/>
      <c r="Y420" s="1106"/>
      <c r="Z420" s="1106"/>
      <c r="AA420" s="1106"/>
      <c r="AB420" s="1106"/>
      <c r="AC420" s="1106"/>
      <c r="AD420" s="1106"/>
      <c r="AE420" s="1106"/>
      <c r="AF420" s="1106"/>
      <c r="AG420" s="1106"/>
      <c r="AH420" s="1106"/>
      <c r="AI420" s="1106"/>
      <c r="AJ420" s="1106"/>
      <c r="AK420" s="1106"/>
      <c r="AL420" s="1106"/>
      <c r="AM420" s="1106"/>
      <c r="AN420" s="1106"/>
      <c r="AO420" s="1106"/>
    </row>
    <row r="421">
      <c r="G421" s="1106"/>
      <c r="H421" s="1106"/>
      <c r="I421" s="1106"/>
      <c r="J421" s="1106"/>
      <c r="K421" s="1106"/>
      <c r="L421" s="1106"/>
      <c r="M421" s="1106"/>
      <c r="N421" s="1106"/>
      <c r="O421" s="1106"/>
      <c r="P421" s="1106"/>
      <c r="Q421" s="1106"/>
      <c r="R421" s="1106"/>
      <c r="S421" s="1106"/>
      <c r="T421" s="1106"/>
      <c r="U421" s="1106"/>
      <c r="V421" s="1106"/>
      <c r="W421" s="1106"/>
      <c r="X421" s="1106"/>
      <c r="Y421" s="1106"/>
      <c r="Z421" s="1106"/>
      <c r="AA421" s="1106"/>
      <c r="AB421" s="1106"/>
      <c r="AC421" s="1106"/>
      <c r="AD421" s="1106"/>
      <c r="AE421" s="1106"/>
      <c r="AF421" s="1106"/>
      <c r="AG421" s="1106"/>
      <c r="AH421" s="1106"/>
      <c r="AI421" s="1106"/>
      <c r="AJ421" s="1106"/>
      <c r="AK421" s="1106"/>
      <c r="AL421" s="1106"/>
      <c r="AM421" s="1106"/>
      <c r="AN421" s="1106"/>
      <c r="AO421" s="1106"/>
    </row>
    <row r="422">
      <c r="G422" s="1106"/>
      <c r="H422" s="1106"/>
      <c r="I422" s="1106"/>
      <c r="J422" s="1106"/>
      <c r="K422" s="1106"/>
      <c r="L422" s="1106"/>
      <c r="M422" s="1106"/>
      <c r="N422" s="1106"/>
      <c r="O422" s="1106"/>
      <c r="P422" s="1106"/>
      <c r="Q422" s="1106"/>
      <c r="R422" s="1106"/>
      <c r="S422" s="1106"/>
      <c r="T422" s="1106"/>
      <c r="U422" s="1106"/>
      <c r="V422" s="1106"/>
      <c r="W422" s="1106"/>
      <c r="X422" s="1106"/>
      <c r="Y422" s="1106"/>
      <c r="Z422" s="1106"/>
      <c r="AA422" s="1106"/>
      <c r="AB422" s="1106"/>
      <c r="AC422" s="1106"/>
      <c r="AD422" s="1106"/>
      <c r="AE422" s="1106"/>
      <c r="AF422" s="1106"/>
      <c r="AG422" s="1106"/>
      <c r="AH422" s="1106"/>
      <c r="AI422" s="1106"/>
      <c r="AJ422" s="1106"/>
      <c r="AK422" s="1106"/>
      <c r="AL422" s="1106"/>
      <c r="AM422" s="1106"/>
      <c r="AN422" s="1106"/>
      <c r="AO422" s="1106"/>
    </row>
    <row r="423">
      <c r="G423" s="1106"/>
      <c r="H423" s="1106"/>
      <c r="I423" s="1106"/>
      <c r="J423" s="1106"/>
      <c r="K423" s="1106"/>
      <c r="L423" s="1106"/>
      <c r="M423" s="1106"/>
      <c r="N423" s="1106"/>
      <c r="O423" s="1106"/>
      <c r="P423" s="1106"/>
      <c r="Q423" s="1106"/>
      <c r="R423" s="1106"/>
      <c r="S423" s="1106"/>
      <c r="T423" s="1106"/>
      <c r="U423" s="1106"/>
      <c r="V423" s="1106"/>
      <c r="W423" s="1106"/>
      <c r="X423" s="1106"/>
      <c r="Y423" s="1106"/>
      <c r="Z423" s="1106"/>
      <c r="AA423" s="1106"/>
      <c r="AB423" s="1106"/>
      <c r="AC423" s="1106"/>
      <c r="AD423" s="1106"/>
      <c r="AE423" s="1106"/>
      <c r="AF423" s="1106"/>
      <c r="AG423" s="1106"/>
      <c r="AH423" s="1106"/>
      <c r="AI423" s="1106"/>
      <c r="AJ423" s="1106"/>
      <c r="AK423" s="1106"/>
      <c r="AL423" s="1106"/>
      <c r="AM423" s="1106"/>
      <c r="AN423" s="1106"/>
      <c r="AO423" s="1106"/>
    </row>
    <row r="424">
      <c r="G424" s="1106"/>
      <c r="H424" s="1106"/>
      <c r="I424" s="1106"/>
      <c r="J424" s="1106"/>
      <c r="K424" s="1106"/>
      <c r="L424" s="1106"/>
      <c r="M424" s="1106"/>
      <c r="N424" s="1106"/>
      <c r="O424" s="1106"/>
      <c r="P424" s="1106"/>
      <c r="Q424" s="1106"/>
      <c r="R424" s="1106"/>
      <c r="S424" s="1106"/>
      <c r="T424" s="1106"/>
      <c r="U424" s="1106"/>
      <c r="V424" s="1106"/>
      <c r="W424" s="1106"/>
      <c r="X424" s="1106"/>
      <c r="Y424" s="1106"/>
      <c r="Z424" s="1106"/>
      <c r="AA424" s="1106"/>
      <c r="AB424" s="1106"/>
      <c r="AC424" s="1106"/>
      <c r="AD424" s="1106"/>
      <c r="AE424" s="1106"/>
      <c r="AF424" s="1106"/>
      <c r="AG424" s="1106"/>
      <c r="AH424" s="1106"/>
      <c r="AI424" s="1106"/>
      <c r="AJ424" s="1106"/>
      <c r="AK424" s="1106"/>
      <c r="AL424" s="1106"/>
      <c r="AM424" s="1106"/>
      <c r="AN424" s="1106"/>
      <c r="AO424" s="1106"/>
    </row>
    <row r="425">
      <c r="G425" s="1106"/>
      <c r="H425" s="1106"/>
      <c r="I425" s="1106"/>
      <c r="J425" s="1106"/>
      <c r="K425" s="1106"/>
      <c r="L425" s="1106"/>
      <c r="M425" s="1106"/>
      <c r="N425" s="1106"/>
      <c r="O425" s="1106"/>
      <c r="P425" s="1106"/>
      <c r="Q425" s="1106"/>
      <c r="R425" s="1106"/>
      <c r="S425" s="1106"/>
      <c r="T425" s="1106"/>
      <c r="U425" s="1106"/>
      <c r="V425" s="1106"/>
      <c r="W425" s="1106"/>
      <c r="X425" s="1106"/>
      <c r="Y425" s="1106"/>
      <c r="Z425" s="1106"/>
      <c r="AA425" s="1106"/>
      <c r="AB425" s="1106"/>
      <c r="AC425" s="1106"/>
      <c r="AD425" s="1106"/>
      <c r="AE425" s="1106"/>
      <c r="AF425" s="1106"/>
      <c r="AG425" s="1106"/>
      <c r="AH425" s="1106"/>
      <c r="AI425" s="1106"/>
      <c r="AJ425" s="1106"/>
      <c r="AK425" s="1106"/>
      <c r="AL425" s="1106"/>
      <c r="AM425" s="1106"/>
      <c r="AN425" s="1106"/>
      <c r="AO425" s="1106"/>
    </row>
    <row r="426">
      <c r="G426" s="1106"/>
      <c r="H426" s="1106"/>
      <c r="I426" s="1106"/>
      <c r="J426" s="1106"/>
      <c r="K426" s="1106"/>
      <c r="L426" s="1106"/>
      <c r="M426" s="1106"/>
      <c r="N426" s="1106"/>
      <c r="O426" s="1106"/>
      <c r="P426" s="1106"/>
      <c r="Q426" s="1106"/>
      <c r="R426" s="1106"/>
      <c r="S426" s="1106"/>
      <c r="T426" s="1106"/>
      <c r="U426" s="1106"/>
      <c r="V426" s="1106"/>
      <c r="W426" s="1106"/>
      <c r="X426" s="1106"/>
      <c r="Y426" s="1106"/>
      <c r="Z426" s="1106"/>
      <c r="AA426" s="1106"/>
      <c r="AB426" s="1106"/>
      <c r="AC426" s="1106"/>
      <c r="AD426" s="1106"/>
      <c r="AE426" s="1106"/>
      <c r="AF426" s="1106"/>
      <c r="AG426" s="1106"/>
      <c r="AH426" s="1106"/>
      <c r="AI426" s="1106"/>
      <c r="AJ426" s="1106"/>
      <c r="AK426" s="1106"/>
      <c r="AL426" s="1106"/>
      <c r="AM426" s="1106"/>
      <c r="AN426" s="1106"/>
      <c r="AO426" s="1106"/>
    </row>
    <row r="427">
      <c r="G427" s="1106"/>
      <c r="H427" s="1106"/>
      <c r="I427" s="1106"/>
      <c r="J427" s="1106"/>
      <c r="K427" s="1106"/>
      <c r="L427" s="1106"/>
      <c r="M427" s="1106"/>
      <c r="N427" s="1106"/>
      <c r="O427" s="1106"/>
      <c r="P427" s="1106"/>
      <c r="Q427" s="1106"/>
      <c r="R427" s="1106"/>
      <c r="S427" s="1106"/>
      <c r="T427" s="1106"/>
      <c r="U427" s="1106"/>
      <c r="V427" s="1106"/>
      <c r="W427" s="1106"/>
      <c r="X427" s="1106"/>
      <c r="Y427" s="1106"/>
      <c r="Z427" s="1106"/>
      <c r="AA427" s="1106"/>
      <c r="AB427" s="1106"/>
      <c r="AC427" s="1106"/>
      <c r="AD427" s="1106"/>
      <c r="AE427" s="1106"/>
      <c r="AF427" s="1106"/>
      <c r="AG427" s="1106"/>
      <c r="AH427" s="1106"/>
      <c r="AI427" s="1106"/>
      <c r="AJ427" s="1106"/>
      <c r="AK427" s="1106"/>
      <c r="AL427" s="1106"/>
      <c r="AM427" s="1106"/>
      <c r="AN427" s="1106"/>
      <c r="AO427" s="1106"/>
    </row>
    <row r="428">
      <c r="G428" s="1106"/>
      <c r="H428" s="1106"/>
      <c r="I428" s="1106"/>
      <c r="J428" s="1106"/>
      <c r="K428" s="1106"/>
      <c r="L428" s="1106"/>
      <c r="M428" s="1106"/>
      <c r="N428" s="1106"/>
      <c r="O428" s="1106"/>
      <c r="P428" s="1106"/>
      <c r="Q428" s="1106"/>
      <c r="R428" s="1106"/>
      <c r="S428" s="1106"/>
      <c r="T428" s="1106"/>
      <c r="U428" s="1106"/>
      <c r="V428" s="1106"/>
      <c r="W428" s="1106"/>
      <c r="X428" s="1106"/>
      <c r="Y428" s="1106"/>
      <c r="Z428" s="1106"/>
      <c r="AA428" s="1106"/>
      <c r="AB428" s="1106"/>
      <c r="AC428" s="1106"/>
      <c r="AD428" s="1106"/>
      <c r="AE428" s="1106"/>
      <c r="AF428" s="1106"/>
      <c r="AG428" s="1106"/>
      <c r="AH428" s="1106"/>
      <c r="AI428" s="1106"/>
      <c r="AJ428" s="1106"/>
      <c r="AK428" s="1106"/>
      <c r="AL428" s="1106"/>
      <c r="AM428" s="1106"/>
      <c r="AN428" s="1106"/>
      <c r="AO428" s="1106"/>
    </row>
    <row r="429">
      <c r="G429" s="1106"/>
      <c r="H429" s="1106"/>
      <c r="I429" s="1106"/>
      <c r="J429" s="1106"/>
      <c r="K429" s="1106"/>
      <c r="L429" s="1106"/>
      <c r="M429" s="1106"/>
      <c r="N429" s="1106"/>
      <c r="O429" s="1106"/>
      <c r="P429" s="1106"/>
      <c r="Q429" s="1106"/>
      <c r="R429" s="1106"/>
      <c r="S429" s="1106"/>
      <c r="T429" s="1106"/>
      <c r="U429" s="1106"/>
      <c r="V429" s="1106"/>
      <c r="W429" s="1106"/>
      <c r="X429" s="1106"/>
      <c r="Y429" s="1106"/>
      <c r="Z429" s="1106"/>
      <c r="AA429" s="1106"/>
      <c r="AB429" s="1106"/>
      <c r="AC429" s="1106"/>
      <c r="AD429" s="1106"/>
      <c r="AE429" s="1106"/>
      <c r="AF429" s="1106"/>
      <c r="AG429" s="1106"/>
      <c r="AH429" s="1106"/>
      <c r="AI429" s="1106"/>
      <c r="AJ429" s="1106"/>
      <c r="AK429" s="1106"/>
      <c r="AL429" s="1106"/>
      <c r="AM429" s="1106"/>
      <c r="AN429" s="1106"/>
      <c r="AO429" s="1106"/>
    </row>
    <row r="430">
      <c r="G430" s="1106"/>
      <c r="H430" s="1106"/>
      <c r="I430" s="1106"/>
      <c r="J430" s="1106"/>
      <c r="K430" s="1106"/>
      <c r="L430" s="1106"/>
      <c r="M430" s="1106"/>
      <c r="N430" s="1106"/>
      <c r="O430" s="1106"/>
      <c r="P430" s="1106"/>
      <c r="Q430" s="1106"/>
      <c r="R430" s="1106"/>
      <c r="S430" s="1106"/>
      <c r="T430" s="1106"/>
      <c r="U430" s="1106"/>
      <c r="V430" s="1106"/>
      <c r="W430" s="1106"/>
      <c r="X430" s="1106"/>
      <c r="Y430" s="1106"/>
      <c r="Z430" s="1106"/>
      <c r="AA430" s="1106"/>
      <c r="AB430" s="1106"/>
      <c r="AC430" s="1106"/>
      <c r="AD430" s="1106"/>
      <c r="AE430" s="1106"/>
      <c r="AF430" s="1106"/>
      <c r="AG430" s="1106"/>
      <c r="AH430" s="1106"/>
      <c r="AI430" s="1106"/>
      <c r="AJ430" s="1106"/>
      <c r="AK430" s="1106"/>
      <c r="AL430" s="1106"/>
      <c r="AM430" s="1106"/>
      <c r="AN430" s="1106"/>
      <c r="AO430" s="1106"/>
    </row>
    <row r="431">
      <c r="G431" s="1106"/>
      <c r="H431" s="1106"/>
      <c r="I431" s="1106"/>
      <c r="J431" s="1106"/>
      <c r="K431" s="1106"/>
      <c r="L431" s="1106"/>
      <c r="M431" s="1106"/>
      <c r="N431" s="1106"/>
      <c r="O431" s="1106"/>
      <c r="P431" s="1106"/>
      <c r="Q431" s="1106"/>
      <c r="R431" s="1106"/>
      <c r="S431" s="1106"/>
      <c r="T431" s="1106"/>
      <c r="U431" s="1106"/>
      <c r="V431" s="1106"/>
      <c r="W431" s="1106"/>
      <c r="X431" s="1106"/>
      <c r="Y431" s="1106"/>
      <c r="Z431" s="1106"/>
      <c r="AA431" s="1106"/>
      <c r="AB431" s="1106"/>
      <c r="AC431" s="1106"/>
      <c r="AD431" s="1106"/>
      <c r="AE431" s="1106"/>
      <c r="AF431" s="1106"/>
      <c r="AG431" s="1106"/>
      <c r="AH431" s="1106"/>
      <c r="AI431" s="1106"/>
      <c r="AJ431" s="1106"/>
      <c r="AK431" s="1106"/>
      <c r="AL431" s="1106"/>
      <c r="AM431" s="1106"/>
      <c r="AN431" s="1106"/>
      <c r="AO431" s="1106"/>
    </row>
    <row r="432">
      <c r="G432" s="1106"/>
      <c r="H432" s="1106"/>
      <c r="I432" s="1106"/>
      <c r="J432" s="1106"/>
      <c r="K432" s="1106"/>
      <c r="L432" s="1106"/>
      <c r="M432" s="1106"/>
      <c r="N432" s="1106"/>
      <c r="O432" s="1106"/>
      <c r="P432" s="1106"/>
      <c r="Q432" s="1106"/>
      <c r="R432" s="1106"/>
      <c r="S432" s="1106"/>
      <c r="T432" s="1106"/>
      <c r="U432" s="1106"/>
      <c r="V432" s="1106"/>
      <c r="W432" s="1106"/>
      <c r="X432" s="1106"/>
      <c r="Y432" s="1106"/>
      <c r="Z432" s="1106"/>
      <c r="AA432" s="1106"/>
      <c r="AB432" s="1106"/>
      <c r="AC432" s="1106"/>
      <c r="AD432" s="1106"/>
      <c r="AE432" s="1106"/>
      <c r="AF432" s="1106"/>
      <c r="AG432" s="1106"/>
      <c r="AH432" s="1106"/>
      <c r="AI432" s="1106"/>
      <c r="AJ432" s="1106"/>
      <c r="AK432" s="1106"/>
      <c r="AL432" s="1106"/>
      <c r="AM432" s="1106"/>
      <c r="AN432" s="1106"/>
      <c r="AO432" s="1106"/>
    </row>
    <row r="433">
      <c r="G433" s="1106"/>
      <c r="H433" s="1106"/>
      <c r="I433" s="1106"/>
      <c r="J433" s="1106"/>
      <c r="K433" s="1106"/>
      <c r="L433" s="1106"/>
      <c r="M433" s="1106"/>
      <c r="N433" s="1106"/>
      <c r="O433" s="1106"/>
      <c r="P433" s="1106"/>
      <c r="Q433" s="1106"/>
      <c r="R433" s="1106"/>
      <c r="S433" s="1106"/>
      <c r="T433" s="1106"/>
      <c r="U433" s="1106"/>
      <c r="V433" s="1106"/>
      <c r="W433" s="1106"/>
      <c r="X433" s="1106"/>
      <c r="Y433" s="1106"/>
      <c r="Z433" s="1106"/>
      <c r="AA433" s="1106"/>
      <c r="AB433" s="1106"/>
      <c r="AC433" s="1106"/>
      <c r="AD433" s="1106"/>
      <c r="AE433" s="1106"/>
      <c r="AF433" s="1106"/>
      <c r="AG433" s="1106"/>
      <c r="AH433" s="1106"/>
      <c r="AI433" s="1106"/>
      <c r="AJ433" s="1106"/>
      <c r="AK433" s="1106"/>
      <c r="AL433" s="1106"/>
      <c r="AM433" s="1106"/>
      <c r="AN433" s="1106"/>
      <c r="AO433" s="1106"/>
    </row>
    <row r="434">
      <c r="G434" s="1106"/>
      <c r="H434" s="1106"/>
      <c r="I434" s="1106"/>
      <c r="J434" s="1106"/>
      <c r="K434" s="1106"/>
      <c r="L434" s="1106"/>
      <c r="M434" s="1106"/>
      <c r="N434" s="1106"/>
      <c r="O434" s="1106"/>
      <c r="P434" s="1106"/>
      <c r="Q434" s="1106"/>
      <c r="R434" s="1106"/>
      <c r="S434" s="1106"/>
      <c r="T434" s="1106"/>
      <c r="U434" s="1106"/>
      <c r="V434" s="1106"/>
      <c r="W434" s="1106"/>
      <c r="X434" s="1106"/>
      <c r="Y434" s="1106"/>
      <c r="Z434" s="1106"/>
      <c r="AA434" s="1106"/>
      <c r="AB434" s="1106"/>
      <c r="AC434" s="1106"/>
      <c r="AD434" s="1106"/>
      <c r="AE434" s="1106"/>
      <c r="AF434" s="1106"/>
      <c r="AG434" s="1106"/>
      <c r="AH434" s="1106"/>
      <c r="AI434" s="1106"/>
      <c r="AJ434" s="1106"/>
      <c r="AK434" s="1106"/>
      <c r="AL434" s="1106"/>
      <c r="AM434" s="1106"/>
      <c r="AN434" s="1106"/>
      <c r="AO434" s="1106"/>
    </row>
    <row r="435">
      <c r="G435" s="1106"/>
      <c r="H435" s="1106"/>
      <c r="I435" s="1106"/>
      <c r="J435" s="1106"/>
      <c r="K435" s="1106"/>
      <c r="L435" s="1106"/>
      <c r="M435" s="1106"/>
      <c r="N435" s="1106"/>
      <c r="O435" s="1106"/>
      <c r="P435" s="1106"/>
      <c r="Q435" s="1106"/>
      <c r="R435" s="1106"/>
      <c r="S435" s="1106"/>
      <c r="T435" s="1106"/>
      <c r="U435" s="1106"/>
      <c r="V435" s="1106"/>
      <c r="W435" s="1106"/>
      <c r="X435" s="1106"/>
      <c r="Y435" s="1106"/>
      <c r="Z435" s="1106"/>
      <c r="AA435" s="1106"/>
      <c r="AB435" s="1106"/>
      <c r="AC435" s="1106"/>
      <c r="AD435" s="1106"/>
      <c r="AE435" s="1106"/>
      <c r="AF435" s="1106"/>
      <c r="AG435" s="1106"/>
      <c r="AH435" s="1106"/>
      <c r="AI435" s="1106"/>
      <c r="AJ435" s="1106"/>
      <c r="AK435" s="1106"/>
      <c r="AL435" s="1106"/>
      <c r="AM435" s="1106"/>
      <c r="AN435" s="1106"/>
      <c r="AO435" s="1106"/>
    </row>
    <row r="436">
      <c r="G436" s="1106"/>
      <c r="H436" s="1106"/>
      <c r="I436" s="1106"/>
      <c r="J436" s="1106"/>
      <c r="K436" s="1106"/>
      <c r="L436" s="1106"/>
      <c r="M436" s="1106"/>
      <c r="N436" s="1106"/>
      <c r="O436" s="1106"/>
      <c r="P436" s="1106"/>
      <c r="Q436" s="1106"/>
      <c r="R436" s="1106"/>
      <c r="S436" s="1106"/>
      <c r="T436" s="1106"/>
      <c r="U436" s="1106"/>
      <c r="V436" s="1106"/>
      <c r="W436" s="1106"/>
      <c r="X436" s="1106"/>
      <c r="Y436" s="1106"/>
      <c r="Z436" s="1106"/>
      <c r="AA436" s="1106"/>
      <c r="AB436" s="1106"/>
      <c r="AC436" s="1106"/>
      <c r="AD436" s="1106"/>
      <c r="AE436" s="1106"/>
      <c r="AF436" s="1106"/>
      <c r="AG436" s="1106"/>
      <c r="AH436" s="1106"/>
      <c r="AI436" s="1106"/>
      <c r="AJ436" s="1106"/>
      <c r="AK436" s="1106"/>
      <c r="AL436" s="1106"/>
      <c r="AM436" s="1106"/>
      <c r="AN436" s="1106"/>
      <c r="AO436" s="1106"/>
    </row>
    <row r="437">
      <c r="G437" s="1106"/>
      <c r="H437" s="1106"/>
      <c r="I437" s="1106"/>
      <c r="J437" s="1106"/>
      <c r="K437" s="1106"/>
      <c r="L437" s="1106"/>
      <c r="M437" s="1106"/>
      <c r="N437" s="1106"/>
      <c r="O437" s="1106"/>
      <c r="P437" s="1106"/>
      <c r="Q437" s="1106"/>
      <c r="R437" s="1106"/>
      <c r="S437" s="1106"/>
      <c r="T437" s="1106"/>
      <c r="U437" s="1106"/>
      <c r="V437" s="1106"/>
      <c r="W437" s="1106"/>
      <c r="X437" s="1106"/>
      <c r="Y437" s="1106"/>
      <c r="Z437" s="1106"/>
      <c r="AA437" s="1106"/>
      <c r="AB437" s="1106"/>
      <c r="AC437" s="1106"/>
      <c r="AD437" s="1106"/>
      <c r="AE437" s="1106"/>
      <c r="AF437" s="1106"/>
      <c r="AG437" s="1106"/>
      <c r="AH437" s="1106"/>
      <c r="AI437" s="1106"/>
      <c r="AJ437" s="1106"/>
      <c r="AK437" s="1106"/>
      <c r="AL437" s="1106"/>
      <c r="AM437" s="1106"/>
      <c r="AN437" s="1106"/>
      <c r="AO437" s="1106"/>
    </row>
    <row r="438">
      <c r="G438" s="1106"/>
      <c r="H438" s="1106"/>
      <c r="I438" s="1106"/>
      <c r="J438" s="1106"/>
      <c r="K438" s="1106"/>
      <c r="L438" s="1106"/>
      <c r="M438" s="1106"/>
      <c r="N438" s="1106"/>
      <c r="O438" s="1106"/>
      <c r="P438" s="1106"/>
      <c r="Q438" s="1106"/>
      <c r="R438" s="1106"/>
      <c r="S438" s="1106"/>
      <c r="T438" s="1106"/>
      <c r="U438" s="1106"/>
      <c r="V438" s="1106"/>
      <c r="W438" s="1106"/>
      <c r="X438" s="1106"/>
      <c r="Y438" s="1106"/>
      <c r="Z438" s="1106"/>
      <c r="AA438" s="1106"/>
      <c r="AB438" s="1106"/>
      <c r="AC438" s="1106"/>
      <c r="AD438" s="1106"/>
      <c r="AE438" s="1106"/>
      <c r="AF438" s="1106"/>
      <c r="AG438" s="1106"/>
      <c r="AH438" s="1106"/>
      <c r="AI438" s="1106"/>
      <c r="AJ438" s="1106"/>
      <c r="AK438" s="1106"/>
      <c r="AL438" s="1106"/>
      <c r="AM438" s="1106"/>
      <c r="AN438" s="1106"/>
      <c r="AO438" s="1106"/>
    </row>
    <row r="439">
      <c r="G439" s="1106"/>
      <c r="H439" s="1106"/>
      <c r="I439" s="1106"/>
      <c r="J439" s="1106"/>
      <c r="K439" s="1106"/>
      <c r="L439" s="1106"/>
      <c r="M439" s="1106"/>
      <c r="N439" s="1106"/>
      <c r="O439" s="1106"/>
      <c r="P439" s="1106"/>
      <c r="Q439" s="1106"/>
      <c r="R439" s="1106"/>
      <c r="S439" s="1106"/>
      <c r="T439" s="1106"/>
      <c r="U439" s="1106"/>
      <c r="V439" s="1106"/>
      <c r="W439" s="1106"/>
      <c r="X439" s="1106"/>
      <c r="Y439" s="1106"/>
      <c r="Z439" s="1106"/>
      <c r="AA439" s="1106"/>
      <c r="AB439" s="1106"/>
      <c r="AC439" s="1106"/>
      <c r="AD439" s="1106"/>
      <c r="AE439" s="1106"/>
      <c r="AF439" s="1106"/>
      <c r="AG439" s="1106"/>
      <c r="AH439" s="1106"/>
      <c r="AI439" s="1106"/>
      <c r="AJ439" s="1106"/>
      <c r="AK439" s="1106"/>
      <c r="AL439" s="1106"/>
      <c r="AM439" s="1106"/>
      <c r="AN439" s="1106"/>
      <c r="AO439" s="1106"/>
    </row>
    <row r="440">
      <c r="G440" s="1106"/>
      <c r="H440" s="1106"/>
      <c r="I440" s="1106"/>
      <c r="J440" s="1106"/>
      <c r="K440" s="1106"/>
      <c r="L440" s="1106"/>
      <c r="M440" s="1106"/>
      <c r="N440" s="1106"/>
      <c r="O440" s="1106"/>
      <c r="P440" s="1106"/>
      <c r="Q440" s="1106"/>
      <c r="R440" s="1106"/>
      <c r="S440" s="1106"/>
      <c r="T440" s="1106"/>
      <c r="U440" s="1106"/>
      <c r="V440" s="1106"/>
      <c r="W440" s="1106"/>
      <c r="X440" s="1106"/>
      <c r="Y440" s="1106"/>
      <c r="Z440" s="1106"/>
      <c r="AA440" s="1106"/>
      <c r="AB440" s="1106"/>
      <c r="AC440" s="1106"/>
      <c r="AD440" s="1106"/>
      <c r="AE440" s="1106"/>
      <c r="AF440" s="1106"/>
      <c r="AG440" s="1106"/>
      <c r="AH440" s="1106"/>
      <c r="AI440" s="1106"/>
      <c r="AJ440" s="1106"/>
      <c r="AK440" s="1106"/>
      <c r="AL440" s="1106"/>
      <c r="AM440" s="1106"/>
      <c r="AN440" s="1106"/>
      <c r="AO440" s="1106"/>
    </row>
    <row r="441">
      <c r="G441" s="1106"/>
      <c r="H441" s="1106"/>
      <c r="I441" s="1106"/>
      <c r="J441" s="1106"/>
      <c r="K441" s="1106"/>
      <c r="L441" s="1106"/>
      <c r="M441" s="1106"/>
      <c r="N441" s="1106"/>
      <c r="O441" s="1106"/>
      <c r="P441" s="1106"/>
      <c r="Q441" s="1106"/>
      <c r="R441" s="1106"/>
      <c r="S441" s="1106"/>
      <c r="T441" s="1106"/>
      <c r="U441" s="1106"/>
      <c r="V441" s="1106"/>
      <c r="W441" s="1106"/>
      <c r="X441" s="1106"/>
      <c r="Y441" s="1106"/>
      <c r="Z441" s="1106"/>
      <c r="AA441" s="1106"/>
      <c r="AB441" s="1106"/>
      <c r="AC441" s="1106"/>
      <c r="AD441" s="1106"/>
      <c r="AE441" s="1106"/>
      <c r="AF441" s="1106"/>
      <c r="AG441" s="1106"/>
      <c r="AH441" s="1106"/>
      <c r="AI441" s="1106"/>
      <c r="AJ441" s="1106"/>
      <c r="AK441" s="1106"/>
      <c r="AL441" s="1106"/>
      <c r="AM441" s="1106"/>
      <c r="AN441" s="1106"/>
      <c r="AO441" s="1106"/>
    </row>
    <row r="442">
      <c r="G442" s="1106"/>
      <c r="H442" s="1106"/>
      <c r="I442" s="1106"/>
      <c r="J442" s="1106"/>
      <c r="K442" s="1106"/>
      <c r="L442" s="1106"/>
      <c r="M442" s="1106"/>
      <c r="N442" s="1106"/>
      <c r="O442" s="1106"/>
      <c r="P442" s="1106"/>
      <c r="Q442" s="1106"/>
      <c r="R442" s="1106"/>
      <c r="S442" s="1106"/>
      <c r="T442" s="1106"/>
      <c r="U442" s="1106"/>
      <c r="V442" s="1106"/>
      <c r="W442" s="1106"/>
      <c r="X442" s="1106"/>
      <c r="Y442" s="1106"/>
      <c r="Z442" s="1106"/>
      <c r="AA442" s="1106"/>
      <c r="AB442" s="1106"/>
      <c r="AC442" s="1106"/>
      <c r="AD442" s="1106"/>
      <c r="AE442" s="1106"/>
      <c r="AF442" s="1106"/>
      <c r="AG442" s="1106"/>
      <c r="AH442" s="1106"/>
      <c r="AI442" s="1106"/>
      <c r="AJ442" s="1106"/>
      <c r="AK442" s="1106"/>
      <c r="AL442" s="1106"/>
      <c r="AM442" s="1106"/>
      <c r="AN442" s="1106"/>
      <c r="AO442" s="1106"/>
    </row>
    <row r="443">
      <c r="G443" s="1106"/>
      <c r="H443" s="1106"/>
      <c r="I443" s="1106"/>
      <c r="J443" s="1106"/>
      <c r="K443" s="1106"/>
      <c r="L443" s="1106"/>
      <c r="M443" s="1106"/>
      <c r="N443" s="1106"/>
      <c r="O443" s="1106"/>
      <c r="P443" s="1106"/>
      <c r="Q443" s="1106"/>
      <c r="R443" s="1106"/>
      <c r="S443" s="1106"/>
      <c r="T443" s="1106"/>
      <c r="U443" s="1106"/>
      <c r="V443" s="1106"/>
      <c r="W443" s="1106"/>
      <c r="X443" s="1106"/>
      <c r="Y443" s="1106"/>
      <c r="Z443" s="1106"/>
      <c r="AA443" s="1106"/>
      <c r="AB443" s="1106"/>
      <c r="AC443" s="1106"/>
      <c r="AD443" s="1106"/>
      <c r="AE443" s="1106"/>
      <c r="AF443" s="1106"/>
      <c r="AG443" s="1106"/>
      <c r="AH443" s="1106"/>
      <c r="AI443" s="1106"/>
      <c r="AJ443" s="1106"/>
      <c r="AK443" s="1106"/>
      <c r="AL443" s="1106"/>
      <c r="AM443" s="1106"/>
      <c r="AN443" s="1106"/>
      <c r="AO443" s="1106"/>
    </row>
    <row r="444">
      <c r="G444" s="1106"/>
      <c r="H444" s="1106"/>
      <c r="I444" s="1106"/>
      <c r="J444" s="1106"/>
      <c r="K444" s="1106"/>
      <c r="L444" s="1106"/>
      <c r="M444" s="1106"/>
      <c r="N444" s="1106"/>
      <c r="O444" s="1106"/>
      <c r="P444" s="1106"/>
      <c r="Q444" s="1106"/>
      <c r="R444" s="1106"/>
      <c r="S444" s="1106"/>
      <c r="T444" s="1106"/>
      <c r="U444" s="1106"/>
      <c r="V444" s="1106"/>
      <c r="W444" s="1106"/>
      <c r="X444" s="1106"/>
      <c r="Y444" s="1106"/>
      <c r="Z444" s="1106"/>
      <c r="AA444" s="1106"/>
      <c r="AB444" s="1106"/>
      <c r="AC444" s="1106"/>
      <c r="AD444" s="1106"/>
      <c r="AE444" s="1106"/>
      <c r="AF444" s="1106"/>
      <c r="AG444" s="1106"/>
      <c r="AH444" s="1106"/>
      <c r="AI444" s="1106"/>
      <c r="AJ444" s="1106"/>
      <c r="AK444" s="1106"/>
      <c r="AL444" s="1106"/>
      <c r="AM444" s="1106"/>
      <c r="AN444" s="1106"/>
      <c r="AO444" s="1106"/>
    </row>
    <row r="445">
      <c r="G445" s="1106"/>
      <c r="H445" s="1106"/>
      <c r="I445" s="1106"/>
      <c r="J445" s="1106"/>
      <c r="K445" s="1106"/>
      <c r="L445" s="1106"/>
      <c r="M445" s="1106"/>
      <c r="N445" s="1106"/>
      <c r="O445" s="1106"/>
      <c r="P445" s="1106"/>
      <c r="Q445" s="1106"/>
      <c r="R445" s="1106"/>
      <c r="S445" s="1106"/>
      <c r="T445" s="1106"/>
      <c r="U445" s="1106"/>
      <c r="V445" s="1106"/>
      <c r="W445" s="1106"/>
      <c r="X445" s="1106"/>
      <c r="Y445" s="1106"/>
      <c r="Z445" s="1106"/>
      <c r="AA445" s="1106"/>
      <c r="AB445" s="1106"/>
      <c r="AC445" s="1106"/>
      <c r="AD445" s="1106"/>
      <c r="AE445" s="1106"/>
      <c r="AF445" s="1106"/>
      <c r="AG445" s="1106"/>
      <c r="AH445" s="1106"/>
      <c r="AI445" s="1106"/>
      <c r="AJ445" s="1106"/>
      <c r="AK445" s="1106"/>
      <c r="AL445" s="1106"/>
      <c r="AM445" s="1106"/>
      <c r="AN445" s="1106"/>
      <c r="AO445" s="1106"/>
    </row>
    <row r="446">
      <c r="G446" s="1106"/>
      <c r="H446" s="1106"/>
      <c r="I446" s="1106"/>
      <c r="J446" s="1106"/>
      <c r="K446" s="1106"/>
      <c r="L446" s="1106"/>
      <c r="M446" s="1106"/>
      <c r="N446" s="1106"/>
      <c r="O446" s="1106"/>
      <c r="P446" s="1106"/>
      <c r="Q446" s="1106"/>
      <c r="R446" s="1106"/>
      <c r="S446" s="1106"/>
      <c r="T446" s="1106"/>
      <c r="U446" s="1106"/>
      <c r="V446" s="1106"/>
      <c r="W446" s="1106"/>
      <c r="X446" s="1106"/>
      <c r="Y446" s="1106"/>
      <c r="Z446" s="1106"/>
      <c r="AA446" s="1106"/>
      <c r="AB446" s="1106"/>
      <c r="AC446" s="1106"/>
      <c r="AD446" s="1106"/>
      <c r="AE446" s="1106"/>
      <c r="AF446" s="1106"/>
      <c r="AG446" s="1106"/>
      <c r="AH446" s="1106"/>
      <c r="AI446" s="1106"/>
      <c r="AJ446" s="1106"/>
      <c r="AK446" s="1106"/>
      <c r="AL446" s="1106"/>
      <c r="AM446" s="1106"/>
      <c r="AN446" s="1106"/>
      <c r="AO446" s="1106"/>
    </row>
    <row r="447">
      <c r="G447" s="1106"/>
      <c r="H447" s="1106"/>
      <c r="I447" s="1106"/>
      <c r="J447" s="1106"/>
      <c r="K447" s="1106"/>
      <c r="L447" s="1106"/>
      <c r="M447" s="1106"/>
      <c r="N447" s="1106"/>
      <c r="O447" s="1106"/>
      <c r="P447" s="1106"/>
      <c r="Q447" s="1106"/>
      <c r="R447" s="1106"/>
      <c r="S447" s="1106"/>
      <c r="T447" s="1106"/>
      <c r="U447" s="1106"/>
      <c r="V447" s="1106"/>
      <c r="W447" s="1106"/>
      <c r="X447" s="1106"/>
      <c r="Y447" s="1106"/>
      <c r="Z447" s="1106"/>
      <c r="AA447" s="1106"/>
      <c r="AB447" s="1106"/>
      <c r="AC447" s="1106"/>
      <c r="AD447" s="1106"/>
      <c r="AE447" s="1106"/>
      <c r="AF447" s="1106"/>
      <c r="AG447" s="1106"/>
      <c r="AH447" s="1106"/>
      <c r="AI447" s="1106"/>
      <c r="AJ447" s="1106"/>
      <c r="AK447" s="1106"/>
      <c r="AL447" s="1106"/>
      <c r="AM447" s="1106"/>
      <c r="AN447" s="1106"/>
      <c r="AO447" s="1106"/>
    </row>
    <row r="448">
      <c r="G448" s="1106"/>
      <c r="H448" s="1106"/>
      <c r="I448" s="1106"/>
      <c r="J448" s="1106"/>
      <c r="K448" s="1106"/>
      <c r="L448" s="1106"/>
      <c r="M448" s="1106"/>
      <c r="N448" s="1106"/>
      <c r="O448" s="1106"/>
      <c r="P448" s="1106"/>
      <c r="Q448" s="1106"/>
      <c r="R448" s="1106"/>
      <c r="S448" s="1106"/>
      <c r="T448" s="1106"/>
      <c r="U448" s="1106"/>
      <c r="V448" s="1106"/>
      <c r="W448" s="1106"/>
      <c r="X448" s="1106"/>
      <c r="Y448" s="1106"/>
      <c r="Z448" s="1106"/>
      <c r="AA448" s="1106"/>
      <c r="AB448" s="1106"/>
      <c r="AC448" s="1106"/>
      <c r="AD448" s="1106"/>
      <c r="AE448" s="1106"/>
      <c r="AF448" s="1106"/>
      <c r="AG448" s="1106"/>
      <c r="AH448" s="1106"/>
      <c r="AI448" s="1106"/>
      <c r="AJ448" s="1106"/>
      <c r="AK448" s="1106"/>
      <c r="AL448" s="1106"/>
      <c r="AM448" s="1106"/>
      <c r="AN448" s="1106"/>
      <c r="AO448" s="1106"/>
    </row>
    <row r="449">
      <c r="G449" s="1106"/>
      <c r="H449" s="1106"/>
      <c r="I449" s="1106"/>
      <c r="J449" s="1106"/>
      <c r="K449" s="1106"/>
      <c r="L449" s="1106"/>
      <c r="M449" s="1106"/>
      <c r="N449" s="1106"/>
      <c r="O449" s="1106"/>
      <c r="P449" s="1106"/>
      <c r="Q449" s="1106"/>
      <c r="R449" s="1106"/>
      <c r="S449" s="1106"/>
      <c r="T449" s="1106"/>
      <c r="U449" s="1106"/>
      <c r="V449" s="1106"/>
      <c r="W449" s="1106"/>
      <c r="X449" s="1106"/>
      <c r="Y449" s="1106"/>
      <c r="Z449" s="1106"/>
      <c r="AA449" s="1106"/>
      <c r="AB449" s="1106"/>
      <c r="AC449" s="1106"/>
      <c r="AD449" s="1106"/>
      <c r="AE449" s="1106"/>
      <c r="AF449" s="1106"/>
      <c r="AG449" s="1106"/>
      <c r="AH449" s="1106"/>
      <c r="AI449" s="1106"/>
      <c r="AJ449" s="1106"/>
      <c r="AK449" s="1106"/>
      <c r="AL449" s="1106"/>
      <c r="AM449" s="1106"/>
      <c r="AN449" s="1106"/>
      <c r="AO449" s="1106"/>
    </row>
    <row r="450">
      <c r="G450" s="1106"/>
      <c r="H450" s="1106"/>
      <c r="I450" s="1106"/>
      <c r="J450" s="1106"/>
      <c r="K450" s="1106"/>
      <c r="L450" s="1106"/>
      <c r="M450" s="1106"/>
      <c r="N450" s="1106"/>
      <c r="O450" s="1106"/>
      <c r="P450" s="1106"/>
      <c r="Q450" s="1106"/>
      <c r="R450" s="1106"/>
      <c r="S450" s="1106"/>
      <c r="T450" s="1106"/>
      <c r="U450" s="1106"/>
      <c r="V450" s="1106"/>
      <c r="W450" s="1106"/>
      <c r="X450" s="1106"/>
      <c r="Y450" s="1106"/>
      <c r="Z450" s="1106"/>
      <c r="AA450" s="1106"/>
      <c r="AB450" s="1106"/>
      <c r="AC450" s="1106"/>
      <c r="AD450" s="1106"/>
      <c r="AE450" s="1106"/>
      <c r="AF450" s="1106"/>
      <c r="AG450" s="1106"/>
      <c r="AH450" s="1106"/>
      <c r="AI450" s="1106"/>
      <c r="AJ450" s="1106"/>
      <c r="AK450" s="1106"/>
      <c r="AL450" s="1106"/>
      <c r="AM450" s="1106"/>
      <c r="AN450" s="1106"/>
      <c r="AO450" s="1106"/>
    </row>
    <row r="451">
      <c r="G451" s="1106"/>
      <c r="H451" s="1106"/>
      <c r="I451" s="1106"/>
      <c r="J451" s="1106"/>
      <c r="K451" s="1106"/>
      <c r="L451" s="1106"/>
      <c r="M451" s="1106"/>
      <c r="N451" s="1106"/>
      <c r="O451" s="1106"/>
      <c r="P451" s="1106"/>
      <c r="Q451" s="1106"/>
      <c r="R451" s="1106"/>
      <c r="S451" s="1106"/>
      <c r="T451" s="1106"/>
      <c r="U451" s="1106"/>
      <c r="V451" s="1106"/>
      <c r="W451" s="1106"/>
      <c r="X451" s="1106"/>
      <c r="Y451" s="1106"/>
      <c r="Z451" s="1106"/>
      <c r="AA451" s="1106"/>
      <c r="AB451" s="1106"/>
      <c r="AC451" s="1106"/>
      <c r="AD451" s="1106"/>
      <c r="AE451" s="1106"/>
      <c r="AF451" s="1106"/>
      <c r="AG451" s="1106"/>
      <c r="AH451" s="1106"/>
      <c r="AI451" s="1106"/>
      <c r="AJ451" s="1106"/>
      <c r="AK451" s="1106"/>
      <c r="AL451" s="1106"/>
      <c r="AM451" s="1106"/>
      <c r="AN451" s="1106"/>
      <c r="AO451" s="1106"/>
    </row>
    <row r="452">
      <c r="G452" s="1106"/>
      <c r="H452" s="1106"/>
      <c r="I452" s="1106"/>
      <c r="J452" s="1106"/>
      <c r="K452" s="1106"/>
      <c r="L452" s="1106"/>
      <c r="M452" s="1106"/>
      <c r="N452" s="1106"/>
      <c r="O452" s="1106"/>
      <c r="P452" s="1106"/>
      <c r="Q452" s="1106"/>
      <c r="R452" s="1106"/>
      <c r="S452" s="1106"/>
      <c r="T452" s="1106"/>
      <c r="U452" s="1106"/>
      <c r="V452" s="1106"/>
      <c r="W452" s="1106"/>
      <c r="X452" s="1106"/>
      <c r="Y452" s="1106"/>
      <c r="Z452" s="1106"/>
      <c r="AA452" s="1106"/>
      <c r="AB452" s="1106"/>
      <c r="AC452" s="1106"/>
      <c r="AD452" s="1106"/>
      <c r="AE452" s="1106"/>
      <c r="AF452" s="1106"/>
      <c r="AG452" s="1106"/>
      <c r="AH452" s="1106"/>
      <c r="AI452" s="1106"/>
      <c r="AJ452" s="1106"/>
      <c r="AK452" s="1106"/>
      <c r="AL452" s="1106"/>
      <c r="AM452" s="1106"/>
      <c r="AN452" s="1106"/>
      <c r="AO452" s="1106"/>
    </row>
    <row r="453">
      <c r="G453" s="1106"/>
      <c r="H453" s="1106"/>
      <c r="I453" s="1106"/>
      <c r="J453" s="1106"/>
      <c r="K453" s="1106"/>
      <c r="L453" s="1106"/>
      <c r="M453" s="1106"/>
      <c r="N453" s="1106"/>
      <c r="O453" s="1106"/>
      <c r="P453" s="1106"/>
      <c r="Q453" s="1106"/>
      <c r="R453" s="1106"/>
      <c r="S453" s="1106"/>
      <c r="T453" s="1106"/>
      <c r="U453" s="1106"/>
      <c r="V453" s="1106"/>
      <c r="W453" s="1106"/>
      <c r="X453" s="1106"/>
      <c r="Y453" s="1106"/>
      <c r="Z453" s="1106"/>
      <c r="AA453" s="1106"/>
      <c r="AB453" s="1106"/>
      <c r="AC453" s="1106"/>
      <c r="AD453" s="1106"/>
      <c r="AE453" s="1106"/>
      <c r="AF453" s="1106"/>
      <c r="AG453" s="1106"/>
      <c r="AH453" s="1106"/>
      <c r="AI453" s="1106"/>
      <c r="AJ453" s="1106"/>
      <c r="AK453" s="1106"/>
      <c r="AL453" s="1106"/>
      <c r="AM453" s="1106"/>
      <c r="AN453" s="1106"/>
      <c r="AO453" s="1106"/>
    </row>
    <row r="454">
      <c r="G454" s="1106"/>
      <c r="H454" s="1106"/>
      <c r="I454" s="1106"/>
      <c r="J454" s="1106"/>
      <c r="K454" s="1106"/>
      <c r="L454" s="1106"/>
      <c r="M454" s="1106"/>
      <c r="N454" s="1106"/>
      <c r="O454" s="1106"/>
      <c r="P454" s="1106"/>
      <c r="Q454" s="1106"/>
      <c r="R454" s="1106"/>
      <c r="S454" s="1106"/>
      <c r="T454" s="1106"/>
      <c r="U454" s="1106"/>
      <c r="V454" s="1106"/>
      <c r="W454" s="1106"/>
      <c r="X454" s="1106"/>
      <c r="Y454" s="1106"/>
      <c r="Z454" s="1106"/>
      <c r="AA454" s="1106"/>
      <c r="AB454" s="1106"/>
      <c r="AC454" s="1106"/>
      <c r="AD454" s="1106"/>
      <c r="AE454" s="1106"/>
      <c r="AF454" s="1106"/>
      <c r="AG454" s="1106"/>
      <c r="AH454" s="1106"/>
      <c r="AI454" s="1106"/>
      <c r="AJ454" s="1106"/>
      <c r="AK454" s="1106"/>
      <c r="AL454" s="1106"/>
      <c r="AM454" s="1106"/>
      <c r="AN454" s="1106"/>
      <c r="AO454" s="1106"/>
    </row>
    <row r="455">
      <c r="G455" s="1106"/>
      <c r="H455" s="1106"/>
      <c r="I455" s="1106"/>
      <c r="J455" s="1106"/>
      <c r="K455" s="1106"/>
      <c r="L455" s="1106"/>
      <c r="M455" s="1106"/>
      <c r="N455" s="1106"/>
      <c r="O455" s="1106"/>
      <c r="P455" s="1106"/>
      <c r="Q455" s="1106"/>
      <c r="R455" s="1106"/>
      <c r="S455" s="1106"/>
      <c r="T455" s="1106"/>
      <c r="U455" s="1106"/>
      <c r="V455" s="1106"/>
      <c r="W455" s="1106"/>
      <c r="X455" s="1106"/>
      <c r="Y455" s="1106"/>
      <c r="Z455" s="1106"/>
      <c r="AA455" s="1106"/>
      <c r="AB455" s="1106"/>
      <c r="AC455" s="1106"/>
      <c r="AD455" s="1106"/>
      <c r="AE455" s="1106"/>
      <c r="AF455" s="1106"/>
      <c r="AG455" s="1106"/>
      <c r="AH455" s="1106"/>
      <c r="AI455" s="1106"/>
      <c r="AJ455" s="1106"/>
      <c r="AK455" s="1106"/>
      <c r="AL455" s="1106"/>
      <c r="AM455" s="1106"/>
      <c r="AN455" s="1106"/>
      <c r="AO455" s="1106"/>
    </row>
    <row r="456">
      <c r="G456" s="1106"/>
      <c r="H456" s="1106"/>
      <c r="I456" s="1106"/>
      <c r="J456" s="1106"/>
      <c r="K456" s="1106"/>
      <c r="L456" s="1106"/>
      <c r="M456" s="1106"/>
      <c r="N456" s="1106"/>
      <c r="O456" s="1106"/>
      <c r="P456" s="1106"/>
      <c r="Q456" s="1106"/>
      <c r="R456" s="1106"/>
      <c r="S456" s="1106"/>
      <c r="T456" s="1106"/>
      <c r="U456" s="1106"/>
      <c r="V456" s="1106"/>
      <c r="W456" s="1106"/>
      <c r="X456" s="1106"/>
      <c r="Y456" s="1106"/>
      <c r="Z456" s="1106"/>
      <c r="AA456" s="1106"/>
      <c r="AB456" s="1106"/>
      <c r="AC456" s="1106"/>
      <c r="AD456" s="1106"/>
      <c r="AE456" s="1106"/>
      <c r="AF456" s="1106"/>
      <c r="AG456" s="1106"/>
      <c r="AH456" s="1106"/>
      <c r="AI456" s="1106"/>
      <c r="AJ456" s="1106"/>
      <c r="AK456" s="1106"/>
      <c r="AL456" s="1106"/>
      <c r="AM456" s="1106"/>
      <c r="AN456" s="1106"/>
      <c r="AO456" s="1106"/>
    </row>
    <row r="457">
      <c r="G457" s="1106"/>
      <c r="H457" s="1106"/>
      <c r="I457" s="1106"/>
      <c r="J457" s="1106"/>
      <c r="K457" s="1106"/>
      <c r="L457" s="1106"/>
      <c r="M457" s="1106"/>
      <c r="N457" s="1106"/>
      <c r="O457" s="1106"/>
      <c r="P457" s="1106"/>
      <c r="Q457" s="1106"/>
      <c r="R457" s="1106"/>
      <c r="S457" s="1106"/>
      <c r="T457" s="1106"/>
      <c r="U457" s="1106"/>
      <c r="V457" s="1106"/>
      <c r="W457" s="1106"/>
      <c r="X457" s="1106"/>
      <c r="Y457" s="1106"/>
      <c r="Z457" s="1106"/>
      <c r="AA457" s="1106"/>
      <c r="AB457" s="1106"/>
      <c r="AC457" s="1106"/>
      <c r="AD457" s="1106"/>
      <c r="AE457" s="1106"/>
      <c r="AF457" s="1106"/>
      <c r="AG457" s="1106"/>
      <c r="AH457" s="1106"/>
      <c r="AI457" s="1106"/>
      <c r="AJ457" s="1106"/>
      <c r="AK457" s="1106"/>
      <c r="AL457" s="1106"/>
      <c r="AM457" s="1106"/>
      <c r="AN457" s="1106"/>
      <c r="AO457" s="1106"/>
    </row>
    <row r="458">
      <c r="G458" s="1106"/>
      <c r="H458" s="1106"/>
      <c r="I458" s="1106"/>
      <c r="J458" s="1106"/>
      <c r="K458" s="1106"/>
      <c r="L458" s="1106"/>
      <c r="M458" s="1106"/>
      <c r="N458" s="1106"/>
      <c r="O458" s="1106"/>
      <c r="P458" s="1106"/>
      <c r="Q458" s="1106"/>
      <c r="R458" s="1106"/>
      <c r="S458" s="1106"/>
      <c r="T458" s="1106"/>
      <c r="U458" s="1106"/>
      <c r="V458" s="1106"/>
      <c r="W458" s="1106"/>
      <c r="X458" s="1106"/>
      <c r="Y458" s="1106"/>
      <c r="Z458" s="1106"/>
      <c r="AA458" s="1106"/>
      <c r="AB458" s="1106"/>
      <c r="AC458" s="1106"/>
      <c r="AD458" s="1106"/>
      <c r="AE458" s="1106"/>
      <c r="AF458" s="1106"/>
      <c r="AG458" s="1106"/>
      <c r="AH458" s="1106"/>
      <c r="AI458" s="1106"/>
      <c r="AJ458" s="1106"/>
      <c r="AK458" s="1106"/>
      <c r="AL458" s="1106"/>
      <c r="AM458" s="1106"/>
      <c r="AN458" s="1106"/>
      <c r="AO458" s="1106"/>
    </row>
    <row r="459">
      <c r="G459" s="1106"/>
      <c r="H459" s="1106"/>
      <c r="I459" s="1106"/>
      <c r="J459" s="1106"/>
      <c r="K459" s="1106"/>
      <c r="L459" s="1106"/>
      <c r="M459" s="1106"/>
      <c r="N459" s="1106"/>
      <c r="O459" s="1106"/>
      <c r="P459" s="1106"/>
      <c r="Q459" s="1106"/>
      <c r="R459" s="1106"/>
      <c r="S459" s="1106"/>
      <c r="T459" s="1106"/>
      <c r="U459" s="1106"/>
      <c r="V459" s="1106"/>
      <c r="W459" s="1106"/>
      <c r="X459" s="1106"/>
      <c r="Y459" s="1106"/>
      <c r="Z459" s="1106"/>
      <c r="AA459" s="1106"/>
      <c r="AB459" s="1106"/>
      <c r="AC459" s="1106"/>
      <c r="AD459" s="1106"/>
      <c r="AE459" s="1106"/>
      <c r="AF459" s="1106"/>
      <c r="AG459" s="1106"/>
      <c r="AH459" s="1106"/>
      <c r="AI459" s="1106"/>
      <c r="AJ459" s="1106"/>
      <c r="AK459" s="1106"/>
      <c r="AL459" s="1106"/>
      <c r="AM459" s="1106"/>
      <c r="AN459" s="1106"/>
      <c r="AO459" s="1106"/>
    </row>
    <row r="460">
      <c r="G460" s="1106"/>
      <c r="H460" s="1106"/>
      <c r="I460" s="1106"/>
      <c r="J460" s="1106"/>
      <c r="K460" s="1106"/>
      <c r="L460" s="1106"/>
      <c r="M460" s="1106"/>
      <c r="N460" s="1106"/>
      <c r="O460" s="1106"/>
      <c r="P460" s="1106"/>
      <c r="Q460" s="1106"/>
      <c r="R460" s="1106"/>
      <c r="S460" s="1106"/>
      <c r="T460" s="1106"/>
      <c r="U460" s="1106"/>
      <c r="V460" s="1106"/>
      <c r="W460" s="1106"/>
      <c r="X460" s="1106"/>
      <c r="Y460" s="1106"/>
      <c r="Z460" s="1106"/>
      <c r="AA460" s="1106"/>
      <c r="AB460" s="1106"/>
      <c r="AC460" s="1106"/>
      <c r="AD460" s="1106"/>
      <c r="AE460" s="1106"/>
      <c r="AF460" s="1106"/>
      <c r="AG460" s="1106"/>
      <c r="AH460" s="1106"/>
      <c r="AI460" s="1106"/>
      <c r="AJ460" s="1106"/>
      <c r="AK460" s="1106"/>
      <c r="AL460" s="1106"/>
      <c r="AM460" s="1106"/>
      <c r="AN460" s="1106"/>
      <c r="AO460" s="1106"/>
    </row>
    <row r="461">
      <c r="G461" s="1106"/>
      <c r="H461" s="1106"/>
      <c r="I461" s="1106"/>
      <c r="J461" s="1106"/>
      <c r="K461" s="1106"/>
      <c r="L461" s="1106"/>
      <c r="M461" s="1106"/>
      <c r="N461" s="1106"/>
      <c r="O461" s="1106"/>
      <c r="P461" s="1106"/>
      <c r="Q461" s="1106"/>
      <c r="R461" s="1106"/>
      <c r="S461" s="1106"/>
      <c r="T461" s="1106"/>
      <c r="U461" s="1106"/>
      <c r="V461" s="1106"/>
      <c r="W461" s="1106"/>
      <c r="X461" s="1106"/>
      <c r="Y461" s="1106"/>
      <c r="Z461" s="1106"/>
      <c r="AA461" s="1106"/>
      <c r="AB461" s="1106"/>
      <c r="AC461" s="1106"/>
      <c r="AD461" s="1106"/>
      <c r="AE461" s="1106"/>
      <c r="AF461" s="1106"/>
      <c r="AG461" s="1106"/>
      <c r="AH461" s="1106"/>
      <c r="AI461" s="1106"/>
      <c r="AJ461" s="1106"/>
      <c r="AK461" s="1106"/>
      <c r="AL461" s="1106"/>
      <c r="AM461" s="1106"/>
      <c r="AN461" s="1106"/>
      <c r="AO461" s="1106"/>
    </row>
    <row r="462">
      <c r="G462" s="1106"/>
      <c r="H462" s="1106"/>
      <c r="I462" s="1106"/>
      <c r="J462" s="1106"/>
      <c r="K462" s="1106"/>
      <c r="L462" s="1106"/>
      <c r="M462" s="1106"/>
      <c r="N462" s="1106"/>
      <c r="O462" s="1106"/>
      <c r="P462" s="1106"/>
      <c r="Q462" s="1106"/>
      <c r="R462" s="1106"/>
      <c r="S462" s="1106"/>
      <c r="T462" s="1106"/>
      <c r="U462" s="1106"/>
      <c r="V462" s="1106"/>
      <c r="W462" s="1106"/>
      <c r="X462" s="1106"/>
      <c r="Y462" s="1106"/>
      <c r="Z462" s="1106"/>
      <c r="AA462" s="1106"/>
      <c r="AB462" s="1106"/>
      <c r="AC462" s="1106"/>
      <c r="AD462" s="1106"/>
      <c r="AE462" s="1106"/>
      <c r="AF462" s="1106"/>
      <c r="AG462" s="1106"/>
      <c r="AH462" s="1106"/>
      <c r="AI462" s="1106"/>
      <c r="AJ462" s="1106"/>
      <c r="AK462" s="1106"/>
      <c r="AL462" s="1106"/>
      <c r="AM462" s="1106"/>
      <c r="AN462" s="1106"/>
      <c r="AO462" s="1106"/>
    </row>
    <row r="463">
      <c r="G463" s="1106"/>
      <c r="H463" s="1106"/>
      <c r="I463" s="1106"/>
      <c r="J463" s="1106"/>
      <c r="K463" s="1106"/>
      <c r="L463" s="1106"/>
      <c r="M463" s="1106"/>
      <c r="N463" s="1106"/>
      <c r="O463" s="1106"/>
      <c r="P463" s="1106"/>
      <c r="Q463" s="1106"/>
      <c r="R463" s="1106"/>
      <c r="S463" s="1106"/>
      <c r="T463" s="1106"/>
      <c r="U463" s="1106"/>
      <c r="V463" s="1106"/>
      <c r="W463" s="1106"/>
      <c r="X463" s="1106"/>
      <c r="Y463" s="1106"/>
      <c r="Z463" s="1106"/>
      <c r="AA463" s="1106"/>
      <c r="AB463" s="1106"/>
      <c r="AC463" s="1106"/>
      <c r="AD463" s="1106"/>
      <c r="AE463" s="1106"/>
      <c r="AF463" s="1106"/>
      <c r="AG463" s="1106"/>
      <c r="AH463" s="1106"/>
      <c r="AI463" s="1106"/>
      <c r="AJ463" s="1106"/>
      <c r="AK463" s="1106"/>
      <c r="AL463" s="1106"/>
      <c r="AM463" s="1106"/>
      <c r="AN463" s="1106"/>
      <c r="AO463" s="1106"/>
    </row>
    <row r="464">
      <c r="G464" s="1106"/>
      <c r="H464" s="1106"/>
      <c r="I464" s="1106"/>
      <c r="J464" s="1106"/>
      <c r="K464" s="1106"/>
      <c r="L464" s="1106"/>
      <c r="M464" s="1106"/>
      <c r="N464" s="1106"/>
      <c r="O464" s="1106"/>
      <c r="P464" s="1106"/>
      <c r="Q464" s="1106"/>
      <c r="R464" s="1106"/>
      <c r="S464" s="1106"/>
      <c r="T464" s="1106"/>
      <c r="U464" s="1106"/>
      <c r="V464" s="1106"/>
      <c r="W464" s="1106"/>
      <c r="X464" s="1106"/>
      <c r="Y464" s="1106"/>
      <c r="Z464" s="1106"/>
      <c r="AA464" s="1106"/>
      <c r="AB464" s="1106"/>
      <c r="AC464" s="1106"/>
      <c r="AD464" s="1106"/>
      <c r="AE464" s="1106"/>
      <c r="AF464" s="1106"/>
      <c r="AG464" s="1106"/>
      <c r="AH464" s="1106"/>
      <c r="AI464" s="1106"/>
      <c r="AJ464" s="1106"/>
      <c r="AK464" s="1106"/>
      <c r="AL464" s="1106"/>
      <c r="AM464" s="1106"/>
      <c r="AN464" s="1106"/>
      <c r="AO464" s="1106"/>
    </row>
    <row r="465">
      <c r="G465" s="1106"/>
      <c r="H465" s="1106"/>
      <c r="I465" s="1106"/>
      <c r="J465" s="1106"/>
      <c r="K465" s="1106"/>
      <c r="L465" s="1106"/>
      <c r="M465" s="1106"/>
      <c r="N465" s="1106"/>
      <c r="O465" s="1106"/>
      <c r="P465" s="1106"/>
      <c r="Q465" s="1106"/>
      <c r="R465" s="1106"/>
      <c r="S465" s="1106"/>
      <c r="T465" s="1106"/>
      <c r="U465" s="1106"/>
      <c r="V465" s="1106"/>
      <c r="W465" s="1106"/>
      <c r="X465" s="1106"/>
      <c r="Y465" s="1106"/>
      <c r="Z465" s="1106"/>
      <c r="AA465" s="1106"/>
      <c r="AB465" s="1106"/>
      <c r="AC465" s="1106"/>
      <c r="AD465" s="1106"/>
      <c r="AE465" s="1106"/>
      <c r="AF465" s="1106"/>
      <c r="AG465" s="1106"/>
      <c r="AH465" s="1106"/>
      <c r="AI465" s="1106"/>
      <c r="AJ465" s="1106"/>
      <c r="AK465" s="1106"/>
      <c r="AL465" s="1106"/>
      <c r="AM465" s="1106"/>
      <c r="AN465" s="1106"/>
      <c r="AO465" s="1106"/>
    </row>
    <row r="466">
      <c r="G466" s="1106"/>
      <c r="H466" s="1106"/>
      <c r="I466" s="1106"/>
      <c r="J466" s="1106"/>
      <c r="K466" s="1106"/>
      <c r="L466" s="1106"/>
      <c r="M466" s="1106"/>
      <c r="N466" s="1106"/>
      <c r="O466" s="1106"/>
      <c r="P466" s="1106"/>
      <c r="Q466" s="1106"/>
      <c r="R466" s="1106"/>
      <c r="S466" s="1106"/>
      <c r="T466" s="1106"/>
      <c r="U466" s="1106"/>
      <c r="V466" s="1106"/>
      <c r="W466" s="1106"/>
      <c r="X466" s="1106"/>
      <c r="Y466" s="1106"/>
      <c r="Z466" s="1106"/>
      <c r="AA466" s="1106"/>
      <c r="AB466" s="1106"/>
      <c r="AC466" s="1106"/>
      <c r="AD466" s="1106"/>
      <c r="AE466" s="1106"/>
      <c r="AF466" s="1106"/>
      <c r="AG466" s="1106"/>
      <c r="AH466" s="1106"/>
      <c r="AI466" s="1106"/>
      <c r="AJ466" s="1106"/>
      <c r="AK466" s="1106"/>
      <c r="AL466" s="1106"/>
      <c r="AM466" s="1106"/>
      <c r="AN466" s="1106"/>
      <c r="AO466" s="1106"/>
    </row>
    <row r="467">
      <c r="G467" s="1106"/>
      <c r="H467" s="1106"/>
      <c r="I467" s="1106"/>
      <c r="J467" s="1106"/>
      <c r="K467" s="1106"/>
      <c r="L467" s="1106"/>
      <c r="M467" s="1106"/>
      <c r="N467" s="1106"/>
      <c r="O467" s="1106"/>
      <c r="P467" s="1106"/>
      <c r="Q467" s="1106"/>
      <c r="R467" s="1106"/>
      <c r="S467" s="1106"/>
      <c r="T467" s="1106"/>
      <c r="U467" s="1106"/>
      <c r="V467" s="1106"/>
      <c r="W467" s="1106"/>
      <c r="X467" s="1106"/>
      <c r="Y467" s="1106"/>
      <c r="Z467" s="1106"/>
      <c r="AA467" s="1106"/>
      <c r="AB467" s="1106"/>
      <c r="AC467" s="1106"/>
      <c r="AD467" s="1106"/>
      <c r="AE467" s="1106"/>
      <c r="AF467" s="1106"/>
      <c r="AG467" s="1106"/>
      <c r="AH467" s="1106"/>
      <c r="AI467" s="1106"/>
      <c r="AJ467" s="1106"/>
      <c r="AK467" s="1106"/>
      <c r="AL467" s="1106"/>
      <c r="AM467" s="1106"/>
      <c r="AN467" s="1106"/>
      <c r="AO467" s="1106"/>
    </row>
    <row r="468">
      <c r="G468" s="1106"/>
      <c r="H468" s="1106"/>
      <c r="I468" s="1106"/>
      <c r="J468" s="1106"/>
      <c r="K468" s="1106"/>
      <c r="L468" s="1106"/>
      <c r="M468" s="1106"/>
      <c r="N468" s="1106"/>
      <c r="O468" s="1106"/>
      <c r="P468" s="1106"/>
      <c r="Q468" s="1106"/>
      <c r="R468" s="1106"/>
      <c r="S468" s="1106"/>
      <c r="T468" s="1106"/>
      <c r="U468" s="1106"/>
      <c r="V468" s="1106"/>
      <c r="W468" s="1106"/>
      <c r="X468" s="1106"/>
      <c r="Y468" s="1106"/>
      <c r="Z468" s="1106"/>
      <c r="AA468" s="1106"/>
      <c r="AB468" s="1106"/>
      <c r="AC468" s="1106"/>
      <c r="AD468" s="1106"/>
      <c r="AE468" s="1106"/>
      <c r="AF468" s="1106"/>
      <c r="AG468" s="1106"/>
      <c r="AH468" s="1106"/>
      <c r="AI468" s="1106"/>
      <c r="AJ468" s="1106"/>
      <c r="AK468" s="1106"/>
      <c r="AL468" s="1106"/>
      <c r="AM468" s="1106"/>
      <c r="AN468" s="1106"/>
      <c r="AO468" s="1106"/>
    </row>
    <row r="469">
      <c r="G469" s="1106"/>
      <c r="H469" s="1106"/>
      <c r="I469" s="1106"/>
      <c r="J469" s="1106"/>
      <c r="K469" s="1106"/>
      <c r="L469" s="1106"/>
      <c r="M469" s="1106"/>
      <c r="N469" s="1106"/>
      <c r="O469" s="1106"/>
      <c r="P469" s="1106"/>
      <c r="Q469" s="1106"/>
      <c r="R469" s="1106"/>
      <c r="S469" s="1106"/>
      <c r="T469" s="1106"/>
      <c r="U469" s="1106"/>
      <c r="V469" s="1106"/>
      <c r="W469" s="1106"/>
      <c r="X469" s="1106"/>
      <c r="Y469" s="1106"/>
      <c r="Z469" s="1106"/>
      <c r="AA469" s="1106"/>
      <c r="AB469" s="1106"/>
      <c r="AC469" s="1106"/>
      <c r="AD469" s="1106"/>
      <c r="AE469" s="1106"/>
      <c r="AF469" s="1106"/>
      <c r="AG469" s="1106"/>
      <c r="AH469" s="1106"/>
      <c r="AI469" s="1106"/>
      <c r="AJ469" s="1106"/>
      <c r="AK469" s="1106"/>
      <c r="AL469" s="1106"/>
      <c r="AM469" s="1106"/>
      <c r="AN469" s="1106"/>
      <c r="AO469" s="1106"/>
    </row>
    <row r="470">
      <c r="G470" s="1106"/>
      <c r="H470" s="1106"/>
      <c r="I470" s="1106"/>
      <c r="J470" s="1106"/>
      <c r="K470" s="1106"/>
      <c r="L470" s="1106"/>
      <c r="M470" s="1106"/>
      <c r="N470" s="1106"/>
      <c r="O470" s="1106"/>
      <c r="P470" s="1106"/>
      <c r="Q470" s="1106"/>
      <c r="R470" s="1106"/>
      <c r="S470" s="1106"/>
      <c r="T470" s="1106"/>
      <c r="U470" s="1106"/>
      <c r="V470" s="1106"/>
      <c r="W470" s="1106"/>
      <c r="X470" s="1106"/>
      <c r="Y470" s="1106"/>
      <c r="Z470" s="1106"/>
      <c r="AA470" s="1106"/>
      <c r="AB470" s="1106"/>
      <c r="AC470" s="1106"/>
      <c r="AD470" s="1106"/>
      <c r="AE470" s="1106"/>
      <c r="AF470" s="1106"/>
      <c r="AG470" s="1106"/>
      <c r="AH470" s="1106"/>
      <c r="AI470" s="1106"/>
      <c r="AJ470" s="1106"/>
      <c r="AK470" s="1106"/>
      <c r="AL470" s="1106"/>
      <c r="AM470" s="1106"/>
      <c r="AN470" s="1106"/>
      <c r="AO470" s="1106"/>
    </row>
    <row r="471">
      <c r="G471" s="1106"/>
      <c r="H471" s="1106"/>
      <c r="I471" s="1106"/>
      <c r="J471" s="1106"/>
      <c r="K471" s="1106"/>
      <c r="L471" s="1106"/>
      <c r="M471" s="1106"/>
      <c r="N471" s="1106"/>
      <c r="O471" s="1106"/>
      <c r="P471" s="1106"/>
      <c r="Q471" s="1106"/>
      <c r="R471" s="1106"/>
      <c r="S471" s="1106"/>
      <c r="T471" s="1106"/>
      <c r="U471" s="1106"/>
      <c r="V471" s="1106"/>
      <c r="W471" s="1106"/>
      <c r="X471" s="1106"/>
      <c r="Y471" s="1106"/>
      <c r="Z471" s="1106"/>
      <c r="AA471" s="1106"/>
      <c r="AB471" s="1106"/>
      <c r="AC471" s="1106"/>
      <c r="AD471" s="1106"/>
      <c r="AE471" s="1106"/>
      <c r="AF471" s="1106"/>
      <c r="AG471" s="1106"/>
      <c r="AH471" s="1106"/>
      <c r="AI471" s="1106"/>
      <c r="AJ471" s="1106"/>
      <c r="AK471" s="1106"/>
      <c r="AL471" s="1106"/>
      <c r="AM471" s="1106"/>
      <c r="AN471" s="1106"/>
      <c r="AO471" s="1106"/>
    </row>
    <row r="472">
      <c r="G472" s="1106"/>
      <c r="H472" s="1106"/>
      <c r="I472" s="1106"/>
      <c r="J472" s="1106"/>
      <c r="K472" s="1106"/>
      <c r="L472" s="1106"/>
      <c r="M472" s="1106"/>
      <c r="N472" s="1106"/>
      <c r="O472" s="1106"/>
      <c r="P472" s="1106"/>
      <c r="Q472" s="1106"/>
      <c r="R472" s="1106"/>
      <c r="S472" s="1106"/>
      <c r="T472" s="1106"/>
      <c r="U472" s="1106"/>
      <c r="V472" s="1106"/>
      <c r="W472" s="1106"/>
      <c r="X472" s="1106"/>
      <c r="Y472" s="1106"/>
      <c r="Z472" s="1106"/>
      <c r="AA472" s="1106"/>
      <c r="AB472" s="1106"/>
      <c r="AC472" s="1106"/>
      <c r="AD472" s="1106"/>
      <c r="AE472" s="1106"/>
      <c r="AF472" s="1106"/>
      <c r="AG472" s="1106"/>
      <c r="AH472" s="1106"/>
      <c r="AI472" s="1106"/>
      <c r="AJ472" s="1106"/>
      <c r="AK472" s="1106"/>
      <c r="AL472" s="1106"/>
      <c r="AM472" s="1106"/>
      <c r="AN472" s="1106"/>
      <c r="AO472" s="1106"/>
    </row>
    <row r="473">
      <c r="G473" s="1106"/>
      <c r="H473" s="1106"/>
      <c r="I473" s="1106"/>
      <c r="J473" s="1106"/>
      <c r="K473" s="1106"/>
      <c r="L473" s="1106"/>
      <c r="M473" s="1106"/>
      <c r="N473" s="1106"/>
      <c r="O473" s="1106"/>
      <c r="P473" s="1106"/>
      <c r="Q473" s="1106"/>
      <c r="R473" s="1106"/>
      <c r="S473" s="1106"/>
      <c r="T473" s="1106"/>
      <c r="U473" s="1106"/>
      <c r="V473" s="1106"/>
      <c r="W473" s="1106"/>
      <c r="X473" s="1106"/>
      <c r="Y473" s="1106"/>
      <c r="Z473" s="1106"/>
      <c r="AA473" s="1106"/>
      <c r="AB473" s="1106"/>
      <c r="AC473" s="1106"/>
      <c r="AD473" s="1106"/>
      <c r="AE473" s="1106"/>
      <c r="AF473" s="1106"/>
      <c r="AG473" s="1106"/>
      <c r="AH473" s="1106"/>
      <c r="AI473" s="1106"/>
      <c r="AJ473" s="1106"/>
      <c r="AK473" s="1106"/>
      <c r="AL473" s="1106"/>
      <c r="AM473" s="1106"/>
      <c r="AN473" s="1106"/>
      <c r="AO473" s="1106"/>
    </row>
    <row r="474">
      <c r="G474" s="1106"/>
      <c r="H474" s="1106"/>
      <c r="I474" s="1106"/>
      <c r="J474" s="1106"/>
      <c r="K474" s="1106"/>
      <c r="L474" s="1106"/>
      <c r="M474" s="1106"/>
      <c r="N474" s="1106"/>
      <c r="O474" s="1106"/>
      <c r="P474" s="1106"/>
      <c r="Q474" s="1106"/>
      <c r="R474" s="1106"/>
      <c r="S474" s="1106"/>
      <c r="T474" s="1106"/>
      <c r="U474" s="1106"/>
      <c r="V474" s="1106"/>
      <c r="W474" s="1106"/>
      <c r="X474" s="1106"/>
      <c r="Y474" s="1106"/>
      <c r="Z474" s="1106"/>
      <c r="AA474" s="1106"/>
      <c r="AB474" s="1106"/>
      <c r="AC474" s="1106"/>
      <c r="AD474" s="1106"/>
      <c r="AE474" s="1106"/>
      <c r="AF474" s="1106"/>
      <c r="AG474" s="1106"/>
      <c r="AH474" s="1106"/>
      <c r="AI474" s="1106"/>
      <c r="AJ474" s="1106"/>
      <c r="AK474" s="1106"/>
      <c r="AL474" s="1106"/>
      <c r="AM474" s="1106"/>
      <c r="AN474" s="1106"/>
      <c r="AO474" s="1106"/>
    </row>
    <row r="475">
      <c r="G475" s="1106"/>
      <c r="H475" s="1106"/>
      <c r="I475" s="1106"/>
      <c r="J475" s="1106"/>
      <c r="K475" s="1106"/>
      <c r="L475" s="1106"/>
      <c r="M475" s="1106"/>
      <c r="N475" s="1106"/>
      <c r="O475" s="1106"/>
      <c r="P475" s="1106"/>
      <c r="Q475" s="1106"/>
      <c r="R475" s="1106"/>
      <c r="S475" s="1106"/>
      <c r="T475" s="1106"/>
      <c r="U475" s="1106"/>
      <c r="V475" s="1106"/>
      <c r="W475" s="1106"/>
      <c r="X475" s="1106"/>
      <c r="Y475" s="1106"/>
      <c r="Z475" s="1106"/>
      <c r="AA475" s="1106"/>
      <c r="AB475" s="1106"/>
      <c r="AC475" s="1106"/>
      <c r="AD475" s="1106"/>
      <c r="AE475" s="1106"/>
      <c r="AF475" s="1106"/>
      <c r="AG475" s="1106"/>
      <c r="AH475" s="1106"/>
      <c r="AI475" s="1106"/>
      <c r="AJ475" s="1106"/>
      <c r="AK475" s="1106"/>
      <c r="AL475" s="1106"/>
      <c r="AM475" s="1106"/>
      <c r="AN475" s="1106"/>
      <c r="AO475" s="1106"/>
    </row>
    <row r="476">
      <c r="G476" s="1106"/>
      <c r="H476" s="1106"/>
      <c r="I476" s="1106"/>
      <c r="J476" s="1106"/>
      <c r="K476" s="1106"/>
      <c r="L476" s="1106"/>
      <c r="M476" s="1106"/>
      <c r="N476" s="1106"/>
      <c r="O476" s="1106"/>
      <c r="P476" s="1106"/>
      <c r="Q476" s="1106"/>
      <c r="R476" s="1106"/>
      <c r="S476" s="1106"/>
      <c r="T476" s="1106"/>
      <c r="U476" s="1106"/>
      <c r="V476" s="1106"/>
      <c r="W476" s="1106"/>
      <c r="X476" s="1106"/>
      <c r="Y476" s="1106"/>
      <c r="Z476" s="1106"/>
      <c r="AA476" s="1106"/>
      <c r="AB476" s="1106"/>
      <c r="AC476" s="1106"/>
      <c r="AD476" s="1106"/>
      <c r="AE476" s="1106"/>
      <c r="AF476" s="1106"/>
      <c r="AG476" s="1106"/>
      <c r="AH476" s="1106"/>
      <c r="AI476" s="1106"/>
      <c r="AJ476" s="1106"/>
      <c r="AK476" s="1106"/>
      <c r="AL476" s="1106"/>
      <c r="AM476" s="1106"/>
      <c r="AN476" s="1106"/>
      <c r="AO476" s="1106"/>
    </row>
    <row r="477">
      <c r="G477" s="1106"/>
      <c r="H477" s="1106"/>
      <c r="I477" s="1106"/>
      <c r="J477" s="1106"/>
      <c r="K477" s="1106"/>
      <c r="L477" s="1106"/>
      <c r="M477" s="1106"/>
      <c r="N477" s="1106"/>
      <c r="O477" s="1106"/>
      <c r="P477" s="1106"/>
      <c r="Q477" s="1106"/>
      <c r="R477" s="1106"/>
      <c r="S477" s="1106"/>
      <c r="T477" s="1106"/>
      <c r="U477" s="1106"/>
      <c r="V477" s="1106"/>
      <c r="W477" s="1106"/>
      <c r="X477" s="1106"/>
      <c r="Y477" s="1106"/>
      <c r="Z477" s="1106"/>
      <c r="AA477" s="1106"/>
      <c r="AB477" s="1106"/>
      <c r="AC477" s="1106"/>
      <c r="AD477" s="1106"/>
      <c r="AE477" s="1106"/>
      <c r="AF477" s="1106"/>
      <c r="AG477" s="1106"/>
      <c r="AH477" s="1106"/>
      <c r="AI477" s="1106"/>
      <c r="AJ477" s="1106"/>
      <c r="AK477" s="1106"/>
      <c r="AL477" s="1106"/>
      <c r="AM477" s="1106"/>
      <c r="AN477" s="1106"/>
      <c r="AO477" s="1106"/>
    </row>
    <row r="478">
      <c r="G478" s="1106"/>
      <c r="H478" s="1106"/>
      <c r="I478" s="1106"/>
      <c r="J478" s="1106"/>
      <c r="K478" s="1106"/>
      <c r="L478" s="1106"/>
      <c r="M478" s="1106"/>
      <c r="N478" s="1106"/>
      <c r="O478" s="1106"/>
      <c r="P478" s="1106"/>
      <c r="Q478" s="1106"/>
      <c r="R478" s="1106"/>
      <c r="S478" s="1106"/>
      <c r="T478" s="1106"/>
      <c r="U478" s="1106"/>
      <c r="V478" s="1106"/>
      <c r="W478" s="1106"/>
      <c r="X478" s="1106"/>
      <c r="Y478" s="1106"/>
      <c r="Z478" s="1106"/>
      <c r="AA478" s="1106"/>
      <c r="AB478" s="1106"/>
      <c r="AC478" s="1106"/>
      <c r="AD478" s="1106"/>
      <c r="AE478" s="1106"/>
      <c r="AF478" s="1106"/>
      <c r="AG478" s="1106"/>
      <c r="AH478" s="1106"/>
      <c r="AI478" s="1106"/>
      <c r="AJ478" s="1106"/>
      <c r="AK478" s="1106"/>
      <c r="AL478" s="1106"/>
      <c r="AM478" s="1106"/>
      <c r="AN478" s="1106"/>
      <c r="AO478" s="1106"/>
    </row>
    <row r="479">
      <c r="G479" s="1106"/>
      <c r="H479" s="1106"/>
      <c r="I479" s="1106"/>
      <c r="J479" s="1106"/>
      <c r="K479" s="1106"/>
      <c r="L479" s="1106"/>
      <c r="M479" s="1106"/>
      <c r="N479" s="1106"/>
      <c r="O479" s="1106"/>
      <c r="P479" s="1106"/>
      <c r="Q479" s="1106"/>
      <c r="R479" s="1106"/>
      <c r="S479" s="1106"/>
      <c r="T479" s="1106"/>
      <c r="U479" s="1106"/>
      <c r="V479" s="1106"/>
      <c r="W479" s="1106"/>
      <c r="X479" s="1106"/>
      <c r="Y479" s="1106"/>
      <c r="Z479" s="1106"/>
      <c r="AA479" s="1106"/>
      <c r="AB479" s="1106"/>
      <c r="AC479" s="1106"/>
      <c r="AD479" s="1106"/>
      <c r="AE479" s="1106"/>
      <c r="AF479" s="1106"/>
      <c r="AG479" s="1106"/>
      <c r="AH479" s="1106"/>
      <c r="AI479" s="1106"/>
      <c r="AJ479" s="1106"/>
      <c r="AK479" s="1106"/>
      <c r="AL479" s="1106"/>
      <c r="AM479" s="1106"/>
      <c r="AN479" s="1106"/>
      <c r="AO479" s="1106"/>
    </row>
    <row r="480">
      <c r="G480" s="1106"/>
      <c r="H480" s="1106"/>
      <c r="I480" s="1106"/>
      <c r="J480" s="1106"/>
      <c r="K480" s="1106"/>
      <c r="L480" s="1106"/>
      <c r="M480" s="1106"/>
      <c r="N480" s="1106"/>
      <c r="O480" s="1106"/>
      <c r="P480" s="1106"/>
      <c r="Q480" s="1106"/>
      <c r="R480" s="1106"/>
      <c r="S480" s="1106"/>
      <c r="T480" s="1106"/>
      <c r="U480" s="1106"/>
      <c r="V480" s="1106"/>
      <c r="W480" s="1106"/>
      <c r="X480" s="1106"/>
      <c r="Y480" s="1106"/>
      <c r="Z480" s="1106"/>
      <c r="AA480" s="1106"/>
      <c r="AB480" s="1106"/>
      <c r="AC480" s="1106"/>
      <c r="AD480" s="1106"/>
      <c r="AE480" s="1106"/>
      <c r="AF480" s="1106"/>
      <c r="AG480" s="1106"/>
      <c r="AH480" s="1106"/>
      <c r="AI480" s="1106"/>
      <c r="AJ480" s="1106"/>
      <c r="AK480" s="1106"/>
      <c r="AL480" s="1106"/>
      <c r="AM480" s="1106"/>
      <c r="AN480" s="1106"/>
      <c r="AO480" s="1106"/>
    </row>
    <row r="481">
      <c r="G481" s="1106"/>
      <c r="H481" s="1106"/>
      <c r="I481" s="1106"/>
      <c r="J481" s="1106"/>
      <c r="K481" s="1106"/>
      <c r="L481" s="1106"/>
      <c r="M481" s="1106"/>
      <c r="N481" s="1106"/>
      <c r="O481" s="1106"/>
      <c r="P481" s="1106"/>
      <c r="Q481" s="1106"/>
      <c r="R481" s="1106"/>
      <c r="S481" s="1106"/>
      <c r="T481" s="1106"/>
      <c r="U481" s="1106"/>
      <c r="V481" s="1106"/>
      <c r="W481" s="1106"/>
      <c r="X481" s="1106"/>
      <c r="Y481" s="1106"/>
      <c r="Z481" s="1106"/>
      <c r="AA481" s="1106"/>
      <c r="AB481" s="1106"/>
      <c r="AC481" s="1106"/>
      <c r="AD481" s="1106"/>
      <c r="AE481" s="1106"/>
      <c r="AF481" s="1106"/>
      <c r="AG481" s="1106"/>
      <c r="AH481" s="1106"/>
      <c r="AI481" s="1106"/>
      <c r="AJ481" s="1106"/>
      <c r="AK481" s="1106"/>
      <c r="AL481" s="1106"/>
      <c r="AM481" s="1106"/>
      <c r="AN481" s="1106"/>
      <c r="AO481" s="1106"/>
    </row>
    <row r="482">
      <c r="G482" s="1106"/>
      <c r="H482" s="1106"/>
      <c r="I482" s="1106"/>
      <c r="J482" s="1106"/>
      <c r="K482" s="1106"/>
      <c r="L482" s="1106"/>
      <c r="M482" s="1106"/>
      <c r="N482" s="1106"/>
      <c r="O482" s="1106"/>
      <c r="P482" s="1106"/>
      <c r="Q482" s="1106"/>
      <c r="R482" s="1106"/>
      <c r="S482" s="1106"/>
      <c r="T482" s="1106"/>
      <c r="U482" s="1106"/>
      <c r="V482" s="1106"/>
      <c r="W482" s="1106"/>
      <c r="X482" s="1106"/>
      <c r="Y482" s="1106"/>
      <c r="Z482" s="1106"/>
      <c r="AA482" s="1106"/>
      <c r="AB482" s="1106"/>
      <c r="AC482" s="1106"/>
      <c r="AD482" s="1106"/>
      <c r="AE482" s="1106"/>
      <c r="AF482" s="1106"/>
      <c r="AG482" s="1106"/>
      <c r="AH482" s="1106"/>
      <c r="AI482" s="1106"/>
      <c r="AJ482" s="1106"/>
      <c r="AK482" s="1106"/>
      <c r="AL482" s="1106"/>
      <c r="AM482" s="1106"/>
      <c r="AN482" s="1106"/>
      <c r="AO482" s="1106"/>
    </row>
    <row r="483">
      <c r="G483" s="1106"/>
      <c r="H483" s="1106"/>
      <c r="I483" s="1106"/>
      <c r="J483" s="1106"/>
      <c r="K483" s="1106"/>
      <c r="L483" s="1106"/>
      <c r="M483" s="1106"/>
      <c r="N483" s="1106"/>
      <c r="O483" s="1106"/>
      <c r="P483" s="1106"/>
      <c r="Q483" s="1106"/>
      <c r="R483" s="1106"/>
      <c r="S483" s="1106"/>
      <c r="T483" s="1106"/>
      <c r="U483" s="1106"/>
      <c r="V483" s="1106"/>
      <c r="W483" s="1106"/>
      <c r="X483" s="1106"/>
      <c r="Y483" s="1106"/>
      <c r="Z483" s="1106"/>
      <c r="AA483" s="1106"/>
      <c r="AB483" s="1106"/>
      <c r="AC483" s="1106"/>
      <c r="AD483" s="1106"/>
      <c r="AE483" s="1106"/>
      <c r="AF483" s="1106"/>
      <c r="AG483" s="1106"/>
      <c r="AH483" s="1106"/>
      <c r="AI483" s="1106"/>
      <c r="AJ483" s="1106"/>
      <c r="AK483" s="1106"/>
      <c r="AL483" s="1106"/>
      <c r="AM483" s="1106"/>
      <c r="AN483" s="1106"/>
      <c r="AO483" s="1106"/>
    </row>
    <row r="484">
      <c r="G484" s="1106"/>
      <c r="H484" s="1106"/>
      <c r="I484" s="1106"/>
      <c r="J484" s="1106"/>
      <c r="K484" s="1106"/>
      <c r="L484" s="1106"/>
      <c r="M484" s="1106"/>
      <c r="N484" s="1106"/>
      <c r="O484" s="1106"/>
      <c r="P484" s="1106"/>
      <c r="Q484" s="1106"/>
      <c r="R484" s="1106"/>
      <c r="S484" s="1106"/>
      <c r="T484" s="1106"/>
      <c r="U484" s="1106"/>
      <c r="V484" s="1106"/>
      <c r="W484" s="1106"/>
      <c r="X484" s="1106"/>
      <c r="Y484" s="1106"/>
      <c r="Z484" s="1106"/>
      <c r="AA484" s="1106"/>
      <c r="AB484" s="1106"/>
      <c r="AC484" s="1106"/>
      <c r="AD484" s="1106"/>
      <c r="AE484" s="1106"/>
      <c r="AF484" s="1106"/>
      <c r="AG484" s="1106"/>
      <c r="AH484" s="1106"/>
      <c r="AI484" s="1106"/>
      <c r="AJ484" s="1106"/>
      <c r="AK484" s="1106"/>
      <c r="AL484" s="1106"/>
      <c r="AM484" s="1106"/>
      <c r="AN484" s="1106"/>
      <c r="AO484" s="1106"/>
    </row>
    <row r="485">
      <c r="G485" s="1106"/>
      <c r="H485" s="1106"/>
      <c r="I485" s="1106"/>
      <c r="J485" s="1106"/>
      <c r="K485" s="1106"/>
      <c r="L485" s="1106"/>
      <c r="M485" s="1106"/>
      <c r="N485" s="1106"/>
      <c r="O485" s="1106"/>
      <c r="P485" s="1106"/>
      <c r="Q485" s="1106"/>
      <c r="R485" s="1106"/>
      <c r="S485" s="1106"/>
      <c r="T485" s="1106"/>
      <c r="U485" s="1106"/>
      <c r="V485" s="1106"/>
      <c r="W485" s="1106"/>
      <c r="X485" s="1106"/>
      <c r="Y485" s="1106"/>
      <c r="Z485" s="1106"/>
      <c r="AA485" s="1106"/>
      <c r="AB485" s="1106"/>
      <c r="AC485" s="1106"/>
      <c r="AD485" s="1106"/>
      <c r="AE485" s="1106"/>
      <c r="AF485" s="1106"/>
      <c r="AG485" s="1106"/>
      <c r="AH485" s="1106"/>
      <c r="AI485" s="1106"/>
      <c r="AJ485" s="1106"/>
      <c r="AK485" s="1106"/>
      <c r="AL485" s="1106"/>
      <c r="AM485" s="1106"/>
      <c r="AN485" s="1106"/>
      <c r="AO485" s="1106"/>
    </row>
    <row r="486">
      <c r="G486" s="1106"/>
      <c r="H486" s="1106"/>
      <c r="I486" s="1106"/>
      <c r="J486" s="1106"/>
      <c r="K486" s="1106"/>
      <c r="L486" s="1106"/>
      <c r="M486" s="1106"/>
      <c r="N486" s="1106"/>
      <c r="O486" s="1106"/>
      <c r="P486" s="1106"/>
      <c r="Q486" s="1106"/>
      <c r="R486" s="1106"/>
      <c r="S486" s="1106"/>
      <c r="T486" s="1106"/>
      <c r="U486" s="1106"/>
      <c r="V486" s="1106"/>
      <c r="W486" s="1106"/>
      <c r="X486" s="1106"/>
      <c r="Y486" s="1106"/>
      <c r="Z486" s="1106"/>
      <c r="AA486" s="1106"/>
      <c r="AB486" s="1106"/>
      <c r="AC486" s="1106"/>
      <c r="AD486" s="1106"/>
      <c r="AE486" s="1106"/>
      <c r="AF486" s="1106"/>
      <c r="AG486" s="1106"/>
      <c r="AH486" s="1106"/>
      <c r="AI486" s="1106"/>
      <c r="AJ486" s="1106"/>
      <c r="AK486" s="1106"/>
      <c r="AL486" s="1106"/>
      <c r="AM486" s="1106"/>
      <c r="AN486" s="1106"/>
      <c r="AO486" s="1106"/>
    </row>
    <row r="487">
      <c r="G487" s="1106"/>
      <c r="H487" s="1106"/>
      <c r="I487" s="1106"/>
      <c r="J487" s="1106"/>
      <c r="K487" s="1106"/>
      <c r="L487" s="1106"/>
      <c r="M487" s="1106"/>
      <c r="N487" s="1106"/>
      <c r="O487" s="1106"/>
      <c r="P487" s="1106"/>
      <c r="Q487" s="1106"/>
      <c r="R487" s="1106"/>
      <c r="S487" s="1106"/>
      <c r="T487" s="1106"/>
      <c r="U487" s="1106"/>
      <c r="V487" s="1106"/>
      <c r="W487" s="1106"/>
      <c r="X487" s="1106"/>
      <c r="Y487" s="1106"/>
      <c r="Z487" s="1106"/>
      <c r="AA487" s="1106"/>
      <c r="AB487" s="1106"/>
      <c r="AC487" s="1106"/>
      <c r="AD487" s="1106"/>
      <c r="AE487" s="1106"/>
      <c r="AF487" s="1106"/>
      <c r="AG487" s="1106"/>
      <c r="AH487" s="1106"/>
      <c r="AI487" s="1106"/>
      <c r="AJ487" s="1106"/>
      <c r="AK487" s="1106"/>
      <c r="AL487" s="1106"/>
      <c r="AM487" s="1106"/>
      <c r="AN487" s="1106"/>
      <c r="AO487" s="1106"/>
    </row>
    <row r="488">
      <c r="G488" s="1106"/>
      <c r="H488" s="1106"/>
      <c r="I488" s="1106"/>
      <c r="J488" s="1106"/>
      <c r="K488" s="1106"/>
      <c r="L488" s="1106"/>
      <c r="M488" s="1106"/>
      <c r="N488" s="1106"/>
      <c r="O488" s="1106"/>
      <c r="P488" s="1106"/>
      <c r="Q488" s="1106"/>
      <c r="R488" s="1106"/>
      <c r="S488" s="1106"/>
      <c r="T488" s="1106"/>
      <c r="U488" s="1106"/>
      <c r="V488" s="1106"/>
      <c r="W488" s="1106"/>
      <c r="X488" s="1106"/>
      <c r="Y488" s="1106"/>
      <c r="Z488" s="1106"/>
      <c r="AA488" s="1106"/>
      <c r="AB488" s="1106"/>
      <c r="AC488" s="1106"/>
      <c r="AD488" s="1106"/>
      <c r="AE488" s="1106"/>
      <c r="AF488" s="1106"/>
      <c r="AG488" s="1106"/>
      <c r="AH488" s="1106"/>
      <c r="AI488" s="1106"/>
      <c r="AJ488" s="1106"/>
      <c r="AK488" s="1106"/>
      <c r="AL488" s="1106"/>
      <c r="AM488" s="1106"/>
      <c r="AN488" s="1106"/>
      <c r="AO488" s="1106"/>
    </row>
    <row r="489">
      <c r="G489" s="1106"/>
      <c r="H489" s="1106"/>
      <c r="I489" s="1106"/>
      <c r="J489" s="1106"/>
      <c r="K489" s="1106"/>
      <c r="L489" s="1106"/>
      <c r="M489" s="1106"/>
      <c r="N489" s="1106"/>
      <c r="O489" s="1106"/>
      <c r="P489" s="1106"/>
      <c r="Q489" s="1106"/>
      <c r="R489" s="1106"/>
      <c r="S489" s="1106"/>
      <c r="T489" s="1106"/>
      <c r="U489" s="1106"/>
      <c r="V489" s="1106"/>
      <c r="W489" s="1106"/>
      <c r="X489" s="1106"/>
      <c r="Y489" s="1106"/>
      <c r="Z489" s="1106"/>
      <c r="AA489" s="1106"/>
      <c r="AB489" s="1106"/>
      <c r="AC489" s="1106"/>
      <c r="AD489" s="1106"/>
      <c r="AE489" s="1106"/>
      <c r="AF489" s="1106"/>
      <c r="AG489" s="1106"/>
      <c r="AH489" s="1106"/>
      <c r="AI489" s="1106"/>
      <c r="AJ489" s="1106"/>
      <c r="AK489" s="1106"/>
      <c r="AL489" s="1106"/>
      <c r="AM489" s="1106"/>
      <c r="AN489" s="1106"/>
      <c r="AO489" s="1106"/>
    </row>
    <row r="490">
      <c r="G490" s="1106"/>
      <c r="H490" s="1106"/>
      <c r="I490" s="1106"/>
      <c r="J490" s="1106"/>
      <c r="K490" s="1106"/>
      <c r="L490" s="1106"/>
      <c r="M490" s="1106"/>
      <c r="N490" s="1106"/>
      <c r="O490" s="1106"/>
      <c r="P490" s="1106"/>
      <c r="Q490" s="1106"/>
      <c r="R490" s="1106"/>
      <c r="S490" s="1106"/>
      <c r="T490" s="1106"/>
      <c r="U490" s="1106"/>
      <c r="V490" s="1106"/>
      <c r="W490" s="1106"/>
      <c r="X490" s="1106"/>
      <c r="Y490" s="1106"/>
      <c r="Z490" s="1106"/>
      <c r="AA490" s="1106"/>
      <c r="AB490" s="1106"/>
      <c r="AC490" s="1106"/>
      <c r="AD490" s="1106"/>
      <c r="AE490" s="1106"/>
      <c r="AF490" s="1106"/>
      <c r="AG490" s="1106"/>
      <c r="AH490" s="1106"/>
      <c r="AI490" s="1106"/>
      <c r="AJ490" s="1106"/>
      <c r="AK490" s="1106"/>
      <c r="AL490" s="1106"/>
      <c r="AM490" s="1106"/>
      <c r="AN490" s="1106"/>
      <c r="AO490" s="1106"/>
    </row>
    <row r="491">
      <c r="G491" s="1106"/>
      <c r="H491" s="1106"/>
      <c r="I491" s="1106"/>
      <c r="J491" s="1106"/>
      <c r="K491" s="1106"/>
      <c r="L491" s="1106"/>
      <c r="M491" s="1106"/>
      <c r="N491" s="1106"/>
      <c r="O491" s="1106"/>
      <c r="P491" s="1106"/>
      <c r="Q491" s="1106"/>
      <c r="R491" s="1106"/>
      <c r="S491" s="1106"/>
      <c r="T491" s="1106"/>
      <c r="U491" s="1106"/>
      <c r="V491" s="1106"/>
      <c r="W491" s="1106"/>
      <c r="X491" s="1106"/>
      <c r="Y491" s="1106"/>
      <c r="Z491" s="1106"/>
      <c r="AA491" s="1106"/>
      <c r="AB491" s="1106"/>
      <c r="AC491" s="1106"/>
      <c r="AD491" s="1106"/>
      <c r="AE491" s="1106"/>
      <c r="AF491" s="1106"/>
      <c r="AG491" s="1106"/>
      <c r="AH491" s="1106"/>
      <c r="AI491" s="1106"/>
      <c r="AJ491" s="1106"/>
      <c r="AK491" s="1106"/>
      <c r="AL491" s="1106"/>
      <c r="AM491" s="1106"/>
      <c r="AN491" s="1106"/>
      <c r="AO491" s="1106"/>
    </row>
    <row r="492">
      <c r="G492" s="1106"/>
      <c r="H492" s="1106"/>
      <c r="I492" s="1106"/>
      <c r="J492" s="1106"/>
      <c r="K492" s="1106"/>
      <c r="L492" s="1106"/>
      <c r="M492" s="1106"/>
      <c r="N492" s="1106"/>
      <c r="O492" s="1106"/>
      <c r="P492" s="1106"/>
      <c r="Q492" s="1106"/>
      <c r="R492" s="1106"/>
      <c r="S492" s="1106"/>
      <c r="T492" s="1106"/>
      <c r="U492" s="1106"/>
      <c r="V492" s="1106"/>
      <c r="W492" s="1106"/>
      <c r="X492" s="1106"/>
      <c r="Y492" s="1106"/>
      <c r="Z492" s="1106"/>
      <c r="AA492" s="1106"/>
      <c r="AB492" s="1106"/>
      <c r="AC492" s="1106"/>
      <c r="AD492" s="1106"/>
      <c r="AE492" s="1106"/>
      <c r="AF492" s="1106"/>
      <c r="AG492" s="1106"/>
      <c r="AH492" s="1106"/>
      <c r="AI492" s="1106"/>
      <c r="AJ492" s="1106"/>
      <c r="AK492" s="1106"/>
      <c r="AL492" s="1106"/>
      <c r="AM492" s="1106"/>
      <c r="AN492" s="1106"/>
      <c r="AO492" s="1106"/>
    </row>
    <row r="493">
      <c r="G493" s="1106"/>
      <c r="H493" s="1106"/>
      <c r="I493" s="1106"/>
      <c r="J493" s="1106"/>
      <c r="K493" s="1106"/>
      <c r="L493" s="1106"/>
      <c r="M493" s="1106"/>
      <c r="N493" s="1106"/>
      <c r="O493" s="1106"/>
      <c r="P493" s="1106"/>
      <c r="Q493" s="1106"/>
      <c r="R493" s="1106"/>
      <c r="S493" s="1106"/>
      <c r="T493" s="1106"/>
      <c r="U493" s="1106"/>
      <c r="V493" s="1106"/>
      <c r="W493" s="1106"/>
      <c r="X493" s="1106"/>
      <c r="Y493" s="1106"/>
      <c r="Z493" s="1106"/>
      <c r="AA493" s="1106"/>
      <c r="AB493" s="1106"/>
      <c r="AC493" s="1106"/>
      <c r="AD493" s="1106"/>
      <c r="AE493" s="1106"/>
      <c r="AF493" s="1106"/>
      <c r="AG493" s="1106"/>
      <c r="AH493" s="1106"/>
      <c r="AI493" s="1106"/>
      <c r="AJ493" s="1106"/>
      <c r="AK493" s="1106"/>
      <c r="AL493" s="1106"/>
      <c r="AM493" s="1106"/>
      <c r="AN493" s="1106"/>
      <c r="AO493" s="1106"/>
    </row>
    <row r="494">
      <c r="G494" s="1106"/>
      <c r="H494" s="1106"/>
      <c r="I494" s="1106"/>
      <c r="J494" s="1106"/>
      <c r="K494" s="1106"/>
      <c r="L494" s="1106"/>
      <c r="M494" s="1106"/>
      <c r="N494" s="1106"/>
      <c r="O494" s="1106"/>
      <c r="P494" s="1106"/>
      <c r="Q494" s="1106"/>
      <c r="R494" s="1106"/>
      <c r="S494" s="1106"/>
      <c r="T494" s="1106"/>
      <c r="U494" s="1106"/>
      <c r="V494" s="1106"/>
      <c r="W494" s="1106"/>
      <c r="X494" s="1106"/>
      <c r="Y494" s="1106"/>
      <c r="Z494" s="1106"/>
      <c r="AA494" s="1106"/>
      <c r="AB494" s="1106"/>
      <c r="AC494" s="1106"/>
      <c r="AD494" s="1106"/>
      <c r="AE494" s="1106"/>
      <c r="AF494" s="1106"/>
      <c r="AG494" s="1106"/>
      <c r="AH494" s="1106"/>
      <c r="AI494" s="1106"/>
      <c r="AJ494" s="1106"/>
      <c r="AK494" s="1106"/>
      <c r="AL494" s="1106"/>
      <c r="AM494" s="1106"/>
      <c r="AN494" s="1106"/>
      <c r="AO494" s="1106"/>
    </row>
    <row r="495">
      <c r="G495" s="1106"/>
      <c r="H495" s="1106"/>
      <c r="I495" s="1106"/>
      <c r="J495" s="1106"/>
      <c r="K495" s="1106"/>
      <c r="L495" s="1106"/>
      <c r="M495" s="1106"/>
      <c r="N495" s="1106"/>
      <c r="O495" s="1106"/>
      <c r="P495" s="1106"/>
      <c r="Q495" s="1106"/>
      <c r="R495" s="1106"/>
      <c r="S495" s="1106"/>
      <c r="T495" s="1106"/>
      <c r="U495" s="1106"/>
      <c r="V495" s="1106"/>
      <c r="W495" s="1106"/>
      <c r="X495" s="1106"/>
      <c r="Y495" s="1106"/>
      <c r="Z495" s="1106"/>
      <c r="AA495" s="1106"/>
      <c r="AB495" s="1106"/>
      <c r="AC495" s="1106"/>
      <c r="AD495" s="1106"/>
      <c r="AE495" s="1106"/>
      <c r="AF495" s="1106"/>
      <c r="AG495" s="1106"/>
      <c r="AH495" s="1106"/>
      <c r="AI495" s="1106"/>
      <c r="AJ495" s="1106"/>
      <c r="AK495" s="1106"/>
      <c r="AL495" s="1106"/>
      <c r="AM495" s="1106"/>
      <c r="AN495" s="1106"/>
      <c r="AO495" s="1106"/>
    </row>
    <row r="496">
      <c r="G496" s="1106"/>
      <c r="H496" s="1106"/>
      <c r="I496" s="1106"/>
      <c r="J496" s="1106"/>
      <c r="K496" s="1106"/>
      <c r="L496" s="1106"/>
      <c r="M496" s="1106"/>
      <c r="N496" s="1106"/>
      <c r="O496" s="1106"/>
      <c r="P496" s="1106"/>
      <c r="Q496" s="1106"/>
      <c r="R496" s="1106"/>
      <c r="S496" s="1106"/>
      <c r="T496" s="1106"/>
      <c r="U496" s="1106"/>
      <c r="V496" s="1106"/>
      <c r="W496" s="1106"/>
      <c r="X496" s="1106"/>
      <c r="Y496" s="1106"/>
      <c r="Z496" s="1106"/>
      <c r="AA496" s="1106"/>
      <c r="AB496" s="1106"/>
      <c r="AC496" s="1106"/>
      <c r="AD496" s="1106"/>
      <c r="AE496" s="1106"/>
      <c r="AF496" s="1106"/>
      <c r="AG496" s="1106"/>
      <c r="AH496" s="1106"/>
      <c r="AI496" s="1106"/>
      <c r="AJ496" s="1106"/>
      <c r="AK496" s="1106"/>
      <c r="AL496" s="1106"/>
      <c r="AM496" s="1106"/>
      <c r="AN496" s="1106"/>
      <c r="AO496" s="1106"/>
    </row>
    <row r="497">
      <c r="G497" s="1106"/>
      <c r="H497" s="1106"/>
      <c r="I497" s="1106"/>
      <c r="J497" s="1106"/>
      <c r="K497" s="1106"/>
      <c r="L497" s="1106"/>
      <c r="M497" s="1106"/>
      <c r="N497" s="1106"/>
      <c r="O497" s="1106"/>
      <c r="P497" s="1106"/>
      <c r="Q497" s="1106"/>
      <c r="R497" s="1106"/>
      <c r="S497" s="1106"/>
      <c r="T497" s="1106"/>
      <c r="U497" s="1106"/>
      <c r="V497" s="1106"/>
      <c r="W497" s="1106"/>
      <c r="X497" s="1106"/>
      <c r="Y497" s="1106"/>
      <c r="Z497" s="1106"/>
      <c r="AA497" s="1106"/>
      <c r="AB497" s="1106"/>
      <c r="AC497" s="1106"/>
      <c r="AD497" s="1106"/>
      <c r="AE497" s="1106"/>
      <c r="AF497" s="1106"/>
      <c r="AG497" s="1106"/>
      <c r="AH497" s="1106"/>
      <c r="AI497" s="1106"/>
      <c r="AJ497" s="1106"/>
      <c r="AK497" s="1106"/>
      <c r="AL497" s="1106"/>
      <c r="AM497" s="1106"/>
      <c r="AN497" s="1106"/>
      <c r="AO497" s="1106"/>
    </row>
    <row r="498">
      <c r="G498" s="1106"/>
      <c r="H498" s="1106"/>
      <c r="I498" s="1106"/>
      <c r="J498" s="1106"/>
      <c r="K498" s="1106"/>
      <c r="L498" s="1106"/>
      <c r="M498" s="1106"/>
      <c r="N498" s="1106"/>
      <c r="O498" s="1106"/>
      <c r="P498" s="1106"/>
      <c r="Q498" s="1106"/>
      <c r="R498" s="1106"/>
      <c r="S498" s="1106"/>
      <c r="T498" s="1106"/>
      <c r="U498" s="1106"/>
      <c r="V498" s="1106"/>
      <c r="W498" s="1106"/>
      <c r="X498" s="1106"/>
      <c r="Y498" s="1106"/>
      <c r="Z498" s="1106"/>
      <c r="AA498" s="1106"/>
      <c r="AB498" s="1106"/>
      <c r="AC498" s="1106"/>
      <c r="AD498" s="1106"/>
      <c r="AE498" s="1106"/>
      <c r="AF498" s="1106"/>
      <c r="AG498" s="1106"/>
      <c r="AH498" s="1106"/>
      <c r="AI498" s="1106"/>
      <c r="AJ498" s="1106"/>
      <c r="AK498" s="1106"/>
      <c r="AL498" s="1106"/>
      <c r="AM498" s="1106"/>
      <c r="AN498" s="1106"/>
      <c r="AO498" s="1106"/>
    </row>
    <row r="499">
      <c r="G499" s="1106"/>
      <c r="H499" s="1106"/>
      <c r="I499" s="1106"/>
      <c r="J499" s="1106"/>
      <c r="K499" s="1106"/>
      <c r="L499" s="1106"/>
      <c r="M499" s="1106"/>
      <c r="N499" s="1106"/>
      <c r="O499" s="1106"/>
      <c r="P499" s="1106"/>
      <c r="Q499" s="1106"/>
      <c r="R499" s="1106"/>
      <c r="S499" s="1106"/>
      <c r="T499" s="1106"/>
      <c r="U499" s="1106"/>
      <c r="V499" s="1106"/>
      <c r="W499" s="1106"/>
      <c r="X499" s="1106"/>
      <c r="Y499" s="1106"/>
      <c r="Z499" s="1106"/>
      <c r="AA499" s="1106"/>
      <c r="AB499" s="1106"/>
      <c r="AC499" s="1106"/>
      <c r="AD499" s="1106"/>
      <c r="AE499" s="1106"/>
      <c r="AF499" s="1106"/>
      <c r="AG499" s="1106"/>
      <c r="AH499" s="1106"/>
      <c r="AI499" s="1106"/>
      <c r="AJ499" s="1106"/>
      <c r="AK499" s="1106"/>
      <c r="AL499" s="1106"/>
      <c r="AM499" s="1106"/>
      <c r="AN499" s="1106"/>
      <c r="AO499" s="1106"/>
    </row>
    <row r="500">
      <c r="G500" s="1106"/>
      <c r="H500" s="1106"/>
      <c r="I500" s="1106"/>
      <c r="J500" s="1106"/>
      <c r="K500" s="1106"/>
      <c r="L500" s="1106"/>
      <c r="M500" s="1106"/>
      <c r="N500" s="1106"/>
      <c r="O500" s="1106"/>
      <c r="P500" s="1106"/>
      <c r="Q500" s="1106"/>
      <c r="R500" s="1106"/>
      <c r="S500" s="1106"/>
      <c r="T500" s="1106"/>
      <c r="U500" s="1106"/>
      <c r="V500" s="1106"/>
      <c r="W500" s="1106"/>
      <c r="X500" s="1106"/>
      <c r="Y500" s="1106"/>
      <c r="Z500" s="1106"/>
      <c r="AA500" s="1106"/>
      <c r="AB500" s="1106"/>
      <c r="AC500" s="1106"/>
      <c r="AD500" s="1106"/>
      <c r="AE500" s="1106"/>
      <c r="AF500" s="1106"/>
      <c r="AG500" s="1106"/>
      <c r="AH500" s="1106"/>
      <c r="AI500" s="1106"/>
      <c r="AJ500" s="1106"/>
      <c r="AK500" s="1106"/>
      <c r="AL500" s="1106"/>
      <c r="AM500" s="1106"/>
      <c r="AN500" s="1106"/>
      <c r="AO500" s="1106"/>
    </row>
    <row r="501">
      <c r="G501" s="1106"/>
      <c r="H501" s="1106"/>
      <c r="I501" s="1106"/>
      <c r="J501" s="1106"/>
      <c r="K501" s="1106"/>
      <c r="L501" s="1106"/>
      <c r="M501" s="1106"/>
      <c r="N501" s="1106"/>
      <c r="O501" s="1106"/>
      <c r="P501" s="1106"/>
      <c r="Q501" s="1106"/>
      <c r="R501" s="1106"/>
      <c r="S501" s="1106"/>
      <c r="T501" s="1106"/>
      <c r="U501" s="1106"/>
      <c r="V501" s="1106"/>
      <c r="W501" s="1106"/>
      <c r="X501" s="1106"/>
      <c r="Y501" s="1106"/>
      <c r="Z501" s="1106"/>
      <c r="AA501" s="1106"/>
      <c r="AB501" s="1106"/>
      <c r="AC501" s="1106"/>
      <c r="AD501" s="1106"/>
      <c r="AE501" s="1106"/>
      <c r="AF501" s="1106"/>
      <c r="AG501" s="1106"/>
      <c r="AH501" s="1106"/>
      <c r="AI501" s="1106"/>
      <c r="AJ501" s="1106"/>
      <c r="AK501" s="1106"/>
      <c r="AL501" s="1106"/>
      <c r="AM501" s="1106"/>
      <c r="AN501" s="1106"/>
      <c r="AO501" s="1106"/>
    </row>
    <row r="502">
      <c r="G502" s="1106"/>
      <c r="H502" s="1106"/>
      <c r="I502" s="1106"/>
      <c r="J502" s="1106"/>
      <c r="K502" s="1106"/>
      <c r="L502" s="1106"/>
      <c r="M502" s="1106"/>
      <c r="N502" s="1106"/>
      <c r="O502" s="1106"/>
      <c r="P502" s="1106"/>
      <c r="Q502" s="1106"/>
      <c r="R502" s="1106"/>
      <c r="S502" s="1106"/>
      <c r="T502" s="1106"/>
      <c r="U502" s="1106"/>
      <c r="V502" s="1106"/>
      <c r="W502" s="1106"/>
      <c r="X502" s="1106"/>
      <c r="Y502" s="1106"/>
      <c r="Z502" s="1106"/>
      <c r="AA502" s="1106"/>
      <c r="AB502" s="1106"/>
      <c r="AC502" s="1106"/>
      <c r="AD502" s="1106"/>
      <c r="AE502" s="1106"/>
      <c r="AF502" s="1106"/>
      <c r="AG502" s="1106"/>
      <c r="AH502" s="1106"/>
      <c r="AI502" s="1106"/>
      <c r="AJ502" s="1106"/>
      <c r="AK502" s="1106"/>
      <c r="AL502" s="1106"/>
      <c r="AM502" s="1106"/>
      <c r="AN502" s="1106"/>
      <c r="AO502" s="1106"/>
    </row>
    <row r="503">
      <c r="G503" s="1106"/>
      <c r="H503" s="1106"/>
      <c r="I503" s="1106"/>
      <c r="J503" s="1106"/>
      <c r="K503" s="1106"/>
      <c r="L503" s="1106"/>
      <c r="M503" s="1106"/>
      <c r="N503" s="1106"/>
      <c r="O503" s="1106"/>
      <c r="P503" s="1106"/>
      <c r="Q503" s="1106"/>
      <c r="R503" s="1106"/>
      <c r="S503" s="1106"/>
      <c r="T503" s="1106"/>
      <c r="U503" s="1106"/>
      <c r="V503" s="1106"/>
      <c r="W503" s="1106"/>
      <c r="X503" s="1106"/>
      <c r="Y503" s="1106"/>
      <c r="Z503" s="1106"/>
      <c r="AA503" s="1106"/>
      <c r="AB503" s="1106"/>
      <c r="AC503" s="1106"/>
      <c r="AD503" s="1106"/>
      <c r="AE503" s="1106"/>
      <c r="AF503" s="1106"/>
      <c r="AG503" s="1106"/>
      <c r="AH503" s="1106"/>
      <c r="AI503" s="1106"/>
      <c r="AJ503" s="1106"/>
      <c r="AK503" s="1106"/>
      <c r="AL503" s="1106"/>
      <c r="AM503" s="1106"/>
      <c r="AN503" s="1106"/>
      <c r="AO503" s="1106"/>
    </row>
    <row r="504">
      <c r="G504" s="1106"/>
      <c r="H504" s="1106"/>
      <c r="I504" s="1106"/>
      <c r="J504" s="1106"/>
      <c r="K504" s="1106"/>
      <c r="L504" s="1106"/>
      <c r="M504" s="1106"/>
      <c r="N504" s="1106"/>
      <c r="O504" s="1106"/>
      <c r="P504" s="1106"/>
      <c r="Q504" s="1106"/>
      <c r="R504" s="1106"/>
      <c r="S504" s="1106"/>
      <c r="T504" s="1106"/>
      <c r="U504" s="1106"/>
      <c r="V504" s="1106"/>
      <c r="W504" s="1106"/>
      <c r="X504" s="1106"/>
      <c r="Y504" s="1106"/>
      <c r="Z504" s="1106"/>
      <c r="AA504" s="1106"/>
      <c r="AB504" s="1106"/>
      <c r="AC504" s="1106"/>
      <c r="AD504" s="1106"/>
      <c r="AE504" s="1106"/>
      <c r="AF504" s="1106"/>
      <c r="AG504" s="1106"/>
      <c r="AH504" s="1106"/>
      <c r="AI504" s="1106"/>
      <c r="AJ504" s="1106"/>
      <c r="AK504" s="1106"/>
      <c r="AL504" s="1106"/>
      <c r="AM504" s="1106"/>
      <c r="AN504" s="1106"/>
      <c r="AO504" s="1106"/>
    </row>
    <row r="505">
      <c r="G505" s="1106"/>
      <c r="H505" s="1106"/>
      <c r="I505" s="1106"/>
      <c r="J505" s="1106"/>
      <c r="K505" s="1106"/>
      <c r="L505" s="1106"/>
      <c r="M505" s="1106"/>
      <c r="N505" s="1106"/>
      <c r="O505" s="1106"/>
      <c r="P505" s="1106"/>
      <c r="Q505" s="1106"/>
      <c r="R505" s="1106"/>
      <c r="S505" s="1106"/>
      <c r="T505" s="1106"/>
      <c r="U505" s="1106"/>
      <c r="V505" s="1106"/>
      <c r="W505" s="1106"/>
      <c r="X505" s="1106"/>
      <c r="Y505" s="1106"/>
      <c r="Z505" s="1106"/>
      <c r="AA505" s="1106"/>
      <c r="AB505" s="1106"/>
      <c r="AC505" s="1106"/>
      <c r="AD505" s="1106"/>
      <c r="AE505" s="1106"/>
      <c r="AF505" s="1106"/>
      <c r="AG505" s="1106"/>
      <c r="AH505" s="1106"/>
      <c r="AI505" s="1106"/>
      <c r="AJ505" s="1106"/>
      <c r="AK505" s="1106"/>
      <c r="AL505" s="1106"/>
      <c r="AM505" s="1106"/>
      <c r="AN505" s="1106"/>
      <c r="AO505" s="1106"/>
    </row>
    <row r="506">
      <c r="G506" s="1106"/>
      <c r="H506" s="1106"/>
      <c r="I506" s="1106"/>
      <c r="J506" s="1106"/>
      <c r="K506" s="1106"/>
      <c r="L506" s="1106"/>
      <c r="M506" s="1106"/>
      <c r="N506" s="1106"/>
      <c r="O506" s="1106"/>
      <c r="P506" s="1106"/>
      <c r="Q506" s="1106"/>
      <c r="R506" s="1106"/>
      <c r="S506" s="1106"/>
      <c r="T506" s="1106"/>
      <c r="U506" s="1106"/>
      <c r="V506" s="1106"/>
      <c r="W506" s="1106"/>
      <c r="X506" s="1106"/>
      <c r="Y506" s="1106"/>
      <c r="Z506" s="1106"/>
      <c r="AA506" s="1106"/>
      <c r="AB506" s="1106"/>
      <c r="AC506" s="1106"/>
      <c r="AD506" s="1106"/>
      <c r="AE506" s="1106"/>
      <c r="AF506" s="1106"/>
      <c r="AG506" s="1106"/>
      <c r="AH506" s="1106"/>
      <c r="AI506" s="1106"/>
      <c r="AJ506" s="1106"/>
      <c r="AK506" s="1106"/>
      <c r="AL506" s="1106"/>
      <c r="AM506" s="1106"/>
      <c r="AN506" s="1106"/>
      <c r="AO506" s="1106"/>
    </row>
    <row r="507">
      <c r="G507" s="1106"/>
      <c r="H507" s="1106"/>
      <c r="I507" s="1106"/>
      <c r="J507" s="1106"/>
      <c r="K507" s="1106"/>
      <c r="L507" s="1106"/>
      <c r="M507" s="1106"/>
      <c r="N507" s="1106"/>
      <c r="O507" s="1106"/>
      <c r="P507" s="1106"/>
      <c r="Q507" s="1106"/>
      <c r="R507" s="1106"/>
      <c r="S507" s="1106"/>
      <c r="T507" s="1106"/>
      <c r="U507" s="1106"/>
      <c r="V507" s="1106"/>
      <c r="W507" s="1106"/>
      <c r="X507" s="1106"/>
      <c r="Y507" s="1106"/>
      <c r="Z507" s="1106"/>
      <c r="AA507" s="1106"/>
      <c r="AB507" s="1106"/>
      <c r="AC507" s="1106"/>
      <c r="AD507" s="1106"/>
      <c r="AE507" s="1106"/>
      <c r="AF507" s="1106"/>
      <c r="AG507" s="1106"/>
      <c r="AH507" s="1106"/>
      <c r="AI507" s="1106"/>
      <c r="AJ507" s="1106"/>
      <c r="AK507" s="1106"/>
      <c r="AL507" s="1106"/>
      <c r="AM507" s="1106"/>
      <c r="AN507" s="1106"/>
      <c r="AO507" s="1106"/>
    </row>
    <row r="508">
      <c r="G508" s="1106"/>
      <c r="H508" s="1106"/>
      <c r="I508" s="1106"/>
      <c r="J508" s="1106"/>
      <c r="K508" s="1106"/>
      <c r="L508" s="1106"/>
      <c r="M508" s="1106"/>
      <c r="N508" s="1106"/>
      <c r="O508" s="1106"/>
      <c r="P508" s="1106"/>
      <c r="Q508" s="1106"/>
      <c r="R508" s="1106"/>
      <c r="S508" s="1106"/>
      <c r="T508" s="1106"/>
      <c r="U508" s="1106"/>
      <c r="V508" s="1106"/>
      <c r="W508" s="1106"/>
      <c r="X508" s="1106"/>
      <c r="Y508" s="1106"/>
      <c r="Z508" s="1106"/>
      <c r="AA508" s="1106"/>
      <c r="AB508" s="1106"/>
      <c r="AC508" s="1106"/>
      <c r="AD508" s="1106"/>
      <c r="AE508" s="1106"/>
      <c r="AF508" s="1106"/>
      <c r="AG508" s="1106"/>
      <c r="AH508" s="1106"/>
      <c r="AI508" s="1106"/>
      <c r="AJ508" s="1106"/>
      <c r="AK508" s="1106"/>
      <c r="AL508" s="1106"/>
      <c r="AM508" s="1106"/>
      <c r="AN508" s="1106"/>
      <c r="AO508" s="1106"/>
    </row>
    <row r="509">
      <c r="G509" s="1106"/>
      <c r="H509" s="1106"/>
      <c r="I509" s="1106"/>
      <c r="J509" s="1106"/>
      <c r="K509" s="1106"/>
      <c r="L509" s="1106"/>
      <c r="M509" s="1106"/>
      <c r="N509" s="1106"/>
      <c r="O509" s="1106"/>
      <c r="P509" s="1106"/>
      <c r="Q509" s="1106"/>
      <c r="R509" s="1106"/>
      <c r="S509" s="1106"/>
      <c r="T509" s="1106"/>
      <c r="U509" s="1106"/>
      <c r="V509" s="1106"/>
      <c r="W509" s="1106"/>
      <c r="X509" s="1106"/>
      <c r="Y509" s="1106"/>
      <c r="Z509" s="1106"/>
      <c r="AA509" s="1106"/>
      <c r="AB509" s="1106"/>
      <c r="AC509" s="1106"/>
      <c r="AD509" s="1106"/>
      <c r="AE509" s="1106"/>
      <c r="AF509" s="1106"/>
      <c r="AG509" s="1106"/>
      <c r="AH509" s="1106"/>
      <c r="AI509" s="1106"/>
      <c r="AJ509" s="1106"/>
      <c r="AK509" s="1106"/>
      <c r="AL509" s="1106"/>
      <c r="AM509" s="1106"/>
      <c r="AN509" s="1106"/>
      <c r="AO509" s="1106"/>
    </row>
    <row r="510">
      <c r="G510" s="1106"/>
      <c r="H510" s="1106"/>
      <c r="I510" s="1106"/>
      <c r="J510" s="1106"/>
      <c r="K510" s="1106"/>
      <c r="L510" s="1106"/>
      <c r="M510" s="1106"/>
      <c r="N510" s="1106"/>
      <c r="O510" s="1106"/>
      <c r="P510" s="1106"/>
      <c r="Q510" s="1106"/>
      <c r="R510" s="1106"/>
      <c r="S510" s="1106"/>
      <c r="T510" s="1106"/>
      <c r="U510" s="1106"/>
      <c r="V510" s="1106"/>
      <c r="W510" s="1106"/>
      <c r="X510" s="1106"/>
      <c r="Y510" s="1106"/>
      <c r="Z510" s="1106"/>
      <c r="AA510" s="1106"/>
      <c r="AB510" s="1106"/>
      <c r="AC510" s="1106"/>
      <c r="AD510" s="1106"/>
      <c r="AE510" s="1106"/>
      <c r="AF510" s="1106"/>
      <c r="AG510" s="1106"/>
      <c r="AH510" s="1106"/>
      <c r="AI510" s="1106"/>
      <c r="AJ510" s="1106"/>
      <c r="AK510" s="1106"/>
      <c r="AL510" s="1106"/>
      <c r="AM510" s="1106"/>
      <c r="AN510" s="1106"/>
      <c r="AO510" s="1106"/>
    </row>
    <row r="511">
      <c r="G511" s="1106"/>
      <c r="H511" s="1106"/>
      <c r="I511" s="1106"/>
      <c r="J511" s="1106"/>
      <c r="K511" s="1106"/>
      <c r="L511" s="1106"/>
      <c r="M511" s="1106"/>
      <c r="N511" s="1106"/>
      <c r="O511" s="1106"/>
      <c r="P511" s="1106"/>
      <c r="Q511" s="1106"/>
      <c r="R511" s="1106"/>
      <c r="S511" s="1106"/>
      <c r="T511" s="1106"/>
      <c r="U511" s="1106"/>
      <c r="V511" s="1106"/>
      <c r="W511" s="1106"/>
      <c r="X511" s="1106"/>
      <c r="Y511" s="1106"/>
      <c r="Z511" s="1106"/>
      <c r="AA511" s="1106"/>
      <c r="AB511" s="1106"/>
      <c r="AC511" s="1106"/>
      <c r="AD511" s="1106"/>
      <c r="AE511" s="1106"/>
      <c r="AF511" s="1106"/>
      <c r="AG511" s="1106"/>
      <c r="AH511" s="1106"/>
      <c r="AI511" s="1106"/>
      <c r="AJ511" s="1106"/>
      <c r="AK511" s="1106"/>
      <c r="AL511" s="1106"/>
      <c r="AM511" s="1106"/>
      <c r="AN511" s="1106"/>
      <c r="AO511" s="1106"/>
    </row>
    <row r="512">
      <c r="G512" s="1106"/>
      <c r="H512" s="1106"/>
      <c r="I512" s="1106"/>
      <c r="J512" s="1106"/>
      <c r="K512" s="1106"/>
      <c r="L512" s="1106"/>
      <c r="M512" s="1106"/>
      <c r="N512" s="1106"/>
      <c r="O512" s="1106"/>
      <c r="P512" s="1106"/>
      <c r="Q512" s="1106"/>
      <c r="R512" s="1106"/>
      <c r="S512" s="1106"/>
      <c r="T512" s="1106"/>
      <c r="U512" s="1106"/>
      <c r="V512" s="1106"/>
      <c r="W512" s="1106"/>
      <c r="X512" s="1106"/>
      <c r="Y512" s="1106"/>
      <c r="Z512" s="1106"/>
      <c r="AA512" s="1106"/>
      <c r="AB512" s="1106"/>
      <c r="AC512" s="1106"/>
      <c r="AD512" s="1106"/>
      <c r="AE512" s="1106"/>
      <c r="AF512" s="1106"/>
      <c r="AG512" s="1106"/>
      <c r="AH512" s="1106"/>
      <c r="AI512" s="1106"/>
      <c r="AJ512" s="1106"/>
      <c r="AK512" s="1106"/>
      <c r="AL512" s="1106"/>
      <c r="AM512" s="1106"/>
      <c r="AN512" s="1106"/>
      <c r="AO512" s="1106"/>
    </row>
    <row r="513">
      <c r="G513" s="1106"/>
      <c r="H513" s="1106"/>
      <c r="I513" s="1106"/>
      <c r="J513" s="1106"/>
      <c r="K513" s="1106"/>
      <c r="L513" s="1106"/>
      <c r="M513" s="1106"/>
      <c r="N513" s="1106"/>
      <c r="O513" s="1106"/>
      <c r="P513" s="1106"/>
      <c r="Q513" s="1106"/>
      <c r="R513" s="1106"/>
      <c r="S513" s="1106"/>
      <c r="T513" s="1106"/>
      <c r="U513" s="1106"/>
      <c r="V513" s="1106"/>
      <c r="W513" s="1106"/>
      <c r="X513" s="1106"/>
      <c r="Y513" s="1106"/>
      <c r="Z513" s="1106"/>
      <c r="AA513" s="1106"/>
      <c r="AB513" s="1106"/>
      <c r="AC513" s="1106"/>
      <c r="AD513" s="1106"/>
      <c r="AE513" s="1106"/>
      <c r="AF513" s="1106"/>
      <c r="AG513" s="1106"/>
      <c r="AH513" s="1106"/>
      <c r="AI513" s="1106"/>
      <c r="AJ513" s="1106"/>
      <c r="AK513" s="1106"/>
      <c r="AL513" s="1106"/>
      <c r="AM513" s="1106"/>
      <c r="AN513" s="1106"/>
      <c r="AO513" s="1106"/>
    </row>
    <row r="514">
      <c r="G514" s="1106"/>
      <c r="H514" s="1106"/>
      <c r="I514" s="1106"/>
      <c r="J514" s="1106"/>
      <c r="K514" s="1106"/>
      <c r="L514" s="1106"/>
      <c r="M514" s="1106"/>
      <c r="N514" s="1106"/>
      <c r="O514" s="1106"/>
      <c r="P514" s="1106"/>
      <c r="Q514" s="1106"/>
      <c r="R514" s="1106"/>
      <c r="S514" s="1106"/>
      <c r="T514" s="1106"/>
      <c r="U514" s="1106"/>
      <c r="V514" s="1106"/>
      <c r="W514" s="1106"/>
      <c r="X514" s="1106"/>
      <c r="Y514" s="1106"/>
      <c r="Z514" s="1106"/>
      <c r="AA514" s="1106"/>
      <c r="AB514" s="1106"/>
      <c r="AC514" s="1106"/>
      <c r="AD514" s="1106"/>
      <c r="AE514" s="1106"/>
      <c r="AF514" s="1106"/>
      <c r="AG514" s="1106"/>
      <c r="AH514" s="1106"/>
      <c r="AI514" s="1106"/>
      <c r="AJ514" s="1106"/>
      <c r="AK514" s="1106"/>
      <c r="AL514" s="1106"/>
      <c r="AM514" s="1106"/>
      <c r="AN514" s="1106"/>
      <c r="AO514" s="1106"/>
    </row>
    <row r="515">
      <c r="G515" s="1106"/>
      <c r="H515" s="1106"/>
      <c r="I515" s="1106"/>
      <c r="J515" s="1106"/>
      <c r="K515" s="1106"/>
      <c r="L515" s="1106"/>
      <c r="M515" s="1106"/>
      <c r="N515" s="1106"/>
      <c r="O515" s="1106"/>
      <c r="P515" s="1106"/>
      <c r="Q515" s="1106"/>
      <c r="R515" s="1106"/>
      <c r="S515" s="1106"/>
      <c r="T515" s="1106"/>
      <c r="U515" s="1106"/>
      <c r="V515" s="1106"/>
      <c r="W515" s="1106"/>
      <c r="X515" s="1106"/>
      <c r="Y515" s="1106"/>
      <c r="Z515" s="1106"/>
      <c r="AA515" s="1106"/>
      <c r="AB515" s="1106"/>
      <c r="AC515" s="1106"/>
      <c r="AD515" s="1106"/>
      <c r="AE515" s="1106"/>
      <c r="AF515" s="1106"/>
      <c r="AG515" s="1106"/>
      <c r="AH515" s="1106"/>
      <c r="AI515" s="1106"/>
      <c r="AJ515" s="1106"/>
      <c r="AK515" s="1106"/>
      <c r="AL515" s="1106"/>
      <c r="AM515" s="1106"/>
      <c r="AN515" s="1106"/>
      <c r="AO515" s="1106"/>
    </row>
    <row r="516">
      <c r="G516" s="1106"/>
      <c r="H516" s="1106"/>
      <c r="I516" s="1106"/>
      <c r="J516" s="1106"/>
      <c r="K516" s="1106"/>
      <c r="L516" s="1106"/>
      <c r="M516" s="1106"/>
      <c r="N516" s="1106"/>
      <c r="O516" s="1106"/>
      <c r="P516" s="1106"/>
      <c r="Q516" s="1106"/>
      <c r="R516" s="1106"/>
      <c r="S516" s="1106"/>
      <c r="T516" s="1106"/>
      <c r="U516" s="1106"/>
      <c r="V516" s="1106"/>
      <c r="W516" s="1106"/>
      <c r="X516" s="1106"/>
      <c r="Y516" s="1106"/>
      <c r="Z516" s="1106"/>
      <c r="AA516" s="1106"/>
      <c r="AB516" s="1106"/>
      <c r="AC516" s="1106"/>
      <c r="AD516" s="1106"/>
      <c r="AE516" s="1106"/>
      <c r="AF516" s="1106"/>
      <c r="AG516" s="1106"/>
      <c r="AH516" s="1106"/>
      <c r="AI516" s="1106"/>
      <c r="AJ516" s="1106"/>
      <c r="AK516" s="1106"/>
      <c r="AL516" s="1106"/>
      <c r="AM516" s="1106"/>
      <c r="AN516" s="1106"/>
      <c r="AO516" s="1106"/>
    </row>
    <row r="517">
      <c r="G517" s="1106"/>
      <c r="H517" s="1106"/>
      <c r="I517" s="1106"/>
      <c r="J517" s="1106"/>
      <c r="K517" s="1106"/>
      <c r="L517" s="1106"/>
      <c r="M517" s="1106"/>
      <c r="N517" s="1106"/>
      <c r="O517" s="1106"/>
      <c r="P517" s="1106"/>
      <c r="Q517" s="1106"/>
      <c r="R517" s="1106"/>
      <c r="S517" s="1106"/>
      <c r="T517" s="1106"/>
      <c r="U517" s="1106"/>
      <c r="V517" s="1106"/>
      <c r="W517" s="1106"/>
      <c r="X517" s="1106"/>
      <c r="Y517" s="1106"/>
      <c r="Z517" s="1106"/>
      <c r="AA517" s="1106"/>
      <c r="AB517" s="1106"/>
      <c r="AC517" s="1106"/>
      <c r="AD517" s="1106"/>
      <c r="AE517" s="1106"/>
      <c r="AF517" s="1106"/>
      <c r="AG517" s="1106"/>
      <c r="AH517" s="1106"/>
      <c r="AI517" s="1106"/>
      <c r="AJ517" s="1106"/>
      <c r="AK517" s="1106"/>
      <c r="AL517" s="1106"/>
      <c r="AM517" s="1106"/>
      <c r="AN517" s="1106"/>
      <c r="AO517" s="1106"/>
    </row>
    <row r="518">
      <c r="G518" s="1106"/>
      <c r="H518" s="1106"/>
      <c r="I518" s="1106"/>
      <c r="J518" s="1106"/>
      <c r="K518" s="1106"/>
      <c r="L518" s="1106"/>
      <c r="M518" s="1106"/>
      <c r="N518" s="1106"/>
      <c r="O518" s="1106"/>
      <c r="P518" s="1106"/>
      <c r="Q518" s="1106"/>
      <c r="R518" s="1106"/>
      <c r="S518" s="1106"/>
      <c r="T518" s="1106"/>
      <c r="U518" s="1106"/>
      <c r="V518" s="1106"/>
      <c r="W518" s="1106"/>
      <c r="X518" s="1106"/>
      <c r="Y518" s="1106"/>
      <c r="Z518" s="1106"/>
      <c r="AA518" s="1106"/>
      <c r="AB518" s="1106"/>
      <c r="AC518" s="1106"/>
      <c r="AD518" s="1106"/>
      <c r="AE518" s="1106"/>
      <c r="AF518" s="1106"/>
      <c r="AG518" s="1106"/>
      <c r="AH518" s="1106"/>
      <c r="AI518" s="1106"/>
      <c r="AJ518" s="1106"/>
      <c r="AK518" s="1106"/>
      <c r="AL518" s="1106"/>
      <c r="AM518" s="1106"/>
      <c r="AN518" s="1106"/>
      <c r="AO518" s="1106"/>
    </row>
    <row r="519">
      <c r="G519" s="1106"/>
      <c r="H519" s="1106"/>
      <c r="I519" s="1106"/>
      <c r="J519" s="1106"/>
      <c r="K519" s="1106"/>
      <c r="L519" s="1106"/>
      <c r="M519" s="1106"/>
      <c r="N519" s="1106"/>
      <c r="O519" s="1106"/>
      <c r="P519" s="1106"/>
      <c r="Q519" s="1106"/>
      <c r="R519" s="1106"/>
      <c r="S519" s="1106"/>
      <c r="T519" s="1106"/>
      <c r="U519" s="1106"/>
      <c r="V519" s="1106"/>
      <c r="W519" s="1106"/>
      <c r="X519" s="1106"/>
      <c r="Y519" s="1106"/>
      <c r="Z519" s="1106"/>
      <c r="AA519" s="1106"/>
      <c r="AB519" s="1106"/>
      <c r="AC519" s="1106"/>
      <c r="AD519" s="1106"/>
      <c r="AE519" s="1106"/>
      <c r="AF519" s="1106"/>
      <c r="AG519" s="1106"/>
      <c r="AH519" s="1106"/>
      <c r="AI519" s="1106"/>
      <c r="AJ519" s="1106"/>
      <c r="AK519" s="1106"/>
      <c r="AL519" s="1106"/>
      <c r="AM519" s="1106"/>
      <c r="AN519" s="1106"/>
      <c r="AO519" s="1106"/>
    </row>
    <row r="520">
      <c r="G520" s="1106"/>
      <c r="H520" s="1106"/>
      <c r="I520" s="1106"/>
      <c r="J520" s="1106"/>
      <c r="K520" s="1106"/>
      <c r="L520" s="1106"/>
      <c r="M520" s="1106"/>
      <c r="N520" s="1106"/>
      <c r="O520" s="1106"/>
      <c r="P520" s="1106"/>
      <c r="Q520" s="1106"/>
      <c r="R520" s="1106"/>
      <c r="S520" s="1106"/>
      <c r="T520" s="1106"/>
      <c r="U520" s="1106"/>
      <c r="V520" s="1106"/>
      <c r="W520" s="1106"/>
      <c r="X520" s="1106"/>
      <c r="Y520" s="1106"/>
      <c r="Z520" s="1106"/>
      <c r="AA520" s="1106"/>
      <c r="AB520" s="1106"/>
      <c r="AC520" s="1106"/>
      <c r="AD520" s="1106"/>
      <c r="AE520" s="1106"/>
      <c r="AF520" s="1106"/>
      <c r="AG520" s="1106"/>
      <c r="AH520" s="1106"/>
      <c r="AI520" s="1106"/>
      <c r="AJ520" s="1106"/>
      <c r="AK520" s="1106"/>
      <c r="AL520" s="1106"/>
      <c r="AM520" s="1106"/>
      <c r="AN520" s="1106"/>
      <c r="AO520" s="1106"/>
    </row>
    <row r="521">
      <c r="G521" s="1106"/>
      <c r="H521" s="1106"/>
      <c r="I521" s="1106"/>
      <c r="J521" s="1106"/>
      <c r="K521" s="1106"/>
      <c r="L521" s="1106"/>
      <c r="M521" s="1106"/>
      <c r="N521" s="1106"/>
      <c r="O521" s="1106"/>
      <c r="P521" s="1106"/>
      <c r="Q521" s="1106"/>
      <c r="R521" s="1106"/>
      <c r="S521" s="1106"/>
      <c r="T521" s="1106"/>
      <c r="U521" s="1106"/>
      <c r="V521" s="1106"/>
      <c r="W521" s="1106"/>
      <c r="X521" s="1106"/>
      <c r="Y521" s="1106"/>
      <c r="Z521" s="1106"/>
      <c r="AA521" s="1106"/>
      <c r="AB521" s="1106"/>
      <c r="AC521" s="1106"/>
      <c r="AD521" s="1106"/>
      <c r="AE521" s="1106"/>
      <c r="AF521" s="1106"/>
      <c r="AG521" s="1106"/>
      <c r="AH521" s="1106"/>
      <c r="AI521" s="1106"/>
      <c r="AJ521" s="1106"/>
      <c r="AK521" s="1106"/>
      <c r="AL521" s="1106"/>
      <c r="AM521" s="1106"/>
      <c r="AN521" s="1106"/>
      <c r="AO521" s="1106"/>
    </row>
    <row r="522">
      <c r="G522" s="1106"/>
      <c r="H522" s="1106"/>
      <c r="I522" s="1106"/>
      <c r="J522" s="1106"/>
      <c r="K522" s="1106"/>
      <c r="L522" s="1106"/>
      <c r="M522" s="1106"/>
      <c r="N522" s="1106"/>
      <c r="O522" s="1106"/>
      <c r="P522" s="1106"/>
      <c r="Q522" s="1106"/>
      <c r="R522" s="1106"/>
      <c r="S522" s="1106"/>
      <c r="T522" s="1106"/>
      <c r="U522" s="1106"/>
      <c r="V522" s="1106"/>
      <c r="W522" s="1106"/>
      <c r="X522" s="1106"/>
      <c r="Y522" s="1106"/>
      <c r="Z522" s="1106"/>
      <c r="AA522" s="1106"/>
      <c r="AB522" s="1106"/>
      <c r="AC522" s="1106"/>
      <c r="AD522" s="1106"/>
      <c r="AE522" s="1106"/>
      <c r="AF522" s="1106"/>
      <c r="AG522" s="1106"/>
      <c r="AH522" s="1106"/>
      <c r="AI522" s="1106"/>
      <c r="AJ522" s="1106"/>
      <c r="AK522" s="1106"/>
      <c r="AL522" s="1106"/>
      <c r="AM522" s="1106"/>
      <c r="AN522" s="1106"/>
      <c r="AO522" s="1106"/>
    </row>
    <row r="523">
      <c r="G523" s="1106"/>
      <c r="H523" s="1106"/>
      <c r="I523" s="1106"/>
      <c r="J523" s="1106"/>
      <c r="K523" s="1106"/>
      <c r="L523" s="1106"/>
      <c r="M523" s="1106"/>
      <c r="N523" s="1106"/>
      <c r="O523" s="1106"/>
      <c r="P523" s="1106"/>
      <c r="Q523" s="1106"/>
      <c r="R523" s="1106"/>
      <c r="S523" s="1106"/>
      <c r="T523" s="1106"/>
      <c r="U523" s="1106"/>
      <c r="V523" s="1106"/>
      <c r="W523" s="1106"/>
      <c r="X523" s="1106"/>
      <c r="Y523" s="1106"/>
      <c r="Z523" s="1106"/>
      <c r="AA523" s="1106"/>
      <c r="AB523" s="1106"/>
      <c r="AC523" s="1106"/>
      <c r="AD523" s="1106"/>
      <c r="AE523" s="1106"/>
      <c r="AF523" s="1106"/>
      <c r="AG523" s="1106"/>
      <c r="AH523" s="1106"/>
      <c r="AI523" s="1106"/>
      <c r="AJ523" s="1106"/>
      <c r="AK523" s="1106"/>
      <c r="AL523" s="1106"/>
      <c r="AM523" s="1106"/>
      <c r="AN523" s="1106"/>
      <c r="AO523" s="1106"/>
    </row>
    <row r="524">
      <c r="G524" s="1106"/>
      <c r="H524" s="1106"/>
      <c r="I524" s="1106"/>
      <c r="J524" s="1106"/>
      <c r="K524" s="1106"/>
      <c r="L524" s="1106"/>
      <c r="M524" s="1106"/>
      <c r="N524" s="1106"/>
      <c r="O524" s="1106"/>
      <c r="P524" s="1106"/>
      <c r="Q524" s="1106"/>
      <c r="R524" s="1106"/>
      <c r="S524" s="1106"/>
      <c r="T524" s="1106"/>
      <c r="U524" s="1106"/>
      <c r="V524" s="1106"/>
      <c r="W524" s="1106"/>
      <c r="X524" s="1106"/>
      <c r="Y524" s="1106"/>
      <c r="Z524" s="1106"/>
      <c r="AA524" s="1106"/>
      <c r="AB524" s="1106"/>
      <c r="AC524" s="1106"/>
      <c r="AD524" s="1106"/>
      <c r="AE524" s="1106"/>
      <c r="AF524" s="1106"/>
      <c r="AG524" s="1106"/>
      <c r="AH524" s="1106"/>
      <c r="AI524" s="1106"/>
      <c r="AJ524" s="1106"/>
      <c r="AK524" s="1106"/>
      <c r="AL524" s="1106"/>
      <c r="AM524" s="1106"/>
      <c r="AN524" s="1106"/>
      <c r="AO524" s="1106"/>
    </row>
    <row r="525">
      <c r="G525" s="1106"/>
      <c r="H525" s="1106"/>
      <c r="I525" s="1106"/>
      <c r="J525" s="1106"/>
      <c r="K525" s="1106"/>
      <c r="L525" s="1106"/>
      <c r="M525" s="1106"/>
      <c r="N525" s="1106"/>
      <c r="O525" s="1106"/>
      <c r="P525" s="1106"/>
      <c r="Q525" s="1106"/>
      <c r="R525" s="1106"/>
      <c r="S525" s="1106"/>
      <c r="T525" s="1106"/>
      <c r="U525" s="1106"/>
      <c r="V525" s="1106"/>
      <c r="W525" s="1106"/>
      <c r="X525" s="1106"/>
      <c r="Y525" s="1106"/>
      <c r="Z525" s="1106"/>
      <c r="AA525" s="1106"/>
      <c r="AB525" s="1106"/>
      <c r="AC525" s="1106"/>
      <c r="AD525" s="1106"/>
      <c r="AE525" s="1106"/>
      <c r="AF525" s="1106"/>
      <c r="AG525" s="1106"/>
      <c r="AH525" s="1106"/>
      <c r="AI525" s="1106"/>
      <c r="AJ525" s="1106"/>
      <c r="AK525" s="1106"/>
      <c r="AL525" s="1106"/>
      <c r="AM525" s="1106"/>
      <c r="AN525" s="1106"/>
      <c r="AO525" s="1106"/>
    </row>
    <row r="526">
      <c r="G526" s="1106"/>
      <c r="H526" s="1106"/>
      <c r="I526" s="1106"/>
      <c r="J526" s="1106"/>
      <c r="K526" s="1106"/>
      <c r="L526" s="1106"/>
      <c r="M526" s="1106"/>
      <c r="N526" s="1106"/>
      <c r="O526" s="1106"/>
      <c r="P526" s="1106"/>
      <c r="Q526" s="1106"/>
      <c r="R526" s="1106"/>
      <c r="S526" s="1106"/>
      <c r="T526" s="1106"/>
      <c r="U526" s="1106"/>
      <c r="V526" s="1106"/>
      <c r="W526" s="1106"/>
      <c r="X526" s="1106"/>
      <c r="Y526" s="1106"/>
      <c r="Z526" s="1106"/>
      <c r="AA526" s="1106"/>
      <c r="AB526" s="1106"/>
      <c r="AC526" s="1106"/>
      <c r="AD526" s="1106"/>
      <c r="AE526" s="1106"/>
      <c r="AF526" s="1106"/>
      <c r="AG526" s="1106"/>
      <c r="AH526" s="1106"/>
      <c r="AI526" s="1106"/>
      <c r="AJ526" s="1106"/>
      <c r="AK526" s="1106"/>
      <c r="AL526" s="1106"/>
      <c r="AM526" s="1106"/>
      <c r="AN526" s="1106"/>
      <c r="AO526" s="1106"/>
    </row>
    <row r="527">
      <c r="G527" s="1106"/>
      <c r="H527" s="1106"/>
      <c r="I527" s="1106"/>
      <c r="J527" s="1106"/>
      <c r="K527" s="1106"/>
      <c r="L527" s="1106"/>
      <c r="M527" s="1106"/>
      <c r="N527" s="1106"/>
      <c r="O527" s="1106"/>
      <c r="P527" s="1106"/>
      <c r="Q527" s="1106"/>
      <c r="R527" s="1106"/>
      <c r="S527" s="1106"/>
      <c r="T527" s="1106"/>
      <c r="U527" s="1106"/>
      <c r="V527" s="1106"/>
      <c r="W527" s="1106"/>
      <c r="X527" s="1106"/>
      <c r="Y527" s="1106"/>
      <c r="Z527" s="1106"/>
      <c r="AA527" s="1106"/>
      <c r="AB527" s="1106"/>
      <c r="AC527" s="1106"/>
      <c r="AD527" s="1106"/>
      <c r="AE527" s="1106"/>
      <c r="AF527" s="1106"/>
      <c r="AG527" s="1106"/>
      <c r="AH527" s="1106"/>
      <c r="AI527" s="1106"/>
      <c r="AJ527" s="1106"/>
      <c r="AK527" s="1106"/>
      <c r="AL527" s="1106"/>
      <c r="AM527" s="1106"/>
      <c r="AN527" s="1106"/>
      <c r="AO527" s="1106"/>
    </row>
    <row r="528">
      <c r="G528" s="1106"/>
      <c r="H528" s="1106"/>
      <c r="I528" s="1106"/>
      <c r="J528" s="1106"/>
      <c r="K528" s="1106"/>
      <c r="L528" s="1106"/>
      <c r="M528" s="1106"/>
      <c r="N528" s="1106"/>
      <c r="O528" s="1106"/>
      <c r="P528" s="1106"/>
      <c r="Q528" s="1106"/>
      <c r="R528" s="1106"/>
      <c r="S528" s="1106"/>
      <c r="T528" s="1106"/>
      <c r="U528" s="1106"/>
      <c r="V528" s="1106"/>
      <c r="W528" s="1106"/>
      <c r="X528" s="1106"/>
      <c r="Y528" s="1106"/>
      <c r="Z528" s="1106"/>
      <c r="AA528" s="1106"/>
      <c r="AB528" s="1106"/>
      <c r="AC528" s="1106"/>
      <c r="AD528" s="1106"/>
      <c r="AE528" s="1106"/>
      <c r="AF528" s="1106"/>
      <c r="AG528" s="1106"/>
      <c r="AH528" s="1106"/>
      <c r="AI528" s="1106"/>
      <c r="AJ528" s="1106"/>
      <c r="AK528" s="1106"/>
      <c r="AL528" s="1106"/>
      <c r="AM528" s="1106"/>
      <c r="AN528" s="1106"/>
      <c r="AO528" s="1106"/>
    </row>
    <row r="529">
      <c r="G529" s="1106"/>
      <c r="H529" s="1106"/>
      <c r="I529" s="1106"/>
      <c r="J529" s="1106"/>
      <c r="K529" s="1106"/>
      <c r="L529" s="1106"/>
      <c r="M529" s="1106"/>
      <c r="N529" s="1106"/>
      <c r="O529" s="1106"/>
      <c r="P529" s="1106"/>
      <c r="Q529" s="1106"/>
      <c r="R529" s="1106"/>
      <c r="S529" s="1106"/>
      <c r="T529" s="1106"/>
      <c r="U529" s="1106"/>
      <c r="V529" s="1106"/>
      <c r="W529" s="1106"/>
      <c r="X529" s="1106"/>
      <c r="Y529" s="1106"/>
      <c r="Z529" s="1106"/>
      <c r="AA529" s="1106"/>
      <c r="AB529" s="1106"/>
      <c r="AC529" s="1106"/>
      <c r="AD529" s="1106"/>
      <c r="AE529" s="1106"/>
      <c r="AF529" s="1106"/>
      <c r="AG529" s="1106"/>
      <c r="AH529" s="1106"/>
      <c r="AI529" s="1106"/>
      <c r="AJ529" s="1106"/>
      <c r="AK529" s="1106"/>
      <c r="AL529" s="1106"/>
      <c r="AM529" s="1106"/>
      <c r="AN529" s="1106"/>
      <c r="AO529" s="1106"/>
    </row>
    <row r="530">
      <c r="G530" s="1106"/>
      <c r="H530" s="1106"/>
      <c r="I530" s="1106"/>
      <c r="J530" s="1106"/>
      <c r="K530" s="1106"/>
      <c r="L530" s="1106"/>
      <c r="M530" s="1106"/>
      <c r="N530" s="1106"/>
      <c r="O530" s="1106"/>
      <c r="P530" s="1106"/>
      <c r="Q530" s="1106"/>
      <c r="R530" s="1106"/>
      <c r="S530" s="1106"/>
      <c r="T530" s="1106"/>
      <c r="U530" s="1106"/>
      <c r="V530" s="1106"/>
      <c r="W530" s="1106"/>
      <c r="X530" s="1106"/>
      <c r="Y530" s="1106"/>
      <c r="Z530" s="1106"/>
      <c r="AA530" s="1106"/>
      <c r="AB530" s="1106"/>
      <c r="AC530" s="1106"/>
      <c r="AD530" s="1106"/>
      <c r="AE530" s="1106"/>
      <c r="AF530" s="1106"/>
      <c r="AG530" s="1106"/>
      <c r="AH530" s="1106"/>
      <c r="AI530" s="1106"/>
      <c r="AJ530" s="1106"/>
      <c r="AK530" s="1106"/>
      <c r="AL530" s="1106"/>
      <c r="AM530" s="1106"/>
      <c r="AN530" s="1106"/>
      <c r="AO530" s="1106"/>
    </row>
    <row r="531">
      <c r="G531" s="1106"/>
      <c r="H531" s="1106"/>
      <c r="I531" s="1106"/>
      <c r="J531" s="1106"/>
      <c r="K531" s="1106"/>
      <c r="L531" s="1106"/>
      <c r="M531" s="1106"/>
      <c r="N531" s="1106"/>
      <c r="O531" s="1106"/>
      <c r="P531" s="1106"/>
      <c r="Q531" s="1106"/>
      <c r="R531" s="1106"/>
      <c r="S531" s="1106"/>
      <c r="T531" s="1106"/>
      <c r="U531" s="1106"/>
      <c r="V531" s="1106"/>
      <c r="W531" s="1106"/>
      <c r="X531" s="1106"/>
      <c r="Y531" s="1106"/>
      <c r="Z531" s="1106"/>
      <c r="AA531" s="1106"/>
      <c r="AB531" s="1106"/>
      <c r="AC531" s="1106"/>
      <c r="AD531" s="1106"/>
      <c r="AE531" s="1106"/>
      <c r="AF531" s="1106"/>
      <c r="AG531" s="1106"/>
      <c r="AH531" s="1106"/>
      <c r="AI531" s="1106"/>
      <c r="AJ531" s="1106"/>
      <c r="AK531" s="1106"/>
      <c r="AL531" s="1106"/>
      <c r="AM531" s="1106"/>
      <c r="AN531" s="1106"/>
      <c r="AO531" s="1106"/>
    </row>
    <row r="532">
      <c r="G532" s="1106"/>
      <c r="H532" s="1106"/>
      <c r="I532" s="1106"/>
      <c r="J532" s="1106"/>
      <c r="K532" s="1106"/>
      <c r="L532" s="1106"/>
      <c r="M532" s="1106"/>
      <c r="N532" s="1106"/>
      <c r="O532" s="1106"/>
      <c r="P532" s="1106"/>
      <c r="Q532" s="1106"/>
      <c r="R532" s="1106"/>
      <c r="S532" s="1106"/>
      <c r="T532" s="1106"/>
      <c r="U532" s="1106"/>
      <c r="V532" s="1106"/>
      <c r="W532" s="1106"/>
      <c r="X532" s="1106"/>
      <c r="Y532" s="1106"/>
      <c r="Z532" s="1106"/>
      <c r="AA532" s="1106"/>
      <c r="AB532" s="1106"/>
      <c r="AC532" s="1106"/>
      <c r="AD532" s="1106"/>
      <c r="AE532" s="1106"/>
      <c r="AF532" s="1106"/>
      <c r="AG532" s="1106"/>
      <c r="AH532" s="1106"/>
      <c r="AI532" s="1106"/>
      <c r="AJ532" s="1106"/>
      <c r="AK532" s="1106"/>
      <c r="AL532" s="1106"/>
      <c r="AM532" s="1106"/>
      <c r="AN532" s="1106"/>
      <c r="AO532" s="1106"/>
    </row>
    <row r="533">
      <c r="G533" s="1106"/>
      <c r="H533" s="1106"/>
      <c r="I533" s="1106"/>
      <c r="J533" s="1106"/>
      <c r="K533" s="1106"/>
      <c r="L533" s="1106"/>
      <c r="M533" s="1106"/>
      <c r="N533" s="1106"/>
      <c r="O533" s="1106"/>
      <c r="P533" s="1106"/>
      <c r="Q533" s="1106"/>
      <c r="R533" s="1106"/>
      <c r="S533" s="1106"/>
      <c r="T533" s="1106"/>
      <c r="U533" s="1106"/>
      <c r="V533" s="1106"/>
      <c r="W533" s="1106"/>
      <c r="X533" s="1106"/>
      <c r="Y533" s="1106"/>
      <c r="Z533" s="1106"/>
      <c r="AA533" s="1106"/>
      <c r="AB533" s="1106"/>
      <c r="AC533" s="1106"/>
      <c r="AD533" s="1106"/>
      <c r="AE533" s="1106"/>
      <c r="AF533" s="1106"/>
      <c r="AG533" s="1106"/>
      <c r="AH533" s="1106"/>
      <c r="AI533" s="1106"/>
      <c r="AJ533" s="1106"/>
      <c r="AK533" s="1106"/>
      <c r="AL533" s="1106"/>
      <c r="AM533" s="1106"/>
      <c r="AN533" s="1106"/>
      <c r="AO533" s="1106"/>
    </row>
    <row r="534">
      <c r="G534" s="1106"/>
      <c r="H534" s="1106"/>
      <c r="I534" s="1106"/>
      <c r="J534" s="1106"/>
      <c r="K534" s="1106"/>
      <c r="L534" s="1106"/>
      <c r="M534" s="1106"/>
      <c r="N534" s="1106"/>
      <c r="O534" s="1106"/>
      <c r="P534" s="1106"/>
      <c r="Q534" s="1106"/>
      <c r="R534" s="1106"/>
      <c r="S534" s="1106"/>
      <c r="T534" s="1106"/>
      <c r="U534" s="1106"/>
      <c r="V534" s="1106"/>
      <c r="W534" s="1106"/>
      <c r="X534" s="1106"/>
      <c r="Y534" s="1106"/>
      <c r="Z534" s="1106"/>
      <c r="AA534" s="1106"/>
      <c r="AB534" s="1106"/>
      <c r="AC534" s="1106"/>
      <c r="AD534" s="1106"/>
      <c r="AE534" s="1106"/>
      <c r="AF534" s="1106"/>
      <c r="AG534" s="1106"/>
      <c r="AH534" s="1106"/>
      <c r="AI534" s="1106"/>
      <c r="AJ534" s="1106"/>
      <c r="AK534" s="1106"/>
      <c r="AL534" s="1106"/>
      <c r="AM534" s="1106"/>
      <c r="AN534" s="1106"/>
      <c r="AO534" s="1106"/>
    </row>
    <row r="535">
      <c r="G535" s="1106"/>
      <c r="H535" s="1106"/>
      <c r="I535" s="1106"/>
      <c r="J535" s="1106"/>
      <c r="K535" s="1106"/>
      <c r="L535" s="1106"/>
      <c r="M535" s="1106"/>
      <c r="N535" s="1106"/>
      <c r="O535" s="1106"/>
      <c r="P535" s="1106"/>
      <c r="Q535" s="1106"/>
      <c r="R535" s="1106"/>
      <c r="S535" s="1106"/>
      <c r="T535" s="1106"/>
      <c r="U535" s="1106"/>
      <c r="V535" s="1106"/>
      <c r="W535" s="1106"/>
      <c r="X535" s="1106"/>
      <c r="Y535" s="1106"/>
      <c r="Z535" s="1106"/>
      <c r="AA535" s="1106"/>
      <c r="AB535" s="1106"/>
      <c r="AC535" s="1106"/>
      <c r="AD535" s="1106"/>
      <c r="AE535" s="1106"/>
      <c r="AF535" s="1106"/>
      <c r="AG535" s="1106"/>
      <c r="AH535" s="1106"/>
      <c r="AI535" s="1106"/>
      <c r="AJ535" s="1106"/>
      <c r="AK535" s="1106"/>
      <c r="AL535" s="1106"/>
      <c r="AM535" s="1106"/>
      <c r="AN535" s="1106"/>
      <c r="AO535" s="1106"/>
    </row>
    <row r="536">
      <c r="G536" s="1106"/>
      <c r="H536" s="1106"/>
      <c r="I536" s="1106"/>
      <c r="J536" s="1106"/>
      <c r="K536" s="1106"/>
      <c r="L536" s="1106"/>
      <c r="M536" s="1106"/>
      <c r="N536" s="1106"/>
      <c r="O536" s="1106"/>
      <c r="P536" s="1106"/>
      <c r="Q536" s="1106"/>
      <c r="R536" s="1106"/>
      <c r="S536" s="1106"/>
      <c r="T536" s="1106"/>
      <c r="U536" s="1106"/>
      <c r="V536" s="1106"/>
      <c r="W536" s="1106"/>
      <c r="X536" s="1106"/>
      <c r="Y536" s="1106"/>
      <c r="Z536" s="1106"/>
      <c r="AA536" s="1106"/>
      <c r="AB536" s="1106"/>
      <c r="AC536" s="1106"/>
      <c r="AD536" s="1106"/>
      <c r="AE536" s="1106"/>
      <c r="AF536" s="1106"/>
      <c r="AG536" s="1106"/>
      <c r="AH536" s="1106"/>
      <c r="AI536" s="1106"/>
      <c r="AJ536" s="1106"/>
      <c r="AK536" s="1106"/>
      <c r="AL536" s="1106"/>
      <c r="AM536" s="1106"/>
      <c r="AN536" s="1106"/>
      <c r="AO536" s="1106"/>
    </row>
    <row r="537">
      <c r="G537" s="1106"/>
      <c r="H537" s="1106"/>
      <c r="I537" s="1106"/>
      <c r="J537" s="1106"/>
      <c r="K537" s="1106"/>
      <c r="L537" s="1106"/>
      <c r="M537" s="1106"/>
      <c r="N537" s="1106"/>
      <c r="O537" s="1106"/>
      <c r="P537" s="1106"/>
      <c r="Q537" s="1106"/>
      <c r="R537" s="1106"/>
      <c r="S537" s="1106"/>
      <c r="T537" s="1106"/>
      <c r="U537" s="1106"/>
      <c r="V537" s="1106"/>
      <c r="W537" s="1106"/>
      <c r="X537" s="1106"/>
      <c r="Y537" s="1106"/>
      <c r="Z537" s="1106"/>
      <c r="AA537" s="1106"/>
      <c r="AB537" s="1106"/>
      <c r="AC537" s="1106"/>
      <c r="AD537" s="1106"/>
      <c r="AE537" s="1106"/>
      <c r="AF537" s="1106"/>
      <c r="AG537" s="1106"/>
      <c r="AH537" s="1106"/>
      <c r="AI537" s="1106"/>
      <c r="AJ537" s="1106"/>
      <c r="AK537" s="1106"/>
      <c r="AL537" s="1106"/>
      <c r="AM537" s="1106"/>
      <c r="AN537" s="1106"/>
      <c r="AO537" s="1106"/>
    </row>
    <row r="538">
      <c r="G538" s="1106"/>
      <c r="H538" s="1106"/>
      <c r="I538" s="1106"/>
      <c r="J538" s="1106"/>
      <c r="K538" s="1106"/>
      <c r="L538" s="1106"/>
      <c r="M538" s="1106"/>
      <c r="N538" s="1106"/>
      <c r="O538" s="1106"/>
      <c r="P538" s="1106"/>
      <c r="Q538" s="1106"/>
      <c r="R538" s="1106"/>
      <c r="S538" s="1106"/>
      <c r="T538" s="1106"/>
      <c r="U538" s="1106"/>
      <c r="V538" s="1106"/>
      <c r="W538" s="1106"/>
      <c r="X538" s="1106"/>
      <c r="Y538" s="1106"/>
      <c r="Z538" s="1106"/>
      <c r="AA538" s="1106"/>
      <c r="AB538" s="1106"/>
      <c r="AC538" s="1106"/>
      <c r="AD538" s="1106"/>
      <c r="AE538" s="1106"/>
      <c r="AF538" s="1106"/>
      <c r="AG538" s="1106"/>
      <c r="AH538" s="1106"/>
      <c r="AI538" s="1106"/>
      <c r="AJ538" s="1106"/>
      <c r="AK538" s="1106"/>
      <c r="AL538" s="1106"/>
      <c r="AM538" s="1106"/>
      <c r="AN538" s="1106"/>
      <c r="AO538" s="1106"/>
    </row>
    <row r="539">
      <c r="G539" s="1106"/>
      <c r="H539" s="1106"/>
      <c r="I539" s="1106"/>
      <c r="J539" s="1106"/>
      <c r="K539" s="1106"/>
      <c r="L539" s="1106"/>
      <c r="M539" s="1106"/>
      <c r="N539" s="1106"/>
      <c r="O539" s="1106"/>
      <c r="P539" s="1106"/>
      <c r="Q539" s="1106"/>
      <c r="R539" s="1106"/>
      <c r="S539" s="1106"/>
      <c r="T539" s="1106"/>
      <c r="U539" s="1106"/>
      <c r="V539" s="1106"/>
      <c r="W539" s="1106"/>
      <c r="X539" s="1106"/>
      <c r="Y539" s="1106"/>
      <c r="Z539" s="1106"/>
      <c r="AA539" s="1106"/>
      <c r="AB539" s="1106"/>
      <c r="AC539" s="1106"/>
      <c r="AD539" s="1106"/>
      <c r="AE539" s="1106"/>
      <c r="AF539" s="1106"/>
      <c r="AG539" s="1106"/>
      <c r="AH539" s="1106"/>
      <c r="AI539" s="1106"/>
      <c r="AJ539" s="1106"/>
      <c r="AK539" s="1106"/>
      <c r="AL539" s="1106"/>
      <c r="AM539" s="1106"/>
      <c r="AN539" s="1106"/>
      <c r="AO539" s="1106"/>
    </row>
    <row r="540">
      <c r="G540" s="1106"/>
      <c r="H540" s="1106"/>
      <c r="I540" s="1106"/>
      <c r="J540" s="1106"/>
      <c r="K540" s="1106"/>
      <c r="L540" s="1106"/>
      <c r="M540" s="1106"/>
      <c r="N540" s="1106"/>
      <c r="O540" s="1106"/>
      <c r="P540" s="1106"/>
      <c r="Q540" s="1106"/>
      <c r="R540" s="1106"/>
      <c r="S540" s="1106"/>
      <c r="T540" s="1106"/>
      <c r="U540" s="1106"/>
      <c r="V540" s="1106"/>
      <c r="W540" s="1106"/>
      <c r="X540" s="1106"/>
      <c r="Y540" s="1106"/>
      <c r="Z540" s="1106"/>
      <c r="AA540" s="1106"/>
      <c r="AB540" s="1106"/>
      <c r="AC540" s="1106"/>
      <c r="AD540" s="1106"/>
      <c r="AE540" s="1106"/>
      <c r="AF540" s="1106"/>
      <c r="AG540" s="1106"/>
      <c r="AH540" s="1106"/>
      <c r="AI540" s="1106"/>
      <c r="AJ540" s="1106"/>
      <c r="AK540" s="1106"/>
      <c r="AL540" s="1106"/>
      <c r="AM540" s="1106"/>
      <c r="AN540" s="1106"/>
      <c r="AO540" s="1106"/>
    </row>
    <row r="541">
      <c r="G541" s="1106"/>
      <c r="H541" s="1106"/>
      <c r="I541" s="1106"/>
      <c r="J541" s="1106"/>
      <c r="K541" s="1106"/>
      <c r="L541" s="1106"/>
      <c r="M541" s="1106"/>
      <c r="N541" s="1106"/>
      <c r="O541" s="1106"/>
      <c r="P541" s="1106"/>
      <c r="Q541" s="1106"/>
      <c r="R541" s="1106"/>
      <c r="S541" s="1106"/>
      <c r="T541" s="1106"/>
      <c r="U541" s="1106"/>
      <c r="V541" s="1106"/>
      <c r="W541" s="1106"/>
      <c r="X541" s="1106"/>
      <c r="Y541" s="1106"/>
      <c r="Z541" s="1106"/>
      <c r="AA541" s="1106"/>
      <c r="AB541" s="1106"/>
      <c r="AC541" s="1106"/>
      <c r="AD541" s="1106"/>
      <c r="AE541" s="1106"/>
      <c r="AF541" s="1106"/>
      <c r="AG541" s="1106"/>
      <c r="AH541" s="1106"/>
      <c r="AI541" s="1106"/>
      <c r="AJ541" s="1106"/>
      <c r="AK541" s="1106"/>
      <c r="AL541" s="1106"/>
      <c r="AM541" s="1106"/>
      <c r="AN541" s="1106"/>
      <c r="AO541" s="1106"/>
    </row>
    <row r="542">
      <c r="G542" s="1106"/>
      <c r="H542" s="1106"/>
      <c r="I542" s="1106"/>
      <c r="J542" s="1106"/>
      <c r="K542" s="1106"/>
      <c r="L542" s="1106"/>
      <c r="M542" s="1106"/>
      <c r="N542" s="1106"/>
      <c r="O542" s="1106"/>
      <c r="P542" s="1106"/>
      <c r="Q542" s="1106"/>
      <c r="R542" s="1106"/>
      <c r="S542" s="1106"/>
      <c r="T542" s="1106"/>
      <c r="U542" s="1106"/>
      <c r="V542" s="1106"/>
      <c r="W542" s="1106"/>
      <c r="X542" s="1106"/>
      <c r="Y542" s="1106"/>
      <c r="Z542" s="1106"/>
      <c r="AA542" s="1106"/>
      <c r="AB542" s="1106"/>
      <c r="AC542" s="1106"/>
      <c r="AD542" s="1106"/>
      <c r="AE542" s="1106"/>
      <c r="AF542" s="1106"/>
      <c r="AG542" s="1106"/>
      <c r="AH542" s="1106"/>
      <c r="AI542" s="1106"/>
      <c r="AJ542" s="1106"/>
      <c r="AK542" s="1106"/>
      <c r="AL542" s="1106"/>
      <c r="AM542" s="1106"/>
      <c r="AN542" s="1106"/>
      <c r="AO542" s="1106"/>
    </row>
    <row r="543">
      <c r="G543" s="1106"/>
      <c r="H543" s="1106"/>
      <c r="I543" s="1106"/>
      <c r="J543" s="1106"/>
      <c r="K543" s="1106"/>
      <c r="L543" s="1106"/>
      <c r="M543" s="1106"/>
      <c r="N543" s="1106"/>
      <c r="O543" s="1106"/>
      <c r="P543" s="1106"/>
      <c r="Q543" s="1106"/>
      <c r="R543" s="1106"/>
      <c r="S543" s="1106"/>
      <c r="T543" s="1106"/>
      <c r="U543" s="1106"/>
      <c r="V543" s="1106"/>
      <c r="W543" s="1106"/>
      <c r="X543" s="1106"/>
      <c r="Y543" s="1106"/>
      <c r="Z543" s="1106"/>
      <c r="AA543" s="1106"/>
      <c r="AB543" s="1106"/>
      <c r="AC543" s="1106"/>
      <c r="AD543" s="1106"/>
      <c r="AE543" s="1106"/>
      <c r="AF543" s="1106"/>
      <c r="AG543" s="1106"/>
      <c r="AH543" s="1106"/>
      <c r="AI543" s="1106"/>
      <c r="AJ543" s="1106"/>
      <c r="AK543" s="1106"/>
      <c r="AL543" s="1106"/>
      <c r="AM543" s="1106"/>
      <c r="AN543" s="1106"/>
      <c r="AO543" s="1106"/>
    </row>
    <row r="544">
      <c r="G544" s="1106"/>
      <c r="H544" s="1106"/>
      <c r="I544" s="1106"/>
      <c r="J544" s="1106"/>
      <c r="K544" s="1106"/>
      <c r="L544" s="1106"/>
      <c r="M544" s="1106"/>
      <c r="N544" s="1106"/>
      <c r="O544" s="1106"/>
      <c r="P544" s="1106"/>
      <c r="Q544" s="1106"/>
      <c r="R544" s="1106"/>
      <c r="S544" s="1106"/>
      <c r="T544" s="1106"/>
      <c r="U544" s="1106"/>
      <c r="V544" s="1106"/>
      <c r="W544" s="1106"/>
      <c r="X544" s="1106"/>
      <c r="Y544" s="1106"/>
      <c r="Z544" s="1106"/>
      <c r="AA544" s="1106"/>
      <c r="AB544" s="1106"/>
      <c r="AC544" s="1106"/>
      <c r="AD544" s="1106"/>
      <c r="AE544" s="1106"/>
      <c r="AF544" s="1106"/>
      <c r="AG544" s="1106"/>
      <c r="AH544" s="1106"/>
      <c r="AI544" s="1106"/>
      <c r="AJ544" s="1106"/>
      <c r="AK544" s="1106"/>
      <c r="AL544" s="1106"/>
      <c r="AM544" s="1106"/>
      <c r="AN544" s="1106"/>
      <c r="AO544" s="1106"/>
    </row>
    <row r="545">
      <c r="G545" s="1106"/>
      <c r="H545" s="1106"/>
      <c r="I545" s="1106"/>
      <c r="J545" s="1106"/>
      <c r="K545" s="1106"/>
      <c r="L545" s="1106"/>
      <c r="M545" s="1106"/>
      <c r="N545" s="1106"/>
      <c r="O545" s="1106"/>
      <c r="P545" s="1106"/>
      <c r="Q545" s="1106"/>
      <c r="R545" s="1106"/>
      <c r="S545" s="1106"/>
      <c r="T545" s="1106"/>
      <c r="U545" s="1106"/>
      <c r="V545" s="1106"/>
      <c r="W545" s="1106"/>
      <c r="X545" s="1106"/>
      <c r="Y545" s="1106"/>
      <c r="Z545" s="1106"/>
      <c r="AA545" s="1106"/>
      <c r="AB545" s="1106"/>
      <c r="AC545" s="1106"/>
      <c r="AD545" s="1106"/>
      <c r="AE545" s="1106"/>
      <c r="AF545" s="1106"/>
      <c r="AG545" s="1106"/>
      <c r="AH545" s="1106"/>
      <c r="AI545" s="1106"/>
      <c r="AJ545" s="1106"/>
      <c r="AK545" s="1106"/>
      <c r="AL545" s="1106"/>
      <c r="AM545" s="1106"/>
      <c r="AN545" s="1106"/>
      <c r="AO545" s="1106"/>
    </row>
    <row r="546">
      <c r="G546" s="1106"/>
      <c r="H546" s="1106"/>
      <c r="I546" s="1106"/>
      <c r="J546" s="1106"/>
      <c r="K546" s="1106"/>
      <c r="L546" s="1106"/>
      <c r="M546" s="1106"/>
      <c r="N546" s="1106"/>
      <c r="O546" s="1106"/>
      <c r="P546" s="1106"/>
      <c r="Q546" s="1106"/>
      <c r="R546" s="1106"/>
      <c r="S546" s="1106"/>
      <c r="T546" s="1106"/>
      <c r="U546" s="1106"/>
      <c r="V546" s="1106"/>
      <c r="W546" s="1106"/>
      <c r="X546" s="1106"/>
      <c r="Y546" s="1106"/>
      <c r="Z546" s="1106"/>
      <c r="AA546" s="1106"/>
      <c r="AB546" s="1106"/>
      <c r="AC546" s="1106"/>
      <c r="AD546" s="1106"/>
      <c r="AE546" s="1106"/>
      <c r="AF546" s="1106"/>
      <c r="AG546" s="1106"/>
      <c r="AH546" s="1106"/>
      <c r="AI546" s="1106"/>
      <c r="AJ546" s="1106"/>
      <c r="AK546" s="1106"/>
      <c r="AL546" s="1106"/>
      <c r="AM546" s="1106"/>
      <c r="AN546" s="1106"/>
      <c r="AO546" s="1106"/>
    </row>
    <row r="547">
      <c r="G547" s="1106"/>
      <c r="H547" s="1106"/>
      <c r="I547" s="1106"/>
      <c r="J547" s="1106"/>
      <c r="K547" s="1106"/>
      <c r="L547" s="1106"/>
      <c r="M547" s="1106"/>
      <c r="N547" s="1106"/>
      <c r="O547" s="1106"/>
      <c r="P547" s="1106"/>
      <c r="Q547" s="1106"/>
      <c r="R547" s="1106"/>
      <c r="S547" s="1106"/>
      <c r="T547" s="1106"/>
      <c r="U547" s="1106"/>
      <c r="V547" s="1106"/>
      <c r="W547" s="1106"/>
      <c r="X547" s="1106"/>
      <c r="Y547" s="1106"/>
      <c r="Z547" s="1106"/>
      <c r="AA547" s="1106"/>
      <c r="AB547" s="1106"/>
      <c r="AC547" s="1106"/>
      <c r="AD547" s="1106"/>
      <c r="AE547" s="1106"/>
      <c r="AF547" s="1106"/>
      <c r="AG547" s="1106"/>
      <c r="AH547" s="1106"/>
      <c r="AI547" s="1106"/>
      <c r="AJ547" s="1106"/>
      <c r="AK547" s="1106"/>
      <c r="AL547" s="1106"/>
      <c r="AM547" s="1106"/>
      <c r="AN547" s="1106"/>
      <c r="AO547" s="1106"/>
    </row>
    <row r="548">
      <c r="G548" s="1106"/>
      <c r="H548" s="1106"/>
      <c r="I548" s="1106"/>
      <c r="J548" s="1106"/>
      <c r="K548" s="1106"/>
      <c r="L548" s="1106"/>
      <c r="M548" s="1106"/>
      <c r="N548" s="1106"/>
      <c r="O548" s="1106"/>
      <c r="P548" s="1106"/>
      <c r="Q548" s="1106"/>
      <c r="R548" s="1106"/>
      <c r="S548" s="1106"/>
      <c r="T548" s="1106"/>
      <c r="U548" s="1106"/>
      <c r="V548" s="1106"/>
      <c r="W548" s="1106"/>
      <c r="X548" s="1106"/>
      <c r="Y548" s="1106"/>
      <c r="Z548" s="1106"/>
      <c r="AA548" s="1106"/>
      <c r="AB548" s="1106"/>
      <c r="AC548" s="1106"/>
      <c r="AD548" s="1106"/>
      <c r="AE548" s="1106"/>
      <c r="AF548" s="1106"/>
      <c r="AG548" s="1106"/>
      <c r="AH548" s="1106"/>
      <c r="AI548" s="1106"/>
      <c r="AJ548" s="1106"/>
      <c r="AK548" s="1106"/>
      <c r="AL548" s="1106"/>
      <c r="AM548" s="1106"/>
      <c r="AN548" s="1106"/>
      <c r="AO548" s="1106"/>
    </row>
    <row r="549">
      <c r="G549" s="1106"/>
      <c r="H549" s="1106"/>
      <c r="I549" s="1106"/>
      <c r="J549" s="1106"/>
      <c r="K549" s="1106"/>
      <c r="L549" s="1106"/>
      <c r="M549" s="1106"/>
      <c r="N549" s="1106"/>
      <c r="O549" s="1106"/>
      <c r="P549" s="1106"/>
      <c r="Q549" s="1106"/>
      <c r="R549" s="1106"/>
      <c r="S549" s="1106"/>
      <c r="T549" s="1106"/>
      <c r="U549" s="1106"/>
      <c r="V549" s="1106"/>
      <c r="W549" s="1106"/>
      <c r="X549" s="1106"/>
      <c r="Y549" s="1106"/>
      <c r="Z549" s="1106"/>
      <c r="AA549" s="1106"/>
      <c r="AB549" s="1106"/>
      <c r="AC549" s="1106"/>
      <c r="AD549" s="1106"/>
      <c r="AE549" s="1106"/>
      <c r="AF549" s="1106"/>
      <c r="AG549" s="1106"/>
      <c r="AH549" s="1106"/>
      <c r="AI549" s="1106"/>
      <c r="AJ549" s="1106"/>
      <c r="AK549" s="1106"/>
      <c r="AL549" s="1106"/>
      <c r="AM549" s="1106"/>
      <c r="AN549" s="1106"/>
      <c r="AO549" s="1106"/>
    </row>
    <row r="550">
      <c r="G550" s="1106"/>
      <c r="H550" s="1106"/>
      <c r="I550" s="1106"/>
      <c r="J550" s="1106"/>
      <c r="K550" s="1106"/>
      <c r="L550" s="1106"/>
      <c r="M550" s="1106"/>
      <c r="N550" s="1106"/>
      <c r="O550" s="1106"/>
      <c r="P550" s="1106"/>
      <c r="Q550" s="1106"/>
      <c r="R550" s="1106"/>
      <c r="S550" s="1106"/>
      <c r="T550" s="1106"/>
      <c r="U550" s="1106"/>
      <c r="V550" s="1106"/>
      <c r="W550" s="1106"/>
      <c r="X550" s="1106"/>
      <c r="Y550" s="1106"/>
      <c r="Z550" s="1106"/>
      <c r="AA550" s="1106"/>
      <c r="AB550" s="1106"/>
      <c r="AC550" s="1106"/>
      <c r="AD550" s="1106"/>
      <c r="AE550" s="1106"/>
      <c r="AF550" s="1106"/>
      <c r="AG550" s="1106"/>
      <c r="AH550" s="1106"/>
      <c r="AI550" s="1106"/>
      <c r="AJ550" s="1106"/>
      <c r="AK550" s="1106"/>
      <c r="AL550" s="1106"/>
      <c r="AM550" s="1106"/>
      <c r="AN550" s="1106"/>
      <c r="AO550" s="1106"/>
    </row>
    <row r="551">
      <c r="G551" s="1106"/>
      <c r="H551" s="1106"/>
      <c r="I551" s="1106"/>
      <c r="J551" s="1106"/>
      <c r="K551" s="1106"/>
      <c r="L551" s="1106"/>
      <c r="M551" s="1106"/>
      <c r="N551" s="1106"/>
      <c r="O551" s="1106"/>
      <c r="P551" s="1106"/>
      <c r="Q551" s="1106"/>
      <c r="R551" s="1106"/>
      <c r="S551" s="1106"/>
      <c r="T551" s="1106"/>
      <c r="U551" s="1106"/>
      <c r="V551" s="1106"/>
      <c r="W551" s="1106"/>
      <c r="X551" s="1106"/>
      <c r="Y551" s="1106"/>
      <c r="Z551" s="1106"/>
      <c r="AA551" s="1106"/>
      <c r="AB551" s="1106"/>
      <c r="AC551" s="1106"/>
      <c r="AD551" s="1106"/>
      <c r="AE551" s="1106"/>
      <c r="AF551" s="1106"/>
      <c r="AG551" s="1106"/>
      <c r="AH551" s="1106"/>
      <c r="AI551" s="1106"/>
      <c r="AJ551" s="1106"/>
      <c r="AK551" s="1106"/>
      <c r="AL551" s="1106"/>
      <c r="AM551" s="1106"/>
      <c r="AN551" s="1106"/>
      <c r="AO551" s="1106"/>
    </row>
    <row r="552">
      <c r="G552" s="1106"/>
      <c r="H552" s="1106"/>
      <c r="I552" s="1106"/>
      <c r="J552" s="1106"/>
      <c r="K552" s="1106"/>
      <c r="L552" s="1106"/>
      <c r="M552" s="1106"/>
      <c r="N552" s="1106"/>
      <c r="O552" s="1106"/>
      <c r="P552" s="1106"/>
      <c r="Q552" s="1106"/>
      <c r="R552" s="1106"/>
      <c r="S552" s="1106"/>
      <c r="T552" s="1106"/>
      <c r="U552" s="1106"/>
      <c r="V552" s="1106"/>
      <c r="W552" s="1106"/>
      <c r="X552" s="1106"/>
      <c r="Y552" s="1106"/>
      <c r="Z552" s="1106"/>
      <c r="AA552" s="1106"/>
      <c r="AB552" s="1106"/>
      <c r="AC552" s="1106"/>
      <c r="AD552" s="1106"/>
      <c r="AE552" s="1106"/>
      <c r="AF552" s="1106"/>
      <c r="AG552" s="1106"/>
      <c r="AH552" s="1106"/>
      <c r="AI552" s="1106"/>
      <c r="AJ552" s="1106"/>
      <c r="AK552" s="1106"/>
      <c r="AL552" s="1106"/>
      <c r="AM552" s="1106"/>
      <c r="AN552" s="1106"/>
      <c r="AO552" s="1106"/>
    </row>
    <row r="553">
      <c r="G553" s="1106"/>
      <c r="H553" s="1106"/>
      <c r="I553" s="1106"/>
      <c r="J553" s="1106"/>
      <c r="K553" s="1106"/>
      <c r="L553" s="1106"/>
      <c r="M553" s="1106"/>
      <c r="N553" s="1106"/>
      <c r="O553" s="1106"/>
      <c r="P553" s="1106"/>
      <c r="Q553" s="1106"/>
      <c r="R553" s="1106"/>
      <c r="S553" s="1106"/>
      <c r="T553" s="1106"/>
      <c r="U553" s="1106"/>
      <c r="V553" s="1106"/>
      <c r="W553" s="1106"/>
      <c r="X553" s="1106"/>
      <c r="Y553" s="1106"/>
      <c r="Z553" s="1106"/>
      <c r="AA553" s="1106"/>
      <c r="AB553" s="1106"/>
      <c r="AC553" s="1106"/>
      <c r="AD553" s="1106"/>
      <c r="AE553" s="1106"/>
      <c r="AF553" s="1106"/>
      <c r="AG553" s="1106"/>
      <c r="AH553" s="1106"/>
      <c r="AI553" s="1106"/>
      <c r="AJ553" s="1106"/>
      <c r="AK553" s="1106"/>
      <c r="AL553" s="1106"/>
      <c r="AM553" s="1106"/>
      <c r="AN553" s="1106"/>
      <c r="AO553" s="1106"/>
    </row>
    <row r="554">
      <c r="G554" s="1106"/>
      <c r="H554" s="1106"/>
      <c r="I554" s="1106"/>
      <c r="J554" s="1106"/>
      <c r="K554" s="1106"/>
      <c r="L554" s="1106"/>
      <c r="M554" s="1106"/>
      <c r="N554" s="1106"/>
      <c r="O554" s="1106"/>
      <c r="P554" s="1106"/>
      <c r="Q554" s="1106"/>
      <c r="R554" s="1106"/>
      <c r="S554" s="1106"/>
      <c r="T554" s="1106"/>
      <c r="U554" s="1106"/>
      <c r="V554" s="1106"/>
      <c r="W554" s="1106"/>
      <c r="X554" s="1106"/>
      <c r="Y554" s="1106"/>
      <c r="Z554" s="1106"/>
      <c r="AA554" s="1106"/>
      <c r="AB554" s="1106"/>
      <c r="AC554" s="1106"/>
      <c r="AD554" s="1106"/>
      <c r="AE554" s="1106"/>
      <c r="AF554" s="1106"/>
      <c r="AG554" s="1106"/>
      <c r="AH554" s="1106"/>
      <c r="AI554" s="1106"/>
      <c r="AJ554" s="1106"/>
      <c r="AK554" s="1106"/>
      <c r="AL554" s="1106"/>
      <c r="AM554" s="1106"/>
      <c r="AN554" s="1106"/>
      <c r="AO554" s="1106"/>
    </row>
    <row r="555">
      <c r="G555" s="1106"/>
      <c r="H555" s="1106"/>
      <c r="I555" s="1106"/>
      <c r="J555" s="1106"/>
      <c r="K555" s="1106"/>
      <c r="L555" s="1106"/>
      <c r="M555" s="1106"/>
      <c r="N555" s="1106"/>
      <c r="O555" s="1106"/>
      <c r="P555" s="1106"/>
      <c r="Q555" s="1106"/>
      <c r="R555" s="1106"/>
      <c r="S555" s="1106"/>
      <c r="T555" s="1106"/>
      <c r="U555" s="1106"/>
      <c r="V555" s="1106"/>
      <c r="W555" s="1106"/>
      <c r="X555" s="1106"/>
      <c r="Y555" s="1106"/>
      <c r="Z555" s="1106"/>
      <c r="AA555" s="1106"/>
      <c r="AB555" s="1106"/>
      <c r="AC555" s="1106"/>
      <c r="AD555" s="1106"/>
      <c r="AE555" s="1106"/>
      <c r="AF555" s="1106"/>
      <c r="AG555" s="1106"/>
      <c r="AH555" s="1106"/>
      <c r="AI555" s="1106"/>
      <c r="AJ555" s="1106"/>
      <c r="AK555" s="1106"/>
      <c r="AL555" s="1106"/>
      <c r="AM555" s="1106"/>
      <c r="AN555" s="1106"/>
      <c r="AO555" s="1106"/>
    </row>
    <row r="556">
      <c r="G556" s="1106"/>
      <c r="H556" s="1106"/>
      <c r="I556" s="1106"/>
      <c r="J556" s="1106"/>
      <c r="K556" s="1106"/>
      <c r="L556" s="1106"/>
      <c r="M556" s="1106"/>
      <c r="N556" s="1106"/>
      <c r="O556" s="1106"/>
      <c r="P556" s="1106"/>
      <c r="Q556" s="1106"/>
      <c r="R556" s="1106"/>
      <c r="S556" s="1106"/>
      <c r="T556" s="1106"/>
      <c r="U556" s="1106"/>
      <c r="V556" s="1106"/>
      <c r="W556" s="1106"/>
      <c r="X556" s="1106"/>
      <c r="Y556" s="1106"/>
      <c r="Z556" s="1106"/>
      <c r="AA556" s="1106"/>
      <c r="AB556" s="1106"/>
      <c r="AC556" s="1106"/>
      <c r="AD556" s="1106"/>
      <c r="AE556" s="1106"/>
      <c r="AF556" s="1106"/>
      <c r="AG556" s="1106"/>
      <c r="AH556" s="1106"/>
      <c r="AI556" s="1106"/>
      <c r="AJ556" s="1106"/>
      <c r="AK556" s="1106"/>
      <c r="AL556" s="1106"/>
      <c r="AM556" s="1106"/>
      <c r="AN556" s="1106"/>
      <c r="AO556" s="1106"/>
    </row>
    <row r="557">
      <c r="G557" s="1106"/>
      <c r="H557" s="1106"/>
      <c r="I557" s="1106"/>
      <c r="J557" s="1106"/>
      <c r="K557" s="1106"/>
      <c r="L557" s="1106"/>
      <c r="M557" s="1106"/>
      <c r="N557" s="1106"/>
      <c r="O557" s="1106"/>
      <c r="P557" s="1106"/>
      <c r="Q557" s="1106"/>
      <c r="R557" s="1106"/>
      <c r="S557" s="1106"/>
      <c r="T557" s="1106"/>
      <c r="U557" s="1106"/>
      <c r="V557" s="1106"/>
      <c r="W557" s="1106"/>
      <c r="X557" s="1106"/>
      <c r="Y557" s="1106"/>
      <c r="Z557" s="1106"/>
      <c r="AA557" s="1106"/>
      <c r="AB557" s="1106"/>
      <c r="AC557" s="1106"/>
      <c r="AD557" s="1106"/>
      <c r="AE557" s="1106"/>
      <c r="AF557" s="1106"/>
      <c r="AG557" s="1106"/>
      <c r="AH557" s="1106"/>
      <c r="AI557" s="1106"/>
      <c r="AJ557" s="1106"/>
      <c r="AK557" s="1106"/>
      <c r="AL557" s="1106"/>
      <c r="AM557" s="1106"/>
      <c r="AN557" s="1106"/>
      <c r="AO557" s="1106"/>
    </row>
    <row r="558">
      <c r="G558" s="1106"/>
      <c r="H558" s="1106"/>
      <c r="I558" s="1106"/>
      <c r="J558" s="1106"/>
      <c r="K558" s="1106"/>
      <c r="L558" s="1106"/>
      <c r="M558" s="1106"/>
      <c r="N558" s="1106"/>
      <c r="O558" s="1106"/>
      <c r="P558" s="1106"/>
      <c r="Q558" s="1106"/>
      <c r="R558" s="1106"/>
      <c r="S558" s="1106"/>
      <c r="T558" s="1106"/>
      <c r="U558" s="1106"/>
      <c r="V558" s="1106"/>
      <c r="W558" s="1106"/>
      <c r="X558" s="1106"/>
      <c r="Y558" s="1106"/>
      <c r="Z558" s="1106"/>
      <c r="AA558" s="1106"/>
      <c r="AB558" s="1106"/>
      <c r="AC558" s="1106"/>
      <c r="AD558" s="1106"/>
      <c r="AE558" s="1106"/>
      <c r="AF558" s="1106"/>
      <c r="AG558" s="1106"/>
      <c r="AH558" s="1106"/>
      <c r="AI558" s="1106"/>
      <c r="AJ558" s="1106"/>
      <c r="AK558" s="1106"/>
      <c r="AL558" s="1106"/>
      <c r="AM558" s="1106"/>
      <c r="AN558" s="1106"/>
      <c r="AO558" s="1106"/>
    </row>
    <row r="559">
      <c r="G559" s="1106"/>
      <c r="H559" s="1106"/>
      <c r="I559" s="1106"/>
      <c r="J559" s="1106"/>
      <c r="K559" s="1106"/>
      <c r="L559" s="1106"/>
      <c r="M559" s="1106"/>
      <c r="N559" s="1106"/>
      <c r="O559" s="1106"/>
      <c r="P559" s="1106"/>
      <c r="Q559" s="1106"/>
      <c r="R559" s="1106"/>
      <c r="S559" s="1106"/>
      <c r="T559" s="1106"/>
      <c r="U559" s="1106"/>
      <c r="V559" s="1106"/>
      <c r="W559" s="1106"/>
      <c r="X559" s="1106"/>
      <c r="Y559" s="1106"/>
      <c r="Z559" s="1106"/>
      <c r="AA559" s="1106"/>
      <c r="AB559" s="1106"/>
      <c r="AC559" s="1106"/>
      <c r="AD559" s="1106"/>
      <c r="AE559" s="1106"/>
      <c r="AF559" s="1106"/>
      <c r="AG559" s="1106"/>
      <c r="AH559" s="1106"/>
      <c r="AI559" s="1106"/>
      <c r="AJ559" s="1106"/>
      <c r="AK559" s="1106"/>
      <c r="AL559" s="1106"/>
      <c r="AM559" s="1106"/>
      <c r="AN559" s="1106"/>
      <c r="AO559" s="1106"/>
    </row>
    <row r="560">
      <c r="G560" s="1106"/>
      <c r="H560" s="1106"/>
      <c r="I560" s="1106"/>
      <c r="J560" s="1106"/>
      <c r="K560" s="1106"/>
      <c r="L560" s="1106"/>
      <c r="M560" s="1106"/>
      <c r="N560" s="1106"/>
      <c r="O560" s="1106"/>
      <c r="P560" s="1106"/>
      <c r="Q560" s="1106"/>
      <c r="R560" s="1106"/>
      <c r="S560" s="1106"/>
      <c r="T560" s="1106"/>
      <c r="U560" s="1106"/>
      <c r="V560" s="1106"/>
      <c r="W560" s="1106"/>
      <c r="X560" s="1106"/>
      <c r="Y560" s="1106"/>
      <c r="Z560" s="1106"/>
      <c r="AA560" s="1106"/>
      <c r="AB560" s="1106"/>
      <c r="AC560" s="1106"/>
      <c r="AD560" s="1106"/>
      <c r="AE560" s="1106"/>
      <c r="AF560" s="1106"/>
      <c r="AG560" s="1106"/>
      <c r="AH560" s="1106"/>
      <c r="AI560" s="1106"/>
      <c r="AJ560" s="1106"/>
      <c r="AK560" s="1106"/>
      <c r="AL560" s="1106"/>
      <c r="AM560" s="1106"/>
      <c r="AN560" s="1106"/>
      <c r="AO560" s="1106"/>
    </row>
    <row r="561">
      <c r="G561" s="1106"/>
      <c r="H561" s="1106"/>
      <c r="I561" s="1106"/>
      <c r="J561" s="1106"/>
      <c r="K561" s="1106"/>
      <c r="L561" s="1106"/>
      <c r="M561" s="1106"/>
      <c r="N561" s="1106"/>
      <c r="O561" s="1106"/>
      <c r="P561" s="1106"/>
      <c r="Q561" s="1106"/>
      <c r="R561" s="1106"/>
      <c r="S561" s="1106"/>
      <c r="T561" s="1106"/>
      <c r="U561" s="1106"/>
      <c r="V561" s="1106"/>
      <c r="W561" s="1106"/>
      <c r="X561" s="1106"/>
      <c r="Y561" s="1106"/>
      <c r="Z561" s="1106"/>
      <c r="AA561" s="1106"/>
      <c r="AB561" s="1106"/>
      <c r="AC561" s="1106"/>
      <c r="AD561" s="1106"/>
      <c r="AE561" s="1106"/>
      <c r="AF561" s="1106"/>
      <c r="AG561" s="1106"/>
      <c r="AH561" s="1106"/>
      <c r="AI561" s="1106"/>
      <c r="AJ561" s="1106"/>
      <c r="AK561" s="1106"/>
      <c r="AL561" s="1106"/>
      <c r="AM561" s="1106"/>
      <c r="AN561" s="1106"/>
      <c r="AO561" s="1106"/>
    </row>
    <row r="562">
      <c r="G562" s="1106"/>
      <c r="H562" s="1106"/>
      <c r="I562" s="1106"/>
      <c r="J562" s="1106"/>
      <c r="K562" s="1106"/>
      <c r="L562" s="1106"/>
      <c r="M562" s="1106"/>
      <c r="N562" s="1106"/>
      <c r="O562" s="1106"/>
      <c r="P562" s="1106"/>
      <c r="Q562" s="1106"/>
      <c r="R562" s="1106"/>
      <c r="S562" s="1106"/>
      <c r="T562" s="1106"/>
      <c r="U562" s="1106"/>
      <c r="V562" s="1106"/>
      <c r="W562" s="1106"/>
      <c r="X562" s="1106"/>
      <c r="Y562" s="1106"/>
      <c r="Z562" s="1106"/>
      <c r="AA562" s="1106"/>
      <c r="AB562" s="1106"/>
      <c r="AC562" s="1106"/>
      <c r="AD562" s="1106"/>
      <c r="AE562" s="1106"/>
      <c r="AF562" s="1106"/>
      <c r="AG562" s="1106"/>
      <c r="AH562" s="1106"/>
      <c r="AI562" s="1106"/>
      <c r="AJ562" s="1106"/>
      <c r="AK562" s="1106"/>
      <c r="AL562" s="1106"/>
      <c r="AM562" s="1106"/>
      <c r="AN562" s="1106"/>
      <c r="AO562" s="1106"/>
    </row>
    <row r="563">
      <c r="G563" s="1106"/>
      <c r="H563" s="1106"/>
      <c r="I563" s="1106"/>
      <c r="J563" s="1106"/>
      <c r="K563" s="1106"/>
      <c r="L563" s="1106"/>
      <c r="M563" s="1106"/>
      <c r="N563" s="1106"/>
      <c r="O563" s="1106"/>
      <c r="P563" s="1106"/>
      <c r="Q563" s="1106"/>
      <c r="R563" s="1106"/>
      <c r="S563" s="1106"/>
      <c r="T563" s="1106"/>
      <c r="U563" s="1106"/>
      <c r="V563" s="1106"/>
      <c r="W563" s="1106"/>
      <c r="X563" s="1106"/>
      <c r="Y563" s="1106"/>
      <c r="Z563" s="1106"/>
      <c r="AA563" s="1106"/>
      <c r="AB563" s="1106"/>
      <c r="AC563" s="1106"/>
      <c r="AD563" s="1106"/>
      <c r="AE563" s="1106"/>
      <c r="AF563" s="1106"/>
      <c r="AG563" s="1106"/>
      <c r="AH563" s="1106"/>
      <c r="AI563" s="1106"/>
      <c r="AJ563" s="1106"/>
      <c r="AK563" s="1106"/>
      <c r="AL563" s="1106"/>
      <c r="AM563" s="1106"/>
      <c r="AN563" s="1106"/>
      <c r="AO563" s="1106"/>
    </row>
    <row r="564">
      <c r="G564" s="1106"/>
      <c r="H564" s="1106"/>
      <c r="I564" s="1106"/>
      <c r="J564" s="1106"/>
      <c r="K564" s="1106"/>
      <c r="L564" s="1106"/>
      <c r="M564" s="1106"/>
      <c r="N564" s="1106"/>
      <c r="O564" s="1106"/>
      <c r="P564" s="1106"/>
      <c r="Q564" s="1106"/>
      <c r="R564" s="1106"/>
      <c r="S564" s="1106"/>
      <c r="T564" s="1106"/>
      <c r="U564" s="1106"/>
      <c r="V564" s="1106"/>
      <c r="W564" s="1106"/>
      <c r="X564" s="1106"/>
      <c r="Y564" s="1106"/>
      <c r="Z564" s="1106"/>
      <c r="AA564" s="1106"/>
      <c r="AB564" s="1106"/>
      <c r="AC564" s="1106"/>
      <c r="AD564" s="1106"/>
      <c r="AE564" s="1106"/>
      <c r="AF564" s="1106"/>
      <c r="AG564" s="1106"/>
      <c r="AH564" s="1106"/>
      <c r="AI564" s="1106"/>
      <c r="AJ564" s="1106"/>
      <c r="AK564" s="1106"/>
      <c r="AL564" s="1106"/>
      <c r="AM564" s="1106"/>
      <c r="AN564" s="1106"/>
      <c r="AO564" s="1106"/>
    </row>
    <row r="565">
      <c r="G565" s="1106"/>
      <c r="H565" s="1106"/>
      <c r="I565" s="1106"/>
      <c r="J565" s="1106"/>
      <c r="K565" s="1106"/>
      <c r="L565" s="1106"/>
      <c r="M565" s="1106"/>
      <c r="N565" s="1106"/>
      <c r="O565" s="1106"/>
      <c r="P565" s="1106"/>
      <c r="Q565" s="1106"/>
      <c r="R565" s="1106"/>
      <c r="S565" s="1106"/>
      <c r="T565" s="1106"/>
      <c r="U565" s="1106"/>
      <c r="V565" s="1106"/>
      <c r="W565" s="1106"/>
      <c r="X565" s="1106"/>
      <c r="Y565" s="1106"/>
      <c r="Z565" s="1106"/>
      <c r="AA565" s="1106"/>
      <c r="AB565" s="1106"/>
      <c r="AC565" s="1106"/>
      <c r="AD565" s="1106"/>
      <c r="AE565" s="1106"/>
      <c r="AF565" s="1106"/>
      <c r="AG565" s="1106"/>
      <c r="AH565" s="1106"/>
      <c r="AI565" s="1106"/>
      <c r="AJ565" s="1106"/>
      <c r="AK565" s="1106"/>
      <c r="AL565" s="1106"/>
      <c r="AM565" s="1106"/>
      <c r="AN565" s="1106"/>
      <c r="AO565" s="1106"/>
    </row>
    <row r="566">
      <c r="G566" s="1106"/>
      <c r="H566" s="1106"/>
      <c r="I566" s="1106"/>
      <c r="J566" s="1106"/>
      <c r="K566" s="1106"/>
      <c r="L566" s="1106"/>
      <c r="M566" s="1106"/>
      <c r="N566" s="1106"/>
      <c r="O566" s="1106"/>
      <c r="P566" s="1106"/>
      <c r="Q566" s="1106"/>
      <c r="R566" s="1106"/>
      <c r="S566" s="1106"/>
      <c r="T566" s="1106"/>
      <c r="U566" s="1106"/>
      <c r="V566" s="1106"/>
      <c r="W566" s="1106"/>
      <c r="X566" s="1106"/>
      <c r="Y566" s="1106"/>
      <c r="Z566" s="1106"/>
      <c r="AA566" s="1106"/>
      <c r="AB566" s="1106"/>
      <c r="AC566" s="1106"/>
      <c r="AD566" s="1106"/>
      <c r="AE566" s="1106"/>
      <c r="AF566" s="1106"/>
      <c r="AG566" s="1106"/>
      <c r="AH566" s="1106"/>
      <c r="AI566" s="1106"/>
      <c r="AJ566" s="1106"/>
      <c r="AK566" s="1106"/>
      <c r="AL566" s="1106"/>
      <c r="AM566" s="1106"/>
      <c r="AN566" s="1106"/>
      <c r="AO566" s="1106"/>
    </row>
    <row r="567">
      <c r="G567" s="1106"/>
      <c r="H567" s="1106"/>
      <c r="I567" s="1106"/>
      <c r="J567" s="1106"/>
      <c r="K567" s="1106"/>
      <c r="L567" s="1106"/>
      <c r="M567" s="1106"/>
      <c r="N567" s="1106"/>
      <c r="O567" s="1106"/>
      <c r="P567" s="1106"/>
      <c r="Q567" s="1106"/>
      <c r="R567" s="1106"/>
      <c r="S567" s="1106"/>
      <c r="T567" s="1106"/>
      <c r="U567" s="1106"/>
      <c r="V567" s="1106"/>
      <c r="W567" s="1106"/>
      <c r="X567" s="1106"/>
      <c r="Y567" s="1106"/>
      <c r="Z567" s="1106"/>
      <c r="AA567" s="1106"/>
      <c r="AB567" s="1106"/>
      <c r="AC567" s="1106"/>
      <c r="AD567" s="1106"/>
      <c r="AE567" s="1106"/>
      <c r="AF567" s="1106"/>
      <c r="AG567" s="1106"/>
      <c r="AH567" s="1106"/>
      <c r="AI567" s="1106"/>
      <c r="AJ567" s="1106"/>
      <c r="AK567" s="1106"/>
      <c r="AL567" s="1106"/>
      <c r="AM567" s="1106"/>
      <c r="AN567" s="1106"/>
      <c r="AO567" s="1106"/>
    </row>
    <row r="568">
      <c r="G568" s="1106"/>
      <c r="H568" s="1106"/>
      <c r="I568" s="1106"/>
      <c r="J568" s="1106"/>
      <c r="K568" s="1106"/>
      <c r="L568" s="1106"/>
      <c r="M568" s="1106"/>
      <c r="N568" s="1106"/>
      <c r="O568" s="1106"/>
      <c r="P568" s="1106"/>
      <c r="Q568" s="1106"/>
      <c r="R568" s="1106"/>
      <c r="S568" s="1106"/>
      <c r="T568" s="1106"/>
      <c r="U568" s="1106"/>
      <c r="V568" s="1106"/>
      <c r="W568" s="1106"/>
      <c r="X568" s="1106"/>
      <c r="Y568" s="1106"/>
      <c r="Z568" s="1106"/>
      <c r="AA568" s="1106"/>
      <c r="AB568" s="1106"/>
      <c r="AC568" s="1106"/>
      <c r="AD568" s="1106"/>
      <c r="AE568" s="1106"/>
      <c r="AF568" s="1106"/>
      <c r="AG568" s="1106"/>
      <c r="AH568" s="1106"/>
      <c r="AI568" s="1106"/>
      <c r="AJ568" s="1106"/>
      <c r="AK568" s="1106"/>
      <c r="AL568" s="1106"/>
      <c r="AM568" s="1106"/>
      <c r="AN568" s="1106"/>
      <c r="AO568" s="1106"/>
    </row>
    <row r="569">
      <c r="G569" s="1106"/>
      <c r="H569" s="1106"/>
      <c r="I569" s="1106"/>
      <c r="J569" s="1106"/>
      <c r="K569" s="1106"/>
      <c r="L569" s="1106"/>
      <c r="M569" s="1106"/>
      <c r="N569" s="1106"/>
      <c r="O569" s="1106"/>
      <c r="P569" s="1106"/>
      <c r="Q569" s="1106"/>
      <c r="R569" s="1106"/>
      <c r="S569" s="1106"/>
      <c r="T569" s="1106"/>
      <c r="U569" s="1106"/>
      <c r="V569" s="1106"/>
      <c r="W569" s="1106"/>
      <c r="X569" s="1106"/>
      <c r="Y569" s="1106"/>
      <c r="Z569" s="1106"/>
      <c r="AA569" s="1106"/>
      <c r="AB569" s="1106"/>
      <c r="AC569" s="1106"/>
      <c r="AD569" s="1106"/>
      <c r="AE569" s="1106"/>
      <c r="AF569" s="1106"/>
      <c r="AG569" s="1106"/>
      <c r="AH569" s="1106"/>
      <c r="AI569" s="1106"/>
      <c r="AJ569" s="1106"/>
      <c r="AK569" s="1106"/>
      <c r="AL569" s="1106"/>
      <c r="AM569" s="1106"/>
      <c r="AN569" s="1106"/>
      <c r="AO569" s="1106"/>
    </row>
    <row r="570">
      <c r="G570" s="1106"/>
      <c r="H570" s="1106"/>
      <c r="I570" s="1106"/>
      <c r="J570" s="1106"/>
      <c r="K570" s="1106"/>
      <c r="L570" s="1106"/>
      <c r="M570" s="1106"/>
      <c r="N570" s="1106"/>
      <c r="O570" s="1106"/>
      <c r="P570" s="1106"/>
      <c r="Q570" s="1106"/>
      <c r="R570" s="1106"/>
      <c r="S570" s="1106"/>
      <c r="T570" s="1106"/>
      <c r="U570" s="1106"/>
      <c r="V570" s="1106"/>
      <c r="W570" s="1106"/>
      <c r="X570" s="1106"/>
      <c r="Y570" s="1106"/>
      <c r="Z570" s="1106"/>
      <c r="AA570" s="1106"/>
      <c r="AB570" s="1106"/>
      <c r="AC570" s="1106"/>
      <c r="AD570" s="1106"/>
      <c r="AE570" s="1106"/>
      <c r="AF570" s="1106"/>
      <c r="AG570" s="1106"/>
      <c r="AH570" s="1106"/>
      <c r="AI570" s="1106"/>
      <c r="AJ570" s="1106"/>
      <c r="AK570" s="1106"/>
      <c r="AL570" s="1106"/>
      <c r="AM570" s="1106"/>
      <c r="AN570" s="1106"/>
      <c r="AO570" s="1106"/>
    </row>
    <row r="571">
      <c r="G571" s="1106"/>
      <c r="H571" s="1106"/>
      <c r="I571" s="1106"/>
      <c r="J571" s="1106"/>
      <c r="K571" s="1106"/>
      <c r="L571" s="1106"/>
      <c r="M571" s="1106"/>
      <c r="N571" s="1106"/>
      <c r="O571" s="1106"/>
      <c r="P571" s="1106"/>
      <c r="Q571" s="1106"/>
      <c r="R571" s="1106"/>
      <c r="S571" s="1106"/>
      <c r="T571" s="1106"/>
      <c r="U571" s="1106"/>
      <c r="V571" s="1106"/>
      <c r="W571" s="1106"/>
      <c r="X571" s="1106"/>
      <c r="Y571" s="1106"/>
      <c r="Z571" s="1106"/>
      <c r="AA571" s="1106"/>
      <c r="AB571" s="1106"/>
      <c r="AC571" s="1106"/>
      <c r="AD571" s="1106"/>
      <c r="AE571" s="1106"/>
      <c r="AF571" s="1106"/>
      <c r="AG571" s="1106"/>
      <c r="AH571" s="1106"/>
      <c r="AI571" s="1106"/>
      <c r="AJ571" s="1106"/>
      <c r="AK571" s="1106"/>
      <c r="AL571" s="1106"/>
      <c r="AM571" s="1106"/>
      <c r="AN571" s="1106"/>
      <c r="AO571" s="1106"/>
    </row>
    <row r="572">
      <c r="G572" s="1106"/>
      <c r="H572" s="1106"/>
      <c r="I572" s="1106"/>
      <c r="J572" s="1106"/>
      <c r="K572" s="1106"/>
      <c r="L572" s="1106"/>
      <c r="M572" s="1106"/>
      <c r="N572" s="1106"/>
      <c r="O572" s="1106"/>
      <c r="P572" s="1106"/>
      <c r="Q572" s="1106"/>
      <c r="R572" s="1106"/>
      <c r="S572" s="1106"/>
      <c r="T572" s="1106"/>
      <c r="U572" s="1106"/>
      <c r="V572" s="1106"/>
      <c r="W572" s="1106"/>
      <c r="X572" s="1106"/>
      <c r="Y572" s="1106"/>
      <c r="Z572" s="1106"/>
      <c r="AA572" s="1106"/>
      <c r="AB572" s="1106"/>
      <c r="AC572" s="1106"/>
      <c r="AD572" s="1106"/>
      <c r="AE572" s="1106"/>
      <c r="AF572" s="1106"/>
      <c r="AG572" s="1106"/>
      <c r="AH572" s="1106"/>
      <c r="AI572" s="1106"/>
      <c r="AJ572" s="1106"/>
      <c r="AK572" s="1106"/>
      <c r="AL572" s="1106"/>
      <c r="AM572" s="1106"/>
      <c r="AN572" s="1106"/>
      <c r="AO572" s="1106"/>
    </row>
    <row r="573">
      <c r="G573" s="1106"/>
      <c r="H573" s="1106"/>
      <c r="I573" s="1106"/>
      <c r="J573" s="1106"/>
      <c r="K573" s="1106"/>
      <c r="L573" s="1106"/>
      <c r="M573" s="1106"/>
      <c r="N573" s="1106"/>
      <c r="O573" s="1106"/>
      <c r="P573" s="1106"/>
      <c r="Q573" s="1106"/>
      <c r="R573" s="1106"/>
      <c r="S573" s="1106"/>
      <c r="T573" s="1106"/>
      <c r="U573" s="1106"/>
      <c r="V573" s="1106"/>
      <c r="W573" s="1106"/>
      <c r="X573" s="1106"/>
      <c r="Y573" s="1106"/>
      <c r="Z573" s="1106"/>
      <c r="AA573" s="1106"/>
      <c r="AB573" s="1106"/>
      <c r="AC573" s="1106"/>
      <c r="AD573" s="1106"/>
      <c r="AE573" s="1106"/>
      <c r="AF573" s="1106"/>
      <c r="AG573" s="1106"/>
      <c r="AH573" s="1106"/>
      <c r="AI573" s="1106"/>
      <c r="AJ573" s="1106"/>
      <c r="AK573" s="1106"/>
      <c r="AL573" s="1106"/>
      <c r="AM573" s="1106"/>
      <c r="AN573" s="1106"/>
      <c r="AO573" s="1106"/>
    </row>
    <row r="574">
      <c r="G574" s="1106"/>
      <c r="H574" s="1106"/>
      <c r="I574" s="1106"/>
      <c r="J574" s="1106"/>
      <c r="K574" s="1106"/>
      <c r="L574" s="1106"/>
      <c r="M574" s="1106"/>
      <c r="N574" s="1106"/>
      <c r="O574" s="1106"/>
      <c r="P574" s="1106"/>
      <c r="Q574" s="1106"/>
      <c r="R574" s="1106"/>
      <c r="S574" s="1106"/>
      <c r="T574" s="1106"/>
      <c r="U574" s="1106"/>
      <c r="V574" s="1106"/>
      <c r="W574" s="1106"/>
      <c r="X574" s="1106"/>
      <c r="Y574" s="1106"/>
      <c r="Z574" s="1106"/>
      <c r="AA574" s="1106"/>
      <c r="AB574" s="1106"/>
      <c r="AC574" s="1106"/>
      <c r="AD574" s="1106"/>
      <c r="AE574" s="1106"/>
      <c r="AF574" s="1106"/>
      <c r="AG574" s="1106"/>
      <c r="AH574" s="1106"/>
      <c r="AI574" s="1106"/>
      <c r="AJ574" s="1106"/>
      <c r="AK574" s="1106"/>
      <c r="AL574" s="1106"/>
      <c r="AM574" s="1106"/>
      <c r="AN574" s="1106"/>
      <c r="AO574" s="1106"/>
    </row>
    <row r="575">
      <c r="G575" s="1106"/>
      <c r="H575" s="1106"/>
      <c r="I575" s="1106"/>
      <c r="J575" s="1106"/>
      <c r="K575" s="1106"/>
      <c r="L575" s="1106"/>
      <c r="M575" s="1106"/>
      <c r="N575" s="1106"/>
      <c r="O575" s="1106"/>
      <c r="P575" s="1106"/>
      <c r="Q575" s="1106"/>
      <c r="R575" s="1106"/>
      <c r="S575" s="1106"/>
      <c r="T575" s="1106"/>
      <c r="U575" s="1106"/>
      <c r="V575" s="1106"/>
      <c r="W575" s="1106"/>
      <c r="X575" s="1106"/>
      <c r="Y575" s="1106"/>
      <c r="Z575" s="1106"/>
      <c r="AA575" s="1106"/>
      <c r="AB575" s="1106"/>
      <c r="AC575" s="1106"/>
      <c r="AD575" s="1106"/>
      <c r="AE575" s="1106"/>
      <c r="AF575" s="1106"/>
      <c r="AG575" s="1106"/>
      <c r="AH575" s="1106"/>
      <c r="AI575" s="1106"/>
      <c r="AJ575" s="1106"/>
      <c r="AK575" s="1106"/>
      <c r="AL575" s="1106"/>
      <c r="AM575" s="1106"/>
      <c r="AN575" s="1106"/>
      <c r="AO575" s="1106"/>
    </row>
    <row r="576">
      <c r="G576" s="1106"/>
      <c r="H576" s="1106"/>
      <c r="I576" s="1106"/>
      <c r="J576" s="1106"/>
      <c r="K576" s="1106"/>
      <c r="L576" s="1106"/>
      <c r="M576" s="1106"/>
      <c r="N576" s="1106"/>
      <c r="O576" s="1106"/>
      <c r="P576" s="1106"/>
      <c r="Q576" s="1106"/>
      <c r="R576" s="1106"/>
      <c r="S576" s="1106"/>
      <c r="T576" s="1106"/>
      <c r="U576" s="1106"/>
      <c r="V576" s="1106"/>
      <c r="W576" s="1106"/>
      <c r="X576" s="1106"/>
      <c r="Y576" s="1106"/>
      <c r="Z576" s="1106"/>
      <c r="AA576" s="1106"/>
      <c r="AB576" s="1106"/>
      <c r="AC576" s="1106"/>
      <c r="AD576" s="1106"/>
      <c r="AE576" s="1106"/>
      <c r="AF576" s="1106"/>
      <c r="AG576" s="1106"/>
      <c r="AH576" s="1106"/>
      <c r="AI576" s="1106"/>
      <c r="AJ576" s="1106"/>
      <c r="AK576" s="1106"/>
      <c r="AL576" s="1106"/>
      <c r="AM576" s="1106"/>
      <c r="AN576" s="1106"/>
      <c r="AO576" s="1106"/>
    </row>
    <row r="577">
      <c r="G577" s="1106"/>
      <c r="H577" s="1106"/>
      <c r="I577" s="1106"/>
      <c r="J577" s="1106"/>
      <c r="K577" s="1106"/>
      <c r="L577" s="1106"/>
      <c r="M577" s="1106"/>
      <c r="N577" s="1106"/>
      <c r="O577" s="1106"/>
      <c r="P577" s="1106"/>
      <c r="Q577" s="1106"/>
      <c r="R577" s="1106"/>
      <c r="S577" s="1106"/>
      <c r="T577" s="1106"/>
      <c r="U577" s="1106"/>
      <c r="V577" s="1106"/>
      <c r="W577" s="1106"/>
      <c r="X577" s="1106"/>
      <c r="Y577" s="1106"/>
      <c r="Z577" s="1106"/>
      <c r="AA577" s="1106"/>
      <c r="AB577" s="1106"/>
      <c r="AC577" s="1106"/>
      <c r="AD577" s="1106"/>
      <c r="AE577" s="1106"/>
      <c r="AF577" s="1106"/>
      <c r="AG577" s="1106"/>
      <c r="AH577" s="1106"/>
      <c r="AI577" s="1106"/>
      <c r="AJ577" s="1106"/>
      <c r="AK577" s="1106"/>
      <c r="AL577" s="1106"/>
      <c r="AM577" s="1106"/>
      <c r="AN577" s="1106"/>
      <c r="AO577" s="1106"/>
    </row>
    <row r="578">
      <c r="G578" s="1106"/>
      <c r="H578" s="1106"/>
      <c r="I578" s="1106"/>
      <c r="J578" s="1106"/>
      <c r="K578" s="1106"/>
      <c r="L578" s="1106"/>
      <c r="M578" s="1106"/>
      <c r="N578" s="1106"/>
      <c r="O578" s="1106"/>
      <c r="P578" s="1106"/>
      <c r="Q578" s="1106"/>
      <c r="R578" s="1106"/>
      <c r="S578" s="1106"/>
      <c r="T578" s="1106"/>
      <c r="U578" s="1106"/>
      <c r="V578" s="1106"/>
      <c r="W578" s="1106"/>
      <c r="X578" s="1106"/>
      <c r="Y578" s="1106"/>
      <c r="Z578" s="1106"/>
      <c r="AA578" s="1106"/>
      <c r="AB578" s="1106"/>
      <c r="AC578" s="1106"/>
      <c r="AD578" s="1106"/>
      <c r="AE578" s="1106"/>
      <c r="AF578" s="1106"/>
      <c r="AG578" s="1106"/>
      <c r="AH578" s="1106"/>
      <c r="AI578" s="1106"/>
      <c r="AJ578" s="1106"/>
      <c r="AK578" s="1106"/>
      <c r="AL578" s="1106"/>
      <c r="AM578" s="1106"/>
      <c r="AN578" s="1106"/>
      <c r="AO578" s="1106"/>
    </row>
    <row r="579">
      <c r="G579" s="1106"/>
      <c r="H579" s="1106"/>
      <c r="I579" s="1106"/>
      <c r="J579" s="1106"/>
      <c r="K579" s="1106"/>
      <c r="L579" s="1106"/>
      <c r="M579" s="1106"/>
      <c r="N579" s="1106"/>
      <c r="O579" s="1106"/>
      <c r="P579" s="1106"/>
      <c r="Q579" s="1106"/>
      <c r="R579" s="1106"/>
      <c r="S579" s="1106"/>
      <c r="T579" s="1106"/>
      <c r="U579" s="1106"/>
      <c r="V579" s="1106"/>
      <c r="W579" s="1106"/>
      <c r="X579" s="1106"/>
      <c r="Y579" s="1106"/>
      <c r="Z579" s="1106"/>
      <c r="AA579" s="1106"/>
      <c r="AB579" s="1106"/>
      <c r="AC579" s="1106"/>
      <c r="AD579" s="1106"/>
      <c r="AE579" s="1106"/>
      <c r="AF579" s="1106"/>
      <c r="AG579" s="1106"/>
      <c r="AH579" s="1106"/>
      <c r="AI579" s="1106"/>
      <c r="AJ579" s="1106"/>
      <c r="AK579" s="1106"/>
      <c r="AL579" s="1106"/>
      <c r="AM579" s="1106"/>
      <c r="AN579" s="1106"/>
      <c r="AO579" s="1106"/>
    </row>
    <row r="580">
      <c r="G580" s="1106"/>
      <c r="H580" s="1106"/>
      <c r="I580" s="1106"/>
      <c r="J580" s="1106"/>
      <c r="K580" s="1106"/>
      <c r="L580" s="1106"/>
      <c r="M580" s="1106"/>
      <c r="N580" s="1106"/>
      <c r="O580" s="1106"/>
      <c r="P580" s="1106"/>
      <c r="Q580" s="1106"/>
      <c r="R580" s="1106"/>
      <c r="S580" s="1106"/>
      <c r="T580" s="1106"/>
      <c r="U580" s="1106"/>
      <c r="V580" s="1106"/>
      <c r="W580" s="1106"/>
      <c r="X580" s="1106"/>
      <c r="Y580" s="1106"/>
      <c r="Z580" s="1106"/>
      <c r="AA580" s="1106"/>
      <c r="AB580" s="1106"/>
      <c r="AC580" s="1106"/>
      <c r="AD580" s="1106"/>
      <c r="AE580" s="1106"/>
      <c r="AF580" s="1106"/>
      <c r="AG580" s="1106"/>
      <c r="AH580" s="1106"/>
      <c r="AI580" s="1106"/>
      <c r="AJ580" s="1106"/>
      <c r="AK580" s="1106"/>
      <c r="AL580" s="1106"/>
      <c r="AM580" s="1106"/>
      <c r="AN580" s="1106"/>
      <c r="AO580" s="1106"/>
    </row>
    <row r="581">
      <c r="G581" s="1106"/>
      <c r="H581" s="1106"/>
      <c r="I581" s="1106"/>
      <c r="J581" s="1106"/>
      <c r="K581" s="1106"/>
      <c r="L581" s="1106"/>
      <c r="M581" s="1106"/>
      <c r="N581" s="1106"/>
      <c r="O581" s="1106"/>
      <c r="P581" s="1106"/>
      <c r="Q581" s="1106"/>
      <c r="R581" s="1106"/>
      <c r="S581" s="1106"/>
      <c r="T581" s="1106"/>
      <c r="U581" s="1106"/>
      <c r="V581" s="1106"/>
      <c r="W581" s="1106"/>
      <c r="X581" s="1106"/>
      <c r="Y581" s="1106"/>
      <c r="Z581" s="1106"/>
      <c r="AA581" s="1106"/>
      <c r="AB581" s="1106"/>
      <c r="AC581" s="1106"/>
      <c r="AD581" s="1106"/>
      <c r="AE581" s="1106"/>
      <c r="AF581" s="1106"/>
      <c r="AG581" s="1106"/>
      <c r="AH581" s="1106"/>
      <c r="AI581" s="1106"/>
      <c r="AJ581" s="1106"/>
      <c r="AK581" s="1106"/>
      <c r="AL581" s="1106"/>
      <c r="AM581" s="1106"/>
      <c r="AN581" s="1106"/>
      <c r="AO581" s="1106"/>
    </row>
    <row r="582">
      <c r="G582" s="1106"/>
      <c r="H582" s="1106"/>
      <c r="I582" s="1106"/>
      <c r="J582" s="1106"/>
      <c r="K582" s="1106"/>
      <c r="L582" s="1106"/>
      <c r="M582" s="1106"/>
      <c r="N582" s="1106"/>
      <c r="O582" s="1106"/>
      <c r="P582" s="1106"/>
      <c r="Q582" s="1106"/>
      <c r="R582" s="1106"/>
      <c r="S582" s="1106"/>
      <c r="T582" s="1106"/>
      <c r="U582" s="1106"/>
      <c r="V582" s="1106"/>
      <c r="W582" s="1106"/>
      <c r="X582" s="1106"/>
      <c r="Y582" s="1106"/>
      <c r="Z582" s="1106"/>
      <c r="AA582" s="1106"/>
      <c r="AB582" s="1106"/>
      <c r="AC582" s="1106"/>
      <c r="AD582" s="1106"/>
      <c r="AE582" s="1106"/>
      <c r="AF582" s="1106"/>
      <c r="AG582" s="1106"/>
      <c r="AH582" s="1106"/>
      <c r="AI582" s="1106"/>
      <c r="AJ582" s="1106"/>
      <c r="AK582" s="1106"/>
      <c r="AL582" s="1106"/>
      <c r="AM582" s="1106"/>
      <c r="AN582" s="1106"/>
      <c r="AO582" s="1106"/>
    </row>
    <row r="583">
      <c r="G583" s="1106"/>
      <c r="H583" s="1106"/>
      <c r="I583" s="1106"/>
      <c r="J583" s="1106"/>
      <c r="K583" s="1106"/>
      <c r="L583" s="1106"/>
      <c r="M583" s="1106"/>
      <c r="N583" s="1106"/>
      <c r="O583" s="1106"/>
      <c r="P583" s="1106"/>
      <c r="Q583" s="1106"/>
      <c r="R583" s="1106"/>
      <c r="S583" s="1106"/>
      <c r="T583" s="1106"/>
      <c r="U583" s="1106"/>
      <c r="V583" s="1106"/>
      <c r="W583" s="1106"/>
      <c r="X583" s="1106"/>
      <c r="Y583" s="1106"/>
      <c r="Z583" s="1106"/>
      <c r="AA583" s="1106"/>
      <c r="AB583" s="1106"/>
      <c r="AC583" s="1106"/>
      <c r="AD583" s="1106"/>
      <c r="AE583" s="1106"/>
      <c r="AF583" s="1106"/>
      <c r="AG583" s="1106"/>
      <c r="AH583" s="1106"/>
      <c r="AI583" s="1106"/>
      <c r="AJ583" s="1106"/>
      <c r="AK583" s="1106"/>
      <c r="AL583" s="1106"/>
      <c r="AM583" s="1106"/>
      <c r="AN583" s="1106"/>
      <c r="AO583" s="1106"/>
    </row>
    <row r="584">
      <c r="G584" s="1106"/>
      <c r="H584" s="1106"/>
      <c r="I584" s="1106"/>
      <c r="J584" s="1106"/>
      <c r="K584" s="1106"/>
      <c r="L584" s="1106"/>
      <c r="M584" s="1106"/>
      <c r="N584" s="1106"/>
      <c r="O584" s="1106"/>
      <c r="P584" s="1106"/>
      <c r="Q584" s="1106"/>
      <c r="R584" s="1106"/>
      <c r="S584" s="1106"/>
      <c r="T584" s="1106"/>
      <c r="U584" s="1106"/>
      <c r="V584" s="1106"/>
      <c r="W584" s="1106"/>
      <c r="X584" s="1106"/>
      <c r="Y584" s="1106"/>
      <c r="Z584" s="1106"/>
      <c r="AA584" s="1106"/>
      <c r="AB584" s="1106"/>
      <c r="AC584" s="1106"/>
      <c r="AD584" s="1106"/>
      <c r="AE584" s="1106"/>
      <c r="AF584" s="1106"/>
      <c r="AG584" s="1106"/>
      <c r="AH584" s="1106"/>
      <c r="AI584" s="1106"/>
      <c r="AJ584" s="1106"/>
      <c r="AK584" s="1106"/>
      <c r="AL584" s="1106"/>
      <c r="AM584" s="1106"/>
      <c r="AN584" s="1106"/>
      <c r="AO584" s="1106"/>
    </row>
    <row r="585">
      <c r="G585" s="1106"/>
      <c r="H585" s="1106"/>
      <c r="I585" s="1106"/>
      <c r="J585" s="1106"/>
      <c r="K585" s="1106"/>
      <c r="L585" s="1106"/>
      <c r="M585" s="1106"/>
      <c r="N585" s="1106"/>
      <c r="O585" s="1106"/>
      <c r="P585" s="1106"/>
      <c r="Q585" s="1106"/>
      <c r="R585" s="1106"/>
      <c r="S585" s="1106"/>
      <c r="T585" s="1106"/>
      <c r="U585" s="1106"/>
      <c r="V585" s="1106"/>
      <c r="W585" s="1106"/>
      <c r="X585" s="1106"/>
      <c r="Y585" s="1106"/>
      <c r="Z585" s="1106"/>
      <c r="AA585" s="1106"/>
      <c r="AB585" s="1106"/>
      <c r="AC585" s="1106"/>
      <c r="AD585" s="1106"/>
      <c r="AE585" s="1106"/>
      <c r="AF585" s="1106"/>
      <c r="AG585" s="1106"/>
      <c r="AH585" s="1106"/>
      <c r="AI585" s="1106"/>
      <c r="AJ585" s="1106"/>
      <c r="AK585" s="1106"/>
      <c r="AL585" s="1106"/>
      <c r="AM585" s="1106"/>
      <c r="AN585" s="1106"/>
      <c r="AO585" s="1106"/>
    </row>
    <row r="586">
      <c r="G586" s="1106"/>
      <c r="H586" s="1106"/>
      <c r="I586" s="1106"/>
      <c r="J586" s="1106"/>
      <c r="K586" s="1106"/>
      <c r="L586" s="1106"/>
      <c r="M586" s="1106"/>
      <c r="N586" s="1106"/>
      <c r="O586" s="1106"/>
      <c r="P586" s="1106"/>
      <c r="Q586" s="1106"/>
      <c r="R586" s="1106"/>
      <c r="S586" s="1106"/>
      <c r="T586" s="1106"/>
      <c r="U586" s="1106"/>
      <c r="V586" s="1106"/>
      <c r="W586" s="1106"/>
      <c r="X586" s="1106"/>
      <c r="Y586" s="1106"/>
      <c r="Z586" s="1106"/>
      <c r="AA586" s="1106"/>
      <c r="AB586" s="1106"/>
      <c r="AC586" s="1106"/>
      <c r="AD586" s="1106"/>
      <c r="AE586" s="1106"/>
      <c r="AF586" s="1106"/>
      <c r="AG586" s="1106"/>
      <c r="AH586" s="1106"/>
      <c r="AI586" s="1106"/>
      <c r="AJ586" s="1106"/>
      <c r="AK586" s="1106"/>
      <c r="AL586" s="1106"/>
      <c r="AM586" s="1106"/>
      <c r="AN586" s="1106"/>
      <c r="AO586" s="1106"/>
    </row>
    <row r="587">
      <c r="G587" s="1106"/>
      <c r="H587" s="1106"/>
      <c r="I587" s="1106"/>
      <c r="J587" s="1106"/>
      <c r="K587" s="1106"/>
      <c r="L587" s="1106"/>
      <c r="M587" s="1106"/>
      <c r="N587" s="1106"/>
      <c r="O587" s="1106"/>
      <c r="P587" s="1106"/>
      <c r="Q587" s="1106"/>
      <c r="R587" s="1106"/>
      <c r="S587" s="1106"/>
      <c r="T587" s="1106"/>
      <c r="U587" s="1106"/>
      <c r="V587" s="1106"/>
      <c r="W587" s="1106"/>
      <c r="X587" s="1106"/>
      <c r="Y587" s="1106"/>
      <c r="Z587" s="1106"/>
      <c r="AA587" s="1106"/>
      <c r="AB587" s="1106"/>
      <c r="AC587" s="1106"/>
      <c r="AD587" s="1106"/>
      <c r="AE587" s="1106"/>
      <c r="AF587" s="1106"/>
      <c r="AG587" s="1106"/>
      <c r="AH587" s="1106"/>
      <c r="AI587" s="1106"/>
      <c r="AJ587" s="1106"/>
      <c r="AK587" s="1106"/>
      <c r="AL587" s="1106"/>
      <c r="AM587" s="1106"/>
      <c r="AN587" s="1106"/>
      <c r="AO587" s="1106"/>
    </row>
    <row r="588">
      <c r="G588" s="1106"/>
      <c r="H588" s="1106"/>
      <c r="I588" s="1106"/>
      <c r="J588" s="1106"/>
      <c r="K588" s="1106"/>
      <c r="L588" s="1106"/>
      <c r="M588" s="1106"/>
      <c r="N588" s="1106"/>
      <c r="O588" s="1106"/>
      <c r="P588" s="1106"/>
      <c r="Q588" s="1106"/>
      <c r="R588" s="1106"/>
      <c r="S588" s="1106"/>
      <c r="T588" s="1106"/>
      <c r="U588" s="1106"/>
      <c r="V588" s="1106"/>
      <c r="W588" s="1106"/>
      <c r="X588" s="1106"/>
      <c r="Y588" s="1106"/>
      <c r="Z588" s="1106"/>
      <c r="AA588" s="1106"/>
      <c r="AB588" s="1106"/>
      <c r="AC588" s="1106"/>
      <c r="AD588" s="1106"/>
      <c r="AE588" s="1106"/>
      <c r="AF588" s="1106"/>
      <c r="AG588" s="1106"/>
      <c r="AH588" s="1106"/>
      <c r="AI588" s="1106"/>
      <c r="AJ588" s="1106"/>
      <c r="AK588" s="1106"/>
      <c r="AL588" s="1106"/>
      <c r="AM588" s="1106"/>
      <c r="AN588" s="1106"/>
      <c r="AO588" s="1106"/>
    </row>
    <row r="589">
      <c r="G589" s="1106"/>
      <c r="H589" s="1106"/>
      <c r="I589" s="1106"/>
      <c r="J589" s="1106"/>
      <c r="K589" s="1106"/>
      <c r="L589" s="1106"/>
      <c r="M589" s="1106"/>
      <c r="N589" s="1106"/>
      <c r="O589" s="1106"/>
      <c r="P589" s="1106"/>
      <c r="Q589" s="1106"/>
      <c r="R589" s="1106"/>
      <c r="S589" s="1106"/>
      <c r="T589" s="1106"/>
      <c r="U589" s="1106"/>
      <c r="V589" s="1106"/>
      <c r="W589" s="1106"/>
      <c r="X589" s="1106"/>
      <c r="Y589" s="1106"/>
      <c r="Z589" s="1106"/>
      <c r="AA589" s="1106"/>
      <c r="AB589" s="1106"/>
      <c r="AC589" s="1106"/>
      <c r="AD589" s="1106"/>
      <c r="AE589" s="1106"/>
      <c r="AF589" s="1106"/>
      <c r="AG589" s="1106"/>
      <c r="AH589" s="1106"/>
      <c r="AI589" s="1106"/>
      <c r="AJ589" s="1106"/>
      <c r="AK589" s="1106"/>
      <c r="AL589" s="1106"/>
      <c r="AM589" s="1106"/>
      <c r="AN589" s="1106"/>
      <c r="AO589" s="1106"/>
    </row>
    <row r="590">
      <c r="G590" s="1106"/>
      <c r="H590" s="1106"/>
      <c r="I590" s="1106"/>
      <c r="J590" s="1106"/>
      <c r="K590" s="1106"/>
      <c r="L590" s="1106"/>
      <c r="M590" s="1106"/>
      <c r="N590" s="1106"/>
      <c r="O590" s="1106"/>
      <c r="P590" s="1106"/>
      <c r="Q590" s="1106"/>
      <c r="R590" s="1106"/>
      <c r="S590" s="1106"/>
      <c r="T590" s="1106"/>
      <c r="U590" s="1106"/>
      <c r="V590" s="1106"/>
      <c r="W590" s="1106"/>
      <c r="X590" s="1106"/>
      <c r="Y590" s="1106"/>
      <c r="Z590" s="1106"/>
      <c r="AA590" s="1106"/>
      <c r="AB590" s="1106"/>
      <c r="AC590" s="1106"/>
      <c r="AD590" s="1106"/>
      <c r="AE590" s="1106"/>
      <c r="AF590" s="1106"/>
      <c r="AG590" s="1106"/>
      <c r="AH590" s="1106"/>
      <c r="AI590" s="1106"/>
      <c r="AJ590" s="1106"/>
      <c r="AK590" s="1106"/>
      <c r="AL590" s="1106"/>
      <c r="AM590" s="1106"/>
      <c r="AN590" s="1106"/>
      <c r="AO590" s="1106"/>
    </row>
    <row r="591">
      <c r="G591" s="1106"/>
      <c r="H591" s="1106"/>
      <c r="I591" s="1106"/>
      <c r="J591" s="1106"/>
      <c r="K591" s="1106"/>
      <c r="L591" s="1106"/>
      <c r="M591" s="1106"/>
      <c r="N591" s="1106"/>
      <c r="O591" s="1106"/>
      <c r="P591" s="1106"/>
      <c r="Q591" s="1106"/>
      <c r="R591" s="1106"/>
      <c r="S591" s="1106"/>
      <c r="T591" s="1106"/>
      <c r="U591" s="1106"/>
      <c r="V591" s="1106"/>
      <c r="W591" s="1106"/>
      <c r="X591" s="1106"/>
      <c r="Y591" s="1106"/>
      <c r="Z591" s="1106"/>
      <c r="AA591" s="1106"/>
      <c r="AB591" s="1106"/>
      <c r="AC591" s="1106"/>
      <c r="AD591" s="1106"/>
      <c r="AE591" s="1106"/>
      <c r="AF591" s="1106"/>
      <c r="AG591" s="1106"/>
      <c r="AH591" s="1106"/>
      <c r="AI591" s="1106"/>
      <c r="AJ591" s="1106"/>
      <c r="AK591" s="1106"/>
      <c r="AL591" s="1106"/>
      <c r="AM591" s="1106"/>
      <c r="AN591" s="1106"/>
      <c r="AO591" s="1106"/>
    </row>
    <row r="592">
      <c r="G592" s="1106"/>
      <c r="H592" s="1106"/>
      <c r="I592" s="1106"/>
      <c r="J592" s="1106"/>
      <c r="K592" s="1106"/>
      <c r="L592" s="1106"/>
      <c r="M592" s="1106"/>
      <c r="N592" s="1106"/>
      <c r="O592" s="1106"/>
      <c r="P592" s="1106"/>
      <c r="Q592" s="1106"/>
      <c r="R592" s="1106"/>
      <c r="S592" s="1106"/>
      <c r="T592" s="1106"/>
      <c r="U592" s="1106"/>
      <c r="V592" s="1106"/>
      <c r="W592" s="1106"/>
      <c r="X592" s="1106"/>
      <c r="Y592" s="1106"/>
      <c r="Z592" s="1106"/>
      <c r="AA592" s="1106"/>
      <c r="AB592" s="1106"/>
      <c r="AC592" s="1106"/>
      <c r="AD592" s="1106"/>
      <c r="AE592" s="1106"/>
      <c r="AF592" s="1106"/>
      <c r="AG592" s="1106"/>
      <c r="AH592" s="1106"/>
      <c r="AI592" s="1106"/>
      <c r="AJ592" s="1106"/>
      <c r="AK592" s="1106"/>
      <c r="AL592" s="1106"/>
      <c r="AM592" s="1106"/>
      <c r="AN592" s="1106"/>
      <c r="AO592" s="1106"/>
    </row>
    <row r="593">
      <c r="G593" s="1106"/>
      <c r="H593" s="1106"/>
      <c r="I593" s="1106"/>
      <c r="J593" s="1106"/>
      <c r="K593" s="1106"/>
      <c r="L593" s="1106"/>
      <c r="M593" s="1106"/>
      <c r="N593" s="1106"/>
      <c r="O593" s="1106"/>
      <c r="P593" s="1106"/>
      <c r="Q593" s="1106"/>
      <c r="R593" s="1106"/>
      <c r="S593" s="1106"/>
      <c r="T593" s="1106"/>
      <c r="U593" s="1106"/>
      <c r="V593" s="1106"/>
      <c r="W593" s="1106"/>
      <c r="X593" s="1106"/>
      <c r="Y593" s="1106"/>
      <c r="Z593" s="1106"/>
      <c r="AA593" s="1106"/>
      <c r="AB593" s="1106"/>
      <c r="AC593" s="1106"/>
      <c r="AD593" s="1106"/>
      <c r="AE593" s="1106"/>
      <c r="AF593" s="1106"/>
      <c r="AG593" s="1106"/>
      <c r="AH593" s="1106"/>
      <c r="AI593" s="1106"/>
      <c r="AJ593" s="1106"/>
      <c r="AK593" s="1106"/>
      <c r="AL593" s="1106"/>
      <c r="AM593" s="1106"/>
      <c r="AN593" s="1106"/>
      <c r="AO593" s="1106"/>
    </row>
    <row r="594">
      <c r="G594" s="1106"/>
      <c r="H594" s="1106"/>
      <c r="I594" s="1106"/>
      <c r="J594" s="1106"/>
      <c r="K594" s="1106"/>
      <c r="L594" s="1106"/>
      <c r="M594" s="1106"/>
      <c r="N594" s="1106"/>
      <c r="O594" s="1106"/>
      <c r="P594" s="1106"/>
      <c r="Q594" s="1106"/>
      <c r="R594" s="1106"/>
      <c r="S594" s="1106"/>
      <c r="T594" s="1106"/>
      <c r="U594" s="1106"/>
      <c r="V594" s="1106"/>
      <c r="W594" s="1106"/>
      <c r="X594" s="1106"/>
      <c r="Y594" s="1106"/>
      <c r="Z594" s="1106"/>
      <c r="AA594" s="1106"/>
      <c r="AB594" s="1106"/>
      <c r="AC594" s="1106"/>
      <c r="AD594" s="1106"/>
      <c r="AE594" s="1106"/>
      <c r="AF594" s="1106"/>
      <c r="AG594" s="1106"/>
      <c r="AH594" s="1106"/>
      <c r="AI594" s="1106"/>
      <c r="AJ594" s="1106"/>
      <c r="AK594" s="1106"/>
      <c r="AL594" s="1106"/>
      <c r="AM594" s="1106"/>
      <c r="AN594" s="1106"/>
      <c r="AO594" s="1106"/>
    </row>
    <row r="595">
      <c r="G595" s="1106"/>
      <c r="H595" s="1106"/>
      <c r="I595" s="1106"/>
      <c r="J595" s="1106"/>
      <c r="K595" s="1106"/>
      <c r="L595" s="1106"/>
      <c r="M595" s="1106"/>
      <c r="N595" s="1106"/>
      <c r="O595" s="1106"/>
      <c r="P595" s="1106"/>
      <c r="Q595" s="1106"/>
      <c r="R595" s="1106"/>
      <c r="S595" s="1106"/>
      <c r="T595" s="1106"/>
      <c r="U595" s="1106"/>
      <c r="V595" s="1106"/>
      <c r="W595" s="1106"/>
      <c r="X595" s="1106"/>
      <c r="Y595" s="1106"/>
      <c r="Z595" s="1106"/>
      <c r="AA595" s="1106"/>
      <c r="AB595" s="1106"/>
      <c r="AC595" s="1106"/>
      <c r="AD595" s="1106"/>
      <c r="AE595" s="1106"/>
      <c r="AF595" s="1106"/>
      <c r="AG595" s="1106"/>
      <c r="AH595" s="1106"/>
      <c r="AI595" s="1106"/>
      <c r="AJ595" s="1106"/>
      <c r="AK595" s="1106"/>
      <c r="AL595" s="1106"/>
      <c r="AM595" s="1106"/>
      <c r="AN595" s="1106"/>
      <c r="AO595" s="1106"/>
    </row>
    <row r="596">
      <c r="G596" s="1106"/>
      <c r="H596" s="1106"/>
      <c r="I596" s="1106"/>
      <c r="J596" s="1106"/>
      <c r="K596" s="1106"/>
      <c r="L596" s="1106"/>
      <c r="M596" s="1106"/>
      <c r="N596" s="1106"/>
      <c r="O596" s="1106"/>
      <c r="P596" s="1106"/>
      <c r="Q596" s="1106"/>
      <c r="R596" s="1106"/>
      <c r="S596" s="1106"/>
      <c r="T596" s="1106"/>
      <c r="U596" s="1106"/>
      <c r="V596" s="1106"/>
      <c r="W596" s="1106"/>
      <c r="X596" s="1106"/>
      <c r="Y596" s="1106"/>
      <c r="Z596" s="1106"/>
      <c r="AA596" s="1106"/>
      <c r="AB596" s="1106"/>
      <c r="AC596" s="1106"/>
      <c r="AD596" s="1106"/>
      <c r="AE596" s="1106"/>
      <c r="AF596" s="1106"/>
      <c r="AG596" s="1106"/>
      <c r="AH596" s="1106"/>
      <c r="AI596" s="1106"/>
      <c r="AJ596" s="1106"/>
      <c r="AK596" s="1106"/>
      <c r="AL596" s="1106"/>
      <c r="AM596" s="1106"/>
      <c r="AN596" s="1106"/>
      <c r="AO596" s="1106"/>
    </row>
    <row r="597">
      <c r="G597" s="1106"/>
      <c r="H597" s="1106"/>
      <c r="I597" s="1106"/>
      <c r="J597" s="1106"/>
      <c r="K597" s="1106"/>
      <c r="L597" s="1106"/>
      <c r="M597" s="1106"/>
      <c r="N597" s="1106"/>
      <c r="O597" s="1106"/>
      <c r="P597" s="1106"/>
      <c r="Q597" s="1106"/>
      <c r="R597" s="1106"/>
      <c r="S597" s="1106"/>
      <c r="T597" s="1106"/>
      <c r="U597" s="1106"/>
      <c r="V597" s="1106"/>
      <c r="W597" s="1106"/>
      <c r="X597" s="1106"/>
      <c r="Y597" s="1106"/>
      <c r="Z597" s="1106"/>
      <c r="AA597" s="1106"/>
      <c r="AB597" s="1106"/>
      <c r="AC597" s="1106"/>
      <c r="AD597" s="1106"/>
      <c r="AE597" s="1106"/>
      <c r="AF597" s="1106"/>
      <c r="AG597" s="1106"/>
      <c r="AH597" s="1106"/>
      <c r="AI597" s="1106"/>
      <c r="AJ597" s="1106"/>
      <c r="AK597" s="1106"/>
      <c r="AL597" s="1106"/>
      <c r="AM597" s="1106"/>
      <c r="AN597" s="1106"/>
      <c r="AO597" s="1106"/>
    </row>
    <row r="598">
      <c r="G598" s="1106"/>
      <c r="H598" s="1106"/>
      <c r="I598" s="1106"/>
      <c r="J598" s="1106"/>
      <c r="K598" s="1106"/>
      <c r="L598" s="1106"/>
      <c r="M598" s="1106"/>
      <c r="N598" s="1106"/>
      <c r="O598" s="1106"/>
      <c r="P598" s="1106"/>
      <c r="Q598" s="1106"/>
      <c r="R598" s="1106"/>
      <c r="S598" s="1106"/>
      <c r="T598" s="1106"/>
      <c r="U598" s="1106"/>
      <c r="V598" s="1106"/>
      <c r="W598" s="1106"/>
      <c r="X598" s="1106"/>
      <c r="Y598" s="1106"/>
      <c r="Z598" s="1106"/>
      <c r="AA598" s="1106"/>
      <c r="AB598" s="1106"/>
      <c r="AC598" s="1106"/>
      <c r="AD598" s="1106"/>
      <c r="AE598" s="1106"/>
      <c r="AF598" s="1106"/>
      <c r="AG598" s="1106"/>
      <c r="AH598" s="1106"/>
      <c r="AI598" s="1106"/>
      <c r="AJ598" s="1106"/>
      <c r="AK598" s="1106"/>
      <c r="AL598" s="1106"/>
      <c r="AM598" s="1106"/>
      <c r="AN598" s="1106"/>
      <c r="AO598" s="1106"/>
    </row>
    <row r="599">
      <c r="G599" s="1106"/>
      <c r="H599" s="1106"/>
      <c r="I599" s="1106"/>
      <c r="J599" s="1106"/>
      <c r="K599" s="1106"/>
      <c r="L599" s="1106"/>
      <c r="M599" s="1106"/>
      <c r="N599" s="1106"/>
      <c r="O599" s="1106"/>
      <c r="P599" s="1106"/>
      <c r="Q599" s="1106"/>
      <c r="R599" s="1106"/>
      <c r="S599" s="1106"/>
      <c r="T599" s="1106"/>
      <c r="U599" s="1106"/>
      <c r="V599" s="1106"/>
      <c r="W599" s="1106"/>
      <c r="X599" s="1106"/>
      <c r="Y599" s="1106"/>
      <c r="Z599" s="1106"/>
      <c r="AA599" s="1106"/>
      <c r="AB599" s="1106"/>
      <c r="AC599" s="1106"/>
      <c r="AD599" s="1106"/>
      <c r="AE599" s="1106"/>
      <c r="AF599" s="1106"/>
      <c r="AG599" s="1106"/>
      <c r="AH599" s="1106"/>
      <c r="AI599" s="1106"/>
      <c r="AJ599" s="1106"/>
      <c r="AK599" s="1106"/>
      <c r="AL599" s="1106"/>
      <c r="AM599" s="1106"/>
      <c r="AN599" s="1106"/>
      <c r="AO599" s="1106"/>
    </row>
    <row r="600">
      <c r="G600" s="1106"/>
      <c r="H600" s="1106"/>
      <c r="I600" s="1106"/>
      <c r="J600" s="1106"/>
      <c r="K600" s="1106"/>
      <c r="L600" s="1106"/>
      <c r="M600" s="1106"/>
      <c r="N600" s="1106"/>
      <c r="O600" s="1106"/>
      <c r="P600" s="1106"/>
      <c r="Q600" s="1106"/>
      <c r="R600" s="1106"/>
      <c r="S600" s="1106"/>
      <c r="T600" s="1106"/>
      <c r="U600" s="1106"/>
      <c r="V600" s="1106"/>
      <c r="W600" s="1106"/>
      <c r="X600" s="1106"/>
      <c r="Y600" s="1106"/>
      <c r="Z600" s="1106"/>
      <c r="AA600" s="1106"/>
      <c r="AB600" s="1106"/>
      <c r="AC600" s="1106"/>
      <c r="AD600" s="1106"/>
      <c r="AE600" s="1106"/>
      <c r="AF600" s="1106"/>
      <c r="AG600" s="1106"/>
      <c r="AH600" s="1106"/>
      <c r="AI600" s="1106"/>
      <c r="AJ600" s="1106"/>
      <c r="AK600" s="1106"/>
      <c r="AL600" s="1106"/>
      <c r="AM600" s="1106"/>
      <c r="AN600" s="1106"/>
      <c r="AO600" s="1106"/>
    </row>
    <row r="601">
      <c r="G601" s="1106"/>
      <c r="H601" s="1106"/>
      <c r="I601" s="1106"/>
      <c r="J601" s="1106"/>
      <c r="K601" s="1106"/>
      <c r="L601" s="1106"/>
      <c r="M601" s="1106"/>
      <c r="N601" s="1106"/>
      <c r="O601" s="1106"/>
      <c r="P601" s="1106"/>
      <c r="Q601" s="1106"/>
      <c r="R601" s="1106"/>
      <c r="S601" s="1106"/>
      <c r="T601" s="1106"/>
      <c r="U601" s="1106"/>
      <c r="V601" s="1106"/>
      <c r="W601" s="1106"/>
      <c r="X601" s="1106"/>
      <c r="Y601" s="1106"/>
      <c r="Z601" s="1106"/>
      <c r="AA601" s="1106"/>
      <c r="AB601" s="1106"/>
      <c r="AC601" s="1106"/>
      <c r="AD601" s="1106"/>
      <c r="AE601" s="1106"/>
      <c r="AF601" s="1106"/>
      <c r="AG601" s="1106"/>
      <c r="AH601" s="1106"/>
      <c r="AI601" s="1106"/>
      <c r="AJ601" s="1106"/>
      <c r="AK601" s="1106"/>
      <c r="AL601" s="1106"/>
      <c r="AM601" s="1106"/>
      <c r="AN601" s="1106"/>
      <c r="AO601" s="1106"/>
    </row>
    <row r="602">
      <c r="G602" s="1106"/>
      <c r="H602" s="1106"/>
      <c r="I602" s="1106"/>
      <c r="J602" s="1106"/>
      <c r="K602" s="1106"/>
      <c r="L602" s="1106"/>
      <c r="M602" s="1106"/>
      <c r="N602" s="1106"/>
      <c r="O602" s="1106"/>
      <c r="P602" s="1106"/>
      <c r="Q602" s="1106"/>
      <c r="R602" s="1106"/>
      <c r="S602" s="1106"/>
      <c r="T602" s="1106"/>
      <c r="U602" s="1106"/>
      <c r="V602" s="1106"/>
      <c r="W602" s="1106"/>
      <c r="X602" s="1106"/>
      <c r="Y602" s="1106"/>
      <c r="Z602" s="1106"/>
      <c r="AA602" s="1106"/>
      <c r="AB602" s="1106"/>
      <c r="AC602" s="1106"/>
      <c r="AD602" s="1106"/>
      <c r="AE602" s="1106"/>
      <c r="AF602" s="1106"/>
      <c r="AG602" s="1106"/>
      <c r="AH602" s="1106"/>
      <c r="AI602" s="1106"/>
      <c r="AJ602" s="1106"/>
      <c r="AK602" s="1106"/>
      <c r="AL602" s="1106"/>
      <c r="AM602" s="1106"/>
      <c r="AN602" s="1106"/>
      <c r="AO602" s="1106"/>
    </row>
    <row r="603">
      <c r="G603" s="1106"/>
      <c r="H603" s="1106"/>
      <c r="I603" s="1106"/>
      <c r="J603" s="1106"/>
      <c r="K603" s="1106"/>
      <c r="L603" s="1106"/>
      <c r="M603" s="1106"/>
      <c r="N603" s="1106"/>
      <c r="O603" s="1106"/>
      <c r="P603" s="1106"/>
      <c r="Q603" s="1106"/>
      <c r="R603" s="1106"/>
      <c r="S603" s="1106"/>
      <c r="T603" s="1106"/>
      <c r="U603" s="1106"/>
      <c r="V603" s="1106"/>
      <c r="W603" s="1106"/>
      <c r="X603" s="1106"/>
      <c r="Y603" s="1106"/>
      <c r="Z603" s="1106"/>
      <c r="AA603" s="1106"/>
      <c r="AB603" s="1106"/>
      <c r="AC603" s="1106"/>
      <c r="AD603" s="1106"/>
      <c r="AE603" s="1106"/>
      <c r="AF603" s="1106"/>
      <c r="AG603" s="1106"/>
      <c r="AH603" s="1106"/>
      <c r="AI603" s="1106"/>
      <c r="AJ603" s="1106"/>
      <c r="AK603" s="1106"/>
      <c r="AL603" s="1106"/>
      <c r="AM603" s="1106"/>
      <c r="AN603" s="1106"/>
      <c r="AO603" s="1106"/>
    </row>
    <row r="604">
      <c r="G604" s="1106"/>
      <c r="H604" s="1106"/>
      <c r="I604" s="1106"/>
      <c r="J604" s="1106"/>
      <c r="K604" s="1106"/>
      <c r="L604" s="1106"/>
      <c r="M604" s="1106"/>
      <c r="N604" s="1106"/>
      <c r="O604" s="1106"/>
      <c r="P604" s="1106"/>
      <c r="Q604" s="1106"/>
      <c r="R604" s="1106"/>
      <c r="S604" s="1106"/>
      <c r="T604" s="1106"/>
      <c r="U604" s="1106"/>
      <c r="V604" s="1106"/>
      <c r="W604" s="1106"/>
      <c r="X604" s="1106"/>
      <c r="Y604" s="1106"/>
      <c r="Z604" s="1106"/>
      <c r="AA604" s="1106"/>
      <c r="AB604" s="1106"/>
      <c r="AC604" s="1106"/>
      <c r="AD604" s="1106"/>
      <c r="AE604" s="1106"/>
      <c r="AF604" s="1106"/>
      <c r="AG604" s="1106"/>
      <c r="AH604" s="1106"/>
      <c r="AI604" s="1106"/>
      <c r="AJ604" s="1106"/>
      <c r="AK604" s="1106"/>
      <c r="AL604" s="1106"/>
      <c r="AM604" s="1106"/>
      <c r="AN604" s="1106"/>
      <c r="AO604" s="1106"/>
    </row>
    <row r="605">
      <c r="G605" s="1106"/>
      <c r="H605" s="1106"/>
      <c r="I605" s="1106"/>
      <c r="J605" s="1106"/>
      <c r="K605" s="1106"/>
      <c r="L605" s="1106"/>
      <c r="M605" s="1106"/>
      <c r="N605" s="1106"/>
      <c r="O605" s="1106"/>
      <c r="P605" s="1106"/>
      <c r="Q605" s="1106"/>
      <c r="R605" s="1106"/>
      <c r="S605" s="1106"/>
      <c r="T605" s="1106"/>
      <c r="U605" s="1106"/>
      <c r="V605" s="1106"/>
      <c r="W605" s="1106"/>
      <c r="X605" s="1106"/>
      <c r="Y605" s="1106"/>
      <c r="Z605" s="1106"/>
      <c r="AA605" s="1106"/>
      <c r="AB605" s="1106"/>
      <c r="AC605" s="1106"/>
      <c r="AD605" s="1106"/>
      <c r="AE605" s="1106"/>
      <c r="AF605" s="1106"/>
      <c r="AG605" s="1106"/>
      <c r="AH605" s="1106"/>
      <c r="AI605" s="1106"/>
      <c r="AJ605" s="1106"/>
      <c r="AK605" s="1106"/>
      <c r="AL605" s="1106"/>
      <c r="AM605" s="1106"/>
      <c r="AN605" s="1106"/>
      <c r="AO605" s="1106"/>
    </row>
    <row r="606">
      <c r="G606" s="1106"/>
      <c r="H606" s="1106"/>
      <c r="I606" s="1106"/>
      <c r="J606" s="1106"/>
      <c r="K606" s="1106"/>
      <c r="L606" s="1106"/>
      <c r="M606" s="1106"/>
      <c r="N606" s="1106"/>
      <c r="O606" s="1106"/>
      <c r="P606" s="1106"/>
      <c r="Q606" s="1106"/>
      <c r="R606" s="1106"/>
      <c r="S606" s="1106"/>
      <c r="T606" s="1106"/>
      <c r="U606" s="1106"/>
      <c r="V606" s="1106"/>
      <c r="W606" s="1106"/>
      <c r="X606" s="1106"/>
      <c r="Y606" s="1106"/>
      <c r="Z606" s="1106"/>
      <c r="AA606" s="1106"/>
      <c r="AB606" s="1106"/>
      <c r="AC606" s="1106"/>
      <c r="AD606" s="1106"/>
      <c r="AE606" s="1106"/>
      <c r="AF606" s="1106"/>
      <c r="AG606" s="1106"/>
      <c r="AH606" s="1106"/>
      <c r="AI606" s="1106"/>
      <c r="AJ606" s="1106"/>
      <c r="AK606" s="1106"/>
      <c r="AL606" s="1106"/>
      <c r="AM606" s="1106"/>
      <c r="AN606" s="1106"/>
      <c r="AO606" s="1106"/>
    </row>
    <row r="607">
      <c r="G607" s="1106"/>
      <c r="H607" s="1106"/>
      <c r="I607" s="1106"/>
      <c r="J607" s="1106"/>
      <c r="K607" s="1106"/>
      <c r="L607" s="1106"/>
      <c r="M607" s="1106"/>
      <c r="N607" s="1106"/>
      <c r="O607" s="1106"/>
      <c r="P607" s="1106"/>
      <c r="Q607" s="1106"/>
      <c r="R607" s="1106"/>
      <c r="S607" s="1106"/>
      <c r="T607" s="1106"/>
      <c r="U607" s="1106"/>
      <c r="V607" s="1106"/>
      <c r="W607" s="1106"/>
      <c r="X607" s="1106"/>
      <c r="Y607" s="1106"/>
      <c r="Z607" s="1106"/>
      <c r="AA607" s="1106"/>
      <c r="AB607" s="1106"/>
      <c r="AC607" s="1106"/>
      <c r="AD607" s="1106"/>
      <c r="AE607" s="1106"/>
      <c r="AF607" s="1106"/>
      <c r="AG607" s="1106"/>
      <c r="AH607" s="1106"/>
      <c r="AI607" s="1106"/>
      <c r="AJ607" s="1106"/>
      <c r="AK607" s="1106"/>
      <c r="AL607" s="1106"/>
      <c r="AM607" s="1106"/>
      <c r="AN607" s="1106"/>
      <c r="AO607" s="1106"/>
    </row>
    <row r="608">
      <c r="G608" s="1106"/>
      <c r="H608" s="1106"/>
      <c r="I608" s="1106"/>
      <c r="J608" s="1106"/>
      <c r="K608" s="1106"/>
      <c r="L608" s="1106"/>
      <c r="M608" s="1106"/>
      <c r="N608" s="1106"/>
      <c r="O608" s="1106"/>
      <c r="P608" s="1106"/>
      <c r="Q608" s="1106"/>
      <c r="R608" s="1106"/>
      <c r="S608" s="1106"/>
      <c r="T608" s="1106"/>
      <c r="U608" s="1106"/>
      <c r="V608" s="1106"/>
      <c r="W608" s="1106"/>
      <c r="X608" s="1106"/>
      <c r="Y608" s="1106"/>
      <c r="Z608" s="1106"/>
      <c r="AA608" s="1106"/>
      <c r="AB608" s="1106"/>
      <c r="AC608" s="1106"/>
      <c r="AD608" s="1106"/>
      <c r="AE608" s="1106"/>
      <c r="AF608" s="1106"/>
      <c r="AG608" s="1106"/>
      <c r="AH608" s="1106"/>
      <c r="AI608" s="1106"/>
      <c r="AJ608" s="1106"/>
      <c r="AK608" s="1106"/>
      <c r="AL608" s="1106"/>
      <c r="AM608" s="1106"/>
      <c r="AN608" s="1106"/>
      <c r="AO608" s="1106"/>
    </row>
    <row r="609">
      <c r="G609" s="1106"/>
      <c r="H609" s="1106"/>
      <c r="I609" s="1106"/>
      <c r="J609" s="1106"/>
      <c r="K609" s="1106"/>
      <c r="L609" s="1106"/>
      <c r="M609" s="1106"/>
      <c r="N609" s="1106"/>
      <c r="O609" s="1106"/>
      <c r="P609" s="1106"/>
      <c r="Q609" s="1106"/>
      <c r="R609" s="1106"/>
      <c r="S609" s="1106"/>
      <c r="T609" s="1106"/>
      <c r="U609" s="1106"/>
      <c r="V609" s="1106"/>
      <c r="W609" s="1106"/>
      <c r="X609" s="1106"/>
      <c r="Y609" s="1106"/>
      <c r="Z609" s="1106"/>
      <c r="AA609" s="1106"/>
      <c r="AB609" s="1106"/>
      <c r="AC609" s="1106"/>
      <c r="AD609" s="1106"/>
      <c r="AE609" s="1106"/>
      <c r="AF609" s="1106"/>
      <c r="AG609" s="1106"/>
      <c r="AH609" s="1106"/>
      <c r="AI609" s="1106"/>
      <c r="AJ609" s="1106"/>
      <c r="AK609" s="1106"/>
      <c r="AL609" s="1106"/>
      <c r="AM609" s="1106"/>
      <c r="AN609" s="1106"/>
      <c r="AO609" s="1106"/>
    </row>
    <row r="610">
      <c r="G610" s="1106"/>
      <c r="H610" s="1106"/>
      <c r="I610" s="1106"/>
      <c r="J610" s="1106"/>
      <c r="K610" s="1106"/>
      <c r="L610" s="1106"/>
      <c r="M610" s="1106"/>
      <c r="N610" s="1106"/>
      <c r="O610" s="1106"/>
      <c r="P610" s="1106"/>
      <c r="Q610" s="1106"/>
      <c r="R610" s="1106"/>
      <c r="S610" s="1106"/>
      <c r="T610" s="1106"/>
      <c r="U610" s="1106"/>
      <c r="V610" s="1106"/>
      <c r="W610" s="1106"/>
      <c r="X610" s="1106"/>
      <c r="Y610" s="1106"/>
      <c r="Z610" s="1106"/>
      <c r="AA610" s="1106"/>
      <c r="AB610" s="1106"/>
      <c r="AC610" s="1106"/>
      <c r="AD610" s="1106"/>
      <c r="AE610" s="1106"/>
      <c r="AF610" s="1106"/>
      <c r="AG610" s="1106"/>
      <c r="AH610" s="1106"/>
      <c r="AI610" s="1106"/>
      <c r="AJ610" s="1106"/>
      <c r="AK610" s="1106"/>
      <c r="AL610" s="1106"/>
      <c r="AM610" s="1106"/>
      <c r="AN610" s="1106"/>
      <c r="AO610" s="1106"/>
    </row>
    <row r="611">
      <c r="G611" s="1106"/>
      <c r="H611" s="1106"/>
      <c r="I611" s="1106"/>
      <c r="J611" s="1106"/>
      <c r="K611" s="1106"/>
      <c r="L611" s="1106"/>
      <c r="M611" s="1106"/>
      <c r="N611" s="1106"/>
      <c r="O611" s="1106"/>
      <c r="P611" s="1106"/>
      <c r="Q611" s="1106"/>
      <c r="R611" s="1106"/>
      <c r="S611" s="1106"/>
      <c r="T611" s="1106"/>
      <c r="U611" s="1106"/>
      <c r="V611" s="1106"/>
      <c r="W611" s="1106"/>
      <c r="X611" s="1106"/>
      <c r="Y611" s="1106"/>
      <c r="Z611" s="1106"/>
      <c r="AA611" s="1106"/>
      <c r="AB611" s="1106"/>
      <c r="AC611" s="1106"/>
      <c r="AD611" s="1106"/>
      <c r="AE611" s="1106"/>
      <c r="AF611" s="1106"/>
      <c r="AG611" s="1106"/>
      <c r="AH611" s="1106"/>
      <c r="AI611" s="1106"/>
      <c r="AJ611" s="1106"/>
      <c r="AK611" s="1106"/>
      <c r="AL611" s="1106"/>
      <c r="AM611" s="1106"/>
      <c r="AN611" s="1106"/>
      <c r="AO611" s="1106"/>
    </row>
    <row r="612">
      <c r="G612" s="1106"/>
      <c r="H612" s="1106"/>
      <c r="I612" s="1106"/>
      <c r="J612" s="1106"/>
      <c r="K612" s="1106"/>
      <c r="L612" s="1106"/>
      <c r="M612" s="1106"/>
      <c r="N612" s="1106"/>
      <c r="O612" s="1106"/>
      <c r="P612" s="1106"/>
      <c r="Q612" s="1106"/>
      <c r="R612" s="1106"/>
      <c r="S612" s="1106"/>
      <c r="T612" s="1106"/>
      <c r="U612" s="1106"/>
      <c r="V612" s="1106"/>
      <c r="W612" s="1106"/>
      <c r="X612" s="1106"/>
      <c r="Y612" s="1106"/>
      <c r="Z612" s="1106"/>
      <c r="AA612" s="1106"/>
      <c r="AB612" s="1106"/>
      <c r="AC612" s="1106"/>
      <c r="AD612" s="1106"/>
      <c r="AE612" s="1106"/>
      <c r="AF612" s="1106"/>
      <c r="AG612" s="1106"/>
      <c r="AH612" s="1106"/>
      <c r="AI612" s="1106"/>
      <c r="AJ612" s="1106"/>
      <c r="AK612" s="1106"/>
      <c r="AL612" s="1106"/>
      <c r="AM612" s="1106"/>
      <c r="AN612" s="1106"/>
      <c r="AO612" s="1106"/>
    </row>
    <row r="613">
      <c r="G613" s="1106"/>
      <c r="H613" s="1106"/>
      <c r="I613" s="1106"/>
      <c r="J613" s="1106"/>
      <c r="K613" s="1106"/>
      <c r="L613" s="1106"/>
      <c r="M613" s="1106"/>
      <c r="N613" s="1106"/>
      <c r="O613" s="1106"/>
      <c r="P613" s="1106"/>
      <c r="Q613" s="1106"/>
      <c r="R613" s="1106"/>
      <c r="S613" s="1106"/>
      <c r="T613" s="1106"/>
      <c r="U613" s="1106"/>
      <c r="V613" s="1106"/>
      <c r="W613" s="1106"/>
      <c r="X613" s="1106"/>
      <c r="Y613" s="1106"/>
      <c r="Z613" s="1106"/>
      <c r="AA613" s="1106"/>
      <c r="AB613" s="1106"/>
      <c r="AC613" s="1106"/>
      <c r="AD613" s="1106"/>
      <c r="AE613" s="1106"/>
      <c r="AF613" s="1106"/>
      <c r="AG613" s="1106"/>
      <c r="AH613" s="1106"/>
      <c r="AI613" s="1106"/>
      <c r="AJ613" s="1106"/>
      <c r="AK613" s="1106"/>
      <c r="AL613" s="1106"/>
      <c r="AM613" s="1106"/>
      <c r="AN613" s="1106"/>
      <c r="AO613" s="1106"/>
    </row>
    <row r="614">
      <c r="G614" s="1106"/>
      <c r="H614" s="1106"/>
      <c r="I614" s="1106"/>
      <c r="J614" s="1106"/>
      <c r="K614" s="1106"/>
      <c r="L614" s="1106"/>
      <c r="M614" s="1106"/>
      <c r="N614" s="1106"/>
      <c r="O614" s="1106"/>
      <c r="P614" s="1106"/>
      <c r="Q614" s="1106"/>
      <c r="R614" s="1106"/>
      <c r="S614" s="1106"/>
      <c r="T614" s="1106"/>
      <c r="U614" s="1106"/>
      <c r="V614" s="1106"/>
      <c r="W614" s="1106"/>
      <c r="X614" s="1106"/>
      <c r="Y614" s="1106"/>
      <c r="Z614" s="1106"/>
      <c r="AA614" s="1106"/>
      <c r="AB614" s="1106"/>
      <c r="AC614" s="1106"/>
      <c r="AD614" s="1106"/>
      <c r="AE614" s="1106"/>
      <c r="AF614" s="1106"/>
      <c r="AG614" s="1106"/>
      <c r="AH614" s="1106"/>
      <c r="AI614" s="1106"/>
      <c r="AJ614" s="1106"/>
      <c r="AK614" s="1106"/>
      <c r="AL614" s="1106"/>
      <c r="AM614" s="1106"/>
      <c r="AN614" s="1106"/>
      <c r="AO614" s="1106"/>
    </row>
    <row r="615">
      <c r="G615" s="1106"/>
      <c r="H615" s="1106"/>
      <c r="I615" s="1106"/>
      <c r="J615" s="1106"/>
      <c r="K615" s="1106"/>
      <c r="L615" s="1106"/>
      <c r="M615" s="1106"/>
      <c r="N615" s="1106"/>
      <c r="O615" s="1106"/>
      <c r="P615" s="1106"/>
      <c r="Q615" s="1106"/>
      <c r="R615" s="1106"/>
      <c r="S615" s="1106"/>
      <c r="T615" s="1106"/>
      <c r="U615" s="1106"/>
      <c r="V615" s="1106"/>
      <c r="W615" s="1106"/>
      <c r="X615" s="1106"/>
      <c r="Y615" s="1106"/>
      <c r="Z615" s="1106"/>
      <c r="AA615" s="1106"/>
      <c r="AB615" s="1106"/>
      <c r="AC615" s="1106"/>
      <c r="AD615" s="1106"/>
      <c r="AE615" s="1106"/>
      <c r="AF615" s="1106"/>
      <c r="AG615" s="1106"/>
      <c r="AH615" s="1106"/>
      <c r="AI615" s="1106"/>
      <c r="AJ615" s="1106"/>
      <c r="AK615" s="1106"/>
      <c r="AL615" s="1106"/>
      <c r="AM615" s="1106"/>
      <c r="AN615" s="1106"/>
      <c r="AO615" s="1106"/>
    </row>
    <row r="616">
      <c r="G616" s="1106"/>
      <c r="H616" s="1106"/>
      <c r="I616" s="1106"/>
      <c r="J616" s="1106"/>
      <c r="K616" s="1106"/>
      <c r="L616" s="1106"/>
      <c r="M616" s="1106"/>
      <c r="N616" s="1106"/>
      <c r="O616" s="1106"/>
      <c r="P616" s="1106"/>
      <c r="Q616" s="1106"/>
      <c r="R616" s="1106"/>
      <c r="S616" s="1106"/>
      <c r="T616" s="1106"/>
      <c r="U616" s="1106"/>
      <c r="V616" s="1106"/>
      <c r="W616" s="1106"/>
      <c r="X616" s="1106"/>
      <c r="Y616" s="1106"/>
      <c r="Z616" s="1106"/>
      <c r="AA616" s="1106"/>
      <c r="AB616" s="1106"/>
      <c r="AC616" s="1106"/>
      <c r="AD616" s="1106"/>
      <c r="AE616" s="1106"/>
      <c r="AF616" s="1106"/>
      <c r="AG616" s="1106"/>
      <c r="AH616" s="1106"/>
      <c r="AI616" s="1106"/>
      <c r="AJ616" s="1106"/>
      <c r="AK616" s="1106"/>
      <c r="AL616" s="1106"/>
      <c r="AM616" s="1106"/>
      <c r="AN616" s="1106"/>
      <c r="AO616" s="1106"/>
    </row>
    <row r="617">
      <c r="G617" s="1106"/>
      <c r="H617" s="1106"/>
      <c r="I617" s="1106"/>
      <c r="J617" s="1106"/>
      <c r="K617" s="1106"/>
      <c r="L617" s="1106"/>
      <c r="M617" s="1106"/>
      <c r="N617" s="1106"/>
      <c r="O617" s="1106"/>
      <c r="P617" s="1106"/>
      <c r="Q617" s="1106"/>
      <c r="R617" s="1106"/>
      <c r="S617" s="1106"/>
      <c r="T617" s="1106"/>
      <c r="U617" s="1106"/>
      <c r="V617" s="1106"/>
      <c r="W617" s="1106"/>
      <c r="X617" s="1106"/>
      <c r="Y617" s="1106"/>
      <c r="Z617" s="1106"/>
      <c r="AA617" s="1106"/>
      <c r="AB617" s="1106"/>
      <c r="AC617" s="1106"/>
      <c r="AD617" s="1106"/>
      <c r="AE617" s="1106"/>
      <c r="AF617" s="1106"/>
      <c r="AG617" s="1106"/>
      <c r="AH617" s="1106"/>
      <c r="AI617" s="1106"/>
      <c r="AJ617" s="1106"/>
      <c r="AK617" s="1106"/>
      <c r="AL617" s="1106"/>
      <c r="AM617" s="1106"/>
      <c r="AN617" s="1106"/>
      <c r="AO617" s="1106"/>
    </row>
    <row r="618">
      <c r="G618" s="1106"/>
      <c r="H618" s="1106"/>
      <c r="I618" s="1106"/>
      <c r="J618" s="1106"/>
      <c r="K618" s="1106"/>
      <c r="L618" s="1106"/>
      <c r="M618" s="1106"/>
      <c r="N618" s="1106"/>
      <c r="O618" s="1106"/>
      <c r="P618" s="1106"/>
      <c r="Q618" s="1106"/>
      <c r="R618" s="1106"/>
      <c r="S618" s="1106"/>
      <c r="T618" s="1106"/>
      <c r="U618" s="1106"/>
      <c r="V618" s="1106"/>
      <c r="W618" s="1106"/>
      <c r="X618" s="1106"/>
      <c r="Y618" s="1106"/>
      <c r="Z618" s="1106"/>
      <c r="AA618" s="1106"/>
      <c r="AB618" s="1106"/>
      <c r="AC618" s="1106"/>
      <c r="AD618" s="1106"/>
      <c r="AE618" s="1106"/>
      <c r="AF618" s="1106"/>
      <c r="AG618" s="1106"/>
      <c r="AH618" s="1106"/>
      <c r="AI618" s="1106"/>
      <c r="AJ618" s="1106"/>
      <c r="AK618" s="1106"/>
      <c r="AL618" s="1106"/>
      <c r="AM618" s="1106"/>
      <c r="AN618" s="1106"/>
      <c r="AO618" s="1106"/>
    </row>
    <row r="619">
      <c r="G619" s="1106"/>
      <c r="H619" s="1106"/>
      <c r="I619" s="1106"/>
      <c r="J619" s="1106"/>
      <c r="K619" s="1106"/>
      <c r="L619" s="1106"/>
      <c r="M619" s="1106"/>
      <c r="N619" s="1106"/>
      <c r="O619" s="1106"/>
      <c r="P619" s="1106"/>
      <c r="Q619" s="1106"/>
      <c r="R619" s="1106"/>
      <c r="S619" s="1106"/>
      <c r="T619" s="1106"/>
      <c r="U619" s="1106"/>
      <c r="V619" s="1106"/>
      <c r="W619" s="1106"/>
      <c r="X619" s="1106"/>
      <c r="Y619" s="1106"/>
      <c r="Z619" s="1106"/>
      <c r="AA619" s="1106"/>
      <c r="AB619" s="1106"/>
      <c r="AC619" s="1106"/>
      <c r="AD619" s="1106"/>
      <c r="AE619" s="1106"/>
      <c r="AF619" s="1106"/>
      <c r="AG619" s="1106"/>
      <c r="AH619" s="1106"/>
      <c r="AI619" s="1106"/>
      <c r="AJ619" s="1106"/>
      <c r="AK619" s="1106"/>
      <c r="AL619" s="1106"/>
      <c r="AM619" s="1106"/>
      <c r="AN619" s="1106"/>
      <c r="AO619" s="1106"/>
    </row>
    <row r="620">
      <c r="G620" s="1106"/>
      <c r="H620" s="1106"/>
      <c r="I620" s="1106"/>
      <c r="J620" s="1106"/>
      <c r="K620" s="1106"/>
      <c r="L620" s="1106"/>
      <c r="M620" s="1106"/>
      <c r="N620" s="1106"/>
      <c r="O620" s="1106"/>
      <c r="P620" s="1106"/>
      <c r="Q620" s="1106"/>
      <c r="R620" s="1106"/>
      <c r="S620" s="1106"/>
      <c r="T620" s="1106"/>
      <c r="U620" s="1106"/>
      <c r="V620" s="1106"/>
      <c r="W620" s="1106"/>
      <c r="X620" s="1106"/>
      <c r="Y620" s="1106"/>
      <c r="Z620" s="1106"/>
      <c r="AA620" s="1106"/>
      <c r="AB620" s="1106"/>
      <c r="AC620" s="1106"/>
      <c r="AD620" s="1106"/>
      <c r="AE620" s="1106"/>
      <c r="AF620" s="1106"/>
      <c r="AG620" s="1106"/>
      <c r="AH620" s="1106"/>
      <c r="AI620" s="1106"/>
      <c r="AJ620" s="1106"/>
      <c r="AK620" s="1106"/>
      <c r="AL620" s="1106"/>
      <c r="AM620" s="1106"/>
      <c r="AN620" s="1106"/>
      <c r="AO620" s="1106"/>
    </row>
    <row r="621">
      <c r="G621" s="1106"/>
      <c r="H621" s="1106"/>
      <c r="I621" s="1106"/>
      <c r="J621" s="1106"/>
      <c r="K621" s="1106"/>
      <c r="L621" s="1106"/>
      <c r="M621" s="1106"/>
      <c r="N621" s="1106"/>
      <c r="O621" s="1106"/>
      <c r="P621" s="1106"/>
      <c r="Q621" s="1106"/>
      <c r="R621" s="1106"/>
      <c r="S621" s="1106"/>
      <c r="T621" s="1106"/>
      <c r="U621" s="1106"/>
      <c r="V621" s="1106"/>
      <c r="W621" s="1106"/>
      <c r="X621" s="1106"/>
      <c r="Y621" s="1106"/>
      <c r="Z621" s="1106"/>
      <c r="AA621" s="1106"/>
      <c r="AB621" s="1106"/>
      <c r="AC621" s="1106"/>
      <c r="AD621" s="1106"/>
      <c r="AE621" s="1106"/>
      <c r="AF621" s="1106"/>
      <c r="AG621" s="1106"/>
      <c r="AH621" s="1106"/>
      <c r="AI621" s="1106"/>
      <c r="AJ621" s="1106"/>
      <c r="AK621" s="1106"/>
      <c r="AL621" s="1106"/>
      <c r="AM621" s="1106"/>
      <c r="AN621" s="1106"/>
      <c r="AO621" s="1106"/>
    </row>
    <row r="622">
      <c r="G622" s="1106"/>
      <c r="H622" s="1106"/>
      <c r="I622" s="1106"/>
      <c r="J622" s="1106"/>
      <c r="K622" s="1106"/>
      <c r="L622" s="1106"/>
      <c r="M622" s="1106"/>
      <c r="N622" s="1106"/>
      <c r="O622" s="1106"/>
      <c r="P622" s="1106"/>
      <c r="Q622" s="1106"/>
      <c r="R622" s="1106"/>
      <c r="S622" s="1106"/>
      <c r="T622" s="1106"/>
      <c r="U622" s="1106"/>
      <c r="V622" s="1106"/>
      <c r="W622" s="1106"/>
      <c r="X622" s="1106"/>
      <c r="Y622" s="1106"/>
      <c r="Z622" s="1106"/>
      <c r="AA622" s="1106"/>
      <c r="AB622" s="1106"/>
      <c r="AC622" s="1106"/>
      <c r="AD622" s="1106"/>
      <c r="AE622" s="1106"/>
      <c r="AF622" s="1106"/>
      <c r="AG622" s="1106"/>
      <c r="AH622" s="1106"/>
      <c r="AI622" s="1106"/>
      <c r="AJ622" s="1106"/>
      <c r="AK622" s="1106"/>
      <c r="AL622" s="1106"/>
      <c r="AM622" s="1106"/>
      <c r="AN622" s="1106"/>
      <c r="AO622" s="1106"/>
    </row>
    <row r="623">
      <c r="G623" s="1106"/>
      <c r="H623" s="1106"/>
      <c r="I623" s="1106"/>
      <c r="J623" s="1106"/>
      <c r="K623" s="1106"/>
      <c r="L623" s="1106"/>
      <c r="M623" s="1106"/>
      <c r="N623" s="1106"/>
      <c r="O623" s="1106"/>
      <c r="P623" s="1106"/>
      <c r="Q623" s="1106"/>
      <c r="R623" s="1106"/>
      <c r="S623" s="1106"/>
      <c r="T623" s="1106"/>
      <c r="U623" s="1106"/>
      <c r="V623" s="1106"/>
      <c r="W623" s="1106"/>
      <c r="X623" s="1106"/>
      <c r="Y623" s="1106"/>
      <c r="Z623" s="1106"/>
      <c r="AA623" s="1106"/>
      <c r="AB623" s="1106"/>
      <c r="AC623" s="1106"/>
      <c r="AD623" s="1106"/>
      <c r="AE623" s="1106"/>
      <c r="AF623" s="1106"/>
      <c r="AG623" s="1106"/>
      <c r="AH623" s="1106"/>
      <c r="AI623" s="1106"/>
      <c r="AJ623" s="1106"/>
      <c r="AK623" s="1106"/>
      <c r="AL623" s="1106"/>
      <c r="AM623" s="1106"/>
      <c r="AN623" s="1106"/>
      <c r="AO623" s="1106"/>
    </row>
    <row r="624">
      <c r="G624" s="1106"/>
      <c r="H624" s="1106"/>
      <c r="I624" s="1106"/>
      <c r="J624" s="1106"/>
      <c r="K624" s="1106"/>
      <c r="L624" s="1106"/>
      <c r="M624" s="1106"/>
      <c r="N624" s="1106"/>
      <c r="O624" s="1106"/>
      <c r="P624" s="1106"/>
      <c r="Q624" s="1106"/>
      <c r="R624" s="1106"/>
      <c r="S624" s="1106"/>
      <c r="T624" s="1106"/>
      <c r="U624" s="1106"/>
      <c r="V624" s="1106"/>
      <c r="W624" s="1106"/>
      <c r="X624" s="1106"/>
      <c r="Y624" s="1106"/>
      <c r="Z624" s="1106"/>
      <c r="AA624" s="1106"/>
      <c r="AB624" s="1106"/>
      <c r="AC624" s="1106"/>
      <c r="AD624" s="1106"/>
      <c r="AE624" s="1106"/>
      <c r="AF624" s="1106"/>
      <c r="AG624" s="1106"/>
      <c r="AH624" s="1106"/>
      <c r="AI624" s="1106"/>
      <c r="AJ624" s="1106"/>
      <c r="AK624" s="1106"/>
      <c r="AL624" s="1106"/>
      <c r="AM624" s="1106"/>
      <c r="AN624" s="1106"/>
      <c r="AO624" s="1106"/>
    </row>
    <row r="625">
      <c r="G625" s="1106"/>
      <c r="H625" s="1106"/>
      <c r="I625" s="1106"/>
      <c r="J625" s="1106"/>
      <c r="K625" s="1106"/>
      <c r="L625" s="1106"/>
      <c r="M625" s="1106"/>
      <c r="N625" s="1106"/>
      <c r="O625" s="1106"/>
      <c r="P625" s="1106"/>
      <c r="Q625" s="1106"/>
      <c r="R625" s="1106"/>
      <c r="S625" s="1106"/>
      <c r="T625" s="1106"/>
      <c r="U625" s="1106"/>
      <c r="V625" s="1106"/>
      <c r="W625" s="1106"/>
      <c r="X625" s="1106"/>
      <c r="Y625" s="1106"/>
      <c r="Z625" s="1106"/>
      <c r="AA625" s="1106"/>
      <c r="AB625" s="1106"/>
      <c r="AC625" s="1106"/>
      <c r="AD625" s="1106"/>
      <c r="AE625" s="1106"/>
      <c r="AF625" s="1106"/>
      <c r="AG625" s="1106"/>
      <c r="AH625" s="1106"/>
      <c r="AI625" s="1106"/>
      <c r="AJ625" s="1106"/>
      <c r="AK625" s="1106"/>
      <c r="AL625" s="1106"/>
      <c r="AM625" s="1106"/>
      <c r="AN625" s="1106"/>
      <c r="AO625" s="1106"/>
    </row>
    <row r="626">
      <c r="G626" s="1106"/>
      <c r="H626" s="1106"/>
      <c r="I626" s="1106"/>
      <c r="J626" s="1106"/>
      <c r="K626" s="1106"/>
      <c r="L626" s="1106"/>
      <c r="M626" s="1106"/>
      <c r="N626" s="1106"/>
      <c r="O626" s="1106"/>
      <c r="P626" s="1106"/>
      <c r="Q626" s="1106"/>
      <c r="R626" s="1106"/>
      <c r="S626" s="1106"/>
      <c r="T626" s="1106"/>
      <c r="U626" s="1106"/>
      <c r="V626" s="1106"/>
      <c r="W626" s="1106"/>
      <c r="X626" s="1106"/>
      <c r="Y626" s="1106"/>
      <c r="Z626" s="1106"/>
      <c r="AA626" s="1106"/>
      <c r="AB626" s="1106"/>
      <c r="AC626" s="1106"/>
      <c r="AD626" s="1106"/>
      <c r="AE626" s="1106"/>
      <c r="AF626" s="1106"/>
      <c r="AG626" s="1106"/>
      <c r="AH626" s="1106"/>
      <c r="AI626" s="1106"/>
      <c r="AJ626" s="1106"/>
      <c r="AK626" s="1106"/>
      <c r="AL626" s="1106"/>
      <c r="AM626" s="1106"/>
      <c r="AN626" s="1106"/>
      <c r="AO626" s="1106"/>
    </row>
    <row r="627">
      <c r="G627" s="1106"/>
      <c r="H627" s="1106"/>
      <c r="I627" s="1106"/>
      <c r="J627" s="1106"/>
      <c r="K627" s="1106"/>
      <c r="L627" s="1106"/>
      <c r="M627" s="1106"/>
      <c r="N627" s="1106"/>
      <c r="O627" s="1106"/>
      <c r="P627" s="1106"/>
      <c r="Q627" s="1106"/>
      <c r="R627" s="1106"/>
      <c r="S627" s="1106"/>
      <c r="T627" s="1106"/>
      <c r="U627" s="1106"/>
      <c r="V627" s="1106"/>
      <c r="W627" s="1106"/>
      <c r="X627" s="1106"/>
      <c r="Y627" s="1106"/>
      <c r="Z627" s="1106"/>
      <c r="AA627" s="1106"/>
      <c r="AB627" s="1106"/>
      <c r="AC627" s="1106"/>
      <c r="AD627" s="1106"/>
      <c r="AE627" s="1106"/>
      <c r="AF627" s="1106"/>
      <c r="AG627" s="1106"/>
      <c r="AH627" s="1106"/>
      <c r="AI627" s="1106"/>
      <c r="AJ627" s="1106"/>
      <c r="AK627" s="1106"/>
      <c r="AL627" s="1106"/>
      <c r="AM627" s="1106"/>
      <c r="AN627" s="1106"/>
      <c r="AO627" s="1106"/>
    </row>
    <row r="628">
      <c r="G628" s="1106"/>
      <c r="H628" s="1106"/>
      <c r="I628" s="1106"/>
      <c r="J628" s="1106"/>
      <c r="K628" s="1106"/>
      <c r="L628" s="1106"/>
      <c r="M628" s="1106"/>
      <c r="N628" s="1106"/>
      <c r="O628" s="1106"/>
      <c r="P628" s="1106"/>
      <c r="Q628" s="1106"/>
      <c r="R628" s="1106"/>
      <c r="S628" s="1106"/>
      <c r="T628" s="1106"/>
      <c r="U628" s="1106"/>
      <c r="V628" s="1106"/>
      <c r="W628" s="1106"/>
      <c r="X628" s="1106"/>
      <c r="Y628" s="1106"/>
      <c r="Z628" s="1106"/>
      <c r="AA628" s="1106"/>
      <c r="AB628" s="1106"/>
      <c r="AC628" s="1106"/>
      <c r="AD628" s="1106"/>
      <c r="AE628" s="1106"/>
      <c r="AF628" s="1106"/>
      <c r="AG628" s="1106"/>
      <c r="AH628" s="1106"/>
      <c r="AI628" s="1106"/>
      <c r="AJ628" s="1106"/>
      <c r="AK628" s="1106"/>
      <c r="AL628" s="1106"/>
      <c r="AM628" s="1106"/>
      <c r="AN628" s="1106"/>
      <c r="AO628" s="1106"/>
    </row>
    <row r="629">
      <c r="G629" s="1106"/>
      <c r="H629" s="1106"/>
      <c r="I629" s="1106"/>
      <c r="J629" s="1106"/>
      <c r="K629" s="1106"/>
      <c r="L629" s="1106"/>
      <c r="M629" s="1106"/>
      <c r="N629" s="1106"/>
      <c r="O629" s="1106"/>
      <c r="P629" s="1106"/>
      <c r="Q629" s="1106"/>
      <c r="R629" s="1106"/>
      <c r="S629" s="1106"/>
      <c r="T629" s="1106"/>
      <c r="U629" s="1106"/>
      <c r="V629" s="1106"/>
      <c r="W629" s="1106"/>
      <c r="X629" s="1106"/>
      <c r="Y629" s="1106"/>
      <c r="Z629" s="1106"/>
      <c r="AA629" s="1106"/>
      <c r="AB629" s="1106"/>
      <c r="AC629" s="1106"/>
      <c r="AD629" s="1106"/>
      <c r="AE629" s="1106"/>
      <c r="AF629" s="1106"/>
      <c r="AG629" s="1106"/>
      <c r="AH629" s="1106"/>
      <c r="AI629" s="1106"/>
      <c r="AJ629" s="1106"/>
      <c r="AK629" s="1106"/>
      <c r="AL629" s="1106"/>
      <c r="AM629" s="1106"/>
      <c r="AN629" s="1106"/>
      <c r="AO629" s="1106"/>
    </row>
    <row r="630">
      <c r="G630" s="1106"/>
      <c r="H630" s="1106"/>
      <c r="I630" s="1106"/>
      <c r="J630" s="1106"/>
      <c r="K630" s="1106"/>
      <c r="L630" s="1106"/>
      <c r="M630" s="1106"/>
      <c r="N630" s="1106"/>
      <c r="O630" s="1106"/>
      <c r="P630" s="1106"/>
      <c r="Q630" s="1106"/>
      <c r="R630" s="1106"/>
      <c r="S630" s="1106"/>
      <c r="T630" s="1106"/>
      <c r="U630" s="1106"/>
      <c r="V630" s="1106"/>
      <c r="W630" s="1106"/>
      <c r="X630" s="1106"/>
      <c r="Y630" s="1106"/>
      <c r="Z630" s="1106"/>
      <c r="AA630" s="1106"/>
      <c r="AB630" s="1106"/>
      <c r="AC630" s="1106"/>
      <c r="AD630" s="1106"/>
      <c r="AE630" s="1106"/>
      <c r="AF630" s="1106"/>
      <c r="AG630" s="1106"/>
      <c r="AH630" s="1106"/>
      <c r="AI630" s="1106"/>
      <c r="AJ630" s="1106"/>
      <c r="AK630" s="1106"/>
      <c r="AL630" s="1106"/>
      <c r="AM630" s="1106"/>
      <c r="AN630" s="1106"/>
      <c r="AO630" s="1106"/>
    </row>
    <row r="631">
      <c r="G631" s="1106"/>
      <c r="H631" s="1106"/>
      <c r="I631" s="1106"/>
      <c r="J631" s="1106"/>
      <c r="K631" s="1106"/>
      <c r="L631" s="1106"/>
      <c r="M631" s="1106"/>
      <c r="N631" s="1106"/>
      <c r="O631" s="1106"/>
      <c r="P631" s="1106"/>
      <c r="Q631" s="1106"/>
      <c r="R631" s="1106"/>
      <c r="S631" s="1106"/>
      <c r="T631" s="1106"/>
      <c r="U631" s="1106"/>
      <c r="V631" s="1106"/>
      <c r="W631" s="1106"/>
      <c r="X631" s="1106"/>
      <c r="Y631" s="1106"/>
      <c r="Z631" s="1106"/>
      <c r="AA631" s="1106"/>
      <c r="AB631" s="1106"/>
      <c r="AC631" s="1106"/>
      <c r="AD631" s="1106"/>
      <c r="AE631" s="1106"/>
      <c r="AF631" s="1106"/>
      <c r="AG631" s="1106"/>
      <c r="AH631" s="1106"/>
      <c r="AI631" s="1106"/>
      <c r="AJ631" s="1106"/>
      <c r="AK631" s="1106"/>
      <c r="AL631" s="1106"/>
      <c r="AM631" s="1106"/>
      <c r="AN631" s="1106"/>
      <c r="AO631" s="1106"/>
    </row>
    <row r="632">
      <c r="G632" s="1106"/>
      <c r="H632" s="1106"/>
      <c r="I632" s="1106"/>
      <c r="J632" s="1106"/>
      <c r="K632" s="1106"/>
      <c r="L632" s="1106"/>
      <c r="M632" s="1106"/>
      <c r="N632" s="1106"/>
      <c r="O632" s="1106"/>
      <c r="P632" s="1106"/>
      <c r="Q632" s="1106"/>
      <c r="R632" s="1106"/>
      <c r="S632" s="1106"/>
      <c r="T632" s="1106"/>
      <c r="U632" s="1106"/>
      <c r="V632" s="1106"/>
      <c r="W632" s="1106"/>
      <c r="X632" s="1106"/>
      <c r="Y632" s="1106"/>
      <c r="Z632" s="1106"/>
      <c r="AA632" s="1106"/>
      <c r="AB632" s="1106"/>
      <c r="AC632" s="1106"/>
      <c r="AD632" s="1106"/>
      <c r="AE632" s="1106"/>
      <c r="AF632" s="1106"/>
      <c r="AG632" s="1106"/>
      <c r="AH632" s="1106"/>
      <c r="AI632" s="1106"/>
      <c r="AJ632" s="1106"/>
      <c r="AK632" s="1106"/>
      <c r="AL632" s="1106"/>
      <c r="AM632" s="1106"/>
      <c r="AN632" s="1106"/>
      <c r="AO632" s="1106"/>
    </row>
    <row r="633">
      <c r="G633" s="1106"/>
      <c r="H633" s="1106"/>
      <c r="I633" s="1106"/>
      <c r="J633" s="1106"/>
      <c r="K633" s="1106"/>
      <c r="L633" s="1106"/>
      <c r="M633" s="1106"/>
      <c r="N633" s="1106"/>
      <c r="O633" s="1106"/>
      <c r="P633" s="1106"/>
      <c r="Q633" s="1106"/>
      <c r="R633" s="1106"/>
      <c r="S633" s="1106"/>
      <c r="T633" s="1106"/>
      <c r="U633" s="1106"/>
      <c r="V633" s="1106"/>
      <c r="W633" s="1106"/>
      <c r="X633" s="1106"/>
      <c r="Y633" s="1106"/>
      <c r="Z633" s="1106"/>
      <c r="AA633" s="1106"/>
      <c r="AB633" s="1106"/>
      <c r="AC633" s="1106"/>
      <c r="AD633" s="1106"/>
      <c r="AE633" s="1106"/>
      <c r="AF633" s="1106"/>
      <c r="AG633" s="1106"/>
      <c r="AH633" s="1106"/>
      <c r="AI633" s="1106"/>
      <c r="AJ633" s="1106"/>
      <c r="AK633" s="1106"/>
      <c r="AL633" s="1106"/>
      <c r="AM633" s="1106"/>
      <c r="AN633" s="1106"/>
      <c r="AO633" s="1106"/>
    </row>
    <row r="634">
      <c r="G634" s="1106"/>
      <c r="H634" s="1106"/>
      <c r="I634" s="1106"/>
      <c r="J634" s="1106"/>
      <c r="K634" s="1106"/>
      <c r="L634" s="1106"/>
      <c r="M634" s="1106"/>
      <c r="N634" s="1106"/>
      <c r="O634" s="1106"/>
      <c r="P634" s="1106"/>
      <c r="Q634" s="1106"/>
      <c r="R634" s="1106"/>
      <c r="S634" s="1106"/>
      <c r="T634" s="1106"/>
      <c r="U634" s="1106"/>
      <c r="V634" s="1106"/>
      <c r="W634" s="1106"/>
      <c r="X634" s="1106"/>
      <c r="Y634" s="1106"/>
      <c r="Z634" s="1106"/>
      <c r="AA634" s="1106"/>
      <c r="AB634" s="1106"/>
      <c r="AC634" s="1106"/>
      <c r="AD634" s="1106"/>
      <c r="AE634" s="1106"/>
      <c r="AF634" s="1106"/>
      <c r="AG634" s="1106"/>
      <c r="AH634" s="1106"/>
      <c r="AI634" s="1106"/>
      <c r="AJ634" s="1106"/>
      <c r="AK634" s="1106"/>
      <c r="AL634" s="1106"/>
      <c r="AM634" s="1106"/>
      <c r="AN634" s="1106"/>
      <c r="AO634" s="1106"/>
    </row>
    <row r="635">
      <c r="G635" s="1106"/>
      <c r="H635" s="1106"/>
      <c r="I635" s="1106"/>
      <c r="J635" s="1106"/>
      <c r="K635" s="1106"/>
      <c r="L635" s="1106"/>
      <c r="M635" s="1106"/>
      <c r="N635" s="1106"/>
      <c r="O635" s="1106"/>
      <c r="P635" s="1106"/>
      <c r="Q635" s="1106"/>
      <c r="R635" s="1106"/>
      <c r="S635" s="1106"/>
      <c r="T635" s="1106"/>
      <c r="U635" s="1106"/>
      <c r="V635" s="1106"/>
      <c r="W635" s="1106"/>
      <c r="X635" s="1106"/>
      <c r="Y635" s="1106"/>
      <c r="Z635" s="1106"/>
      <c r="AA635" s="1106"/>
      <c r="AB635" s="1106"/>
      <c r="AC635" s="1106"/>
      <c r="AD635" s="1106"/>
      <c r="AE635" s="1106"/>
      <c r="AF635" s="1106"/>
      <c r="AG635" s="1106"/>
      <c r="AH635" s="1106"/>
      <c r="AI635" s="1106"/>
      <c r="AJ635" s="1106"/>
      <c r="AK635" s="1106"/>
      <c r="AL635" s="1106"/>
      <c r="AM635" s="1106"/>
      <c r="AN635" s="1106"/>
      <c r="AO635" s="1106"/>
    </row>
    <row r="636">
      <c r="G636" s="1106"/>
      <c r="H636" s="1106"/>
      <c r="I636" s="1106"/>
      <c r="J636" s="1106"/>
      <c r="K636" s="1106"/>
      <c r="L636" s="1106"/>
      <c r="M636" s="1106"/>
      <c r="N636" s="1106"/>
      <c r="O636" s="1106"/>
      <c r="P636" s="1106"/>
      <c r="Q636" s="1106"/>
      <c r="R636" s="1106"/>
      <c r="S636" s="1106"/>
      <c r="T636" s="1106"/>
      <c r="U636" s="1106"/>
      <c r="V636" s="1106"/>
      <c r="W636" s="1106"/>
      <c r="X636" s="1106"/>
      <c r="Y636" s="1106"/>
      <c r="Z636" s="1106"/>
      <c r="AA636" s="1106"/>
      <c r="AB636" s="1106"/>
      <c r="AC636" s="1106"/>
      <c r="AD636" s="1106"/>
      <c r="AE636" s="1106"/>
      <c r="AF636" s="1106"/>
      <c r="AG636" s="1106"/>
      <c r="AH636" s="1106"/>
      <c r="AI636" s="1106"/>
      <c r="AJ636" s="1106"/>
      <c r="AK636" s="1106"/>
      <c r="AL636" s="1106"/>
      <c r="AM636" s="1106"/>
      <c r="AN636" s="1106"/>
      <c r="AO636" s="1106"/>
    </row>
    <row r="637">
      <c r="G637" s="1106"/>
      <c r="H637" s="1106"/>
      <c r="I637" s="1106"/>
      <c r="J637" s="1106"/>
      <c r="K637" s="1106"/>
      <c r="L637" s="1106"/>
      <c r="M637" s="1106"/>
      <c r="N637" s="1106"/>
      <c r="O637" s="1106"/>
      <c r="P637" s="1106"/>
      <c r="Q637" s="1106"/>
      <c r="R637" s="1106"/>
      <c r="S637" s="1106"/>
      <c r="T637" s="1106"/>
      <c r="U637" s="1106"/>
      <c r="V637" s="1106"/>
      <c r="W637" s="1106"/>
      <c r="X637" s="1106"/>
      <c r="Y637" s="1106"/>
      <c r="Z637" s="1106"/>
      <c r="AA637" s="1106"/>
      <c r="AB637" s="1106"/>
      <c r="AC637" s="1106"/>
      <c r="AD637" s="1106"/>
      <c r="AE637" s="1106"/>
      <c r="AF637" s="1106"/>
      <c r="AG637" s="1106"/>
      <c r="AH637" s="1106"/>
      <c r="AI637" s="1106"/>
      <c r="AJ637" s="1106"/>
      <c r="AK637" s="1106"/>
      <c r="AL637" s="1106"/>
      <c r="AM637" s="1106"/>
      <c r="AN637" s="1106"/>
      <c r="AO637" s="1106"/>
    </row>
    <row r="638">
      <c r="G638" s="1106"/>
      <c r="H638" s="1106"/>
      <c r="I638" s="1106"/>
      <c r="J638" s="1106"/>
      <c r="K638" s="1106"/>
      <c r="L638" s="1106"/>
      <c r="M638" s="1106"/>
      <c r="N638" s="1106"/>
      <c r="O638" s="1106"/>
      <c r="P638" s="1106"/>
      <c r="Q638" s="1106"/>
      <c r="R638" s="1106"/>
      <c r="S638" s="1106"/>
      <c r="T638" s="1106"/>
      <c r="U638" s="1106"/>
      <c r="V638" s="1106"/>
      <c r="W638" s="1106"/>
      <c r="X638" s="1106"/>
      <c r="Y638" s="1106"/>
      <c r="Z638" s="1106"/>
      <c r="AA638" s="1106"/>
      <c r="AB638" s="1106"/>
      <c r="AC638" s="1106"/>
      <c r="AD638" s="1106"/>
      <c r="AE638" s="1106"/>
      <c r="AF638" s="1106"/>
      <c r="AG638" s="1106"/>
      <c r="AH638" s="1106"/>
      <c r="AI638" s="1106"/>
      <c r="AJ638" s="1106"/>
      <c r="AK638" s="1106"/>
      <c r="AL638" s="1106"/>
      <c r="AM638" s="1106"/>
      <c r="AN638" s="1106"/>
      <c r="AO638" s="1106"/>
    </row>
    <row r="639">
      <c r="G639" s="1106"/>
      <c r="H639" s="1106"/>
      <c r="I639" s="1106"/>
      <c r="J639" s="1106"/>
      <c r="K639" s="1106"/>
      <c r="L639" s="1106"/>
      <c r="M639" s="1106"/>
      <c r="N639" s="1106"/>
      <c r="O639" s="1106"/>
      <c r="P639" s="1106"/>
      <c r="Q639" s="1106"/>
      <c r="R639" s="1106"/>
      <c r="S639" s="1106"/>
      <c r="T639" s="1106"/>
      <c r="U639" s="1106"/>
      <c r="V639" s="1106"/>
      <c r="W639" s="1106"/>
      <c r="X639" s="1106"/>
      <c r="Y639" s="1106"/>
      <c r="Z639" s="1106"/>
      <c r="AA639" s="1106"/>
      <c r="AB639" s="1106"/>
      <c r="AC639" s="1106"/>
      <c r="AD639" s="1106"/>
      <c r="AE639" s="1106"/>
      <c r="AF639" s="1106"/>
      <c r="AG639" s="1106"/>
      <c r="AH639" s="1106"/>
      <c r="AI639" s="1106"/>
      <c r="AJ639" s="1106"/>
      <c r="AK639" s="1106"/>
      <c r="AL639" s="1106"/>
      <c r="AM639" s="1106"/>
      <c r="AN639" s="1106"/>
      <c r="AO639" s="1106"/>
    </row>
    <row r="640">
      <c r="G640" s="1106"/>
      <c r="H640" s="1106"/>
      <c r="I640" s="1106"/>
      <c r="J640" s="1106"/>
      <c r="K640" s="1106"/>
      <c r="L640" s="1106"/>
      <c r="M640" s="1106"/>
      <c r="N640" s="1106"/>
      <c r="O640" s="1106"/>
      <c r="P640" s="1106"/>
      <c r="Q640" s="1106"/>
      <c r="R640" s="1106"/>
      <c r="S640" s="1106"/>
      <c r="T640" s="1106"/>
      <c r="U640" s="1106"/>
      <c r="V640" s="1106"/>
      <c r="W640" s="1106"/>
      <c r="X640" s="1106"/>
      <c r="Y640" s="1106"/>
      <c r="Z640" s="1106"/>
      <c r="AA640" s="1106"/>
      <c r="AB640" s="1106"/>
      <c r="AC640" s="1106"/>
      <c r="AD640" s="1106"/>
      <c r="AE640" s="1106"/>
      <c r="AF640" s="1106"/>
      <c r="AG640" s="1106"/>
      <c r="AH640" s="1106"/>
      <c r="AI640" s="1106"/>
      <c r="AJ640" s="1106"/>
      <c r="AK640" s="1106"/>
      <c r="AL640" s="1106"/>
      <c r="AM640" s="1106"/>
      <c r="AN640" s="1106"/>
      <c r="AO640" s="1106"/>
    </row>
    <row r="641">
      <c r="G641" s="1106"/>
      <c r="H641" s="1106"/>
      <c r="I641" s="1106"/>
      <c r="J641" s="1106"/>
      <c r="K641" s="1106"/>
      <c r="L641" s="1106"/>
      <c r="M641" s="1106"/>
      <c r="N641" s="1106"/>
      <c r="O641" s="1106"/>
      <c r="P641" s="1106"/>
      <c r="Q641" s="1106"/>
      <c r="R641" s="1106"/>
      <c r="S641" s="1106"/>
      <c r="T641" s="1106"/>
      <c r="U641" s="1106"/>
      <c r="V641" s="1106"/>
      <c r="W641" s="1106"/>
      <c r="X641" s="1106"/>
      <c r="Y641" s="1106"/>
      <c r="Z641" s="1106"/>
      <c r="AA641" s="1106"/>
      <c r="AB641" s="1106"/>
      <c r="AC641" s="1106"/>
      <c r="AD641" s="1106"/>
      <c r="AE641" s="1106"/>
      <c r="AF641" s="1106"/>
      <c r="AG641" s="1106"/>
      <c r="AH641" s="1106"/>
      <c r="AI641" s="1106"/>
      <c r="AJ641" s="1106"/>
      <c r="AK641" s="1106"/>
      <c r="AL641" s="1106"/>
      <c r="AM641" s="1106"/>
      <c r="AN641" s="1106"/>
      <c r="AO641" s="1106"/>
    </row>
    <row r="642">
      <c r="G642" s="1106"/>
      <c r="H642" s="1106"/>
      <c r="I642" s="1106"/>
      <c r="J642" s="1106"/>
      <c r="K642" s="1106"/>
      <c r="L642" s="1106"/>
      <c r="M642" s="1106"/>
      <c r="N642" s="1106"/>
      <c r="O642" s="1106"/>
      <c r="P642" s="1106"/>
      <c r="Q642" s="1106"/>
      <c r="R642" s="1106"/>
      <c r="S642" s="1106"/>
      <c r="T642" s="1106"/>
      <c r="U642" s="1106"/>
      <c r="V642" s="1106"/>
      <c r="W642" s="1106"/>
      <c r="X642" s="1106"/>
      <c r="Y642" s="1106"/>
      <c r="Z642" s="1106"/>
      <c r="AA642" s="1106"/>
      <c r="AB642" s="1106"/>
      <c r="AC642" s="1106"/>
      <c r="AD642" s="1106"/>
      <c r="AE642" s="1106"/>
      <c r="AF642" s="1106"/>
      <c r="AG642" s="1106"/>
      <c r="AH642" s="1106"/>
      <c r="AI642" s="1106"/>
      <c r="AJ642" s="1106"/>
      <c r="AK642" s="1106"/>
      <c r="AL642" s="1106"/>
      <c r="AM642" s="1106"/>
      <c r="AN642" s="1106"/>
      <c r="AO642" s="1106"/>
    </row>
    <row r="643">
      <c r="G643" s="1106"/>
      <c r="H643" s="1106"/>
      <c r="I643" s="1106"/>
      <c r="J643" s="1106"/>
      <c r="K643" s="1106"/>
      <c r="L643" s="1106"/>
      <c r="M643" s="1106"/>
      <c r="N643" s="1106"/>
      <c r="O643" s="1106"/>
      <c r="P643" s="1106"/>
      <c r="Q643" s="1106"/>
      <c r="R643" s="1106"/>
      <c r="S643" s="1106"/>
      <c r="T643" s="1106"/>
      <c r="U643" s="1106"/>
      <c r="V643" s="1106"/>
      <c r="W643" s="1106"/>
      <c r="X643" s="1106"/>
      <c r="Y643" s="1106"/>
      <c r="Z643" s="1106"/>
      <c r="AA643" s="1106"/>
      <c r="AB643" s="1106"/>
      <c r="AC643" s="1106"/>
      <c r="AD643" s="1106"/>
      <c r="AE643" s="1106"/>
      <c r="AF643" s="1106"/>
      <c r="AG643" s="1106"/>
      <c r="AH643" s="1106"/>
      <c r="AI643" s="1106"/>
      <c r="AJ643" s="1106"/>
      <c r="AK643" s="1106"/>
      <c r="AL643" s="1106"/>
      <c r="AM643" s="1106"/>
      <c r="AN643" s="1106"/>
      <c r="AO643" s="1106"/>
    </row>
    <row r="644">
      <c r="G644" s="1106"/>
      <c r="H644" s="1106"/>
      <c r="I644" s="1106"/>
      <c r="J644" s="1106"/>
      <c r="K644" s="1106"/>
      <c r="L644" s="1106"/>
      <c r="M644" s="1106"/>
      <c r="N644" s="1106"/>
      <c r="O644" s="1106"/>
      <c r="P644" s="1106"/>
      <c r="Q644" s="1106"/>
      <c r="R644" s="1106"/>
      <c r="S644" s="1106"/>
      <c r="T644" s="1106"/>
      <c r="U644" s="1106"/>
      <c r="V644" s="1106"/>
      <c r="W644" s="1106"/>
      <c r="X644" s="1106"/>
      <c r="Y644" s="1106"/>
      <c r="Z644" s="1106"/>
      <c r="AA644" s="1106"/>
      <c r="AB644" s="1106"/>
      <c r="AC644" s="1106"/>
      <c r="AD644" s="1106"/>
      <c r="AE644" s="1106"/>
      <c r="AF644" s="1106"/>
      <c r="AG644" s="1106"/>
      <c r="AH644" s="1106"/>
      <c r="AI644" s="1106"/>
      <c r="AJ644" s="1106"/>
      <c r="AK644" s="1106"/>
      <c r="AL644" s="1106"/>
      <c r="AM644" s="1106"/>
      <c r="AN644" s="1106"/>
      <c r="AO644" s="1106"/>
    </row>
    <row r="645">
      <c r="G645" s="1106"/>
      <c r="H645" s="1106"/>
      <c r="I645" s="1106"/>
      <c r="J645" s="1106"/>
      <c r="K645" s="1106"/>
      <c r="L645" s="1106"/>
      <c r="M645" s="1106"/>
      <c r="N645" s="1106"/>
      <c r="O645" s="1106"/>
      <c r="P645" s="1106"/>
      <c r="Q645" s="1106"/>
      <c r="R645" s="1106"/>
      <c r="S645" s="1106"/>
      <c r="T645" s="1106"/>
      <c r="U645" s="1106"/>
      <c r="V645" s="1106"/>
      <c r="W645" s="1106"/>
      <c r="X645" s="1106"/>
      <c r="Y645" s="1106"/>
      <c r="Z645" s="1106"/>
      <c r="AA645" s="1106"/>
      <c r="AB645" s="1106"/>
      <c r="AC645" s="1106"/>
      <c r="AD645" s="1106"/>
      <c r="AE645" s="1106"/>
      <c r="AF645" s="1106"/>
      <c r="AG645" s="1106"/>
      <c r="AH645" s="1106"/>
      <c r="AI645" s="1106"/>
      <c r="AJ645" s="1106"/>
      <c r="AK645" s="1106"/>
      <c r="AL645" s="1106"/>
      <c r="AM645" s="1106"/>
      <c r="AN645" s="1106"/>
      <c r="AO645" s="1106"/>
    </row>
    <row r="646">
      <c r="G646" s="1106"/>
      <c r="H646" s="1106"/>
      <c r="I646" s="1106"/>
      <c r="J646" s="1106"/>
      <c r="K646" s="1106"/>
      <c r="L646" s="1106"/>
      <c r="M646" s="1106"/>
      <c r="N646" s="1106"/>
      <c r="O646" s="1106"/>
      <c r="P646" s="1106"/>
      <c r="Q646" s="1106"/>
      <c r="R646" s="1106"/>
      <c r="S646" s="1106"/>
      <c r="T646" s="1106"/>
      <c r="U646" s="1106"/>
      <c r="V646" s="1106"/>
      <c r="W646" s="1106"/>
      <c r="X646" s="1106"/>
      <c r="Y646" s="1106"/>
      <c r="Z646" s="1106"/>
      <c r="AA646" s="1106"/>
      <c r="AB646" s="1106"/>
      <c r="AC646" s="1106"/>
      <c r="AD646" s="1106"/>
      <c r="AE646" s="1106"/>
      <c r="AF646" s="1106"/>
      <c r="AG646" s="1106"/>
      <c r="AH646" s="1106"/>
      <c r="AI646" s="1106"/>
      <c r="AJ646" s="1106"/>
      <c r="AK646" s="1106"/>
      <c r="AL646" s="1106"/>
      <c r="AM646" s="1106"/>
      <c r="AN646" s="1106"/>
      <c r="AO646" s="1106"/>
    </row>
    <row r="647">
      <c r="G647" s="1106"/>
      <c r="H647" s="1106"/>
      <c r="I647" s="1106"/>
      <c r="J647" s="1106"/>
      <c r="K647" s="1106"/>
      <c r="L647" s="1106"/>
      <c r="M647" s="1106"/>
      <c r="N647" s="1106"/>
      <c r="O647" s="1106"/>
      <c r="P647" s="1106"/>
      <c r="Q647" s="1106"/>
      <c r="R647" s="1106"/>
      <c r="S647" s="1106"/>
      <c r="T647" s="1106"/>
      <c r="U647" s="1106"/>
      <c r="V647" s="1106"/>
      <c r="W647" s="1106"/>
      <c r="X647" s="1106"/>
      <c r="Y647" s="1106"/>
      <c r="Z647" s="1106"/>
      <c r="AA647" s="1106"/>
      <c r="AB647" s="1106"/>
      <c r="AC647" s="1106"/>
      <c r="AD647" s="1106"/>
      <c r="AE647" s="1106"/>
      <c r="AF647" s="1106"/>
      <c r="AG647" s="1106"/>
      <c r="AH647" s="1106"/>
      <c r="AI647" s="1106"/>
      <c r="AJ647" s="1106"/>
      <c r="AK647" s="1106"/>
      <c r="AL647" s="1106"/>
      <c r="AM647" s="1106"/>
      <c r="AN647" s="1106"/>
      <c r="AO647" s="1106"/>
    </row>
    <row r="648">
      <c r="G648" s="1106"/>
      <c r="H648" s="1106"/>
      <c r="I648" s="1106"/>
      <c r="J648" s="1106"/>
      <c r="K648" s="1106"/>
      <c r="L648" s="1106"/>
      <c r="M648" s="1106"/>
      <c r="N648" s="1106"/>
      <c r="O648" s="1106"/>
      <c r="P648" s="1106"/>
      <c r="Q648" s="1106"/>
      <c r="R648" s="1106"/>
      <c r="S648" s="1106"/>
      <c r="T648" s="1106"/>
      <c r="U648" s="1106"/>
      <c r="V648" s="1106"/>
      <c r="W648" s="1106"/>
      <c r="X648" s="1106"/>
      <c r="Y648" s="1106"/>
      <c r="Z648" s="1106"/>
      <c r="AA648" s="1106"/>
      <c r="AB648" s="1106"/>
      <c r="AC648" s="1106"/>
      <c r="AD648" s="1106"/>
      <c r="AE648" s="1106"/>
      <c r="AF648" s="1106"/>
      <c r="AG648" s="1106"/>
      <c r="AH648" s="1106"/>
      <c r="AI648" s="1106"/>
      <c r="AJ648" s="1106"/>
      <c r="AK648" s="1106"/>
      <c r="AL648" s="1106"/>
      <c r="AM648" s="1106"/>
      <c r="AN648" s="1106"/>
      <c r="AO648" s="1106"/>
    </row>
    <row r="649">
      <c r="G649" s="1106"/>
      <c r="H649" s="1106"/>
      <c r="I649" s="1106"/>
      <c r="J649" s="1106"/>
      <c r="K649" s="1106"/>
      <c r="L649" s="1106"/>
      <c r="M649" s="1106"/>
      <c r="N649" s="1106"/>
      <c r="O649" s="1106"/>
      <c r="P649" s="1106"/>
      <c r="Q649" s="1106"/>
      <c r="R649" s="1106"/>
      <c r="S649" s="1106"/>
      <c r="T649" s="1106"/>
      <c r="U649" s="1106"/>
      <c r="V649" s="1106"/>
      <c r="W649" s="1106"/>
      <c r="X649" s="1106"/>
      <c r="Y649" s="1106"/>
      <c r="Z649" s="1106"/>
      <c r="AA649" s="1106"/>
      <c r="AB649" s="1106"/>
      <c r="AC649" s="1106"/>
      <c r="AD649" s="1106"/>
      <c r="AE649" s="1106"/>
      <c r="AF649" s="1106"/>
      <c r="AG649" s="1106"/>
      <c r="AH649" s="1106"/>
      <c r="AI649" s="1106"/>
      <c r="AJ649" s="1106"/>
      <c r="AK649" s="1106"/>
      <c r="AL649" s="1106"/>
      <c r="AM649" s="1106"/>
      <c r="AN649" s="1106"/>
      <c r="AO649" s="1106"/>
    </row>
    <row r="650">
      <c r="G650" s="1106"/>
      <c r="H650" s="1106"/>
      <c r="I650" s="1106"/>
      <c r="J650" s="1106"/>
      <c r="K650" s="1106"/>
      <c r="L650" s="1106"/>
      <c r="M650" s="1106"/>
      <c r="N650" s="1106"/>
      <c r="O650" s="1106"/>
      <c r="P650" s="1106"/>
      <c r="Q650" s="1106"/>
      <c r="R650" s="1106"/>
      <c r="S650" s="1106"/>
      <c r="T650" s="1106"/>
      <c r="U650" s="1106"/>
      <c r="V650" s="1106"/>
      <c r="W650" s="1106"/>
      <c r="X650" s="1106"/>
      <c r="Y650" s="1106"/>
      <c r="Z650" s="1106"/>
      <c r="AA650" s="1106"/>
      <c r="AB650" s="1106"/>
      <c r="AC650" s="1106"/>
      <c r="AD650" s="1106"/>
      <c r="AE650" s="1106"/>
      <c r="AF650" s="1106"/>
      <c r="AG650" s="1106"/>
      <c r="AH650" s="1106"/>
      <c r="AI650" s="1106"/>
      <c r="AJ650" s="1106"/>
      <c r="AK650" s="1106"/>
      <c r="AL650" s="1106"/>
      <c r="AM650" s="1106"/>
      <c r="AN650" s="1106"/>
      <c r="AO650" s="1106"/>
    </row>
    <row r="651">
      <c r="G651" s="1106"/>
      <c r="H651" s="1106"/>
      <c r="I651" s="1106"/>
      <c r="J651" s="1106"/>
      <c r="K651" s="1106"/>
      <c r="L651" s="1106"/>
      <c r="M651" s="1106"/>
      <c r="N651" s="1106"/>
      <c r="O651" s="1106"/>
      <c r="P651" s="1106"/>
      <c r="Q651" s="1106"/>
      <c r="R651" s="1106"/>
      <c r="S651" s="1106"/>
      <c r="T651" s="1106"/>
      <c r="U651" s="1106"/>
      <c r="V651" s="1106"/>
      <c r="W651" s="1106"/>
      <c r="X651" s="1106"/>
      <c r="Y651" s="1106"/>
      <c r="Z651" s="1106"/>
      <c r="AA651" s="1106"/>
      <c r="AB651" s="1106"/>
      <c r="AC651" s="1106"/>
      <c r="AD651" s="1106"/>
      <c r="AE651" s="1106"/>
      <c r="AF651" s="1106"/>
      <c r="AG651" s="1106"/>
      <c r="AH651" s="1106"/>
      <c r="AI651" s="1106"/>
      <c r="AJ651" s="1106"/>
      <c r="AK651" s="1106"/>
      <c r="AL651" s="1106"/>
      <c r="AM651" s="1106"/>
      <c r="AN651" s="1106"/>
      <c r="AO651" s="1106"/>
    </row>
    <row r="652">
      <c r="G652" s="1106"/>
      <c r="H652" s="1106"/>
      <c r="I652" s="1106"/>
      <c r="J652" s="1106"/>
      <c r="K652" s="1106"/>
      <c r="L652" s="1106"/>
      <c r="M652" s="1106"/>
      <c r="N652" s="1106"/>
      <c r="O652" s="1106"/>
      <c r="P652" s="1106"/>
      <c r="Q652" s="1106"/>
      <c r="R652" s="1106"/>
      <c r="S652" s="1106"/>
      <c r="T652" s="1106"/>
      <c r="U652" s="1106"/>
      <c r="V652" s="1106"/>
      <c r="W652" s="1106"/>
      <c r="X652" s="1106"/>
      <c r="Y652" s="1106"/>
      <c r="Z652" s="1106"/>
      <c r="AA652" s="1106"/>
      <c r="AB652" s="1106"/>
      <c r="AC652" s="1106"/>
      <c r="AD652" s="1106"/>
      <c r="AE652" s="1106"/>
      <c r="AF652" s="1106"/>
      <c r="AG652" s="1106"/>
      <c r="AH652" s="1106"/>
      <c r="AI652" s="1106"/>
      <c r="AJ652" s="1106"/>
      <c r="AK652" s="1106"/>
      <c r="AL652" s="1106"/>
      <c r="AM652" s="1106"/>
      <c r="AN652" s="1106"/>
      <c r="AO652" s="1106"/>
    </row>
    <row r="653">
      <c r="G653" s="1106"/>
      <c r="H653" s="1106"/>
      <c r="I653" s="1106"/>
      <c r="J653" s="1106"/>
      <c r="K653" s="1106"/>
      <c r="L653" s="1106"/>
      <c r="M653" s="1106"/>
      <c r="N653" s="1106"/>
      <c r="O653" s="1106"/>
      <c r="P653" s="1106"/>
      <c r="Q653" s="1106"/>
      <c r="R653" s="1106"/>
      <c r="S653" s="1106"/>
      <c r="T653" s="1106"/>
      <c r="U653" s="1106"/>
      <c r="V653" s="1106"/>
      <c r="W653" s="1106"/>
      <c r="X653" s="1106"/>
      <c r="Y653" s="1106"/>
      <c r="Z653" s="1106"/>
      <c r="AA653" s="1106"/>
      <c r="AB653" s="1106"/>
      <c r="AC653" s="1106"/>
      <c r="AD653" s="1106"/>
      <c r="AE653" s="1106"/>
      <c r="AF653" s="1106"/>
      <c r="AG653" s="1106"/>
      <c r="AH653" s="1106"/>
      <c r="AI653" s="1106"/>
      <c r="AJ653" s="1106"/>
      <c r="AK653" s="1106"/>
      <c r="AL653" s="1106"/>
      <c r="AM653" s="1106"/>
      <c r="AN653" s="1106"/>
      <c r="AO653" s="1106"/>
    </row>
    <row r="654">
      <c r="G654" s="1106"/>
      <c r="H654" s="1106"/>
      <c r="I654" s="1106"/>
      <c r="J654" s="1106"/>
      <c r="K654" s="1106"/>
      <c r="L654" s="1106"/>
      <c r="M654" s="1106"/>
      <c r="N654" s="1106"/>
      <c r="O654" s="1106"/>
      <c r="P654" s="1106"/>
      <c r="Q654" s="1106"/>
      <c r="R654" s="1106"/>
      <c r="S654" s="1106"/>
      <c r="T654" s="1106"/>
      <c r="U654" s="1106"/>
      <c r="V654" s="1106"/>
      <c r="W654" s="1106"/>
      <c r="X654" s="1106"/>
      <c r="Y654" s="1106"/>
      <c r="Z654" s="1106"/>
      <c r="AA654" s="1106"/>
      <c r="AB654" s="1106"/>
      <c r="AC654" s="1106"/>
      <c r="AD654" s="1106"/>
      <c r="AE654" s="1106"/>
      <c r="AF654" s="1106"/>
      <c r="AG654" s="1106"/>
      <c r="AH654" s="1106"/>
      <c r="AI654" s="1106"/>
      <c r="AJ654" s="1106"/>
      <c r="AK654" s="1106"/>
      <c r="AL654" s="1106"/>
      <c r="AM654" s="1106"/>
      <c r="AN654" s="1106"/>
      <c r="AO654" s="1106"/>
    </row>
    <row r="655">
      <c r="G655" s="1106"/>
      <c r="H655" s="1106"/>
      <c r="I655" s="1106"/>
      <c r="J655" s="1106"/>
      <c r="K655" s="1106"/>
      <c r="L655" s="1106"/>
      <c r="M655" s="1106"/>
      <c r="N655" s="1106"/>
      <c r="O655" s="1106"/>
      <c r="P655" s="1106"/>
      <c r="Q655" s="1106"/>
      <c r="R655" s="1106"/>
      <c r="S655" s="1106"/>
      <c r="T655" s="1106"/>
      <c r="U655" s="1106"/>
      <c r="V655" s="1106"/>
      <c r="W655" s="1106"/>
      <c r="X655" s="1106"/>
      <c r="Y655" s="1106"/>
      <c r="Z655" s="1106"/>
      <c r="AA655" s="1106"/>
      <c r="AB655" s="1106"/>
      <c r="AC655" s="1106"/>
      <c r="AD655" s="1106"/>
      <c r="AE655" s="1106"/>
      <c r="AF655" s="1106"/>
      <c r="AG655" s="1106"/>
      <c r="AH655" s="1106"/>
      <c r="AI655" s="1106"/>
      <c r="AJ655" s="1106"/>
      <c r="AK655" s="1106"/>
      <c r="AL655" s="1106"/>
      <c r="AM655" s="1106"/>
      <c r="AN655" s="1106"/>
      <c r="AO655" s="1106"/>
    </row>
    <row r="656">
      <c r="G656" s="1106"/>
      <c r="H656" s="1106"/>
      <c r="I656" s="1106"/>
      <c r="J656" s="1106"/>
      <c r="K656" s="1106"/>
      <c r="L656" s="1106"/>
      <c r="M656" s="1106"/>
      <c r="N656" s="1106"/>
      <c r="O656" s="1106"/>
      <c r="P656" s="1106"/>
      <c r="Q656" s="1106"/>
      <c r="R656" s="1106"/>
      <c r="S656" s="1106"/>
      <c r="T656" s="1106"/>
      <c r="U656" s="1106"/>
      <c r="V656" s="1106"/>
      <c r="W656" s="1106"/>
      <c r="X656" s="1106"/>
      <c r="Y656" s="1106"/>
      <c r="Z656" s="1106"/>
      <c r="AA656" s="1106"/>
      <c r="AB656" s="1106"/>
      <c r="AC656" s="1106"/>
      <c r="AD656" s="1106"/>
      <c r="AE656" s="1106"/>
      <c r="AF656" s="1106"/>
      <c r="AG656" s="1106"/>
      <c r="AH656" s="1106"/>
      <c r="AI656" s="1106"/>
      <c r="AJ656" s="1106"/>
      <c r="AK656" s="1106"/>
      <c r="AL656" s="1106"/>
      <c r="AM656" s="1106"/>
      <c r="AN656" s="1106"/>
      <c r="AO656" s="1106"/>
    </row>
    <row r="657">
      <c r="G657" s="1106"/>
      <c r="H657" s="1106"/>
      <c r="I657" s="1106"/>
      <c r="J657" s="1106"/>
      <c r="K657" s="1106"/>
      <c r="L657" s="1106"/>
      <c r="M657" s="1106"/>
      <c r="N657" s="1106"/>
      <c r="O657" s="1106"/>
      <c r="P657" s="1106"/>
      <c r="Q657" s="1106"/>
      <c r="R657" s="1106"/>
      <c r="S657" s="1106"/>
      <c r="T657" s="1106"/>
      <c r="U657" s="1106"/>
      <c r="V657" s="1106"/>
      <c r="W657" s="1106"/>
      <c r="X657" s="1106"/>
      <c r="Y657" s="1106"/>
      <c r="Z657" s="1106"/>
      <c r="AA657" s="1106"/>
      <c r="AB657" s="1106"/>
      <c r="AC657" s="1106"/>
      <c r="AD657" s="1106"/>
      <c r="AE657" s="1106"/>
      <c r="AF657" s="1106"/>
      <c r="AG657" s="1106"/>
      <c r="AH657" s="1106"/>
      <c r="AI657" s="1106"/>
      <c r="AJ657" s="1106"/>
      <c r="AK657" s="1106"/>
      <c r="AL657" s="1106"/>
      <c r="AM657" s="1106"/>
      <c r="AN657" s="1106"/>
      <c r="AO657" s="1106"/>
    </row>
    <row r="658">
      <c r="G658" s="1106"/>
      <c r="H658" s="1106"/>
      <c r="I658" s="1106"/>
      <c r="J658" s="1106"/>
      <c r="K658" s="1106"/>
      <c r="L658" s="1106"/>
      <c r="M658" s="1106"/>
      <c r="N658" s="1106"/>
      <c r="O658" s="1106"/>
      <c r="P658" s="1106"/>
      <c r="Q658" s="1106"/>
      <c r="R658" s="1106"/>
      <c r="S658" s="1106"/>
      <c r="T658" s="1106"/>
      <c r="U658" s="1106"/>
      <c r="V658" s="1106"/>
      <c r="W658" s="1106"/>
      <c r="X658" s="1106"/>
      <c r="Y658" s="1106"/>
      <c r="Z658" s="1106"/>
      <c r="AA658" s="1106"/>
      <c r="AB658" s="1106"/>
      <c r="AC658" s="1106"/>
      <c r="AD658" s="1106"/>
      <c r="AE658" s="1106"/>
      <c r="AF658" s="1106"/>
      <c r="AG658" s="1106"/>
      <c r="AH658" s="1106"/>
      <c r="AI658" s="1106"/>
      <c r="AJ658" s="1106"/>
      <c r="AK658" s="1106"/>
      <c r="AL658" s="1106"/>
      <c r="AM658" s="1106"/>
      <c r="AN658" s="1106"/>
      <c r="AO658" s="1106"/>
    </row>
    <row r="659">
      <c r="G659" s="1106"/>
      <c r="H659" s="1106"/>
      <c r="I659" s="1106"/>
      <c r="J659" s="1106"/>
      <c r="K659" s="1106"/>
      <c r="L659" s="1106"/>
      <c r="M659" s="1106"/>
      <c r="N659" s="1106"/>
      <c r="O659" s="1106"/>
      <c r="P659" s="1106"/>
      <c r="Q659" s="1106"/>
      <c r="R659" s="1106"/>
      <c r="S659" s="1106"/>
      <c r="T659" s="1106"/>
      <c r="U659" s="1106"/>
      <c r="V659" s="1106"/>
      <c r="W659" s="1106"/>
      <c r="X659" s="1106"/>
      <c r="Y659" s="1106"/>
      <c r="Z659" s="1106"/>
      <c r="AA659" s="1106"/>
      <c r="AB659" s="1106"/>
      <c r="AC659" s="1106"/>
      <c r="AD659" s="1106"/>
      <c r="AE659" s="1106"/>
      <c r="AF659" s="1106"/>
      <c r="AG659" s="1106"/>
      <c r="AH659" s="1106"/>
      <c r="AI659" s="1106"/>
      <c r="AJ659" s="1106"/>
      <c r="AK659" s="1106"/>
      <c r="AL659" s="1106"/>
      <c r="AM659" s="1106"/>
      <c r="AN659" s="1106"/>
      <c r="AO659" s="1106"/>
    </row>
    <row r="660">
      <c r="G660" s="1106"/>
      <c r="H660" s="1106"/>
      <c r="I660" s="1106"/>
      <c r="J660" s="1106"/>
      <c r="K660" s="1106"/>
      <c r="L660" s="1106"/>
      <c r="M660" s="1106"/>
      <c r="N660" s="1106"/>
      <c r="O660" s="1106"/>
      <c r="P660" s="1106"/>
      <c r="Q660" s="1106"/>
      <c r="R660" s="1106"/>
      <c r="S660" s="1106"/>
      <c r="T660" s="1106"/>
      <c r="U660" s="1106"/>
      <c r="V660" s="1106"/>
      <c r="W660" s="1106"/>
      <c r="X660" s="1106"/>
      <c r="Y660" s="1106"/>
      <c r="Z660" s="1106"/>
      <c r="AA660" s="1106"/>
      <c r="AB660" s="1106"/>
      <c r="AC660" s="1106"/>
      <c r="AD660" s="1106"/>
      <c r="AE660" s="1106"/>
      <c r="AF660" s="1106"/>
      <c r="AG660" s="1106"/>
      <c r="AH660" s="1106"/>
      <c r="AI660" s="1106"/>
      <c r="AJ660" s="1106"/>
      <c r="AK660" s="1106"/>
      <c r="AL660" s="1106"/>
      <c r="AM660" s="1106"/>
      <c r="AN660" s="1106"/>
      <c r="AO660" s="1106"/>
    </row>
    <row r="661">
      <c r="G661" s="1106"/>
      <c r="H661" s="1106"/>
      <c r="I661" s="1106"/>
      <c r="J661" s="1106"/>
      <c r="K661" s="1106"/>
      <c r="L661" s="1106"/>
      <c r="M661" s="1106"/>
      <c r="N661" s="1106"/>
      <c r="O661" s="1106"/>
      <c r="P661" s="1106"/>
      <c r="Q661" s="1106"/>
      <c r="R661" s="1106"/>
      <c r="S661" s="1106"/>
      <c r="T661" s="1106"/>
      <c r="U661" s="1106"/>
      <c r="V661" s="1106"/>
      <c r="W661" s="1106"/>
      <c r="X661" s="1106"/>
      <c r="Y661" s="1106"/>
      <c r="Z661" s="1106"/>
      <c r="AA661" s="1106"/>
      <c r="AB661" s="1106"/>
      <c r="AC661" s="1106"/>
      <c r="AD661" s="1106"/>
      <c r="AE661" s="1106"/>
      <c r="AF661" s="1106"/>
      <c r="AG661" s="1106"/>
      <c r="AH661" s="1106"/>
      <c r="AI661" s="1106"/>
      <c r="AJ661" s="1106"/>
      <c r="AK661" s="1106"/>
      <c r="AL661" s="1106"/>
      <c r="AM661" s="1106"/>
      <c r="AN661" s="1106"/>
      <c r="AO661" s="1106"/>
    </row>
    <row r="662">
      <c r="G662" s="1106"/>
      <c r="H662" s="1106"/>
      <c r="I662" s="1106"/>
      <c r="J662" s="1106"/>
      <c r="K662" s="1106"/>
      <c r="L662" s="1106"/>
      <c r="M662" s="1106"/>
      <c r="N662" s="1106"/>
      <c r="O662" s="1106"/>
      <c r="P662" s="1106"/>
      <c r="Q662" s="1106"/>
      <c r="R662" s="1106"/>
      <c r="S662" s="1106"/>
      <c r="T662" s="1106"/>
      <c r="U662" s="1106"/>
      <c r="V662" s="1106"/>
      <c r="W662" s="1106"/>
      <c r="X662" s="1106"/>
      <c r="Y662" s="1106"/>
      <c r="Z662" s="1106"/>
      <c r="AA662" s="1106"/>
      <c r="AB662" s="1106"/>
      <c r="AC662" s="1106"/>
      <c r="AD662" s="1106"/>
      <c r="AE662" s="1106"/>
      <c r="AF662" s="1106"/>
      <c r="AG662" s="1106"/>
      <c r="AH662" s="1106"/>
      <c r="AI662" s="1106"/>
      <c r="AJ662" s="1106"/>
      <c r="AK662" s="1106"/>
      <c r="AL662" s="1106"/>
      <c r="AM662" s="1106"/>
      <c r="AN662" s="1106"/>
      <c r="AO662" s="1106"/>
    </row>
    <row r="663">
      <c r="G663" s="1106"/>
      <c r="H663" s="1106"/>
      <c r="I663" s="1106"/>
      <c r="J663" s="1106"/>
      <c r="K663" s="1106"/>
      <c r="L663" s="1106"/>
      <c r="M663" s="1106"/>
      <c r="N663" s="1106"/>
      <c r="O663" s="1106"/>
      <c r="P663" s="1106"/>
      <c r="Q663" s="1106"/>
      <c r="R663" s="1106"/>
      <c r="S663" s="1106"/>
      <c r="T663" s="1106"/>
      <c r="U663" s="1106"/>
      <c r="V663" s="1106"/>
      <c r="W663" s="1106"/>
      <c r="X663" s="1106"/>
      <c r="Y663" s="1106"/>
      <c r="Z663" s="1106"/>
      <c r="AA663" s="1106"/>
      <c r="AB663" s="1106"/>
      <c r="AC663" s="1106"/>
      <c r="AD663" s="1106"/>
      <c r="AE663" s="1106"/>
      <c r="AF663" s="1106"/>
      <c r="AG663" s="1106"/>
      <c r="AH663" s="1106"/>
      <c r="AI663" s="1106"/>
      <c r="AJ663" s="1106"/>
      <c r="AK663" s="1106"/>
      <c r="AL663" s="1106"/>
      <c r="AM663" s="1106"/>
      <c r="AN663" s="1106"/>
      <c r="AO663" s="1106"/>
    </row>
    <row r="664">
      <c r="G664" s="1106"/>
      <c r="H664" s="1106"/>
      <c r="I664" s="1106"/>
      <c r="J664" s="1106"/>
      <c r="K664" s="1106"/>
      <c r="L664" s="1106"/>
      <c r="M664" s="1106"/>
      <c r="N664" s="1106"/>
      <c r="O664" s="1106"/>
      <c r="P664" s="1106"/>
      <c r="Q664" s="1106"/>
      <c r="R664" s="1106"/>
      <c r="S664" s="1106"/>
      <c r="T664" s="1106"/>
      <c r="U664" s="1106"/>
      <c r="V664" s="1106"/>
      <c r="W664" s="1106"/>
      <c r="X664" s="1106"/>
      <c r="Y664" s="1106"/>
      <c r="Z664" s="1106"/>
      <c r="AA664" s="1106"/>
      <c r="AB664" s="1106"/>
      <c r="AC664" s="1106"/>
      <c r="AD664" s="1106"/>
      <c r="AE664" s="1106"/>
      <c r="AF664" s="1106"/>
      <c r="AG664" s="1106"/>
      <c r="AH664" s="1106"/>
      <c r="AI664" s="1106"/>
      <c r="AJ664" s="1106"/>
      <c r="AK664" s="1106"/>
      <c r="AL664" s="1106"/>
      <c r="AM664" s="1106"/>
      <c r="AN664" s="1106"/>
      <c r="AO664" s="1106"/>
    </row>
    <row r="665">
      <c r="G665" s="1106"/>
      <c r="H665" s="1106"/>
      <c r="I665" s="1106"/>
      <c r="J665" s="1106"/>
      <c r="K665" s="1106"/>
      <c r="L665" s="1106"/>
      <c r="M665" s="1106"/>
      <c r="N665" s="1106"/>
      <c r="O665" s="1106"/>
      <c r="P665" s="1106"/>
      <c r="Q665" s="1106"/>
      <c r="R665" s="1106"/>
      <c r="S665" s="1106"/>
      <c r="T665" s="1106"/>
      <c r="U665" s="1106"/>
      <c r="V665" s="1106"/>
      <c r="W665" s="1106"/>
      <c r="X665" s="1106"/>
      <c r="Y665" s="1106"/>
      <c r="Z665" s="1106"/>
      <c r="AA665" s="1106"/>
      <c r="AB665" s="1106"/>
      <c r="AC665" s="1106"/>
      <c r="AD665" s="1106"/>
      <c r="AE665" s="1106"/>
      <c r="AF665" s="1106"/>
      <c r="AG665" s="1106"/>
      <c r="AH665" s="1106"/>
      <c r="AI665" s="1106"/>
      <c r="AJ665" s="1106"/>
      <c r="AK665" s="1106"/>
      <c r="AL665" s="1106"/>
      <c r="AM665" s="1106"/>
      <c r="AN665" s="1106"/>
      <c r="AO665" s="1106"/>
    </row>
    <row r="666">
      <c r="G666" s="1106"/>
      <c r="H666" s="1106"/>
      <c r="I666" s="1106"/>
      <c r="J666" s="1106"/>
      <c r="K666" s="1106"/>
      <c r="L666" s="1106"/>
      <c r="M666" s="1106"/>
      <c r="N666" s="1106"/>
      <c r="O666" s="1106"/>
      <c r="P666" s="1106"/>
      <c r="Q666" s="1106"/>
      <c r="R666" s="1106"/>
      <c r="S666" s="1106"/>
      <c r="T666" s="1106"/>
      <c r="U666" s="1106"/>
      <c r="V666" s="1106"/>
      <c r="W666" s="1106"/>
      <c r="X666" s="1106"/>
      <c r="Y666" s="1106"/>
      <c r="Z666" s="1106"/>
      <c r="AA666" s="1106"/>
      <c r="AB666" s="1106"/>
      <c r="AC666" s="1106"/>
      <c r="AD666" s="1106"/>
      <c r="AE666" s="1106"/>
      <c r="AF666" s="1106"/>
      <c r="AG666" s="1106"/>
      <c r="AH666" s="1106"/>
      <c r="AI666" s="1106"/>
      <c r="AJ666" s="1106"/>
      <c r="AK666" s="1106"/>
      <c r="AL666" s="1106"/>
      <c r="AM666" s="1106"/>
      <c r="AN666" s="1106"/>
      <c r="AO666" s="1106"/>
    </row>
    <row r="667">
      <c r="G667" s="1106"/>
      <c r="H667" s="1106"/>
      <c r="I667" s="1106"/>
      <c r="J667" s="1106"/>
      <c r="K667" s="1106"/>
      <c r="L667" s="1106"/>
      <c r="M667" s="1106"/>
      <c r="N667" s="1106"/>
      <c r="O667" s="1106"/>
      <c r="P667" s="1106"/>
      <c r="Q667" s="1106"/>
      <c r="R667" s="1106"/>
      <c r="S667" s="1106"/>
      <c r="T667" s="1106"/>
      <c r="U667" s="1106"/>
      <c r="V667" s="1106"/>
      <c r="W667" s="1106"/>
      <c r="X667" s="1106"/>
      <c r="Y667" s="1106"/>
      <c r="Z667" s="1106"/>
      <c r="AA667" s="1106"/>
      <c r="AB667" s="1106"/>
      <c r="AC667" s="1106"/>
      <c r="AD667" s="1106"/>
      <c r="AE667" s="1106"/>
      <c r="AF667" s="1106"/>
      <c r="AG667" s="1106"/>
      <c r="AH667" s="1106"/>
      <c r="AI667" s="1106"/>
      <c r="AJ667" s="1106"/>
      <c r="AK667" s="1106"/>
      <c r="AL667" s="1106"/>
      <c r="AM667" s="1106"/>
      <c r="AN667" s="1106"/>
      <c r="AO667" s="1106"/>
    </row>
    <row r="668">
      <c r="G668" s="1106"/>
      <c r="H668" s="1106"/>
      <c r="I668" s="1106"/>
      <c r="J668" s="1106"/>
      <c r="K668" s="1106"/>
      <c r="L668" s="1106"/>
      <c r="M668" s="1106"/>
      <c r="N668" s="1106"/>
      <c r="O668" s="1106"/>
      <c r="P668" s="1106"/>
      <c r="Q668" s="1106"/>
      <c r="R668" s="1106"/>
      <c r="S668" s="1106"/>
      <c r="T668" s="1106"/>
      <c r="U668" s="1106"/>
      <c r="V668" s="1106"/>
      <c r="W668" s="1106"/>
      <c r="X668" s="1106"/>
      <c r="Y668" s="1106"/>
      <c r="Z668" s="1106"/>
      <c r="AA668" s="1106"/>
      <c r="AB668" s="1106"/>
      <c r="AC668" s="1106"/>
      <c r="AD668" s="1106"/>
      <c r="AE668" s="1106"/>
      <c r="AF668" s="1106"/>
      <c r="AG668" s="1106"/>
      <c r="AH668" s="1106"/>
      <c r="AI668" s="1106"/>
      <c r="AJ668" s="1106"/>
      <c r="AK668" s="1106"/>
      <c r="AL668" s="1106"/>
      <c r="AM668" s="1106"/>
      <c r="AN668" s="1106"/>
      <c r="AO668" s="1106"/>
    </row>
    <row r="669">
      <c r="G669" s="1106"/>
      <c r="H669" s="1106"/>
      <c r="I669" s="1106"/>
      <c r="J669" s="1106"/>
      <c r="K669" s="1106"/>
      <c r="L669" s="1106"/>
      <c r="M669" s="1106"/>
      <c r="N669" s="1106"/>
      <c r="O669" s="1106"/>
      <c r="P669" s="1106"/>
      <c r="Q669" s="1106"/>
      <c r="R669" s="1106"/>
      <c r="S669" s="1106"/>
      <c r="T669" s="1106"/>
      <c r="U669" s="1106"/>
      <c r="V669" s="1106"/>
      <c r="W669" s="1106"/>
      <c r="X669" s="1106"/>
      <c r="Y669" s="1106"/>
      <c r="Z669" s="1106"/>
      <c r="AA669" s="1106"/>
      <c r="AB669" s="1106"/>
      <c r="AC669" s="1106"/>
      <c r="AD669" s="1106"/>
      <c r="AE669" s="1106"/>
      <c r="AF669" s="1106"/>
      <c r="AG669" s="1106"/>
      <c r="AH669" s="1106"/>
      <c r="AI669" s="1106"/>
      <c r="AJ669" s="1106"/>
      <c r="AK669" s="1106"/>
      <c r="AL669" s="1106"/>
      <c r="AM669" s="1106"/>
      <c r="AN669" s="1106"/>
      <c r="AO669" s="1106"/>
    </row>
    <row r="670">
      <c r="G670" s="1106"/>
      <c r="H670" s="1106"/>
      <c r="I670" s="1106"/>
      <c r="J670" s="1106"/>
      <c r="K670" s="1106"/>
      <c r="L670" s="1106"/>
      <c r="M670" s="1106"/>
      <c r="N670" s="1106"/>
      <c r="O670" s="1106"/>
      <c r="P670" s="1106"/>
      <c r="Q670" s="1106"/>
      <c r="R670" s="1106"/>
      <c r="S670" s="1106"/>
      <c r="T670" s="1106"/>
      <c r="U670" s="1106"/>
      <c r="V670" s="1106"/>
      <c r="W670" s="1106"/>
      <c r="X670" s="1106"/>
      <c r="Y670" s="1106"/>
      <c r="Z670" s="1106"/>
      <c r="AA670" s="1106"/>
      <c r="AB670" s="1106"/>
      <c r="AC670" s="1106"/>
      <c r="AD670" s="1106"/>
      <c r="AE670" s="1106"/>
      <c r="AF670" s="1106"/>
      <c r="AG670" s="1106"/>
      <c r="AH670" s="1106"/>
      <c r="AI670" s="1106"/>
      <c r="AJ670" s="1106"/>
      <c r="AK670" s="1106"/>
      <c r="AL670" s="1106"/>
      <c r="AM670" s="1106"/>
      <c r="AN670" s="1106"/>
      <c r="AO670" s="1106"/>
    </row>
    <row r="671">
      <c r="G671" s="1106"/>
      <c r="H671" s="1106"/>
      <c r="I671" s="1106"/>
      <c r="J671" s="1106"/>
      <c r="K671" s="1106"/>
      <c r="L671" s="1106"/>
      <c r="M671" s="1106"/>
      <c r="N671" s="1106"/>
      <c r="O671" s="1106"/>
      <c r="P671" s="1106"/>
      <c r="Q671" s="1106"/>
      <c r="R671" s="1106"/>
      <c r="S671" s="1106"/>
      <c r="T671" s="1106"/>
      <c r="U671" s="1106"/>
      <c r="V671" s="1106"/>
      <c r="W671" s="1106"/>
      <c r="X671" s="1106"/>
      <c r="Y671" s="1106"/>
      <c r="Z671" s="1106"/>
      <c r="AA671" s="1106"/>
      <c r="AB671" s="1106"/>
      <c r="AC671" s="1106"/>
      <c r="AD671" s="1106"/>
      <c r="AE671" s="1106"/>
      <c r="AF671" s="1106"/>
      <c r="AG671" s="1106"/>
      <c r="AH671" s="1106"/>
      <c r="AI671" s="1106"/>
      <c r="AJ671" s="1106"/>
      <c r="AK671" s="1106"/>
      <c r="AL671" s="1106"/>
      <c r="AM671" s="1106"/>
      <c r="AN671" s="1106"/>
      <c r="AO671" s="1106"/>
    </row>
    <row r="672">
      <c r="G672" s="1106"/>
      <c r="H672" s="1106"/>
      <c r="I672" s="1106"/>
      <c r="J672" s="1106"/>
      <c r="K672" s="1106"/>
      <c r="L672" s="1106"/>
      <c r="M672" s="1106"/>
      <c r="N672" s="1106"/>
      <c r="O672" s="1106"/>
      <c r="P672" s="1106"/>
      <c r="Q672" s="1106"/>
      <c r="R672" s="1106"/>
      <c r="S672" s="1106"/>
      <c r="T672" s="1106"/>
      <c r="U672" s="1106"/>
      <c r="V672" s="1106"/>
      <c r="W672" s="1106"/>
      <c r="X672" s="1106"/>
      <c r="Y672" s="1106"/>
      <c r="Z672" s="1106"/>
      <c r="AA672" s="1106"/>
      <c r="AB672" s="1106"/>
      <c r="AC672" s="1106"/>
      <c r="AD672" s="1106"/>
      <c r="AE672" s="1106"/>
      <c r="AF672" s="1106"/>
      <c r="AG672" s="1106"/>
      <c r="AH672" s="1106"/>
      <c r="AI672" s="1106"/>
      <c r="AJ672" s="1106"/>
      <c r="AK672" s="1106"/>
      <c r="AL672" s="1106"/>
      <c r="AM672" s="1106"/>
      <c r="AN672" s="1106"/>
      <c r="AO672" s="1106"/>
    </row>
    <row r="673">
      <c r="G673" s="1106"/>
      <c r="H673" s="1106"/>
      <c r="I673" s="1106"/>
      <c r="J673" s="1106"/>
      <c r="K673" s="1106"/>
      <c r="L673" s="1106"/>
      <c r="M673" s="1106"/>
      <c r="N673" s="1106"/>
      <c r="O673" s="1106"/>
      <c r="P673" s="1106"/>
      <c r="Q673" s="1106"/>
      <c r="R673" s="1106"/>
      <c r="S673" s="1106"/>
      <c r="T673" s="1106"/>
      <c r="U673" s="1106"/>
      <c r="V673" s="1106"/>
      <c r="W673" s="1106"/>
      <c r="X673" s="1106"/>
      <c r="Y673" s="1106"/>
      <c r="Z673" s="1106"/>
      <c r="AA673" s="1106"/>
      <c r="AB673" s="1106"/>
      <c r="AC673" s="1106"/>
      <c r="AD673" s="1106"/>
      <c r="AE673" s="1106"/>
      <c r="AF673" s="1106"/>
      <c r="AG673" s="1106"/>
      <c r="AH673" s="1106"/>
      <c r="AI673" s="1106"/>
      <c r="AJ673" s="1106"/>
      <c r="AK673" s="1106"/>
      <c r="AL673" s="1106"/>
      <c r="AM673" s="1106"/>
      <c r="AN673" s="1106"/>
      <c r="AO673" s="1106"/>
    </row>
    <row r="674">
      <c r="G674" s="1106"/>
      <c r="H674" s="1106"/>
      <c r="I674" s="1106"/>
      <c r="J674" s="1106"/>
      <c r="K674" s="1106"/>
      <c r="L674" s="1106"/>
      <c r="M674" s="1106"/>
      <c r="N674" s="1106"/>
      <c r="O674" s="1106"/>
      <c r="P674" s="1106"/>
      <c r="Q674" s="1106"/>
      <c r="R674" s="1106"/>
      <c r="S674" s="1106"/>
      <c r="T674" s="1106"/>
      <c r="U674" s="1106"/>
      <c r="V674" s="1106"/>
      <c r="W674" s="1106"/>
      <c r="X674" s="1106"/>
      <c r="Y674" s="1106"/>
      <c r="Z674" s="1106"/>
      <c r="AA674" s="1106"/>
      <c r="AB674" s="1106"/>
      <c r="AC674" s="1106"/>
      <c r="AD674" s="1106"/>
      <c r="AE674" s="1106"/>
      <c r="AF674" s="1106"/>
      <c r="AG674" s="1106"/>
      <c r="AH674" s="1106"/>
      <c r="AI674" s="1106"/>
      <c r="AJ674" s="1106"/>
      <c r="AK674" s="1106"/>
      <c r="AL674" s="1106"/>
      <c r="AM674" s="1106"/>
      <c r="AN674" s="1106"/>
      <c r="AO674" s="1106"/>
    </row>
    <row r="675">
      <c r="G675" s="1106"/>
      <c r="H675" s="1106"/>
      <c r="I675" s="1106"/>
      <c r="J675" s="1106"/>
      <c r="K675" s="1106"/>
      <c r="L675" s="1106"/>
      <c r="M675" s="1106"/>
      <c r="N675" s="1106"/>
      <c r="O675" s="1106"/>
      <c r="P675" s="1106"/>
      <c r="Q675" s="1106"/>
      <c r="R675" s="1106"/>
      <c r="S675" s="1106"/>
      <c r="T675" s="1106"/>
      <c r="U675" s="1106"/>
      <c r="V675" s="1106"/>
      <c r="W675" s="1106"/>
      <c r="X675" s="1106"/>
      <c r="Y675" s="1106"/>
      <c r="Z675" s="1106"/>
      <c r="AA675" s="1106"/>
      <c r="AB675" s="1106"/>
      <c r="AC675" s="1106"/>
      <c r="AD675" s="1106"/>
      <c r="AE675" s="1106"/>
      <c r="AF675" s="1106"/>
      <c r="AG675" s="1106"/>
      <c r="AH675" s="1106"/>
      <c r="AI675" s="1106"/>
      <c r="AJ675" s="1106"/>
      <c r="AK675" s="1106"/>
      <c r="AL675" s="1106"/>
      <c r="AM675" s="1106"/>
      <c r="AN675" s="1106"/>
      <c r="AO675" s="1106"/>
    </row>
    <row r="676">
      <c r="G676" s="1106"/>
      <c r="H676" s="1106"/>
      <c r="I676" s="1106"/>
      <c r="J676" s="1106"/>
      <c r="K676" s="1106"/>
      <c r="L676" s="1106"/>
      <c r="M676" s="1106"/>
      <c r="N676" s="1106"/>
      <c r="O676" s="1106"/>
      <c r="P676" s="1106"/>
      <c r="Q676" s="1106"/>
      <c r="R676" s="1106"/>
      <c r="S676" s="1106"/>
      <c r="T676" s="1106"/>
      <c r="U676" s="1106"/>
      <c r="V676" s="1106"/>
      <c r="W676" s="1106"/>
      <c r="X676" s="1106"/>
      <c r="Y676" s="1106"/>
      <c r="Z676" s="1106"/>
      <c r="AA676" s="1106"/>
      <c r="AB676" s="1106"/>
      <c r="AC676" s="1106"/>
      <c r="AD676" s="1106"/>
      <c r="AE676" s="1106"/>
      <c r="AF676" s="1106"/>
      <c r="AG676" s="1106"/>
      <c r="AH676" s="1106"/>
      <c r="AI676" s="1106"/>
      <c r="AJ676" s="1106"/>
      <c r="AK676" s="1106"/>
      <c r="AL676" s="1106"/>
      <c r="AM676" s="1106"/>
      <c r="AN676" s="1106"/>
      <c r="AO676" s="1106"/>
    </row>
    <row r="677">
      <c r="G677" s="1106"/>
      <c r="H677" s="1106"/>
      <c r="I677" s="1106"/>
      <c r="J677" s="1106"/>
      <c r="K677" s="1106"/>
      <c r="L677" s="1106"/>
      <c r="M677" s="1106"/>
      <c r="N677" s="1106"/>
      <c r="O677" s="1106"/>
      <c r="P677" s="1106"/>
      <c r="Q677" s="1106"/>
      <c r="R677" s="1106"/>
      <c r="S677" s="1106"/>
      <c r="T677" s="1106"/>
      <c r="U677" s="1106"/>
      <c r="V677" s="1106"/>
      <c r="W677" s="1106"/>
      <c r="X677" s="1106"/>
      <c r="Y677" s="1106"/>
      <c r="Z677" s="1106"/>
      <c r="AA677" s="1106"/>
      <c r="AB677" s="1106"/>
      <c r="AC677" s="1106"/>
      <c r="AD677" s="1106"/>
      <c r="AE677" s="1106"/>
      <c r="AF677" s="1106"/>
      <c r="AG677" s="1106"/>
      <c r="AH677" s="1106"/>
      <c r="AI677" s="1106"/>
      <c r="AJ677" s="1106"/>
      <c r="AK677" s="1106"/>
      <c r="AL677" s="1106"/>
      <c r="AM677" s="1106"/>
      <c r="AN677" s="1106"/>
      <c r="AO677" s="1106"/>
    </row>
    <row r="678">
      <c r="G678" s="1106"/>
      <c r="H678" s="1106"/>
      <c r="I678" s="1106"/>
      <c r="J678" s="1106"/>
      <c r="K678" s="1106"/>
      <c r="L678" s="1106"/>
      <c r="M678" s="1106"/>
      <c r="N678" s="1106"/>
      <c r="O678" s="1106"/>
      <c r="P678" s="1106"/>
      <c r="Q678" s="1106"/>
      <c r="R678" s="1106"/>
      <c r="S678" s="1106"/>
      <c r="T678" s="1106"/>
      <c r="U678" s="1106"/>
      <c r="V678" s="1106"/>
      <c r="W678" s="1106"/>
      <c r="X678" s="1106"/>
      <c r="Y678" s="1106"/>
      <c r="Z678" s="1106"/>
      <c r="AA678" s="1106"/>
      <c r="AB678" s="1106"/>
      <c r="AC678" s="1106"/>
      <c r="AD678" s="1106"/>
      <c r="AE678" s="1106"/>
      <c r="AF678" s="1106"/>
      <c r="AG678" s="1106"/>
      <c r="AH678" s="1106"/>
      <c r="AI678" s="1106"/>
      <c r="AJ678" s="1106"/>
      <c r="AK678" s="1106"/>
      <c r="AL678" s="1106"/>
      <c r="AM678" s="1106"/>
      <c r="AN678" s="1106"/>
      <c r="AO678" s="1106"/>
    </row>
    <row r="679">
      <c r="G679" s="1106"/>
      <c r="H679" s="1106"/>
      <c r="I679" s="1106"/>
      <c r="J679" s="1106"/>
      <c r="K679" s="1106"/>
      <c r="L679" s="1106"/>
      <c r="M679" s="1106"/>
      <c r="N679" s="1106"/>
      <c r="O679" s="1106"/>
      <c r="P679" s="1106"/>
      <c r="Q679" s="1106"/>
      <c r="R679" s="1106"/>
      <c r="S679" s="1106"/>
      <c r="T679" s="1106"/>
      <c r="U679" s="1106"/>
      <c r="V679" s="1106"/>
      <c r="W679" s="1106"/>
      <c r="X679" s="1106"/>
      <c r="Y679" s="1106"/>
      <c r="Z679" s="1106"/>
      <c r="AA679" s="1106"/>
      <c r="AB679" s="1106"/>
      <c r="AC679" s="1106"/>
      <c r="AD679" s="1106"/>
      <c r="AE679" s="1106"/>
      <c r="AF679" s="1106"/>
      <c r="AG679" s="1106"/>
      <c r="AH679" s="1106"/>
      <c r="AI679" s="1106"/>
      <c r="AJ679" s="1106"/>
      <c r="AK679" s="1106"/>
      <c r="AL679" s="1106"/>
      <c r="AM679" s="1106"/>
      <c r="AN679" s="1106"/>
      <c r="AO679" s="1106"/>
    </row>
    <row r="680">
      <c r="G680" s="1106"/>
      <c r="H680" s="1106"/>
      <c r="I680" s="1106"/>
      <c r="J680" s="1106"/>
      <c r="K680" s="1106"/>
      <c r="L680" s="1106"/>
      <c r="M680" s="1106"/>
      <c r="N680" s="1106"/>
      <c r="O680" s="1106"/>
      <c r="P680" s="1106"/>
      <c r="Q680" s="1106"/>
      <c r="R680" s="1106"/>
      <c r="S680" s="1106"/>
      <c r="T680" s="1106"/>
      <c r="U680" s="1106"/>
      <c r="V680" s="1106"/>
      <c r="W680" s="1106"/>
      <c r="X680" s="1106"/>
      <c r="Y680" s="1106"/>
      <c r="Z680" s="1106"/>
      <c r="AA680" s="1106"/>
      <c r="AB680" s="1106"/>
      <c r="AC680" s="1106"/>
      <c r="AD680" s="1106"/>
      <c r="AE680" s="1106"/>
      <c r="AF680" s="1106"/>
      <c r="AG680" s="1106"/>
      <c r="AH680" s="1106"/>
      <c r="AI680" s="1106"/>
      <c r="AJ680" s="1106"/>
      <c r="AK680" s="1106"/>
      <c r="AL680" s="1106"/>
      <c r="AM680" s="1106"/>
      <c r="AN680" s="1106"/>
      <c r="AO680" s="1106"/>
    </row>
    <row r="681">
      <c r="G681" s="1106"/>
      <c r="H681" s="1106"/>
      <c r="I681" s="1106"/>
      <c r="J681" s="1106"/>
      <c r="K681" s="1106"/>
      <c r="L681" s="1106"/>
      <c r="M681" s="1106"/>
      <c r="N681" s="1106"/>
      <c r="O681" s="1106"/>
      <c r="P681" s="1106"/>
      <c r="Q681" s="1106"/>
      <c r="R681" s="1106"/>
      <c r="S681" s="1106"/>
      <c r="T681" s="1106"/>
      <c r="U681" s="1106"/>
      <c r="V681" s="1106"/>
      <c r="W681" s="1106"/>
      <c r="X681" s="1106"/>
      <c r="Y681" s="1106"/>
      <c r="Z681" s="1106"/>
      <c r="AA681" s="1106"/>
      <c r="AB681" s="1106"/>
      <c r="AC681" s="1106"/>
      <c r="AD681" s="1106"/>
      <c r="AE681" s="1106"/>
      <c r="AF681" s="1106"/>
      <c r="AG681" s="1106"/>
      <c r="AH681" s="1106"/>
      <c r="AI681" s="1106"/>
      <c r="AJ681" s="1106"/>
      <c r="AK681" s="1106"/>
      <c r="AL681" s="1106"/>
      <c r="AM681" s="1106"/>
      <c r="AN681" s="1106"/>
      <c r="AO681" s="1106"/>
    </row>
    <row r="682">
      <c r="G682" s="1106"/>
      <c r="H682" s="1106"/>
      <c r="I682" s="1106"/>
      <c r="J682" s="1106"/>
      <c r="K682" s="1106"/>
      <c r="L682" s="1106"/>
      <c r="M682" s="1106"/>
      <c r="N682" s="1106"/>
      <c r="O682" s="1106"/>
      <c r="P682" s="1106"/>
      <c r="Q682" s="1106"/>
      <c r="R682" s="1106"/>
      <c r="S682" s="1106"/>
      <c r="T682" s="1106"/>
      <c r="U682" s="1106"/>
      <c r="V682" s="1106"/>
      <c r="W682" s="1106"/>
      <c r="X682" s="1106"/>
      <c r="Y682" s="1106"/>
      <c r="Z682" s="1106"/>
      <c r="AA682" s="1106"/>
      <c r="AB682" s="1106"/>
      <c r="AC682" s="1106"/>
      <c r="AD682" s="1106"/>
      <c r="AE682" s="1106"/>
      <c r="AF682" s="1106"/>
      <c r="AG682" s="1106"/>
      <c r="AH682" s="1106"/>
      <c r="AI682" s="1106"/>
      <c r="AJ682" s="1106"/>
      <c r="AK682" s="1106"/>
      <c r="AL682" s="1106"/>
      <c r="AM682" s="1106"/>
      <c r="AN682" s="1106"/>
      <c r="AO682" s="1106"/>
    </row>
    <row r="683">
      <c r="G683" s="1106"/>
      <c r="H683" s="1106"/>
      <c r="I683" s="1106"/>
      <c r="J683" s="1106"/>
      <c r="K683" s="1106"/>
      <c r="L683" s="1106"/>
      <c r="M683" s="1106"/>
      <c r="N683" s="1106"/>
      <c r="O683" s="1106"/>
      <c r="P683" s="1106"/>
      <c r="Q683" s="1106"/>
      <c r="R683" s="1106"/>
      <c r="S683" s="1106"/>
      <c r="T683" s="1106"/>
      <c r="U683" s="1106"/>
      <c r="V683" s="1106"/>
      <c r="W683" s="1106"/>
      <c r="X683" s="1106"/>
      <c r="Y683" s="1106"/>
      <c r="Z683" s="1106"/>
      <c r="AA683" s="1106"/>
      <c r="AB683" s="1106"/>
      <c r="AC683" s="1106"/>
      <c r="AD683" s="1106"/>
      <c r="AE683" s="1106"/>
      <c r="AF683" s="1106"/>
      <c r="AG683" s="1106"/>
      <c r="AH683" s="1106"/>
      <c r="AI683" s="1106"/>
      <c r="AJ683" s="1106"/>
      <c r="AK683" s="1106"/>
      <c r="AL683" s="1106"/>
      <c r="AM683" s="1106"/>
      <c r="AN683" s="1106"/>
      <c r="AO683" s="1106"/>
    </row>
    <row r="684">
      <c r="G684" s="1106"/>
      <c r="H684" s="1106"/>
      <c r="I684" s="1106"/>
      <c r="J684" s="1106"/>
      <c r="K684" s="1106"/>
      <c r="L684" s="1106"/>
      <c r="M684" s="1106"/>
      <c r="N684" s="1106"/>
      <c r="O684" s="1106"/>
      <c r="P684" s="1106"/>
      <c r="Q684" s="1106"/>
      <c r="R684" s="1106"/>
      <c r="S684" s="1106"/>
      <c r="T684" s="1106"/>
      <c r="U684" s="1106"/>
      <c r="V684" s="1106"/>
      <c r="W684" s="1106"/>
      <c r="X684" s="1106"/>
      <c r="Y684" s="1106"/>
      <c r="Z684" s="1106"/>
      <c r="AA684" s="1106"/>
      <c r="AB684" s="1106"/>
      <c r="AC684" s="1106"/>
      <c r="AD684" s="1106"/>
      <c r="AE684" s="1106"/>
      <c r="AF684" s="1106"/>
      <c r="AG684" s="1106"/>
      <c r="AH684" s="1106"/>
      <c r="AI684" s="1106"/>
      <c r="AJ684" s="1106"/>
      <c r="AK684" s="1106"/>
      <c r="AL684" s="1106"/>
      <c r="AM684" s="1106"/>
      <c r="AN684" s="1106"/>
      <c r="AO684" s="1106"/>
    </row>
    <row r="685">
      <c r="G685" s="1106"/>
      <c r="H685" s="1106"/>
      <c r="I685" s="1106"/>
      <c r="J685" s="1106"/>
      <c r="K685" s="1106"/>
      <c r="L685" s="1106"/>
      <c r="M685" s="1106"/>
      <c r="N685" s="1106"/>
      <c r="O685" s="1106"/>
      <c r="P685" s="1106"/>
      <c r="Q685" s="1106"/>
      <c r="R685" s="1106"/>
      <c r="S685" s="1106"/>
      <c r="T685" s="1106"/>
      <c r="U685" s="1106"/>
      <c r="V685" s="1106"/>
      <c r="W685" s="1106"/>
      <c r="X685" s="1106"/>
      <c r="Y685" s="1106"/>
      <c r="Z685" s="1106"/>
      <c r="AA685" s="1106"/>
      <c r="AB685" s="1106"/>
      <c r="AC685" s="1106"/>
      <c r="AD685" s="1106"/>
      <c r="AE685" s="1106"/>
      <c r="AF685" s="1106"/>
      <c r="AG685" s="1106"/>
      <c r="AH685" s="1106"/>
      <c r="AI685" s="1106"/>
      <c r="AJ685" s="1106"/>
      <c r="AK685" s="1106"/>
      <c r="AL685" s="1106"/>
      <c r="AM685" s="1106"/>
      <c r="AN685" s="1106"/>
      <c r="AO685" s="1106"/>
    </row>
    <row r="686">
      <c r="G686" s="1106"/>
      <c r="H686" s="1106"/>
      <c r="I686" s="1106"/>
      <c r="J686" s="1106"/>
      <c r="K686" s="1106"/>
      <c r="L686" s="1106"/>
      <c r="M686" s="1106"/>
      <c r="N686" s="1106"/>
      <c r="O686" s="1106"/>
      <c r="P686" s="1106"/>
      <c r="Q686" s="1106"/>
      <c r="R686" s="1106"/>
      <c r="S686" s="1106"/>
      <c r="T686" s="1106"/>
      <c r="U686" s="1106"/>
      <c r="V686" s="1106"/>
      <c r="W686" s="1106"/>
      <c r="X686" s="1106"/>
      <c r="Y686" s="1106"/>
      <c r="Z686" s="1106"/>
      <c r="AA686" s="1106"/>
      <c r="AB686" s="1106"/>
      <c r="AC686" s="1106"/>
      <c r="AD686" s="1106"/>
      <c r="AE686" s="1106"/>
      <c r="AF686" s="1106"/>
      <c r="AG686" s="1106"/>
      <c r="AH686" s="1106"/>
      <c r="AI686" s="1106"/>
      <c r="AJ686" s="1106"/>
      <c r="AK686" s="1106"/>
      <c r="AL686" s="1106"/>
      <c r="AM686" s="1106"/>
      <c r="AN686" s="1106"/>
      <c r="AO686" s="1106"/>
    </row>
    <row r="687">
      <c r="G687" s="1106"/>
      <c r="H687" s="1106"/>
      <c r="I687" s="1106"/>
      <c r="J687" s="1106"/>
      <c r="K687" s="1106"/>
      <c r="L687" s="1106"/>
      <c r="M687" s="1106"/>
      <c r="N687" s="1106"/>
      <c r="O687" s="1106"/>
      <c r="P687" s="1106"/>
      <c r="Q687" s="1106"/>
      <c r="R687" s="1106"/>
      <c r="S687" s="1106"/>
      <c r="T687" s="1106"/>
      <c r="U687" s="1106"/>
      <c r="V687" s="1106"/>
      <c r="W687" s="1106"/>
      <c r="X687" s="1106"/>
      <c r="Y687" s="1106"/>
      <c r="Z687" s="1106"/>
      <c r="AA687" s="1106"/>
      <c r="AB687" s="1106"/>
      <c r="AC687" s="1106"/>
      <c r="AD687" s="1106"/>
      <c r="AE687" s="1106"/>
      <c r="AF687" s="1106"/>
      <c r="AG687" s="1106"/>
      <c r="AH687" s="1106"/>
      <c r="AI687" s="1106"/>
      <c r="AJ687" s="1106"/>
      <c r="AK687" s="1106"/>
      <c r="AL687" s="1106"/>
      <c r="AM687" s="1106"/>
      <c r="AN687" s="1106"/>
      <c r="AO687" s="1106"/>
    </row>
    <row r="688">
      <c r="G688" s="1106"/>
      <c r="H688" s="1106"/>
      <c r="I688" s="1106"/>
      <c r="J688" s="1106"/>
      <c r="K688" s="1106"/>
      <c r="L688" s="1106"/>
      <c r="M688" s="1106"/>
      <c r="N688" s="1106"/>
      <c r="O688" s="1106"/>
      <c r="P688" s="1106"/>
      <c r="Q688" s="1106"/>
      <c r="R688" s="1106"/>
      <c r="S688" s="1106"/>
      <c r="T688" s="1106"/>
      <c r="U688" s="1106"/>
      <c r="V688" s="1106"/>
      <c r="W688" s="1106"/>
      <c r="X688" s="1106"/>
      <c r="Y688" s="1106"/>
      <c r="Z688" s="1106"/>
      <c r="AA688" s="1106"/>
      <c r="AB688" s="1106"/>
      <c r="AC688" s="1106"/>
      <c r="AD688" s="1106"/>
      <c r="AE688" s="1106"/>
      <c r="AF688" s="1106"/>
      <c r="AG688" s="1106"/>
      <c r="AH688" s="1106"/>
      <c r="AI688" s="1106"/>
      <c r="AJ688" s="1106"/>
      <c r="AK688" s="1106"/>
      <c r="AL688" s="1106"/>
      <c r="AM688" s="1106"/>
      <c r="AN688" s="1106"/>
      <c r="AO688" s="1106"/>
    </row>
    <row r="689">
      <c r="G689" s="1106"/>
      <c r="H689" s="1106"/>
      <c r="I689" s="1106"/>
      <c r="J689" s="1106"/>
      <c r="K689" s="1106"/>
      <c r="L689" s="1106"/>
      <c r="M689" s="1106"/>
      <c r="N689" s="1106"/>
      <c r="O689" s="1106"/>
      <c r="P689" s="1106"/>
      <c r="Q689" s="1106"/>
      <c r="R689" s="1106"/>
      <c r="S689" s="1106"/>
      <c r="T689" s="1106"/>
      <c r="U689" s="1106"/>
      <c r="V689" s="1106"/>
      <c r="W689" s="1106"/>
      <c r="X689" s="1106"/>
      <c r="Y689" s="1106"/>
      <c r="Z689" s="1106"/>
      <c r="AA689" s="1106"/>
      <c r="AB689" s="1106"/>
      <c r="AC689" s="1106"/>
      <c r="AD689" s="1106"/>
      <c r="AE689" s="1106"/>
      <c r="AF689" s="1106"/>
      <c r="AG689" s="1106"/>
      <c r="AH689" s="1106"/>
      <c r="AI689" s="1106"/>
      <c r="AJ689" s="1106"/>
      <c r="AK689" s="1106"/>
      <c r="AL689" s="1106"/>
      <c r="AM689" s="1106"/>
      <c r="AN689" s="1106"/>
      <c r="AO689" s="1106"/>
    </row>
    <row r="690">
      <c r="G690" s="1106"/>
      <c r="H690" s="1106"/>
      <c r="I690" s="1106"/>
      <c r="J690" s="1106"/>
      <c r="K690" s="1106"/>
      <c r="L690" s="1106"/>
      <c r="M690" s="1106"/>
      <c r="N690" s="1106"/>
      <c r="O690" s="1106"/>
      <c r="P690" s="1106"/>
      <c r="Q690" s="1106"/>
      <c r="R690" s="1106"/>
      <c r="S690" s="1106"/>
      <c r="T690" s="1106"/>
      <c r="U690" s="1106"/>
      <c r="V690" s="1106"/>
      <c r="W690" s="1106"/>
      <c r="X690" s="1106"/>
      <c r="Y690" s="1106"/>
      <c r="Z690" s="1106"/>
      <c r="AA690" s="1106"/>
      <c r="AB690" s="1106"/>
      <c r="AC690" s="1106"/>
      <c r="AD690" s="1106"/>
      <c r="AE690" s="1106"/>
      <c r="AF690" s="1106"/>
      <c r="AG690" s="1106"/>
      <c r="AH690" s="1106"/>
      <c r="AI690" s="1106"/>
      <c r="AJ690" s="1106"/>
      <c r="AK690" s="1106"/>
      <c r="AL690" s="1106"/>
      <c r="AM690" s="1106"/>
      <c r="AN690" s="1106"/>
      <c r="AO690" s="1106"/>
    </row>
    <row r="691">
      <c r="G691" s="1106"/>
      <c r="H691" s="1106"/>
      <c r="I691" s="1106"/>
      <c r="J691" s="1106"/>
      <c r="K691" s="1106"/>
      <c r="L691" s="1106"/>
      <c r="M691" s="1106"/>
      <c r="N691" s="1106"/>
      <c r="O691" s="1106"/>
      <c r="P691" s="1106"/>
      <c r="Q691" s="1106"/>
      <c r="R691" s="1106"/>
      <c r="S691" s="1106"/>
      <c r="T691" s="1106"/>
      <c r="U691" s="1106"/>
      <c r="V691" s="1106"/>
      <c r="W691" s="1106"/>
      <c r="X691" s="1106"/>
      <c r="Y691" s="1106"/>
      <c r="Z691" s="1106"/>
      <c r="AA691" s="1106"/>
      <c r="AB691" s="1106"/>
      <c r="AC691" s="1106"/>
      <c r="AD691" s="1106"/>
      <c r="AE691" s="1106"/>
      <c r="AF691" s="1106"/>
      <c r="AG691" s="1106"/>
      <c r="AH691" s="1106"/>
      <c r="AI691" s="1106"/>
      <c r="AJ691" s="1106"/>
      <c r="AK691" s="1106"/>
      <c r="AL691" s="1106"/>
      <c r="AM691" s="1106"/>
      <c r="AN691" s="1106"/>
      <c r="AO691" s="1106"/>
    </row>
    <row r="692">
      <c r="G692" s="1106"/>
      <c r="H692" s="1106"/>
      <c r="I692" s="1106"/>
      <c r="J692" s="1106"/>
      <c r="K692" s="1106"/>
      <c r="L692" s="1106"/>
      <c r="M692" s="1106"/>
      <c r="N692" s="1106"/>
      <c r="O692" s="1106"/>
      <c r="P692" s="1106"/>
      <c r="Q692" s="1106"/>
      <c r="R692" s="1106"/>
      <c r="S692" s="1106"/>
      <c r="T692" s="1106"/>
      <c r="U692" s="1106"/>
      <c r="V692" s="1106"/>
      <c r="W692" s="1106"/>
      <c r="X692" s="1106"/>
      <c r="Y692" s="1106"/>
      <c r="Z692" s="1106"/>
      <c r="AA692" s="1106"/>
      <c r="AB692" s="1106"/>
      <c r="AC692" s="1106"/>
      <c r="AD692" s="1106"/>
      <c r="AE692" s="1106"/>
      <c r="AF692" s="1106"/>
      <c r="AG692" s="1106"/>
      <c r="AH692" s="1106"/>
      <c r="AI692" s="1106"/>
      <c r="AJ692" s="1106"/>
      <c r="AK692" s="1106"/>
      <c r="AL692" s="1106"/>
      <c r="AM692" s="1106"/>
      <c r="AN692" s="1106"/>
      <c r="AO692" s="1106"/>
    </row>
    <row r="693">
      <c r="G693" s="1106"/>
      <c r="H693" s="1106"/>
      <c r="I693" s="1106"/>
      <c r="J693" s="1106"/>
      <c r="K693" s="1106"/>
      <c r="L693" s="1106"/>
      <c r="M693" s="1106"/>
      <c r="N693" s="1106"/>
      <c r="O693" s="1106"/>
      <c r="P693" s="1106"/>
      <c r="Q693" s="1106"/>
      <c r="R693" s="1106"/>
      <c r="S693" s="1106"/>
      <c r="T693" s="1106"/>
      <c r="U693" s="1106"/>
      <c r="V693" s="1106"/>
      <c r="W693" s="1106"/>
      <c r="X693" s="1106"/>
      <c r="Y693" s="1106"/>
      <c r="Z693" s="1106"/>
      <c r="AA693" s="1106"/>
      <c r="AB693" s="1106"/>
      <c r="AC693" s="1106"/>
      <c r="AD693" s="1106"/>
      <c r="AE693" s="1106"/>
      <c r="AF693" s="1106"/>
      <c r="AG693" s="1106"/>
      <c r="AH693" s="1106"/>
      <c r="AI693" s="1106"/>
      <c r="AJ693" s="1106"/>
      <c r="AK693" s="1106"/>
      <c r="AL693" s="1106"/>
      <c r="AM693" s="1106"/>
      <c r="AN693" s="1106"/>
      <c r="AO693" s="1106"/>
    </row>
    <row r="694">
      <c r="G694" s="1106"/>
      <c r="H694" s="1106"/>
      <c r="I694" s="1106"/>
      <c r="J694" s="1106"/>
      <c r="K694" s="1106"/>
      <c r="L694" s="1106"/>
      <c r="M694" s="1106"/>
      <c r="N694" s="1106"/>
      <c r="O694" s="1106"/>
      <c r="P694" s="1106"/>
      <c r="Q694" s="1106"/>
      <c r="R694" s="1106"/>
      <c r="S694" s="1106"/>
      <c r="T694" s="1106"/>
      <c r="U694" s="1106"/>
      <c r="V694" s="1106"/>
      <c r="W694" s="1106"/>
      <c r="X694" s="1106"/>
      <c r="Y694" s="1106"/>
      <c r="Z694" s="1106"/>
      <c r="AA694" s="1106"/>
      <c r="AB694" s="1106"/>
      <c r="AC694" s="1106"/>
      <c r="AD694" s="1106"/>
      <c r="AE694" s="1106"/>
      <c r="AF694" s="1106"/>
      <c r="AG694" s="1106"/>
      <c r="AH694" s="1106"/>
      <c r="AI694" s="1106"/>
      <c r="AJ694" s="1106"/>
      <c r="AK694" s="1106"/>
      <c r="AL694" s="1106"/>
      <c r="AM694" s="1106"/>
      <c r="AN694" s="1106"/>
      <c r="AO694" s="1106"/>
    </row>
    <row r="695">
      <c r="G695" s="1106"/>
      <c r="H695" s="1106"/>
      <c r="I695" s="1106"/>
      <c r="J695" s="1106"/>
      <c r="K695" s="1106"/>
      <c r="L695" s="1106"/>
      <c r="M695" s="1106"/>
      <c r="N695" s="1106"/>
      <c r="O695" s="1106"/>
      <c r="P695" s="1106"/>
      <c r="Q695" s="1106"/>
      <c r="R695" s="1106"/>
      <c r="S695" s="1106"/>
      <c r="T695" s="1106"/>
      <c r="U695" s="1106"/>
      <c r="V695" s="1106"/>
      <c r="W695" s="1106"/>
      <c r="X695" s="1106"/>
      <c r="Y695" s="1106"/>
      <c r="Z695" s="1106"/>
      <c r="AA695" s="1106"/>
      <c r="AB695" s="1106"/>
      <c r="AC695" s="1106"/>
      <c r="AD695" s="1106"/>
      <c r="AE695" s="1106"/>
      <c r="AF695" s="1106"/>
      <c r="AG695" s="1106"/>
      <c r="AH695" s="1106"/>
      <c r="AI695" s="1106"/>
      <c r="AJ695" s="1106"/>
      <c r="AK695" s="1106"/>
      <c r="AL695" s="1106"/>
      <c r="AM695" s="1106"/>
      <c r="AN695" s="1106"/>
      <c r="AO695" s="1106"/>
    </row>
    <row r="696">
      <c r="G696" s="1106"/>
      <c r="H696" s="1106"/>
      <c r="I696" s="1106"/>
      <c r="J696" s="1106"/>
      <c r="K696" s="1106"/>
      <c r="L696" s="1106"/>
      <c r="M696" s="1106"/>
      <c r="N696" s="1106"/>
      <c r="O696" s="1106"/>
      <c r="P696" s="1106"/>
      <c r="Q696" s="1106"/>
      <c r="R696" s="1106"/>
      <c r="S696" s="1106"/>
      <c r="T696" s="1106"/>
      <c r="U696" s="1106"/>
      <c r="V696" s="1106"/>
      <c r="W696" s="1106"/>
      <c r="X696" s="1106"/>
      <c r="Y696" s="1106"/>
      <c r="Z696" s="1106"/>
      <c r="AA696" s="1106"/>
      <c r="AB696" s="1106"/>
      <c r="AC696" s="1106"/>
      <c r="AD696" s="1106"/>
      <c r="AE696" s="1106"/>
      <c r="AF696" s="1106"/>
      <c r="AG696" s="1106"/>
      <c r="AH696" s="1106"/>
      <c r="AI696" s="1106"/>
      <c r="AJ696" s="1106"/>
      <c r="AK696" s="1106"/>
      <c r="AL696" s="1106"/>
      <c r="AM696" s="1106"/>
      <c r="AN696" s="1106"/>
      <c r="AO696" s="1106"/>
    </row>
    <row r="697">
      <c r="G697" s="1106"/>
      <c r="H697" s="1106"/>
      <c r="I697" s="1106"/>
      <c r="J697" s="1106"/>
      <c r="K697" s="1106"/>
      <c r="L697" s="1106"/>
      <c r="M697" s="1106"/>
      <c r="N697" s="1106"/>
      <c r="O697" s="1106"/>
      <c r="P697" s="1106"/>
      <c r="Q697" s="1106"/>
      <c r="R697" s="1106"/>
      <c r="S697" s="1106"/>
      <c r="T697" s="1106"/>
      <c r="U697" s="1106"/>
      <c r="V697" s="1106"/>
      <c r="W697" s="1106"/>
      <c r="X697" s="1106"/>
      <c r="Y697" s="1106"/>
      <c r="Z697" s="1106"/>
      <c r="AA697" s="1106"/>
      <c r="AB697" s="1106"/>
      <c r="AC697" s="1106"/>
      <c r="AD697" s="1106"/>
      <c r="AE697" s="1106"/>
      <c r="AF697" s="1106"/>
      <c r="AG697" s="1106"/>
      <c r="AH697" s="1106"/>
      <c r="AI697" s="1106"/>
      <c r="AJ697" s="1106"/>
      <c r="AK697" s="1106"/>
      <c r="AL697" s="1106"/>
      <c r="AM697" s="1106"/>
      <c r="AN697" s="1106"/>
      <c r="AO697" s="1106"/>
    </row>
    <row r="698">
      <c r="G698" s="1106"/>
      <c r="H698" s="1106"/>
      <c r="I698" s="1106"/>
      <c r="J698" s="1106"/>
      <c r="K698" s="1106"/>
      <c r="L698" s="1106"/>
      <c r="M698" s="1106"/>
      <c r="N698" s="1106"/>
      <c r="O698" s="1106"/>
      <c r="P698" s="1106"/>
      <c r="Q698" s="1106"/>
      <c r="R698" s="1106"/>
      <c r="S698" s="1106"/>
      <c r="T698" s="1106"/>
      <c r="U698" s="1106"/>
      <c r="V698" s="1106"/>
      <c r="W698" s="1106"/>
      <c r="X698" s="1106"/>
      <c r="Y698" s="1106"/>
      <c r="Z698" s="1106"/>
      <c r="AA698" s="1106"/>
      <c r="AB698" s="1106"/>
      <c r="AC698" s="1106"/>
      <c r="AD698" s="1106"/>
      <c r="AE698" s="1106"/>
      <c r="AF698" s="1106"/>
      <c r="AG698" s="1106"/>
      <c r="AH698" s="1106"/>
      <c r="AI698" s="1106"/>
      <c r="AJ698" s="1106"/>
      <c r="AK698" s="1106"/>
      <c r="AL698" s="1106"/>
      <c r="AM698" s="1106"/>
      <c r="AN698" s="1106"/>
      <c r="AO698" s="1106"/>
    </row>
    <row r="699">
      <c r="G699" s="1106"/>
      <c r="H699" s="1106"/>
      <c r="I699" s="1106"/>
      <c r="J699" s="1106"/>
      <c r="K699" s="1106"/>
      <c r="L699" s="1106"/>
      <c r="M699" s="1106"/>
      <c r="N699" s="1106"/>
      <c r="O699" s="1106"/>
      <c r="P699" s="1106"/>
      <c r="Q699" s="1106"/>
      <c r="R699" s="1106"/>
      <c r="S699" s="1106"/>
      <c r="T699" s="1106"/>
      <c r="U699" s="1106"/>
      <c r="V699" s="1106"/>
      <c r="W699" s="1106"/>
      <c r="X699" s="1106"/>
      <c r="Y699" s="1106"/>
      <c r="Z699" s="1106"/>
      <c r="AA699" s="1106"/>
      <c r="AB699" s="1106"/>
      <c r="AC699" s="1106"/>
      <c r="AD699" s="1106"/>
      <c r="AE699" s="1106"/>
      <c r="AF699" s="1106"/>
      <c r="AG699" s="1106"/>
      <c r="AH699" s="1106"/>
      <c r="AI699" s="1106"/>
      <c r="AJ699" s="1106"/>
      <c r="AK699" s="1106"/>
      <c r="AL699" s="1106"/>
      <c r="AM699" s="1106"/>
      <c r="AN699" s="1106"/>
      <c r="AO699" s="1106"/>
    </row>
    <row r="700">
      <c r="G700" s="1106"/>
      <c r="H700" s="1106"/>
      <c r="I700" s="1106"/>
      <c r="J700" s="1106"/>
      <c r="K700" s="1106"/>
      <c r="L700" s="1106"/>
      <c r="M700" s="1106"/>
      <c r="N700" s="1106"/>
      <c r="O700" s="1106"/>
      <c r="P700" s="1106"/>
      <c r="Q700" s="1106"/>
      <c r="R700" s="1106"/>
      <c r="S700" s="1106"/>
      <c r="T700" s="1106"/>
      <c r="U700" s="1106"/>
      <c r="V700" s="1106"/>
      <c r="W700" s="1106"/>
      <c r="X700" s="1106"/>
      <c r="Y700" s="1106"/>
      <c r="Z700" s="1106"/>
      <c r="AA700" s="1106"/>
      <c r="AB700" s="1106"/>
      <c r="AC700" s="1106"/>
      <c r="AD700" s="1106"/>
      <c r="AE700" s="1106"/>
      <c r="AF700" s="1106"/>
      <c r="AG700" s="1106"/>
      <c r="AH700" s="1106"/>
      <c r="AI700" s="1106"/>
      <c r="AJ700" s="1106"/>
      <c r="AK700" s="1106"/>
      <c r="AL700" s="1106"/>
      <c r="AM700" s="1106"/>
      <c r="AN700" s="1106"/>
      <c r="AO700" s="1106"/>
    </row>
    <row r="701">
      <c r="G701" s="1106"/>
      <c r="H701" s="1106"/>
      <c r="I701" s="1106"/>
      <c r="J701" s="1106"/>
      <c r="K701" s="1106"/>
      <c r="L701" s="1106"/>
      <c r="M701" s="1106"/>
      <c r="N701" s="1106"/>
      <c r="O701" s="1106"/>
      <c r="P701" s="1106"/>
      <c r="Q701" s="1106"/>
      <c r="R701" s="1106"/>
      <c r="S701" s="1106"/>
      <c r="T701" s="1106"/>
      <c r="U701" s="1106"/>
      <c r="V701" s="1106"/>
      <c r="W701" s="1106"/>
      <c r="X701" s="1106"/>
      <c r="Y701" s="1106"/>
      <c r="Z701" s="1106"/>
      <c r="AA701" s="1106"/>
      <c r="AB701" s="1106"/>
      <c r="AC701" s="1106"/>
      <c r="AD701" s="1106"/>
      <c r="AE701" s="1106"/>
      <c r="AF701" s="1106"/>
      <c r="AG701" s="1106"/>
      <c r="AH701" s="1106"/>
      <c r="AI701" s="1106"/>
      <c r="AJ701" s="1106"/>
      <c r="AK701" s="1106"/>
      <c r="AL701" s="1106"/>
      <c r="AM701" s="1106"/>
      <c r="AN701" s="1106"/>
      <c r="AO701" s="1106"/>
    </row>
    <row r="702">
      <c r="G702" s="1106"/>
      <c r="H702" s="1106"/>
      <c r="I702" s="1106"/>
      <c r="J702" s="1106"/>
      <c r="K702" s="1106"/>
      <c r="L702" s="1106"/>
      <c r="M702" s="1106"/>
      <c r="N702" s="1106"/>
      <c r="O702" s="1106"/>
      <c r="P702" s="1106"/>
      <c r="Q702" s="1106"/>
      <c r="R702" s="1106"/>
      <c r="S702" s="1106"/>
      <c r="T702" s="1106"/>
      <c r="U702" s="1106"/>
      <c r="V702" s="1106"/>
      <c r="W702" s="1106"/>
      <c r="X702" s="1106"/>
      <c r="Y702" s="1106"/>
      <c r="Z702" s="1106"/>
      <c r="AA702" s="1106"/>
      <c r="AB702" s="1106"/>
      <c r="AC702" s="1106"/>
      <c r="AD702" s="1106"/>
      <c r="AE702" s="1106"/>
      <c r="AF702" s="1106"/>
      <c r="AG702" s="1106"/>
      <c r="AH702" s="1106"/>
      <c r="AI702" s="1106"/>
      <c r="AJ702" s="1106"/>
      <c r="AK702" s="1106"/>
      <c r="AL702" s="1106"/>
      <c r="AM702" s="1106"/>
      <c r="AN702" s="1106"/>
      <c r="AO702" s="1106"/>
    </row>
    <row r="703">
      <c r="G703" s="1106"/>
      <c r="H703" s="1106"/>
      <c r="I703" s="1106"/>
      <c r="J703" s="1106"/>
      <c r="K703" s="1106"/>
      <c r="L703" s="1106"/>
      <c r="M703" s="1106"/>
      <c r="N703" s="1106"/>
      <c r="O703" s="1106"/>
      <c r="P703" s="1106"/>
      <c r="Q703" s="1106"/>
      <c r="R703" s="1106"/>
      <c r="S703" s="1106"/>
      <c r="T703" s="1106"/>
      <c r="U703" s="1106"/>
      <c r="V703" s="1106"/>
      <c r="W703" s="1106"/>
      <c r="X703" s="1106"/>
      <c r="Y703" s="1106"/>
      <c r="Z703" s="1106"/>
      <c r="AA703" s="1106"/>
      <c r="AB703" s="1106"/>
      <c r="AC703" s="1106"/>
      <c r="AD703" s="1106"/>
      <c r="AE703" s="1106"/>
      <c r="AF703" s="1106"/>
      <c r="AG703" s="1106"/>
      <c r="AH703" s="1106"/>
      <c r="AI703" s="1106"/>
      <c r="AJ703" s="1106"/>
      <c r="AK703" s="1106"/>
      <c r="AL703" s="1106"/>
      <c r="AM703" s="1106"/>
      <c r="AN703" s="1106"/>
      <c r="AO703" s="1106"/>
    </row>
    <row r="704">
      <c r="G704" s="1106"/>
      <c r="H704" s="1106"/>
      <c r="I704" s="1106"/>
      <c r="J704" s="1106"/>
      <c r="K704" s="1106"/>
      <c r="L704" s="1106"/>
      <c r="M704" s="1106"/>
      <c r="N704" s="1106"/>
      <c r="O704" s="1106"/>
      <c r="P704" s="1106"/>
      <c r="Q704" s="1106"/>
      <c r="R704" s="1106"/>
      <c r="S704" s="1106"/>
      <c r="T704" s="1106"/>
      <c r="U704" s="1106"/>
      <c r="V704" s="1106"/>
      <c r="W704" s="1106"/>
      <c r="X704" s="1106"/>
      <c r="Y704" s="1106"/>
      <c r="Z704" s="1106"/>
      <c r="AA704" s="1106"/>
      <c r="AB704" s="1106"/>
      <c r="AC704" s="1106"/>
      <c r="AD704" s="1106"/>
      <c r="AE704" s="1106"/>
      <c r="AF704" s="1106"/>
      <c r="AG704" s="1106"/>
      <c r="AH704" s="1106"/>
      <c r="AI704" s="1106"/>
      <c r="AJ704" s="1106"/>
      <c r="AK704" s="1106"/>
      <c r="AL704" s="1106"/>
      <c r="AM704" s="1106"/>
      <c r="AN704" s="1106"/>
      <c r="AO704" s="1106"/>
    </row>
    <row r="705">
      <c r="G705" s="1106"/>
      <c r="H705" s="1106"/>
      <c r="I705" s="1106"/>
      <c r="J705" s="1106"/>
      <c r="K705" s="1106"/>
      <c r="L705" s="1106"/>
      <c r="M705" s="1106"/>
      <c r="N705" s="1106"/>
      <c r="O705" s="1106"/>
      <c r="P705" s="1106"/>
      <c r="Q705" s="1106"/>
      <c r="R705" s="1106"/>
      <c r="S705" s="1106"/>
      <c r="T705" s="1106"/>
      <c r="U705" s="1106"/>
      <c r="V705" s="1106"/>
      <c r="W705" s="1106"/>
      <c r="X705" s="1106"/>
      <c r="Y705" s="1106"/>
      <c r="Z705" s="1106"/>
      <c r="AA705" s="1106"/>
      <c r="AB705" s="1106"/>
      <c r="AC705" s="1106"/>
      <c r="AD705" s="1106"/>
      <c r="AE705" s="1106"/>
      <c r="AF705" s="1106"/>
      <c r="AG705" s="1106"/>
      <c r="AH705" s="1106"/>
      <c r="AI705" s="1106"/>
      <c r="AJ705" s="1106"/>
      <c r="AK705" s="1106"/>
      <c r="AL705" s="1106"/>
      <c r="AM705" s="1106"/>
      <c r="AN705" s="1106"/>
      <c r="AO705" s="1106"/>
    </row>
    <row r="706">
      <c r="G706" s="1106"/>
      <c r="H706" s="1106"/>
      <c r="I706" s="1106"/>
      <c r="J706" s="1106"/>
      <c r="K706" s="1106"/>
      <c r="L706" s="1106"/>
      <c r="M706" s="1106"/>
      <c r="N706" s="1106"/>
      <c r="O706" s="1106"/>
      <c r="P706" s="1106"/>
      <c r="Q706" s="1106"/>
      <c r="R706" s="1106"/>
      <c r="S706" s="1106"/>
      <c r="T706" s="1106"/>
      <c r="U706" s="1106"/>
      <c r="V706" s="1106"/>
      <c r="W706" s="1106"/>
      <c r="X706" s="1106"/>
      <c r="Y706" s="1106"/>
      <c r="Z706" s="1106"/>
      <c r="AA706" s="1106"/>
      <c r="AB706" s="1106"/>
      <c r="AC706" s="1106"/>
      <c r="AD706" s="1106"/>
      <c r="AE706" s="1106"/>
      <c r="AF706" s="1106"/>
      <c r="AG706" s="1106"/>
      <c r="AH706" s="1106"/>
      <c r="AI706" s="1106"/>
      <c r="AJ706" s="1106"/>
      <c r="AK706" s="1106"/>
      <c r="AL706" s="1106"/>
      <c r="AM706" s="1106"/>
      <c r="AN706" s="1106"/>
      <c r="AO706" s="1106"/>
    </row>
    <row r="707">
      <c r="G707" s="1106"/>
      <c r="H707" s="1106"/>
      <c r="I707" s="1106"/>
      <c r="J707" s="1106"/>
      <c r="K707" s="1106"/>
      <c r="L707" s="1106"/>
      <c r="M707" s="1106"/>
      <c r="N707" s="1106"/>
      <c r="O707" s="1106"/>
      <c r="P707" s="1106"/>
      <c r="Q707" s="1106"/>
      <c r="R707" s="1106"/>
      <c r="S707" s="1106"/>
      <c r="T707" s="1106"/>
      <c r="U707" s="1106"/>
      <c r="V707" s="1106"/>
      <c r="W707" s="1106"/>
      <c r="X707" s="1106"/>
      <c r="Y707" s="1106"/>
      <c r="Z707" s="1106"/>
      <c r="AA707" s="1106"/>
      <c r="AB707" s="1106"/>
      <c r="AC707" s="1106"/>
      <c r="AD707" s="1106"/>
      <c r="AE707" s="1106"/>
      <c r="AF707" s="1106"/>
      <c r="AG707" s="1106"/>
      <c r="AH707" s="1106"/>
      <c r="AI707" s="1106"/>
      <c r="AJ707" s="1106"/>
      <c r="AK707" s="1106"/>
      <c r="AL707" s="1106"/>
      <c r="AM707" s="1106"/>
      <c r="AN707" s="1106"/>
      <c r="AO707" s="1106"/>
    </row>
    <row r="708">
      <c r="G708" s="1106"/>
      <c r="H708" s="1106"/>
      <c r="I708" s="1106"/>
      <c r="J708" s="1106"/>
      <c r="K708" s="1106"/>
      <c r="L708" s="1106"/>
      <c r="M708" s="1106"/>
      <c r="N708" s="1106"/>
      <c r="O708" s="1106"/>
      <c r="P708" s="1106"/>
      <c r="Q708" s="1106"/>
      <c r="R708" s="1106"/>
      <c r="S708" s="1106"/>
      <c r="T708" s="1106"/>
      <c r="U708" s="1106"/>
      <c r="V708" s="1106"/>
      <c r="W708" s="1106"/>
      <c r="X708" s="1106"/>
      <c r="Y708" s="1106"/>
      <c r="Z708" s="1106"/>
      <c r="AA708" s="1106"/>
      <c r="AB708" s="1106"/>
      <c r="AC708" s="1106"/>
      <c r="AD708" s="1106"/>
      <c r="AE708" s="1106"/>
      <c r="AF708" s="1106"/>
      <c r="AG708" s="1106"/>
      <c r="AH708" s="1106"/>
      <c r="AI708" s="1106"/>
      <c r="AJ708" s="1106"/>
      <c r="AK708" s="1106"/>
      <c r="AL708" s="1106"/>
      <c r="AM708" s="1106"/>
      <c r="AN708" s="1106"/>
      <c r="AO708" s="1106"/>
    </row>
    <row r="709">
      <c r="G709" s="1106"/>
      <c r="H709" s="1106"/>
      <c r="I709" s="1106"/>
      <c r="J709" s="1106"/>
      <c r="K709" s="1106"/>
      <c r="L709" s="1106"/>
      <c r="M709" s="1106"/>
      <c r="N709" s="1106"/>
      <c r="O709" s="1106"/>
      <c r="P709" s="1106"/>
      <c r="Q709" s="1106"/>
      <c r="R709" s="1106"/>
      <c r="S709" s="1106"/>
      <c r="T709" s="1106"/>
      <c r="U709" s="1106"/>
      <c r="V709" s="1106"/>
      <c r="W709" s="1106"/>
      <c r="X709" s="1106"/>
      <c r="Y709" s="1106"/>
      <c r="Z709" s="1106"/>
      <c r="AA709" s="1106"/>
      <c r="AB709" s="1106"/>
      <c r="AC709" s="1106"/>
      <c r="AD709" s="1106"/>
      <c r="AE709" s="1106"/>
      <c r="AF709" s="1106"/>
      <c r="AG709" s="1106"/>
      <c r="AH709" s="1106"/>
      <c r="AI709" s="1106"/>
      <c r="AJ709" s="1106"/>
      <c r="AK709" s="1106"/>
      <c r="AL709" s="1106"/>
      <c r="AM709" s="1106"/>
      <c r="AN709" s="1106"/>
      <c r="AO709" s="1106"/>
    </row>
    <row r="710">
      <c r="G710" s="1106"/>
      <c r="H710" s="1106"/>
      <c r="I710" s="1106"/>
      <c r="J710" s="1106"/>
      <c r="K710" s="1106"/>
      <c r="L710" s="1106"/>
      <c r="M710" s="1106"/>
      <c r="N710" s="1106"/>
      <c r="O710" s="1106"/>
      <c r="P710" s="1106"/>
      <c r="Q710" s="1106"/>
      <c r="R710" s="1106"/>
      <c r="S710" s="1106"/>
      <c r="T710" s="1106"/>
      <c r="U710" s="1106"/>
      <c r="V710" s="1106"/>
      <c r="W710" s="1106"/>
      <c r="X710" s="1106"/>
      <c r="Y710" s="1106"/>
      <c r="Z710" s="1106"/>
      <c r="AA710" s="1106"/>
      <c r="AB710" s="1106"/>
      <c r="AC710" s="1106"/>
      <c r="AD710" s="1106"/>
      <c r="AE710" s="1106"/>
      <c r="AF710" s="1106"/>
      <c r="AG710" s="1106"/>
      <c r="AH710" s="1106"/>
      <c r="AI710" s="1106"/>
      <c r="AJ710" s="1106"/>
      <c r="AK710" s="1106"/>
      <c r="AL710" s="1106"/>
      <c r="AM710" s="1106"/>
      <c r="AN710" s="1106"/>
      <c r="AO710" s="1106"/>
    </row>
    <row r="711">
      <c r="G711" s="1106"/>
      <c r="H711" s="1106"/>
      <c r="I711" s="1106"/>
      <c r="J711" s="1106"/>
      <c r="K711" s="1106"/>
      <c r="L711" s="1106"/>
      <c r="M711" s="1106"/>
      <c r="N711" s="1106"/>
      <c r="O711" s="1106"/>
      <c r="P711" s="1106"/>
      <c r="Q711" s="1106"/>
      <c r="R711" s="1106"/>
      <c r="S711" s="1106"/>
      <c r="T711" s="1106"/>
      <c r="U711" s="1106"/>
      <c r="V711" s="1106"/>
      <c r="W711" s="1106"/>
      <c r="X711" s="1106"/>
      <c r="Y711" s="1106"/>
      <c r="Z711" s="1106"/>
      <c r="AA711" s="1106"/>
      <c r="AB711" s="1106"/>
      <c r="AC711" s="1106"/>
      <c r="AD711" s="1106"/>
      <c r="AE711" s="1106"/>
      <c r="AF711" s="1106"/>
      <c r="AG711" s="1106"/>
      <c r="AH711" s="1106"/>
      <c r="AI711" s="1106"/>
      <c r="AJ711" s="1106"/>
      <c r="AK711" s="1106"/>
      <c r="AL711" s="1106"/>
      <c r="AM711" s="1106"/>
      <c r="AN711" s="1106"/>
      <c r="AO711" s="1106"/>
    </row>
    <row r="712">
      <c r="G712" s="1106"/>
      <c r="H712" s="1106"/>
      <c r="I712" s="1106"/>
      <c r="J712" s="1106"/>
      <c r="K712" s="1106"/>
      <c r="L712" s="1106"/>
      <c r="M712" s="1106"/>
      <c r="N712" s="1106"/>
      <c r="O712" s="1106"/>
      <c r="P712" s="1106"/>
      <c r="Q712" s="1106"/>
      <c r="R712" s="1106"/>
      <c r="S712" s="1106"/>
      <c r="T712" s="1106"/>
      <c r="U712" s="1106"/>
      <c r="V712" s="1106"/>
      <c r="W712" s="1106"/>
      <c r="X712" s="1106"/>
      <c r="Y712" s="1106"/>
      <c r="Z712" s="1106"/>
      <c r="AA712" s="1106"/>
      <c r="AB712" s="1106"/>
      <c r="AC712" s="1106"/>
      <c r="AD712" s="1106"/>
      <c r="AE712" s="1106"/>
      <c r="AF712" s="1106"/>
      <c r="AG712" s="1106"/>
      <c r="AH712" s="1106"/>
      <c r="AI712" s="1106"/>
      <c r="AJ712" s="1106"/>
      <c r="AK712" s="1106"/>
      <c r="AL712" s="1106"/>
      <c r="AM712" s="1106"/>
      <c r="AN712" s="1106"/>
      <c r="AO712" s="1106"/>
    </row>
    <row r="713">
      <c r="G713" s="1106"/>
      <c r="H713" s="1106"/>
      <c r="I713" s="1106"/>
      <c r="J713" s="1106"/>
      <c r="K713" s="1106"/>
      <c r="L713" s="1106"/>
      <c r="M713" s="1106"/>
      <c r="N713" s="1106"/>
      <c r="O713" s="1106"/>
      <c r="P713" s="1106"/>
      <c r="Q713" s="1106"/>
      <c r="R713" s="1106"/>
      <c r="S713" s="1106"/>
      <c r="T713" s="1106"/>
      <c r="U713" s="1106"/>
      <c r="V713" s="1106"/>
      <c r="W713" s="1106"/>
      <c r="X713" s="1106"/>
      <c r="Y713" s="1106"/>
      <c r="Z713" s="1106"/>
      <c r="AA713" s="1106"/>
      <c r="AB713" s="1106"/>
      <c r="AC713" s="1106"/>
      <c r="AD713" s="1106"/>
      <c r="AE713" s="1106"/>
      <c r="AF713" s="1106"/>
      <c r="AG713" s="1106"/>
      <c r="AH713" s="1106"/>
      <c r="AI713" s="1106"/>
      <c r="AJ713" s="1106"/>
      <c r="AK713" s="1106"/>
      <c r="AL713" s="1106"/>
      <c r="AM713" s="1106"/>
      <c r="AN713" s="1106"/>
      <c r="AO713" s="1106"/>
    </row>
    <row r="714">
      <c r="G714" s="1106"/>
      <c r="H714" s="1106"/>
      <c r="I714" s="1106"/>
      <c r="J714" s="1106"/>
      <c r="K714" s="1106"/>
      <c r="L714" s="1106"/>
      <c r="M714" s="1106"/>
      <c r="N714" s="1106"/>
      <c r="O714" s="1106"/>
      <c r="P714" s="1106"/>
      <c r="Q714" s="1106"/>
      <c r="R714" s="1106"/>
      <c r="S714" s="1106"/>
      <c r="T714" s="1106"/>
      <c r="U714" s="1106"/>
      <c r="V714" s="1106"/>
      <c r="W714" s="1106"/>
      <c r="X714" s="1106"/>
      <c r="Y714" s="1106"/>
      <c r="Z714" s="1106"/>
      <c r="AA714" s="1106"/>
      <c r="AB714" s="1106"/>
      <c r="AC714" s="1106"/>
      <c r="AD714" s="1106"/>
      <c r="AE714" s="1106"/>
      <c r="AF714" s="1106"/>
      <c r="AG714" s="1106"/>
      <c r="AH714" s="1106"/>
      <c r="AI714" s="1106"/>
      <c r="AJ714" s="1106"/>
      <c r="AK714" s="1106"/>
      <c r="AL714" s="1106"/>
      <c r="AM714" s="1106"/>
      <c r="AN714" s="1106"/>
      <c r="AO714" s="1106"/>
    </row>
    <row r="715">
      <c r="G715" s="1106"/>
      <c r="H715" s="1106"/>
      <c r="I715" s="1106"/>
      <c r="J715" s="1106"/>
      <c r="K715" s="1106"/>
      <c r="L715" s="1106"/>
      <c r="M715" s="1106"/>
      <c r="N715" s="1106"/>
      <c r="O715" s="1106"/>
      <c r="P715" s="1106"/>
      <c r="Q715" s="1106"/>
      <c r="R715" s="1106"/>
      <c r="S715" s="1106"/>
      <c r="T715" s="1106"/>
      <c r="U715" s="1106"/>
      <c r="V715" s="1106"/>
      <c r="W715" s="1106"/>
      <c r="X715" s="1106"/>
      <c r="Y715" s="1106"/>
      <c r="Z715" s="1106"/>
      <c r="AA715" s="1106"/>
      <c r="AB715" s="1106"/>
      <c r="AC715" s="1106"/>
      <c r="AD715" s="1106"/>
      <c r="AE715" s="1106"/>
      <c r="AF715" s="1106"/>
      <c r="AG715" s="1106"/>
      <c r="AH715" s="1106"/>
      <c r="AI715" s="1106"/>
      <c r="AJ715" s="1106"/>
      <c r="AK715" s="1106"/>
      <c r="AL715" s="1106"/>
      <c r="AM715" s="1106"/>
      <c r="AN715" s="1106"/>
      <c r="AO715" s="1106"/>
    </row>
    <row r="716">
      <c r="G716" s="1106"/>
      <c r="H716" s="1106"/>
      <c r="I716" s="1106"/>
      <c r="J716" s="1106"/>
      <c r="K716" s="1106"/>
      <c r="L716" s="1106"/>
      <c r="M716" s="1106"/>
      <c r="N716" s="1106"/>
      <c r="O716" s="1106"/>
      <c r="P716" s="1106"/>
      <c r="Q716" s="1106"/>
      <c r="R716" s="1106"/>
      <c r="S716" s="1106"/>
      <c r="T716" s="1106"/>
      <c r="U716" s="1106"/>
      <c r="V716" s="1106"/>
      <c r="W716" s="1106"/>
      <c r="X716" s="1106"/>
      <c r="Y716" s="1106"/>
      <c r="Z716" s="1106"/>
      <c r="AA716" s="1106"/>
      <c r="AB716" s="1106"/>
      <c r="AC716" s="1106"/>
      <c r="AD716" s="1106"/>
      <c r="AE716" s="1106"/>
      <c r="AF716" s="1106"/>
      <c r="AG716" s="1106"/>
      <c r="AH716" s="1106"/>
      <c r="AI716" s="1106"/>
      <c r="AJ716" s="1106"/>
      <c r="AK716" s="1106"/>
      <c r="AL716" s="1106"/>
      <c r="AM716" s="1106"/>
      <c r="AN716" s="1106"/>
      <c r="AO716" s="1106"/>
    </row>
    <row r="717">
      <c r="G717" s="1106"/>
      <c r="H717" s="1106"/>
      <c r="I717" s="1106"/>
      <c r="J717" s="1106"/>
      <c r="K717" s="1106"/>
      <c r="L717" s="1106"/>
      <c r="M717" s="1106"/>
      <c r="N717" s="1106"/>
      <c r="O717" s="1106"/>
      <c r="P717" s="1106"/>
      <c r="Q717" s="1106"/>
      <c r="R717" s="1106"/>
      <c r="S717" s="1106"/>
      <c r="T717" s="1106"/>
      <c r="U717" s="1106"/>
      <c r="V717" s="1106"/>
      <c r="W717" s="1106"/>
      <c r="X717" s="1106"/>
      <c r="Y717" s="1106"/>
      <c r="Z717" s="1106"/>
      <c r="AA717" s="1106"/>
      <c r="AB717" s="1106"/>
      <c r="AC717" s="1106"/>
      <c r="AD717" s="1106"/>
      <c r="AE717" s="1106"/>
      <c r="AF717" s="1106"/>
      <c r="AG717" s="1106"/>
      <c r="AH717" s="1106"/>
      <c r="AI717" s="1106"/>
      <c r="AJ717" s="1106"/>
      <c r="AK717" s="1106"/>
      <c r="AL717" s="1106"/>
      <c r="AM717" s="1106"/>
      <c r="AN717" s="1106"/>
      <c r="AO717" s="1106"/>
    </row>
    <row r="718">
      <c r="G718" s="1106"/>
      <c r="H718" s="1106"/>
      <c r="I718" s="1106"/>
      <c r="J718" s="1106"/>
      <c r="K718" s="1106"/>
      <c r="L718" s="1106"/>
      <c r="M718" s="1106"/>
      <c r="N718" s="1106"/>
      <c r="O718" s="1106"/>
      <c r="P718" s="1106"/>
      <c r="Q718" s="1106"/>
      <c r="R718" s="1106"/>
      <c r="S718" s="1106"/>
      <c r="T718" s="1106"/>
      <c r="U718" s="1106"/>
      <c r="V718" s="1106"/>
      <c r="W718" s="1106"/>
      <c r="X718" s="1106"/>
      <c r="Y718" s="1106"/>
      <c r="Z718" s="1106"/>
      <c r="AA718" s="1106"/>
      <c r="AB718" s="1106"/>
      <c r="AC718" s="1106"/>
      <c r="AD718" s="1106"/>
      <c r="AE718" s="1106"/>
      <c r="AF718" s="1106"/>
      <c r="AG718" s="1106"/>
      <c r="AH718" s="1106"/>
      <c r="AI718" s="1106"/>
      <c r="AJ718" s="1106"/>
      <c r="AK718" s="1106"/>
      <c r="AL718" s="1106"/>
      <c r="AM718" s="1106"/>
      <c r="AN718" s="1106"/>
      <c r="AO718" s="1106"/>
    </row>
    <row r="719">
      <c r="G719" s="1106"/>
      <c r="H719" s="1106"/>
      <c r="I719" s="1106"/>
      <c r="J719" s="1106"/>
      <c r="K719" s="1106"/>
      <c r="L719" s="1106"/>
      <c r="M719" s="1106"/>
      <c r="N719" s="1106"/>
      <c r="O719" s="1106"/>
      <c r="P719" s="1106"/>
      <c r="Q719" s="1106"/>
      <c r="R719" s="1106"/>
      <c r="S719" s="1106"/>
      <c r="T719" s="1106"/>
      <c r="U719" s="1106"/>
      <c r="V719" s="1106"/>
      <c r="W719" s="1106"/>
      <c r="X719" s="1106"/>
      <c r="Y719" s="1106"/>
      <c r="Z719" s="1106"/>
      <c r="AA719" s="1106"/>
      <c r="AB719" s="1106"/>
      <c r="AC719" s="1106"/>
      <c r="AD719" s="1106"/>
      <c r="AE719" s="1106"/>
      <c r="AF719" s="1106"/>
      <c r="AG719" s="1106"/>
      <c r="AH719" s="1106"/>
      <c r="AI719" s="1106"/>
      <c r="AJ719" s="1106"/>
      <c r="AK719" s="1106"/>
      <c r="AL719" s="1106"/>
      <c r="AM719" s="1106"/>
      <c r="AN719" s="1106"/>
      <c r="AO719" s="1106"/>
    </row>
    <row r="720">
      <c r="G720" s="1106"/>
      <c r="H720" s="1106"/>
      <c r="I720" s="1106"/>
      <c r="J720" s="1106"/>
      <c r="K720" s="1106"/>
      <c r="L720" s="1106"/>
      <c r="M720" s="1106"/>
      <c r="N720" s="1106"/>
      <c r="O720" s="1106"/>
      <c r="P720" s="1106"/>
      <c r="Q720" s="1106"/>
      <c r="R720" s="1106"/>
      <c r="S720" s="1106"/>
      <c r="T720" s="1106"/>
      <c r="U720" s="1106"/>
      <c r="V720" s="1106"/>
      <c r="W720" s="1106"/>
      <c r="X720" s="1106"/>
      <c r="Y720" s="1106"/>
      <c r="Z720" s="1106"/>
      <c r="AA720" s="1106"/>
      <c r="AB720" s="1106"/>
      <c r="AC720" s="1106"/>
      <c r="AD720" s="1106"/>
      <c r="AE720" s="1106"/>
      <c r="AF720" s="1106"/>
      <c r="AG720" s="1106"/>
      <c r="AH720" s="1106"/>
      <c r="AI720" s="1106"/>
      <c r="AJ720" s="1106"/>
      <c r="AK720" s="1106"/>
      <c r="AL720" s="1106"/>
      <c r="AM720" s="1106"/>
      <c r="AN720" s="1106"/>
      <c r="AO720" s="1106"/>
    </row>
    <row r="721">
      <c r="G721" s="1106"/>
      <c r="H721" s="1106"/>
      <c r="I721" s="1106"/>
      <c r="J721" s="1106"/>
      <c r="K721" s="1106"/>
      <c r="L721" s="1106"/>
      <c r="M721" s="1106"/>
      <c r="N721" s="1106"/>
      <c r="O721" s="1106"/>
      <c r="P721" s="1106"/>
      <c r="Q721" s="1106"/>
      <c r="R721" s="1106"/>
      <c r="S721" s="1106"/>
      <c r="T721" s="1106"/>
      <c r="U721" s="1106"/>
      <c r="V721" s="1106"/>
      <c r="W721" s="1106"/>
      <c r="X721" s="1106"/>
      <c r="Y721" s="1106"/>
      <c r="Z721" s="1106"/>
      <c r="AA721" s="1106"/>
      <c r="AB721" s="1106"/>
      <c r="AC721" s="1106"/>
      <c r="AD721" s="1106"/>
      <c r="AE721" s="1106"/>
      <c r="AF721" s="1106"/>
      <c r="AG721" s="1106"/>
      <c r="AH721" s="1106"/>
      <c r="AI721" s="1106"/>
      <c r="AJ721" s="1106"/>
      <c r="AK721" s="1106"/>
      <c r="AL721" s="1106"/>
      <c r="AM721" s="1106"/>
      <c r="AN721" s="1106"/>
      <c r="AO721" s="1106"/>
    </row>
    <row r="722">
      <c r="G722" s="1106"/>
      <c r="H722" s="1106"/>
      <c r="I722" s="1106"/>
      <c r="J722" s="1106"/>
      <c r="K722" s="1106"/>
      <c r="L722" s="1106"/>
      <c r="M722" s="1106"/>
      <c r="N722" s="1106"/>
      <c r="O722" s="1106"/>
      <c r="P722" s="1106"/>
      <c r="Q722" s="1106"/>
      <c r="R722" s="1106"/>
      <c r="S722" s="1106"/>
      <c r="T722" s="1106"/>
      <c r="U722" s="1106"/>
      <c r="V722" s="1106"/>
      <c r="W722" s="1106"/>
      <c r="X722" s="1106"/>
      <c r="Y722" s="1106"/>
      <c r="Z722" s="1106"/>
      <c r="AA722" s="1106"/>
      <c r="AB722" s="1106"/>
      <c r="AC722" s="1106"/>
      <c r="AD722" s="1106"/>
      <c r="AE722" s="1106"/>
      <c r="AF722" s="1106"/>
      <c r="AG722" s="1106"/>
      <c r="AH722" s="1106"/>
      <c r="AI722" s="1106"/>
      <c r="AJ722" s="1106"/>
      <c r="AK722" s="1106"/>
      <c r="AL722" s="1106"/>
      <c r="AM722" s="1106"/>
      <c r="AN722" s="1106"/>
      <c r="AO722" s="1106"/>
    </row>
    <row r="723">
      <c r="G723" s="1106"/>
      <c r="H723" s="1106"/>
      <c r="I723" s="1106"/>
      <c r="J723" s="1106"/>
      <c r="K723" s="1106"/>
      <c r="L723" s="1106"/>
      <c r="M723" s="1106"/>
      <c r="N723" s="1106"/>
      <c r="O723" s="1106"/>
      <c r="P723" s="1106"/>
      <c r="Q723" s="1106"/>
      <c r="R723" s="1106"/>
      <c r="S723" s="1106"/>
      <c r="T723" s="1106"/>
      <c r="U723" s="1106"/>
      <c r="V723" s="1106"/>
      <c r="W723" s="1106"/>
      <c r="X723" s="1106"/>
      <c r="Y723" s="1106"/>
      <c r="Z723" s="1106"/>
      <c r="AA723" s="1106"/>
      <c r="AB723" s="1106"/>
      <c r="AC723" s="1106"/>
      <c r="AD723" s="1106"/>
      <c r="AE723" s="1106"/>
      <c r="AF723" s="1106"/>
      <c r="AG723" s="1106"/>
      <c r="AH723" s="1106"/>
      <c r="AI723" s="1106"/>
      <c r="AJ723" s="1106"/>
      <c r="AK723" s="1106"/>
      <c r="AL723" s="1106"/>
      <c r="AM723" s="1106"/>
      <c r="AN723" s="1106"/>
      <c r="AO723" s="1106"/>
    </row>
    <row r="724">
      <c r="G724" s="1106"/>
      <c r="H724" s="1106"/>
      <c r="I724" s="1106"/>
      <c r="J724" s="1106"/>
      <c r="K724" s="1106"/>
      <c r="L724" s="1106"/>
      <c r="M724" s="1106"/>
      <c r="N724" s="1106"/>
      <c r="O724" s="1106"/>
      <c r="P724" s="1106"/>
      <c r="Q724" s="1106"/>
      <c r="R724" s="1106"/>
      <c r="S724" s="1106"/>
      <c r="T724" s="1106"/>
      <c r="U724" s="1106"/>
      <c r="V724" s="1106"/>
      <c r="W724" s="1106"/>
      <c r="X724" s="1106"/>
      <c r="Y724" s="1106"/>
      <c r="Z724" s="1106"/>
      <c r="AA724" s="1106"/>
      <c r="AB724" s="1106"/>
      <c r="AC724" s="1106"/>
      <c r="AD724" s="1106"/>
      <c r="AE724" s="1106"/>
      <c r="AF724" s="1106"/>
      <c r="AG724" s="1106"/>
      <c r="AH724" s="1106"/>
      <c r="AI724" s="1106"/>
      <c r="AJ724" s="1106"/>
      <c r="AK724" s="1106"/>
      <c r="AL724" s="1106"/>
      <c r="AM724" s="1106"/>
      <c r="AN724" s="1106"/>
      <c r="AO724" s="1106"/>
    </row>
    <row r="725">
      <c r="G725" s="1106"/>
      <c r="H725" s="1106"/>
      <c r="I725" s="1106"/>
      <c r="J725" s="1106"/>
      <c r="K725" s="1106"/>
      <c r="L725" s="1106"/>
      <c r="M725" s="1106"/>
      <c r="N725" s="1106"/>
      <c r="O725" s="1106"/>
      <c r="P725" s="1106"/>
      <c r="Q725" s="1106"/>
      <c r="R725" s="1106"/>
      <c r="S725" s="1106"/>
      <c r="T725" s="1106"/>
      <c r="U725" s="1106"/>
      <c r="V725" s="1106"/>
      <c r="W725" s="1106"/>
      <c r="X725" s="1106"/>
      <c r="Y725" s="1106"/>
      <c r="Z725" s="1106"/>
      <c r="AA725" s="1106"/>
      <c r="AB725" s="1106"/>
      <c r="AC725" s="1106"/>
      <c r="AD725" s="1106"/>
      <c r="AE725" s="1106"/>
      <c r="AF725" s="1106"/>
      <c r="AG725" s="1106"/>
      <c r="AH725" s="1106"/>
      <c r="AI725" s="1106"/>
      <c r="AJ725" s="1106"/>
      <c r="AK725" s="1106"/>
      <c r="AL725" s="1106"/>
      <c r="AM725" s="1106"/>
      <c r="AN725" s="1106"/>
      <c r="AO725" s="1106"/>
    </row>
    <row r="726">
      <c r="G726" s="1106"/>
      <c r="H726" s="1106"/>
      <c r="I726" s="1106"/>
      <c r="J726" s="1106"/>
      <c r="K726" s="1106"/>
      <c r="L726" s="1106"/>
      <c r="M726" s="1106"/>
      <c r="N726" s="1106"/>
      <c r="O726" s="1106"/>
      <c r="P726" s="1106"/>
      <c r="Q726" s="1106"/>
      <c r="R726" s="1106"/>
      <c r="S726" s="1106"/>
      <c r="T726" s="1106"/>
      <c r="U726" s="1106"/>
      <c r="V726" s="1106"/>
      <c r="W726" s="1106"/>
      <c r="X726" s="1106"/>
      <c r="Y726" s="1106"/>
      <c r="Z726" s="1106"/>
      <c r="AA726" s="1106"/>
      <c r="AB726" s="1106"/>
      <c r="AC726" s="1106"/>
      <c r="AD726" s="1106"/>
      <c r="AE726" s="1106"/>
      <c r="AF726" s="1106"/>
      <c r="AG726" s="1106"/>
      <c r="AH726" s="1106"/>
      <c r="AI726" s="1106"/>
      <c r="AJ726" s="1106"/>
      <c r="AK726" s="1106"/>
      <c r="AL726" s="1106"/>
      <c r="AM726" s="1106"/>
      <c r="AN726" s="1106"/>
      <c r="AO726" s="1106"/>
    </row>
    <row r="727">
      <c r="G727" s="1106"/>
      <c r="H727" s="1106"/>
      <c r="I727" s="1106"/>
      <c r="J727" s="1106"/>
      <c r="K727" s="1106"/>
      <c r="L727" s="1106"/>
      <c r="M727" s="1106"/>
      <c r="N727" s="1106"/>
      <c r="O727" s="1106"/>
      <c r="P727" s="1106"/>
      <c r="Q727" s="1106"/>
      <c r="R727" s="1106"/>
      <c r="S727" s="1106"/>
      <c r="T727" s="1106"/>
      <c r="U727" s="1106"/>
      <c r="V727" s="1106"/>
      <c r="W727" s="1106"/>
      <c r="X727" s="1106"/>
      <c r="Y727" s="1106"/>
      <c r="Z727" s="1106"/>
      <c r="AA727" s="1106"/>
      <c r="AB727" s="1106"/>
      <c r="AC727" s="1106"/>
      <c r="AD727" s="1106"/>
      <c r="AE727" s="1106"/>
      <c r="AF727" s="1106"/>
      <c r="AG727" s="1106"/>
      <c r="AH727" s="1106"/>
      <c r="AI727" s="1106"/>
      <c r="AJ727" s="1106"/>
      <c r="AK727" s="1106"/>
      <c r="AL727" s="1106"/>
      <c r="AM727" s="1106"/>
      <c r="AN727" s="1106"/>
      <c r="AO727" s="1106"/>
    </row>
    <row r="728">
      <c r="G728" s="1106"/>
      <c r="H728" s="1106"/>
      <c r="I728" s="1106"/>
      <c r="J728" s="1106"/>
      <c r="K728" s="1106"/>
      <c r="L728" s="1106"/>
      <c r="M728" s="1106"/>
      <c r="N728" s="1106"/>
      <c r="O728" s="1106"/>
      <c r="P728" s="1106"/>
      <c r="Q728" s="1106"/>
      <c r="R728" s="1106"/>
      <c r="S728" s="1106"/>
      <c r="T728" s="1106"/>
      <c r="U728" s="1106"/>
      <c r="V728" s="1106"/>
      <c r="W728" s="1106"/>
      <c r="X728" s="1106"/>
      <c r="Y728" s="1106"/>
      <c r="Z728" s="1106"/>
      <c r="AA728" s="1106"/>
      <c r="AB728" s="1106"/>
      <c r="AC728" s="1106"/>
      <c r="AD728" s="1106"/>
      <c r="AE728" s="1106"/>
      <c r="AF728" s="1106"/>
      <c r="AG728" s="1106"/>
      <c r="AH728" s="1106"/>
      <c r="AI728" s="1106"/>
      <c r="AJ728" s="1106"/>
      <c r="AK728" s="1106"/>
      <c r="AL728" s="1106"/>
      <c r="AM728" s="1106"/>
      <c r="AN728" s="1106"/>
      <c r="AO728" s="1106"/>
    </row>
    <row r="729">
      <c r="G729" s="1106"/>
      <c r="H729" s="1106"/>
      <c r="I729" s="1106"/>
      <c r="J729" s="1106"/>
      <c r="K729" s="1106"/>
      <c r="L729" s="1106"/>
      <c r="M729" s="1106"/>
      <c r="N729" s="1106"/>
      <c r="O729" s="1106"/>
      <c r="P729" s="1106"/>
      <c r="Q729" s="1106"/>
      <c r="R729" s="1106"/>
      <c r="S729" s="1106"/>
      <c r="T729" s="1106"/>
      <c r="U729" s="1106"/>
      <c r="V729" s="1106"/>
      <c r="W729" s="1106"/>
      <c r="X729" s="1106"/>
      <c r="Y729" s="1106"/>
      <c r="Z729" s="1106"/>
      <c r="AA729" s="1106"/>
      <c r="AB729" s="1106"/>
      <c r="AC729" s="1106"/>
      <c r="AD729" s="1106"/>
      <c r="AE729" s="1106"/>
      <c r="AF729" s="1106"/>
      <c r="AG729" s="1106"/>
      <c r="AH729" s="1106"/>
      <c r="AI729" s="1106"/>
      <c r="AJ729" s="1106"/>
      <c r="AK729" s="1106"/>
      <c r="AL729" s="1106"/>
      <c r="AM729" s="1106"/>
      <c r="AN729" s="1106"/>
      <c r="AO729" s="1106"/>
    </row>
    <row r="730">
      <c r="G730" s="1106"/>
      <c r="H730" s="1106"/>
      <c r="I730" s="1106"/>
      <c r="J730" s="1106"/>
      <c r="K730" s="1106"/>
      <c r="L730" s="1106"/>
      <c r="M730" s="1106"/>
      <c r="N730" s="1106"/>
      <c r="O730" s="1106"/>
      <c r="P730" s="1106"/>
      <c r="Q730" s="1106"/>
      <c r="R730" s="1106"/>
      <c r="S730" s="1106"/>
      <c r="T730" s="1106"/>
      <c r="U730" s="1106"/>
      <c r="V730" s="1106"/>
      <c r="W730" s="1106"/>
      <c r="X730" s="1106"/>
      <c r="Y730" s="1106"/>
      <c r="Z730" s="1106"/>
      <c r="AA730" s="1106"/>
      <c r="AB730" s="1106"/>
      <c r="AC730" s="1106"/>
      <c r="AD730" s="1106"/>
      <c r="AE730" s="1106"/>
      <c r="AF730" s="1106"/>
      <c r="AG730" s="1106"/>
      <c r="AH730" s="1106"/>
      <c r="AI730" s="1106"/>
      <c r="AJ730" s="1106"/>
      <c r="AK730" s="1106"/>
      <c r="AL730" s="1106"/>
      <c r="AM730" s="1106"/>
      <c r="AN730" s="1106"/>
      <c r="AO730" s="1106"/>
    </row>
    <row r="731">
      <c r="G731" s="1106"/>
      <c r="H731" s="1106"/>
      <c r="I731" s="1106"/>
      <c r="J731" s="1106"/>
      <c r="K731" s="1106"/>
      <c r="L731" s="1106"/>
      <c r="M731" s="1106"/>
      <c r="N731" s="1106"/>
      <c r="O731" s="1106"/>
      <c r="P731" s="1106"/>
      <c r="Q731" s="1106"/>
      <c r="R731" s="1106"/>
      <c r="S731" s="1106"/>
      <c r="T731" s="1106"/>
      <c r="U731" s="1106"/>
      <c r="V731" s="1106"/>
      <c r="W731" s="1106"/>
      <c r="X731" s="1106"/>
      <c r="Y731" s="1106"/>
      <c r="Z731" s="1106"/>
      <c r="AA731" s="1106"/>
      <c r="AB731" s="1106"/>
      <c r="AC731" s="1106"/>
      <c r="AD731" s="1106"/>
      <c r="AE731" s="1106"/>
      <c r="AF731" s="1106"/>
      <c r="AG731" s="1106"/>
      <c r="AH731" s="1106"/>
      <c r="AI731" s="1106"/>
      <c r="AJ731" s="1106"/>
      <c r="AK731" s="1106"/>
      <c r="AL731" s="1106"/>
      <c r="AM731" s="1106"/>
      <c r="AN731" s="1106"/>
      <c r="AO731" s="1106"/>
    </row>
    <row r="732">
      <c r="G732" s="1106"/>
      <c r="H732" s="1106"/>
      <c r="I732" s="1106"/>
      <c r="J732" s="1106"/>
      <c r="K732" s="1106"/>
      <c r="L732" s="1106"/>
      <c r="M732" s="1106"/>
      <c r="N732" s="1106"/>
      <c r="O732" s="1106"/>
      <c r="P732" s="1106"/>
      <c r="Q732" s="1106"/>
      <c r="R732" s="1106"/>
      <c r="S732" s="1106"/>
      <c r="T732" s="1106"/>
      <c r="U732" s="1106"/>
      <c r="V732" s="1106"/>
      <c r="W732" s="1106"/>
      <c r="X732" s="1106"/>
      <c r="Y732" s="1106"/>
      <c r="Z732" s="1106"/>
      <c r="AA732" s="1106"/>
      <c r="AB732" s="1106"/>
      <c r="AC732" s="1106"/>
      <c r="AD732" s="1106"/>
      <c r="AE732" s="1106"/>
      <c r="AF732" s="1106"/>
      <c r="AG732" s="1106"/>
      <c r="AH732" s="1106"/>
      <c r="AI732" s="1106"/>
      <c r="AJ732" s="1106"/>
      <c r="AK732" s="1106"/>
      <c r="AL732" s="1106"/>
      <c r="AM732" s="1106"/>
      <c r="AN732" s="1106"/>
      <c r="AO732" s="1106"/>
    </row>
    <row r="733">
      <c r="G733" s="1106"/>
      <c r="H733" s="1106"/>
      <c r="I733" s="1106"/>
      <c r="J733" s="1106"/>
      <c r="K733" s="1106"/>
      <c r="L733" s="1106"/>
      <c r="M733" s="1106"/>
      <c r="N733" s="1106"/>
      <c r="O733" s="1106"/>
      <c r="P733" s="1106"/>
      <c r="Q733" s="1106"/>
      <c r="R733" s="1106"/>
      <c r="S733" s="1106"/>
      <c r="T733" s="1106"/>
      <c r="U733" s="1106"/>
      <c r="V733" s="1106"/>
      <c r="W733" s="1106"/>
      <c r="X733" s="1106"/>
      <c r="Y733" s="1106"/>
      <c r="Z733" s="1106"/>
      <c r="AA733" s="1106"/>
      <c r="AB733" s="1106"/>
      <c r="AC733" s="1106"/>
      <c r="AD733" s="1106"/>
      <c r="AE733" s="1106"/>
      <c r="AF733" s="1106"/>
      <c r="AG733" s="1106"/>
      <c r="AH733" s="1106"/>
      <c r="AI733" s="1106"/>
      <c r="AJ733" s="1106"/>
      <c r="AK733" s="1106"/>
      <c r="AL733" s="1106"/>
      <c r="AM733" s="1106"/>
      <c r="AN733" s="1106"/>
      <c r="AO733" s="1106"/>
    </row>
    <row r="734">
      <c r="G734" s="1106"/>
      <c r="H734" s="1106"/>
      <c r="I734" s="1106"/>
      <c r="J734" s="1106"/>
      <c r="K734" s="1106"/>
      <c r="L734" s="1106"/>
      <c r="M734" s="1106"/>
      <c r="N734" s="1106"/>
      <c r="O734" s="1106"/>
      <c r="P734" s="1106"/>
      <c r="Q734" s="1106"/>
      <c r="R734" s="1106"/>
      <c r="S734" s="1106"/>
      <c r="T734" s="1106"/>
      <c r="U734" s="1106"/>
      <c r="V734" s="1106"/>
      <c r="W734" s="1106"/>
      <c r="X734" s="1106"/>
      <c r="Y734" s="1106"/>
      <c r="Z734" s="1106"/>
      <c r="AA734" s="1106"/>
      <c r="AB734" s="1106"/>
      <c r="AC734" s="1106"/>
      <c r="AD734" s="1106"/>
      <c r="AE734" s="1106"/>
      <c r="AF734" s="1106"/>
      <c r="AG734" s="1106"/>
      <c r="AH734" s="1106"/>
      <c r="AI734" s="1106"/>
      <c r="AJ734" s="1106"/>
      <c r="AK734" s="1106"/>
      <c r="AL734" s="1106"/>
      <c r="AM734" s="1106"/>
      <c r="AN734" s="1106"/>
      <c r="AO734" s="1106"/>
    </row>
    <row r="735">
      <c r="G735" s="1106"/>
      <c r="H735" s="1106"/>
      <c r="I735" s="1106"/>
      <c r="J735" s="1106"/>
      <c r="K735" s="1106"/>
      <c r="L735" s="1106"/>
      <c r="M735" s="1106"/>
      <c r="N735" s="1106"/>
      <c r="O735" s="1106"/>
      <c r="P735" s="1106"/>
      <c r="Q735" s="1106"/>
      <c r="R735" s="1106"/>
      <c r="S735" s="1106"/>
      <c r="T735" s="1106"/>
      <c r="U735" s="1106"/>
      <c r="V735" s="1106"/>
      <c r="W735" s="1106"/>
      <c r="X735" s="1106"/>
      <c r="Y735" s="1106"/>
      <c r="Z735" s="1106"/>
      <c r="AA735" s="1106"/>
      <c r="AB735" s="1106"/>
      <c r="AC735" s="1106"/>
      <c r="AD735" s="1106"/>
      <c r="AE735" s="1106"/>
      <c r="AF735" s="1106"/>
      <c r="AG735" s="1106"/>
      <c r="AH735" s="1106"/>
      <c r="AI735" s="1106"/>
      <c r="AJ735" s="1106"/>
      <c r="AK735" s="1106"/>
      <c r="AL735" s="1106"/>
      <c r="AM735" s="1106"/>
      <c r="AN735" s="1106"/>
      <c r="AO735" s="1106"/>
    </row>
    <row r="736">
      <c r="G736" s="1106"/>
      <c r="H736" s="1106"/>
      <c r="I736" s="1106"/>
      <c r="J736" s="1106"/>
      <c r="K736" s="1106"/>
      <c r="L736" s="1106"/>
      <c r="M736" s="1106"/>
      <c r="N736" s="1106"/>
      <c r="O736" s="1106"/>
      <c r="P736" s="1106"/>
      <c r="Q736" s="1106"/>
      <c r="R736" s="1106"/>
      <c r="S736" s="1106"/>
      <c r="T736" s="1106"/>
      <c r="U736" s="1106"/>
      <c r="V736" s="1106"/>
      <c r="W736" s="1106"/>
      <c r="X736" s="1106"/>
      <c r="Y736" s="1106"/>
      <c r="Z736" s="1106"/>
      <c r="AA736" s="1106"/>
      <c r="AB736" s="1106"/>
      <c r="AC736" s="1106"/>
      <c r="AD736" s="1106"/>
      <c r="AE736" s="1106"/>
      <c r="AF736" s="1106"/>
      <c r="AG736" s="1106"/>
      <c r="AH736" s="1106"/>
      <c r="AI736" s="1106"/>
      <c r="AJ736" s="1106"/>
      <c r="AK736" s="1106"/>
      <c r="AL736" s="1106"/>
      <c r="AM736" s="1106"/>
      <c r="AN736" s="1106"/>
      <c r="AO736" s="1106"/>
    </row>
    <row r="737">
      <c r="G737" s="1106"/>
      <c r="H737" s="1106"/>
      <c r="I737" s="1106"/>
      <c r="J737" s="1106"/>
      <c r="K737" s="1106"/>
      <c r="L737" s="1106"/>
      <c r="M737" s="1106"/>
      <c r="N737" s="1106"/>
      <c r="O737" s="1106"/>
      <c r="P737" s="1106"/>
      <c r="Q737" s="1106"/>
      <c r="R737" s="1106"/>
      <c r="S737" s="1106"/>
      <c r="T737" s="1106"/>
      <c r="U737" s="1106"/>
      <c r="V737" s="1106"/>
      <c r="W737" s="1106"/>
      <c r="X737" s="1106"/>
      <c r="Y737" s="1106"/>
      <c r="Z737" s="1106"/>
      <c r="AA737" s="1106"/>
      <c r="AB737" s="1106"/>
      <c r="AC737" s="1106"/>
      <c r="AD737" s="1106"/>
      <c r="AE737" s="1106"/>
      <c r="AF737" s="1106"/>
      <c r="AG737" s="1106"/>
      <c r="AH737" s="1106"/>
      <c r="AI737" s="1106"/>
      <c r="AJ737" s="1106"/>
      <c r="AK737" s="1106"/>
      <c r="AL737" s="1106"/>
      <c r="AM737" s="1106"/>
      <c r="AN737" s="1106"/>
      <c r="AO737" s="1106"/>
    </row>
    <row r="738">
      <c r="G738" s="1106"/>
      <c r="H738" s="1106"/>
      <c r="I738" s="1106"/>
      <c r="J738" s="1106"/>
      <c r="K738" s="1106"/>
      <c r="L738" s="1106"/>
      <c r="M738" s="1106"/>
      <c r="N738" s="1106"/>
      <c r="O738" s="1106"/>
      <c r="P738" s="1106"/>
      <c r="Q738" s="1106"/>
      <c r="R738" s="1106"/>
      <c r="S738" s="1106"/>
      <c r="T738" s="1106"/>
      <c r="U738" s="1106"/>
      <c r="V738" s="1106"/>
      <c r="W738" s="1106"/>
      <c r="X738" s="1106"/>
      <c r="Y738" s="1106"/>
      <c r="Z738" s="1106"/>
      <c r="AA738" s="1106"/>
      <c r="AB738" s="1106"/>
      <c r="AC738" s="1106"/>
      <c r="AD738" s="1106"/>
      <c r="AE738" s="1106"/>
      <c r="AF738" s="1106"/>
      <c r="AG738" s="1106"/>
      <c r="AH738" s="1106"/>
      <c r="AI738" s="1106"/>
      <c r="AJ738" s="1106"/>
      <c r="AK738" s="1106"/>
      <c r="AL738" s="1106"/>
      <c r="AM738" s="1106"/>
      <c r="AN738" s="1106"/>
      <c r="AO738" s="1106"/>
    </row>
    <row r="739">
      <c r="G739" s="1106"/>
      <c r="H739" s="1106"/>
      <c r="I739" s="1106"/>
      <c r="J739" s="1106"/>
      <c r="K739" s="1106"/>
      <c r="L739" s="1106"/>
      <c r="M739" s="1106"/>
      <c r="N739" s="1106"/>
      <c r="O739" s="1106"/>
      <c r="P739" s="1106"/>
      <c r="Q739" s="1106"/>
      <c r="R739" s="1106"/>
      <c r="S739" s="1106"/>
      <c r="T739" s="1106"/>
      <c r="U739" s="1106"/>
      <c r="V739" s="1106"/>
      <c r="W739" s="1106"/>
      <c r="X739" s="1106"/>
      <c r="Y739" s="1106"/>
      <c r="Z739" s="1106"/>
      <c r="AA739" s="1106"/>
      <c r="AB739" s="1106"/>
      <c r="AC739" s="1106"/>
      <c r="AD739" s="1106"/>
      <c r="AE739" s="1106"/>
      <c r="AF739" s="1106"/>
      <c r="AG739" s="1106"/>
      <c r="AH739" s="1106"/>
      <c r="AI739" s="1106"/>
      <c r="AJ739" s="1106"/>
      <c r="AK739" s="1106"/>
      <c r="AL739" s="1106"/>
      <c r="AM739" s="1106"/>
      <c r="AN739" s="1106"/>
      <c r="AO739" s="1106"/>
    </row>
    <row r="740">
      <c r="G740" s="1106"/>
      <c r="H740" s="1106"/>
      <c r="I740" s="1106"/>
      <c r="J740" s="1106"/>
      <c r="K740" s="1106"/>
      <c r="L740" s="1106"/>
      <c r="M740" s="1106"/>
      <c r="N740" s="1106"/>
      <c r="O740" s="1106"/>
      <c r="P740" s="1106"/>
      <c r="Q740" s="1106"/>
      <c r="R740" s="1106"/>
      <c r="S740" s="1106"/>
      <c r="T740" s="1106"/>
      <c r="U740" s="1106"/>
      <c r="V740" s="1106"/>
      <c r="W740" s="1106"/>
      <c r="X740" s="1106"/>
      <c r="Y740" s="1106"/>
      <c r="Z740" s="1106"/>
      <c r="AA740" s="1106"/>
      <c r="AB740" s="1106"/>
      <c r="AC740" s="1106"/>
      <c r="AD740" s="1106"/>
      <c r="AE740" s="1106"/>
      <c r="AF740" s="1106"/>
      <c r="AG740" s="1106"/>
      <c r="AH740" s="1106"/>
      <c r="AI740" s="1106"/>
      <c r="AJ740" s="1106"/>
      <c r="AK740" s="1106"/>
      <c r="AL740" s="1106"/>
      <c r="AM740" s="1106"/>
      <c r="AN740" s="1106"/>
      <c r="AO740" s="1106"/>
    </row>
    <row r="741">
      <c r="G741" s="1106"/>
      <c r="H741" s="1106"/>
      <c r="I741" s="1106"/>
      <c r="J741" s="1106"/>
      <c r="K741" s="1106"/>
      <c r="L741" s="1106"/>
      <c r="M741" s="1106"/>
      <c r="N741" s="1106"/>
      <c r="O741" s="1106"/>
      <c r="P741" s="1106"/>
      <c r="Q741" s="1106"/>
      <c r="R741" s="1106"/>
      <c r="S741" s="1106"/>
      <c r="T741" s="1106"/>
      <c r="U741" s="1106"/>
      <c r="V741" s="1106"/>
      <c r="W741" s="1106"/>
      <c r="X741" s="1106"/>
      <c r="Y741" s="1106"/>
      <c r="Z741" s="1106"/>
      <c r="AA741" s="1106"/>
      <c r="AB741" s="1106"/>
      <c r="AC741" s="1106"/>
      <c r="AD741" s="1106"/>
      <c r="AE741" s="1106"/>
      <c r="AF741" s="1106"/>
      <c r="AG741" s="1106"/>
      <c r="AH741" s="1106"/>
      <c r="AI741" s="1106"/>
      <c r="AJ741" s="1106"/>
      <c r="AK741" s="1106"/>
      <c r="AL741" s="1106"/>
      <c r="AM741" s="1106"/>
      <c r="AN741" s="1106"/>
      <c r="AO741" s="1106"/>
    </row>
    <row r="742">
      <c r="G742" s="1106"/>
      <c r="H742" s="1106"/>
      <c r="I742" s="1106"/>
      <c r="J742" s="1106"/>
      <c r="K742" s="1106"/>
      <c r="L742" s="1106"/>
      <c r="M742" s="1106"/>
      <c r="N742" s="1106"/>
      <c r="O742" s="1106"/>
      <c r="P742" s="1106"/>
      <c r="Q742" s="1106"/>
      <c r="R742" s="1106"/>
      <c r="S742" s="1106"/>
      <c r="T742" s="1106"/>
      <c r="U742" s="1106"/>
      <c r="V742" s="1106"/>
      <c r="W742" s="1106"/>
      <c r="X742" s="1106"/>
      <c r="Y742" s="1106"/>
      <c r="Z742" s="1106"/>
      <c r="AA742" s="1106"/>
      <c r="AB742" s="1106"/>
      <c r="AC742" s="1106"/>
      <c r="AD742" s="1106"/>
      <c r="AE742" s="1106"/>
      <c r="AF742" s="1106"/>
      <c r="AG742" s="1106"/>
      <c r="AH742" s="1106"/>
      <c r="AI742" s="1106"/>
      <c r="AJ742" s="1106"/>
      <c r="AK742" s="1106"/>
      <c r="AL742" s="1106"/>
      <c r="AM742" s="1106"/>
      <c r="AN742" s="1106"/>
      <c r="AO742" s="1106"/>
    </row>
    <row r="743">
      <c r="G743" s="1106"/>
      <c r="H743" s="1106"/>
      <c r="I743" s="1106"/>
      <c r="J743" s="1106"/>
      <c r="K743" s="1106"/>
      <c r="L743" s="1106"/>
      <c r="M743" s="1106"/>
      <c r="N743" s="1106"/>
      <c r="O743" s="1106"/>
      <c r="P743" s="1106"/>
      <c r="Q743" s="1106"/>
      <c r="R743" s="1106"/>
      <c r="S743" s="1106"/>
      <c r="T743" s="1106"/>
      <c r="U743" s="1106"/>
      <c r="V743" s="1106"/>
      <c r="W743" s="1106"/>
      <c r="X743" s="1106"/>
      <c r="Y743" s="1106"/>
      <c r="Z743" s="1106"/>
      <c r="AA743" s="1106"/>
      <c r="AB743" s="1106"/>
      <c r="AC743" s="1106"/>
      <c r="AD743" s="1106"/>
      <c r="AE743" s="1106"/>
      <c r="AF743" s="1106"/>
      <c r="AG743" s="1106"/>
      <c r="AH743" s="1106"/>
      <c r="AI743" s="1106"/>
      <c r="AJ743" s="1106"/>
      <c r="AK743" s="1106"/>
      <c r="AL743" s="1106"/>
      <c r="AM743" s="1106"/>
      <c r="AN743" s="1106"/>
      <c r="AO743" s="1106"/>
    </row>
    <row r="744">
      <c r="G744" s="1106"/>
      <c r="H744" s="1106"/>
      <c r="I744" s="1106"/>
      <c r="J744" s="1106"/>
      <c r="K744" s="1106"/>
      <c r="L744" s="1106"/>
      <c r="M744" s="1106"/>
      <c r="N744" s="1106"/>
      <c r="O744" s="1106"/>
      <c r="P744" s="1106"/>
      <c r="Q744" s="1106"/>
      <c r="R744" s="1106"/>
      <c r="S744" s="1106"/>
      <c r="T744" s="1106"/>
      <c r="U744" s="1106"/>
      <c r="V744" s="1106"/>
      <c r="W744" s="1106"/>
      <c r="X744" s="1106"/>
      <c r="Y744" s="1106"/>
      <c r="Z744" s="1106"/>
      <c r="AA744" s="1106"/>
      <c r="AB744" s="1106"/>
      <c r="AC744" s="1106"/>
      <c r="AD744" s="1106"/>
      <c r="AE744" s="1106"/>
      <c r="AF744" s="1106"/>
      <c r="AG744" s="1106"/>
      <c r="AH744" s="1106"/>
      <c r="AI744" s="1106"/>
      <c r="AJ744" s="1106"/>
      <c r="AK744" s="1106"/>
      <c r="AL744" s="1106"/>
      <c r="AM744" s="1106"/>
      <c r="AN744" s="1106"/>
      <c r="AO744" s="1106"/>
    </row>
    <row r="745">
      <c r="G745" s="1106"/>
      <c r="H745" s="1106"/>
      <c r="I745" s="1106"/>
      <c r="J745" s="1106"/>
      <c r="K745" s="1106"/>
      <c r="L745" s="1106"/>
      <c r="M745" s="1106"/>
      <c r="N745" s="1106"/>
      <c r="O745" s="1106"/>
      <c r="P745" s="1106"/>
      <c r="Q745" s="1106"/>
      <c r="R745" s="1106"/>
      <c r="S745" s="1106"/>
      <c r="T745" s="1106"/>
      <c r="U745" s="1106"/>
      <c r="V745" s="1106"/>
      <c r="W745" s="1106"/>
      <c r="X745" s="1106"/>
      <c r="Y745" s="1106"/>
      <c r="Z745" s="1106"/>
      <c r="AA745" s="1106"/>
      <c r="AB745" s="1106"/>
      <c r="AC745" s="1106"/>
      <c r="AD745" s="1106"/>
      <c r="AE745" s="1106"/>
      <c r="AF745" s="1106"/>
      <c r="AG745" s="1106"/>
      <c r="AH745" s="1106"/>
      <c r="AI745" s="1106"/>
      <c r="AJ745" s="1106"/>
      <c r="AK745" s="1106"/>
      <c r="AL745" s="1106"/>
      <c r="AM745" s="1106"/>
      <c r="AN745" s="1106"/>
      <c r="AO745" s="1106"/>
    </row>
    <row r="746">
      <c r="G746" s="1106"/>
      <c r="H746" s="1106"/>
      <c r="I746" s="1106"/>
      <c r="J746" s="1106"/>
      <c r="K746" s="1106"/>
      <c r="L746" s="1106"/>
      <c r="M746" s="1106"/>
      <c r="N746" s="1106"/>
      <c r="O746" s="1106"/>
      <c r="P746" s="1106"/>
      <c r="Q746" s="1106"/>
      <c r="R746" s="1106"/>
      <c r="S746" s="1106"/>
      <c r="T746" s="1106"/>
      <c r="U746" s="1106"/>
      <c r="V746" s="1106"/>
      <c r="W746" s="1106"/>
      <c r="X746" s="1106"/>
      <c r="Y746" s="1106"/>
      <c r="Z746" s="1106"/>
      <c r="AA746" s="1106"/>
      <c r="AB746" s="1106"/>
      <c r="AC746" s="1106"/>
      <c r="AD746" s="1106"/>
      <c r="AE746" s="1106"/>
      <c r="AF746" s="1106"/>
      <c r="AG746" s="1106"/>
      <c r="AH746" s="1106"/>
      <c r="AI746" s="1106"/>
      <c r="AJ746" s="1106"/>
      <c r="AK746" s="1106"/>
      <c r="AL746" s="1106"/>
      <c r="AM746" s="1106"/>
      <c r="AN746" s="1106"/>
      <c r="AO746" s="1106"/>
    </row>
    <row r="747">
      <c r="G747" s="1106"/>
      <c r="H747" s="1106"/>
      <c r="I747" s="1106"/>
      <c r="J747" s="1106"/>
      <c r="K747" s="1106"/>
      <c r="L747" s="1106"/>
      <c r="M747" s="1106"/>
      <c r="N747" s="1106"/>
      <c r="O747" s="1106"/>
      <c r="P747" s="1106"/>
      <c r="Q747" s="1106"/>
      <c r="R747" s="1106"/>
      <c r="S747" s="1106"/>
      <c r="T747" s="1106"/>
      <c r="U747" s="1106"/>
      <c r="V747" s="1106"/>
      <c r="W747" s="1106"/>
      <c r="X747" s="1106"/>
      <c r="Y747" s="1106"/>
      <c r="Z747" s="1106"/>
      <c r="AA747" s="1106"/>
      <c r="AB747" s="1106"/>
      <c r="AC747" s="1106"/>
      <c r="AD747" s="1106"/>
      <c r="AE747" s="1106"/>
      <c r="AF747" s="1106"/>
      <c r="AG747" s="1106"/>
      <c r="AH747" s="1106"/>
      <c r="AI747" s="1106"/>
      <c r="AJ747" s="1106"/>
      <c r="AK747" s="1106"/>
      <c r="AL747" s="1106"/>
      <c r="AM747" s="1106"/>
      <c r="AN747" s="1106"/>
      <c r="AO747" s="1106"/>
    </row>
    <row r="748">
      <c r="G748" s="1106"/>
      <c r="H748" s="1106"/>
      <c r="I748" s="1106"/>
      <c r="J748" s="1106"/>
      <c r="K748" s="1106"/>
      <c r="L748" s="1106"/>
      <c r="M748" s="1106"/>
      <c r="N748" s="1106"/>
      <c r="O748" s="1106"/>
      <c r="P748" s="1106"/>
      <c r="Q748" s="1106"/>
      <c r="R748" s="1106"/>
      <c r="S748" s="1106"/>
      <c r="T748" s="1106"/>
      <c r="U748" s="1106"/>
      <c r="V748" s="1106"/>
      <c r="W748" s="1106"/>
      <c r="X748" s="1106"/>
      <c r="Y748" s="1106"/>
      <c r="Z748" s="1106"/>
      <c r="AA748" s="1106"/>
      <c r="AB748" s="1106"/>
      <c r="AC748" s="1106"/>
      <c r="AD748" s="1106"/>
      <c r="AE748" s="1106"/>
      <c r="AF748" s="1106"/>
      <c r="AG748" s="1106"/>
      <c r="AH748" s="1106"/>
      <c r="AI748" s="1106"/>
      <c r="AJ748" s="1106"/>
      <c r="AK748" s="1106"/>
      <c r="AL748" s="1106"/>
      <c r="AM748" s="1106"/>
      <c r="AN748" s="1106"/>
      <c r="AO748" s="1106"/>
    </row>
    <row r="749">
      <c r="G749" s="1106"/>
      <c r="H749" s="1106"/>
      <c r="I749" s="1106"/>
      <c r="J749" s="1106"/>
      <c r="K749" s="1106"/>
      <c r="L749" s="1106"/>
      <c r="M749" s="1106"/>
      <c r="N749" s="1106"/>
      <c r="O749" s="1106"/>
      <c r="P749" s="1106"/>
      <c r="Q749" s="1106"/>
      <c r="R749" s="1106"/>
      <c r="S749" s="1106"/>
      <c r="T749" s="1106"/>
      <c r="U749" s="1106"/>
      <c r="V749" s="1106"/>
      <c r="W749" s="1106"/>
      <c r="X749" s="1106"/>
      <c r="Y749" s="1106"/>
      <c r="Z749" s="1106"/>
      <c r="AA749" s="1106"/>
      <c r="AB749" s="1106"/>
      <c r="AC749" s="1106"/>
      <c r="AD749" s="1106"/>
      <c r="AE749" s="1106"/>
      <c r="AF749" s="1106"/>
      <c r="AG749" s="1106"/>
      <c r="AH749" s="1106"/>
      <c r="AI749" s="1106"/>
      <c r="AJ749" s="1106"/>
      <c r="AK749" s="1106"/>
      <c r="AL749" s="1106"/>
      <c r="AM749" s="1106"/>
      <c r="AN749" s="1106"/>
      <c r="AO749" s="1106"/>
    </row>
    <row r="750">
      <c r="G750" s="1106"/>
      <c r="H750" s="1106"/>
      <c r="I750" s="1106"/>
      <c r="J750" s="1106"/>
      <c r="K750" s="1106"/>
      <c r="L750" s="1106"/>
      <c r="M750" s="1106"/>
      <c r="N750" s="1106"/>
      <c r="O750" s="1106"/>
      <c r="P750" s="1106"/>
      <c r="Q750" s="1106"/>
      <c r="R750" s="1106"/>
      <c r="S750" s="1106"/>
      <c r="T750" s="1106"/>
      <c r="U750" s="1106"/>
      <c r="V750" s="1106"/>
      <c r="W750" s="1106"/>
      <c r="X750" s="1106"/>
      <c r="Y750" s="1106"/>
      <c r="Z750" s="1106"/>
      <c r="AA750" s="1106"/>
      <c r="AB750" s="1106"/>
      <c r="AC750" s="1106"/>
      <c r="AD750" s="1106"/>
      <c r="AE750" s="1106"/>
      <c r="AF750" s="1106"/>
      <c r="AG750" s="1106"/>
      <c r="AH750" s="1106"/>
      <c r="AI750" s="1106"/>
      <c r="AJ750" s="1106"/>
      <c r="AK750" s="1106"/>
      <c r="AL750" s="1106"/>
      <c r="AM750" s="1106"/>
      <c r="AN750" s="1106"/>
      <c r="AO750" s="1106"/>
    </row>
    <row r="751">
      <c r="G751" s="1106"/>
      <c r="H751" s="1106"/>
      <c r="I751" s="1106"/>
      <c r="J751" s="1106"/>
      <c r="K751" s="1106"/>
      <c r="L751" s="1106"/>
      <c r="M751" s="1106"/>
      <c r="N751" s="1106"/>
      <c r="O751" s="1106"/>
      <c r="P751" s="1106"/>
      <c r="Q751" s="1106"/>
      <c r="R751" s="1106"/>
      <c r="S751" s="1106"/>
      <c r="T751" s="1106"/>
      <c r="U751" s="1106"/>
      <c r="V751" s="1106"/>
      <c r="W751" s="1106"/>
      <c r="X751" s="1106"/>
      <c r="Y751" s="1106"/>
      <c r="Z751" s="1106"/>
      <c r="AA751" s="1106"/>
      <c r="AB751" s="1106"/>
      <c r="AC751" s="1106"/>
      <c r="AD751" s="1106"/>
      <c r="AE751" s="1106"/>
      <c r="AF751" s="1106"/>
      <c r="AG751" s="1106"/>
      <c r="AH751" s="1106"/>
      <c r="AI751" s="1106"/>
      <c r="AJ751" s="1106"/>
      <c r="AK751" s="1106"/>
      <c r="AL751" s="1106"/>
      <c r="AM751" s="1106"/>
      <c r="AN751" s="1106"/>
      <c r="AO751" s="1106"/>
    </row>
    <row r="752">
      <c r="G752" s="1106"/>
      <c r="H752" s="1106"/>
      <c r="I752" s="1106"/>
      <c r="J752" s="1106"/>
      <c r="K752" s="1106"/>
      <c r="L752" s="1106"/>
      <c r="M752" s="1106"/>
      <c r="N752" s="1106"/>
      <c r="O752" s="1106"/>
      <c r="P752" s="1106"/>
      <c r="Q752" s="1106"/>
      <c r="R752" s="1106"/>
      <c r="S752" s="1106"/>
      <c r="T752" s="1106"/>
      <c r="U752" s="1106"/>
      <c r="V752" s="1106"/>
      <c r="W752" s="1106"/>
      <c r="X752" s="1106"/>
      <c r="Y752" s="1106"/>
      <c r="Z752" s="1106"/>
      <c r="AA752" s="1106"/>
      <c r="AB752" s="1106"/>
      <c r="AC752" s="1106"/>
      <c r="AD752" s="1106"/>
      <c r="AE752" s="1106"/>
      <c r="AF752" s="1106"/>
      <c r="AG752" s="1106"/>
      <c r="AH752" s="1106"/>
      <c r="AI752" s="1106"/>
      <c r="AJ752" s="1106"/>
      <c r="AK752" s="1106"/>
      <c r="AL752" s="1106"/>
      <c r="AM752" s="1106"/>
      <c r="AN752" s="1106"/>
      <c r="AO752" s="1106"/>
    </row>
    <row r="753">
      <c r="G753" s="1106"/>
      <c r="H753" s="1106"/>
      <c r="I753" s="1106"/>
      <c r="J753" s="1106"/>
      <c r="K753" s="1106"/>
      <c r="L753" s="1106"/>
      <c r="M753" s="1106"/>
      <c r="N753" s="1106"/>
      <c r="O753" s="1106"/>
      <c r="P753" s="1106"/>
      <c r="Q753" s="1106"/>
      <c r="R753" s="1106"/>
      <c r="S753" s="1106"/>
      <c r="T753" s="1106"/>
      <c r="U753" s="1106"/>
      <c r="V753" s="1106"/>
      <c r="W753" s="1106"/>
      <c r="X753" s="1106"/>
      <c r="Y753" s="1106"/>
      <c r="Z753" s="1106"/>
      <c r="AA753" s="1106"/>
      <c r="AB753" s="1106"/>
      <c r="AC753" s="1106"/>
      <c r="AD753" s="1106"/>
      <c r="AE753" s="1106"/>
      <c r="AF753" s="1106"/>
      <c r="AG753" s="1106"/>
      <c r="AH753" s="1106"/>
      <c r="AI753" s="1106"/>
      <c r="AJ753" s="1106"/>
      <c r="AK753" s="1106"/>
      <c r="AL753" s="1106"/>
      <c r="AM753" s="1106"/>
      <c r="AN753" s="1106"/>
      <c r="AO753" s="1106"/>
    </row>
    <row r="754">
      <c r="G754" s="1106"/>
      <c r="H754" s="1106"/>
      <c r="I754" s="1106"/>
      <c r="J754" s="1106"/>
      <c r="K754" s="1106"/>
      <c r="L754" s="1106"/>
      <c r="M754" s="1106"/>
      <c r="N754" s="1106"/>
      <c r="O754" s="1106"/>
      <c r="P754" s="1106"/>
      <c r="Q754" s="1106"/>
      <c r="R754" s="1106"/>
      <c r="S754" s="1106"/>
      <c r="T754" s="1106"/>
      <c r="U754" s="1106"/>
      <c r="V754" s="1106"/>
      <c r="W754" s="1106"/>
      <c r="X754" s="1106"/>
      <c r="Y754" s="1106"/>
      <c r="Z754" s="1106"/>
      <c r="AA754" s="1106"/>
      <c r="AB754" s="1106"/>
      <c r="AC754" s="1106"/>
      <c r="AD754" s="1106"/>
      <c r="AE754" s="1106"/>
      <c r="AF754" s="1106"/>
      <c r="AG754" s="1106"/>
      <c r="AH754" s="1106"/>
      <c r="AI754" s="1106"/>
      <c r="AJ754" s="1106"/>
      <c r="AK754" s="1106"/>
      <c r="AL754" s="1106"/>
      <c r="AM754" s="1106"/>
      <c r="AN754" s="1106"/>
      <c r="AO754" s="1106"/>
    </row>
    <row r="755">
      <c r="G755" s="1106"/>
      <c r="H755" s="1106"/>
      <c r="I755" s="1106"/>
      <c r="J755" s="1106"/>
      <c r="K755" s="1106"/>
      <c r="L755" s="1106"/>
      <c r="M755" s="1106"/>
      <c r="N755" s="1106"/>
      <c r="O755" s="1106"/>
      <c r="P755" s="1106"/>
      <c r="Q755" s="1106"/>
      <c r="R755" s="1106"/>
      <c r="S755" s="1106"/>
      <c r="T755" s="1106"/>
      <c r="U755" s="1106"/>
      <c r="V755" s="1106"/>
      <c r="W755" s="1106"/>
      <c r="X755" s="1106"/>
      <c r="Y755" s="1106"/>
      <c r="Z755" s="1106"/>
      <c r="AA755" s="1106"/>
      <c r="AB755" s="1106"/>
      <c r="AC755" s="1106"/>
      <c r="AD755" s="1106"/>
      <c r="AE755" s="1106"/>
      <c r="AF755" s="1106"/>
      <c r="AG755" s="1106"/>
      <c r="AH755" s="1106"/>
      <c r="AI755" s="1106"/>
      <c r="AJ755" s="1106"/>
      <c r="AK755" s="1106"/>
      <c r="AL755" s="1106"/>
      <c r="AM755" s="1106"/>
      <c r="AN755" s="1106"/>
      <c r="AO755" s="1106"/>
    </row>
    <row r="756">
      <c r="G756" s="1106"/>
      <c r="H756" s="1106"/>
      <c r="I756" s="1106"/>
      <c r="J756" s="1106"/>
      <c r="K756" s="1106"/>
      <c r="L756" s="1106"/>
      <c r="M756" s="1106"/>
      <c r="N756" s="1106"/>
      <c r="O756" s="1106"/>
      <c r="P756" s="1106"/>
      <c r="Q756" s="1106"/>
      <c r="R756" s="1106"/>
      <c r="S756" s="1106"/>
      <c r="T756" s="1106"/>
      <c r="U756" s="1106"/>
      <c r="V756" s="1106"/>
      <c r="W756" s="1106"/>
      <c r="X756" s="1106"/>
      <c r="Y756" s="1106"/>
      <c r="Z756" s="1106"/>
      <c r="AA756" s="1106"/>
      <c r="AB756" s="1106"/>
      <c r="AC756" s="1106"/>
      <c r="AD756" s="1106"/>
      <c r="AE756" s="1106"/>
      <c r="AF756" s="1106"/>
      <c r="AG756" s="1106"/>
      <c r="AH756" s="1106"/>
      <c r="AI756" s="1106"/>
      <c r="AJ756" s="1106"/>
      <c r="AK756" s="1106"/>
      <c r="AL756" s="1106"/>
      <c r="AM756" s="1106"/>
      <c r="AN756" s="1106"/>
      <c r="AO756" s="1106"/>
    </row>
    <row r="757">
      <c r="G757" s="1106"/>
      <c r="H757" s="1106"/>
      <c r="I757" s="1106"/>
      <c r="J757" s="1106"/>
      <c r="K757" s="1106"/>
      <c r="L757" s="1106"/>
      <c r="M757" s="1106"/>
      <c r="N757" s="1106"/>
      <c r="O757" s="1106"/>
      <c r="P757" s="1106"/>
      <c r="Q757" s="1106"/>
      <c r="R757" s="1106"/>
      <c r="S757" s="1106"/>
      <c r="T757" s="1106"/>
      <c r="U757" s="1106"/>
      <c r="V757" s="1106"/>
      <c r="W757" s="1106"/>
      <c r="X757" s="1106"/>
      <c r="Y757" s="1106"/>
      <c r="Z757" s="1106"/>
      <c r="AA757" s="1106"/>
      <c r="AB757" s="1106"/>
      <c r="AC757" s="1106"/>
      <c r="AD757" s="1106"/>
      <c r="AE757" s="1106"/>
      <c r="AF757" s="1106"/>
      <c r="AG757" s="1106"/>
      <c r="AH757" s="1106"/>
      <c r="AI757" s="1106"/>
      <c r="AJ757" s="1106"/>
      <c r="AK757" s="1106"/>
      <c r="AL757" s="1106"/>
      <c r="AM757" s="1106"/>
      <c r="AN757" s="1106"/>
      <c r="AO757" s="1106"/>
    </row>
    <row r="758">
      <c r="G758" s="1106"/>
      <c r="H758" s="1106"/>
      <c r="I758" s="1106"/>
      <c r="J758" s="1106"/>
      <c r="K758" s="1106"/>
      <c r="L758" s="1106"/>
      <c r="M758" s="1106"/>
      <c r="N758" s="1106"/>
      <c r="O758" s="1106"/>
      <c r="P758" s="1106"/>
      <c r="Q758" s="1106"/>
      <c r="R758" s="1106"/>
      <c r="S758" s="1106"/>
      <c r="T758" s="1106"/>
      <c r="U758" s="1106"/>
      <c r="V758" s="1106"/>
      <c r="W758" s="1106"/>
      <c r="X758" s="1106"/>
      <c r="Y758" s="1106"/>
      <c r="Z758" s="1106"/>
      <c r="AA758" s="1106"/>
      <c r="AB758" s="1106"/>
      <c r="AC758" s="1106"/>
      <c r="AD758" s="1106"/>
      <c r="AE758" s="1106"/>
      <c r="AF758" s="1106"/>
      <c r="AG758" s="1106"/>
      <c r="AH758" s="1106"/>
      <c r="AI758" s="1106"/>
      <c r="AJ758" s="1106"/>
      <c r="AK758" s="1106"/>
      <c r="AL758" s="1106"/>
      <c r="AM758" s="1106"/>
      <c r="AN758" s="1106"/>
      <c r="AO758" s="1106"/>
    </row>
    <row r="759">
      <c r="G759" s="1106"/>
      <c r="H759" s="1106"/>
      <c r="I759" s="1106"/>
      <c r="J759" s="1106"/>
      <c r="K759" s="1106"/>
      <c r="L759" s="1106"/>
      <c r="M759" s="1106"/>
      <c r="N759" s="1106"/>
      <c r="O759" s="1106"/>
      <c r="P759" s="1106"/>
      <c r="Q759" s="1106"/>
      <c r="R759" s="1106"/>
      <c r="S759" s="1106"/>
      <c r="T759" s="1106"/>
      <c r="U759" s="1106"/>
      <c r="V759" s="1106"/>
      <c r="W759" s="1106"/>
      <c r="X759" s="1106"/>
      <c r="Y759" s="1106"/>
      <c r="Z759" s="1106"/>
      <c r="AA759" s="1106"/>
      <c r="AB759" s="1106"/>
      <c r="AC759" s="1106"/>
      <c r="AD759" s="1106"/>
      <c r="AE759" s="1106"/>
      <c r="AF759" s="1106"/>
      <c r="AG759" s="1106"/>
      <c r="AH759" s="1106"/>
      <c r="AI759" s="1106"/>
      <c r="AJ759" s="1106"/>
      <c r="AK759" s="1106"/>
      <c r="AL759" s="1106"/>
      <c r="AM759" s="1106"/>
      <c r="AN759" s="1106"/>
      <c r="AO759" s="1106"/>
    </row>
    <row r="760">
      <c r="G760" s="1106"/>
      <c r="H760" s="1106"/>
      <c r="I760" s="1106"/>
      <c r="J760" s="1106"/>
      <c r="K760" s="1106"/>
      <c r="L760" s="1106"/>
      <c r="M760" s="1106"/>
      <c r="N760" s="1106"/>
      <c r="O760" s="1106"/>
      <c r="P760" s="1106"/>
      <c r="Q760" s="1106"/>
      <c r="R760" s="1106"/>
      <c r="S760" s="1106"/>
      <c r="T760" s="1106"/>
      <c r="U760" s="1106"/>
      <c r="V760" s="1106"/>
      <c r="W760" s="1106"/>
      <c r="X760" s="1106"/>
      <c r="Y760" s="1106"/>
      <c r="Z760" s="1106"/>
      <c r="AA760" s="1106"/>
      <c r="AB760" s="1106"/>
      <c r="AC760" s="1106"/>
      <c r="AD760" s="1106"/>
      <c r="AE760" s="1106"/>
      <c r="AF760" s="1106"/>
      <c r="AG760" s="1106"/>
      <c r="AH760" s="1106"/>
      <c r="AI760" s="1106"/>
      <c r="AJ760" s="1106"/>
      <c r="AK760" s="1106"/>
      <c r="AL760" s="1106"/>
      <c r="AM760" s="1106"/>
      <c r="AN760" s="1106"/>
      <c r="AO760" s="1106"/>
    </row>
    <row r="761">
      <c r="G761" s="1106"/>
      <c r="H761" s="1106"/>
      <c r="I761" s="1106"/>
      <c r="J761" s="1106"/>
      <c r="K761" s="1106"/>
      <c r="L761" s="1106"/>
      <c r="M761" s="1106"/>
      <c r="N761" s="1106"/>
      <c r="O761" s="1106"/>
      <c r="P761" s="1106"/>
      <c r="Q761" s="1106"/>
      <c r="R761" s="1106"/>
      <c r="S761" s="1106"/>
      <c r="T761" s="1106"/>
      <c r="U761" s="1106"/>
      <c r="V761" s="1106"/>
      <c r="W761" s="1106"/>
      <c r="X761" s="1106"/>
      <c r="Y761" s="1106"/>
      <c r="Z761" s="1106"/>
      <c r="AA761" s="1106"/>
      <c r="AB761" s="1106"/>
      <c r="AC761" s="1106"/>
      <c r="AD761" s="1106"/>
      <c r="AE761" s="1106"/>
      <c r="AF761" s="1106"/>
      <c r="AG761" s="1106"/>
      <c r="AH761" s="1106"/>
      <c r="AI761" s="1106"/>
      <c r="AJ761" s="1106"/>
      <c r="AK761" s="1106"/>
      <c r="AL761" s="1106"/>
      <c r="AM761" s="1106"/>
      <c r="AN761" s="1106"/>
      <c r="AO761" s="1106"/>
    </row>
    <row r="762">
      <c r="G762" s="1106"/>
      <c r="H762" s="1106"/>
      <c r="I762" s="1106"/>
      <c r="J762" s="1106"/>
      <c r="K762" s="1106"/>
      <c r="L762" s="1106"/>
      <c r="M762" s="1106"/>
      <c r="N762" s="1106"/>
      <c r="O762" s="1106"/>
      <c r="P762" s="1106"/>
      <c r="Q762" s="1106"/>
      <c r="R762" s="1106"/>
      <c r="S762" s="1106"/>
      <c r="T762" s="1106"/>
      <c r="U762" s="1106"/>
      <c r="V762" s="1106"/>
      <c r="W762" s="1106"/>
      <c r="X762" s="1106"/>
      <c r="Y762" s="1106"/>
      <c r="Z762" s="1106"/>
      <c r="AA762" s="1106"/>
      <c r="AB762" s="1106"/>
      <c r="AC762" s="1106"/>
      <c r="AD762" s="1106"/>
      <c r="AE762" s="1106"/>
      <c r="AF762" s="1106"/>
      <c r="AG762" s="1106"/>
      <c r="AH762" s="1106"/>
      <c r="AI762" s="1106"/>
      <c r="AJ762" s="1106"/>
      <c r="AK762" s="1106"/>
      <c r="AL762" s="1106"/>
      <c r="AM762" s="1106"/>
      <c r="AN762" s="1106"/>
      <c r="AO762" s="1106"/>
    </row>
    <row r="763">
      <c r="G763" s="1106"/>
      <c r="H763" s="1106"/>
      <c r="I763" s="1106"/>
      <c r="J763" s="1106"/>
      <c r="K763" s="1106"/>
      <c r="L763" s="1106"/>
      <c r="M763" s="1106"/>
      <c r="N763" s="1106"/>
      <c r="O763" s="1106"/>
      <c r="P763" s="1106"/>
      <c r="Q763" s="1106"/>
      <c r="R763" s="1106"/>
      <c r="S763" s="1106"/>
      <c r="T763" s="1106"/>
      <c r="U763" s="1106"/>
      <c r="V763" s="1106"/>
      <c r="W763" s="1106"/>
      <c r="X763" s="1106"/>
      <c r="Y763" s="1106"/>
      <c r="Z763" s="1106"/>
      <c r="AA763" s="1106"/>
      <c r="AB763" s="1106"/>
      <c r="AC763" s="1106"/>
      <c r="AD763" s="1106"/>
      <c r="AE763" s="1106"/>
      <c r="AF763" s="1106"/>
      <c r="AG763" s="1106"/>
      <c r="AH763" s="1106"/>
      <c r="AI763" s="1106"/>
      <c r="AJ763" s="1106"/>
      <c r="AK763" s="1106"/>
      <c r="AL763" s="1106"/>
      <c r="AM763" s="1106"/>
      <c r="AN763" s="1106"/>
      <c r="AO763" s="1106"/>
    </row>
    <row r="764">
      <c r="G764" s="1106"/>
      <c r="H764" s="1106"/>
      <c r="I764" s="1106"/>
      <c r="J764" s="1106"/>
      <c r="K764" s="1106"/>
      <c r="L764" s="1106"/>
      <c r="M764" s="1106"/>
      <c r="N764" s="1106"/>
      <c r="O764" s="1106"/>
      <c r="P764" s="1106"/>
      <c r="Q764" s="1106"/>
      <c r="R764" s="1106"/>
      <c r="S764" s="1106"/>
      <c r="T764" s="1106"/>
      <c r="U764" s="1106"/>
      <c r="V764" s="1106"/>
      <c r="W764" s="1106"/>
      <c r="X764" s="1106"/>
      <c r="Y764" s="1106"/>
      <c r="Z764" s="1106"/>
      <c r="AA764" s="1106"/>
      <c r="AB764" s="1106"/>
      <c r="AC764" s="1106"/>
      <c r="AD764" s="1106"/>
      <c r="AE764" s="1106"/>
      <c r="AF764" s="1106"/>
      <c r="AG764" s="1106"/>
      <c r="AH764" s="1106"/>
      <c r="AI764" s="1106"/>
      <c r="AJ764" s="1106"/>
      <c r="AK764" s="1106"/>
      <c r="AL764" s="1106"/>
      <c r="AM764" s="1106"/>
      <c r="AN764" s="1106"/>
      <c r="AO764" s="1106"/>
    </row>
    <row r="765">
      <c r="G765" s="1106"/>
      <c r="H765" s="1106"/>
      <c r="I765" s="1106"/>
      <c r="J765" s="1106"/>
      <c r="K765" s="1106"/>
      <c r="L765" s="1106"/>
      <c r="M765" s="1106"/>
      <c r="N765" s="1106"/>
      <c r="O765" s="1106"/>
      <c r="P765" s="1106"/>
      <c r="Q765" s="1106"/>
      <c r="R765" s="1106"/>
      <c r="S765" s="1106"/>
      <c r="T765" s="1106"/>
      <c r="U765" s="1106"/>
      <c r="V765" s="1106"/>
      <c r="W765" s="1106"/>
      <c r="X765" s="1106"/>
      <c r="Y765" s="1106"/>
      <c r="Z765" s="1106"/>
      <c r="AA765" s="1106"/>
      <c r="AB765" s="1106"/>
      <c r="AC765" s="1106"/>
      <c r="AD765" s="1106"/>
      <c r="AE765" s="1106"/>
      <c r="AF765" s="1106"/>
      <c r="AG765" s="1106"/>
      <c r="AH765" s="1106"/>
      <c r="AI765" s="1106"/>
      <c r="AJ765" s="1106"/>
      <c r="AK765" s="1106"/>
      <c r="AL765" s="1106"/>
      <c r="AM765" s="1106"/>
      <c r="AN765" s="1106"/>
      <c r="AO765" s="1106"/>
    </row>
    <row r="766">
      <c r="G766" s="1106"/>
      <c r="H766" s="1106"/>
      <c r="I766" s="1106"/>
      <c r="J766" s="1106"/>
      <c r="K766" s="1106"/>
      <c r="L766" s="1106"/>
      <c r="M766" s="1106"/>
      <c r="N766" s="1106"/>
      <c r="O766" s="1106"/>
      <c r="P766" s="1106"/>
      <c r="Q766" s="1106"/>
      <c r="R766" s="1106"/>
      <c r="S766" s="1106"/>
      <c r="T766" s="1106"/>
      <c r="U766" s="1106"/>
      <c r="V766" s="1106"/>
      <c r="W766" s="1106"/>
      <c r="X766" s="1106"/>
      <c r="Y766" s="1106"/>
      <c r="Z766" s="1106"/>
      <c r="AA766" s="1106"/>
      <c r="AB766" s="1106"/>
      <c r="AC766" s="1106"/>
      <c r="AD766" s="1106"/>
      <c r="AE766" s="1106"/>
      <c r="AF766" s="1106"/>
      <c r="AG766" s="1106"/>
      <c r="AH766" s="1106"/>
      <c r="AI766" s="1106"/>
      <c r="AJ766" s="1106"/>
      <c r="AK766" s="1106"/>
      <c r="AL766" s="1106"/>
      <c r="AM766" s="1106"/>
      <c r="AN766" s="1106"/>
      <c r="AO766" s="1106"/>
    </row>
    <row r="767">
      <c r="G767" s="1106"/>
      <c r="H767" s="1106"/>
      <c r="I767" s="1106"/>
      <c r="J767" s="1106"/>
      <c r="K767" s="1106"/>
      <c r="L767" s="1106"/>
      <c r="M767" s="1106"/>
      <c r="N767" s="1106"/>
      <c r="O767" s="1106"/>
      <c r="P767" s="1106"/>
      <c r="Q767" s="1106"/>
      <c r="R767" s="1106"/>
      <c r="S767" s="1106"/>
      <c r="T767" s="1106"/>
      <c r="U767" s="1106"/>
      <c r="V767" s="1106"/>
      <c r="W767" s="1106"/>
      <c r="X767" s="1106"/>
      <c r="Y767" s="1106"/>
      <c r="Z767" s="1106"/>
      <c r="AA767" s="1106"/>
      <c r="AB767" s="1106"/>
      <c r="AC767" s="1106"/>
      <c r="AD767" s="1106"/>
      <c r="AE767" s="1106"/>
      <c r="AF767" s="1106"/>
      <c r="AG767" s="1106"/>
      <c r="AH767" s="1106"/>
      <c r="AI767" s="1106"/>
      <c r="AJ767" s="1106"/>
      <c r="AK767" s="1106"/>
      <c r="AL767" s="1106"/>
      <c r="AM767" s="1106"/>
      <c r="AN767" s="1106"/>
      <c r="AO767" s="1106"/>
    </row>
    <row r="768">
      <c r="G768" s="1106"/>
      <c r="H768" s="1106"/>
      <c r="I768" s="1106"/>
      <c r="J768" s="1106"/>
      <c r="K768" s="1106"/>
      <c r="L768" s="1106"/>
      <c r="M768" s="1106"/>
      <c r="N768" s="1106"/>
      <c r="O768" s="1106"/>
      <c r="P768" s="1106"/>
      <c r="Q768" s="1106"/>
      <c r="R768" s="1106"/>
      <c r="S768" s="1106"/>
      <c r="T768" s="1106"/>
      <c r="U768" s="1106"/>
      <c r="V768" s="1106"/>
      <c r="W768" s="1106"/>
      <c r="X768" s="1106"/>
      <c r="Y768" s="1106"/>
      <c r="Z768" s="1106"/>
      <c r="AA768" s="1106"/>
      <c r="AB768" s="1106"/>
      <c r="AC768" s="1106"/>
      <c r="AD768" s="1106"/>
      <c r="AE768" s="1106"/>
      <c r="AF768" s="1106"/>
      <c r="AG768" s="1106"/>
      <c r="AH768" s="1106"/>
      <c r="AI768" s="1106"/>
      <c r="AJ768" s="1106"/>
      <c r="AK768" s="1106"/>
      <c r="AL768" s="1106"/>
      <c r="AM768" s="1106"/>
      <c r="AN768" s="1106"/>
      <c r="AO768" s="1106"/>
    </row>
    <row r="769">
      <c r="G769" s="1106"/>
      <c r="H769" s="1106"/>
      <c r="I769" s="1106"/>
      <c r="J769" s="1106"/>
      <c r="K769" s="1106"/>
      <c r="L769" s="1106"/>
      <c r="M769" s="1106"/>
      <c r="N769" s="1106"/>
      <c r="O769" s="1106"/>
      <c r="P769" s="1106"/>
      <c r="Q769" s="1106"/>
      <c r="R769" s="1106"/>
      <c r="S769" s="1106"/>
      <c r="T769" s="1106"/>
      <c r="U769" s="1106"/>
      <c r="V769" s="1106"/>
      <c r="W769" s="1106"/>
      <c r="X769" s="1106"/>
      <c r="Y769" s="1106"/>
      <c r="Z769" s="1106"/>
      <c r="AA769" s="1106"/>
      <c r="AB769" s="1106"/>
      <c r="AC769" s="1106"/>
      <c r="AD769" s="1106"/>
      <c r="AE769" s="1106"/>
      <c r="AF769" s="1106"/>
      <c r="AG769" s="1106"/>
      <c r="AH769" s="1106"/>
      <c r="AI769" s="1106"/>
      <c r="AJ769" s="1106"/>
      <c r="AK769" s="1106"/>
      <c r="AL769" s="1106"/>
      <c r="AM769" s="1106"/>
      <c r="AN769" s="1106"/>
      <c r="AO769" s="1106"/>
    </row>
    <row r="770">
      <c r="G770" s="1106"/>
      <c r="H770" s="1106"/>
      <c r="I770" s="1106"/>
      <c r="J770" s="1106"/>
      <c r="K770" s="1106"/>
      <c r="L770" s="1106"/>
      <c r="M770" s="1106"/>
      <c r="N770" s="1106"/>
      <c r="O770" s="1106"/>
      <c r="P770" s="1106"/>
      <c r="Q770" s="1106"/>
      <c r="R770" s="1106"/>
      <c r="S770" s="1106"/>
      <c r="T770" s="1106"/>
      <c r="U770" s="1106"/>
      <c r="V770" s="1106"/>
      <c r="W770" s="1106"/>
      <c r="X770" s="1106"/>
      <c r="Y770" s="1106"/>
      <c r="Z770" s="1106"/>
      <c r="AA770" s="1106"/>
      <c r="AB770" s="1106"/>
      <c r="AC770" s="1106"/>
      <c r="AD770" s="1106"/>
      <c r="AE770" s="1106"/>
      <c r="AF770" s="1106"/>
      <c r="AG770" s="1106"/>
      <c r="AH770" s="1106"/>
      <c r="AI770" s="1106"/>
      <c r="AJ770" s="1106"/>
      <c r="AK770" s="1106"/>
      <c r="AL770" s="1106"/>
      <c r="AM770" s="1106"/>
      <c r="AN770" s="1106"/>
      <c r="AO770" s="1106"/>
    </row>
    <row r="771">
      <c r="G771" s="1106"/>
      <c r="H771" s="1106"/>
      <c r="I771" s="1106"/>
      <c r="J771" s="1106"/>
      <c r="K771" s="1106"/>
      <c r="L771" s="1106"/>
      <c r="M771" s="1106"/>
      <c r="N771" s="1106"/>
      <c r="O771" s="1106"/>
      <c r="P771" s="1106"/>
      <c r="Q771" s="1106"/>
      <c r="R771" s="1106"/>
      <c r="S771" s="1106"/>
      <c r="T771" s="1106"/>
      <c r="U771" s="1106"/>
      <c r="V771" s="1106"/>
      <c r="W771" s="1106"/>
      <c r="X771" s="1106"/>
      <c r="Y771" s="1106"/>
      <c r="Z771" s="1106"/>
      <c r="AA771" s="1106"/>
      <c r="AB771" s="1106"/>
      <c r="AC771" s="1106"/>
      <c r="AD771" s="1106"/>
      <c r="AE771" s="1106"/>
      <c r="AF771" s="1106"/>
      <c r="AG771" s="1106"/>
      <c r="AH771" s="1106"/>
      <c r="AI771" s="1106"/>
      <c r="AJ771" s="1106"/>
      <c r="AK771" s="1106"/>
      <c r="AL771" s="1106"/>
      <c r="AM771" s="1106"/>
      <c r="AN771" s="1106"/>
      <c r="AO771" s="1106"/>
    </row>
    <row r="772">
      <c r="G772" s="1106"/>
      <c r="H772" s="1106"/>
      <c r="I772" s="1106"/>
      <c r="J772" s="1106"/>
      <c r="K772" s="1106"/>
      <c r="L772" s="1106"/>
      <c r="M772" s="1106"/>
      <c r="N772" s="1106"/>
      <c r="O772" s="1106"/>
      <c r="P772" s="1106"/>
      <c r="Q772" s="1106"/>
      <c r="R772" s="1106"/>
      <c r="S772" s="1106"/>
      <c r="T772" s="1106"/>
      <c r="U772" s="1106"/>
      <c r="V772" s="1106"/>
      <c r="W772" s="1106"/>
      <c r="X772" s="1106"/>
      <c r="Y772" s="1106"/>
      <c r="Z772" s="1106"/>
      <c r="AA772" s="1106"/>
      <c r="AB772" s="1106"/>
      <c r="AC772" s="1106"/>
      <c r="AD772" s="1106"/>
      <c r="AE772" s="1106"/>
      <c r="AF772" s="1106"/>
      <c r="AG772" s="1106"/>
      <c r="AH772" s="1106"/>
      <c r="AI772" s="1106"/>
      <c r="AJ772" s="1106"/>
      <c r="AK772" s="1106"/>
      <c r="AL772" s="1106"/>
      <c r="AM772" s="1106"/>
      <c r="AN772" s="1106"/>
      <c r="AO772" s="1106"/>
    </row>
    <row r="773">
      <c r="G773" s="1106"/>
      <c r="H773" s="1106"/>
      <c r="I773" s="1106"/>
      <c r="J773" s="1106"/>
      <c r="K773" s="1106"/>
      <c r="L773" s="1106"/>
      <c r="M773" s="1106"/>
      <c r="N773" s="1106"/>
      <c r="O773" s="1106"/>
      <c r="P773" s="1106"/>
      <c r="Q773" s="1106"/>
      <c r="R773" s="1106"/>
      <c r="S773" s="1106"/>
      <c r="T773" s="1106"/>
      <c r="U773" s="1106"/>
      <c r="V773" s="1106"/>
      <c r="W773" s="1106"/>
      <c r="X773" s="1106"/>
      <c r="Y773" s="1106"/>
      <c r="Z773" s="1106"/>
      <c r="AA773" s="1106"/>
      <c r="AB773" s="1106"/>
      <c r="AC773" s="1106"/>
      <c r="AD773" s="1106"/>
      <c r="AE773" s="1106"/>
      <c r="AF773" s="1106"/>
      <c r="AG773" s="1106"/>
      <c r="AH773" s="1106"/>
      <c r="AI773" s="1106"/>
      <c r="AJ773" s="1106"/>
      <c r="AK773" s="1106"/>
      <c r="AL773" s="1106"/>
      <c r="AM773" s="1106"/>
      <c r="AN773" s="1106"/>
      <c r="AO773" s="1106"/>
    </row>
    <row r="774">
      <c r="G774" s="1106"/>
      <c r="H774" s="1106"/>
      <c r="I774" s="1106"/>
      <c r="J774" s="1106"/>
      <c r="K774" s="1106"/>
      <c r="L774" s="1106"/>
      <c r="M774" s="1106"/>
      <c r="N774" s="1106"/>
      <c r="O774" s="1106"/>
      <c r="P774" s="1106"/>
      <c r="Q774" s="1106"/>
      <c r="R774" s="1106"/>
      <c r="S774" s="1106"/>
      <c r="T774" s="1106"/>
      <c r="U774" s="1106"/>
      <c r="V774" s="1106"/>
      <c r="W774" s="1106"/>
      <c r="X774" s="1106"/>
      <c r="Y774" s="1106"/>
      <c r="Z774" s="1106"/>
      <c r="AA774" s="1106"/>
      <c r="AB774" s="1106"/>
      <c r="AC774" s="1106"/>
      <c r="AD774" s="1106"/>
      <c r="AE774" s="1106"/>
      <c r="AF774" s="1106"/>
      <c r="AG774" s="1106"/>
      <c r="AH774" s="1106"/>
      <c r="AI774" s="1106"/>
      <c r="AJ774" s="1106"/>
      <c r="AK774" s="1106"/>
      <c r="AL774" s="1106"/>
      <c r="AM774" s="1106"/>
      <c r="AN774" s="1106"/>
      <c r="AO774" s="1106"/>
    </row>
    <row r="775">
      <c r="G775" s="1106"/>
      <c r="H775" s="1106"/>
      <c r="I775" s="1106"/>
      <c r="J775" s="1106"/>
      <c r="K775" s="1106"/>
      <c r="L775" s="1106"/>
      <c r="M775" s="1106"/>
      <c r="N775" s="1106"/>
      <c r="O775" s="1106"/>
      <c r="P775" s="1106"/>
      <c r="Q775" s="1106"/>
      <c r="R775" s="1106"/>
      <c r="S775" s="1106"/>
      <c r="T775" s="1106"/>
      <c r="U775" s="1106"/>
      <c r="V775" s="1106"/>
      <c r="W775" s="1106"/>
      <c r="X775" s="1106"/>
      <c r="Y775" s="1106"/>
      <c r="Z775" s="1106"/>
      <c r="AA775" s="1106"/>
      <c r="AB775" s="1106"/>
      <c r="AC775" s="1106"/>
      <c r="AD775" s="1106"/>
      <c r="AE775" s="1106"/>
      <c r="AF775" s="1106"/>
      <c r="AG775" s="1106"/>
      <c r="AH775" s="1106"/>
      <c r="AI775" s="1106"/>
      <c r="AJ775" s="1106"/>
      <c r="AK775" s="1106"/>
      <c r="AL775" s="1106"/>
      <c r="AM775" s="1106"/>
      <c r="AN775" s="1106"/>
      <c r="AO775" s="1106"/>
    </row>
    <row r="776">
      <c r="G776" s="1106"/>
      <c r="H776" s="1106"/>
      <c r="I776" s="1106"/>
      <c r="J776" s="1106"/>
      <c r="K776" s="1106"/>
      <c r="L776" s="1106"/>
      <c r="M776" s="1106"/>
      <c r="N776" s="1106"/>
      <c r="O776" s="1106"/>
      <c r="P776" s="1106"/>
      <c r="Q776" s="1106"/>
      <c r="R776" s="1106"/>
      <c r="S776" s="1106"/>
      <c r="T776" s="1106"/>
      <c r="U776" s="1106"/>
      <c r="V776" s="1106"/>
      <c r="W776" s="1106"/>
      <c r="X776" s="1106"/>
      <c r="Y776" s="1106"/>
      <c r="Z776" s="1106"/>
      <c r="AA776" s="1106"/>
      <c r="AB776" s="1106"/>
      <c r="AC776" s="1106"/>
      <c r="AD776" s="1106"/>
      <c r="AE776" s="1106"/>
      <c r="AF776" s="1106"/>
      <c r="AG776" s="1106"/>
      <c r="AH776" s="1106"/>
      <c r="AI776" s="1106"/>
      <c r="AJ776" s="1106"/>
      <c r="AK776" s="1106"/>
      <c r="AL776" s="1106"/>
      <c r="AM776" s="1106"/>
      <c r="AN776" s="1106"/>
      <c r="AO776" s="1106"/>
    </row>
    <row r="777">
      <c r="G777" s="1106"/>
      <c r="H777" s="1106"/>
      <c r="I777" s="1106"/>
      <c r="J777" s="1106"/>
      <c r="K777" s="1106"/>
      <c r="L777" s="1106"/>
      <c r="M777" s="1106"/>
      <c r="N777" s="1106"/>
      <c r="O777" s="1106"/>
      <c r="P777" s="1106"/>
      <c r="Q777" s="1106"/>
      <c r="R777" s="1106"/>
      <c r="S777" s="1106"/>
      <c r="T777" s="1106"/>
      <c r="U777" s="1106"/>
      <c r="V777" s="1106"/>
      <c r="W777" s="1106"/>
      <c r="X777" s="1106"/>
      <c r="Y777" s="1106"/>
      <c r="Z777" s="1106"/>
      <c r="AA777" s="1106"/>
      <c r="AB777" s="1106"/>
      <c r="AC777" s="1106"/>
      <c r="AD777" s="1106"/>
      <c r="AE777" s="1106"/>
      <c r="AF777" s="1106"/>
      <c r="AG777" s="1106"/>
      <c r="AH777" s="1106"/>
      <c r="AI777" s="1106"/>
      <c r="AJ777" s="1106"/>
      <c r="AK777" s="1106"/>
      <c r="AL777" s="1106"/>
      <c r="AM777" s="1106"/>
      <c r="AN777" s="1106"/>
      <c r="AO777" s="1106"/>
    </row>
    <row r="778">
      <c r="G778" s="1106"/>
      <c r="H778" s="1106"/>
      <c r="I778" s="1106"/>
      <c r="J778" s="1106"/>
      <c r="K778" s="1106"/>
      <c r="L778" s="1106"/>
      <c r="M778" s="1106"/>
      <c r="N778" s="1106"/>
      <c r="O778" s="1106"/>
      <c r="P778" s="1106"/>
      <c r="Q778" s="1106"/>
      <c r="R778" s="1106"/>
      <c r="S778" s="1106"/>
      <c r="T778" s="1106"/>
      <c r="U778" s="1106"/>
      <c r="V778" s="1106"/>
      <c r="W778" s="1106"/>
      <c r="X778" s="1106"/>
      <c r="Y778" s="1106"/>
      <c r="Z778" s="1106"/>
      <c r="AA778" s="1106"/>
      <c r="AB778" s="1106"/>
      <c r="AC778" s="1106"/>
      <c r="AD778" s="1106"/>
      <c r="AE778" s="1106"/>
      <c r="AF778" s="1106"/>
      <c r="AG778" s="1106"/>
      <c r="AH778" s="1106"/>
      <c r="AI778" s="1106"/>
      <c r="AJ778" s="1106"/>
      <c r="AK778" s="1106"/>
      <c r="AL778" s="1106"/>
      <c r="AM778" s="1106"/>
      <c r="AN778" s="1106"/>
      <c r="AO778" s="1106"/>
    </row>
    <row r="779">
      <c r="G779" s="1106"/>
      <c r="H779" s="1106"/>
      <c r="I779" s="1106"/>
      <c r="J779" s="1106"/>
      <c r="K779" s="1106"/>
      <c r="L779" s="1106"/>
      <c r="M779" s="1106"/>
      <c r="N779" s="1106"/>
      <c r="O779" s="1106"/>
      <c r="P779" s="1106"/>
      <c r="Q779" s="1106"/>
      <c r="R779" s="1106"/>
      <c r="S779" s="1106"/>
      <c r="T779" s="1106"/>
      <c r="U779" s="1106"/>
      <c r="V779" s="1106"/>
      <c r="W779" s="1106"/>
      <c r="X779" s="1106"/>
      <c r="Y779" s="1106"/>
      <c r="Z779" s="1106"/>
      <c r="AA779" s="1106"/>
      <c r="AB779" s="1106"/>
      <c r="AC779" s="1106"/>
      <c r="AD779" s="1106"/>
      <c r="AE779" s="1106"/>
      <c r="AF779" s="1106"/>
      <c r="AG779" s="1106"/>
      <c r="AH779" s="1106"/>
      <c r="AI779" s="1106"/>
      <c r="AJ779" s="1106"/>
      <c r="AK779" s="1106"/>
      <c r="AL779" s="1106"/>
      <c r="AM779" s="1106"/>
      <c r="AN779" s="1106"/>
      <c r="AO779" s="1106"/>
    </row>
    <row r="780">
      <c r="G780" s="1106"/>
      <c r="H780" s="1106"/>
      <c r="I780" s="1106"/>
      <c r="J780" s="1106"/>
      <c r="K780" s="1106"/>
      <c r="L780" s="1106"/>
      <c r="M780" s="1106"/>
      <c r="N780" s="1106"/>
      <c r="O780" s="1106"/>
      <c r="P780" s="1106"/>
      <c r="Q780" s="1106"/>
      <c r="R780" s="1106"/>
      <c r="S780" s="1106"/>
      <c r="T780" s="1106"/>
      <c r="U780" s="1106"/>
      <c r="V780" s="1106"/>
      <c r="W780" s="1106"/>
      <c r="X780" s="1106"/>
      <c r="Y780" s="1106"/>
      <c r="Z780" s="1106"/>
      <c r="AA780" s="1106"/>
      <c r="AB780" s="1106"/>
      <c r="AC780" s="1106"/>
      <c r="AD780" s="1106"/>
      <c r="AE780" s="1106"/>
      <c r="AF780" s="1106"/>
      <c r="AG780" s="1106"/>
      <c r="AH780" s="1106"/>
      <c r="AI780" s="1106"/>
      <c r="AJ780" s="1106"/>
      <c r="AK780" s="1106"/>
      <c r="AL780" s="1106"/>
      <c r="AM780" s="1106"/>
      <c r="AN780" s="1106"/>
      <c r="AO780" s="1106"/>
    </row>
    <row r="781">
      <c r="G781" s="1106"/>
      <c r="H781" s="1106"/>
      <c r="I781" s="1106"/>
      <c r="J781" s="1106"/>
      <c r="K781" s="1106"/>
      <c r="L781" s="1106"/>
      <c r="M781" s="1106"/>
      <c r="N781" s="1106"/>
      <c r="O781" s="1106"/>
      <c r="P781" s="1106"/>
      <c r="Q781" s="1106"/>
      <c r="R781" s="1106"/>
      <c r="S781" s="1106"/>
      <c r="T781" s="1106"/>
      <c r="U781" s="1106"/>
      <c r="V781" s="1106"/>
      <c r="W781" s="1106"/>
      <c r="X781" s="1106"/>
      <c r="Y781" s="1106"/>
      <c r="Z781" s="1106"/>
      <c r="AA781" s="1106"/>
      <c r="AB781" s="1106"/>
      <c r="AC781" s="1106"/>
      <c r="AD781" s="1106"/>
      <c r="AE781" s="1106"/>
      <c r="AF781" s="1106"/>
      <c r="AG781" s="1106"/>
      <c r="AH781" s="1106"/>
      <c r="AI781" s="1106"/>
      <c r="AJ781" s="1106"/>
      <c r="AK781" s="1106"/>
      <c r="AL781" s="1106"/>
      <c r="AM781" s="1106"/>
      <c r="AN781" s="1106"/>
      <c r="AO781" s="1106"/>
    </row>
    <row r="782">
      <c r="G782" s="1106"/>
      <c r="H782" s="1106"/>
      <c r="I782" s="1106"/>
      <c r="J782" s="1106"/>
      <c r="K782" s="1106"/>
      <c r="L782" s="1106"/>
      <c r="M782" s="1106"/>
      <c r="N782" s="1106"/>
      <c r="O782" s="1106"/>
      <c r="P782" s="1106"/>
      <c r="Q782" s="1106"/>
      <c r="R782" s="1106"/>
      <c r="S782" s="1106"/>
      <c r="T782" s="1106"/>
      <c r="U782" s="1106"/>
      <c r="V782" s="1106"/>
      <c r="W782" s="1106"/>
      <c r="X782" s="1106"/>
      <c r="Y782" s="1106"/>
      <c r="Z782" s="1106"/>
      <c r="AA782" s="1106"/>
      <c r="AB782" s="1106"/>
      <c r="AC782" s="1106"/>
      <c r="AD782" s="1106"/>
      <c r="AE782" s="1106"/>
      <c r="AF782" s="1106"/>
      <c r="AG782" s="1106"/>
      <c r="AH782" s="1106"/>
      <c r="AI782" s="1106"/>
      <c r="AJ782" s="1106"/>
      <c r="AK782" s="1106"/>
      <c r="AL782" s="1106"/>
      <c r="AM782" s="1106"/>
      <c r="AN782" s="1106"/>
      <c r="AO782" s="1106"/>
    </row>
    <row r="783">
      <c r="G783" s="1106"/>
      <c r="H783" s="1106"/>
      <c r="I783" s="1106"/>
      <c r="J783" s="1106"/>
      <c r="K783" s="1106"/>
      <c r="L783" s="1106"/>
      <c r="M783" s="1106"/>
      <c r="N783" s="1106"/>
      <c r="O783" s="1106"/>
      <c r="P783" s="1106"/>
      <c r="Q783" s="1106"/>
      <c r="R783" s="1106"/>
      <c r="S783" s="1106"/>
      <c r="T783" s="1106"/>
      <c r="U783" s="1106"/>
      <c r="V783" s="1106"/>
      <c r="W783" s="1106"/>
      <c r="X783" s="1106"/>
      <c r="Y783" s="1106"/>
      <c r="Z783" s="1106"/>
      <c r="AA783" s="1106"/>
      <c r="AB783" s="1106"/>
      <c r="AC783" s="1106"/>
      <c r="AD783" s="1106"/>
      <c r="AE783" s="1106"/>
      <c r="AF783" s="1106"/>
      <c r="AG783" s="1106"/>
      <c r="AH783" s="1106"/>
      <c r="AI783" s="1106"/>
      <c r="AJ783" s="1106"/>
      <c r="AK783" s="1106"/>
      <c r="AL783" s="1106"/>
      <c r="AM783" s="1106"/>
      <c r="AN783" s="1106"/>
      <c r="AO783" s="1106"/>
    </row>
    <row r="784">
      <c r="G784" s="1106"/>
      <c r="H784" s="1106"/>
      <c r="I784" s="1106"/>
      <c r="J784" s="1106"/>
      <c r="K784" s="1106"/>
      <c r="L784" s="1106"/>
      <c r="M784" s="1106"/>
      <c r="N784" s="1106"/>
      <c r="O784" s="1106"/>
      <c r="P784" s="1106"/>
      <c r="Q784" s="1106"/>
      <c r="R784" s="1106"/>
      <c r="S784" s="1106"/>
      <c r="T784" s="1106"/>
      <c r="U784" s="1106"/>
      <c r="V784" s="1106"/>
      <c r="W784" s="1106"/>
      <c r="X784" s="1106"/>
      <c r="Y784" s="1106"/>
      <c r="Z784" s="1106"/>
      <c r="AA784" s="1106"/>
      <c r="AB784" s="1106"/>
      <c r="AC784" s="1106"/>
      <c r="AD784" s="1106"/>
      <c r="AE784" s="1106"/>
      <c r="AF784" s="1106"/>
      <c r="AG784" s="1106"/>
      <c r="AH784" s="1106"/>
      <c r="AI784" s="1106"/>
      <c r="AJ784" s="1106"/>
      <c r="AK784" s="1106"/>
      <c r="AL784" s="1106"/>
      <c r="AM784" s="1106"/>
      <c r="AN784" s="1106"/>
      <c r="AO784" s="1106"/>
    </row>
    <row r="785">
      <c r="G785" s="1106"/>
      <c r="H785" s="1106"/>
      <c r="I785" s="1106"/>
      <c r="J785" s="1106"/>
      <c r="K785" s="1106"/>
      <c r="L785" s="1106"/>
      <c r="M785" s="1106"/>
      <c r="N785" s="1106"/>
      <c r="O785" s="1106"/>
      <c r="P785" s="1106"/>
      <c r="Q785" s="1106"/>
      <c r="R785" s="1106"/>
      <c r="S785" s="1106"/>
      <c r="T785" s="1106"/>
      <c r="U785" s="1106"/>
      <c r="V785" s="1106"/>
      <c r="W785" s="1106"/>
      <c r="X785" s="1106"/>
      <c r="Y785" s="1106"/>
      <c r="Z785" s="1106"/>
      <c r="AA785" s="1106"/>
      <c r="AB785" s="1106"/>
      <c r="AC785" s="1106"/>
      <c r="AD785" s="1106"/>
      <c r="AE785" s="1106"/>
      <c r="AF785" s="1106"/>
      <c r="AG785" s="1106"/>
      <c r="AH785" s="1106"/>
      <c r="AI785" s="1106"/>
      <c r="AJ785" s="1106"/>
      <c r="AK785" s="1106"/>
      <c r="AL785" s="1106"/>
      <c r="AM785" s="1106"/>
      <c r="AN785" s="1106"/>
      <c r="AO785" s="1106"/>
    </row>
    <row r="786">
      <c r="G786" s="1106"/>
      <c r="H786" s="1106"/>
      <c r="I786" s="1106"/>
      <c r="J786" s="1106"/>
      <c r="K786" s="1106"/>
      <c r="L786" s="1106"/>
      <c r="M786" s="1106"/>
      <c r="N786" s="1106"/>
      <c r="O786" s="1106"/>
      <c r="P786" s="1106"/>
      <c r="Q786" s="1106"/>
      <c r="R786" s="1106"/>
      <c r="S786" s="1106"/>
      <c r="T786" s="1106"/>
      <c r="U786" s="1106"/>
      <c r="V786" s="1106"/>
      <c r="W786" s="1106"/>
      <c r="X786" s="1106"/>
      <c r="Y786" s="1106"/>
      <c r="Z786" s="1106"/>
      <c r="AA786" s="1106"/>
      <c r="AB786" s="1106"/>
      <c r="AC786" s="1106"/>
      <c r="AD786" s="1106"/>
      <c r="AE786" s="1106"/>
      <c r="AF786" s="1106"/>
      <c r="AG786" s="1106"/>
      <c r="AH786" s="1106"/>
      <c r="AI786" s="1106"/>
      <c r="AJ786" s="1106"/>
      <c r="AK786" s="1106"/>
      <c r="AL786" s="1106"/>
      <c r="AM786" s="1106"/>
      <c r="AN786" s="1106"/>
      <c r="AO786" s="1106"/>
    </row>
    <row r="787">
      <c r="G787" s="1106"/>
      <c r="H787" s="1106"/>
      <c r="I787" s="1106"/>
      <c r="J787" s="1106"/>
      <c r="K787" s="1106"/>
      <c r="L787" s="1106"/>
      <c r="M787" s="1106"/>
      <c r="N787" s="1106"/>
      <c r="O787" s="1106"/>
      <c r="P787" s="1106"/>
      <c r="Q787" s="1106"/>
      <c r="R787" s="1106"/>
      <c r="S787" s="1106"/>
      <c r="T787" s="1106"/>
      <c r="U787" s="1106"/>
      <c r="V787" s="1106"/>
      <c r="W787" s="1106"/>
      <c r="X787" s="1106"/>
      <c r="Y787" s="1106"/>
      <c r="Z787" s="1106"/>
      <c r="AA787" s="1106"/>
      <c r="AB787" s="1106"/>
      <c r="AC787" s="1106"/>
      <c r="AD787" s="1106"/>
      <c r="AE787" s="1106"/>
      <c r="AF787" s="1106"/>
      <c r="AG787" s="1106"/>
      <c r="AH787" s="1106"/>
      <c r="AI787" s="1106"/>
      <c r="AJ787" s="1106"/>
      <c r="AK787" s="1106"/>
      <c r="AL787" s="1106"/>
      <c r="AM787" s="1106"/>
      <c r="AN787" s="1106"/>
      <c r="AO787" s="1106"/>
    </row>
    <row r="788">
      <c r="G788" s="1106"/>
      <c r="H788" s="1106"/>
      <c r="I788" s="1106"/>
      <c r="J788" s="1106"/>
      <c r="K788" s="1106"/>
      <c r="L788" s="1106"/>
      <c r="M788" s="1106"/>
      <c r="N788" s="1106"/>
      <c r="O788" s="1106"/>
      <c r="P788" s="1106"/>
      <c r="Q788" s="1106"/>
      <c r="R788" s="1106"/>
      <c r="S788" s="1106"/>
      <c r="T788" s="1106"/>
      <c r="U788" s="1106"/>
      <c r="V788" s="1106"/>
      <c r="W788" s="1106"/>
      <c r="X788" s="1106"/>
      <c r="Y788" s="1106"/>
      <c r="Z788" s="1106"/>
      <c r="AA788" s="1106"/>
      <c r="AB788" s="1106"/>
      <c r="AC788" s="1106"/>
      <c r="AD788" s="1106"/>
      <c r="AE788" s="1106"/>
      <c r="AF788" s="1106"/>
      <c r="AG788" s="1106"/>
      <c r="AH788" s="1106"/>
      <c r="AI788" s="1106"/>
      <c r="AJ788" s="1106"/>
      <c r="AK788" s="1106"/>
      <c r="AL788" s="1106"/>
      <c r="AM788" s="1106"/>
      <c r="AN788" s="1106"/>
      <c r="AO788" s="1106"/>
    </row>
    <row r="789">
      <c r="G789" s="1106"/>
      <c r="H789" s="1106"/>
      <c r="I789" s="1106"/>
      <c r="J789" s="1106"/>
      <c r="K789" s="1106"/>
      <c r="L789" s="1106"/>
      <c r="M789" s="1106"/>
      <c r="N789" s="1106"/>
      <c r="O789" s="1106"/>
      <c r="P789" s="1106"/>
      <c r="Q789" s="1106"/>
      <c r="R789" s="1106"/>
      <c r="S789" s="1106"/>
      <c r="T789" s="1106"/>
      <c r="U789" s="1106"/>
      <c r="V789" s="1106"/>
      <c r="W789" s="1106"/>
      <c r="X789" s="1106"/>
      <c r="Y789" s="1106"/>
      <c r="Z789" s="1106"/>
      <c r="AA789" s="1106"/>
      <c r="AB789" s="1106"/>
      <c r="AC789" s="1106"/>
      <c r="AD789" s="1106"/>
      <c r="AE789" s="1106"/>
      <c r="AF789" s="1106"/>
      <c r="AG789" s="1106"/>
      <c r="AH789" s="1106"/>
      <c r="AI789" s="1106"/>
      <c r="AJ789" s="1106"/>
      <c r="AK789" s="1106"/>
      <c r="AL789" s="1106"/>
      <c r="AM789" s="1106"/>
      <c r="AN789" s="1106"/>
      <c r="AO789" s="1106"/>
    </row>
    <row r="790">
      <c r="G790" s="1106"/>
      <c r="H790" s="1106"/>
      <c r="I790" s="1106"/>
      <c r="J790" s="1106"/>
      <c r="K790" s="1106"/>
      <c r="L790" s="1106"/>
      <c r="M790" s="1106"/>
      <c r="N790" s="1106"/>
      <c r="O790" s="1106"/>
      <c r="P790" s="1106"/>
      <c r="Q790" s="1106"/>
      <c r="R790" s="1106"/>
      <c r="S790" s="1106"/>
      <c r="T790" s="1106"/>
      <c r="U790" s="1106"/>
      <c r="V790" s="1106"/>
      <c r="W790" s="1106"/>
      <c r="X790" s="1106"/>
      <c r="Y790" s="1106"/>
      <c r="Z790" s="1106"/>
      <c r="AA790" s="1106"/>
      <c r="AB790" s="1106"/>
      <c r="AC790" s="1106"/>
      <c r="AD790" s="1106"/>
      <c r="AE790" s="1106"/>
      <c r="AF790" s="1106"/>
      <c r="AG790" s="1106"/>
      <c r="AH790" s="1106"/>
      <c r="AI790" s="1106"/>
      <c r="AJ790" s="1106"/>
      <c r="AK790" s="1106"/>
      <c r="AL790" s="1106"/>
      <c r="AM790" s="1106"/>
      <c r="AN790" s="1106"/>
      <c r="AO790" s="1106"/>
    </row>
    <row r="791">
      <c r="G791" s="1106"/>
      <c r="H791" s="1106"/>
      <c r="I791" s="1106"/>
      <c r="J791" s="1106"/>
      <c r="K791" s="1106"/>
      <c r="L791" s="1106"/>
      <c r="M791" s="1106"/>
      <c r="N791" s="1106"/>
      <c r="O791" s="1106"/>
      <c r="P791" s="1106"/>
      <c r="Q791" s="1106"/>
      <c r="R791" s="1106"/>
      <c r="S791" s="1106"/>
      <c r="T791" s="1106"/>
      <c r="U791" s="1106"/>
      <c r="V791" s="1106"/>
      <c r="W791" s="1106"/>
      <c r="X791" s="1106"/>
      <c r="Y791" s="1106"/>
      <c r="Z791" s="1106"/>
      <c r="AA791" s="1106"/>
      <c r="AB791" s="1106"/>
      <c r="AC791" s="1106"/>
      <c r="AD791" s="1106"/>
      <c r="AE791" s="1106"/>
      <c r="AF791" s="1106"/>
      <c r="AG791" s="1106"/>
      <c r="AH791" s="1106"/>
      <c r="AI791" s="1106"/>
      <c r="AJ791" s="1106"/>
      <c r="AK791" s="1106"/>
      <c r="AL791" s="1106"/>
      <c r="AM791" s="1106"/>
      <c r="AN791" s="1106"/>
      <c r="AO791" s="1106"/>
    </row>
    <row r="792">
      <c r="G792" s="1106"/>
      <c r="H792" s="1106"/>
      <c r="I792" s="1106"/>
      <c r="J792" s="1106"/>
      <c r="K792" s="1106"/>
      <c r="L792" s="1106"/>
      <c r="M792" s="1106"/>
      <c r="N792" s="1106"/>
      <c r="O792" s="1106"/>
      <c r="P792" s="1106"/>
      <c r="Q792" s="1106"/>
      <c r="R792" s="1106"/>
      <c r="S792" s="1106"/>
      <c r="T792" s="1106"/>
      <c r="U792" s="1106"/>
      <c r="V792" s="1106"/>
      <c r="W792" s="1106"/>
      <c r="X792" s="1106"/>
      <c r="Y792" s="1106"/>
      <c r="Z792" s="1106"/>
      <c r="AA792" s="1106"/>
      <c r="AB792" s="1106"/>
      <c r="AC792" s="1106"/>
      <c r="AD792" s="1106"/>
      <c r="AE792" s="1106"/>
      <c r="AF792" s="1106"/>
      <c r="AG792" s="1106"/>
      <c r="AH792" s="1106"/>
      <c r="AI792" s="1106"/>
      <c r="AJ792" s="1106"/>
      <c r="AK792" s="1106"/>
      <c r="AL792" s="1106"/>
      <c r="AM792" s="1106"/>
      <c r="AN792" s="1106"/>
      <c r="AO792" s="1106"/>
    </row>
    <row r="793">
      <c r="G793" s="1106"/>
      <c r="H793" s="1106"/>
      <c r="I793" s="1106"/>
      <c r="J793" s="1106"/>
      <c r="K793" s="1106"/>
      <c r="L793" s="1106"/>
      <c r="M793" s="1106"/>
      <c r="N793" s="1106"/>
      <c r="O793" s="1106"/>
      <c r="P793" s="1106"/>
      <c r="Q793" s="1106"/>
      <c r="R793" s="1106"/>
      <c r="S793" s="1106"/>
      <c r="T793" s="1106"/>
      <c r="U793" s="1106"/>
      <c r="V793" s="1106"/>
      <c r="W793" s="1106"/>
      <c r="X793" s="1106"/>
      <c r="Y793" s="1106"/>
      <c r="Z793" s="1106"/>
      <c r="AA793" s="1106"/>
      <c r="AB793" s="1106"/>
      <c r="AC793" s="1106"/>
      <c r="AD793" s="1106"/>
      <c r="AE793" s="1106"/>
      <c r="AF793" s="1106"/>
      <c r="AG793" s="1106"/>
      <c r="AH793" s="1106"/>
      <c r="AI793" s="1106"/>
      <c r="AJ793" s="1106"/>
      <c r="AK793" s="1106"/>
      <c r="AL793" s="1106"/>
      <c r="AM793" s="1106"/>
      <c r="AN793" s="1106"/>
      <c r="AO793" s="1106"/>
    </row>
    <row r="794">
      <c r="G794" s="1106"/>
      <c r="H794" s="1106"/>
      <c r="I794" s="1106"/>
      <c r="J794" s="1106"/>
      <c r="K794" s="1106"/>
      <c r="L794" s="1106"/>
      <c r="M794" s="1106"/>
      <c r="N794" s="1106"/>
      <c r="O794" s="1106"/>
      <c r="P794" s="1106"/>
      <c r="Q794" s="1106"/>
      <c r="R794" s="1106"/>
      <c r="S794" s="1106"/>
      <c r="T794" s="1106"/>
      <c r="U794" s="1106"/>
      <c r="V794" s="1106"/>
      <c r="W794" s="1106"/>
      <c r="X794" s="1106"/>
      <c r="Y794" s="1106"/>
      <c r="Z794" s="1106"/>
      <c r="AA794" s="1106"/>
      <c r="AB794" s="1106"/>
      <c r="AC794" s="1106"/>
      <c r="AD794" s="1106"/>
      <c r="AE794" s="1106"/>
      <c r="AF794" s="1106"/>
      <c r="AG794" s="1106"/>
      <c r="AH794" s="1106"/>
      <c r="AI794" s="1106"/>
      <c r="AJ794" s="1106"/>
      <c r="AK794" s="1106"/>
      <c r="AL794" s="1106"/>
      <c r="AM794" s="1106"/>
      <c r="AN794" s="1106"/>
      <c r="AO794" s="1106"/>
    </row>
    <row r="795">
      <c r="G795" s="1106"/>
      <c r="H795" s="1106"/>
      <c r="I795" s="1106"/>
      <c r="J795" s="1106"/>
      <c r="K795" s="1106"/>
      <c r="L795" s="1106"/>
      <c r="M795" s="1106"/>
      <c r="N795" s="1106"/>
      <c r="O795" s="1106"/>
      <c r="P795" s="1106"/>
      <c r="Q795" s="1106"/>
      <c r="R795" s="1106"/>
      <c r="S795" s="1106"/>
      <c r="T795" s="1106"/>
      <c r="U795" s="1106"/>
      <c r="V795" s="1106"/>
      <c r="W795" s="1106"/>
      <c r="X795" s="1106"/>
      <c r="Y795" s="1106"/>
      <c r="Z795" s="1106"/>
      <c r="AA795" s="1106"/>
      <c r="AB795" s="1106"/>
      <c r="AC795" s="1106"/>
      <c r="AD795" s="1106"/>
      <c r="AE795" s="1106"/>
      <c r="AF795" s="1106"/>
      <c r="AG795" s="1106"/>
      <c r="AH795" s="1106"/>
      <c r="AI795" s="1106"/>
      <c r="AJ795" s="1106"/>
      <c r="AK795" s="1106"/>
      <c r="AL795" s="1106"/>
      <c r="AM795" s="1106"/>
      <c r="AN795" s="1106"/>
      <c r="AO795" s="1106"/>
    </row>
    <row r="796">
      <c r="G796" s="1106"/>
      <c r="H796" s="1106"/>
      <c r="I796" s="1106"/>
      <c r="J796" s="1106"/>
      <c r="K796" s="1106"/>
      <c r="L796" s="1106"/>
      <c r="M796" s="1106"/>
      <c r="N796" s="1106"/>
      <c r="O796" s="1106"/>
      <c r="P796" s="1106"/>
      <c r="Q796" s="1106"/>
      <c r="R796" s="1106"/>
      <c r="S796" s="1106"/>
      <c r="T796" s="1106"/>
      <c r="U796" s="1106"/>
      <c r="V796" s="1106"/>
      <c r="W796" s="1106"/>
      <c r="X796" s="1106"/>
      <c r="Y796" s="1106"/>
      <c r="Z796" s="1106"/>
      <c r="AA796" s="1106"/>
      <c r="AB796" s="1106"/>
      <c r="AC796" s="1106"/>
      <c r="AD796" s="1106"/>
      <c r="AE796" s="1106"/>
      <c r="AF796" s="1106"/>
      <c r="AG796" s="1106"/>
      <c r="AH796" s="1106"/>
      <c r="AI796" s="1106"/>
      <c r="AJ796" s="1106"/>
      <c r="AK796" s="1106"/>
      <c r="AL796" s="1106"/>
      <c r="AM796" s="1106"/>
      <c r="AN796" s="1106"/>
      <c r="AO796" s="1106"/>
    </row>
    <row r="797">
      <c r="G797" s="1106"/>
      <c r="H797" s="1106"/>
      <c r="I797" s="1106"/>
      <c r="J797" s="1106"/>
      <c r="K797" s="1106"/>
      <c r="L797" s="1106"/>
      <c r="M797" s="1106"/>
      <c r="N797" s="1106"/>
      <c r="O797" s="1106"/>
      <c r="P797" s="1106"/>
      <c r="Q797" s="1106"/>
      <c r="R797" s="1106"/>
      <c r="S797" s="1106"/>
      <c r="T797" s="1106"/>
      <c r="U797" s="1106"/>
      <c r="V797" s="1106"/>
      <c r="W797" s="1106"/>
      <c r="X797" s="1106"/>
      <c r="Y797" s="1106"/>
      <c r="Z797" s="1106"/>
      <c r="AA797" s="1106"/>
      <c r="AB797" s="1106"/>
      <c r="AC797" s="1106"/>
      <c r="AD797" s="1106"/>
      <c r="AE797" s="1106"/>
      <c r="AF797" s="1106"/>
      <c r="AG797" s="1106"/>
      <c r="AH797" s="1106"/>
      <c r="AI797" s="1106"/>
      <c r="AJ797" s="1106"/>
      <c r="AK797" s="1106"/>
      <c r="AL797" s="1106"/>
      <c r="AM797" s="1106"/>
      <c r="AN797" s="1106"/>
      <c r="AO797" s="1106"/>
    </row>
    <row r="798">
      <c r="G798" s="1106"/>
      <c r="H798" s="1106"/>
      <c r="I798" s="1106"/>
      <c r="J798" s="1106"/>
      <c r="K798" s="1106"/>
      <c r="L798" s="1106"/>
      <c r="M798" s="1106"/>
      <c r="N798" s="1106"/>
      <c r="O798" s="1106"/>
      <c r="P798" s="1106"/>
      <c r="Q798" s="1106"/>
      <c r="R798" s="1106"/>
      <c r="S798" s="1106"/>
      <c r="T798" s="1106"/>
      <c r="U798" s="1106"/>
      <c r="V798" s="1106"/>
      <c r="W798" s="1106"/>
      <c r="X798" s="1106"/>
      <c r="Y798" s="1106"/>
      <c r="Z798" s="1106"/>
      <c r="AA798" s="1106"/>
      <c r="AB798" s="1106"/>
      <c r="AC798" s="1106"/>
      <c r="AD798" s="1106"/>
      <c r="AE798" s="1106"/>
      <c r="AF798" s="1106"/>
      <c r="AG798" s="1106"/>
      <c r="AH798" s="1106"/>
      <c r="AI798" s="1106"/>
      <c r="AJ798" s="1106"/>
      <c r="AK798" s="1106"/>
      <c r="AL798" s="1106"/>
      <c r="AM798" s="1106"/>
      <c r="AN798" s="1106"/>
      <c r="AO798" s="1106"/>
    </row>
    <row r="799">
      <c r="G799" s="1106"/>
      <c r="H799" s="1106"/>
      <c r="I799" s="1106"/>
      <c r="J799" s="1106"/>
      <c r="K799" s="1106"/>
      <c r="L799" s="1106"/>
      <c r="M799" s="1106"/>
      <c r="N799" s="1106"/>
      <c r="O799" s="1106"/>
      <c r="P799" s="1106"/>
      <c r="Q799" s="1106"/>
      <c r="R799" s="1106"/>
      <c r="S799" s="1106"/>
      <c r="T799" s="1106"/>
      <c r="U799" s="1106"/>
      <c r="V799" s="1106"/>
      <c r="W799" s="1106"/>
      <c r="X799" s="1106"/>
      <c r="Y799" s="1106"/>
      <c r="Z799" s="1106"/>
      <c r="AA799" s="1106"/>
      <c r="AB799" s="1106"/>
      <c r="AC799" s="1106"/>
      <c r="AD799" s="1106"/>
      <c r="AE799" s="1106"/>
      <c r="AF799" s="1106"/>
      <c r="AG799" s="1106"/>
      <c r="AH799" s="1106"/>
      <c r="AI799" s="1106"/>
      <c r="AJ799" s="1106"/>
      <c r="AK799" s="1106"/>
      <c r="AL799" s="1106"/>
      <c r="AM799" s="1106"/>
      <c r="AN799" s="1106"/>
      <c r="AO799" s="1106"/>
    </row>
    <row r="800">
      <c r="G800" s="1106"/>
      <c r="H800" s="1106"/>
      <c r="I800" s="1106"/>
      <c r="J800" s="1106"/>
      <c r="K800" s="1106"/>
      <c r="L800" s="1106"/>
      <c r="M800" s="1106"/>
      <c r="N800" s="1106"/>
      <c r="O800" s="1106"/>
      <c r="P800" s="1106"/>
      <c r="Q800" s="1106"/>
      <c r="R800" s="1106"/>
      <c r="S800" s="1106"/>
      <c r="T800" s="1106"/>
      <c r="U800" s="1106"/>
      <c r="V800" s="1106"/>
      <c r="W800" s="1106"/>
      <c r="X800" s="1106"/>
      <c r="Y800" s="1106"/>
      <c r="Z800" s="1106"/>
      <c r="AA800" s="1106"/>
      <c r="AB800" s="1106"/>
      <c r="AC800" s="1106"/>
      <c r="AD800" s="1106"/>
      <c r="AE800" s="1106"/>
      <c r="AF800" s="1106"/>
      <c r="AG800" s="1106"/>
      <c r="AH800" s="1106"/>
      <c r="AI800" s="1106"/>
      <c r="AJ800" s="1106"/>
      <c r="AK800" s="1106"/>
      <c r="AL800" s="1106"/>
      <c r="AM800" s="1106"/>
      <c r="AN800" s="1106"/>
      <c r="AO800" s="1106"/>
    </row>
    <row r="801">
      <c r="G801" s="1106"/>
      <c r="H801" s="1106"/>
      <c r="I801" s="1106"/>
      <c r="J801" s="1106"/>
      <c r="K801" s="1106"/>
      <c r="L801" s="1106"/>
      <c r="M801" s="1106"/>
      <c r="N801" s="1106"/>
      <c r="O801" s="1106"/>
      <c r="P801" s="1106"/>
      <c r="Q801" s="1106"/>
      <c r="R801" s="1106"/>
      <c r="S801" s="1106"/>
      <c r="T801" s="1106"/>
      <c r="U801" s="1106"/>
      <c r="V801" s="1106"/>
      <c r="W801" s="1106"/>
      <c r="X801" s="1106"/>
      <c r="Y801" s="1106"/>
      <c r="Z801" s="1106"/>
      <c r="AA801" s="1106"/>
      <c r="AB801" s="1106"/>
      <c r="AC801" s="1106"/>
      <c r="AD801" s="1106"/>
      <c r="AE801" s="1106"/>
      <c r="AF801" s="1106"/>
      <c r="AG801" s="1106"/>
      <c r="AH801" s="1106"/>
      <c r="AI801" s="1106"/>
      <c r="AJ801" s="1106"/>
      <c r="AK801" s="1106"/>
      <c r="AL801" s="1106"/>
      <c r="AM801" s="1106"/>
      <c r="AN801" s="1106"/>
      <c r="AO801" s="1106"/>
    </row>
    <row r="802">
      <c r="G802" s="1106"/>
      <c r="H802" s="1106"/>
      <c r="I802" s="1106"/>
      <c r="J802" s="1106"/>
      <c r="K802" s="1106"/>
      <c r="L802" s="1106"/>
      <c r="M802" s="1106"/>
      <c r="N802" s="1106"/>
      <c r="O802" s="1106"/>
      <c r="P802" s="1106"/>
      <c r="Q802" s="1106"/>
      <c r="R802" s="1106"/>
      <c r="S802" s="1106"/>
      <c r="T802" s="1106"/>
      <c r="U802" s="1106"/>
      <c r="V802" s="1106"/>
      <c r="W802" s="1106"/>
      <c r="X802" s="1106"/>
      <c r="Y802" s="1106"/>
      <c r="Z802" s="1106"/>
      <c r="AA802" s="1106"/>
      <c r="AB802" s="1106"/>
      <c r="AC802" s="1106"/>
      <c r="AD802" s="1106"/>
      <c r="AE802" s="1106"/>
      <c r="AF802" s="1106"/>
      <c r="AG802" s="1106"/>
      <c r="AH802" s="1106"/>
      <c r="AI802" s="1106"/>
      <c r="AJ802" s="1106"/>
      <c r="AK802" s="1106"/>
      <c r="AL802" s="1106"/>
      <c r="AM802" s="1106"/>
      <c r="AN802" s="1106"/>
      <c r="AO802" s="1106"/>
    </row>
    <row r="803">
      <c r="G803" s="1106"/>
      <c r="H803" s="1106"/>
      <c r="I803" s="1106"/>
      <c r="J803" s="1106"/>
      <c r="K803" s="1106"/>
      <c r="L803" s="1106"/>
      <c r="M803" s="1106"/>
      <c r="N803" s="1106"/>
      <c r="O803" s="1106"/>
      <c r="P803" s="1106"/>
      <c r="Q803" s="1106"/>
      <c r="R803" s="1106"/>
      <c r="S803" s="1106"/>
      <c r="T803" s="1106"/>
      <c r="U803" s="1106"/>
      <c r="V803" s="1106"/>
      <c r="W803" s="1106"/>
      <c r="X803" s="1106"/>
      <c r="Y803" s="1106"/>
      <c r="Z803" s="1106"/>
      <c r="AA803" s="1106"/>
      <c r="AB803" s="1106"/>
      <c r="AC803" s="1106"/>
      <c r="AD803" s="1106"/>
      <c r="AE803" s="1106"/>
      <c r="AF803" s="1106"/>
      <c r="AG803" s="1106"/>
      <c r="AH803" s="1106"/>
      <c r="AI803" s="1106"/>
      <c r="AJ803" s="1106"/>
      <c r="AK803" s="1106"/>
      <c r="AL803" s="1106"/>
      <c r="AM803" s="1106"/>
      <c r="AN803" s="1106"/>
      <c r="AO803" s="1106"/>
    </row>
    <row r="804">
      <c r="G804" s="1106"/>
      <c r="H804" s="1106"/>
      <c r="I804" s="1106"/>
      <c r="J804" s="1106"/>
      <c r="K804" s="1106"/>
      <c r="L804" s="1106"/>
      <c r="M804" s="1106"/>
      <c r="N804" s="1106"/>
      <c r="O804" s="1106"/>
      <c r="P804" s="1106"/>
      <c r="Q804" s="1106"/>
      <c r="R804" s="1106"/>
      <c r="S804" s="1106"/>
      <c r="T804" s="1106"/>
      <c r="U804" s="1106"/>
      <c r="V804" s="1106"/>
      <c r="W804" s="1106"/>
      <c r="X804" s="1106"/>
      <c r="Y804" s="1106"/>
      <c r="Z804" s="1106"/>
      <c r="AA804" s="1106"/>
      <c r="AB804" s="1106"/>
      <c r="AC804" s="1106"/>
      <c r="AD804" s="1106"/>
      <c r="AE804" s="1106"/>
      <c r="AF804" s="1106"/>
      <c r="AG804" s="1106"/>
      <c r="AH804" s="1106"/>
      <c r="AI804" s="1106"/>
      <c r="AJ804" s="1106"/>
      <c r="AK804" s="1106"/>
      <c r="AL804" s="1106"/>
      <c r="AM804" s="1106"/>
      <c r="AN804" s="1106"/>
      <c r="AO804" s="1106"/>
    </row>
    <row r="805">
      <c r="G805" s="1106"/>
      <c r="H805" s="1106"/>
      <c r="I805" s="1106"/>
      <c r="J805" s="1106"/>
      <c r="K805" s="1106"/>
      <c r="L805" s="1106"/>
      <c r="M805" s="1106"/>
      <c r="N805" s="1106"/>
      <c r="O805" s="1106"/>
      <c r="P805" s="1106"/>
      <c r="Q805" s="1106"/>
      <c r="R805" s="1106"/>
      <c r="S805" s="1106"/>
      <c r="T805" s="1106"/>
      <c r="U805" s="1106"/>
      <c r="V805" s="1106"/>
      <c r="W805" s="1106"/>
      <c r="X805" s="1106"/>
      <c r="Y805" s="1106"/>
      <c r="Z805" s="1106"/>
      <c r="AA805" s="1106"/>
      <c r="AB805" s="1106"/>
      <c r="AC805" s="1106"/>
      <c r="AD805" s="1106"/>
      <c r="AE805" s="1106"/>
      <c r="AF805" s="1106"/>
      <c r="AG805" s="1106"/>
      <c r="AH805" s="1106"/>
      <c r="AI805" s="1106"/>
      <c r="AJ805" s="1106"/>
      <c r="AK805" s="1106"/>
      <c r="AL805" s="1106"/>
      <c r="AM805" s="1106"/>
      <c r="AN805" s="1106"/>
      <c r="AO805" s="1106"/>
    </row>
    <row r="806">
      <c r="G806" s="1106"/>
      <c r="H806" s="1106"/>
      <c r="I806" s="1106"/>
      <c r="J806" s="1106"/>
      <c r="K806" s="1106"/>
      <c r="L806" s="1106"/>
      <c r="M806" s="1106"/>
      <c r="N806" s="1106"/>
      <c r="O806" s="1106"/>
      <c r="P806" s="1106"/>
      <c r="Q806" s="1106"/>
      <c r="R806" s="1106"/>
      <c r="S806" s="1106"/>
      <c r="T806" s="1106"/>
      <c r="U806" s="1106"/>
      <c r="V806" s="1106"/>
      <c r="W806" s="1106"/>
      <c r="X806" s="1106"/>
      <c r="Y806" s="1106"/>
      <c r="Z806" s="1106"/>
      <c r="AA806" s="1106"/>
      <c r="AB806" s="1106"/>
      <c r="AC806" s="1106"/>
      <c r="AD806" s="1106"/>
      <c r="AE806" s="1106"/>
      <c r="AF806" s="1106"/>
      <c r="AG806" s="1106"/>
      <c r="AH806" s="1106"/>
      <c r="AI806" s="1106"/>
      <c r="AJ806" s="1106"/>
      <c r="AK806" s="1106"/>
      <c r="AL806" s="1106"/>
      <c r="AM806" s="1106"/>
      <c r="AN806" s="1106"/>
      <c r="AO806" s="1106"/>
    </row>
    <row r="807">
      <c r="G807" s="1106"/>
      <c r="H807" s="1106"/>
      <c r="I807" s="1106"/>
      <c r="J807" s="1106"/>
      <c r="K807" s="1106"/>
      <c r="L807" s="1106"/>
      <c r="M807" s="1106"/>
      <c r="N807" s="1106"/>
      <c r="O807" s="1106"/>
      <c r="P807" s="1106"/>
      <c r="Q807" s="1106"/>
      <c r="R807" s="1106"/>
      <c r="S807" s="1106"/>
      <c r="T807" s="1106"/>
      <c r="U807" s="1106"/>
      <c r="V807" s="1106"/>
      <c r="W807" s="1106"/>
      <c r="X807" s="1106"/>
      <c r="Y807" s="1106"/>
      <c r="Z807" s="1106"/>
      <c r="AA807" s="1106"/>
      <c r="AB807" s="1106"/>
      <c r="AC807" s="1106"/>
      <c r="AD807" s="1106"/>
      <c r="AE807" s="1106"/>
      <c r="AF807" s="1106"/>
      <c r="AG807" s="1106"/>
      <c r="AH807" s="1106"/>
      <c r="AI807" s="1106"/>
      <c r="AJ807" s="1106"/>
      <c r="AK807" s="1106"/>
      <c r="AL807" s="1106"/>
      <c r="AM807" s="1106"/>
      <c r="AN807" s="1106"/>
      <c r="AO807" s="1106"/>
    </row>
    <row r="808">
      <c r="G808" s="1106"/>
      <c r="H808" s="1106"/>
      <c r="I808" s="1106"/>
      <c r="J808" s="1106"/>
      <c r="K808" s="1106"/>
      <c r="L808" s="1106"/>
      <c r="M808" s="1106"/>
      <c r="N808" s="1106"/>
      <c r="O808" s="1106"/>
      <c r="P808" s="1106"/>
      <c r="Q808" s="1106"/>
      <c r="R808" s="1106"/>
      <c r="S808" s="1106"/>
      <c r="T808" s="1106"/>
      <c r="U808" s="1106"/>
      <c r="V808" s="1106"/>
      <c r="W808" s="1106"/>
      <c r="X808" s="1106"/>
      <c r="Y808" s="1106"/>
      <c r="Z808" s="1106"/>
      <c r="AA808" s="1106"/>
      <c r="AB808" s="1106"/>
      <c r="AC808" s="1106"/>
      <c r="AD808" s="1106"/>
      <c r="AE808" s="1106"/>
      <c r="AF808" s="1106"/>
      <c r="AG808" s="1106"/>
      <c r="AH808" s="1106"/>
      <c r="AI808" s="1106"/>
      <c r="AJ808" s="1106"/>
      <c r="AK808" s="1106"/>
      <c r="AL808" s="1106"/>
      <c r="AM808" s="1106"/>
      <c r="AN808" s="1106"/>
      <c r="AO808" s="1106"/>
    </row>
    <row r="809">
      <c r="G809" s="1106"/>
      <c r="H809" s="1106"/>
      <c r="I809" s="1106"/>
      <c r="J809" s="1106"/>
      <c r="K809" s="1106"/>
      <c r="L809" s="1106"/>
      <c r="M809" s="1106"/>
      <c r="N809" s="1106"/>
      <c r="O809" s="1106"/>
      <c r="P809" s="1106"/>
      <c r="Q809" s="1106"/>
      <c r="R809" s="1106"/>
      <c r="S809" s="1106"/>
      <c r="T809" s="1106"/>
      <c r="U809" s="1106"/>
      <c r="V809" s="1106"/>
      <c r="W809" s="1106"/>
      <c r="X809" s="1106"/>
      <c r="Y809" s="1106"/>
      <c r="Z809" s="1106"/>
      <c r="AA809" s="1106"/>
      <c r="AB809" s="1106"/>
      <c r="AC809" s="1106"/>
      <c r="AD809" s="1106"/>
      <c r="AE809" s="1106"/>
      <c r="AF809" s="1106"/>
      <c r="AG809" s="1106"/>
      <c r="AH809" s="1106"/>
      <c r="AI809" s="1106"/>
      <c r="AJ809" s="1106"/>
      <c r="AK809" s="1106"/>
      <c r="AL809" s="1106"/>
      <c r="AM809" s="1106"/>
      <c r="AN809" s="1106"/>
      <c r="AO809" s="1106"/>
    </row>
    <row r="810">
      <c r="G810" s="1106"/>
      <c r="H810" s="1106"/>
      <c r="I810" s="1106"/>
      <c r="J810" s="1106"/>
      <c r="K810" s="1106"/>
      <c r="L810" s="1106"/>
      <c r="M810" s="1106"/>
      <c r="N810" s="1106"/>
      <c r="O810" s="1106"/>
      <c r="P810" s="1106"/>
      <c r="Q810" s="1106"/>
      <c r="R810" s="1106"/>
      <c r="S810" s="1106"/>
      <c r="T810" s="1106"/>
      <c r="U810" s="1106"/>
      <c r="V810" s="1106"/>
      <c r="W810" s="1106"/>
      <c r="X810" s="1106"/>
      <c r="Y810" s="1106"/>
      <c r="Z810" s="1106"/>
      <c r="AA810" s="1106"/>
      <c r="AB810" s="1106"/>
      <c r="AC810" s="1106"/>
      <c r="AD810" s="1106"/>
      <c r="AE810" s="1106"/>
      <c r="AF810" s="1106"/>
      <c r="AG810" s="1106"/>
      <c r="AH810" s="1106"/>
      <c r="AI810" s="1106"/>
      <c r="AJ810" s="1106"/>
      <c r="AK810" s="1106"/>
      <c r="AL810" s="1106"/>
      <c r="AM810" s="1106"/>
      <c r="AN810" s="1106"/>
      <c r="AO810" s="1106"/>
    </row>
    <row r="811">
      <c r="G811" s="1106"/>
      <c r="H811" s="1106"/>
      <c r="I811" s="1106"/>
      <c r="J811" s="1106"/>
      <c r="K811" s="1106"/>
      <c r="L811" s="1106"/>
      <c r="M811" s="1106"/>
      <c r="N811" s="1106"/>
      <c r="O811" s="1106"/>
      <c r="P811" s="1106"/>
      <c r="Q811" s="1106"/>
      <c r="R811" s="1106"/>
      <c r="S811" s="1106"/>
      <c r="T811" s="1106"/>
      <c r="U811" s="1106"/>
      <c r="V811" s="1106"/>
      <c r="W811" s="1106"/>
      <c r="X811" s="1106"/>
      <c r="Y811" s="1106"/>
      <c r="Z811" s="1106"/>
      <c r="AA811" s="1106"/>
      <c r="AB811" s="1106"/>
      <c r="AC811" s="1106"/>
      <c r="AD811" s="1106"/>
      <c r="AE811" s="1106"/>
      <c r="AF811" s="1106"/>
      <c r="AG811" s="1106"/>
      <c r="AH811" s="1106"/>
      <c r="AI811" s="1106"/>
      <c r="AJ811" s="1106"/>
      <c r="AK811" s="1106"/>
      <c r="AL811" s="1106"/>
      <c r="AM811" s="1106"/>
      <c r="AN811" s="1106"/>
      <c r="AO811" s="1106"/>
    </row>
    <row r="812">
      <c r="G812" s="1106"/>
      <c r="H812" s="1106"/>
      <c r="I812" s="1106"/>
      <c r="J812" s="1106"/>
      <c r="K812" s="1106"/>
      <c r="L812" s="1106"/>
      <c r="M812" s="1106"/>
      <c r="N812" s="1106"/>
      <c r="O812" s="1106"/>
      <c r="P812" s="1106"/>
      <c r="Q812" s="1106"/>
      <c r="R812" s="1106"/>
      <c r="S812" s="1106"/>
      <c r="T812" s="1106"/>
      <c r="U812" s="1106"/>
      <c r="V812" s="1106"/>
      <c r="W812" s="1106"/>
      <c r="X812" s="1106"/>
      <c r="Y812" s="1106"/>
      <c r="Z812" s="1106"/>
      <c r="AA812" s="1106"/>
      <c r="AB812" s="1106"/>
      <c r="AC812" s="1106"/>
      <c r="AD812" s="1106"/>
      <c r="AE812" s="1106"/>
      <c r="AF812" s="1106"/>
      <c r="AG812" s="1106"/>
      <c r="AH812" s="1106"/>
      <c r="AI812" s="1106"/>
      <c r="AJ812" s="1106"/>
      <c r="AK812" s="1106"/>
      <c r="AL812" s="1106"/>
      <c r="AM812" s="1106"/>
      <c r="AN812" s="1106"/>
      <c r="AO812" s="1106"/>
    </row>
    <row r="813">
      <c r="G813" s="1106"/>
      <c r="H813" s="1106"/>
      <c r="I813" s="1106"/>
      <c r="J813" s="1106"/>
      <c r="K813" s="1106"/>
      <c r="L813" s="1106"/>
      <c r="M813" s="1106"/>
      <c r="N813" s="1106"/>
      <c r="O813" s="1106"/>
      <c r="P813" s="1106"/>
      <c r="Q813" s="1106"/>
      <c r="R813" s="1106"/>
      <c r="S813" s="1106"/>
      <c r="T813" s="1106"/>
      <c r="U813" s="1106"/>
      <c r="V813" s="1106"/>
      <c r="W813" s="1106"/>
      <c r="X813" s="1106"/>
      <c r="Y813" s="1106"/>
      <c r="Z813" s="1106"/>
      <c r="AA813" s="1106"/>
      <c r="AB813" s="1106"/>
      <c r="AC813" s="1106"/>
      <c r="AD813" s="1106"/>
      <c r="AE813" s="1106"/>
      <c r="AF813" s="1106"/>
      <c r="AG813" s="1106"/>
      <c r="AH813" s="1106"/>
      <c r="AI813" s="1106"/>
      <c r="AJ813" s="1106"/>
      <c r="AK813" s="1106"/>
      <c r="AL813" s="1106"/>
      <c r="AM813" s="1106"/>
      <c r="AN813" s="1106"/>
      <c r="AO813" s="1106"/>
    </row>
    <row r="814">
      <c r="G814" s="1106"/>
      <c r="H814" s="1106"/>
      <c r="I814" s="1106"/>
      <c r="J814" s="1106"/>
      <c r="K814" s="1106"/>
      <c r="L814" s="1106"/>
      <c r="M814" s="1106"/>
      <c r="N814" s="1106"/>
      <c r="O814" s="1106"/>
      <c r="P814" s="1106"/>
      <c r="Q814" s="1106"/>
      <c r="R814" s="1106"/>
      <c r="S814" s="1106"/>
      <c r="T814" s="1106"/>
      <c r="U814" s="1106"/>
      <c r="V814" s="1106"/>
      <c r="W814" s="1106"/>
      <c r="X814" s="1106"/>
      <c r="Y814" s="1106"/>
      <c r="Z814" s="1106"/>
      <c r="AA814" s="1106"/>
      <c r="AB814" s="1106"/>
      <c r="AC814" s="1106"/>
      <c r="AD814" s="1106"/>
      <c r="AE814" s="1106"/>
      <c r="AF814" s="1106"/>
      <c r="AG814" s="1106"/>
      <c r="AH814" s="1106"/>
      <c r="AI814" s="1106"/>
      <c r="AJ814" s="1106"/>
      <c r="AK814" s="1106"/>
      <c r="AL814" s="1106"/>
      <c r="AM814" s="1106"/>
      <c r="AN814" s="1106"/>
      <c r="AO814" s="1106"/>
    </row>
    <row r="815">
      <c r="G815" s="1106"/>
      <c r="H815" s="1106"/>
      <c r="I815" s="1106"/>
      <c r="J815" s="1106"/>
      <c r="K815" s="1106"/>
      <c r="L815" s="1106"/>
      <c r="M815" s="1106"/>
      <c r="N815" s="1106"/>
      <c r="O815" s="1106"/>
      <c r="P815" s="1106"/>
      <c r="Q815" s="1106"/>
      <c r="R815" s="1106"/>
      <c r="S815" s="1106"/>
      <c r="T815" s="1106"/>
      <c r="U815" s="1106"/>
      <c r="V815" s="1106"/>
      <c r="W815" s="1106"/>
      <c r="X815" s="1106"/>
      <c r="Y815" s="1106"/>
      <c r="Z815" s="1106"/>
      <c r="AA815" s="1106"/>
      <c r="AB815" s="1106"/>
      <c r="AC815" s="1106"/>
      <c r="AD815" s="1106"/>
      <c r="AE815" s="1106"/>
      <c r="AF815" s="1106"/>
      <c r="AG815" s="1106"/>
      <c r="AH815" s="1106"/>
      <c r="AI815" s="1106"/>
      <c r="AJ815" s="1106"/>
      <c r="AK815" s="1106"/>
      <c r="AL815" s="1106"/>
      <c r="AM815" s="1106"/>
      <c r="AN815" s="1106"/>
      <c r="AO815" s="1106"/>
    </row>
    <row r="816">
      <c r="G816" s="1106"/>
      <c r="H816" s="1106"/>
      <c r="I816" s="1106"/>
      <c r="J816" s="1106"/>
      <c r="K816" s="1106"/>
      <c r="L816" s="1106"/>
      <c r="M816" s="1106"/>
      <c r="N816" s="1106"/>
      <c r="O816" s="1106"/>
      <c r="P816" s="1106"/>
      <c r="Q816" s="1106"/>
      <c r="R816" s="1106"/>
      <c r="S816" s="1106"/>
      <c r="T816" s="1106"/>
      <c r="U816" s="1106"/>
      <c r="V816" s="1106"/>
      <c r="W816" s="1106"/>
      <c r="X816" s="1106"/>
      <c r="Y816" s="1106"/>
      <c r="Z816" s="1106"/>
      <c r="AA816" s="1106"/>
      <c r="AB816" s="1106"/>
      <c r="AC816" s="1106"/>
      <c r="AD816" s="1106"/>
      <c r="AE816" s="1106"/>
      <c r="AF816" s="1106"/>
      <c r="AG816" s="1106"/>
      <c r="AH816" s="1106"/>
      <c r="AI816" s="1106"/>
      <c r="AJ816" s="1106"/>
      <c r="AK816" s="1106"/>
      <c r="AL816" s="1106"/>
      <c r="AM816" s="1106"/>
      <c r="AN816" s="1106"/>
      <c r="AO816" s="1106"/>
    </row>
    <row r="817">
      <c r="G817" s="1106"/>
      <c r="H817" s="1106"/>
      <c r="I817" s="1106"/>
      <c r="J817" s="1106"/>
      <c r="K817" s="1106"/>
      <c r="L817" s="1106"/>
      <c r="M817" s="1106"/>
      <c r="N817" s="1106"/>
      <c r="O817" s="1106"/>
      <c r="P817" s="1106"/>
      <c r="Q817" s="1106"/>
      <c r="R817" s="1106"/>
      <c r="S817" s="1106"/>
      <c r="T817" s="1106"/>
      <c r="U817" s="1106"/>
      <c r="V817" s="1106"/>
      <c r="W817" s="1106"/>
      <c r="X817" s="1106"/>
      <c r="Y817" s="1106"/>
      <c r="Z817" s="1106"/>
      <c r="AA817" s="1106"/>
      <c r="AB817" s="1106"/>
      <c r="AC817" s="1106"/>
      <c r="AD817" s="1106"/>
      <c r="AE817" s="1106"/>
      <c r="AF817" s="1106"/>
      <c r="AG817" s="1106"/>
      <c r="AH817" s="1106"/>
      <c r="AI817" s="1106"/>
      <c r="AJ817" s="1106"/>
      <c r="AK817" s="1106"/>
      <c r="AL817" s="1106"/>
      <c r="AM817" s="1106"/>
      <c r="AN817" s="1106"/>
      <c r="AO817" s="1106"/>
    </row>
    <row r="818">
      <c r="G818" s="1106"/>
      <c r="H818" s="1106"/>
      <c r="I818" s="1106"/>
      <c r="J818" s="1106"/>
      <c r="K818" s="1106"/>
      <c r="L818" s="1106"/>
      <c r="M818" s="1106"/>
      <c r="N818" s="1106"/>
      <c r="O818" s="1106"/>
      <c r="P818" s="1106"/>
      <c r="Q818" s="1106"/>
      <c r="R818" s="1106"/>
      <c r="S818" s="1106"/>
      <c r="T818" s="1106"/>
      <c r="U818" s="1106"/>
      <c r="V818" s="1106"/>
      <c r="W818" s="1106"/>
      <c r="X818" s="1106"/>
      <c r="Y818" s="1106"/>
      <c r="Z818" s="1106"/>
      <c r="AA818" s="1106"/>
      <c r="AB818" s="1106"/>
      <c r="AC818" s="1106"/>
      <c r="AD818" s="1106"/>
      <c r="AE818" s="1106"/>
      <c r="AF818" s="1106"/>
      <c r="AG818" s="1106"/>
      <c r="AH818" s="1106"/>
      <c r="AI818" s="1106"/>
      <c r="AJ818" s="1106"/>
      <c r="AK818" s="1106"/>
      <c r="AL818" s="1106"/>
      <c r="AM818" s="1106"/>
      <c r="AN818" s="1106"/>
      <c r="AO818" s="1106"/>
    </row>
    <row r="819">
      <c r="G819" s="1106"/>
      <c r="H819" s="1106"/>
      <c r="I819" s="1106"/>
      <c r="J819" s="1106"/>
      <c r="K819" s="1106"/>
      <c r="L819" s="1106"/>
      <c r="M819" s="1106"/>
      <c r="N819" s="1106"/>
      <c r="O819" s="1106"/>
      <c r="P819" s="1106"/>
      <c r="Q819" s="1106"/>
      <c r="R819" s="1106"/>
      <c r="S819" s="1106"/>
      <c r="T819" s="1106"/>
      <c r="U819" s="1106"/>
      <c r="V819" s="1106"/>
      <c r="W819" s="1106"/>
      <c r="X819" s="1106"/>
      <c r="Y819" s="1106"/>
      <c r="Z819" s="1106"/>
      <c r="AA819" s="1106"/>
      <c r="AB819" s="1106"/>
      <c r="AC819" s="1106"/>
      <c r="AD819" s="1106"/>
      <c r="AE819" s="1106"/>
      <c r="AF819" s="1106"/>
      <c r="AG819" s="1106"/>
      <c r="AH819" s="1106"/>
      <c r="AI819" s="1106"/>
      <c r="AJ819" s="1106"/>
      <c r="AK819" s="1106"/>
      <c r="AL819" s="1106"/>
      <c r="AM819" s="1106"/>
      <c r="AN819" s="1106"/>
      <c r="AO819" s="1106"/>
    </row>
    <row r="820">
      <c r="G820" s="1106"/>
      <c r="H820" s="1106"/>
      <c r="I820" s="1106"/>
      <c r="J820" s="1106"/>
      <c r="K820" s="1106"/>
      <c r="L820" s="1106"/>
      <c r="M820" s="1106"/>
      <c r="N820" s="1106"/>
      <c r="O820" s="1106"/>
      <c r="P820" s="1106"/>
      <c r="Q820" s="1106"/>
      <c r="R820" s="1106"/>
      <c r="S820" s="1106"/>
      <c r="T820" s="1106"/>
      <c r="U820" s="1106"/>
      <c r="V820" s="1106"/>
      <c r="W820" s="1106"/>
      <c r="X820" s="1106"/>
      <c r="Y820" s="1106"/>
      <c r="Z820" s="1106"/>
      <c r="AA820" s="1106"/>
      <c r="AB820" s="1106"/>
      <c r="AC820" s="1106"/>
      <c r="AD820" s="1106"/>
      <c r="AE820" s="1106"/>
      <c r="AF820" s="1106"/>
      <c r="AG820" s="1106"/>
      <c r="AH820" s="1106"/>
      <c r="AI820" s="1106"/>
      <c r="AJ820" s="1106"/>
      <c r="AK820" s="1106"/>
      <c r="AL820" s="1106"/>
      <c r="AM820" s="1106"/>
      <c r="AN820" s="1106"/>
      <c r="AO820" s="1106"/>
    </row>
    <row r="821">
      <c r="G821" s="1106"/>
      <c r="H821" s="1106"/>
      <c r="I821" s="1106"/>
      <c r="J821" s="1106"/>
      <c r="K821" s="1106"/>
      <c r="L821" s="1106"/>
      <c r="M821" s="1106"/>
      <c r="N821" s="1106"/>
      <c r="O821" s="1106"/>
      <c r="P821" s="1106"/>
      <c r="Q821" s="1106"/>
      <c r="R821" s="1106"/>
      <c r="S821" s="1106"/>
      <c r="T821" s="1106"/>
      <c r="U821" s="1106"/>
      <c r="V821" s="1106"/>
      <c r="W821" s="1106"/>
      <c r="X821" s="1106"/>
      <c r="Y821" s="1106"/>
      <c r="Z821" s="1106"/>
      <c r="AA821" s="1106"/>
      <c r="AB821" s="1106"/>
      <c r="AC821" s="1106"/>
      <c r="AD821" s="1106"/>
      <c r="AE821" s="1106"/>
      <c r="AF821" s="1106"/>
      <c r="AG821" s="1106"/>
      <c r="AH821" s="1106"/>
      <c r="AI821" s="1106"/>
      <c r="AJ821" s="1106"/>
      <c r="AK821" s="1106"/>
      <c r="AL821" s="1106"/>
      <c r="AM821" s="1106"/>
      <c r="AN821" s="1106"/>
      <c r="AO821" s="1106"/>
    </row>
    <row r="822">
      <c r="G822" s="1106"/>
      <c r="H822" s="1106"/>
      <c r="I822" s="1106"/>
      <c r="J822" s="1106"/>
      <c r="K822" s="1106"/>
      <c r="L822" s="1106"/>
      <c r="M822" s="1106"/>
      <c r="N822" s="1106"/>
      <c r="O822" s="1106"/>
      <c r="P822" s="1106"/>
      <c r="Q822" s="1106"/>
      <c r="R822" s="1106"/>
      <c r="S822" s="1106"/>
      <c r="T822" s="1106"/>
      <c r="U822" s="1106"/>
      <c r="V822" s="1106"/>
      <c r="W822" s="1106"/>
      <c r="X822" s="1106"/>
      <c r="Y822" s="1106"/>
      <c r="Z822" s="1106"/>
      <c r="AA822" s="1106"/>
      <c r="AB822" s="1106"/>
      <c r="AC822" s="1106"/>
      <c r="AD822" s="1106"/>
      <c r="AE822" s="1106"/>
      <c r="AF822" s="1106"/>
      <c r="AG822" s="1106"/>
      <c r="AH822" s="1106"/>
      <c r="AI822" s="1106"/>
      <c r="AJ822" s="1106"/>
      <c r="AK822" s="1106"/>
      <c r="AL822" s="1106"/>
      <c r="AM822" s="1106"/>
      <c r="AN822" s="1106"/>
      <c r="AO822" s="1106"/>
    </row>
    <row r="823">
      <c r="G823" s="1106"/>
      <c r="H823" s="1106"/>
      <c r="I823" s="1106"/>
      <c r="J823" s="1106"/>
      <c r="K823" s="1106"/>
      <c r="L823" s="1106"/>
      <c r="M823" s="1106"/>
      <c r="N823" s="1106"/>
      <c r="O823" s="1106"/>
      <c r="P823" s="1106"/>
      <c r="Q823" s="1106"/>
      <c r="R823" s="1106"/>
      <c r="S823" s="1106"/>
      <c r="T823" s="1106"/>
      <c r="U823" s="1106"/>
      <c r="V823" s="1106"/>
      <c r="W823" s="1106"/>
      <c r="X823" s="1106"/>
      <c r="Y823" s="1106"/>
      <c r="Z823" s="1106"/>
      <c r="AA823" s="1106"/>
      <c r="AB823" s="1106"/>
      <c r="AC823" s="1106"/>
      <c r="AD823" s="1106"/>
      <c r="AE823" s="1106"/>
      <c r="AF823" s="1106"/>
      <c r="AG823" s="1106"/>
      <c r="AH823" s="1106"/>
      <c r="AI823" s="1106"/>
      <c r="AJ823" s="1106"/>
      <c r="AK823" s="1106"/>
      <c r="AL823" s="1106"/>
      <c r="AM823" s="1106"/>
      <c r="AN823" s="1106"/>
      <c r="AO823" s="1106"/>
    </row>
    <row r="824">
      <c r="G824" s="1106"/>
      <c r="H824" s="1106"/>
      <c r="I824" s="1106"/>
      <c r="J824" s="1106"/>
      <c r="K824" s="1106"/>
      <c r="L824" s="1106"/>
      <c r="M824" s="1106"/>
      <c r="N824" s="1106"/>
      <c r="O824" s="1106"/>
      <c r="P824" s="1106"/>
      <c r="Q824" s="1106"/>
      <c r="R824" s="1106"/>
      <c r="S824" s="1106"/>
      <c r="T824" s="1106"/>
      <c r="U824" s="1106"/>
      <c r="V824" s="1106"/>
      <c r="W824" s="1106"/>
      <c r="X824" s="1106"/>
      <c r="Y824" s="1106"/>
      <c r="Z824" s="1106"/>
      <c r="AA824" s="1106"/>
      <c r="AB824" s="1106"/>
      <c r="AC824" s="1106"/>
      <c r="AD824" s="1106"/>
      <c r="AE824" s="1106"/>
      <c r="AF824" s="1106"/>
      <c r="AG824" s="1106"/>
      <c r="AH824" s="1106"/>
      <c r="AI824" s="1106"/>
      <c r="AJ824" s="1106"/>
      <c r="AK824" s="1106"/>
      <c r="AL824" s="1106"/>
      <c r="AM824" s="1106"/>
      <c r="AN824" s="1106"/>
      <c r="AO824" s="1106"/>
    </row>
    <row r="825">
      <c r="G825" s="1106"/>
      <c r="H825" s="1106"/>
      <c r="I825" s="1106"/>
      <c r="J825" s="1106"/>
      <c r="K825" s="1106"/>
      <c r="L825" s="1106"/>
      <c r="M825" s="1106"/>
      <c r="N825" s="1106"/>
      <c r="O825" s="1106"/>
      <c r="P825" s="1106"/>
      <c r="Q825" s="1106"/>
      <c r="R825" s="1106"/>
      <c r="S825" s="1106"/>
      <c r="T825" s="1106"/>
      <c r="U825" s="1106"/>
      <c r="V825" s="1106"/>
      <c r="W825" s="1106"/>
      <c r="X825" s="1106"/>
      <c r="Y825" s="1106"/>
      <c r="Z825" s="1106"/>
      <c r="AA825" s="1106"/>
      <c r="AB825" s="1106"/>
      <c r="AC825" s="1106"/>
      <c r="AD825" s="1106"/>
      <c r="AE825" s="1106"/>
      <c r="AF825" s="1106"/>
      <c r="AG825" s="1106"/>
      <c r="AH825" s="1106"/>
      <c r="AI825" s="1106"/>
      <c r="AJ825" s="1106"/>
      <c r="AK825" s="1106"/>
      <c r="AL825" s="1106"/>
      <c r="AM825" s="1106"/>
      <c r="AN825" s="1106"/>
      <c r="AO825" s="1106"/>
    </row>
    <row r="826">
      <c r="G826" s="1106"/>
      <c r="H826" s="1106"/>
      <c r="I826" s="1106"/>
      <c r="J826" s="1106"/>
      <c r="K826" s="1106"/>
      <c r="L826" s="1106"/>
      <c r="M826" s="1106"/>
      <c r="N826" s="1106"/>
      <c r="O826" s="1106"/>
      <c r="P826" s="1106"/>
      <c r="Q826" s="1106"/>
      <c r="R826" s="1106"/>
      <c r="S826" s="1106"/>
      <c r="T826" s="1106"/>
      <c r="U826" s="1106"/>
      <c r="V826" s="1106"/>
      <c r="W826" s="1106"/>
      <c r="X826" s="1106"/>
      <c r="Y826" s="1106"/>
      <c r="Z826" s="1106"/>
      <c r="AA826" s="1106"/>
      <c r="AB826" s="1106"/>
      <c r="AC826" s="1106"/>
      <c r="AD826" s="1106"/>
      <c r="AE826" s="1106"/>
      <c r="AF826" s="1106"/>
      <c r="AG826" s="1106"/>
      <c r="AH826" s="1106"/>
      <c r="AI826" s="1106"/>
      <c r="AJ826" s="1106"/>
      <c r="AK826" s="1106"/>
      <c r="AL826" s="1106"/>
      <c r="AM826" s="1106"/>
      <c r="AN826" s="1106"/>
      <c r="AO826" s="1106"/>
    </row>
    <row r="827">
      <c r="G827" s="1106"/>
      <c r="H827" s="1106"/>
      <c r="I827" s="1106"/>
      <c r="J827" s="1106"/>
      <c r="K827" s="1106"/>
      <c r="L827" s="1106"/>
      <c r="M827" s="1106"/>
      <c r="N827" s="1106"/>
      <c r="O827" s="1106"/>
      <c r="P827" s="1106"/>
      <c r="Q827" s="1106"/>
      <c r="R827" s="1106"/>
      <c r="S827" s="1106"/>
      <c r="T827" s="1106"/>
      <c r="U827" s="1106"/>
      <c r="V827" s="1106"/>
      <c r="W827" s="1106"/>
      <c r="X827" s="1106"/>
      <c r="Y827" s="1106"/>
      <c r="Z827" s="1106"/>
      <c r="AA827" s="1106"/>
      <c r="AB827" s="1106"/>
      <c r="AC827" s="1106"/>
      <c r="AD827" s="1106"/>
      <c r="AE827" s="1106"/>
      <c r="AF827" s="1106"/>
      <c r="AG827" s="1106"/>
      <c r="AH827" s="1106"/>
      <c r="AI827" s="1106"/>
      <c r="AJ827" s="1106"/>
      <c r="AK827" s="1106"/>
      <c r="AL827" s="1106"/>
      <c r="AM827" s="1106"/>
      <c r="AN827" s="1106"/>
      <c r="AO827" s="1106"/>
    </row>
    <row r="828">
      <c r="G828" s="1106"/>
      <c r="H828" s="1106"/>
      <c r="I828" s="1106"/>
      <c r="J828" s="1106"/>
      <c r="K828" s="1106"/>
      <c r="L828" s="1106"/>
      <c r="M828" s="1106"/>
      <c r="N828" s="1106"/>
      <c r="O828" s="1106"/>
      <c r="P828" s="1106"/>
      <c r="Q828" s="1106"/>
      <c r="R828" s="1106"/>
      <c r="S828" s="1106"/>
      <c r="T828" s="1106"/>
      <c r="U828" s="1106"/>
      <c r="V828" s="1106"/>
      <c r="W828" s="1106"/>
      <c r="X828" s="1106"/>
      <c r="Y828" s="1106"/>
      <c r="Z828" s="1106"/>
      <c r="AA828" s="1106"/>
      <c r="AB828" s="1106"/>
      <c r="AC828" s="1106"/>
      <c r="AD828" s="1106"/>
      <c r="AE828" s="1106"/>
      <c r="AF828" s="1106"/>
      <c r="AG828" s="1106"/>
      <c r="AH828" s="1106"/>
      <c r="AI828" s="1106"/>
      <c r="AJ828" s="1106"/>
      <c r="AK828" s="1106"/>
      <c r="AL828" s="1106"/>
      <c r="AM828" s="1106"/>
      <c r="AN828" s="1106"/>
      <c r="AO828" s="1106"/>
    </row>
    <row r="829">
      <c r="G829" s="1106"/>
      <c r="H829" s="1106"/>
      <c r="I829" s="1106"/>
      <c r="J829" s="1106"/>
      <c r="K829" s="1106"/>
      <c r="L829" s="1106"/>
      <c r="M829" s="1106"/>
      <c r="N829" s="1106"/>
      <c r="O829" s="1106"/>
      <c r="P829" s="1106"/>
      <c r="Q829" s="1106"/>
      <c r="R829" s="1106"/>
      <c r="S829" s="1106"/>
      <c r="T829" s="1106"/>
      <c r="U829" s="1106"/>
      <c r="V829" s="1106"/>
      <c r="W829" s="1106"/>
      <c r="X829" s="1106"/>
      <c r="Y829" s="1106"/>
      <c r="Z829" s="1106"/>
      <c r="AA829" s="1106"/>
      <c r="AB829" s="1106"/>
      <c r="AC829" s="1106"/>
      <c r="AD829" s="1106"/>
      <c r="AE829" s="1106"/>
      <c r="AF829" s="1106"/>
      <c r="AG829" s="1106"/>
      <c r="AH829" s="1106"/>
      <c r="AI829" s="1106"/>
      <c r="AJ829" s="1106"/>
      <c r="AK829" s="1106"/>
      <c r="AL829" s="1106"/>
      <c r="AM829" s="1106"/>
      <c r="AN829" s="1106"/>
      <c r="AO829" s="1106"/>
    </row>
    <row r="830">
      <c r="G830" s="1106"/>
      <c r="H830" s="1106"/>
      <c r="I830" s="1106"/>
      <c r="J830" s="1106"/>
      <c r="K830" s="1106"/>
      <c r="L830" s="1106"/>
      <c r="M830" s="1106"/>
      <c r="N830" s="1106"/>
      <c r="O830" s="1106"/>
      <c r="P830" s="1106"/>
      <c r="Q830" s="1106"/>
      <c r="R830" s="1106"/>
      <c r="S830" s="1106"/>
      <c r="T830" s="1106"/>
      <c r="U830" s="1106"/>
      <c r="V830" s="1106"/>
      <c r="W830" s="1106"/>
      <c r="X830" s="1106"/>
      <c r="Y830" s="1106"/>
      <c r="Z830" s="1106"/>
      <c r="AA830" s="1106"/>
      <c r="AB830" s="1106"/>
      <c r="AC830" s="1106"/>
      <c r="AD830" s="1106"/>
      <c r="AE830" s="1106"/>
      <c r="AF830" s="1106"/>
      <c r="AG830" s="1106"/>
      <c r="AH830" s="1106"/>
      <c r="AI830" s="1106"/>
      <c r="AJ830" s="1106"/>
      <c r="AK830" s="1106"/>
      <c r="AL830" s="1106"/>
      <c r="AM830" s="1106"/>
      <c r="AN830" s="1106"/>
      <c r="AO830" s="1106"/>
    </row>
    <row r="831">
      <c r="G831" s="1106"/>
      <c r="H831" s="1106"/>
      <c r="I831" s="1106"/>
      <c r="J831" s="1106"/>
      <c r="K831" s="1106"/>
      <c r="L831" s="1106"/>
      <c r="M831" s="1106"/>
      <c r="N831" s="1106"/>
      <c r="O831" s="1106"/>
      <c r="P831" s="1106"/>
      <c r="Q831" s="1106"/>
      <c r="R831" s="1106"/>
      <c r="S831" s="1106"/>
      <c r="T831" s="1106"/>
      <c r="U831" s="1106"/>
      <c r="V831" s="1106"/>
      <c r="W831" s="1106"/>
      <c r="X831" s="1106"/>
      <c r="Y831" s="1106"/>
      <c r="Z831" s="1106"/>
      <c r="AA831" s="1106"/>
      <c r="AB831" s="1106"/>
      <c r="AC831" s="1106"/>
      <c r="AD831" s="1106"/>
      <c r="AE831" s="1106"/>
      <c r="AF831" s="1106"/>
      <c r="AG831" s="1106"/>
      <c r="AH831" s="1106"/>
      <c r="AI831" s="1106"/>
      <c r="AJ831" s="1106"/>
      <c r="AK831" s="1106"/>
      <c r="AL831" s="1106"/>
      <c r="AM831" s="1106"/>
      <c r="AN831" s="1106"/>
      <c r="AO831" s="1106"/>
    </row>
    <row r="832">
      <c r="G832" s="1106"/>
      <c r="H832" s="1106"/>
      <c r="I832" s="1106"/>
      <c r="J832" s="1106"/>
      <c r="K832" s="1106"/>
      <c r="L832" s="1106"/>
      <c r="M832" s="1106"/>
      <c r="N832" s="1106"/>
      <c r="O832" s="1106"/>
      <c r="P832" s="1106"/>
      <c r="Q832" s="1106"/>
      <c r="R832" s="1106"/>
      <c r="S832" s="1106"/>
      <c r="T832" s="1106"/>
      <c r="U832" s="1106"/>
      <c r="V832" s="1106"/>
      <c r="W832" s="1106"/>
      <c r="X832" s="1106"/>
      <c r="Y832" s="1106"/>
      <c r="Z832" s="1106"/>
      <c r="AA832" s="1106"/>
      <c r="AB832" s="1106"/>
      <c r="AC832" s="1106"/>
      <c r="AD832" s="1106"/>
      <c r="AE832" s="1106"/>
      <c r="AF832" s="1106"/>
      <c r="AG832" s="1106"/>
      <c r="AH832" s="1106"/>
      <c r="AI832" s="1106"/>
      <c r="AJ832" s="1106"/>
      <c r="AK832" s="1106"/>
      <c r="AL832" s="1106"/>
      <c r="AM832" s="1106"/>
      <c r="AN832" s="1106"/>
      <c r="AO832" s="1106"/>
    </row>
    <row r="833">
      <c r="G833" s="1106"/>
      <c r="H833" s="1106"/>
      <c r="I833" s="1106"/>
      <c r="J833" s="1106"/>
      <c r="K833" s="1106"/>
      <c r="L833" s="1106"/>
      <c r="M833" s="1106"/>
      <c r="N833" s="1106"/>
      <c r="O833" s="1106"/>
      <c r="P833" s="1106"/>
      <c r="Q833" s="1106"/>
      <c r="R833" s="1106"/>
      <c r="S833" s="1106"/>
      <c r="T833" s="1106"/>
      <c r="U833" s="1106"/>
      <c r="V833" s="1106"/>
      <c r="W833" s="1106"/>
      <c r="X833" s="1106"/>
      <c r="Y833" s="1106"/>
      <c r="Z833" s="1106"/>
      <c r="AA833" s="1106"/>
      <c r="AB833" s="1106"/>
      <c r="AC833" s="1106"/>
      <c r="AD833" s="1106"/>
      <c r="AE833" s="1106"/>
      <c r="AF833" s="1106"/>
      <c r="AG833" s="1106"/>
      <c r="AH833" s="1106"/>
      <c r="AI833" s="1106"/>
      <c r="AJ833" s="1106"/>
      <c r="AK833" s="1106"/>
      <c r="AL833" s="1106"/>
      <c r="AM833" s="1106"/>
      <c r="AN833" s="1106"/>
      <c r="AO833" s="1106"/>
    </row>
    <row r="834">
      <c r="G834" s="1106"/>
      <c r="H834" s="1106"/>
      <c r="I834" s="1106"/>
      <c r="J834" s="1106"/>
      <c r="K834" s="1106"/>
      <c r="L834" s="1106"/>
      <c r="M834" s="1106"/>
      <c r="N834" s="1106"/>
      <c r="O834" s="1106"/>
      <c r="P834" s="1106"/>
      <c r="Q834" s="1106"/>
      <c r="R834" s="1106"/>
      <c r="S834" s="1106"/>
      <c r="T834" s="1106"/>
      <c r="U834" s="1106"/>
      <c r="V834" s="1106"/>
      <c r="W834" s="1106"/>
      <c r="X834" s="1106"/>
      <c r="Y834" s="1106"/>
      <c r="Z834" s="1106"/>
      <c r="AA834" s="1106"/>
      <c r="AB834" s="1106"/>
      <c r="AC834" s="1106"/>
      <c r="AD834" s="1106"/>
      <c r="AE834" s="1106"/>
      <c r="AF834" s="1106"/>
      <c r="AG834" s="1106"/>
      <c r="AH834" s="1106"/>
      <c r="AI834" s="1106"/>
      <c r="AJ834" s="1106"/>
      <c r="AK834" s="1106"/>
      <c r="AL834" s="1106"/>
      <c r="AM834" s="1106"/>
      <c r="AN834" s="1106"/>
      <c r="AO834" s="1106"/>
    </row>
    <row r="835">
      <c r="G835" s="1106"/>
      <c r="H835" s="1106"/>
      <c r="I835" s="1106"/>
      <c r="J835" s="1106"/>
      <c r="K835" s="1106"/>
      <c r="L835" s="1106"/>
      <c r="M835" s="1106"/>
      <c r="N835" s="1106"/>
      <c r="O835" s="1106"/>
      <c r="P835" s="1106"/>
      <c r="Q835" s="1106"/>
      <c r="R835" s="1106"/>
      <c r="S835" s="1106"/>
      <c r="T835" s="1106"/>
      <c r="U835" s="1106"/>
      <c r="V835" s="1106"/>
      <c r="W835" s="1106"/>
      <c r="X835" s="1106"/>
      <c r="Y835" s="1106"/>
      <c r="Z835" s="1106"/>
      <c r="AA835" s="1106"/>
      <c r="AB835" s="1106"/>
      <c r="AC835" s="1106"/>
      <c r="AD835" s="1106"/>
      <c r="AE835" s="1106"/>
      <c r="AF835" s="1106"/>
      <c r="AG835" s="1106"/>
      <c r="AH835" s="1106"/>
      <c r="AI835" s="1106"/>
      <c r="AJ835" s="1106"/>
      <c r="AK835" s="1106"/>
      <c r="AL835" s="1106"/>
      <c r="AM835" s="1106"/>
      <c r="AN835" s="1106"/>
      <c r="AO835" s="1106"/>
    </row>
    <row r="836">
      <c r="G836" s="1106"/>
      <c r="H836" s="1106"/>
      <c r="I836" s="1106"/>
      <c r="J836" s="1106"/>
      <c r="K836" s="1106"/>
      <c r="L836" s="1106"/>
      <c r="M836" s="1106"/>
      <c r="N836" s="1106"/>
      <c r="O836" s="1106"/>
      <c r="P836" s="1106"/>
      <c r="Q836" s="1106"/>
      <c r="R836" s="1106"/>
      <c r="S836" s="1106"/>
      <c r="T836" s="1106"/>
      <c r="U836" s="1106"/>
      <c r="V836" s="1106"/>
      <c r="W836" s="1106"/>
      <c r="X836" s="1106"/>
      <c r="Y836" s="1106"/>
      <c r="Z836" s="1106"/>
      <c r="AA836" s="1106"/>
      <c r="AB836" s="1106"/>
      <c r="AC836" s="1106"/>
      <c r="AD836" s="1106"/>
      <c r="AE836" s="1106"/>
      <c r="AF836" s="1106"/>
      <c r="AG836" s="1106"/>
      <c r="AH836" s="1106"/>
      <c r="AI836" s="1106"/>
      <c r="AJ836" s="1106"/>
      <c r="AK836" s="1106"/>
      <c r="AL836" s="1106"/>
      <c r="AM836" s="1106"/>
      <c r="AN836" s="1106"/>
      <c r="AO836" s="1106"/>
    </row>
    <row r="837">
      <c r="G837" s="1106"/>
      <c r="H837" s="1106"/>
      <c r="I837" s="1106"/>
      <c r="J837" s="1106"/>
      <c r="K837" s="1106"/>
      <c r="L837" s="1106"/>
      <c r="M837" s="1106"/>
      <c r="N837" s="1106"/>
      <c r="O837" s="1106"/>
      <c r="P837" s="1106"/>
      <c r="Q837" s="1106"/>
      <c r="R837" s="1106"/>
      <c r="S837" s="1106"/>
      <c r="T837" s="1106"/>
      <c r="U837" s="1106"/>
      <c r="V837" s="1106"/>
      <c r="W837" s="1106"/>
      <c r="X837" s="1106"/>
      <c r="Y837" s="1106"/>
      <c r="Z837" s="1106"/>
      <c r="AA837" s="1106"/>
      <c r="AB837" s="1106"/>
      <c r="AC837" s="1106"/>
      <c r="AD837" s="1106"/>
      <c r="AE837" s="1106"/>
      <c r="AF837" s="1106"/>
      <c r="AG837" s="1106"/>
      <c r="AH837" s="1106"/>
      <c r="AI837" s="1106"/>
      <c r="AJ837" s="1106"/>
      <c r="AK837" s="1106"/>
      <c r="AL837" s="1106"/>
      <c r="AM837" s="1106"/>
      <c r="AN837" s="1106"/>
      <c r="AO837" s="1106"/>
    </row>
    <row r="838">
      <c r="G838" s="1106"/>
      <c r="H838" s="1106"/>
      <c r="I838" s="1106"/>
      <c r="J838" s="1106"/>
      <c r="K838" s="1106"/>
      <c r="L838" s="1106"/>
      <c r="M838" s="1106"/>
      <c r="N838" s="1106"/>
      <c r="O838" s="1106"/>
      <c r="P838" s="1106"/>
      <c r="Q838" s="1106"/>
      <c r="R838" s="1106"/>
      <c r="S838" s="1106"/>
      <c r="T838" s="1106"/>
      <c r="U838" s="1106"/>
      <c r="V838" s="1106"/>
      <c r="W838" s="1106"/>
      <c r="X838" s="1106"/>
      <c r="Y838" s="1106"/>
      <c r="Z838" s="1106"/>
      <c r="AA838" s="1106"/>
      <c r="AB838" s="1106"/>
      <c r="AC838" s="1106"/>
      <c r="AD838" s="1106"/>
      <c r="AE838" s="1106"/>
      <c r="AF838" s="1106"/>
      <c r="AG838" s="1106"/>
      <c r="AH838" s="1106"/>
      <c r="AI838" s="1106"/>
      <c r="AJ838" s="1106"/>
      <c r="AK838" s="1106"/>
      <c r="AL838" s="1106"/>
      <c r="AM838" s="1106"/>
      <c r="AN838" s="1106"/>
      <c r="AO838" s="1106"/>
    </row>
    <row r="839">
      <c r="G839" s="1106"/>
      <c r="H839" s="1106"/>
      <c r="I839" s="1106"/>
      <c r="J839" s="1106"/>
      <c r="K839" s="1106"/>
      <c r="L839" s="1106"/>
      <c r="M839" s="1106"/>
      <c r="N839" s="1106"/>
      <c r="O839" s="1106"/>
      <c r="P839" s="1106"/>
      <c r="Q839" s="1106"/>
      <c r="R839" s="1106"/>
      <c r="S839" s="1106"/>
      <c r="T839" s="1106"/>
      <c r="U839" s="1106"/>
      <c r="V839" s="1106"/>
      <c r="W839" s="1106"/>
      <c r="X839" s="1106"/>
      <c r="Y839" s="1106"/>
      <c r="Z839" s="1106"/>
      <c r="AA839" s="1106"/>
      <c r="AB839" s="1106"/>
      <c r="AC839" s="1106"/>
      <c r="AD839" s="1106"/>
      <c r="AE839" s="1106"/>
      <c r="AF839" s="1106"/>
      <c r="AG839" s="1106"/>
      <c r="AH839" s="1106"/>
      <c r="AI839" s="1106"/>
      <c r="AJ839" s="1106"/>
      <c r="AK839" s="1106"/>
      <c r="AL839" s="1106"/>
      <c r="AM839" s="1106"/>
      <c r="AN839" s="1106"/>
      <c r="AO839" s="1106"/>
    </row>
    <row r="840">
      <c r="G840" s="1106"/>
      <c r="H840" s="1106"/>
      <c r="I840" s="1106"/>
      <c r="J840" s="1106"/>
      <c r="K840" s="1106"/>
      <c r="L840" s="1106"/>
      <c r="M840" s="1106"/>
      <c r="N840" s="1106"/>
      <c r="O840" s="1106"/>
      <c r="P840" s="1106"/>
      <c r="Q840" s="1106"/>
      <c r="R840" s="1106"/>
      <c r="S840" s="1106"/>
      <c r="T840" s="1106"/>
      <c r="U840" s="1106"/>
      <c r="V840" s="1106"/>
      <c r="W840" s="1106"/>
      <c r="X840" s="1106"/>
      <c r="Y840" s="1106"/>
      <c r="Z840" s="1106"/>
      <c r="AA840" s="1106"/>
      <c r="AB840" s="1106"/>
      <c r="AC840" s="1106"/>
      <c r="AD840" s="1106"/>
      <c r="AE840" s="1106"/>
      <c r="AF840" s="1106"/>
      <c r="AG840" s="1106"/>
      <c r="AH840" s="1106"/>
      <c r="AI840" s="1106"/>
      <c r="AJ840" s="1106"/>
      <c r="AK840" s="1106"/>
      <c r="AL840" s="1106"/>
      <c r="AM840" s="1106"/>
      <c r="AN840" s="1106"/>
      <c r="AO840" s="1106"/>
    </row>
    <row r="841">
      <c r="G841" s="1106"/>
      <c r="H841" s="1106"/>
      <c r="I841" s="1106"/>
      <c r="J841" s="1106"/>
      <c r="K841" s="1106"/>
      <c r="L841" s="1106"/>
      <c r="M841" s="1106"/>
      <c r="N841" s="1106"/>
      <c r="O841" s="1106"/>
      <c r="P841" s="1106"/>
      <c r="Q841" s="1106"/>
      <c r="R841" s="1106"/>
      <c r="S841" s="1106"/>
      <c r="T841" s="1106"/>
      <c r="U841" s="1106"/>
      <c r="V841" s="1106"/>
      <c r="W841" s="1106"/>
      <c r="X841" s="1106"/>
      <c r="Y841" s="1106"/>
      <c r="Z841" s="1106"/>
      <c r="AA841" s="1106"/>
      <c r="AB841" s="1106"/>
      <c r="AC841" s="1106"/>
      <c r="AD841" s="1106"/>
      <c r="AE841" s="1106"/>
      <c r="AF841" s="1106"/>
      <c r="AG841" s="1106"/>
      <c r="AH841" s="1106"/>
      <c r="AI841" s="1106"/>
      <c r="AJ841" s="1106"/>
      <c r="AK841" s="1106"/>
      <c r="AL841" s="1106"/>
      <c r="AM841" s="1106"/>
      <c r="AN841" s="1106"/>
      <c r="AO841" s="1106"/>
    </row>
    <row r="842">
      <c r="G842" s="1106"/>
      <c r="H842" s="1106"/>
      <c r="I842" s="1106"/>
      <c r="J842" s="1106"/>
      <c r="K842" s="1106"/>
      <c r="L842" s="1106"/>
      <c r="M842" s="1106"/>
      <c r="N842" s="1106"/>
      <c r="O842" s="1106"/>
      <c r="P842" s="1106"/>
      <c r="Q842" s="1106"/>
      <c r="R842" s="1106"/>
      <c r="S842" s="1106"/>
      <c r="T842" s="1106"/>
      <c r="U842" s="1106"/>
      <c r="V842" s="1106"/>
      <c r="W842" s="1106"/>
      <c r="X842" s="1106"/>
      <c r="Y842" s="1106"/>
      <c r="Z842" s="1106"/>
      <c r="AA842" s="1106"/>
      <c r="AB842" s="1106"/>
      <c r="AC842" s="1106"/>
      <c r="AD842" s="1106"/>
      <c r="AE842" s="1106"/>
      <c r="AF842" s="1106"/>
      <c r="AG842" s="1106"/>
      <c r="AH842" s="1106"/>
      <c r="AI842" s="1106"/>
      <c r="AJ842" s="1106"/>
      <c r="AK842" s="1106"/>
      <c r="AL842" s="1106"/>
      <c r="AM842" s="1106"/>
      <c r="AN842" s="1106"/>
      <c r="AO842" s="1106"/>
    </row>
    <row r="843">
      <c r="G843" s="1106"/>
      <c r="H843" s="1106"/>
      <c r="I843" s="1106"/>
      <c r="J843" s="1106"/>
      <c r="K843" s="1106"/>
      <c r="L843" s="1106"/>
      <c r="M843" s="1106"/>
      <c r="N843" s="1106"/>
      <c r="O843" s="1106"/>
      <c r="P843" s="1106"/>
      <c r="Q843" s="1106"/>
      <c r="R843" s="1106"/>
      <c r="S843" s="1106"/>
      <c r="T843" s="1106"/>
      <c r="U843" s="1106"/>
      <c r="V843" s="1106"/>
      <c r="W843" s="1106"/>
      <c r="X843" s="1106"/>
      <c r="Y843" s="1106"/>
      <c r="Z843" s="1106"/>
      <c r="AA843" s="1106"/>
      <c r="AB843" s="1106"/>
      <c r="AC843" s="1106"/>
      <c r="AD843" s="1106"/>
      <c r="AE843" s="1106"/>
      <c r="AF843" s="1106"/>
      <c r="AG843" s="1106"/>
      <c r="AH843" s="1106"/>
      <c r="AI843" s="1106"/>
      <c r="AJ843" s="1106"/>
      <c r="AK843" s="1106"/>
      <c r="AL843" s="1106"/>
      <c r="AM843" s="1106"/>
      <c r="AN843" s="1106"/>
      <c r="AO843" s="1106"/>
    </row>
    <row r="844">
      <c r="G844" s="1106"/>
      <c r="H844" s="1106"/>
      <c r="I844" s="1106"/>
      <c r="J844" s="1106"/>
      <c r="K844" s="1106"/>
      <c r="L844" s="1106"/>
      <c r="M844" s="1106"/>
      <c r="N844" s="1106"/>
      <c r="O844" s="1106"/>
      <c r="P844" s="1106"/>
      <c r="Q844" s="1106"/>
      <c r="R844" s="1106"/>
      <c r="S844" s="1106"/>
      <c r="T844" s="1106"/>
      <c r="U844" s="1106"/>
      <c r="V844" s="1106"/>
      <c r="W844" s="1106"/>
      <c r="X844" s="1106"/>
      <c r="Y844" s="1106"/>
      <c r="Z844" s="1106"/>
      <c r="AA844" s="1106"/>
      <c r="AB844" s="1106"/>
      <c r="AC844" s="1106"/>
      <c r="AD844" s="1106"/>
      <c r="AE844" s="1106"/>
      <c r="AF844" s="1106"/>
      <c r="AG844" s="1106"/>
      <c r="AH844" s="1106"/>
      <c r="AI844" s="1106"/>
      <c r="AJ844" s="1106"/>
      <c r="AK844" s="1106"/>
      <c r="AL844" s="1106"/>
      <c r="AM844" s="1106"/>
      <c r="AN844" s="1106"/>
      <c r="AO844" s="1106"/>
    </row>
    <row r="845">
      <c r="G845" s="1106"/>
      <c r="H845" s="1106"/>
      <c r="I845" s="1106"/>
      <c r="J845" s="1106"/>
      <c r="K845" s="1106"/>
      <c r="L845" s="1106"/>
      <c r="M845" s="1106"/>
      <c r="N845" s="1106"/>
      <c r="O845" s="1106"/>
      <c r="P845" s="1106"/>
      <c r="Q845" s="1106"/>
      <c r="R845" s="1106"/>
      <c r="S845" s="1106"/>
      <c r="T845" s="1106"/>
      <c r="U845" s="1106"/>
      <c r="V845" s="1106"/>
      <c r="W845" s="1106"/>
      <c r="X845" s="1106"/>
      <c r="Y845" s="1106"/>
      <c r="Z845" s="1106"/>
      <c r="AA845" s="1106"/>
      <c r="AB845" s="1106"/>
      <c r="AC845" s="1106"/>
      <c r="AD845" s="1106"/>
      <c r="AE845" s="1106"/>
      <c r="AF845" s="1106"/>
      <c r="AG845" s="1106"/>
      <c r="AH845" s="1106"/>
      <c r="AI845" s="1106"/>
      <c r="AJ845" s="1106"/>
      <c r="AK845" s="1106"/>
      <c r="AL845" s="1106"/>
      <c r="AM845" s="1106"/>
      <c r="AN845" s="1106"/>
      <c r="AO845" s="1106"/>
    </row>
    <row r="846">
      <c r="G846" s="1106"/>
      <c r="H846" s="1106"/>
      <c r="I846" s="1106"/>
      <c r="J846" s="1106"/>
      <c r="K846" s="1106"/>
      <c r="L846" s="1106"/>
      <c r="M846" s="1106"/>
      <c r="N846" s="1106"/>
      <c r="O846" s="1106"/>
      <c r="P846" s="1106"/>
      <c r="Q846" s="1106"/>
      <c r="R846" s="1106"/>
      <c r="S846" s="1106"/>
      <c r="T846" s="1106"/>
      <c r="U846" s="1106"/>
      <c r="V846" s="1106"/>
      <c r="W846" s="1106"/>
      <c r="X846" s="1106"/>
      <c r="Y846" s="1106"/>
      <c r="Z846" s="1106"/>
      <c r="AA846" s="1106"/>
      <c r="AB846" s="1106"/>
      <c r="AC846" s="1106"/>
      <c r="AD846" s="1106"/>
      <c r="AE846" s="1106"/>
      <c r="AF846" s="1106"/>
      <c r="AG846" s="1106"/>
      <c r="AH846" s="1106"/>
      <c r="AI846" s="1106"/>
      <c r="AJ846" s="1106"/>
      <c r="AK846" s="1106"/>
      <c r="AL846" s="1106"/>
      <c r="AM846" s="1106"/>
      <c r="AN846" s="1106"/>
      <c r="AO846" s="1106"/>
    </row>
    <row r="847">
      <c r="G847" s="1106"/>
      <c r="H847" s="1106"/>
      <c r="I847" s="1106"/>
      <c r="J847" s="1106"/>
      <c r="K847" s="1106"/>
      <c r="L847" s="1106"/>
      <c r="M847" s="1106"/>
      <c r="N847" s="1106"/>
      <c r="O847" s="1106"/>
      <c r="P847" s="1106"/>
      <c r="Q847" s="1106"/>
      <c r="R847" s="1106"/>
      <c r="S847" s="1106"/>
      <c r="T847" s="1106"/>
      <c r="U847" s="1106"/>
      <c r="V847" s="1106"/>
      <c r="W847" s="1106"/>
      <c r="X847" s="1106"/>
      <c r="Y847" s="1106"/>
      <c r="Z847" s="1106"/>
      <c r="AA847" s="1106"/>
      <c r="AB847" s="1106"/>
      <c r="AC847" s="1106"/>
      <c r="AD847" s="1106"/>
      <c r="AE847" s="1106"/>
      <c r="AF847" s="1106"/>
      <c r="AG847" s="1106"/>
      <c r="AH847" s="1106"/>
      <c r="AI847" s="1106"/>
      <c r="AJ847" s="1106"/>
      <c r="AK847" s="1106"/>
      <c r="AL847" s="1106"/>
      <c r="AM847" s="1106"/>
      <c r="AN847" s="1106"/>
      <c r="AO847" s="1106"/>
    </row>
    <row r="848">
      <c r="G848" s="1106"/>
      <c r="H848" s="1106"/>
      <c r="I848" s="1106"/>
      <c r="J848" s="1106"/>
      <c r="K848" s="1106"/>
      <c r="L848" s="1106"/>
      <c r="M848" s="1106"/>
      <c r="N848" s="1106"/>
      <c r="O848" s="1106"/>
      <c r="P848" s="1106"/>
      <c r="Q848" s="1106"/>
      <c r="R848" s="1106"/>
      <c r="S848" s="1106"/>
      <c r="T848" s="1106"/>
      <c r="U848" s="1106"/>
      <c r="V848" s="1106"/>
      <c r="W848" s="1106"/>
      <c r="X848" s="1106"/>
      <c r="Y848" s="1106"/>
      <c r="Z848" s="1106"/>
      <c r="AA848" s="1106"/>
      <c r="AB848" s="1106"/>
      <c r="AC848" s="1106"/>
      <c r="AD848" s="1106"/>
      <c r="AE848" s="1106"/>
      <c r="AF848" s="1106"/>
      <c r="AG848" s="1106"/>
      <c r="AH848" s="1106"/>
      <c r="AI848" s="1106"/>
      <c r="AJ848" s="1106"/>
      <c r="AK848" s="1106"/>
      <c r="AL848" s="1106"/>
      <c r="AM848" s="1106"/>
      <c r="AN848" s="1106"/>
      <c r="AO848" s="1106"/>
    </row>
    <row r="849">
      <c r="G849" s="1106"/>
      <c r="H849" s="1106"/>
      <c r="I849" s="1106"/>
      <c r="J849" s="1106"/>
      <c r="K849" s="1106"/>
      <c r="L849" s="1106"/>
      <c r="M849" s="1106"/>
      <c r="N849" s="1106"/>
      <c r="O849" s="1106"/>
      <c r="P849" s="1106"/>
      <c r="Q849" s="1106"/>
      <c r="R849" s="1106"/>
      <c r="S849" s="1106"/>
      <c r="T849" s="1106"/>
      <c r="U849" s="1106"/>
      <c r="V849" s="1106"/>
      <c r="W849" s="1106"/>
      <c r="X849" s="1106"/>
      <c r="Y849" s="1106"/>
      <c r="Z849" s="1106"/>
      <c r="AA849" s="1106"/>
      <c r="AB849" s="1106"/>
      <c r="AC849" s="1106"/>
      <c r="AD849" s="1106"/>
      <c r="AE849" s="1106"/>
      <c r="AF849" s="1106"/>
      <c r="AG849" s="1106"/>
      <c r="AH849" s="1106"/>
      <c r="AI849" s="1106"/>
      <c r="AJ849" s="1106"/>
      <c r="AK849" s="1106"/>
      <c r="AL849" s="1106"/>
      <c r="AM849" s="1106"/>
      <c r="AN849" s="1106"/>
      <c r="AO849" s="1106"/>
    </row>
    <row r="850">
      <c r="G850" s="1106"/>
      <c r="H850" s="1106"/>
      <c r="I850" s="1106"/>
      <c r="J850" s="1106"/>
      <c r="K850" s="1106"/>
      <c r="L850" s="1106"/>
      <c r="M850" s="1106"/>
      <c r="N850" s="1106"/>
      <c r="O850" s="1106"/>
      <c r="P850" s="1106"/>
      <c r="Q850" s="1106"/>
      <c r="R850" s="1106"/>
      <c r="S850" s="1106"/>
      <c r="T850" s="1106"/>
      <c r="U850" s="1106"/>
      <c r="V850" s="1106"/>
      <c r="W850" s="1106"/>
      <c r="X850" s="1106"/>
      <c r="Y850" s="1106"/>
      <c r="Z850" s="1106"/>
      <c r="AA850" s="1106"/>
      <c r="AB850" s="1106"/>
      <c r="AC850" s="1106"/>
      <c r="AD850" s="1106"/>
      <c r="AE850" s="1106"/>
      <c r="AF850" s="1106"/>
      <c r="AG850" s="1106"/>
      <c r="AH850" s="1106"/>
      <c r="AI850" s="1106"/>
      <c r="AJ850" s="1106"/>
      <c r="AK850" s="1106"/>
      <c r="AL850" s="1106"/>
      <c r="AM850" s="1106"/>
      <c r="AN850" s="1106"/>
      <c r="AO850" s="1106"/>
    </row>
    <row r="851">
      <c r="G851" s="1106"/>
      <c r="H851" s="1106"/>
      <c r="I851" s="1106"/>
      <c r="J851" s="1106"/>
      <c r="K851" s="1106"/>
      <c r="L851" s="1106"/>
      <c r="M851" s="1106"/>
      <c r="N851" s="1106"/>
      <c r="O851" s="1106"/>
      <c r="P851" s="1106"/>
      <c r="Q851" s="1106"/>
      <c r="R851" s="1106"/>
      <c r="S851" s="1106"/>
      <c r="T851" s="1106"/>
      <c r="U851" s="1106"/>
      <c r="V851" s="1106"/>
      <c r="W851" s="1106"/>
      <c r="X851" s="1106"/>
      <c r="Y851" s="1106"/>
      <c r="Z851" s="1106"/>
      <c r="AA851" s="1106"/>
      <c r="AB851" s="1106"/>
      <c r="AC851" s="1106"/>
      <c r="AD851" s="1106"/>
      <c r="AE851" s="1106"/>
      <c r="AF851" s="1106"/>
      <c r="AG851" s="1106"/>
      <c r="AH851" s="1106"/>
      <c r="AI851" s="1106"/>
      <c r="AJ851" s="1106"/>
      <c r="AK851" s="1106"/>
      <c r="AL851" s="1106"/>
      <c r="AM851" s="1106"/>
      <c r="AN851" s="1106"/>
      <c r="AO851" s="1106"/>
    </row>
    <row r="852">
      <c r="G852" s="1106"/>
      <c r="H852" s="1106"/>
      <c r="I852" s="1106"/>
      <c r="J852" s="1106"/>
      <c r="K852" s="1106"/>
      <c r="L852" s="1106"/>
      <c r="M852" s="1106"/>
      <c r="N852" s="1106"/>
      <c r="O852" s="1106"/>
      <c r="P852" s="1106"/>
      <c r="Q852" s="1106"/>
      <c r="R852" s="1106"/>
      <c r="S852" s="1106"/>
      <c r="T852" s="1106"/>
      <c r="U852" s="1106"/>
      <c r="V852" s="1106"/>
      <c r="W852" s="1106"/>
      <c r="X852" s="1106"/>
      <c r="Y852" s="1106"/>
      <c r="Z852" s="1106"/>
      <c r="AA852" s="1106"/>
      <c r="AB852" s="1106"/>
      <c r="AC852" s="1106"/>
      <c r="AD852" s="1106"/>
      <c r="AE852" s="1106"/>
      <c r="AF852" s="1106"/>
      <c r="AG852" s="1106"/>
      <c r="AH852" s="1106"/>
      <c r="AI852" s="1106"/>
      <c r="AJ852" s="1106"/>
      <c r="AK852" s="1106"/>
      <c r="AL852" s="1106"/>
      <c r="AM852" s="1106"/>
      <c r="AN852" s="1106"/>
      <c r="AO852" s="1106"/>
    </row>
    <row r="853">
      <c r="G853" s="1106"/>
      <c r="H853" s="1106"/>
      <c r="I853" s="1106"/>
      <c r="J853" s="1106"/>
      <c r="K853" s="1106"/>
      <c r="L853" s="1106"/>
      <c r="M853" s="1106"/>
      <c r="N853" s="1106"/>
      <c r="O853" s="1106"/>
      <c r="P853" s="1106"/>
      <c r="Q853" s="1106"/>
      <c r="R853" s="1106"/>
      <c r="S853" s="1106"/>
      <c r="T853" s="1106"/>
      <c r="U853" s="1106"/>
      <c r="V853" s="1106"/>
      <c r="W853" s="1106"/>
      <c r="X853" s="1106"/>
      <c r="Y853" s="1106"/>
      <c r="Z853" s="1106"/>
      <c r="AA853" s="1106"/>
      <c r="AB853" s="1106"/>
      <c r="AC853" s="1106"/>
      <c r="AD853" s="1106"/>
      <c r="AE853" s="1106"/>
      <c r="AF853" s="1106"/>
      <c r="AG853" s="1106"/>
      <c r="AH853" s="1106"/>
      <c r="AI853" s="1106"/>
      <c r="AJ853" s="1106"/>
      <c r="AK853" s="1106"/>
      <c r="AL853" s="1106"/>
      <c r="AM853" s="1106"/>
      <c r="AN853" s="1106"/>
      <c r="AO853" s="1106"/>
    </row>
    <row r="854">
      <c r="G854" s="1106"/>
      <c r="H854" s="1106"/>
      <c r="I854" s="1106"/>
      <c r="J854" s="1106"/>
      <c r="K854" s="1106"/>
      <c r="L854" s="1106"/>
      <c r="M854" s="1106"/>
      <c r="N854" s="1106"/>
      <c r="O854" s="1106"/>
      <c r="P854" s="1106"/>
      <c r="Q854" s="1106"/>
      <c r="R854" s="1106"/>
      <c r="S854" s="1106"/>
      <c r="T854" s="1106"/>
      <c r="U854" s="1106"/>
      <c r="V854" s="1106"/>
      <c r="W854" s="1106"/>
      <c r="X854" s="1106"/>
      <c r="Y854" s="1106"/>
      <c r="Z854" s="1106"/>
      <c r="AA854" s="1106"/>
      <c r="AB854" s="1106"/>
      <c r="AC854" s="1106"/>
      <c r="AD854" s="1106"/>
      <c r="AE854" s="1106"/>
      <c r="AF854" s="1106"/>
      <c r="AG854" s="1106"/>
      <c r="AH854" s="1106"/>
      <c r="AI854" s="1106"/>
      <c r="AJ854" s="1106"/>
      <c r="AK854" s="1106"/>
      <c r="AL854" s="1106"/>
      <c r="AM854" s="1106"/>
      <c r="AN854" s="1106"/>
      <c r="AO854" s="1106"/>
    </row>
    <row r="855">
      <c r="G855" s="1106"/>
      <c r="H855" s="1106"/>
      <c r="I855" s="1106"/>
      <c r="J855" s="1106"/>
      <c r="K855" s="1106"/>
      <c r="L855" s="1106"/>
      <c r="M855" s="1106"/>
      <c r="N855" s="1106"/>
      <c r="O855" s="1106"/>
      <c r="P855" s="1106"/>
      <c r="Q855" s="1106"/>
      <c r="R855" s="1106"/>
      <c r="S855" s="1106"/>
      <c r="T855" s="1106"/>
      <c r="U855" s="1106"/>
      <c r="V855" s="1106"/>
      <c r="W855" s="1106"/>
      <c r="X855" s="1106"/>
      <c r="Y855" s="1106"/>
      <c r="Z855" s="1106"/>
      <c r="AA855" s="1106"/>
      <c r="AB855" s="1106"/>
      <c r="AC855" s="1106"/>
      <c r="AD855" s="1106"/>
      <c r="AE855" s="1106"/>
      <c r="AF855" s="1106"/>
      <c r="AG855" s="1106"/>
      <c r="AH855" s="1106"/>
      <c r="AI855" s="1106"/>
      <c r="AJ855" s="1106"/>
      <c r="AK855" s="1106"/>
      <c r="AL855" s="1106"/>
      <c r="AM855" s="1106"/>
      <c r="AN855" s="1106"/>
      <c r="AO855" s="1106"/>
    </row>
    <row r="856">
      <c r="G856" s="1106"/>
      <c r="H856" s="1106"/>
      <c r="I856" s="1106"/>
      <c r="J856" s="1106"/>
      <c r="K856" s="1106"/>
      <c r="L856" s="1106"/>
      <c r="M856" s="1106"/>
      <c r="N856" s="1106"/>
      <c r="O856" s="1106"/>
      <c r="P856" s="1106"/>
      <c r="Q856" s="1106"/>
      <c r="R856" s="1106"/>
      <c r="S856" s="1106"/>
      <c r="T856" s="1106"/>
      <c r="U856" s="1106"/>
      <c r="V856" s="1106"/>
      <c r="W856" s="1106"/>
      <c r="X856" s="1106"/>
      <c r="Y856" s="1106"/>
      <c r="Z856" s="1106"/>
      <c r="AA856" s="1106"/>
      <c r="AB856" s="1106"/>
      <c r="AC856" s="1106"/>
      <c r="AD856" s="1106"/>
      <c r="AE856" s="1106"/>
      <c r="AF856" s="1106"/>
      <c r="AG856" s="1106"/>
      <c r="AH856" s="1106"/>
      <c r="AI856" s="1106"/>
      <c r="AJ856" s="1106"/>
      <c r="AK856" s="1106"/>
      <c r="AL856" s="1106"/>
      <c r="AM856" s="1106"/>
      <c r="AN856" s="1106"/>
      <c r="AO856" s="1106"/>
    </row>
    <row r="857">
      <c r="G857" s="1106"/>
      <c r="H857" s="1106"/>
      <c r="I857" s="1106"/>
      <c r="J857" s="1106"/>
      <c r="K857" s="1106"/>
      <c r="L857" s="1106"/>
      <c r="M857" s="1106"/>
      <c r="N857" s="1106"/>
      <c r="O857" s="1106"/>
      <c r="P857" s="1106"/>
      <c r="Q857" s="1106"/>
      <c r="R857" s="1106"/>
      <c r="S857" s="1106"/>
      <c r="T857" s="1106"/>
      <c r="U857" s="1106"/>
      <c r="V857" s="1106"/>
      <c r="W857" s="1106"/>
      <c r="X857" s="1106"/>
      <c r="Y857" s="1106"/>
      <c r="Z857" s="1106"/>
      <c r="AA857" s="1106"/>
      <c r="AB857" s="1106"/>
      <c r="AC857" s="1106"/>
      <c r="AD857" s="1106"/>
      <c r="AE857" s="1106"/>
      <c r="AF857" s="1106"/>
      <c r="AG857" s="1106"/>
      <c r="AH857" s="1106"/>
      <c r="AI857" s="1106"/>
      <c r="AJ857" s="1106"/>
      <c r="AK857" s="1106"/>
      <c r="AL857" s="1106"/>
      <c r="AM857" s="1106"/>
      <c r="AN857" s="1106"/>
      <c r="AO857" s="1106"/>
    </row>
    <row r="858">
      <c r="G858" s="1106"/>
      <c r="H858" s="1106"/>
      <c r="I858" s="1106"/>
      <c r="J858" s="1106"/>
      <c r="K858" s="1106"/>
      <c r="L858" s="1106"/>
      <c r="M858" s="1106"/>
      <c r="N858" s="1106"/>
      <c r="O858" s="1106"/>
      <c r="P858" s="1106"/>
      <c r="Q858" s="1106"/>
      <c r="R858" s="1106"/>
      <c r="S858" s="1106"/>
      <c r="T858" s="1106"/>
      <c r="U858" s="1106"/>
      <c r="V858" s="1106"/>
      <c r="W858" s="1106"/>
      <c r="X858" s="1106"/>
      <c r="Y858" s="1106"/>
      <c r="Z858" s="1106"/>
      <c r="AA858" s="1106"/>
      <c r="AB858" s="1106"/>
      <c r="AC858" s="1106"/>
      <c r="AD858" s="1106"/>
      <c r="AE858" s="1106"/>
      <c r="AF858" s="1106"/>
      <c r="AG858" s="1106"/>
      <c r="AH858" s="1106"/>
      <c r="AI858" s="1106"/>
      <c r="AJ858" s="1106"/>
      <c r="AK858" s="1106"/>
      <c r="AL858" s="1106"/>
      <c r="AM858" s="1106"/>
      <c r="AN858" s="1106"/>
      <c r="AO858" s="1106"/>
    </row>
    <row r="859">
      <c r="G859" s="1106"/>
      <c r="H859" s="1106"/>
      <c r="I859" s="1106"/>
      <c r="J859" s="1106"/>
      <c r="K859" s="1106"/>
      <c r="L859" s="1106"/>
      <c r="M859" s="1106"/>
      <c r="N859" s="1106"/>
      <c r="O859" s="1106"/>
      <c r="P859" s="1106"/>
      <c r="Q859" s="1106"/>
      <c r="R859" s="1106"/>
      <c r="S859" s="1106"/>
      <c r="T859" s="1106"/>
      <c r="U859" s="1106"/>
      <c r="V859" s="1106"/>
      <c r="W859" s="1106"/>
      <c r="X859" s="1106"/>
      <c r="Y859" s="1106"/>
      <c r="Z859" s="1106"/>
      <c r="AA859" s="1106"/>
      <c r="AB859" s="1106"/>
      <c r="AC859" s="1106"/>
      <c r="AD859" s="1106"/>
      <c r="AE859" s="1106"/>
      <c r="AF859" s="1106"/>
      <c r="AG859" s="1106"/>
      <c r="AH859" s="1106"/>
      <c r="AI859" s="1106"/>
      <c r="AJ859" s="1106"/>
      <c r="AK859" s="1106"/>
      <c r="AL859" s="1106"/>
      <c r="AM859" s="1106"/>
      <c r="AN859" s="1106"/>
      <c r="AO859" s="1106"/>
    </row>
    <row r="860">
      <c r="G860" s="1106"/>
      <c r="H860" s="1106"/>
      <c r="I860" s="1106"/>
      <c r="J860" s="1106"/>
      <c r="K860" s="1106"/>
      <c r="L860" s="1106"/>
      <c r="M860" s="1106"/>
      <c r="N860" s="1106"/>
      <c r="O860" s="1106"/>
      <c r="P860" s="1106"/>
      <c r="Q860" s="1106"/>
      <c r="R860" s="1106"/>
      <c r="S860" s="1106"/>
      <c r="T860" s="1106"/>
      <c r="U860" s="1106"/>
      <c r="V860" s="1106"/>
      <c r="W860" s="1106"/>
      <c r="X860" s="1106"/>
      <c r="Y860" s="1106"/>
      <c r="Z860" s="1106"/>
      <c r="AA860" s="1106"/>
      <c r="AB860" s="1106"/>
      <c r="AC860" s="1106"/>
      <c r="AD860" s="1106"/>
      <c r="AE860" s="1106"/>
      <c r="AF860" s="1106"/>
      <c r="AG860" s="1106"/>
      <c r="AH860" s="1106"/>
      <c r="AI860" s="1106"/>
      <c r="AJ860" s="1106"/>
      <c r="AK860" s="1106"/>
      <c r="AL860" s="1106"/>
      <c r="AM860" s="1106"/>
      <c r="AN860" s="1106"/>
      <c r="AO860" s="1106"/>
    </row>
    <row r="861">
      <c r="G861" s="1106"/>
      <c r="H861" s="1106"/>
      <c r="I861" s="1106"/>
      <c r="J861" s="1106"/>
      <c r="K861" s="1106"/>
      <c r="L861" s="1106"/>
      <c r="M861" s="1106"/>
      <c r="N861" s="1106"/>
      <c r="O861" s="1106"/>
      <c r="P861" s="1106"/>
      <c r="Q861" s="1106"/>
      <c r="R861" s="1106"/>
      <c r="S861" s="1106"/>
      <c r="T861" s="1106"/>
      <c r="U861" s="1106"/>
      <c r="V861" s="1106"/>
      <c r="W861" s="1106"/>
      <c r="X861" s="1106"/>
      <c r="Y861" s="1106"/>
      <c r="Z861" s="1106"/>
      <c r="AA861" s="1106"/>
      <c r="AB861" s="1106"/>
      <c r="AC861" s="1106"/>
      <c r="AD861" s="1106"/>
      <c r="AE861" s="1106"/>
      <c r="AF861" s="1106"/>
      <c r="AG861" s="1106"/>
      <c r="AH861" s="1106"/>
      <c r="AI861" s="1106"/>
      <c r="AJ861" s="1106"/>
      <c r="AK861" s="1106"/>
      <c r="AL861" s="1106"/>
      <c r="AM861" s="1106"/>
      <c r="AN861" s="1106"/>
      <c r="AO861" s="1106"/>
    </row>
    <row r="862">
      <c r="G862" s="1106"/>
      <c r="H862" s="1106"/>
      <c r="I862" s="1106"/>
      <c r="J862" s="1106"/>
      <c r="K862" s="1106"/>
      <c r="L862" s="1106"/>
      <c r="M862" s="1106"/>
      <c r="N862" s="1106"/>
      <c r="O862" s="1106"/>
      <c r="P862" s="1106"/>
      <c r="Q862" s="1106"/>
      <c r="R862" s="1106"/>
      <c r="S862" s="1106"/>
      <c r="T862" s="1106"/>
      <c r="U862" s="1106"/>
      <c r="V862" s="1106"/>
      <c r="W862" s="1106"/>
      <c r="X862" s="1106"/>
      <c r="Y862" s="1106"/>
      <c r="Z862" s="1106"/>
      <c r="AA862" s="1106"/>
      <c r="AB862" s="1106"/>
      <c r="AC862" s="1106"/>
      <c r="AD862" s="1106"/>
      <c r="AE862" s="1106"/>
      <c r="AF862" s="1106"/>
      <c r="AG862" s="1106"/>
      <c r="AH862" s="1106"/>
      <c r="AI862" s="1106"/>
      <c r="AJ862" s="1106"/>
      <c r="AK862" s="1106"/>
      <c r="AL862" s="1106"/>
      <c r="AM862" s="1106"/>
      <c r="AN862" s="1106"/>
      <c r="AO862" s="1106"/>
    </row>
    <row r="863">
      <c r="G863" s="1106"/>
      <c r="H863" s="1106"/>
      <c r="I863" s="1106"/>
      <c r="J863" s="1106"/>
      <c r="K863" s="1106"/>
      <c r="L863" s="1106"/>
      <c r="M863" s="1106"/>
      <c r="N863" s="1106"/>
      <c r="O863" s="1106"/>
      <c r="P863" s="1106"/>
      <c r="Q863" s="1106"/>
      <c r="R863" s="1106"/>
      <c r="S863" s="1106"/>
      <c r="T863" s="1106"/>
      <c r="U863" s="1106"/>
      <c r="V863" s="1106"/>
      <c r="W863" s="1106"/>
      <c r="X863" s="1106"/>
      <c r="Y863" s="1106"/>
      <c r="Z863" s="1106"/>
      <c r="AA863" s="1106"/>
      <c r="AB863" s="1106"/>
      <c r="AC863" s="1106"/>
      <c r="AD863" s="1106"/>
      <c r="AE863" s="1106"/>
      <c r="AF863" s="1106"/>
      <c r="AG863" s="1106"/>
      <c r="AH863" s="1106"/>
      <c r="AI863" s="1106"/>
      <c r="AJ863" s="1106"/>
      <c r="AK863" s="1106"/>
      <c r="AL863" s="1106"/>
      <c r="AM863" s="1106"/>
      <c r="AN863" s="1106"/>
      <c r="AO863" s="1106"/>
    </row>
    <row r="864">
      <c r="G864" s="1106"/>
      <c r="H864" s="1106"/>
      <c r="I864" s="1106"/>
      <c r="J864" s="1106"/>
      <c r="K864" s="1106"/>
      <c r="L864" s="1106"/>
      <c r="M864" s="1106"/>
      <c r="N864" s="1106"/>
      <c r="O864" s="1106"/>
      <c r="P864" s="1106"/>
      <c r="Q864" s="1106"/>
      <c r="R864" s="1106"/>
      <c r="S864" s="1106"/>
      <c r="T864" s="1106"/>
      <c r="U864" s="1106"/>
      <c r="V864" s="1106"/>
      <c r="W864" s="1106"/>
      <c r="X864" s="1106"/>
      <c r="Y864" s="1106"/>
      <c r="Z864" s="1106"/>
      <c r="AA864" s="1106"/>
      <c r="AB864" s="1106"/>
      <c r="AC864" s="1106"/>
      <c r="AD864" s="1106"/>
      <c r="AE864" s="1106"/>
      <c r="AF864" s="1106"/>
      <c r="AG864" s="1106"/>
      <c r="AH864" s="1106"/>
      <c r="AI864" s="1106"/>
      <c r="AJ864" s="1106"/>
      <c r="AK864" s="1106"/>
      <c r="AL864" s="1106"/>
      <c r="AM864" s="1106"/>
      <c r="AN864" s="1106"/>
      <c r="AO864" s="1106"/>
    </row>
    <row r="865">
      <c r="G865" s="1106"/>
      <c r="H865" s="1106"/>
      <c r="I865" s="1106"/>
      <c r="J865" s="1106"/>
      <c r="K865" s="1106"/>
      <c r="L865" s="1106"/>
      <c r="M865" s="1106"/>
      <c r="N865" s="1106"/>
      <c r="O865" s="1106"/>
      <c r="P865" s="1106"/>
      <c r="Q865" s="1106"/>
      <c r="R865" s="1106"/>
      <c r="S865" s="1106"/>
      <c r="T865" s="1106"/>
      <c r="U865" s="1106"/>
      <c r="V865" s="1106"/>
      <c r="W865" s="1106"/>
      <c r="X865" s="1106"/>
      <c r="Y865" s="1106"/>
      <c r="Z865" s="1106"/>
      <c r="AA865" s="1106"/>
      <c r="AB865" s="1106"/>
      <c r="AC865" s="1106"/>
      <c r="AD865" s="1106"/>
      <c r="AE865" s="1106"/>
      <c r="AF865" s="1106"/>
      <c r="AG865" s="1106"/>
      <c r="AH865" s="1106"/>
      <c r="AI865" s="1106"/>
      <c r="AJ865" s="1106"/>
      <c r="AK865" s="1106"/>
      <c r="AL865" s="1106"/>
      <c r="AM865" s="1106"/>
      <c r="AN865" s="1106"/>
      <c r="AO865" s="1106"/>
    </row>
    <row r="866">
      <c r="G866" s="1106"/>
      <c r="H866" s="1106"/>
      <c r="I866" s="1106"/>
      <c r="J866" s="1106"/>
      <c r="K866" s="1106"/>
      <c r="L866" s="1106"/>
      <c r="M866" s="1106"/>
      <c r="N866" s="1106"/>
      <c r="O866" s="1106"/>
      <c r="P866" s="1106"/>
      <c r="Q866" s="1106"/>
      <c r="R866" s="1106"/>
      <c r="S866" s="1106"/>
      <c r="T866" s="1106"/>
      <c r="U866" s="1106"/>
      <c r="V866" s="1106"/>
      <c r="W866" s="1106"/>
      <c r="X866" s="1106"/>
      <c r="Y866" s="1106"/>
      <c r="Z866" s="1106"/>
      <c r="AA866" s="1106"/>
      <c r="AB866" s="1106"/>
      <c r="AC866" s="1106"/>
      <c r="AD866" s="1106"/>
      <c r="AE866" s="1106"/>
      <c r="AF866" s="1106"/>
      <c r="AG866" s="1106"/>
      <c r="AH866" s="1106"/>
      <c r="AI866" s="1106"/>
      <c r="AJ866" s="1106"/>
      <c r="AK866" s="1106"/>
      <c r="AL866" s="1106"/>
      <c r="AM866" s="1106"/>
      <c r="AN866" s="1106"/>
      <c r="AO866" s="1106"/>
    </row>
    <row r="867">
      <c r="G867" s="1106"/>
      <c r="H867" s="1106"/>
      <c r="I867" s="1106"/>
      <c r="J867" s="1106"/>
      <c r="K867" s="1106"/>
      <c r="L867" s="1106"/>
      <c r="M867" s="1106"/>
      <c r="N867" s="1106"/>
      <c r="O867" s="1106"/>
      <c r="P867" s="1106"/>
      <c r="Q867" s="1106"/>
      <c r="R867" s="1106"/>
      <c r="S867" s="1106"/>
      <c r="T867" s="1106"/>
      <c r="U867" s="1106"/>
      <c r="V867" s="1106"/>
      <c r="W867" s="1106"/>
      <c r="X867" s="1106"/>
      <c r="Y867" s="1106"/>
      <c r="Z867" s="1106"/>
      <c r="AA867" s="1106"/>
      <c r="AB867" s="1106"/>
      <c r="AC867" s="1106"/>
      <c r="AD867" s="1106"/>
      <c r="AE867" s="1106"/>
      <c r="AF867" s="1106"/>
      <c r="AG867" s="1106"/>
      <c r="AH867" s="1106"/>
      <c r="AI867" s="1106"/>
      <c r="AJ867" s="1106"/>
      <c r="AK867" s="1106"/>
      <c r="AL867" s="1106"/>
      <c r="AM867" s="1106"/>
      <c r="AN867" s="1106"/>
      <c r="AO867" s="1106"/>
    </row>
    <row r="868">
      <c r="G868" s="1106"/>
      <c r="H868" s="1106"/>
      <c r="I868" s="1106"/>
      <c r="J868" s="1106"/>
      <c r="K868" s="1106"/>
      <c r="L868" s="1106"/>
      <c r="M868" s="1106"/>
      <c r="N868" s="1106"/>
      <c r="O868" s="1106"/>
      <c r="P868" s="1106"/>
      <c r="Q868" s="1106"/>
      <c r="R868" s="1106"/>
      <c r="S868" s="1106"/>
      <c r="T868" s="1106"/>
      <c r="U868" s="1106"/>
      <c r="V868" s="1106"/>
      <c r="W868" s="1106"/>
      <c r="X868" s="1106"/>
      <c r="Y868" s="1106"/>
      <c r="Z868" s="1106"/>
      <c r="AA868" s="1106"/>
      <c r="AB868" s="1106"/>
      <c r="AC868" s="1106"/>
      <c r="AD868" s="1106"/>
      <c r="AE868" s="1106"/>
      <c r="AF868" s="1106"/>
      <c r="AG868" s="1106"/>
      <c r="AH868" s="1106"/>
      <c r="AI868" s="1106"/>
      <c r="AJ868" s="1106"/>
      <c r="AK868" s="1106"/>
      <c r="AL868" s="1106"/>
      <c r="AM868" s="1106"/>
      <c r="AN868" s="1106"/>
      <c r="AO868" s="1106"/>
    </row>
    <row r="869">
      <c r="G869" s="1106"/>
      <c r="H869" s="1106"/>
      <c r="I869" s="1106"/>
      <c r="J869" s="1106"/>
      <c r="K869" s="1106"/>
      <c r="L869" s="1106"/>
      <c r="M869" s="1106"/>
      <c r="N869" s="1106"/>
      <c r="O869" s="1106"/>
      <c r="P869" s="1106"/>
      <c r="Q869" s="1106"/>
      <c r="R869" s="1106"/>
      <c r="S869" s="1106"/>
      <c r="T869" s="1106"/>
      <c r="U869" s="1106"/>
      <c r="V869" s="1106"/>
      <c r="W869" s="1106"/>
      <c r="X869" s="1106"/>
      <c r="Y869" s="1106"/>
      <c r="Z869" s="1106"/>
      <c r="AA869" s="1106"/>
      <c r="AB869" s="1106"/>
      <c r="AC869" s="1106"/>
      <c r="AD869" s="1106"/>
      <c r="AE869" s="1106"/>
      <c r="AF869" s="1106"/>
      <c r="AG869" s="1106"/>
      <c r="AH869" s="1106"/>
      <c r="AI869" s="1106"/>
      <c r="AJ869" s="1106"/>
      <c r="AK869" s="1106"/>
      <c r="AL869" s="1106"/>
      <c r="AM869" s="1106"/>
      <c r="AN869" s="1106"/>
      <c r="AO869" s="1106"/>
    </row>
    <row r="870">
      <c r="G870" s="1106"/>
      <c r="H870" s="1106"/>
      <c r="I870" s="1106"/>
      <c r="J870" s="1106"/>
      <c r="K870" s="1106"/>
      <c r="L870" s="1106"/>
      <c r="M870" s="1106"/>
      <c r="N870" s="1106"/>
      <c r="O870" s="1106"/>
      <c r="P870" s="1106"/>
      <c r="Q870" s="1106"/>
      <c r="R870" s="1106"/>
      <c r="S870" s="1106"/>
      <c r="T870" s="1106"/>
      <c r="U870" s="1106"/>
      <c r="V870" s="1106"/>
      <c r="W870" s="1106"/>
      <c r="X870" s="1106"/>
      <c r="Y870" s="1106"/>
      <c r="Z870" s="1106"/>
      <c r="AA870" s="1106"/>
      <c r="AB870" s="1106"/>
      <c r="AC870" s="1106"/>
      <c r="AD870" s="1106"/>
      <c r="AE870" s="1106"/>
      <c r="AF870" s="1106"/>
      <c r="AG870" s="1106"/>
      <c r="AH870" s="1106"/>
      <c r="AI870" s="1106"/>
      <c r="AJ870" s="1106"/>
      <c r="AK870" s="1106"/>
      <c r="AL870" s="1106"/>
      <c r="AM870" s="1106"/>
      <c r="AN870" s="1106"/>
      <c r="AO870" s="1106"/>
    </row>
    <row r="871">
      <c r="G871" s="1106"/>
      <c r="H871" s="1106"/>
      <c r="I871" s="1106"/>
      <c r="J871" s="1106"/>
      <c r="K871" s="1106"/>
      <c r="L871" s="1106"/>
      <c r="M871" s="1106"/>
      <c r="N871" s="1106"/>
      <c r="O871" s="1106"/>
      <c r="P871" s="1106"/>
      <c r="Q871" s="1106"/>
      <c r="R871" s="1106"/>
      <c r="S871" s="1106"/>
      <c r="T871" s="1106"/>
      <c r="U871" s="1106"/>
      <c r="V871" s="1106"/>
      <c r="W871" s="1106"/>
      <c r="X871" s="1106"/>
      <c r="Y871" s="1106"/>
      <c r="Z871" s="1106"/>
      <c r="AA871" s="1106"/>
      <c r="AB871" s="1106"/>
      <c r="AC871" s="1106"/>
      <c r="AD871" s="1106"/>
      <c r="AE871" s="1106"/>
      <c r="AF871" s="1106"/>
      <c r="AG871" s="1106"/>
      <c r="AH871" s="1106"/>
      <c r="AI871" s="1106"/>
      <c r="AJ871" s="1106"/>
      <c r="AK871" s="1106"/>
      <c r="AL871" s="1106"/>
      <c r="AM871" s="1106"/>
      <c r="AN871" s="1106"/>
      <c r="AO871" s="1106"/>
    </row>
    <row r="872">
      <c r="G872" s="1106"/>
      <c r="H872" s="1106"/>
      <c r="I872" s="1106"/>
      <c r="J872" s="1106"/>
      <c r="K872" s="1106"/>
      <c r="L872" s="1106"/>
      <c r="M872" s="1106"/>
      <c r="N872" s="1106"/>
      <c r="O872" s="1106"/>
      <c r="P872" s="1106"/>
      <c r="Q872" s="1106"/>
      <c r="R872" s="1106"/>
      <c r="S872" s="1106"/>
      <c r="T872" s="1106"/>
      <c r="U872" s="1106"/>
      <c r="V872" s="1106"/>
      <c r="W872" s="1106"/>
      <c r="X872" s="1106"/>
      <c r="Y872" s="1106"/>
      <c r="Z872" s="1106"/>
      <c r="AA872" s="1106"/>
      <c r="AB872" s="1106"/>
      <c r="AC872" s="1106"/>
      <c r="AD872" s="1106"/>
      <c r="AE872" s="1106"/>
      <c r="AF872" s="1106"/>
      <c r="AG872" s="1106"/>
      <c r="AH872" s="1106"/>
      <c r="AI872" s="1106"/>
      <c r="AJ872" s="1106"/>
      <c r="AK872" s="1106"/>
      <c r="AL872" s="1106"/>
      <c r="AM872" s="1106"/>
      <c r="AN872" s="1106"/>
      <c r="AO872" s="1106"/>
    </row>
    <row r="873">
      <c r="G873" s="1106"/>
      <c r="H873" s="1106"/>
      <c r="I873" s="1106"/>
      <c r="J873" s="1106"/>
      <c r="K873" s="1106"/>
      <c r="L873" s="1106"/>
      <c r="M873" s="1106"/>
      <c r="N873" s="1106"/>
      <c r="O873" s="1106"/>
      <c r="P873" s="1106"/>
      <c r="Q873" s="1106"/>
      <c r="R873" s="1106"/>
      <c r="S873" s="1106"/>
      <c r="T873" s="1106"/>
      <c r="U873" s="1106"/>
      <c r="V873" s="1106"/>
      <c r="W873" s="1106"/>
      <c r="X873" s="1106"/>
      <c r="Y873" s="1106"/>
      <c r="Z873" s="1106"/>
      <c r="AA873" s="1106"/>
      <c r="AB873" s="1106"/>
      <c r="AC873" s="1106"/>
      <c r="AD873" s="1106"/>
      <c r="AE873" s="1106"/>
      <c r="AF873" s="1106"/>
      <c r="AG873" s="1106"/>
      <c r="AH873" s="1106"/>
      <c r="AI873" s="1106"/>
      <c r="AJ873" s="1106"/>
      <c r="AK873" s="1106"/>
      <c r="AL873" s="1106"/>
      <c r="AM873" s="1106"/>
      <c r="AN873" s="1106"/>
      <c r="AO873" s="1106"/>
    </row>
    <row r="874">
      <c r="G874" s="1106"/>
      <c r="H874" s="1106"/>
      <c r="I874" s="1106"/>
      <c r="J874" s="1106"/>
      <c r="K874" s="1106"/>
      <c r="L874" s="1106"/>
      <c r="M874" s="1106"/>
      <c r="N874" s="1106"/>
      <c r="O874" s="1106"/>
      <c r="P874" s="1106"/>
      <c r="Q874" s="1106"/>
      <c r="R874" s="1106"/>
      <c r="S874" s="1106"/>
      <c r="T874" s="1106"/>
      <c r="U874" s="1106"/>
      <c r="V874" s="1106"/>
      <c r="W874" s="1106"/>
      <c r="X874" s="1106"/>
      <c r="Y874" s="1106"/>
      <c r="Z874" s="1106"/>
      <c r="AA874" s="1106"/>
      <c r="AB874" s="1106"/>
      <c r="AC874" s="1106"/>
      <c r="AD874" s="1106"/>
      <c r="AE874" s="1106"/>
      <c r="AF874" s="1106"/>
      <c r="AG874" s="1106"/>
      <c r="AH874" s="1106"/>
      <c r="AI874" s="1106"/>
      <c r="AJ874" s="1106"/>
      <c r="AK874" s="1106"/>
      <c r="AL874" s="1106"/>
      <c r="AM874" s="1106"/>
      <c r="AN874" s="1106"/>
      <c r="AO874" s="1106"/>
    </row>
    <row r="875">
      <c r="G875" s="1106"/>
      <c r="H875" s="1106"/>
      <c r="I875" s="1106"/>
      <c r="J875" s="1106"/>
      <c r="K875" s="1106"/>
      <c r="L875" s="1106"/>
      <c r="M875" s="1106"/>
      <c r="N875" s="1106"/>
      <c r="O875" s="1106"/>
      <c r="P875" s="1106"/>
      <c r="Q875" s="1106"/>
      <c r="R875" s="1106"/>
      <c r="S875" s="1106"/>
      <c r="T875" s="1106"/>
      <c r="U875" s="1106"/>
      <c r="V875" s="1106"/>
      <c r="W875" s="1106"/>
      <c r="X875" s="1106"/>
      <c r="Y875" s="1106"/>
      <c r="Z875" s="1106"/>
      <c r="AA875" s="1106"/>
      <c r="AB875" s="1106"/>
      <c r="AC875" s="1106"/>
      <c r="AD875" s="1106"/>
      <c r="AE875" s="1106"/>
      <c r="AF875" s="1106"/>
      <c r="AG875" s="1106"/>
      <c r="AH875" s="1106"/>
      <c r="AI875" s="1106"/>
      <c r="AJ875" s="1106"/>
      <c r="AK875" s="1106"/>
      <c r="AL875" s="1106"/>
      <c r="AM875" s="1106"/>
      <c r="AN875" s="1106"/>
      <c r="AO875" s="1106"/>
    </row>
    <row r="876">
      <c r="G876" s="1106"/>
      <c r="H876" s="1106"/>
      <c r="I876" s="1106"/>
      <c r="J876" s="1106"/>
      <c r="K876" s="1106"/>
      <c r="L876" s="1106"/>
      <c r="M876" s="1106"/>
      <c r="N876" s="1106"/>
      <c r="O876" s="1106"/>
      <c r="P876" s="1106"/>
      <c r="Q876" s="1106"/>
      <c r="R876" s="1106"/>
      <c r="S876" s="1106"/>
      <c r="T876" s="1106"/>
      <c r="U876" s="1106"/>
      <c r="V876" s="1106"/>
      <c r="W876" s="1106"/>
      <c r="X876" s="1106"/>
      <c r="Y876" s="1106"/>
      <c r="Z876" s="1106"/>
      <c r="AA876" s="1106"/>
      <c r="AB876" s="1106"/>
      <c r="AC876" s="1106"/>
      <c r="AD876" s="1106"/>
      <c r="AE876" s="1106"/>
      <c r="AF876" s="1106"/>
      <c r="AG876" s="1106"/>
      <c r="AH876" s="1106"/>
      <c r="AI876" s="1106"/>
      <c r="AJ876" s="1106"/>
      <c r="AK876" s="1106"/>
      <c r="AL876" s="1106"/>
      <c r="AM876" s="1106"/>
      <c r="AN876" s="1106"/>
      <c r="AO876" s="1106"/>
    </row>
    <row r="877">
      <c r="G877" s="1106"/>
      <c r="H877" s="1106"/>
      <c r="I877" s="1106"/>
      <c r="J877" s="1106"/>
      <c r="K877" s="1106"/>
      <c r="L877" s="1106"/>
      <c r="M877" s="1106"/>
      <c r="N877" s="1106"/>
      <c r="O877" s="1106"/>
      <c r="P877" s="1106"/>
      <c r="Q877" s="1106"/>
      <c r="R877" s="1106"/>
      <c r="S877" s="1106"/>
      <c r="T877" s="1106"/>
      <c r="U877" s="1106"/>
      <c r="V877" s="1106"/>
      <c r="W877" s="1106"/>
      <c r="X877" s="1106"/>
      <c r="Y877" s="1106"/>
      <c r="Z877" s="1106"/>
      <c r="AA877" s="1106"/>
      <c r="AB877" s="1106"/>
      <c r="AC877" s="1106"/>
      <c r="AD877" s="1106"/>
      <c r="AE877" s="1106"/>
      <c r="AF877" s="1106"/>
      <c r="AG877" s="1106"/>
      <c r="AH877" s="1106"/>
      <c r="AI877" s="1106"/>
      <c r="AJ877" s="1106"/>
      <c r="AK877" s="1106"/>
      <c r="AL877" s="1106"/>
      <c r="AM877" s="1106"/>
      <c r="AN877" s="1106"/>
      <c r="AO877" s="1106"/>
    </row>
    <row r="878">
      <c r="G878" s="1106"/>
      <c r="H878" s="1106"/>
      <c r="I878" s="1106"/>
      <c r="J878" s="1106"/>
      <c r="K878" s="1106"/>
      <c r="L878" s="1106"/>
      <c r="M878" s="1106"/>
      <c r="N878" s="1106"/>
      <c r="O878" s="1106"/>
      <c r="P878" s="1106"/>
      <c r="Q878" s="1106"/>
      <c r="R878" s="1106"/>
      <c r="S878" s="1106"/>
      <c r="T878" s="1106"/>
      <c r="U878" s="1106"/>
      <c r="V878" s="1106"/>
      <c r="W878" s="1106"/>
      <c r="X878" s="1106"/>
      <c r="Y878" s="1106"/>
      <c r="Z878" s="1106"/>
      <c r="AA878" s="1106"/>
      <c r="AB878" s="1106"/>
      <c r="AC878" s="1106"/>
      <c r="AD878" s="1106"/>
      <c r="AE878" s="1106"/>
      <c r="AF878" s="1106"/>
      <c r="AG878" s="1106"/>
      <c r="AH878" s="1106"/>
      <c r="AI878" s="1106"/>
      <c r="AJ878" s="1106"/>
      <c r="AK878" s="1106"/>
      <c r="AL878" s="1106"/>
      <c r="AM878" s="1106"/>
      <c r="AN878" s="1106"/>
      <c r="AO878" s="1106"/>
    </row>
    <row r="879">
      <c r="G879" s="1106"/>
      <c r="H879" s="1106"/>
      <c r="I879" s="1106"/>
      <c r="J879" s="1106"/>
      <c r="K879" s="1106"/>
      <c r="L879" s="1106"/>
      <c r="M879" s="1106"/>
      <c r="N879" s="1106"/>
      <c r="O879" s="1106"/>
      <c r="P879" s="1106"/>
      <c r="Q879" s="1106"/>
      <c r="R879" s="1106"/>
      <c r="S879" s="1106"/>
      <c r="T879" s="1106"/>
      <c r="U879" s="1106"/>
      <c r="V879" s="1106"/>
      <c r="W879" s="1106"/>
      <c r="X879" s="1106"/>
      <c r="Y879" s="1106"/>
      <c r="Z879" s="1106"/>
      <c r="AA879" s="1106"/>
      <c r="AB879" s="1106"/>
      <c r="AC879" s="1106"/>
      <c r="AD879" s="1106"/>
      <c r="AE879" s="1106"/>
      <c r="AF879" s="1106"/>
      <c r="AG879" s="1106"/>
      <c r="AH879" s="1106"/>
      <c r="AI879" s="1106"/>
      <c r="AJ879" s="1106"/>
      <c r="AK879" s="1106"/>
      <c r="AL879" s="1106"/>
      <c r="AM879" s="1106"/>
      <c r="AN879" s="1106"/>
      <c r="AO879" s="1106"/>
    </row>
    <row r="880">
      <c r="G880" s="1106"/>
      <c r="H880" s="1106"/>
      <c r="I880" s="1106"/>
      <c r="J880" s="1106"/>
      <c r="K880" s="1106"/>
      <c r="L880" s="1106"/>
      <c r="M880" s="1106"/>
      <c r="N880" s="1106"/>
      <c r="O880" s="1106"/>
      <c r="P880" s="1106"/>
      <c r="Q880" s="1106"/>
      <c r="R880" s="1106"/>
      <c r="S880" s="1106"/>
      <c r="T880" s="1106"/>
      <c r="U880" s="1106"/>
      <c r="V880" s="1106"/>
      <c r="W880" s="1106"/>
      <c r="X880" s="1106"/>
      <c r="Y880" s="1106"/>
      <c r="Z880" s="1106"/>
      <c r="AA880" s="1106"/>
      <c r="AB880" s="1106"/>
      <c r="AC880" s="1106"/>
      <c r="AD880" s="1106"/>
      <c r="AE880" s="1106"/>
      <c r="AF880" s="1106"/>
      <c r="AG880" s="1106"/>
      <c r="AH880" s="1106"/>
      <c r="AI880" s="1106"/>
      <c r="AJ880" s="1106"/>
      <c r="AK880" s="1106"/>
      <c r="AL880" s="1106"/>
      <c r="AM880" s="1106"/>
      <c r="AN880" s="1106"/>
      <c r="AO880" s="1106"/>
    </row>
    <row r="881">
      <c r="G881" s="1106"/>
      <c r="H881" s="1106"/>
      <c r="I881" s="1106"/>
      <c r="J881" s="1106"/>
      <c r="K881" s="1106"/>
      <c r="L881" s="1106"/>
      <c r="M881" s="1106"/>
      <c r="N881" s="1106"/>
      <c r="O881" s="1106"/>
      <c r="P881" s="1106"/>
      <c r="Q881" s="1106"/>
      <c r="R881" s="1106"/>
      <c r="S881" s="1106"/>
      <c r="T881" s="1106"/>
      <c r="U881" s="1106"/>
      <c r="V881" s="1106"/>
      <c r="W881" s="1106"/>
      <c r="X881" s="1106"/>
      <c r="Y881" s="1106"/>
      <c r="Z881" s="1106"/>
      <c r="AA881" s="1106"/>
      <c r="AB881" s="1106"/>
      <c r="AC881" s="1106"/>
      <c r="AD881" s="1106"/>
      <c r="AE881" s="1106"/>
      <c r="AF881" s="1106"/>
      <c r="AG881" s="1106"/>
      <c r="AH881" s="1106"/>
      <c r="AI881" s="1106"/>
      <c r="AJ881" s="1106"/>
      <c r="AK881" s="1106"/>
      <c r="AL881" s="1106"/>
      <c r="AM881" s="1106"/>
      <c r="AN881" s="1106"/>
      <c r="AO881" s="1106"/>
    </row>
    <row r="882">
      <c r="G882" s="1106"/>
      <c r="H882" s="1106"/>
      <c r="I882" s="1106"/>
      <c r="J882" s="1106"/>
      <c r="K882" s="1106"/>
      <c r="L882" s="1106"/>
      <c r="M882" s="1106"/>
      <c r="N882" s="1106"/>
      <c r="O882" s="1106"/>
      <c r="P882" s="1106"/>
      <c r="Q882" s="1106"/>
      <c r="R882" s="1106"/>
      <c r="S882" s="1106"/>
      <c r="T882" s="1106"/>
      <c r="U882" s="1106"/>
      <c r="V882" s="1106"/>
      <c r="W882" s="1106"/>
      <c r="X882" s="1106"/>
      <c r="Y882" s="1106"/>
      <c r="Z882" s="1106"/>
      <c r="AA882" s="1106"/>
      <c r="AB882" s="1106"/>
      <c r="AC882" s="1106"/>
      <c r="AD882" s="1106"/>
      <c r="AE882" s="1106"/>
      <c r="AF882" s="1106"/>
      <c r="AG882" s="1106"/>
      <c r="AH882" s="1106"/>
      <c r="AI882" s="1106"/>
      <c r="AJ882" s="1106"/>
      <c r="AK882" s="1106"/>
      <c r="AL882" s="1106"/>
      <c r="AM882" s="1106"/>
      <c r="AN882" s="1106"/>
      <c r="AO882" s="1106"/>
    </row>
    <row r="883">
      <c r="G883" s="1106"/>
      <c r="H883" s="1106"/>
      <c r="I883" s="1106"/>
      <c r="J883" s="1106"/>
      <c r="K883" s="1106"/>
      <c r="L883" s="1106"/>
      <c r="M883" s="1106"/>
      <c r="N883" s="1106"/>
      <c r="O883" s="1106"/>
      <c r="P883" s="1106"/>
      <c r="Q883" s="1106"/>
      <c r="R883" s="1106"/>
      <c r="S883" s="1106"/>
      <c r="T883" s="1106"/>
      <c r="U883" s="1106"/>
      <c r="V883" s="1106"/>
      <c r="W883" s="1106"/>
      <c r="X883" s="1106"/>
      <c r="Y883" s="1106"/>
      <c r="Z883" s="1106"/>
      <c r="AA883" s="1106"/>
      <c r="AB883" s="1106"/>
      <c r="AC883" s="1106"/>
      <c r="AD883" s="1106"/>
      <c r="AE883" s="1106"/>
      <c r="AF883" s="1106"/>
      <c r="AG883" s="1106"/>
      <c r="AH883" s="1106"/>
      <c r="AI883" s="1106"/>
      <c r="AJ883" s="1106"/>
      <c r="AK883" s="1106"/>
      <c r="AL883" s="1106"/>
      <c r="AM883" s="1106"/>
      <c r="AN883" s="1106"/>
      <c r="AO883" s="1106"/>
    </row>
    <row r="884">
      <c r="G884" s="1106"/>
      <c r="H884" s="1106"/>
      <c r="I884" s="1106"/>
      <c r="J884" s="1106"/>
      <c r="K884" s="1106"/>
      <c r="L884" s="1106"/>
      <c r="M884" s="1106"/>
      <c r="N884" s="1106"/>
      <c r="O884" s="1106"/>
      <c r="P884" s="1106"/>
      <c r="Q884" s="1106"/>
      <c r="R884" s="1106"/>
      <c r="S884" s="1106"/>
      <c r="T884" s="1106"/>
      <c r="U884" s="1106"/>
      <c r="V884" s="1106"/>
      <c r="W884" s="1106"/>
      <c r="X884" s="1106"/>
      <c r="Y884" s="1106"/>
      <c r="Z884" s="1106"/>
      <c r="AA884" s="1106"/>
      <c r="AB884" s="1106"/>
      <c r="AC884" s="1106"/>
      <c r="AD884" s="1106"/>
      <c r="AE884" s="1106"/>
      <c r="AF884" s="1106"/>
      <c r="AG884" s="1106"/>
      <c r="AH884" s="1106"/>
      <c r="AI884" s="1106"/>
      <c r="AJ884" s="1106"/>
      <c r="AK884" s="1106"/>
      <c r="AL884" s="1106"/>
      <c r="AM884" s="1106"/>
      <c r="AN884" s="1106"/>
      <c r="AO884" s="1106"/>
    </row>
    <row r="885">
      <c r="G885" s="1106"/>
      <c r="H885" s="1106"/>
      <c r="I885" s="1106"/>
      <c r="J885" s="1106"/>
      <c r="K885" s="1106"/>
      <c r="L885" s="1106"/>
      <c r="M885" s="1106"/>
      <c r="N885" s="1106"/>
      <c r="O885" s="1106"/>
      <c r="P885" s="1106"/>
      <c r="Q885" s="1106"/>
      <c r="R885" s="1106"/>
      <c r="S885" s="1106"/>
      <c r="T885" s="1106"/>
      <c r="U885" s="1106"/>
      <c r="V885" s="1106"/>
      <c r="W885" s="1106"/>
      <c r="X885" s="1106"/>
      <c r="Y885" s="1106"/>
      <c r="Z885" s="1106"/>
      <c r="AA885" s="1106"/>
      <c r="AB885" s="1106"/>
      <c r="AC885" s="1106"/>
      <c r="AD885" s="1106"/>
      <c r="AE885" s="1106"/>
      <c r="AF885" s="1106"/>
      <c r="AG885" s="1106"/>
      <c r="AH885" s="1106"/>
      <c r="AI885" s="1106"/>
      <c r="AJ885" s="1106"/>
      <c r="AK885" s="1106"/>
      <c r="AL885" s="1106"/>
      <c r="AM885" s="1106"/>
      <c r="AN885" s="1106"/>
      <c r="AO885" s="1106"/>
    </row>
    <row r="886">
      <c r="G886" s="1106"/>
      <c r="H886" s="1106"/>
      <c r="I886" s="1106"/>
      <c r="J886" s="1106"/>
      <c r="K886" s="1106"/>
      <c r="L886" s="1106"/>
      <c r="M886" s="1106"/>
      <c r="N886" s="1106"/>
      <c r="O886" s="1106"/>
      <c r="P886" s="1106"/>
      <c r="Q886" s="1106"/>
      <c r="R886" s="1106"/>
      <c r="S886" s="1106"/>
      <c r="T886" s="1106"/>
      <c r="U886" s="1106"/>
      <c r="V886" s="1106"/>
      <c r="W886" s="1106"/>
      <c r="X886" s="1106"/>
      <c r="Y886" s="1106"/>
      <c r="Z886" s="1106"/>
      <c r="AA886" s="1106"/>
      <c r="AB886" s="1106"/>
      <c r="AC886" s="1106"/>
      <c r="AD886" s="1106"/>
      <c r="AE886" s="1106"/>
      <c r="AF886" s="1106"/>
      <c r="AG886" s="1106"/>
      <c r="AH886" s="1106"/>
      <c r="AI886" s="1106"/>
      <c r="AJ886" s="1106"/>
      <c r="AK886" s="1106"/>
      <c r="AL886" s="1106"/>
      <c r="AM886" s="1106"/>
      <c r="AN886" s="1106"/>
      <c r="AO886" s="1106"/>
    </row>
    <row r="887">
      <c r="G887" s="1106"/>
      <c r="H887" s="1106"/>
      <c r="I887" s="1106"/>
      <c r="J887" s="1106"/>
      <c r="K887" s="1106"/>
      <c r="L887" s="1106"/>
      <c r="M887" s="1106"/>
      <c r="N887" s="1106"/>
      <c r="O887" s="1106"/>
      <c r="P887" s="1106"/>
      <c r="Q887" s="1106"/>
      <c r="R887" s="1106"/>
      <c r="S887" s="1106"/>
      <c r="T887" s="1106"/>
      <c r="U887" s="1106"/>
      <c r="V887" s="1106"/>
      <c r="W887" s="1106"/>
      <c r="X887" s="1106"/>
      <c r="Y887" s="1106"/>
      <c r="Z887" s="1106"/>
      <c r="AA887" s="1106"/>
      <c r="AB887" s="1106"/>
      <c r="AC887" s="1106"/>
      <c r="AD887" s="1106"/>
      <c r="AE887" s="1106"/>
      <c r="AF887" s="1106"/>
      <c r="AG887" s="1106"/>
      <c r="AH887" s="1106"/>
      <c r="AI887" s="1106"/>
      <c r="AJ887" s="1106"/>
      <c r="AK887" s="1106"/>
      <c r="AL887" s="1106"/>
      <c r="AM887" s="1106"/>
      <c r="AN887" s="1106"/>
      <c r="AO887" s="1106"/>
    </row>
    <row r="888">
      <c r="G888" s="1106"/>
      <c r="H888" s="1106"/>
      <c r="I888" s="1106"/>
      <c r="J888" s="1106"/>
      <c r="K888" s="1106"/>
      <c r="L888" s="1106"/>
      <c r="M888" s="1106"/>
      <c r="N888" s="1106"/>
      <c r="O888" s="1106"/>
      <c r="P888" s="1106"/>
      <c r="Q888" s="1106"/>
      <c r="R888" s="1106"/>
      <c r="S888" s="1106"/>
      <c r="T888" s="1106"/>
      <c r="U888" s="1106"/>
      <c r="V888" s="1106"/>
      <c r="W888" s="1106"/>
      <c r="X888" s="1106"/>
      <c r="Y888" s="1106"/>
      <c r="Z888" s="1106"/>
      <c r="AA888" s="1106"/>
      <c r="AB888" s="1106"/>
      <c r="AC888" s="1106"/>
      <c r="AD888" s="1106"/>
      <c r="AE888" s="1106"/>
      <c r="AF888" s="1106"/>
      <c r="AG888" s="1106"/>
      <c r="AH888" s="1106"/>
      <c r="AI888" s="1106"/>
      <c r="AJ888" s="1106"/>
      <c r="AK888" s="1106"/>
      <c r="AL888" s="1106"/>
      <c r="AM888" s="1106"/>
      <c r="AN888" s="1106"/>
      <c r="AO888" s="1106"/>
    </row>
    <row r="889">
      <c r="G889" s="1106"/>
      <c r="H889" s="1106"/>
      <c r="I889" s="1106"/>
      <c r="J889" s="1106"/>
      <c r="K889" s="1106"/>
      <c r="L889" s="1106"/>
      <c r="M889" s="1106"/>
      <c r="N889" s="1106"/>
      <c r="O889" s="1106"/>
      <c r="P889" s="1106"/>
      <c r="Q889" s="1106"/>
      <c r="R889" s="1106"/>
      <c r="S889" s="1106"/>
      <c r="T889" s="1106"/>
      <c r="U889" s="1106"/>
      <c r="V889" s="1106"/>
      <c r="W889" s="1106"/>
      <c r="X889" s="1106"/>
      <c r="Y889" s="1106"/>
      <c r="Z889" s="1106"/>
      <c r="AA889" s="1106"/>
      <c r="AB889" s="1106"/>
      <c r="AC889" s="1106"/>
      <c r="AD889" s="1106"/>
      <c r="AE889" s="1106"/>
      <c r="AF889" s="1106"/>
      <c r="AG889" s="1106"/>
      <c r="AH889" s="1106"/>
      <c r="AI889" s="1106"/>
      <c r="AJ889" s="1106"/>
      <c r="AK889" s="1106"/>
      <c r="AL889" s="1106"/>
      <c r="AM889" s="1106"/>
      <c r="AN889" s="1106"/>
      <c r="AO889" s="1106"/>
    </row>
    <row r="890">
      <c r="G890" s="1106"/>
      <c r="H890" s="1106"/>
      <c r="I890" s="1106"/>
      <c r="J890" s="1106"/>
      <c r="K890" s="1106"/>
      <c r="L890" s="1106"/>
      <c r="M890" s="1106"/>
      <c r="N890" s="1106"/>
      <c r="O890" s="1106"/>
      <c r="P890" s="1106"/>
      <c r="Q890" s="1106"/>
      <c r="R890" s="1106"/>
      <c r="S890" s="1106"/>
      <c r="T890" s="1106"/>
      <c r="U890" s="1106"/>
      <c r="V890" s="1106"/>
      <c r="W890" s="1106"/>
      <c r="X890" s="1106"/>
      <c r="Y890" s="1106"/>
      <c r="Z890" s="1106"/>
      <c r="AA890" s="1106"/>
      <c r="AB890" s="1106"/>
      <c r="AC890" s="1106"/>
      <c r="AD890" s="1106"/>
      <c r="AE890" s="1106"/>
      <c r="AF890" s="1106"/>
      <c r="AG890" s="1106"/>
      <c r="AH890" s="1106"/>
      <c r="AI890" s="1106"/>
      <c r="AJ890" s="1106"/>
      <c r="AK890" s="1106"/>
      <c r="AL890" s="1106"/>
      <c r="AM890" s="1106"/>
      <c r="AN890" s="1106"/>
      <c r="AO890" s="1106"/>
    </row>
    <row r="891">
      <c r="G891" s="1106"/>
      <c r="H891" s="1106"/>
      <c r="I891" s="1106"/>
      <c r="J891" s="1106"/>
      <c r="K891" s="1106"/>
      <c r="L891" s="1106"/>
      <c r="M891" s="1106"/>
      <c r="N891" s="1106"/>
      <c r="O891" s="1106"/>
      <c r="P891" s="1106"/>
      <c r="Q891" s="1106"/>
      <c r="R891" s="1106"/>
      <c r="S891" s="1106"/>
      <c r="T891" s="1106"/>
      <c r="U891" s="1106"/>
      <c r="V891" s="1106"/>
      <c r="W891" s="1106"/>
      <c r="X891" s="1106"/>
      <c r="Y891" s="1106"/>
      <c r="Z891" s="1106"/>
      <c r="AA891" s="1106"/>
      <c r="AB891" s="1106"/>
      <c r="AC891" s="1106"/>
      <c r="AD891" s="1106"/>
      <c r="AE891" s="1106"/>
      <c r="AF891" s="1106"/>
      <c r="AG891" s="1106"/>
      <c r="AH891" s="1106"/>
      <c r="AI891" s="1106"/>
      <c r="AJ891" s="1106"/>
      <c r="AK891" s="1106"/>
      <c r="AL891" s="1106"/>
      <c r="AM891" s="1106"/>
      <c r="AN891" s="1106"/>
      <c r="AO891" s="1106"/>
    </row>
    <row r="892">
      <c r="G892" s="1106"/>
      <c r="H892" s="1106"/>
      <c r="I892" s="1106"/>
      <c r="J892" s="1106"/>
      <c r="K892" s="1106"/>
      <c r="L892" s="1106"/>
      <c r="M892" s="1106"/>
      <c r="N892" s="1106"/>
      <c r="O892" s="1106"/>
      <c r="P892" s="1106"/>
      <c r="Q892" s="1106"/>
      <c r="R892" s="1106"/>
      <c r="S892" s="1106"/>
      <c r="T892" s="1106"/>
      <c r="U892" s="1106"/>
      <c r="V892" s="1106"/>
      <c r="W892" s="1106"/>
      <c r="X892" s="1106"/>
      <c r="Y892" s="1106"/>
      <c r="Z892" s="1106"/>
      <c r="AA892" s="1106"/>
      <c r="AB892" s="1106"/>
      <c r="AC892" s="1106"/>
      <c r="AD892" s="1106"/>
      <c r="AE892" s="1106"/>
      <c r="AF892" s="1106"/>
      <c r="AG892" s="1106"/>
      <c r="AH892" s="1106"/>
      <c r="AI892" s="1106"/>
      <c r="AJ892" s="1106"/>
      <c r="AK892" s="1106"/>
      <c r="AL892" s="1106"/>
      <c r="AM892" s="1106"/>
      <c r="AN892" s="1106"/>
      <c r="AO892" s="1106"/>
    </row>
    <row r="893">
      <c r="G893" s="1106"/>
      <c r="H893" s="1106"/>
      <c r="I893" s="1106"/>
      <c r="J893" s="1106"/>
      <c r="K893" s="1106"/>
      <c r="L893" s="1106"/>
      <c r="M893" s="1106"/>
      <c r="N893" s="1106"/>
      <c r="O893" s="1106"/>
      <c r="P893" s="1106"/>
      <c r="Q893" s="1106"/>
      <c r="R893" s="1106"/>
      <c r="S893" s="1106"/>
      <c r="T893" s="1106"/>
      <c r="U893" s="1106"/>
      <c r="V893" s="1106"/>
      <c r="W893" s="1106"/>
      <c r="X893" s="1106"/>
      <c r="Y893" s="1106"/>
      <c r="Z893" s="1106"/>
      <c r="AA893" s="1106"/>
      <c r="AB893" s="1106"/>
      <c r="AC893" s="1106"/>
      <c r="AD893" s="1106"/>
      <c r="AE893" s="1106"/>
      <c r="AF893" s="1106"/>
      <c r="AG893" s="1106"/>
      <c r="AH893" s="1106"/>
      <c r="AI893" s="1106"/>
      <c r="AJ893" s="1106"/>
      <c r="AK893" s="1106"/>
      <c r="AL893" s="1106"/>
      <c r="AM893" s="1106"/>
      <c r="AN893" s="1106"/>
      <c r="AO893" s="1106"/>
    </row>
    <row r="894">
      <c r="G894" s="1106"/>
      <c r="H894" s="1106"/>
      <c r="I894" s="1106"/>
      <c r="J894" s="1106"/>
      <c r="K894" s="1106"/>
      <c r="L894" s="1106"/>
      <c r="M894" s="1106"/>
      <c r="N894" s="1106"/>
      <c r="O894" s="1106"/>
      <c r="P894" s="1106"/>
      <c r="Q894" s="1106"/>
      <c r="R894" s="1106"/>
      <c r="S894" s="1106"/>
      <c r="T894" s="1106"/>
      <c r="U894" s="1106"/>
      <c r="V894" s="1106"/>
      <c r="W894" s="1106"/>
      <c r="X894" s="1106"/>
      <c r="Y894" s="1106"/>
      <c r="Z894" s="1106"/>
      <c r="AA894" s="1106"/>
      <c r="AB894" s="1106"/>
      <c r="AC894" s="1106"/>
      <c r="AD894" s="1106"/>
      <c r="AE894" s="1106"/>
      <c r="AF894" s="1106"/>
      <c r="AG894" s="1106"/>
      <c r="AH894" s="1106"/>
      <c r="AI894" s="1106"/>
      <c r="AJ894" s="1106"/>
      <c r="AK894" s="1106"/>
      <c r="AL894" s="1106"/>
      <c r="AM894" s="1106"/>
      <c r="AN894" s="1106"/>
      <c r="AO894" s="1106"/>
    </row>
    <row r="895">
      <c r="G895" s="1106"/>
      <c r="H895" s="1106"/>
      <c r="I895" s="1106"/>
      <c r="J895" s="1106"/>
      <c r="K895" s="1106"/>
      <c r="L895" s="1106"/>
      <c r="M895" s="1106"/>
      <c r="N895" s="1106"/>
      <c r="O895" s="1106"/>
      <c r="P895" s="1106"/>
      <c r="Q895" s="1106"/>
      <c r="R895" s="1106"/>
      <c r="S895" s="1106"/>
      <c r="T895" s="1106"/>
      <c r="U895" s="1106"/>
      <c r="V895" s="1106"/>
      <c r="W895" s="1106"/>
      <c r="X895" s="1106"/>
      <c r="Y895" s="1106"/>
      <c r="Z895" s="1106"/>
      <c r="AA895" s="1106"/>
      <c r="AB895" s="1106"/>
      <c r="AC895" s="1106"/>
      <c r="AD895" s="1106"/>
      <c r="AE895" s="1106"/>
      <c r="AF895" s="1106"/>
      <c r="AG895" s="1106"/>
      <c r="AH895" s="1106"/>
      <c r="AI895" s="1106"/>
      <c r="AJ895" s="1106"/>
      <c r="AK895" s="1106"/>
      <c r="AL895" s="1106"/>
      <c r="AM895" s="1106"/>
      <c r="AN895" s="1106"/>
      <c r="AO895" s="1106"/>
    </row>
    <row r="896">
      <c r="G896" s="1106"/>
      <c r="H896" s="1106"/>
      <c r="I896" s="1106"/>
      <c r="J896" s="1106"/>
      <c r="K896" s="1106"/>
      <c r="L896" s="1106"/>
      <c r="M896" s="1106"/>
      <c r="N896" s="1106"/>
      <c r="O896" s="1106"/>
      <c r="P896" s="1106"/>
      <c r="Q896" s="1106"/>
      <c r="R896" s="1106"/>
      <c r="S896" s="1106"/>
      <c r="T896" s="1106"/>
      <c r="U896" s="1106"/>
      <c r="V896" s="1106"/>
      <c r="W896" s="1106"/>
      <c r="X896" s="1106"/>
      <c r="Y896" s="1106"/>
      <c r="Z896" s="1106"/>
      <c r="AA896" s="1106"/>
      <c r="AB896" s="1106"/>
      <c r="AC896" s="1106"/>
      <c r="AD896" s="1106"/>
      <c r="AE896" s="1106"/>
      <c r="AF896" s="1106"/>
      <c r="AG896" s="1106"/>
      <c r="AH896" s="1106"/>
      <c r="AI896" s="1106"/>
      <c r="AJ896" s="1106"/>
      <c r="AK896" s="1106"/>
      <c r="AL896" s="1106"/>
      <c r="AM896" s="1106"/>
      <c r="AN896" s="1106"/>
      <c r="AO896" s="1106"/>
    </row>
    <row r="897">
      <c r="G897" s="1106"/>
      <c r="H897" s="1106"/>
      <c r="I897" s="1106"/>
      <c r="J897" s="1106"/>
      <c r="K897" s="1106"/>
      <c r="L897" s="1106"/>
      <c r="M897" s="1106"/>
      <c r="N897" s="1106"/>
      <c r="O897" s="1106"/>
      <c r="P897" s="1106"/>
      <c r="Q897" s="1106"/>
      <c r="R897" s="1106"/>
      <c r="S897" s="1106"/>
      <c r="T897" s="1106"/>
      <c r="U897" s="1106"/>
      <c r="V897" s="1106"/>
      <c r="W897" s="1106"/>
      <c r="X897" s="1106"/>
      <c r="Y897" s="1106"/>
      <c r="Z897" s="1106"/>
      <c r="AA897" s="1106"/>
      <c r="AB897" s="1106"/>
      <c r="AC897" s="1106"/>
      <c r="AD897" s="1106"/>
      <c r="AE897" s="1106"/>
      <c r="AF897" s="1106"/>
      <c r="AG897" s="1106"/>
      <c r="AH897" s="1106"/>
      <c r="AI897" s="1106"/>
      <c r="AJ897" s="1106"/>
      <c r="AK897" s="1106"/>
      <c r="AL897" s="1106"/>
      <c r="AM897" s="1106"/>
      <c r="AN897" s="1106"/>
      <c r="AO897" s="1106"/>
    </row>
    <row r="898">
      <c r="G898" s="1106"/>
      <c r="H898" s="1106"/>
      <c r="I898" s="1106"/>
      <c r="J898" s="1106"/>
      <c r="K898" s="1106"/>
      <c r="L898" s="1106"/>
      <c r="M898" s="1106"/>
      <c r="N898" s="1106"/>
      <c r="O898" s="1106"/>
      <c r="P898" s="1106"/>
      <c r="Q898" s="1106"/>
      <c r="R898" s="1106"/>
      <c r="S898" s="1106"/>
      <c r="T898" s="1106"/>
      <c r="U898" s="1106"/>
      <c r="V898" s="1106"/>
      <c r="W898" s="1106"/>
      <c r="X898" s="1106"/>
      <c r="Y898" s="1106"/>
      <c r="Z898" s="1106"/>
      <c r="AA898" s="1106"/>
      <c r="AB898" s="1106"/>
      <c r="AC898" s="1106"/>
      <c r="AD898" s="1106"/>
      <c r="AE898" s="1106"/>
      <c r="AF898" s="1106"/>
      <c r="AG898" s="1106"/>
      <c r="AH898" s="1106"/>
      <c r="AI898" s="1106"/>
      <c r="AJ898" s="1106"/>
      <c r="AK898" s="1106"/>
      <c r="AL898" s="1106"/>
      <c r="AM898" s="1106"/>
      <c r="AN898" s="1106"/>
      <c r="AO898" s="1106"/>
    </row>
    <row r="899">
      <c r="G899" s="1106"/>
      <c r="H899" s="1106"/>
      <c r="I899" s="1106"/>
      <c r="J899" s="1106"/>
      <c r="K899" s="1106"/>
      <c r="L899" s="1106"/>
      <c r="M899" s="1106"/>
      <c r="N899" s="1106"/>
      <c r="O899" s="1106"/>
      <c r="P899" s="1106"/>
      <c r="Q899" s="1106"/>
      <c r="R899" s="1106"/>
      <c r="S899" s="1106"/>
      <c r="T899" s="1106"/>
      <c r="U899" s="1106"/>
      <c r="V899" s="1106"/>
      <c r="W899" s="1106"/>
      <c r="X899" s="1106"/>
      <c r="Y899" s="1106"/>
      <c r="Z899" s="1106"/>
      <c r="AA899" s="1106"/>
      <c r="AB899" s="1106"/>
      <c r="AC899" s="1106"/>
      <c r="AD899" s="1106"/>
      <c r="AE899" s="1106"/>
      <c r="AF899" s="1106"/>
      <c r="AG899" s="1106"/>
      <c r="AH899" s="1106"/>
      <c r="AI899" s="1106"/>
      <c r="AJ899" s="1106"/>
      <c r="AK899" s="1106"/>
      <c r="AL899" s="1106"/>
      <c r="AM899" s="1106"/>
      <c r="AN899" s="1106"/>
      <c r="AO899" s="1106"/>
    </row>
    <row r="900">
      <c r="G900" s="1106"/>
      <c r="H900" s="1106"/>
      <c r="I900" s="1106"/>
      <c r="J900" s="1106"/>
      <c r="K900" s="1106"/>
      <c r="L900" s="1106"/>
      <c r="M900" s="1106"/>
      <c r="N900" s="1106"/>
      <c r="O900" s="1106"/>
      <c r="P900" s="1106"/>
      <c r="Q900" s="1106"/>
      <c r="R900" s="1106"/>
      <c r="S900" s="1106"/>
      <c r="T900" s="1106"/>
      <c r="U900" s="1106"/>
      <c r="V900" s="1106"/>
      <c r="W900" s="1106"/>
      <c r="X900" s="1106"/>
      <c r="Y900" s="1106"/>
      <c r="Z900" s="1106"/>
      <c r="AA900" s="1106"/>
      <c r="AB900" s="1106"/>
      <c r="AC900" s="1106"/>
      <c r="AD900" s="1106"/>
      <c r="AE900" s="1106"/>
      <c r="AF900" s="1106"/>
      <c r="AG900" s="1106"/>
      <c r="AH900" s="1106"/>
      <c r="AI900" s="1106"/>
      <c r="AJ900" s="1106"/>
      <c r="AK900" s="1106"/>
      <c r="AL900" s="1106"/>
      <c r="AM900" s="1106"/>
      <c r="AN900" s="1106"/>
      <c r="AO900" s="1106"/>
    </row>
    <row r="901">
      <c r="G901" s="1106"/>
      <c r="H901" s="1106"/>
      <c r="I901" s="1106"/>
      <c r="J901" s="1106"/>
      <c r="K901" s="1106"/>
      <c r="L901" s="1106"/>
      <c r="M901" s="1106"/>
      <c r="N901" s="1106"/>
      <c r="O901" s="1106"/>
      <c r="P901" s="1106"/>
      <c r="Q901" s="1106"/>
      <c r="R901" s="1106"/>
      <c r="S901" s="1106"/>
      <c r="T901" s="1106"/>
      <c r="U901" s="1106"/>
      <c r="V901" s="1106"/>
      <c r="W901" s="1106"/>
      <c r="X901" s="1106"/>
      <c r="Y901" s="1106"/>
      <c r="Z901" s="1106"/>
      <c r="AA901" s="1106"/>
      <c r="AB901" s="1106"/>
      <c r="AC901" s="1106"/>
      <c r="AD901" s="1106"/>
      <c r="AE901" s="1106"/>
      <c r="AF901" s="1106"/>
      <c r="AG901" s="1106"/>
      <c r="AH901" s="1106"/>
      <c r="AI901" s="1106"/>
      <c r="AJ901" s="1106"/>
      <c r="AK901" s="1106"/>
      <c r="AL901" s="1106"/>
      <c r="AM901" s="1106"/>
      <c r="AN901" s="1106"/>
      <c r="AO901" s="1106"/>
    </row>
    <row r="902">
      <c r="G902" s="1106"/>
      <c r="H902" s="1106"/>
      <c r="I902" s="1106"/>
      <c r="J902" s="1106"/>
      <c r="K902" s="1106"/>
      <c r="L902" s="1106"/>
      <c r="M902" s="1106"/>
      <c r="N902" s="1106"/>
      <c r="O902" s="1106"/>
      <c r="P902" s="1106"/>
      <c r="Q902" s="1106"/>
      <c r="R902" s="1106"/>
      <c r="S902" s="1106"/>
      <c r="T902" s="1106"/>
      <c r="U902" s="1106"/>
      <c r="V902" s="1106"/>
      <c r="W902" s="1106"/>
      <c r="X902" s="1106"/>
      <c r="Y902" s="1106"/>
      <c r="Z902" s="1106"/>
      <c r="AA902" s="1106"/>
      <c r="AB902" s="1106"/>
      <c r="AC902" s="1106"/>
      <c r="AD902" s="1106"/>
      <c r="AE902" s="1106"/>
      <c r="AF902" s="1106"/>
      <c r="AG902" s="1106"/>
      <c r="AH902" s="1106"/>
      <c r="AI902" s="1106"/>
      <c r="AJ902" s="1106"/>
      <c r="AK902" s="1106"/>
      <c r="AL902" s="1106"/>
      <c r="AM902" s="1106"/>
      <c r="AN902" s="1106"/>
      <c r="AO902" s="1106"/>
    </row>
    <row r="903">
      <c r="G903" s="1106"/>
      <c r="H903" s="1106"/>
      <c r="I903" s="1106"/>
      <c r="J903" s="1106"/>
      <c r="K903" s="1106"/>
      <c r="L903" s="1106"/>
      <c r="M903" s="1106"/>
      <c r="N903" s="1106"/>
      <c r="O903" s="1106"/>
      <c r="P903" s="1106"/>
      <c r="Q903" s="1106"/>
      <c r="R903" s="1106"/>
      <c r="S903" s="1106"/>
      <c r="T903" s="1106"/>
      <c r="U903" s="1106"/>
      <c r="V903" s="1106"/>
      <c r="W903" s="1106"/>
      <c r="X903" s="1106"/>
      <c r="Y903" s="1106"/>
      <c r="Z903" s="1106"/>
      <c r="AA903" s="1106"/>
      <c r="AB903" s="1106"/>
      <c r="AC903" s="1106"/>
      <c r="AD903" s="1106"/>
      <c r="AE903" s="1106"/>
      <c r="AF903" s="1106"/>
      <c r="AG903" s="1106"/>
      <c r="AH903" s="1106"/>
      <c r="AI903" s="1106"/>
      <c r="AJ903" s="1106"/>
      <c r="AK903" s="1106"/>
      <c r="AL903" s="1106"/>
      <c r="AM903" s="1106"/>
      <c r="AN903" s="1106"/>
      <c r="AO903" s="1106"/>
    </row>
    <row r="904">
      <c r="G904" s="1106"/>
      <c r="H904" s="1106"/>
      <c r="I904" s="1106"/>
      <c r="J904" s="1106"/>
      <c r="K904" s="1106"/>
      <c r="L904" s="1106"/>
      <c r="M904" s="1106"/>
      <c r="N904" s="1106"/>
      <c r="O904" s="1106"/>
      <c r="P904" s="1106"/>
      <c r="Q904" s="1106"/>
      <c r="R904" s="1106"/>
      <c r="S904" s="1106"/>
      <c r="T904" s="1106"/>
      <c r="U904" s="1106"/>
      <c r="V904" s="1106"/>
      <c r="W904" s="1106"/>
      <c r="X904" s="1106"/>
      <c r="Y904" s="1106"/>
      <c r="Z904" s="1106"/>
      <c r="AA904" s="1106"/>
      <c r="AB904" s="1106"/>
      <c r="AC904" s="1106"/>
      <c r="AD904" s="1106"/>
      <c r="AE904" s="1106"/>
      <c r="AF904" s="1106"/>
      <c r="AG904" s="1106"/>
      <c r="AH904" s="1106"/>
      <c r="AI904" s="1106"/>
      <c r="AJ904" s="1106"/>
      <c r="AK904" s="1106"/>
      <c r="AL904" s="1106"/>
      <c r="AM904" s="1106"/>
      <c r="AN904" s="1106"/>
      <c r="AO904" s="1106"/>
    </row>
    <row r="905">
      <c r="G905" s="1106"/>
      <c r="H905" s="1106"/>
      <c r="I905" s="1106"/>
      <c r="J905" s="1106"/>
      <c r="K905" s="1106"/>
      <c r="L905" s="1106"/>
      <c r="M905" s="1106"/>
      <c r="N905" s="1106"/>
      <c r="O905" s="1106"/>
      <c r="P905" s="1106"/>
      <c r="Q905" s="1106"/>
      <c r="R905" s="1106"/>
      <c r="S905" s="1106"/>
      <c r="T905" s="1106"/>
      <c r="U905" s="1106"/>
      <c r="V905" s="1106"/>
      <c r="W905" s="1106"/>
      <c r="X905" s="1106"/>
      <c r="Y905" s="1106"/>
      <c r="Z905" s="1106"/>
      <c r="AA905" s="1106"/>
      <c r="AB905" s="1106"/>
      <c r="AC905" s="1106"/>
      <c r="AD905" s="1106"/>
      <c r="AE905" s="1106"/>
      <c r="AF905" s="1106"/>
      <c r="AG905" s="1106"/>
      <c r="AH905" s="1106"/>
      <c r="AI905" s="1106"/>
      <c r="AJ905" s="1106"/>
      <c r="AK905" s="1106"/>
      <c r="AL905" s="1106"/>
      <c r="AM905" s="1106"/>
      <c r="AN905" s="1106"/>
      <c r="AO905" s="1106"/>
    </row>
    <row r="906">
      <c r="G906" s="1106"/>
      <c r="H906" s="1106"/>
      <c r="I906" s="1106"/>
      <c r="J906" s="1106"/>
      <c r="K906" s="1106"/>
      <c r="L906" s="1106"/>
      <c r="M906" s="1106"/>
      <c r="N906" s="1106"/>
      <c r="O906" s="1106"/>
      <c r="P906" s="1106"/>
      <c r="Q906" s="1106"/>
      <c r="R906" s="1106"/>
      <c r="S906" s="1106"/>
      <c r="T906" s="1106"/>
      <c r="U906" s="1106"/>
      <c r="V906" s="1106"/>
      <c r="W906" s="1106"/>
      <c r="X906" s="1106"/>
      <c r="Y906" s="1106"/>
      <c r="Z906" s="1106"/>
      <c r="AA906" s="1106"/>
      <c r="AB906" s="1106"/>
      <c r="AC906" s="1106"/>
      <c r="AD906" s="1106"/>
      <c r="AE906" s="1106"/>
      <c r="AF906" s="1106"/>
      <c r="AG906" s="1106"/>
      <c r="AH906" s="1106"/>
      <c r="AI906" s="1106"/>
      <c r="AJ906" s="1106"/>
      <c r="AK906" s="1106"/>
      <c r="AL906" s="1106"/>
      <c r="AM906" s="1106"/>
      <c r="AN906" s="1106"/>
      <c r="AO906" s="1106"/>
    </row>
    <row r="907">
      <c r="G907" s="1106"/>
      <c r="H907" s="1106"/>
      <c r="I907" s="1106"/>
      <c r="J907" s="1106"/>
      <c r="K907" s="1106"/>
      <c r="L907" s="1106"/>
      <c r="M907" s="1106"/>
      <c r="N907" s="1106"/>
      <c r="O907" s="1106"/>
      <c r="P907" s="1106"/>
      <c r="Q907" s="1106"/>
      <c r="R907" s="1106"/>
      <c r="S907" s="1106"/>
      <c r="T907" s="1106"/>
      <c r="U907" s="1106"/>
      <c r="V907" s="1106"/>
      <c r="W907" s="1106"/>
      <c r="X907" s="1106"/>
      <c r="Y907" s="1106"/>
      <c r="Z907" s="1106"/>
      <c r="AA907" s="1106"/>
      <c r="AB907" s="1106"/>
      <c r="AC907" s="1106"/>
      <c r="AD907" s="1106"/>
      <c r="AE907" s="1106"/>
      <c r="AF907" s="1106"/>
      <c r="AG907" s="1106"/>
      <c r="AH907" s="1106"/>
      <c r="AI907" s="1106"/>
      <c r="AJ907" s="1106"/>
      <c r="AK907" s="1106"/>
      <c r="AL907" s="1106"/>
      <c r="AM907" s="1106"/>
      <c r="AN907" s="1106"/>
      <c r="AO907" s="1106"/>
    </row>
    <row r="908">
      <c r="G908" s="1106"/>
      <c r="H908" s="1106"/>
      <c r="I908" s="1106"/>
      <c r="J908" s="1106"/>
      <c r="K908" s="1106"/>
      <c r="L908" s="1106"/>
      <c r="M908" s="1106"/>
      <c r="N908" s="1106"/>
      <c r="O908" s="1106"/>
      <c r="P908" s="1106"/>
      <c r="Q908" s="1106"/>
      <c r="R908" s="1106"/>
      <c r="S908" s="1106"/>
      <c r="T908" s="1106"/>
      <c r="U908" s="1106"/>
      <c r="V908" s="1106"/>
      <c r="W908" s="1106"/>
      <c r="X908" s="1106"/>
      <c r="Y908" s="1106"/>
      <c r="Z908" s="1106"/>
      <c r="AA908" s="1106"/>
      <c r="AB908" s="1106"/>
      <c r="AC908" s="1106"/>
      <c r="AD908" s="1106"/>
      <c r="AE908" s="1106"/>
      <c r="AF908" s="1106"/>
      <c r="AG908" s="1106"/>
      <c r="AH908" s="1106"/>
      <c r="AI908" s="1106"/>
      <c r="AJ908" s="1106"/>
      <c r="AK908" s="1106"/>
      <c r="AL908" s="1106"/>
      <c r="AM908" s="1106"/>
      <c r="AN908" s="1106"/>
      <c r="AO908" s="1106"/>
    </row>
    <row r="909">
      <c r="G909" s="1106"/>
      <c r="H909" s="1106"/>
      <c r="I909" s="1106"/>
      <c r="J909" s="1106"/>
      <c r="K909" s="1106"/>
      <c r="L909" s="1106"/>
      <c r="M909" s="1106"/>
      <c r="N909" s="1106"/>
      <c r="O909" s="1106"/>
      <c r="P909" s="1106"/>
      <c r="Q909" s="1106"/>
      <c r="R909" s="1106"/>
      <c r="S909" s="1106"/>
      <c r="T909" s="1106"/>
      <c r="U909" s="1106"/>
      <c r="V909" s="1106"/>
      <c r="W909" s="1106"/>
      <c r="X909" s="1106"/>
      <c r="Y909" s="1106"/>
      <c r="Z909" s="1106"/>
      <c r="AA909" s="1106"/>
      <c r="AB909" s="1106"/>
      <c r="AC909" s="1106"/>
      <c r="AD909" s="1106"/>
      <c r="AE909" s="1106"/>
      <c r="AF909" s="1106"/>
      <c r="AG909" s="1106"/>
      <c r="AH909" s="1106"/>
      <c r="AI909" s="1106"/>
      <c r="AJ909" s="1106"/>
      <c r="AK909" s="1106"/>
      <c r="AL909" s="1106"/>
      <c r="AM909" s="1106"/>
      <c r="AN909" s="1106"/>
      <c r="AO909" s="1106"/>
    </row>
    <row r="910">
      <c r="G910" s="1106"/>
      <c r="H910" s="1106"/>
      <c r="I910" s="1106"/>
      <c r="J910" s="1106"/>
      <c r="K910" s="1106"/>
      <c r="L910" s="1106"/>
      <c r="M910" s="1106"/>
      <c r="N910" s="1106"/>
      <c r="O910" s="1106"/>
      <c r="P910" s="1106"/>
      <c r="Q910" s="1106"/>
      <c r="R910" s="1106"/>
      <c r="S910" s="1106"/>
      <c r="T910" s="1106"/>
      <c r="U910" s="1106"/>
      <c r="V910" s="1106"/>
      <c r="W910" s="1106"/>
      <c r="X910" s="1106"/>
      <c r="Y910" s="1106"/>
      <c r="Z910" s="1106"/>
      <c r="AA910" s="1106"/>
      <c r="AB910" s="1106"/>
      <c r="AC910" s="1106"/>
      <c r="AD910" s="1106"/>
      <c r="AE910" s="1106"/>
      <c r="AF910" s="1106"/>
      <c r="AG910" s="1106"/>
      <c r="AH910" s="1106"/>
      <c r="AI910" s="1106"/>
      <c r="AJ910" s="1106"/>
      <c r="AK910" s="1106"/>
      <c r="AL910" s="1106"/>
      <c r="AM910" s="1106"/>
      <c r="AN910" s="1106"/>
      <c r="AO910" s="1106"/>
    </row>
    <row r="911">
      <c r="G911" s="1106"/>
      <c r="H911" s="1106"/>
      <c r="I911" s="1106"/>
      <c r="J911" s="1106"/>
      <c r="K911" s="1106"/>
      <c r="L911" s="1106"/>
      <c r="M911" s="1106"/>
      <c r="N911" s="1106"/>
      <c r="O911" s="1106"/>
      <c r="P911" s="1106"/>
      <c r="Q911" s="1106"/>
      <c r="R911" s="1106"/>
      <c r="S911" s="1106"/>
      <c r="T911" s="1106"/>
      <c r="U911" s="1106"/>
      <c r="V911" s="1106"/>
      <c r="W911" s="1106"/>
      <c r="X911" s="1106"/>
      <c r="Y911" s="1106"/>
      <c r="Z911" s="1106"/>
      <c r="AA911" s="1106"/>
      <c r="AB911" s="1106"/>
      <c r="AC911" s="1106"/>
      <c r="AD911" s="1106"/>
      <c r="AE911" s="1106"/>
      <c r="AF911" s="1106"/>
      <c r="AG911" s="1106"/>
      <c r="AH911" s="1106"/>
      <c r="AI911" s="1106"/>
      <c r="AJ911" s="1106"/>
      <c r="AK911" s="1106"/>
      <c r="AL911" s="1106"/>
      <c r="AM911" s="1106"/>
      <c r="AN911" s="1106"/>
      <c r="AO911" s="1106"/>
    </row>
    <row r="912">
      <c r="G912" s="1106"/>
      <c r="H912" s="1106"/>
      <c r="I912" s="1106"/>
      <c r="J912" s="1106"/>
      <c r="K912" s="1106"/>
      <c r="L912" s="1106"/>
      <c r="M912" s="1106"/>
      <c r="N912" s="1106"/>
      <c r="O912" s="1106"/>
      <c r="P912" s="1106"/>
      <c r="Q912" s="1106"/>
      <c r="R912" s="1106"/>
      <c r="S912" s="1106"/>
      <c r="T912" s="1106"/>
      <c r="U912" s="1106"/>
      <c r="V912" s="1106"/>
      <c r="W912" s="1106"/>
      <c r="X912" s="1106"/>
      <c r="Y912" s="1106"/>
      <c r="Z912" s="1106"/>
      <c r="AA912" s="1106"/>
      <c r="AB912" s="1106"/>
      <c r="AC912" s="1106"/>
      <c r="AD912" s="1106"/>
      <c r="AE912" s="1106"/>
      <c r="AF912" s="1106"/>
      <c r="AG912" s="1106"/>
      <c r="AH912" s="1106"/>
      <c r="AI912" s="1106"/>
      <c r="AJ912" s="1106"/>
      <c r="AK912" s="1106"/>
      <c r="AL912" s="1106"/>
      <c r="AM912" s="1106"/>
      <c r="AN912" s="1106"/>
      <c r="AO912" s="1106"/>
    </row>
    <row r="913">
      <c r="G913" s="1106"/>
      <c r="H913" s="1106"/>
      <c r="I913" s="1106"/>
      <c r="J913" s="1106"/>
      <c r="K913" s="1106"/>
      <c r="L913" s="1106"/>
      <c r="M913" s="1106"/>
      <c r="N913" s="1106"/>
      <c r="O913" s="1106"/>
      <c r="P913" s="1106"/>
      <c r="Q913" s="1106"/>
      <c r="R913" s="1106"/>
      <c r="S913" s="1106"/>
      <c r="T913" s="1106"/>
      <c r="U913" s="1106"/>
      <c r="V913" s="1106"/>
      <c r="W913" s="1106"/>
      <c r="X913" s="1106"/>
      <c r="Y913" s="1106"/>
      <c r="Z913" s="1106"/>
      <c r="AA913" s="1106"/>
      <c r="AB913" s="1106"/>
      <c r="AC913" s="1106"/>
      <c r="AD913" s="1106"/>
      <c r="AE913" s="1106"/>
      <c r="AF913" s="1106"/>
      <c r="AG913" s="1106"/>
      <c r="AH913" s="1106"/>
      <c r="AI913" s="1106"/>
      <c r="AJ913" s="1106"/>
      <c r="AK913" s="1106"/>
      <c r="AL913" s="1106"/>
      <c r="AM913" s="1106"/>
      <c r="AN913" s="1106"/>
      <c r="AO913" s="1106"/>
    </row>
    <row r="914">
      <c r="G914" s="1106"/>
      <c r="H914" s="1106"/>
      <c r="I914" s="1106"/>
      <c r="J914" s="1106"/>
      <c r="K914" s="1106"/>
      <c r="L914" s="1106"/>
      <c r="M914" s="1106"/>
      <c r="N914" s="1106"/>
      <c r="O914" s="1106"/>
      <c r="P914" s="1106"/>
      <c r="Q914" s="1106"/>
      <c r="R914" s="1106"/>
      <c r="S914" s="1106"/>
      <c r="T914" s="1106"/>
      <c r="U914" s="1106"/>
      <c r="V914" s="1106"/>
      <c r="W914" s="1106"/>
      <c r="X914" s="1106"/>
      <c r="Y914" s="1106"/>
      <c r="Z914" s="1106"/>
      <c r="AA914" s="1106"/>
      <c r="AB914" s="1106"/>
      <c r="AC914" s="1106"/>
      <c r="AD914" s="1106"/>
      <c r="AE914" s="1106"/>
      <c r="AF914" s="1106"/>
      <c r="AG914" s="1106"/>
      <c r="AH914" s="1106"/>
      <c r="AI914" s="1106"/>
      <c r="AJ914" s="1106"/>
      <c r="AK914" s="1106"/>
      <c r="AL914" s="1106"/>
      <c r="AM914" s="1106"/>
      <c r="AN914" s="1106"/>
      <c r="AO914" s="1106"/>
    </row>
    <row r="915">
      <c r="G915" s="1106"/>
      <c r="H915" s="1106"/>
      <c r="I915" s="1106"/>
      <c r="J915" s="1106"/>
      <c r="K915" s="1106"/>
      <c r="L915" s="1106"/>
      <c r="M915" s="1106"/>
      <c r="N915" s="1106"/>
      <c r="O915" s="1106"/>
      <c r="P915" s="1106"/>
      <c r="Q915" s="1106"/>
      <c r="R915" s="1106"/>
      <c r="S915" s="1106"/>
      <c r="T915" s="1106"/>
      <c r="U915" s="1106"/>
      <c r="V915" s="1106"/>
      <c r="W915" s="1106"/>
      <c r="X915" s="1106"/>
      <c r="Y915" s="1106"/>
      <c r="Z915" s="1106"/>
      <c r="AA915" s="1106"/>
      <c r="AB915" s="1106"/>
      <c r="AC915" s="1106"/>
      <c r="AD915" s="1106"/>
      <c r="AE915" s="1106"/>
      <c r="AF915" s="1106"/>
      <c r="AG915" s="1106"/>
      <c r="AH915" s="1106"/>
      <c r="AI915" s="1106"/>
      <c r="AJ915" s="1106"/>
      <c r="AK915" s="1106"/>
      <c r="AL915" s="1106"/>
      <c r="AM915" s="1106"/>
      <c r="AN915" s="1106"/>
      <c r="AO915" s="1106"/>
    </row>
    <row r="916">
      <c r="G916" s="1106"/>
      <c r="H916" s="1106"/>
      <c r="I916" s="1106"/>
      <c r="J916" s="1106"/>
      <c r="K916" s="1106"/>
      <c r="L916" s="1106"/>
      <c r="M916" s="1106"/>
      <c r="N916" s="1106"/>
      <c r="O916" s="1106"/>
      <c r="P916" s="1106"/>
      <c r="Q916" s="1106"/>
      <c r="R916" s="1106"/>
      <c r="S916" s="1106"/>
      <c r="T916" s="1106"/>
      <c r="U916" s="1106"/>
      <c r="V916" s="1106"/>
      <c r="W916" s="1106"/>
      <c r="X916" s="1106"/>
      <c r="Y916" s="1106"/>
      <c r="Z916" s="1106"/>
      <c r="AA916" s="1106"/>
      <c r="AB916" s="1106"/>
      <c r="AC916" s="1106"/>
      <c r="AD916" s="1106"/>
      <c r="AE916" s="1106"/>
      <c r="AF916" s="1106"/>
      <c r="AG916" s="1106"/>
      <c r="AH916" s="1106"/>
      <c r="AI916" s="1106"/>
      <c r="AJ916" s="1106"/>
      <c r="AK916" s="1106"/>
      <c r="AL916" s="1106"/>
      <c r="AM916" s="1106"/>
      <c r="AN916" s="1106"/>
      <c r="AO916" s="1106"/>
    </row>
    <row r="917">
      <c r="G917" s="1106"/>
      <c r="H917" s="1106"/>
      <c r="I917" s="1106"/>
      <c r="J917" s="1106"/>
      <c r="K917" s="1106"/>
      <c r="L917" s="1106"/>
      <c r="M917" s="1106"/>
      <c r="N917" s="1106"/>
      <c r="O917" s="1106"/>
      <c r="P917" s="1106"/>
      <c r="Q917" s="1106"/>
      <c r="R917" s="1106"/>
      <c r="S917" s="1106"/>
      <c r="T917" s="1106"/>
      <c r="U917" s="1106"/>
      <c r="V917" s="1106"/>
      <c r="W917" s="1106"/>
      <c r="X917" s="1106"/>
      <c r="Y917" s="1106"/>
      <c r="Z917" s="1106"/>
      <c r="AA917" s="1106"/>
      <c r="AB917" s="1106"/>
      <c r="AC917" s="1106"/>
      <c r="AD917" s="1106"/>
      <c r="AE917" s="1106"/>
      <c r="AF917" s="1106"/>
      <c r="AG917" s="1106"/>
      <c r="AH917" s="1106"/>
      <c r="AI917" s="1106"/>
      <c r="AJ917" s="1106"/>
      <c r="AK917" s="1106"/>
      <c r="AL917" s="1106"/>
      <c r="AM917" s="1106"/>
      <c r="AN917" s="1106"/>
      <c r="AO917" s="1106"/>
    </row>
    <row r="918">
      <c r="G918" s="1106"/>
      <c r="H918" s="1106"/>
      <c r="I918" s="1106"/>
      <c r="J918" s="1106"/>
      <c r="K918" s="1106"/>
      <c r="L918" s="1106"/>
      <c r="M918" s="1106"/>
      <c r="N918" s="1106"/>
      <c r="O918" s="1106"/>
      <c r="P918" s="1106"/>
      <c r="Q918" s="1106"/>
      <c r="R918" s="1106"/>
      <c r="S918" s="1106"/>
      <c r="T918" s="1106"/>
      <c r="U918" s="1106"/>
      <c r="V918" s="1106"/>
      <c r="W918" s="1106"/>
      <c r="X918" s="1106"/>
      <c r="Y918" s="1106"/>
      <c r="Z918" s="1106"/>
      <c r="AA918" s="1106"/>
      <c r="AB918" s="1106"/>
      <c r="AC918" s="1106"/>
      <c r="AD918" s="1106"/>
      <c r="AE918" s="1106"/>
      <c r="AF918" s="1106"/>
      <c r="AG918" s="1106"/>
      <c r="AH918" s="1106"/>
      <c r="AI918" s="1106"/>
      <c r="AJ918" s="1106"/>
      <c r="AK918" s="1106"/>
      <c r="AL918" s="1106"/>
      <c r="AM918" s="1106"/>
      <c r="AN918" s="1106"/>
      <c r="AO918" s="1106"/>
    </row>
    <row r="919">
      <c r="G919" s="1106"/>
      <c r="H919" s="1106"/>
      <c r="I919" s="1106"/>
      <c r="J919" s="1106"/>
      <c r="K919" s="1106"/>
      <c r="L919" s="1106"/>
      <c r="M919" s="1106"/>
      <c r="N919" s="1106"/>
      <c r="O919" s="1106"/>
      <c r="P919" s="1106"/>
      <c r="Q919" s="1106"/>
      <c r="R919" s="1106"/>
      <c r="S919" s="1106"/>
      <c r="T919" s="1106"/>
      <c r="U919" s="1106"/>
      <c r="V919" s="1106"/>
      <c r="W919" s="1106"/>
      <c r="X919" s="1106"/>
      <c r="Y919" s="1106"/>
      <c r="Z919" s="1106"/>
      <c r="AA919" s="1106"/>
      <c r="AB919" s="1106"/>
      <c r="AC919" s="1106"/>
      <c r="AD919" s="1106"/>
      <c r="AE919" s="1106"/>
      <c r="AF919" s="1106"/>
      <c r="AG919" s="1106"/>
      <c r="AH919" s="1106"/>
      <c r="AI919" s="1106"/>
      <c r="AJ919" s="1106"/>
      <c r="AK919" s="1106"/>
      <c r="AL919" s="1106"/>
      <c r="AM919" s="1106"/>
      <c r="AN919" s="1106"/>
      <c r="AO919" s="1106"/>
    </row>
    <row r="920">
      <c r="G920" s="1106"/>
      <c r="H920" s="1106"/>
      <c r="I920" s="1106"/>
      <c r="J920" s="1106"/>
      <c r="K920" s="1106"/>
      <c r="L920" s="1106"/>
      <c r="M920" s="1106"/>
      <c r="N920" s="1106"/>
      <c r="O920" s="1106"/>
      <c r="P920" s="1106"/>
      <c r="Q920" s="1106"/>
      <c r="R920" s="1106"/>
      <c r="S920" s="1106"/>
      <c r="T920" s="1106"/>
      <c r="U920" s="1106"/>
      <c r="V920" s="1106"/>
      <c r="W920" s="1106"/>
      <c r="X920" s="1106"/>
      <c r="Y920" s="1106"/>
      <c r="Z920" s="1106"/>
      <c r="AA920" s="1106"/>
      <c r="AB920" s="1106"/>
      <c r="AC920" s="1106"/>
      <c r="AD920" s="1106"/>
      <c r="AE920" s="1106"/>
      <c r="AF920" s="1106"/>
      <c r="AG920" s="1106"/>
      <c r="AH920" s="1106"/>
      <c r="AI920" s="1106"/>
      <c r="AJ920" s="1106"/>
      <c r="AK920" s="1106"/>
      <c r="AL920" s="1106"/>
      <c r="AM920" s="1106"/>
      <c r="AN920" s="1106"/>
      <c r="AO920" s="1106"/>
    </row>
    <row r="921">
      <c r="G921" s="1106"/>
      <c r="H921" s="1106"/>
      <c r="I921" s="1106"/>
      <c r="J921" s="1106"/>
      <c r="K921" s="1106"/>
      <c r="L921" s="1106"/>
      <c r="M921" s="1106"/>
      <c r="N921" s="1106"/>
      <c r="O921" s="1106"/>
      <c r="P921" s="1106"/>
      <c r="Q921" s="1106"/>
      <c r="R921" s="1106"/>
      <c r="S921" s="1106"/>
      <c r="T921" s="1106"/>
      <c r="U921" s="1106"/>
      <c r="V921" s="1106"/>
      <c r="W921" s="1106"/>
      <c r="X921" s="1106"/>
      <c r="Y921" s="1106"/>
      <c r="Z921" s="1106"/>
      <c r="AA921" s="1106"/>
      <c r="AB921" s="1106"/>
      <c r="AC921" s="1106"/>
      <c r="AD921" s="1106"/>
      <c r="AE921" s="1106"/>
      <c r="AF921" s="1106"/>
      <c r="AG921" s="1106"/>
      <c r="AH921" s="1106"/>
      <c r="AI921" s="1106"/>
      <c r="AJ921" s="1106"/>
      <c r="AK921" s="1106"/>
      <c r="AL921" s="1106"/>
      <c r="AM921" s="1106"/>
      <c r="AN921" s="1106"/>
      <c r="AO921" s="1106"/>
    </row>
    <row r="922">
      <c r="G922" s="1106"/>
      <c r="H922" s="1106"/>
      <c r="I922" s="1106"/>
      <c r="J922" s="1106"/>
      <c r="K922" s="1106"/>
      <c r="L922" s="1106"/>
      <c r="M922" s="1106"/>
      <c r="N922" s="1106"/>
      <c r="O922" s="1106"/>
      <c r="P922" s="1106"/>
      <c r="Q922" s="1106"/>
      <c r="R922" s="1106"/>
      <c r="S922" s="1106"/>
      <c r="T922" s="1106"/>
      <c r="U922" s="1106"/>
      <c r="V922" s="1106"/>
      <c r="W922" s="1106"/>
      <c r="X922" s="1106"/>
      <c r="Y922" s="1106"/>
      <c r="Z922" s="1106"/>
      <c r="AA922" s="1106"/>
      <c r="AB922" s="1106"/>
      <c r="AC922" s="1106"/>
      <c r="AD922" s="1106"/>
      <c r="AE922" s="1106"/>
      <c r="AF922" s="1106"/>
      <c r="AG922" s="1106"/>
      <c r="AH922" s="1106"/>
      <c r="AI922" s="1106"/>
      <c r="AJ922" s="1106"/>
      <c r="AK922" s="1106"/>
      <c r="AL922" s="1106"/>
      <c r="AM922" s="1106"/>
      <c r="AN922" s="1106"/>
      <c r="AO922" s="1106"/>
    </row>
    <row r="923">
      <c r="G923" s="1106"/>
      <c r="H923" s="1106"/>
      <c r="I923" s="1106"/>
      <c r="J923" s="1106"/>
      <c r="K923" s="1106"/>
      <c r="L923" s="1106"/>
      <c r="M923" s="1106"/>
      <c r="N923" s="1106"/>
      <c r="O923" s="1106"/>
      <c r="P923" s="1106"/>
      <c r="Q923" s="1106"/>
      <c r="R923" s="1106"/>
      <c r="S923" s="1106"/>
      <c r="T923" s="1106"/>
      <c r="U923" s="1106"/>
      <c r="V923" s="1106"/>
      <c r="W923" s="1106"/>
      <c r="X923" s="1106"/>
      <c r="Y923" s="1106"/>
      <c r="Z923" s="1106"/>
      <c r="AA923" s="1106"/>
      <c r="AB923" s="1106"/>
      <c r="AC923" s="1106"/>
      <c r="AD923" s="1106"/>
      <c r="AE923" s="1106"/>
      <c r="AF923" s="1106"/>
      <c r="AG923" s="1106"/>
      <c r="AH923" s="1106"/>
      <c r="AI923" s="1106"/>
      <c r="AJ923" s="1106"/>
      <c r="AK923" s="1106"/>
      <c r="AL923" s="1106"/>
      <c r="AM923" s="1106"/>
      <c r="AN923" s="1106"/>
      <c r="AO923" s="1106"/>
    </row>
    <row r="924">
      <c r="G924" s="1106"/>
      <c r="H924" s="1106"/>
      <c r="I924" s="1106"/>
      <c r="J924" s="1106"/>
      <c r="K924" s="1106"/>
      <c r="L924" s="1106"/>
      <c r="M924" s="1106"/>
      <c r="N924" s="1106"/>
      <c r="O924" s="1106"/>
      <c r="P924" s="1106"/>
      <c r="Q924" s="1106"/>
      <c r="R924" s="1106"/>
      <c r="S924" s="1106"/>
      <c r="T924" s="1106"/>
      <c r="U924" s="1106"/>
      <c r="V924" s="1106"/>
      <c r="W924" s="1106"/>
      <c r="X924" s="1106"/>
      <c r="Y924" s="1106"/>
      <c r="Z924" s="1106"/>
      <c r="AA924" s="1106"/>
      <c r="AB924" s="1106"/>
      <c r="AC924" s="1106"/>
      <c r="AD924" s="1106"/>
      <c r="AE924" s="1106"/>
      <c r="AF924" s="1106"/>
      <c r="AG924" s="1106"/>
      <c r="AH924" s="1106"/>
      <c r="AI924" s="1106"/>
      <c r="AJ924" s="1106"/>
      <c r="AK924" s="1106"/>
      <c r="AL924" s="1106"/>
      <c r="AM924" s="1106"/>
      <c r="AN924" s="1106"/>
      <c r="AO924" s="1106"/>
    </row>
    <row r="925">
      <c r="G925" s="1106"/>
      <c r="H925" s="1106"/>
      <c r="I925" s="1106"/>
      <c r="J925" s="1106"/>
      <c r="K925" s="1106"/>
      <c r="L925" s="1106"/>
      <c r="M925" s="1106"/>
      <c r="N925" s="1106"/>
      <c r="O925" s="1106"/>
      <c r="P925" s="1106"/>
      <c r="Q925" s="1106"/>
      <c r="R925" s="1106"/>
      <c r="S925" s="1106"/>
      <c r="T925" s="1106"/>
      <c r="U925" s="1106"/>
      <c r="V925" s="1106"/>
      <c r="W925" s="1106"/>
      <c r="X925" s="1106"/>
      <c r="Y925" s="1106"/>
      <c r="Z925" s="1106"/>
      <c r="AA925" s="1106"/>
      <c r="AB925" s="1106"/>
      <c r="AC925" s="1106"/>
      <c r="AD925" s="1106"/>
      <c r="AE925" s="1106"/>
      <c r="AF925" s="1106"/>
      <c r="AG925" s="1106"/>
      <c r="AH925" s="1106"/>
      <c r="AI925" s="1106"/>
      <c r="AJ925" s="1106"/>
      <c r="AK925" s="1106"/>
      <c r="AL925" s="1106"/>
      <c r="AM925" s="1106"/>
      <c r="AN925" s="1106"/>
      <c r="AO925" s="1106"/>
    </row>
    <row r="926">
      <c r="G926" s="1106"/>
      <c r="H926" s="1106"/>
      <c r="I926" s="1106"/>
      <c r="J926" s="1106"/>
      <c r="K926" s="1106"/>
      <c r="L926" s="1106"/>
      <c r="M926" s="1106"/>
      <c r="N926" s="1106"/>
      <c r="O926" s="1106"/>
      <c r="P926" s="1106"/>
      <c r="Q926" s="1106"/>
      <c r="R926" s="1106"/>
      <c r="S926" s="1106"/>
      <c r="T926" s="1106"/>
      <c r="U926" s="1106"/>
      <c r="V926" s="1106"/>
      <c r="W926" s="1106"/>
      <c r="X926" s="1106"/>
      <c r="Y926" s="1106"/>
      <c r="Z926" s="1106"/>
      <c r="AA926" s="1106"/>
      <c r="AB926" s="1106"/>
      <c r="AC926" s="1106"/>
      <c r="AD926" s="1106"/>
      <c r="AE926" s="1106"/>
      <c r="AF926" s="1106"/>
      <c r="AG926" s="1106"/>
      <c r="AH926" s="1106"/>
      <c r="AI926" s="1106"/>
      <c r="AJ926" s="1106"/>
      <c r="AK926" s="1106"/>
      <c r="AL926" s="1106"/>
      <c r="AM926" s="1106"/>
      <c r="AN926" s="1106"/>
      <c r="AO926" s="1106"/>
    </row>
    <row r="927">
      <c r="G927" s="1106"/>
      <c r="H927" s="1106"/>
      <c r="I927" s="1106"/>
      <c r="J927" s="1106"/>
      <c r="K927" s="1106"/>
      <c r="L927" s="1106"/>
      <c r="M927" s="1106"/>
      <c r="N927" s="1106"/>
      <c r="O927" s="1106"/>
      <c r="P927" s="1106"/>
      <c r="Q927" s="1106"/>
      <c r="R927" s="1106"/>
      <c r="S927" s="1106"/>
      <c r="T927" s="1106"/>
      <c r="U927" s="1106"/>
      <c r="V927" s="1106"/>
      <c r="W927" s="1106"/>
      <c r="X927" s="1106"/>
      <c r="Y927" s="1106"/>
      <c r="Z927" s="1106"/>
      <c r="AA927" s="1106"/>
      <c r="AB927" s="1106"/>
      <c r="AC927" s="1106"/>
      <c r="AD927" s="1106"/>
      <c r="AE927" s="1106"/>
      <c r="AF927" s="1106"/>
      <c r="AG927" s="1106"/>
      <c r="AH927" s="1106"/>
      <c r="AI927" s="1106"/>
      <c r="AJ927" s="1106"/>
      <c r="AK927" s="1106"/>
      <c r="AL927" s="1106"/>
      <c r="AM927" s="1106"/>
      <c r="AN927" s="1106"/>
      <c r="AO927" s="1106"/>
    </row>
    <row r="928">
      <c r="G928" s="1106"/>
      <c r="H928" s="1106"/>
      <c r="I928" s="1106"/>
      <c r="J928" s="1106"/>
      <c r="K928" s="1106"/>
      <c r="L928" s="1106"/>
      <c r="M928" s="1106"/>
      <c r="N928" s="1106"/>
      <c r="O928" s="1106"/>
      <c r="P928" s="1106"/>
      <c r="Q928" s="1106"/>
      <c r="R928" s="1106"/>
      <c r="S928" s="1106"/>
      <c r="T928" s="1106"/>
      <c r="U928" s="1106"/>
      <c r="V928" s="1106"/>
      <c r="W928" s="1106"/>
      <c r="X928" s="1106"/>
      <c r="Y928" s="1106"/>
      <c r="Z928" s="1106"/>
      <c r="AA928" s="1106"/>
      <c r="AB928" s="1106"/>
      <c r="AC928" s="1106"/>
      <c r="AD928" s="1106"/>
      <c r="AE928" s="1106"/>
      <c r="AF928" s="1106"/>
      <c r="AG928" s="1106"/>
      <c r="AH928" s="1106"/>
      <c r="AI928" s="1106"/>
      <c r="AJ928" s="1106"/>
      <c r="AK928" s="1106"/>
      <c r="AL928" s="1106"/>
      <c r="AM928" s="1106"/>
      <c r="AN928" s="1106"/>
      <c r="AO928" s="1106"/>
    </row>
    <row r="929">
      <c r="G929" s="1106"/>
      <c r="H929" s="1106"/>
      <c r="I929" s="1106"/>
      <c r="J929" s="1106"/>
      <c r="K929" s="1106"/>
      <c r="L929" s="1106"/>
      <c r="M929" s="1106"/>
      <c r="N929" s="1106"/>
      <c r="O929" s="1106"/>
      <c r="P929" s="1106"/>
      <c r="Q929" s="1106"/>
      <c r="R929" s="1106"/>
      <c r="S929" s="1106"/>
      <c r="T929" s="1106"/>
      <c r="U929" s="1106"/>
      <c r="V929" s="1106"/>
      <c r="W929" s="1106"/>
      <c r="X929" s="1106"/>
      <c r="Y929" s="1106"/>
      <c r="Z929" s="1106"/>
      <c r="AA929" s="1106"/>
      <c r="AB929" s="1106"/>
      <c r="AC929" s="1106"/>
      <c r="AD929" s="1106"/>
      <c r="AE929" s="1106"/>
      <c r="AF929" s="1106"/>
      <c r="AG929" s="1106"/>
      <c r="AH929" s="1106"/>
      <c r="AI929" s="1106"/>
      <c r="AJ929" s="1106"/>
      <c r="AK929" s="1106"/>
      <c r="AL929" s="1106"/>
      <c r="AM929" s="1106"/>
      <c r="AN929" s="1106"/>
      <c r="AO929" s="1106"/>
    </row>
    <row r="930">
      <c r="G930" s="1106"/>
      <c r="H930" s="1106"/>
      <c r="I930" s="1106"/>
      <c r="J930" s="1106"/>
      <c r="K930" s="1106"/>
      <c r="L930" s="1106"/>
      <c r="M930" s="1106"/>
      <c r="N930" s="1106"/>
      <c r="O930" s="1106"/>
      <c r="P930" s="1106"/>
      <c r="Q930" s="1106"/>
      <c r="R930" s="1106"/>
      <c r="S930" s="1106"/>
      <c r="T930" s="1106"/>
      <c r="U930" s="1106"/>
      <c r="V930" s="1106"/>
      <c r="W930" s="1106"/>
      <c r="X930" s="1106"/>
      <c r="Y930" s="1106"/>
      <c r="Z930" s="1106"/>
      <c r="AA930" s="1106"/>
      <c r="AB930" s="1106"/>
      <c r="AC930" s="1106"/>
      <c r="AD930" s="1106"/>
      <c r="AE930" s="1106"/>
      <c r="AF930" s="1106"/>
      <c r="AG930" s="1106"/>
      <c r="AH930" s="1106"/>
      <c r="AI930" s="1106"/>
      <c r="AJ930" s="1106"/>
      <c r="AK930" s="1106"/>
      <c r="AL930" s="1106"/>
      <c r="AM930" s="1106"/>
      <c r="AN930" s="1106"/>
      <c r="AO930" s="1106"/>
    </row>
    <row r="931">
      <c r="G931" s="1106"/>
      <c r="H931" s="1106"/>
      <c r="I931" s="1106"/>
      <c r="J931" s="1106"/>
      <c r="K931" s="1106"/>
      <c r="L931" s="1106"/>
      <c r="M931" s="1106"/>
      <c r="N931" s="1106"/>
      <c r="O931" s="1106"/>
      <c r="P931" s="1106"/>
      <c r="Q931" s="1106"/>
      <c r="R931" s="1106"/>
      <c r="S931" s="1106"/>
      <c r="T931" s="1106"/>
      <c r="U931" s="1106"/>
      <c r="V931" s="1106"/>
      <c r="W931" s="1106"/>
      <c r="X931" s="1106"/>
      <c r="Y931" s="1106"/>
      <c r="Z931" s="1106"/>
      <c r="AA931" s="1106"/>
      <c r="AB931" s="1106"/>
      <c r="AC931" s="1106"/>
      <c r="AD931" s="1106"/>
      <c r="AE931" s="1106"/>
      <c r="AF931" s="1106"/>
      <c r="AG931" s="1106"/>
      <c r="AH931" s="1106"/>
      <c r="AI931" s="1106"/>
      <c r="AJ931" s="1106"/>
      <c r="AK931" s="1106"/>
      <c r="AL931" s="1106"/>
      <c r="AM931" s="1106"/>
      <c r="AN931" s="1106"/>
      <c r="AO931" s="1106"/>
    </row>
    <row r="932">
      <c r="G932" s="1106"/>
      <c r="H932" s="1106"/>
      <c r="I932" s="1106"/>
      <c r="J932" s="1106"/>
      <c r="K932" s="1106"/>
      <c r="L932" s="1106"/>
      <c r="M932" s="1106"/>
      <c r="N932" s="1106"/>
      <c r="O932" s="1106"/>
      <c r="P932" s="1106"/>
      <c r="Q932" s="1106"/>
      <c r="R932" s="1106"/>
      <c r="S932" s="1106"/>
      <c r="T932" s="1106"/>
      <c r="U932" s="1106"/>
      <c r="V932" s="1106"/>
      <c r="W932" s="1106"/>
      <c r="X932" s="1106"/>
      <c r="Y932" s="1106"/>
      <c r="Z932" s="1106"/>
      <c r="AA932" s="1106"/>
      <c r="AB932" s="1106"/>
      <c r="AC932" s="1106"/>
      <c r="AD932" s="1106"/>
      <c r="AE932" s="1106"/>
      <c r="AF932" s="1106"/>
      <c r="AG932" s="1106"/>
      <c r="AH932" s="1106"/>
      <c r="AI932" s="1106"/>
      <c r="AJ932" s="1106"/>
      <c r="AK932" s="1106"/>
      <c r="AL932" s="1106"/>
      <c r="AM932" s="1106"/>
      <c r="AN932" s="1106"/>
      <c r="AO932" s="1106"/>
    </row>
    <row r="933">
      <c r="G933" s="1106"/>
      <c r="H933" s="1106"/>
      <c r="I933" s="1106"/>
      <c r="J933" s="1106"/>
      <c r="K933" s="1106"/>
      <c r="L933" s="1106"/>
      <c r="M933" s="1106"/>
      <c r="N933" s="1106"/>
      <c r="O933" s="1106"/>
      <c r="P933" s="1106"/>
      <c r="Q933" s="1106"/>
      <c r="R933" s="1106"/>
      <c r="S933" s="1106"/>
      <c r="T933" s="1106"/>
      <c r="U933" s="1106"/>
      <c r="V933" s="1106"/>
      <c r="W933" s="1106"/>
      <c r="X933" s="1106"/>
      <c r="Y933" s="1106"/>
      <c r="Z933" s="1106"/>
      <c r="AA933" s="1106"/>
      <c r="AB933" s="1106"/>
      <c r="AC933" s="1106"/>
      <c r="AD933" s="1106"/>
      <c r="AE933" s="1106"/>
      <c r="AF933" s="1106"/>
      <c r="AG933" s="1106"/>
      <c r="AH933" s="1106"/>
      <c r="AI933" s="1106"/>
      <c r="AJ933" s="1106"/>
      <c r="AK933" s="1106"/>
      <c r="AL933" s="1106"/>
      <c r="AM933" s="1106"/>
      <c r="AN933" s="1106"/>
      <c r="AO933" s="1106"/>
    </row>
    <row r="934">
      <c r="G934" s="1106"/>
      <c r="H934" s="1106"/>
      <c r="I934" s="1106"/>
      <c r="J934" s="1106"/>
      <c r="K934" s="1106"/>
      <c r="L934" s="1106"/>
      <c r="M934" s="1106"/>
      <c r="N934" s="1106"/>
      <c r="O934" s="1106"/>
      <c r="P934" s="1106"/>
      <c r="Q934" s="1106"/>
      <c r="R934" s="1106"/>
      <c r="S934" s="1106"/>
      <c r="T934" s="1106"/>
      <c r="U934" s="1106"/>
      <c r="V934" s="1106"/>
      <c r="W934" s="1106"/>
      <c r="X934" s="1106"/>
      <c r="Y934" s="1106"/>
      <c r="Z934" s="1106"/>
      <c r="AA934" s="1106"/>
      <c r="AB934" s="1106"/>
      <c r="AC934" s="1106"/>
      <c r="AD934" s="1106"/>
      <c r="AE934" s="1106"/>
      <c r="AF934" s="1106"/>
      <c r="AG934" s="1106"/>
      <c r="AH934" s="1106"/>
      <c r="AI934" s="1106"/>
      <c r="AJ934" s="1106"/>
      <c r="AK934" s="1106"/>
      <c r="AL934" s="1106"/>
      <c r="AM934" s="1106"/>
      <c r="AN934" s="1106"/>
      <c r="AO934" s="1106"/>
    </row>
    <row r="935">
      <c r="G935" s="1106"/>
      <c r="H935" s="1106"/>
      <c r="I935" s="1106"/>
      <c r="J935" s="1106"/>
      <c r="K935" s="1106"/>
      <c r="L935" s="1106"/>
      <c r="M935" s="1106"/>
      <c r="N935" s="1106"/>
      <c r="O935" s="1106"/>
      <c r="P935" s="1106"/>
      <c r="Q935" s="1106"/>
      <c r="R935" s="1106"/>
      <c r="S935" s="1106"/>
      <c r="T935" s="1106"/>
      <c r="U935" s="1106"/>
      <c r="V935" s="1106"/>
      <c r="W935" s="1106"/>
      <c r="X935" s="1106"/>
      <c r="Y935" s="1106"/>
      <c r="Z935" s="1106"/>
      <c r="AA935" s="1106"/>
      <c r="AB935" s="1106"/>
      <c r="AC935" s="1106"/>
      <c r="AD935" s="1106"/>
      <c r="AE935" s="1106"/>
      <c r="AF935" s="1106"/>
      <c r="AG935" s="1106"/>
      <c r="AH935" s="1106"/>
      <c r="AI935" s="1106"/>
      <c r="AJ935" s="1106"/>
      <c r="AK935" s="1106"/>
      <c r="AL935" s="1106"/>
      <c r="AM935" s="1106"/>
      <c r="AN935" s="1106"/>
      <c r="AO935" s="1106"/>
    </row>
    <row r="936">
      <c r="G936" s="1106"/>
      <c r="H936" s="1106"/>
      <c r="I936" s="1106"/>
      <c r="J936" s="1106"/>
      <c r="K936" s="1106"/>
      <c r="L936" s="1106"/>
      <c r="M936" s="1106"/>
      <c r="N936" s="1106"/>
      <c r="O936" s="1106"/>
      <c r="P936" s="1106"/>
      <c r="Q936" s="1106"/>
      <c r="R936" s="1106"/>
      <c r="S936" s="1106"/>
      <c r="T936" s="1106"/>
      <c r="U936" s="1106"/>
      <c r="V936" s="1106"/>
      <c r="W936" s="1106"/>
      <c r="X936" s="1106"/>
      <c r="Y936" s="1106"/>
      <c r="Z936" s="1106"/>
      <c r="AA936" s="1106"/>
      <c r="AB936" s="1106"/>
      <c r="AC936" s="1106"/>
      <c r="AD936" s="1106"/>
      <c r="AE936" s="1106"/>
      <c r="AF936" s="1106"/>
      <c r="AG936" s="1106"/>
      <c r="AH936" s="1106"/>
      <c r="AI936" s="1106"/>
      <c r="AJ936" s="1106"/>
      <c r="AK936" s="1106"/>
      <c r="AL936" s="1106"/>
      <c r="AM936" s="1106"/>
      <c r="AN936" s="1106"/>
      <c r="AO936" s="1106"/>
    </row>
    <row r="937">
      <c r="G937" s="1106"/>
      <c r="H937" s="1106"/>
      <c r="I937" s="1106"/>
      <c r="J937" s="1106"/>
      <c r="K937" s="1106"/>
      <c r="L937" s="1106"/>
      <c r="M937" s="1106"/>
      <c r="N937" s="1106"/>
      <c r="O937" s="1106"/>
      <c r="P937" s="1106"/>
      <c r="Q937" s="1106"/>
      <c r="R937" s="1106"/>
      <c r="S937" s="1106"/>
      <c r="T937" s="1106"/>
      <c r="U937" s="1106"/>
      <c r="V937" s="1106"/>
      <c r="W937" s="1106"/>
      <c r="X937" s="1106"/>
      <c r="Y937" s="1106"/>
      <c r="Z937" s="1106"/>
      <c r="AA937" s="1106"/>
      <c r="AB937" s="1106"/>
      <c r="AC937" s="1106"/>
      <c r="AD937" s="1106"/>
      <c r="AE937" s="1106"/>
      <c r="AF937" s="1106"/>
      <c r="AG937" s="1106"/>
      <c r="AH937" s="1106"/>
      <c r="AI937" s="1106"/>
      <c r="AJ937" s="1106"/>
      <c r="AK937" s="1106"/>
      <c r="AL937" s="1106"/>
      <c r="AM937" s="1106"/>
      <c r="AN937" s="1106"/>
      <c r="AO937" s="1106"/>
    </row>
    <row r="938">
      <c r="G938" s="1106"/>
      <c r="H938" s="1106"/>
      <c r="I938" s="1106"/>
      <c r="J938" s="1106"/>
      <c r="K938" s="1106"/>
      <c r="L938" s="1106"/>
      <c r="M938" s="1106"/>
      <c r="N938" s="1106"/>
      <c r="O938" s="1106"/>
      <c r="P938" s="1106"/>
      <c r="Q938" s="1106"/>
      <c r="R938" s="1106"/>
      <c r="S938" s="1106"/>
      <c r="T938" s="1106"/>
      <c r="U938" s="1106"/>
      <c r="V938" s="1106"/>
      <c r="W938" s="1106"/>
      <c r="X938" s="1106"/>
      <c r="Y938" s="1106"/>
      <c r="Z938" s="1106"/>
      <c r="AA938" s="1106"/>
      <c r="AB938" s="1106"/>
      <c r="AC938" s="1106"/>
      <c r="AD938" s="1106"/>
      <c r="AE938" s="1106"/>
      <c r="AF938" s="1106"/>
      <c r="AG938" s="1106"/>
      <c r="AH938" s="1106"/>
      <c r="AI938" s="1106"/>
      <c r="AJ938" s="1106"/>
      <c r="AK938" s="1106"/>
      <c r="AL938" s="1106"/>
      <c r="AM938" s="1106"/>
      <c r="AN938" s="1106"/>
      <c r="AO938" s="1106"/>
    </row>
    <row r="939">
      <c r="G939" s="1106"/>
      <c r="H939" s="1106"/>
      <c r="I939" s="1106"/>
      <c r="J939" s="1106"/>
      <c r="K939" s="1106"/>
      <c r="L939" s="1106"/>
      <c r="M939" s="1106"/>
      <c r="N939" s="1106"/>
      <c r="O939" s="1106"/>
      <c r="P939" s="1106"/>
      <c r="Q939" s="1106"/>
      <c r="R939" s="1106"/>
      <c r="S939" s="1106"/>
      <c r="T939" s="1106"/>
      <c r="U939" s="1106"/>
      <c r="V939" s="1106"/>
      <c r="W939" s="1106"/>
      <c r="X939" s="1106"/>
      <c r="Y939" s="1106"/>
      <c r="Z939" s="1106"/>
      <c r="AA939" s="1106"/>
      <c r="AB939" s="1106"/>
      <c r="AC939" s="1106"/>
      <c r="AD939" s="1106"/>
      <c r="AE939" s="1106"/>
      <c r="AF939" s="1106"/>
      <c r="AG939" s="1106"/>
      <c r="AH939" s="1106"/>
      <c r="AI939" s="1106"/>
      <c r="AJ939" s="1106"/>
      <c r="AK939" s="1106"/>
      <c r="AL939" s="1106"/>
      <c r="AM939" s="1106"/>
      <c r="AN939" s="1106"/>
      <c r="AO939" s="1106"/>
    </row>
    <row r="940">
      <c r="G940" s="1106"/>
      <c r="H940" s="1106"/>
      <c r="I940" s="1106"/>
      <c r="J940" s="1106"/>
      <c r="K940" s="1106"/>
      <c r="L940" s="1106"/>
      <c r="M940" s="1106"/>
      <c r="N940" s="1106"/>
      <c r="O940" s="1106"/>
      <c r="P940" s="1106"/>
      <c r="Q940" s="1106"/>
      <c r="R940" s="1106"/>
      <c r="S940" s="1106"/>
      <c r="T940" s="1106"/>
      <c r="U940" s="1106"/>
      <c r="V940" s="1106"/>
      <c r="W940" s="1106"/>
      <c r="X940" s="1106"/>
      <c r="Y940" s="1106"/>
      <c r="Z940" s="1106"/>
      <c r="AA940" s="1106"/>
      <c r="AB940" s="1106"/>
      <c r="AC940" s="1106"/>
      <c r="AD940" s="1106"/>
      <c r="AE940" s="1106"/>
      <c r="AF940" s="1106"/>
      <c r="AG940" s="1106"/>
      <c r="AH940" s="1106"/>
      <c r="AI940" s="1106"/>
      <c r="AJ940" s="1106"/>
      <c r="AK940" s="1106"/>
      <c r="AL940" s="1106"/>
      <c r="AM940" s="1106"/>
      <c r="AN940" s="1106"/>
      <c r="AO940" s="1106"/>
    </row>
    <row r="941">
      <c r="G941" s="1106"/>
      <c r="H941" s="1106"/>
      <c r="I941" s="1106"/>
      <c r="J941" s="1106"/>
      <c r="K941" s="1106"/>
      <c r="L941" s="1106"/>
      <c r="M941" s="1106"/>
      <c r="N941" s="1106"/>
      <c r="O941" s="1106"/>
      <c r="P941" s="1106"/>
      <c r="Q941" s="1106"/>
      <c r="R941" s="1106"/>
      <c r="S941" s="1106"/>
      <c r="T941" s="1106"/>
      <c r="U941" s="1106"/>
      <c r="V941" s="1106"/>
      <c r="W941" s="1106"/>
      <c r="X941" s="1106"/>
      <c r="Y941" s="1106"/>
      <c r="Z941" s="1106"/>
      <c r="AA941" s="1106"/>
      <c r="AB941" s="1106"/>
      <c r="AC941" s="1106"/>
      <c r="AD941" s="1106"/>
      <c r="AE941" s="1106"/>
      <c r="AF941" s="1106"/>
      <c r="AG941" s="1106"/>
      <c r="AH941" s="1106"/>
      <c r="AI941" s="1106"/>
      <c r="AJ941" s="1106"/>
      <c r="AK941" s="1106"/>
      <c r="AL941" s="1106"/>
      <c r="AM941" s="1106"/>
      <c r="AN941" s="1106"/>
      <c r="AO941" s="1106"/>
    </row>
    <row r="942">
      <c r="G942" s="1106"/>
      <c r="H942" s="1106"/>
      <c r="I942" s="1106"/>
      <c r="J942" s="1106"/>
      <c r="K942" s="1106"/>
      <c r="L942" s="1106"/>
      <c r="M942" s="1106"/>
      <c r="N942" s="1106"/>
      <c r="O942" s="1106"/>
      <c r="P942" s="1106"/>
      <c r="Q942" s="1106"/>
      <c r="R942" s="1106"/>
      <c r="S942" s="1106"/>
      <c r="T942" s="1106"/>
      <c r="U942" s="1106"/>
      <c r="V942" s="1106"/>
      <c r="W942" s="1106"/>
      <c r="X942" s="1106"/>
      <c r="Y942" s="1106"/>
      <c r="Z942" s="1106"/>
      <c r="AA942" s="1106"/>
      <c r="AB942" s="1106"/>
      <c r="AC942" s="1106"/>
      <c r="AD942" s="1106"/>
      <c r="AE942" s="1106"/>
      <c r="AF942" s="1106"/>
      <c r="AG942" s="1106"/>
      <c r="AH942" s="1106"/>
      <c r="AI942" s="1106"/>
      <c r="AJ942" s="1106"/>
      <c r="AK942" s="1106"/>
      <c r="AL942" s="1106"/>
      <c r="AM942" s="1106"/>
      <c r="AN942" s="1106"/>
      <c r="AO942" s="1106"/>
    </row>
    <row r="943">
      <c r="G943" s="1106"/>
      <c r="H943" s="1106"/>
      <c r="I943" s="1106"/>
      <c r="J943" s="1106"/>
      <c r="K943" s="1106"/>
      <c r="L943" s="1106"/>
      <c r="M943" s="1106"/>
      <c r="N943" s="1106"/>
      <c r="O943" s="1106"/>
      <c r="P943" s="1106"/>
      <c r="Q943" s="1106"/>
      <c r="R943" s="1106"/>
      <c r="S943" s="1106"/>
      <c r="T943" s="1106"/>
      <c r="U943" s="1106"/>
      <c r="V943" s="1106"/>
      <c r="W943" s="1106"/>
      <c r="X943" s="1106"/>
      <c r="Y943" s="1106"/>
      <c r="Z943" s="1106"/>
      <c r="AA943" s="1106"/>
      <c r="AB943" s="1106"/>
      <c r="AC943" s="1106"/>
      <c r="AD943" s="1106"/>
      <c r="AE943" s="1106"/>
      <c r="AF943" s="1106"/>
      <c r="AG943" s="1106"/>
      <c r="AH943" s="1106"/>
      <c r="AI943" s="1106"/>
      <c r="AJ943" s="1106"/>
      <c r="AK943" s="1106"/>
      <c r="AL943" s="1106"/>
      <c r="AM943" s="1106"/>
      <c r="AN943" s="1106"/>
      <c r="AO943" s="1106"/>
    </row>
    <row r="944">
      <c r="G944" s="1106"/>
      <c r="H944" s="1106"/>
      <c r="I944" s="1106"/>
      <c r="J944" s="1106"/>
      <c r="K944" s="1106"/>
      <c r="L944" s="1106"/>
      <c r="M944" s="1106"/>
      <c r="N944" s="1106"/>
      <c r="O944" s="1106"/>
      <c r="P944" s="1106"/>
      <c r="Q944" s="1106"/>
      <c r="R944" s="1106"/>
      <c r="S944" s="1106"/>
      <c r="T944" s="1106"/>
      <c r="U944" s="1106"/>
      <c r="V944" s="1106"/>
      <c r="W944" s="1106"/>
      <c r="X944" s="1106"/>
      <c r="Y944" s="1106"/>
      <c r="Z944" s="1106"/>
      <c r="AA944" s="1106"/>
      <c r="AB944" s="1106"/>
      <c r="AC944" s="1106"/>
      <c r="AD944" s="1106"/>
      <c r="AE944" s="1106"/>
      <c r="AF944" s="1106"/>
      <c r="AG944" s="1106"/>
      <c r="AH944" s="1106"/>
      <c r="AI944" s="1106"/>
      <c r="AJ944" s="1106"/>
      <c r="AK944" s="1106"/>
      <c r="AL944" s="1106"/>
      <c r="AM944" s="1106"/>
      <c r="AN944" s="1106"/>
      <c r="AO944" s="1106"/>
    </row>
    <row r="945">
      <c r="G945" s="1106"/>
      <c r="H945" s="1106"/>
      <c r="I945" s="1106"/>
      <c r="J945" s="1106"/>
      <c r="K945" s="1106"/>
      <c r="L945" s="1106"/>
      <c r="M945" s="1106"/>
      <c r="N945" s="1106"/>
      <c r="O945" s="1106"/>
      <c r="P945" s="1106"/>
      <c r="Q945" s="1106"/>
      <c r="R945" s="1106"/>
      <c r="S945" s="1106"/>
      <c r="T945" s="1106"/>
      <c r="U945" s="1106"/>
      <c r="V945" s="1106"/>
      <c r="W945" s="1106"/>
      <c r="X945" s="1106"/>
      <c r="Y945" s="1106"/>
      <c r="Z945" s="1106"/>
      <c r="AA945" s="1106"/>
      <c r="AB945" s="1106"/>
      <c r="AC945" s="1106"/>
      <c r="AD945" s="1106"/>
      <c r="AE945" s="1106"/>
      <c r="AF945" s="1106"/>
      <c r="AG945" s="1106"/>
      <c r="AH945" s="1106"/>
      <c r="AI945" s="1106"/>
      <c r="AJ945" s="1106"/>
      <c r="AK945" s="1106"/>
      <c r="AL945" s="1106"/>
      <c r="AM945" s="1106"/>
      <c r="AN945" s="1106"/>
      <c r="AO945" s="1106"/>
    </row>
    <row r="946">
      <c r="G946" s="1106"/>
      <c r="H946" s="1106"/>
      <c r="I946" s="1106"/>
      <c r="J946" s="1106"/>
      <c r="K946" s="1106"/>
      <c r="L946" s="1106"/>
      <c r="M946" s="1106"/>
      <c r="N946" s="1106"/>
      <c r="O946" s="1106"/>
      <c r="P946" s="1106"/>
      <c r="Q946" s="1106"/>
      <c r="R946" s="1106"/>
      <c r="S946" s="1106"/>
      <c r="T946" s="1106"/>
      <c r="U946" s="1106"/>
      <c r="V946" s="1106"/>
      <c r="W946" s="1106"/>
      <c r="X946" s="1106"/>
      <c r="Y946" s="1106"/>
      <c r="Z946" s="1106"/>
      <c r="AA946" s="1106"/>
      <c r="AB946" s="1106"/>
      <c r="AC946" s="1106"/>
      <c r="AD946" s="1106"/>
      <c r="AE946" s="1106"/>
      <c r="AF946" s="1106"/>
      <c r="AG946" s="1106"/>
      <c r="AH946" s="1106"/>
      <c r="AI946" s="1106"/>
      <c r="AJ946" s="1106"/>
      <c r="AK946" s="1106"/>
      <c r="AL946" s="1106"/>
      <c r="AM946" s="1106"/>
      <c r="AN946" s="1106"/>
      <c r="AO946" s="1106"/>
    </row>
    <row r="947">
      <c r="G947" s="1106"/>
      <c r="H947" s="1106"/>
      <c r="I947" s="1106"/>
      <c r="J947" s="1106"/>
      <c r="K947" s="1106"/>
      <c r="L947" s="1106"/>
      <c r="M947" s="1106"/>
      <c r="N947" s="1106"/>
      <c r="O947" s="1106"/>
      <c r="P947" s="1106"/>
      <c r="Q947" s="1106"/>
      <c r="R947" s="1106"/>
      <c r="S947" s="1106"/>
      <c r="T947" s="1106"/>
      <c r="U947" s="1106"/>
      <c r="V947" s="1106"/>
      <c r="W947" s="1106"/>
      <c r="X947" s="1106"/>
      <c r="Y947" s="1106"/>
      <c r="Z947" s="1106"/>
      <c r="AA947" s="1106"/>
      <c r="AB947" s="1106"/>
      <c r="AC947" s="1106"/>
      <c r="AD947" s="1106"/>
      <c r="AE947" s="1106"/>
      <c r="AF947" s="1106"/>
      <c r="AG947" s="1106"/>
      <c r="AH947" s="1106"/>
      <c r="AI947" s="1106"/>
      <c r="AJ947" s="1106"/>
      <c r="AK947" s="1106"/>
      <c r="AL947" s="1106"/>
      <c r="AM947" s="1106"/>
      <c r="AN947" s="1106"/>
      <c r="AO947" s="1106"/>
    </row>
    <row r="948">
      <c r="G948" s="1106"/>
      <c r="H948" s="1106"/>
      <c r="I948" s="1106"/>
      <c r="J948" s="1106"/>
      <c r="K948" s="1106"/>
      <c r="L948" s="1106"/>
      <c r="M948" s="1106"/>
      <c r="N948" s="1106"/>
      <c r="O948" s="1106"/>
      <c r="P948" s="1106"/>
      <c r="Q948" s="1106"/>
      <c r="R948" s="1106"/>
      <c r="S948" s="1106"/>
      <c r="T948" s="1106"/>
      <c r="U948" s="1106"/>
      <c r="V948" s="1106"/>
      <c r="W948" s="1106"/>
      <c r="X948" s="1106"/>
      <c r="Y948" s="1106"/>
      <c r="Z948" s="1106"/>
      <c r="AA948" s="1106"/>
      <c r="AB948" s="1106"/>
      <c r="AC948" s="1106"/>
      <c r="AD948" s="1106"/>
      <c r="AE948" s="1106"/>
      <c r="AF948" s="1106"/>
      <c r="AG948" s="1106"/>
      <c r="AH948" s="1106"/>
      <c r="AI948" s="1106"/>
      <c r="AJ948" s="1106"/>
      <c r="AK948" s="1106"/>
      <c r="AL948" s="1106"/>
      <c r="AM948" s="1106"/>
      <c r="AN948" s="1106"/>
      <c r="AO948" s="1106"/>
    </row>
    <row r="949">
      <c r="G949" s="1106"/>
      <c r="H949" s="1106"/>
      <c r="I949" s="1106"/>
      <c r="J949" s="1106"/>
      <c r="K949" s="1106"/>
      <c r="L949" s="1106"/>
      <c r="M949" s="1106"/>
      <c r="N949" s="1106"/>
      <c r="O949" s="1106"/>
      <c r="P949" s="1106"/>
      <c r="Q949" s="1106"/>
      <c r="R949" s="1106"/>
      <c r="S949" s="1106"/>
      <c r="T949" s="1106"/>
      <c r="U949" s="1106"/>
      <c r="V949" s="1106"/>
      <c r="W949" s="1106"/>
      <c r="X949" s="1106"/>
      <c r="Y949" s="1106"/>
      <c r="Z949" s="1106"/>
      <c r="AA949" s="1106"/>
      <c r="AB949" s="1106"/>
      <c r="AC949" s="1106"/>
      <c r="AD949" s="1106"/>
      <c r="AE949" s="1106"/>
      <c r="AF949" s="1106"/>
      <c r="AG949" s="1106"/>
      <c r="AH949" s="1106"/>
      <c r="AI949" s="1106"/>
      <c r="AJ949" s="1106"/>
      <c r="AK949" s="1106"/>
      <c r="AL949" s="1106"/>
      <c r="AM949" s="1106"/>
      <c r="AN949" s="1106"/>
      <c r="AO949" s="1106"/>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